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fs\proje_ortak\"/>
    </mc:Choice>
  </mc:AlternateContent>
  <xr:revisionPtr revIDLastSave="0" documentId="13_ncr:1_{7592C49E-15A9-4E43-A556-98BE7C1A313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ROJELER" sheetId="1" r:id="rId1"/>
    <sheet name="İş Emri Takip" sheetId="2" r:id="rId2"/>
    <sheet name="Haftalık Rapor" sheetId="3" r:id="rId3"/>
    <sheet name="İş Emri Sorgula" sheetId="4" r:id="rId4"/>
    <sheet name="Listeler" sheetId="5" r:id="rId5"/>
    <sheet name="Nasıl Kullanılır" sheetId="6" r:id="rId6"/>
  </sheets>
  <definedNames>
    <definedName name="_xlnm._FilterDatabase" localSheetId="1" hidden="1">'İş Emri Takip'!$A$2:$AB$1000</definedName>
    <definedName name="_xlnm.Print_Area" localSheetId="2">'Haftalık Rapor'!$A$1:$L$137</definedName>
    <definedName name="_xlnm.Print_Area" localSheetId="3">'İş Emri Sorgula'!$A$1:$I$27</definedName>
    <definedName name="_xlnm.Print_Titles" localSheetId="1">'İş Emri Takip'!$1:$2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0" i="2" l="1"/>
  <c r="D481" i="2"/>
  <c r="D482" i="2"/>
  <c r="D483" i="2"/>
  <c r="D484" i="2"/>
  <c r="K4" i="4"/>
  <c r="B26" i="4" s="1"/>
  <c r="L132" i="3"/>
  <c r="K132" i="3"/>
  <c r="J132" i="3"/>
  <c r="I132" i="3"/>
  <c r="H132" i="3"/>
  <c r="G132" i="3"/>
  <c r="F132" i="3"/>
  <c r="E132" i="3"/>
  <c r="D132" i="3"/>
  <c r="C132" i="3"/>
  <c r="L131" i="3"/>
  <c r="K131" i="3"/>
  <c r="J131" i="3"/>
  <c r="I131" i="3"/>
  <c r="H131" i="3"/>
  <c r="G131" i="3"/>
  <c r="F131" i="3"/>
  <c r="E131" i="3"/>
  <c r="D131" i="3"/>
  <c r="C131" i="3"/>
  <c r="L130" i="3"/>
  <c r="K130" i="3"/>
  <c r="J130" i="3"/>
  <c r="I130" i="3"/>
  <c r="H130" i="3"/>
  <c r="G130" i="3"/>
  <c r="F130" i="3"/>
  <c r="E130" i="3"/>
  <c r="D130" i="3"/>
  <c r="C130" i="3"/>
  <c r="L129" i="3"/>
  <c r="K129" i="3"/>
  <c r="J129" i="3"/>
  <c r="I129" i="3"/>
  <c r="H129" i="3"/>
  <c r="G129" i="3"/>
  <c r="F129" i="3"/>
  <c r="E129" i="3"/>
  <c r="D129" i="3"/>
  <c r="C129" i="3"/>
  <c r="L128" i="3"/>
  <c r="K128" i="3"/>
  <c r="J128" i="3"/>
  <c r="I128" i="3"/>
  <c r="H128" i="3"/>
  <c r="G128" i="3"/>
  <c r="F128" i="3"/>
  <c r="E128" i="3"/>
  <c r="D128" i="3"/>
  <c r="C128" i="3"/>
  <c r="L127" i="3"/>
  <c r="K127" i="3"/>
  <c r="J127" i="3"/>
  <c r="I127" i="3"/>
  <c r="H127" i="3"/>
  <c r="G127" i="3"/>
  <c r="F127" i="3"/>
  <c r="E127" i="3"/>
  <c r="D127" i="3"/>
  <c r="C127" i="3"/>
  <c r="L126" i="3"/>
  <c r="K126" i="3"/>
  <c r="J126" i="3"/>
  <c r="I126" i="3"/>
  <c r="H126" i="3"/>
  <c r="G126" i="3"/>
  <c r="F126" i="3"/>
  <c r="E126" i="3"/>
  <c r="D126" i="3"/>
  <c r="C126" i="3"/>
  <c r="L125" i="3"/>
  <c r="K125" i="3"/>
  <c r="J125" i="3"/>
  <c r="I125" i="3"/>
  <c r="H125" i="3"/>
  <c r="G125" i="3"/>
  <c r="F125" i="3"/>
  <c r="E125" i="3"/>
  <c r="D125" i="3"/>
  <c r="C125" i="3"/>
  <c r="L124" i="3"/>
  <c r="K124" i="3"/>
  <c r="J124" i="3"/>
  <c r="I124" i="3"/>
  <c r="H124" i="3"/>
  <c r="G124" i="3"/>
  <c r="F124" i="3"/>
  <c r="E124" i="3"/>
  <c r="D124" i="3"/>
  <c r="C124" i="3"/>
  <c r="L123" i="3"/>
  <c r="K123" i="3"/>
  <c r="J123" i="3"/>
  <c r="I123" i="3"/>
  <c r="H123" i="3"/>
  <c r="G123" i="3"/>
  <c r="F123" i="3"/>
  <c r="E123" i="3"/>
  <c r="D123" i="3"/>
  <c r="C123" i="3"/>
  <c r="L122" i="3"/>
  <c r="K122" i="3"/>
  <c r="J122" i="3"/>
  <c r="I122" i="3"/>
  <c r="H122" i="3"/>
  <c r="G122" i="3"/>
  <c r="F122" i="3"/>
  <c r="E122" i="3"/>
  <c r="D122" i="3"/>
  <c r="C122" i="3"/>
  <c r="L120" i="3"/>
  <c r="K120" i="3"/>
  <c r="J120" i="3"/>
  <c r="I120" i="3"/>
  <c r="H120" i="3"/>
  <c r="G120" i="3"/>
  <c r="F120" i="3"/>
  <c r="E120" i="3"/>
  <c r="D120" i="3"/>
  <c r="C120" i="3"/>
  <c r="L119" i="3"/>
  <c r="K119" i="3"/>
  <c r="J119" i="3"/>
  <c r="I119" i="3"/>
  <c r="H119" i="3"/>
  <c r="G119" i="3"/>
  <c r="F119" i="3"/>
  <c r="E119" i="3"/>
  <c r="D119" i="3"/>
  <c r="C119" i="3"/>
  <c r="L110" i="3"/>
  <c r="J110" i="3"/>
  <c r="I110" i="3"/>
  <c r="G110" i="3"/>
  <c r="E110" i="3"/>
  <c r="C110" i="3"/>
  <c r="L109" i="3"/>
  <c r="K109" i="3"/>
  <c r="J109" i="3"/>
  <c r="I109" i="3"/>
  <c r="H109" i="3"/>
  <c r="G109" i="3"/>
  <c r="F109" i="3"/>
  <c r="E109" i="3"/>
  <c r="D109" i="3"/>
  <c r="C109" i="3"/>
  <c r="L108" i="3"/>
  <c r="K108" i="3"/>
  <c r="J108" i="3"/>
  <c r="I108" i="3"/>
  <c r="H108" i="3"/>
  <c r="S105" i="3" s="1"/>
  <c r="G108" i="3"/>
  <c r="F108" i="3"/>
  <c r="E108" i="3"/>
  <c r="R105" i="3" s="1"/>
  <c r="D108" i="3"/>
  <c r="C108" i="3"/>
  <c r="Q105" i="3" s="1"/>
  <c r="L107" i="3"/>
  <c r="K107" i="3"/>
  <c r="J107" i="3"/>
  <c r="I107" i="3"/>
  <c r="H107" i="3"/>
  <c r="S104" i="3" s="1"/>
  <c r="G107" i="3"/>
  <c r="F107" i="3"/>
  <c r="E107" i="3"/>
  <c r="R104" i="3" s="1"/>
  <c r="D107" i="3"/>
  <c r="C107" i="3"/>
  <c r="Q104" i="3" s="1"/>
  <c r="L106" i="3"/>
  <c r="K106" i="3"/>
  <c r="J106" i="3"/>
  <c r="I106" i="3"/>
  <c r="H106" i="3"/>
  <c r="S103" i="3" s="1"/>
  <c r="G106" i="3"/>
  <c r="F106" i="3"/>
  <c r="E106" i="3"/>
  <c r="R103" i="3" s="1"/>
  <c r="D106" i="3"/>
  <c r="C106" i="3"/>
  <c r="Q103" i="3" s="1"/>
  <c r="L105" i="3"/>
  <c r="K105" i="3"/>
  <c r="J105" i="3"/>
  <c r="I105" i="3"/>
  <c r="H105" i="3"/>
  <c r="S102" i="3" s="1"/>
  <c r="G105" i="3"/>
  <c r="F105" i="3"/>
  <c r="E105" i="3"/>
  <c r="R102" i="3" s="1"/>
  <c r="D105" i="3"/>
  <c r="C105" i="3"/>
  <c r="Q102" i="3" s="1"/>
  <c r="L104" i="3"/>
  <c r="K104" i="3"/>
  <c r="J104" i="3"/>
  <c r="I104" i="3"/>
  <c r="H104" i="3"/>
  <c r="G104" i="3"/>
  <c r="F104" i="3"/>
  <c r="E104" i="3"/>
  <c r="D104" i="3"/>
  <c r="C104" i="3"/>
  <c r="L103" i="3"/>
  <c r="K103" i="3"/>
  <c r="J103" i="3"/>
  <c r="I103" i="3"/>
  <c r="H103" i="3"/>
  <c r="S101" i="3" s="1"/>
  <c r="G103" i="3"/>
  <c r="F103" i="3"/>
  <c r="E103" i="3"/>
  <c r="R101" i="3" s="1"/>
  <c r="D103" i="3"/>
  <c r="C103" i="3"/>
  <c r="Q101" i="3" s="1"/>
  <c r="L102" i="3"/>
  <c r="K102" i="3"/>
  <c r="J102" i="3"/>
  <c r="I102" i="3"/>
  <c r="H102" i="3"/>
  <c r="S100" i="3" s="1"/>
  <c r="G102" i="3"/>
  <c r="F102" i="3"/>
  <c r="E102" i="3"/>
  <c r="R100" i="3" s="1"/>
  <c r="D102" i="3"/>
  <c r="C102" i="3"/>
  <c r="Q100" i="3" s="1"/>
  <c r="L101" i="3"/>
  <c r="K101" i="3"/>
  <c r="J101" i="3"/>
  <c r="I101" i="3"/>
  <c r="H101" i="3"/>
  <c r="S99" i="3" s="1"/>
  <c r="G101" i="3"/>
  <c r="F101" i="3"/>
  <c r="E101" i="3"/>
  <c r="R99" i="3" s="1"/>
  <c r="D101" i="3"/>
  <c r="C101" i="3"/>
  <c r="Q99" i="3" s="1"/>
  <c r="L100" i="3"/>
  <c r="K100" i="3"/>
  <c r="J100" i="3"/>
  <c r="I100" i="3"/>
  <c r="H100" i="3"/>
  <c r="S98" i="3" s="1"/>
  <c r="G100" i="3"/>
  <c r="F100" i="3"/>
  <c r="E100" i="3"/>
  <c r="R98" i="3" s="1"/>
  <c r="D100" i="3"/>
  <c r="C100" i="3"/>
  <c r="Q98" i="3" s="1"/>
  <c r="L99" i="3"/>
  <c r="K99" i="3"/>
  <c r="J99" i="3"/>
  <c r="I99" i="3"/>
  <c r="H99" i="3"/>
  <c r="S97" i="3" s="1"/>
  <c r="G99" i="3"/>
  <c r="F99" i="3"/>
  <c r="E99" i="3"/>
  <c r="R97" i="3" s="1"/>
  <c r="D99" i="3"/>
  <c r="C99" i="3"/>
  <c r="Q97" i="3" s="1"/>
  <c r="L98" i="3"/>
  <c r="J98" i="3"/>
  <c r="I98" i="3"/>
  <c r="G98" i="3"/>
  <c r="F98" i="3"/>
  <c r="E98" i="3"/>
  <c r="C98" i="3"/>
  <c r="L97" i="3"/>
  <c r="K97" i="3"/>
  <c r="J97" i="3"/>
  <c r="I97" i="3"/>
  <c r="H97" i="3"/>
  <c r="S96" i="3" s="1"/>
  <c r="G97" i="3"/>
  <c r="F97" i="3"/>
  <c r="E97" i="3"/>
  <c r="R96" i="3" s="1"/>
  <c r="D97" i="3"/>
  <c r="C97" i="3"/>
  <c r="Q96" i="3" s="1"/>
  <c r="L96" i="3"/>
  <c r="K96" i="3"/>
  <c r="J96" i="3"/>
  <c r="I96" i="3"/>
  <c r="H96" i="3"/>
  <c r="S95" i="3" s="1"/>
  <c r="G96" i="3"/>
  <c r="F96" i="3"/>
  <c r="E96" i="3"/>
  <c r="R95" i="3" s="1"/>
  <c r="D96" i="3"/>
  <c r="C96" i="3"/>
  <c r="Q95" i="3" s="1"/>
  <c r="L95" i="3"/>
  <c r="J95" i="3"/>
  <c r="I95" i="3"/>
  <c r="G95" i="3"/>
  <c r="F95" i="3"/>
  <c r="E95" i="3"/>
  <c r="R94" i="3" s="1"/>
  <c r="D95" i="3"/>
  <c r="C95" i="3"/>
  <c r="Q94" i="3" s="1"/>
  <c r="L94" i="3"/>
  <c r="J94" i="3"/>
  <c r="I94" i="3"/>
  <c r="G94" i="3"/>
  <c r="F94" i="3"/>
  <c r="E94" i="3"/>
  <c r="R93" i="3" s="1"/>
  <c r="C94" i="3"/>
  <c r="Q93" i="3" s="1"/>
  <c r="L93" i="3"/>
  <c r="J93" i="3"/>
  <c r="I93" i="3"/>
  <c r="G93" i="3"/>
  <c r="E93" i="3"/>
  <c r="C93" i="3"/>
  <c r="L92" i="3"/>
  <c r="J92" i="3"/>
  <c r="I92" i="3"/>
  <c r="G92" i="3"/>
  <c r="E92" i="3"/>
  <c r="R92" i="3" s="1"/>
  <c r="C92" i="3"/>
  <c r="Q92" i="3" s="1"/>
  <c r="L91" i="3"/>
  <c r="J91" i="3"/>
  <c r="I91" i="3"/>
  <c r="G91" i="3"/>
  <c r="F91" i="3"/>
  <c r="E91" i="3"/>
  <c r="R91" i="3" s="1"/>
  <c r="C91" i="3"/>
  <c r="Q91" i="3" s="1"/>
  <c r="Q68" i="3"/>
  <c r="B68" i="3"/>
  <c r="P67" i="3"/>
  <c r="E67" i="3"/>
  <c r="D67" i="3"/>
  <c r="B67" i="3"/>
  <c r="Q67" i="3" s="1"/>
  <c r="P66" i="3"/>
  <c r="E66" i="3"/>
  <c r="B66" i="3"/>
  <c r="D66" i="3" s="1"/>
  <c r="P65" i="3"/>
  <c r="B65" i="3"/>
  <c r="E65" i="3" s="1"/>
  <c r="B64" i="3"/>
  <c r="P63" i="3"/>
  <c r="E63" i="3"/>
  <c r="D63" i="3"/>
  <c r="B63" i="3"/>
  <c r="P62" i="3"/>
  <c r="E62" i="3"/>
  <c r="B62" i="3"/>
  <c r="D62" i="3" s="1"/>
  <c r="P61" i="3"/>
  <c r="B61" i="3"/>
  <c r="E61" i="3" s="1"/>
  <c r="B60" i="3"/>
  <c r="P59" i="3"/>
  <c r="E59" i="3"/>
  <c r="D59" i="3"/>
  <c r="B59" i="3"/>
  <c r="P58" i="3"/>
  <c r="E58" i="3"/>
  <c r="B58" i="3"/>
  <c r="D58" i="3" s="1"/>
  <c r="P57" i="3"/>
  <c r="B57" i="3"/>
  <c r="E57" i="3" s="1"/>
  <c r="D41" i="3"/>
  <c r="D33" i="3"/>
  <c r="E32" i="3"/>
  <c r="D32" i="3"/>
  <c r="B11" i="3"/>
  <c r="K9" i="3"/>
  <c r="I9" i="3"/>
  <c r="B8" i="3"/>
  <c r="H2" i="3"/>
  <c r="BC1000" i="2"/>
  <c r="AO1000" i="2"/>
  <c r="BB1000" i="2" s="1"/>
  <c r="AN1000" i="2"/>
  <c r="BA1000" i="2" s="1"/>
  <c r="AM1000" i="2"/>
  <c r="AZ1000" i="2" s="1"/>
  <c r="AL1000" i="2"/>
  <c r="AY1000" i="2" s="1"/>
  <c r="AK1000" i="2"/>
  <c r="AX1000" i="2" s="1"/>
  <c r="AJ1000" i="2"/>
  <c r="AW1000" i="2" s="1"/>
  <c r="AI1000" i="2"/>
  <c r="AV1000" i="2" s="1"/>
  <c r="AH1000" i="2"/>
  <c r="AU1000" i="2" s="1"/>
  <c r="AG1000" i="2"/>
  <c r="AT1000" i="2" s="1"/>
  <c r="AF1000" i="2"/>
  <c r="AS1000" i="2" s="1"/>
  <c r="AE1000" i="2"/>
  <c r="AR1000" i="2" s="1"/>
  <c r="AD1000" i="2"/>
  <c r="AQ1000" i="2" s="1"/>
  <c r="AA1000" i="2"/>
  <c r="Z1000" i="2"/>
  <c r="AP1000" i="2" s="1"/>
  <c r="D1000" i="2"/>
  <c r="A1000" i="2"/>
  <c r="BC999" i="2"/>
  <c r="AQ999" i="2"/>
  <c r="AO999" i="2"/>
  <c r="BB999" i="2" s="1"/>
  <c r="AN999" i="2"/>
  <c r="BA999" i="2" s="1"/>
  <c r="AM999" i="2"/>
  <c r="AZ999" i="2" s="1"/>
  <c r="AL999" i="2"/>
  <c r="AY999" i="2" s="1"/>
  <c r="AK999" i="2"/>
  <c r="AX999" i="2" s="1"/>
  <c r="AJ999" i="2"/>
  <c r="AW999" i="2" s="1"/>
  <c r="AI999" i="2"/>
  <c r="AV999" i="2" s="1"/>
  <c r="AH999" i="2"/>
  <c r="AU999" i="2" s="1"/>
  <c r="AG999" i="2"/>
  <c r="AT999" i="2" s="1"/>
  <c r="AF999" i="2"/>
  <c r="AS999" i="2" s="1"/>
  <c r="AE999" i="2"/>
  <c r="AR999" i="2" s="1"/>
  <c r="AD999" i="2"/>
  <c r="AA999" i="2"/>
  <c r="Z999" i="2"/>
  <c r="AP999" i="2" s="1"/>
  <c r="D999" i="2"/>
  <c r="A999" i="2"/>
  <c r="BC998" i="2"/>
  <c r="AO998" i="2"/>
  <c r="BB998" i="2" s="1"/>
  <c r="AN998" i="2"/>
  <c r="BA998" i="2" s="1"/>
  <c r="AM998" i="2"/>
  <c r="AZ998" i="2" s="1"/>
  <c r="AL998" i="2"/>
  <c r="AY998" i="2" s="1"/>
  <c r="AK998" i="2"/>
  <c r="AX998" i="2" s="1"/>
  <c r="AJ998" i="2"/>
  <c r="AW998" i="2" s="1"/>
  <c r="AI998" i="2"/>
  <c r="AV998" i="2" s="1"/>
  <c r="AH998" i="2"/>
  <c r="AU998" i="2" s="1"/>
  <c r="AG998" i="2"/>
  <c r="AT998" i="2" s="1"/>
  <c r="AF998" i="2"/>
  <c r="AS998" i="2" s="1"/>
  <c r="AE998" i="2"/>
  <c r="AR998" i="2" s="1"/>
  <c r="AD998" i="2"/>
  <c r="AQ998" i="2" s="1"/>
  <c r="AA998" i="2"/>
  <c r="Z998" i="2"/>
  <c r="AP998" i="2" s="1"/>
  <c r="D998" i="2"/>
  <c r="A998" i="2"/>
  <c r="BC997" i="2"/>
  <c r="AP997" i="2"/>
  <c r="AO997" i="2"/>
  <c r="BB997" i="2" s="1"/>
  <c r="AN997" i="2"/>
  <c r="BA997" i="2" s="1"/>
  <c r="AM997" i="2"/>
  <c r="AZ997" i="2" s="1"/>
  <c r="AL997" i="2"/>
  <c r="AY997" i="2" s="1"/>
  <c r="AK997" i="2"/>
  <c r="AX997" i="2" s="1"/>
  <c r="AJ997" i="2"/>
  <c r="AW997" i="2" s="1"/>
  <c r="AI997" i="2"/>
  <c r="AV997" i="2" s="1"/>
  <c r="AH997" i="2"/>
  <c r="AU997" i="2" s="1"/>
  <c r="AG997" i="2"/>
  <c r="AT997" i="2" s="1"/>
  <c r="AF997" i="2"/>
  <c r="AS997" i="2" s="1"/>
  <c r="AE997" i="2"/>
  <c r="AR997" i="2" s="1"/>
  <c r="AD997" i="2"/>
  <c r="AQ997" i="2" s="1"/>
  <c r="AA997" i="2"/>
  <c r="Z997" i="2"/>
  <c r="D997" i="2"/>
  <c r="A997" i="2"/>
  <c r="BC996" i="2"/>
  <c r="AO996" i="2"/>
  <c r="BB996" i="2" s="1"/>
  <c r="AN996" i="2"/>
  <c r="BA996" i="2" s="1"/>
  <c r="AM996" i="2"/>
  <c r="AZ996" i="2" s="1"/>
  <c r="AL996" i="2"/>
  <c r="AY996" i="2" s="1"/>
  <c r="AK996" i="2"/>
  <c r="AX996" i="2" s="1"/>
  <c r="AJ996" i="2"/>
  <c r="AW996" i="2" s="1"/>
  <c r="AI996" i="2"/>
  <c r="AV996" i="2" s="1"/>
  <c r="AH996" i="2"/>
  <c r="AU996" i="2" s="1"/>
  <c r="AG996" i="2"/>
  <c r="AT996" i="2" s="1"/>
  <c r="AF996" i="2"/>
  <c r="AS996" i="2" s="1"/>
  <c r="AE996" i="2"/>
  <c r="AR996" i="2" s="1"/>
  <c r="AD996" i="2"/>
  <c r="AQ996" i="2" s="1"/>
  <c r="AA996" i="2"/>
  <c r="Z996" i="2"/>
  <c r="AP996" i="2" s="1"/>
  <c r="D996" i="2"/>
  <c r="A996" i="2"/>
  <c r="BC995" i="2"/>
  <c r="BB995" i="2"/>
  <c r="AT995" i="2"/>
  <c r="AO995" i="2"/>
  <c r="AN995" i="2"/>
  <c r="BA995" i="2" s="1"/>
  <c r="AM995" i="2"/>
  <c r="AZ995" i="2" s="1"/>
  <c r="AL995" i="2"/>
  <c r="AY995" i="2" s="1"/>
  <c r="AK995" i="2"/>
  <c r="AX995" i="2" s="1"/>
  <c r="AJ995" i="2"/>
  <c r="AW995" i="2" s="1"/>
  <c r="AI995" i="2"/>
  <c r="AV995" i="2" s="1"/>
  <c r="AH995" i="2"/>
  <c r="AU995" i="2" s="1"/>
  <c r="AG995" i="2"/>
  <c r="AF995" i="2"/>
  <c r="AS995" i="2" s="1"/>
  <c r="AE995" i="2"/>
  <c r="AR995" i="2" s="1"/>
  <c r="AD995" i="2"/>
  <c r="AQ995" i="2" s="1"/>
  <c r="AA995" i="2"/>
  <c r="Z995" i="2"/>
  <c r="AP995" i="2" s="1"/>
  <c r="D995" i="2"/>
  <c r="A995" i="2"/>
  <c r="BC994" i="2"/>
  <c r="BB994" i="2"/>
  <c r="AX994" i="2"/>
  <c r="AT994" i="2"/>
  <c r="AO994" i="2"/>
  <c r="AN994" i="2"/>
  <c r="BA994" i="2" s="1"/>
  <c r="AM994" i="2"/>
  <c r="AZ994" i="2" s="1"/>
  <c r="AL994" i="2"/>
  <c r="AY994" i="2" s="1"/>
  <c r="AK994" i="2"/>
  <c r="AJ994" i="2"/>
  <c r="AW994" i="2" s="1"/>
  <c r="AI994" i="2"/>
  <c r="AV994" i="2" s="1"/>
  <c r="AH994" i="2"/>
  <c r="AU994" i="2" s="1"/>
  <c r="AG994" i="2"/>
  <c r="AF994" i="2"/>
  <c r="AS994" i="2" s="1"/>
  <c r="AE994" i="2"/>
  <c r="AR994" i="2" s="1"/>
  <c r="AD994" i="2"/>
  <c r="AQ994" i="2" s="1"/>
  <c r="AA994" i="2"/>
  <c r="Z994" i="2"/>
  <c r="AP994" i="2" s="1"/>
  <c r="D994" i="2"/>
  <c r="A994" i="2"/>
  <c r="BC993" i="2"/>
  <c r="AX993" i="2"/>
  <c r="AT993" i="2"/>
  <c r="AO993" i="2"/>
  <c r="BB993" i="2" s="1"/>
  <c r="AN993" i="2"/>
  <c r="BA993" i="2" s="1"/>
  <c r="AM993" i="2"/>
  <c r="AZ993" i="2" s="1"/>
  <c r="AL993" i="2"/>
  <c r="AY993" i="2" s="1"/>
  <c r="AK993" i="2"/>
  <c r="AJ993" i="2"/>
  <c r="AW993" i="2" s="1"/>
  <c r="AI993" i="2"/>
  <c r="AV993" i="2" s="1"/>
  <c r="AH993" i="2"/>
  <c r="AU993" i="2" s="1"/>
  <c r="AG993" i="2"/>
  <c r="AF993" i="2"/>
  <c r="AS993" i="2" s="1"/>
  <c r="AE993" i="2"/>
  <c r="AR993" i="2" s="1"/>
  <c r="AD993" i="2"/>
  <c r="AQ993" i="2" s="1"/>
  <c r="AA993" i="2"/>
  <c r="Z993" i="2"/>
  <c r="AP993" i="2" s="1"/>
  <c r="D993" i="2"/>
  <c r="A993" i="2"/>
  <c r="BC992" i="2"/>
  <c r="AO992" i="2"/>
  <c r="BB992" i="2" s="1"/>
  <c r="AN992" i="2"/>
  <c r="BA992" i="2" s="1"/>
  <c r="AM992" i="2"/>
  <c r="AZ992" i="2" s="1"/>
  <c r="AL992" i="2"/>
  <c r="AY992" i="2" s="1"/>
  <c r="AK992" i="2"/>
  <c r="AX992" i="2" s="1"/>
  <c r="AJ992" i="2"/>
  <c r="AW992" i="2" s="1"/>
  <c r="AI992" i="2"/>
  <c r="AV992" i="2" s="1"/>
  <c r="AH992" i="2"/>
  <c r="AU992" i="2" s="1"/>
  <c r="AG992" i="2"/>
  <c r="AT992" i="2" s="1"/>
  <c r="AF992" i="2"/>
  <c r="AS992" i="2" s="1"/>
  <c r="AE992" i="2"/>
  <c r="AR992" i="2" s="1"/>
  <c r="AD992" i="2"/>
  <c r="AQ992" i="2" s="1"/>
  <c r="AA992" i="2"/>
  <c r="Z992" i="2"/>
  <c r="AP992" i="2" s="1"/>
  <c r="D992" i="2"/>
  <c r="A992" i="2"/>
  <c r="BC991" i="2"/>
  <c r="AX991" i="2"/>
  <c r="AO991" i="2"/>
  <c r="BB991" i="2" s="1"/>
  <c r="AN991" i="2"/>
  <c r="BA991" i="2" s="1"/>
  <c r="AM991" i="2"/>
  <c r="AZ991" i="2" s="1"/>
  <c r="AL991" i="2"/>
  <c r="AY991" i="2" s="1"/>
  <c r="AK991" i="2"/>
  <c r="AJ991" i="2"/>
  <c r="AW991" i="2" s="1"/>
  <c r="AI991" i="2"/>
  <c r="AV991" i="2" s="1"/>
  <c r="AH991" i="2"/>
  <c r="AU991" i="2" s="1"/>
  <c r="AG991" i="2"/>
  <c r="AT991" i="2" s="1"/>
  <c r="AF991" i="2"/>
  <c r="AS991" i="2" s="1"/>
  <c r="AE991" i="2"/>
  <c r="AR991" i="2" s="1"/>
  <c r="AD991" i="2"/>
  <c r="AQ991" i="2" s="1"/>
  <c r="AA991" i="2"/>
  <c r="Z991" i="2"/>
  <c r="AP991" i="2" s="1"/>
  <c r="D991" i="2"/>
  <c r="A991" i="2"/>
  <c r="BC990" i="2"/>
  <c r="AO990" i="2"/>
  <c r="BB990" i="2" s="1"/>
  <c r="AN990" i="2"/>
  <c r="BA990" i="2" s="1"/>
  <c r="AM990" i="2"/>
  <c r="AZ990" i="2" s="1"/>
  <c r="AL990" i="2"/>
  <c r="AY990" i="2" s="1"/>
  <c r="AK990" i="2"/>
  <c r="AX990" i="2" s="1"/>
  <c r="AJ990" i="2"/>
  <c r="AW990" i="2" s="1"/>
  <c r="AI990" i="2"/>
  <c r="AV990" i="2" s="1"/>
  <c r="AH990" i="2"/>
  <c r="AU990" i="2" s="1"/>
  <c r="AG990" i="2"/>
  <c r="AT990" i="2" s="1"/>
  <c r="AF990" i="2"/>
  <c r="AS990" i="2" s="1"/>
  <c r="AE990" i="2"/>
  <c r="AR990" i="2" s="1"/>
  <c r="AD990" i="2"/>
  <c r="AQ990" i="2" s="1"/>
  <c r="AA990" i="2"/>
  <c r="Z990" i="2"/>
  <c r="AP990" i="2" s="1"/>
  <c r="D990" i="2"/>
  <c r="A990" i="2"/>
  <c r="BC989" i="2"/>
  <c r="AX989" i="2"/>
  <c r="AO989" i="2"/>
  <c r="BB989" i="2" s="1"/>
  <c r="AN989" i="2"/>
  <c r="BA989" i="2" s="1"/>
  <c r="AM989" i="2"/>
  <c r="AZ989" i="2" s="1"/>
  <c r="AL989" i="2"/>
  <c r="AY989" i="2" s="1"/>
  <c r="AK989" i="2"/>
  <c r="AJ989" i="2"/>
  <c r="AW989" i="2" s="1"/>
  <c r="AI989" i="2"/>
  <c r="AV989" i="2" s="1"/>
  <c r="AH989" i="2"/>
  <c r="AU989" i="2" s="1"/>
  <c r="AG989" i="2"/>
  <c r="AT989" i="2" s="1"/>
  <c r="AF989" i="2"/>
  <c r="AS989" i="2" s="1"/>
  <c r="AE989" i="2"/>
  <c r="AR989" i="2" s="1"/>
  <c r="AD989" i="2"/>
  <c r="AQ989" i="2" s="1"/>
  <c r="AA989" i="2"/>
  <c r="Z989" i="2"/>
  <c r="AP989" i="2" s="1"/>
  <c r="D989" i="2"/>
  <c r="A989" i="2"/>
  <c r="BC988" i="2"/>
  <c r="AO988" i="2"/>
  <c r="BB988" i="2" s="1"/>
  <c r="AN988" i="2"/>
  <c r="BA988" i="2" s="1"/>
  <c r="AM988" i="2"/>
  <c r="AZ988" i="2" s="1"/>
  <c r="AL988" i="2"/>
  <c r="AY988" i="2" s="1"/>
  <c r="AK988" i="2"/>
  <c r="AX988" i="2" s="1"/>
  <c r="AJ988" i="2"/>
  <c r="AW988" i="2" s="1"/>
  <c r="AI988" i="2"/>
  <c r="AV988" i="2" s="1"/>
  <c r="AH988" i="2"/>
  <c r="AU988" i="2" s="1"/>
  <c r="AG988" i="2"/>
  <c r="AT988" i="2" s="1"/>
  <c r="AF988" i="2"/>
  <c r="AS988" i="2" s="1"/>
  <c r="AE988" i="2"/>
  <c r="AR988" i="2" s="1"/>
  <c r="AD988" i="2"/>
  <c r="AQ988" i="2" s="1"/>
  <c r="AA988" i="2"/>
  <c r="Z988" i="2"/>
  <c r="AP988" i="2" s="1"/>
  <c r="D988" i="2"/>
  <c r="A988" i="2"/>
  <c r="BC987" i="2"/>
  <c r="AT987" i="2"/>
  <c r="AO987" i="2"/>
  <c r="BB987" i="2" s="1"/>
  <c r="AN987" i="2"/>
  <c r="BA987" i="2" s="1"/>
  <c r="AM987" i="2"/>
  <c r="AZ987" i="2" s="1"/>
  <c r="AL987" i="2"/>
  <c r="AY987" i="2" s="1"/>
  <c r="AK987" i="2"/>
  <c r="AX987" i="2" s="1"/>
  <c r="AJ987" i="2"/>
  <c r="AW987" i="2" s="1"/>
  <c r="AI987" i="2"/>
  <c r="AV987" i="2" s="1"/>
  <c r="AH987" i="2"/>
  <c r="AU987" i="2" s="1"/>
  <c r="AG987" i="2"/>
  <c r="AF987" i="2"/>
  <c r="AS987" i="2" s="1"/>
  <c r="AE987" i="2"/>
  <c r="AR987" i="2" s="1"/>
  <c r="AD987" i="2"/>
  <c r="AQ987" i="2" s="1"/>
  <c r="AA987" i="2"/>
  <c r="Z987" i="2"/>
  <c r="AP987" i="2" s="1"/>
  <c r="D987" i="2"/>
  <c r="A987" i="2"/>
  <c r="BC986" i="2"/>
  <c r="AO986" i="2"/>
  <c r="BB986" i="2" s="1"/>
  <c r="AN986" i="2"/>
  <c r="BA986" i="2" s="1"/>
  <c r="AM986" i="2"/>
  <c r="AZ986" i="2" s="1"/>
  <c r="AL986" i="2"/>
  <c r="AY986" i="2" s="1"/>
  <c r="AK986" i="2"/>
  <c r="AX986" i="2" s="1"/>
  <c r="AJ986" i="2"/>
  <c r="AW986" i="2" s="1"/>
  <c r="AI986" i="2"/>
  <c r="AV986" i="2" s="1"/>
  <c r="AH986" i="2"/>
  <c r="AU986" i="2" s="1"/>
  <c r="AG986" i="2"/>
  <c r="AT986" i="2" s="1"/>
  <c r="AF986" i="2"/>
  <c r="AS986" i="2" s="1"/>
  <c r="AE986" i="2"/>
  <c r="AR986" i="2" s="1"/>
  <c r="AD986" i="2"/>
  <c r="AQ986" i="2" s="1"/>
  <c r="AA986" i="2"/>
  <c r="Z986" i="2"/>
  <c r="AP986" i="2" s="1"/>
  <c r="D986" i="2"/>
  <c r="A986" i="2"/>
  <c r="BC985" i="2"/>
  <c r="BB985" i="2"/>
  <c r="AT985" i="2"/>
  <c r="AO985" i="2"/>
  <c r="AN985" i="2"/>
  <c r="BA985" i="2" s="1"/>
  <c r="AM985" i="2"/>
  <c r="AZ985" i="2" s="1"/>
  <c r="AL985" i="2"/>
  <c r="AY985" i="2" s="1"/>
  <c r="AK985" i="2"/>
  <c r="AX985" i="2" s="1"/>
  <c r="AJ985" i="2"/>
  <c r="AW985" i="2" s="1"/>
  <c r="AI985" i="2"/>
  <c r="AV985" i="2" s="1"/>
  <c r="AH985" i="2"/>
  <c r="AU985" i="2" s="1"/>
  <c r="AG985" i="2"/>
  <c r="AF985" i="2"/>
  <c r="AS985" i="2" s="1"/>
  <c r="AE985" i="2"/>
  <c r="AR985" i="2" s="1"/>
  <c r="AD985" i="2"/>
  <c r="AQ985" i="2" s="1"/>
  <c r="AA985" i="2"/>
  <c r="Z985" i="2"/>
  <c r="AP985" i="2" s="1"/>
  <c r="D985" i="2"/>
  <c r="A985" i="2"/>
  <c r="BC984" i="2"/>
  <c r="AO984" i="2"/>
  <c r="BB984" i="2" s="1"/>
  <c r="AN984" i="2"/>
  <c r="BA984" i="2" s="1"/>
  <c r="AM984" i="2"/>
  <c r="AZ984" i="2" s="1"/>
  <c r="AL984" i="2"/>
  <c r="AY984" i="2" s="1"/>
  <c r="AK984" i="2"/>
  <c r="AX984" i="2" s="1"/>
  <c r="AJ984" i="2"/>
  <c r="AW984" i="2" s="1"/>
  <c r="AI984" i="2"/>
  <c r="AV984" i="2" s="1"/>
  <c r="AH984" i="2"/>
  <c r="AU984" i="2" s="1"/>
  <c r="AG984" i="2"/>
  <c r="AT984" i="2" s="1"/>
  <c r="AF984" i="2"/>
  <c r="AS984" i="2" s="1"/>
  <c r="AE984" i="2"/>
  <c r="AR984" i="2" s="1"/>
  <c r="AD984" i="2"/>
  <c r="AQ984" i="2" s="1"/>
  <c r="AA984" i="2"/>
  <c r="Z984" i="2"/>
  <c r="AP984" i="2" s="1"/>
  <c r="D984" i="2"/>
  <c r="A984" i="2"/>
  <c r="BC983" i="2"/>
  <c r="BB983" i="2"/>
  <c r="AO983" i="2"/>
  <c r="AN983" i="2"/>
  <c r="BA983" i="2" s="1"/>
  <c r="AM983" i="2"/>
  <c r="AZ983" i="2" s="1"/>
  <c r="AL983" i="2"/>
  <c r="AY983" i="2" s="1"/>
  <c r="AK983" i="2"/>
  <c r="AX983" i="2" s="1"/>
  <c r="AJ983" i="2"/>
  <c r="AW983" i="2" s="1"/>
  <c r="AI983" i="2"/>
  <c r="AV983" i="2" s="1"/>
  <c r="AH983" i="2"/>
  <c r="AU983" i="2" s="1"/>
  <c r="AG983" i="2"/>
  <c r="AT983" i="2" s="1"/>
  <c r="AF983" i="2"/>
  <c r="AS983" i="2" s="1"/>
  <c r="AE983" i="2"/>
  <c r="AR983" i="2" s="1"/>
  <c r="AD983" i="2"/>
  <c r="AQ983" i="2" s="1"/>
  <c r="AA983" i="2"/>
  <c r="Z983" i="2"/>
  <c r="AP983" i="2" s="1"/>
  <c r="D983" i="2"/>
  <c r="A983" i="2"/>
  <c r="BC982" i="2"/>
  <c r="AV982" i="2"/>
  <c r="AO982" i="2"/>
  <c r="BB982" i="2" s="1"/>
  <c r="AN982" i="2"/>
  <c r="BA982" i="2" s="1"/>
  <c r="AM982" i="2"/>
  <c r="AZ982" i="2" s="1"/>
  <c r="AL982" i="2"/>
  <c r="AY982" i="2" s="1"/>
  <c r="AK982" i="2"/>
  <c r="AX982" i="2" s="1"/>
  <c r="AJ982" i="2"/>
  <c r="AW982" i="2" s="1"/>
  <c r="AI982" i="2"/>
  <c r="AH982" i="2"/>
  <c r="AU982" i="2" s="1"/>
  <c r="AG982" i="2"/>
  <c r="AT982" i="2" s="1"/>
  <c r="AF982" i="2"/>
  <c r="AS982" i="2" s="1"/>
  <c r="AE982" i="2"/>
  <c r="AR982" i="2" s="1"/>
  <c r="AD982" i="2"/>
  <c r="AQ982" i="2" s="1"/>
  <c r="AA982" i="2"/>
  <c r="Z982" i="2"/>
  <c r="AP982" i="2" s="1"/>
  <c r="D982" i="2"/>
  <c r="A982" i="2"/>
  <c r="BC981" i="2"/>
  <c r="AO981" i="2"/>
  <c r="BB981" i="2" s="1"/>
  <c r="AN981" i="2"/>
  <c r="BA981" i="2" s="1"/>
  <c r="AM981" i="2"/>
  <c r="AZ981" i="2" s="1"/>
  <c r="AL981" i="2"/>
  <c r="AY981" i="2" s="1"/>
  <c r="AK981" i="2"/>
  <c r="AX981" i="2" s="1"/>
  <c r="AJ981" i="2"/>
  <c r="AW981" i="2" s="1"/>
  <c r="AI981" i="2"/>
  <c r="AV981" i="2" s="1"/>
  <c r="AH981" i="2"/>
  <c r="AU981" i="2" s="1"/>
  <c r="AG981" i="2"/>
  <c r="AT981" i="2" s="1"/>
  <c r="AF981" i="2"/>
  <c r="AS981" i="2" s="1"/>
  <c r="AE981" i="2"/>
  <c r="AR981" i="2" s="1"/>
  <c r="AD981" i="2"/>
  <c r="AQ981" i="2" s="1"/>
  <c r="AA981" i="2"/>
  <c r="Z981" i="2"/>
  <c r="AP981" i="2" s="1"/>
  <c r="D981" i="2"/>
  <c r="A981" i="2"/>
  <c r="BC980" i="2"/>
  <c r="AW980" i="2"/>
  <c r="AP980" i="2"/>
  <c r="AO980" i="2"/>
  <c r="BB980" i="2" s="1"/>
  <c r="AN980" i="2"/>
  <c r="BA980" i="2" s="1"/>
  <c r="AM980" i="2"/>
  <c r="AZ980" i="2" s="1"/>
  <c r="AL980" i="2"/>
  <c r="AY980" i="2" s="1"/>
  <c r="AK980" i="2"/>
  <c r="AX980" i="2" s="1"/>
  <c r="AJ980" i="2"/>
  <c r="AI980" i="2"/>
  <c r="AV980" i="2" s="1"/>
  <c r="AH980" i="2"/>
  <c r="AU980" i="2" s="1"/>
  <c r="AG980" i="2"/>
  <c r="AT980" i="2" s="1"/>
  <c r="AF980" i="2"/>
  <c r="AS980" i="2" s="1"/>
  <c r="AE980" i="2"/>
  <c r="AR980" i="2" s="1"/>
  <c r="AD980" i="2"/>
  <c r="AQ980" i="2" s="1"/>
  <c r="AA980" i="2"/>
  <c r="Z980" i="2"/>
  <c r="D980" i="2"/>
  <c r="A980" i="2"/>
  <c r="BC979" i="2"/>
  <c r="AO979" i="2"/>
  <c r="BB979" i="2" s="1"/>
  <c r="AN979" i="2"/>
  <c r="BA979" i="2" s="1"/>
  <c r="AM979" i="2"/>
  <c r="AZ979" i="2" s="1"/>
  <c r="AL979" i="2"/>
  <c r="AY979" i="2" s="1"/>
  <c r="AK979" i="2"/>
  <c r="AX979" i="2" s="1"/>
  <c r="AJ979" i="2"/>
  <c r="AW979" i="2" s="1"/>
  <c r="AI979" i="2"/>
  <c r="AV979" i="2" s="1"/>
  <c r="AH979" i="2"/>
  <c r="AU979" i="2" s="1"/>
  <c r="AG979" i="2"/>
  <c r="AT979" i="2" s="1"/>
  <c r="AF979" i="2"/>
  <c r="AS979" i="2" s="1"/>
  <c r="AE979" i="2"/>
  <c r="AR979" i="2" s="1"/>
  <c r="AD979" i="2"/>
  <c r="AQ979" i="2" s="1"/>
  <c r="AA979" i="2"/>
  <c r="Z979" i="2"/>
  <c r="AP979" i="2" s="1"/>
  <c r="D979" i="2"/>
  <c r="A979" i="2"/>
  <c r="BC978" i="2"/>
  <c r="AR978" i="2"/>
  <c r="AO978" i="2"/>
  <c r="BB978" i="2" s="1"/>
  <c r="AN978" i="2"/>
  <c r="BA978" i="2" s="1"/>
  <c r="AM978" i="2"/>
  <c r="AZ978" i="2" s="1"/>
  <c r="AL978" i="2"/>
  <c r="AY978" i="2" s="1"/>
  <c r="AK978" i="2"/>
  <c r="AX978" i="2" s="1"/>
  <c r="AJ978" i="2"/>
  <c r="AW978" i="2" s="1"/>
  <c r="AI978" i="2"/>
  <c r="AV978" i="2" s="1"/>
  <c r="AH978" i="2"/>
  <c r="AU978" i="2" s="1"/>
  <c r="AG978" i="2"/>
  <c r="AT978" i="2" s="1"/>
  <c r="AF978" i="2"/>
  <c r="AS978" i="2" s="1"/>
  <c r="AE978" i="2"/>
  <c r="AD978" i="2"/>
  <c r="AQ978" i="2" s="1"/>
  <c r="AA978" i="2"/>
  <c r="Z978" i="2"/>
  <c r="AP978" i="2" s="1"/>
  <c r="D978" i="2"/>
  <c r="A978" i="2"/>
  <c r="BC977" i="2"/>
  <c r="AO977" i="2"/>
  <c r="BB977" i="2" s="1"/>
  <c r="AN977" i="2"/>
  <c r="BA977" i="2" s="1"/>
  <c r="AM977" i="2"/>
  <c r="AZ977" i="2" s="1"/>
  <c r="AL977" i="2"/>
  <c r="AY977" i="2" s="1"/>
  <c r="AK977" i="2"/>
  <c r="AX977" i="2" s="1"/>
  <c r="AJ977" i="2"/>
  <c r="AW977" i="2" s="1"/>
  <c r="AI977" i="2"/>
  <c r="AV977" i="2" s="1"/>
  <c r="AH977" i="2"/>
  <c r="AU977" i="2" s="1"/>
  <c r="AG977" i="2"/>
  <c r="AT977" i="2" s="1"/>
  <c r="AF977" i="2"/>
  <c r="AS977" i="2" s="1"/>
  <c r="AE977" i="2"/>
  <c r="AR977" i="2" s="1"/>
  <c r="AD977" i="2"/>
  <c r="AQ977" i="2" s="1"/>
  <c r="AA977" i="2"/>
  <c r="Z977" i="2"/>
  <c r="AP977" i="2" s="1"/>
  <c r="D977" i="2"/>
  <c r="A977" i="2"/>
  <c r="BC976" i="2"/>
  <c r="AO976" i="2"/>
  <c r="BB976" i="2" s="1"/>
  <c r="AN976" i="2"/>
  <c r="BA976" i="2" s="1"/>
  <c r="AM976" i="2"/>
  <c r="AZ976" i="2" s="1"/>
  <c r="AL976" i="2"/>
  <c r="AY976" i="2" s="1"/>
  <c r="AK976" i="2"/>
  <c r="AX976" i="2" s="1"/>
  <c r="AJ976" i="2"/>
  <c r="AW976" i="2" s="1"/>
  <c r="AI976" i="2"/>
  <c r="AV976" i="2" s="1"/>
  <c r="AH976" i="2"/>
  <c r="AU976" i="2" s="1"/>
  <c r="AG976" i="2"/>
  <c r="AT976" i="2" s="1"/>
  <c r="AF976" i="2"/>
  <c r="AS976" i="2" s="1"/>
  <c r="AE976" i="2"/>
  <c r="AR976" i="2" s="1"/>
  <c r="AD976" i="2"/>
  <c r="AQ976" i="2" s="1"/>
  <c r="AA976" i="2"/>
  <c r="Z976" i="2"/>
  <c r="AP976" i="2" s="1"/>
  <c r="D976" i="2"/>
  <c r="A976" i="2"/>
  <c r="BC975" i="2"/>
  <c r="AR975" i="2"/>
  <c r="AO975" i="2"/>
  <c r="BB975" i="2" s="1"/>
  <c r="AN975" i="2"/>
  <c r="BA975" i="2" s="1"/>
  <c r="AM975" i="2"/>
  <c r="AZ975" i="2" s="1"/>
  <c r="AL975" i="2"/>
  <c r="AY975" i="2" s="1"/>
  <c r="AK975" i="2"/>
  <c r="AX975" i="2" s="1"/>
  <c r="AJ975" i="2"/>
  <c r="AW975" i="2" s="1"/>
  <c r="AI975" i="2"/>
  <c r="AV975" i="2" s="1"/>
  <c r="AH975" i="2"/>
  <c r="AU975" i="2" s="1"/>
  <c r="AG975" i="2"/>
  <c r="AT975" i="2" s="1"/>
  <c r="AF975" i="2"/>
  <c r="AS975" i="2" s="1"/>
  <c r="AE975" i="2"/>
  <c r="AD975" i="2"/>
  <c r="AQ975" i="2" s="1"/>
  <c r="AA975" i="2"/>
  <c r="Z975" i="2"/>
  <c r="AP975" i="2" s="1"/>
  <c r="D975" i="2"/>
  <c r="A975" i="2"/>
  <c r="BC974" i="2"/>
  <c r="AO974" i="2"/>
  <c r="BB974" i="2" s="1"/>
  <c r="AN974" i="2"/>
  <c r="BA974" i="2" s="1"/>
  <c r="AM974" i="2"/>
  <c r="AZ974" i="2" s="1"/>
  <c r="AL974" i="2"/>
  <c r="AY974" i="2" s="1"/>
  <c r="AK974" i="2"/>
  <c r="AX974" i="2" s="1"/>
  <c r="AJ974" i="2"/>
  <c r="AW974" i="2" s="1"/>
  <c r="AI974" i="2"/>
  <c r="AV974" i="2" s="1"/>
  <c r="AH974" i="2"/>
  <c r="AU974" i="2" s="1"/>
  <c r="AG974" i="2"/>
  <c r="AT974" i="2" s="1"/>
  <c r="AF974" i="2"/>
  <c r="AS974" i="2" s="1"/>
  <c r="AE974" i="2"/>
  <c r="AR974" i="2" s="1"/>
  <c r="AD974" i="2"/>
  <c r="AQ974" i="2" s="1"/>
  <c r="AA974" i="2"/>
  <c r="Z974" i="2"/>
  <c r="AP974" i="2" s="1"/>
  <c r="D974" i="2"/>
  <c r="A974" i="2"/>
  <c r="BC973" i="2"/>
  <c r="AO973" i="2"/>
  <c r="BB973" i="2" s="1"/>
  <c r="AN973" i="2"/>
  <c r="BA973" i="2" s="1"/>
  <c r="AM973" i="2"/>
  <c r="AZ973" i="2" s="1"/>
  <c r="AL973" i="2"/>
  <c r="AY973" i="2" s="1"/>
  <c r="AK973" i="2"/>
  <c r="AX973" i="2" s="1"/>
  <c r="AJ973" i="2"/>
  <c r="AW973" i="2" s="1"/>
  <c r="AI973" i="2"/>
  <c r="AV973" i="2" s="1"/>
  <c r="AH973" i="2"/>
  <c r="AU973" i="2" s="1"/>
  <c r="AG973" i="2"/>
  <c r="AT973" i="2" s="1"/>
  <c r="AF973" i="2"/>
  <c r="AS973" i="2" s="1"/>
  <c r="AE973" i="2"/>
  <c r="AR973" i="2" s="1"/>
  <c r="AD973" i="2"/>
  <c r="AQ973" i="2" s="1"/>
  <c r="AA973" i="2"/>
  <c r="Z973" i="2"/>
  <c r="AP973" i="2" s="1"/>
  <c r="D973" i="2"/>
  <c r="A973" i="2"/>
  <c r="BC972" i="2"/>
  <c r="AO972" i="2"/>
  <c r="BB972" i="2" s="1"/>
  <c r="AN972" i="2"/>
  <c r="BA972" i="2" s="1"/>
  <c r="AM972" i="2"/>
  <c r="AZ972" i="2" s="1"/>
  <c r="AL972" i="2"/>
  <c r="AY972" i="2" s="1"/>
  <c r="AK972" i="2"/>
  <c r="AX972" i="2" s="1"/>
  <c r="AJ972" i="2"/>
  <c r="AW972" i="2" s="1"/>
  <c r="AI972" i="2"/>
  <c r="AV972" i="2" s="1"/>
  <c r="AH972" i="2"/>
  <c r="AU972" i="2" s="1"/>
  <c r="AG972" i="2"/>
  <c r="AT972" i="2" s="1"/>
  <c r="AF972" i="2"/>
  <c r="AS972" i="2" s="1"/>
  <c r="AE972" i="2"/>
  <c r="AR972" i="2" s="1"/>
  <c r="AD972" i="2"/>
  <c r="AQ972" i="2" s="1"/>
  <c r="AA972" i="2"/>
  <c r="Z972" i="2"/>
  <c r="AP972" i="2" s="1"/>
  <c r="D972" i="2"/>
  <c r="A972" i="2"/>
  <c r="BC971" i="2"/>
  <c r="AW971" i="2"/>
  <c r="AO971" i="2"/>
  <c r="BB971" i="2" s="1"/>
  <c r="AN971" i="2"/>
  <c r="BA971" i="2" s="1"/>
  <c r="AM971" i="2"/>
  <c r="AZ971" i="2" s="1"/>
  <c r="AL971" i="2"/>
  <c r="AY971" i="2" s="1"/>
  <c r="AK971" i="2"/>
  <c r="AX971" i="2" s="1"/>
  <c r="AJ971" i="2"/>
  <c r="AI971" i="2"/>
  <c r="AV971" i="2" s="1"/>
  <c r="AH971" i="2"/>
  <c r="AU971" i="2" s="1"/>
  <c r="AG971" i="2"/>
  <c r="AT971" i="2" s="1"/>
  <c r="AF971" i="2"/>
  <c r="AS971" i="2" s="1"/>
  <c r="AE971" i="2"/>
  <c r="AR971" i="2" s="1"/>
  <c r="AD971" i="2"/>
  <c r="AQ971" i="2" s="1"/>
  <c r="AA971" i="2"/>
  <c r="Z971" i="2"/>
  <c r="AP971" i="2" s="1"/>
  <c r="D971" i="2"/>
  <c r="A971" i="2"/>
  <c r="BC970" i="2"/>
  <c r="AO970" i="2"/>
  <c r="BB970" i="2" s="1"/>
  <c r="AN970" i="2"/>
  <c r="BA970" i="2" s="1"/>
  <c r="AM970" i="2"/>
  <c r="AZ970" i="2" s="1"/>
  <c r="AL970" i="2"/>
  <c r="AY970" i="2" s="1"/>
  <c r="AK970" i="2"/>
  <c r="AX970" i="2" s="1"/>
  <c r="AJ970" i="2"/>
  <c r="AW970" i="2" s="1"/>
  <c r="AI970" i="2"/>
  <c r="AV970" i="2" s="1"/>
  <c r="AH970" i="2"/>
  <c r="AU970" i="2" s="1"/>
  <c r="AG970" i="2"/>
  <c r="AT970" i="2" s="1"/>
  <c r="AF970" i="2"/>
  <c r="AS970" i="2" s="1"/>
  <c r="AE970" i="2"/>
  <c r="AR970" i="2" s="1"/>
  <c r="AD970" i="2"/>
  <c r="AQ970" i="2" s="1"/>
  <c r="AA970" i="2"/>
  <c r="Z970" i="2"/>
  <c r="AP970" i="2" s="1"/>
  <c r="D970" i="2"/>
  <c r="A970" i="2"/>
  <c r="BC969" i="2"/>
  <c r="AO969" i="2"/>
  <c r="BB969" i="2" s="1"/>
  <c r="AN969" i="2"/>
  <c r="BA969" i="2" s="1"/>
  <c r="AM969" i="2"/>
  <c r="AZ969" i="2" s="1"/>
  <c r="AL969" i="2"/>
  <c r="AY969" i="2" s="1"/>
  <c r="AK969" i="2"/>
  <c r="AX969" i="2" s="1"/>
  <c r="AJ969" i="2"/>
  <c r="AW969" i="2" s="1"/>
  <c r="AI969" i="2"/>
  <c r="AV969" i="2" s="1"/>
  <c r="AH969" i="2"/>
  <c r="AU969" i="2" s="1"/>
  <c r="AG969" i="2"/>
  <c r="AT969" i="2" s="1"/>
  <c r="AF969" i="2"/>
  <c r="AS969" i="2" s="1"/>
  <c r="AE969" i="2"/>
  <c r="AR969" i="2" s="1"/>
  <c r="AD969" i="2"/>
  <c r="AQ969" i="2" s="1"/>
  <c r="AA969" i="2"/>
  <c r="Z969" i="2"/>
  <c r="AP969" i="2" s="1"/>
  <c r="D969" i="2"/>
  <c r="A969" i="2"/>
  <c r="BC968" i="2"/>
  <c r="AO968" i="2"/>
  <c r="BB968" i="2" s="1"/>
  <c r="AN968" i="2"/>
  <c r="BA968" i="2" s="1"/>
  <c r="AM968" i="2"/>
  <c r="AZ968" i="2" s="1"/>
  <c r="AL968" i="2"/>
  <c r="AY968" i="2" s="1"/>
  <c r="AK968" i="2"/>
  <c r="AX968" i="2" s="1"/>
  <c r="AJ968" i="2"/>
  <c r="AW968" i="2" s="1"/>
  <c r="AI968" i="2"/>
  <c r="AV968" i="2" s="1"/>
  <c r="AH968" i="2"/>
  <c r="AU968" i="2" s="1"/>
  <c r="AG968" i="2"/>
  <c r="AT968" i="2" s="1"/>
  <c r="AF968" i="2"/>
  <c r="AS968" i="2" s="1"/>
  <c r="AE968" i="2"/>
  <c r="AR968" i="2" s="1"/>
  <c r="AD968" i="2"/>
  <c r="AQ968" i="2" s="1"/>
  <c r="AA968" i="2"/>
  <c r="Z968" i="2"/>
  <c r="AP968" i="2" s="1"/>
  <c r="D968" i="2"/>
  <c r="A968" i="2"/>
  <c r="BC967" i="2"/>
  <c r="AO967" i="2"/>
  <c r="BB967" i="2" s="1"/>
  <c r="AN967" i="2"/>
  <c r="BA967" i="2" s="1"/>
  <c r="AM967" i="2"/>
  <c r="AZ967" i="2" s="1"/>
  <c r="AL967" i="2"/>
  <c r="AY967" i="2" s="1"/>
  <c r="AK967" i="2"/>
  <c r="AX967" i="2" s="1"/>
  <c r="AJ967" i="2"/>
  <c r="AW967" i="2" s="1"/>
  <c r="AI967" i="2"/>
  <c r="AV967" i="2" s="1"/>
  <c r="AH967" i="2"/>
  <c r="AU967" i="2" s="1"/>
  <c r="AG967" i="2"/>
  <c r="AT967" i="2" s="1"/>
  <c r="AF967" i="2"/>
  <c r="AS967" i="2" s="1"/>
  <c r="AE967" i="2"/>
  <c r="AR967" i="2" s="1"/>
  <c r="AD967" i="2"/>
  <c r="AQ967" i="2" s="1"/>
  <c r="AA967" i="2"/>
  <c r="Z967" i="2"/>
  <c r="AP967" i="2" s="1"/>
  <c r="D967" i="2"/>
  <c r="A967" i="2"/>
  <c r="BC966" i="2"/>
  <c r="AO966" i="2"/>
  <c r="BB966" i="2" s="1"/>
  <c r="AN966" i="2"/>
  <c r="BA966" i="2" s="1"/>
  <c r="AM966" i="2"/>
  <c r="AZ966" i="2" s="1"/>
  <c r="AL966" i="2"/>
  <c r="AY966" i="2" s="1"/>
  <c r="AK966" i="2"/>
  <c r="AX966" i="2" s="1"/>
  <c r="AJ966" i="2"/>
  <c r="AW966" i="2" s="1"/>
  <c r="AI966" i="2"/>
  <c r="AV966" i="2" s="1"/>
  <c r="AH966" i="2"/>
  <c r="AU966" i="2" s="1"/>
  <c r="AG966" i="2"/>
  <c r="AT966" i="2" s="1"/>
  <c r="AF966" i="2"/>
  <c r="AS966" i="2" s="1"/>
  <c r="AE966" i="2"/>
  <c r="AR966" i="2" s="1"/>
  <c r="AD966" i="2"/>
  <c r="AQ966" i="2" s="1"/>
  <c r="AA966" i="2"/>
  <c r="Z966" i="2"/>
  <c r="AP966" i="2" s="1"/>
  <c r="D966" i="2"/>
  <c r="A966" i="2"/>
  <c r="BC965" i="2"/>
  <c r="AV965" i="2"/>
  <c r="AO965" i="2"/>
  <c r="BB965" i="2" s="1"/>
  <c r="AN965" i="2"/>
  <c r="BA965" i="2" s="1"/>
  <c r="AM965" i="2"/>
  <c r="AZ965" i="2" s="1"/>
  <c r="AL965" i="2"/>
  <c r="AY965" i="2" s="1"/>
  <c r="AK965" i="2"/>
  <c r="AX965" i="2" s="1"/>
  <c r="AJ965" i="2"/>
  <c r="AW965" i="2" s="1"/>
  <c r="AI965" i="2"/>
  <c r="AH965" i="2"/>
  <c r="AU965" i="2" s="1"/>
  <c r="AG965" i="2"/>
  <c r="AT965" i="2" s="1"/>
  <c r="AF965" i="2"/>
  <c r="AS965" i="2" s="1"/>
  <c r="AE965" i="2"/>
  <c r="AR965" i="2" s="1"/>
  <c r="AD965" i="2"/>
  <c r="AQ965" i="2" s="1"/>
  <c r="AA965" i="2"/>
  <c r="Z965" i="2"/>
  <c r="AP965" i="2" s="1"/>
  <c r="D965" i="2"/>
  <c r="A965" i="2"/>
  <c r="BC964" i="2"/>
  <c r="AO964" i="2"/>
  <c r="BB964" i="2" s="1"/>
  <c r="AN964" i="2"/>
  <c r="BA964" i="2" s="1"/>
  <c r="AM964" i="2"/>
  <c r="AZ964" i="2" s="1"/>
  <c r="AL964" i="2"/>
  <c r="AY964" i="2" s="1"/>
  <c r="AK964" i="2"/>
  <c r="AX964" i="2" s="1"/>
  <c r="AJ964" i="2"/>
  <c r="AW964" i="2" s="1"/>
  <c r="AI964" i="2"/>
  <c r="AV964" i="2" s="1"/>
  <c r="AH964" i="2"/>
  <c r="AU964" i="2" s="1"/>
  <c r="AG964" i="2"/>
  <c r="AT964" i="2" s="1"/>
  <c r="AF964" i="2"/>
  <c r="AS964" i="2" s="1"/>
  <c r="AE964" i="2"/>
  <c r="AR964" i="2" s="1"/>
  <c r="AD964" i="2"/>
  <c r="AQ964" i="2" s="1"/>
  <c r="AA964" i="2"/>
  <c r="Z964" i="2"/>
  <c r="AP964" i="2" s="1"/>
  <c r="D964" i="2"/>
  <c r="A964" i="2"/>
  <c r="BC963" i="2"/>
  <c r="AO963" i="2"/>
  <c r="BB963" i="2" s="1"/>
  <c r="AN963" i="2"/>
  <c r="BA963" i="2" s="1"/>
  <c r="AM963" i="2"/>
  <c r="AZ963" i="2" s="1"/>
  <c r="AL963" i="2"/>
  <c r="AY963" i="2" s="1"/>
  <c r="AK963" i="2"/>
  <c r="AX963" i="2" s="1"/>
  <c r="AJ963" i="2"/>
  <c r="AW963" i="2" s="1"/>
  <c r="AI963" i="2"/>
  <c r="AV963" i="2" s="1"/>
  <c r="AH963" i="2"/>
  <c r="AU963" i="2" s="1"/>
  <c r="AG963" i="2"/>
  <c r="AT963" i="2" s="1"/>
  <c r="AF963" i="2"/>
  <c r="AS963" i="2" s="1"/>
  <c r="AE963" i="2"/>
  <c r="AR963" i="2" s="1"/>
  <c r="AD963" i="2"/>
  <c r="AQ963" i="2" s="1"/>
  <c r="AA963" i="2"/>
  <c r="Z963" i="2"/>
  <c r="AP963" i="2" s="1"/>
  <c r="D963" i="2"/>
  <c r="A963" i="2"/>
  <c r="BC962" i="2"/>
  <c r="AO962" i="2"/>
  <c r="BB962" i="2" s="1"/>
  <c r="AN962" i="2"/>
  <c r="BA962" i="2" s="1"/>
  <c r="AM962" i="2"/>
  <c r="AZ962" i="2" s="1"/>
  <c r="AL962" i="2"/>
  <c r="AY962" i="2" s="1"/>
  <c r="AK962" i="2"/>
  <c r="AX962" i="2" s="1"/>
  <c r="AJ962" i="2"/>
  <c r="AW962" i="2" s="1"/>
  <c r="AI962" i="2"/>
  <c r="AV962" i="2" s="1"/>
  <c r="AH962" i="2"/>
  <c r="AU962" i="2" s="1"/>
  <c r="AG962" i="2"/>
  <c r="AT962" i="2" s="1"/>
  <c r="AF962" i="2"/>
  <c r="AS962" i="2" s="1"/>
  <c r="AE962" i="2"/>
  <c r="AR962" i="2" s="1"/>
  <c r="AD962" i="2"/>
  <c r="AQ962" i="2" s="1"/>
  <c r="AA962" i="2"/>
  <c r="Z962" i="2"/>
  <c r="AP962" i="2" s="1"/>
  <c r="D962" i="2"/>
  <c r="A962" i="2"/>
  <c r="BC961" i="2"/>
  <c r="AO961" i="2"/>
  <c r="BB961" i="2" s="1"/>
  <c r="AN961" i="2"/>
  <c r="BA961" i="2" s="1"/>
  <c r="AM961" i="2"/>
  <c r="AZ961" i="2" s="1"/>
  <c r="AL961" i="2"/>
  <c r="AY961" i="2" s="1"/>
  <c r="AK961" i="2"/>
  <c r="AX961" i="2" s="1"/>
  <c r="AJ961" i="2"/>
  <c r="AW961" i="2" s="1"/>
  <c r="AI961" i="2"/>
  <c r="AV961" i="2" s="1"/>
  <c r="AH961" i="2"/>
  <c r="AU961" i="2" s="1"/>
  <c r="AG961" i="2"/>
  <c r="AT961" i="2" s="1"/>
  <c r="AF961" i="2"/>
  <c r="AS961" i="2" s="1"/>
  <c r="AE961" i="2"/>
  <c r="AR961" i="2" s="1"/>
  <c r="AD961" i="2"/>
  <c r="AQ961" i="2" s="1"/>
  <c r="AA961" i="2"/>
  <c r="Z961" i="2"/>
  <c r="AP961" i="2" s="1"/>
  <c r="D961" i="2"/>
  <c r="A961" i="2"/>
  <c r="BC960" i="2"/>
  <c r="AO960" i="2"/>
  <c r="BB960" i="2" s="1"/>
  <c r="AN960" i="2"/>
  <c r="BA960" i="2" s="1"/>
  <c r="AM960" i="2"/>
  <c r="AZ960" i="2" s="1"/>
  <c r="AL960" i="2"/>
  <c r="AY960" i="2" s="1"/>
  <c r="AK960" i="2"/>
  <c r="AX960" i="2" s="1"/>
  <c r="AJ960" i="2"/>
  <c r="AW960" i="2" s="1"/>
  <c r="AI960" i="2"/>
  <c r="AV960" i="2" s="1"/>
  <c r="AH960" i="2"/>
  <c r="AU960" i="2" s="1"/>
  <c r="AG960" i="2"/>
  <c r="AT960" i="2" s="1"/>
  <c r="AF960" i="2"/>
  <c r="AS960" i="2" s="1"/>
  <c r="AE960" i="2"/>
  <c r="AR960" i="2" s="1"/>
  <c r="AD960" i="2"/>
  <c r="AQ960" i="2" s="1"/>
  <c r="AA960" i="2"/>
  <c r="Z960" i="2"/>
  <c r="AP960" i="2" s="1"/>
  <c r="D960" i="2"/>
  <c r="A960" i="2"/>
  <c r="BC959" i="2"/>
  <c r="AO959" i="2"/>
  <c r="BB959" i="2" s="1"/>
  <c r="AN959" i="2"/>
  <c r="BA959" i="2" s="1"/>
  <c r="AM959" i="2"/>
  <c r="AZ959" i="2" s="1"/>
  <c r="AL959" i="2"/>
  <c r="AY959" i="2" s="1"/>
  <c r="AK959" i="2"/>
  <c r="AX959" i="2" s="1"/>
  <c r="AJ959" i="2"/>
  <c r="AW959" i="2" s="1"/>
  <c r="AI959" i="2"/>
  <c r="AV959" i="2" s="1"/>
  <c r="AH959" i="2"/>
  <c r="AU959" i="2" s="1"/>
  <c r="AG959" i="2"/>
  <c r="AT959" i="2" s="1"/>
  <c r="AF959" i="2"/>
  <c r="AS959" i="2" s="1"/>
  <c r="AE959" i="2"/>
  <c r="AR959" i="2" s="1"/>
  <c r="AD959" i="2"/>
  <c r="AQ959" i="2" s="1"/>
  <c r="AA959" i="2"/>
  <c r="Z959" i="2"/>
  <c r="AP959" i="2" s="1"/>
  <c r="D959" i="2"/>
  <c r="A959" i="2"/>
  <c r="BC958" i="2"/>
  <c r="AS958" i="2"/>
  <c r="AO958" i="2"/>
  <c r="BB958" i="2" s="1"/>
  <c r="AN958" i="2"/>
  <c r="BA958" i="2" s="1"/>
  <c r="AM958" i="2"/>
  <c r="AZ958" i="2" s="1"/>
  <c r="AL958" i="2"/>
  <c r="AY958" i="2" s="1"/>
  <c r="AK958" i="2"/>
  <c r="AX958" i="2" s="1"/>
  <c r="AJ958" i="2"/>
  <c r="AW958" i="2" s="1"/>
  <c r="AI958" i="2"/>
  <c r="AV958" i="2" s="1"/>
  <c r="AH958" i="2"/>
  <c r="AU958" i="2" s="1"/>
  <c r="AG958" i="2"/>
  <c r="AT958" i="2" s="1"/>
  <c r="AF958" i="2"/>
  <c r="AE958" i="2"/>
  <c r="AR958" i="2" s="1"/>
  <c r="AD958" i="2"/>
  <c r="AQ958" i="2" s="1"/>
  <c r="AA958" i="2"/>
  <c r="Z958" i="2"/>
  <c r="AP958" i="2" s="1"/>
  <c r="D958" i="2"/>
  <c r="A958" i="2"/>
  <c r="BC957" i="2"/>
  <c r="AO957" i="2"/>
  <c r="BB957" i="2" s="1"/>
  <c r="AN957" i="2"/>
  <c r="BA957" i="2" s="1"/>
  <c r="AM957" i="2"/>
  <c r="AZ957" i="2" s="1"/>
  <c r="AL957" i="2"/>
  <c r="AY957" i="2" s="1"/>
  <c r="AK957" i="2"/>
  <c r="AX957" i="2" s="1"/>
  <c r="AJ957" i="2"/>
  <c r="AW957" i="2" s="1"/>
  <c r="AI957" i="2"/>
  <c r="AV957" i="2" s="1"/>
  <c r="AH957" i="2"/>
  <c r="AU957" i="2" s="1"/>
  <c r="AG957" i="2"/>
  <c r="AT957" i="2" s="1"/>
  <c r="AF957" i="2"/>
  <c r="AS957" i="2" s="1"/>
  <c r="AE957" i="2"/>
  <c r="AR957" i="2" s="1"/>
  <c r="AD957" i="2"/>
  <c r="AQ957" i="2" s="1"/>
  <c r="AA957" i="2"/>
  <c r="Z957" i="2"/>
  <c r="AP957" i="2" s="1"/>
  <c r="D957" i="2"/>
  <c r="A957" i="2"/>
  <c r="BC956" i="2"/>
  <c r="AO956" i="2"/>
  <c r="BB956" i="2" s="1"/>
  <c r="AN956" i="2"/>
  <c r="BA956" i="2" s="1"/>
  <c r="AM956" i="2"/>
  <c r="AZ956" i="2" s="1"/>
  <c r="AL956" i="2"/>
  <c r="AY956" i="2" s="1"/>
  <c r="AK956" i="2"/>
  <c r="AX956" i="2" s="1"/>
  <c r="AJ956" i="2"/>
  <c r="AW956" i="2" s="1"/>
  <c r="AI956" i="2"/>
  <c r="AV956" i="2" s="1"/>
  <c r="AH956" i="2"/>
  <c r="AU956" i="2" s="1"/>
  <c r="AG956" i="2"/>
  <c r="AT956" i="2" s="1"/>
  <c r="AF956" i="2"/>
  <c r="AS956" i="2" s="1"/>
  <c r="AE956" i="2"/>
  <c r="AR956" i="2" s="1"/>
  <c r="AD956" i="2"/>
  <c r="AQ956" i="2" s="1"/>
  <c r="AA956" i="2"/>
  <c r="Z956" i="2"/>
  <c r="AP956" i="2" s="1"/>
  <c r="D956" i="2"/>
  <c r="A956" i="2"/>
  <c r="BC955" i="2"/>
  <c r="AO955" i="2"/>
  <c r="BB955" i="2" s="1"/>
  <c r="AN955" i="2"/>
  <c r="BA955" i="2" s="1"/>
  <c r="AM955" i="2"/>
  <c r="AZ955" i="2" s="1"/>
  <c r="AL955" i="2"/>
  <c r="AY955" i="2" s="1"/>
  <c r="AK955" i="2"/>
  <c r="AX955" i="2" s="1"/>
  <c r="AJ955" i="2"/>
  <c r="AW955" i="2" s="1"/>
  <c r="AI955" i="2"/>
  <c r="AV955" i="2" s="1"/>
  <c r="AH955" i="2"/>
  <c r="AU955" i="2" s="1"/>
  <c r="AG955" i="2"/>
  <c r="AT955" i="2" s="1"/>
  <c r="AF955" i="2"/>
  <c r="AS955" i="2" s="1"/>
  <c r="AE955" i="2"/>
  <c r="AR955" i="2" s="1"/>
  <c r="AD955" i="2"/>
  <c r="AQ955" i="2" s="1"/>
  <c r="AA955" i="2"/>
  <c r="Z955" i="2"/>
  <c r="AP955" i="2" s="1"/>
  <c r="D955" i="2"/>
  <c r="A955" i="2"/>
  <c r="BC954" i="2"/>
  <c r="AW954" i="2"/>
  <c r="AS954" i="2"/>
  <c r="AO954" i="2"/>
  <c r="BB954" i="2" s="1"/>
  <c r="AN954" i="2"/>
  <c r="BA954" i="2" s="1"/>
  <c r="AM954" i="2"/>
  <c r="AZ954" i="2" s="1"/>
  <c r="AL954" i="2"/>
  <c r="AY954" i="2" s="1"/>
  <c r="AK954" i="2"/>
  <c r="AX954" i="2" s="1"/>
  <c r="AJ954" i="2"/>
  <c r="AI954" i="2"/>
  <c r="AV954" i="2" s="1"/>
  <c r="AH954" i="2"/>
  <c r="AU954" i="2" s="1"/>
  <c r="AG954" i="2"/>
  <c r="AT954" i="2" s="1"/>
  <c r="AF954" i="2"/>
  <c r="AE954" i="2"/>
  <c r="AR954" i="2" s="1"/>
  <c r="AD954" i="2"/>
  <c r="AQ954" i="2" s="1"/>
  <c r="AA954" i="2"/>
  <c r="Z954" i="2"/>
  <c r="AP954" i="2" s="1"/>
  <c r="D954" i="2"/>
  <c r="A954" i="2"/>
  <c r="BC953" i="2"/>
  <c r="AO953" i="2"/>
  <c r="BB953" i="2" s="1"/>
  <c r="AN953" i="2"/>
  <c r="BA953" i="2" s="1"/>
  <c r="AM953" i="2"/>
  <c r="AZ953" i="2" s="1"/>
  <c r="AL953" i="2"/>
  <c r="AY953" i="2" s="1"/>
  <c r="AK953" i="2"/>
  <c r="AX953" i="2" s="1"/>
  <c r="AJ953" i="2"/>
  <c r="AW953" i="2" s="1"/>
  <c r="AI953" i="2"/>
  <c r="AV953" i="2" s="1"/>
  <c r="AH953" i="2"/>
  <c r="AU953" i="2" s="1"/>
  <c r="AG953" i="2"/>
  <c r="AT953" i="2" s="1"/>
  <c r="AF953" i="2"/>
  <c r="AS953" i="2" s="1"/>
  <c r="AE953" i="2"/>
  <c r="AR953" i="2" s="1"/>
  <c r="AD953" i="2"/>
  <c r="AQ953" i="2" s="1"/>
  <c r="AA953" i="2"/>
  <c r="Z953" i="2"/>
  <c r="AP953" i="2" s="1"/>
  <c r="D953" i="2"/>
  <c r="A953" i="2"/>
  <c r="BC952" i="2"/>
  <c r="AO952" i="2"/>
  <c r="BB952" i="2" s="1"/>
  <c r="AN952" i="2"/>
  <c r="BA952" i="2" s="1"/>
  <c r="AM952" i="2"/>
  <c r="AZ952" i="2" s="1"/>
  <c r="AL952" i="2"/>
  <c r="AY952" i="2" s="1"/>
  <c r="AK952" i="2"/>
  <c r="AX952" i="2" s="1"/>
  <c r="AJ952" i="2"/>
  <c r="AW952" i="2" s="1"/>
  <c r="AI952" i="2"/>
  <c r="AV952" i="2" s="1"/>
  <c r="AH952" i="2"/>
  <c r="AU952" i="2" s="1"/>
  <c r="AG952" i="2"/>
  <c r="AT952" i="2" s="1"/>
  <c r="AF952" i="2"/>
  <c r="AS952" i="2" s="1"/>
  <c r="AE952" i="2"/>
  <c r="AR952" i="2" s="1"/>
  <c r="AD952" i="2"/>
  <c r="AQ952" i="2" s="1"/>
  <c r="AA952" i="2"/>
  <c r="Z952" i="2"/>
  <c r="AP952" i="2" s="1"/>
  <c r="D952" i="2"/>
  <c r="A952" i="2"/>
  <c r="BC951" i="2"/>
  <c r="AO951" i="2"/>
  <c r="BB951" i="2" s="1"/>
  <c r="AN951" i="2"/>
  <c r="BA951" i="2" s="1"/>
  <c r="AM951" i="2"/>
  <c r="AZ951" i="2" s="1"/>
  <c r="AL951" i="2"/>
  <c r="AY951" i="2" s="1"/>
  <c r="AK951" i="2"/>
  <c r="AX951" i="2" s="1"/>
  <c r="AJ951" i="2"/>
  <c r="AW951" i="2" s="1"/>
  <c r="AI951" i="2"/>
  <c r="AV951" i="2" s="1"/>
  <c r="AH951" i="2"/>
  <c r="AU951" i="2" s="1"/>
  <c r="AG951" i="2"/>
  <c r="AT951" i="2" s="1"/>
  <c r="AF951" i="2"/>
  <c r="AS951" i="2" s="1"/>
  <c r="AE951" i="2"/>
  <c r="AR951" i="2" s="1"/>
  <c r="AD951" i="2"/>
  <c r="AQ951" i="2" s="1"/>
  <c r="AA951" i="2"/>
  <c r="Z951" i="2"/>
  <c r="AP951" i="2" s="1"/>
  <c r="D951" i="2"/>
  <c r="A951" i="2"/>
  <c r="BC950" i="2"/>
  <c r="AO950" i="2"/>
  <c r="BB950" i="2" s="1"/>
  <c r="AN950" i="2"/>
  <c r="BA950" i="2" s="1"/>
  <c r="AM950" i="2"/>
  <c r="AZ950" i="2" s="1"/>
  <c r="AL950" i="2"/>
  <c r="AY950" i="2" s="1"/>
  <c r="AK950" i="2"/>
  <c r="AX950" i="2" s="1"/>
  <c r="AJ950" i="2"/>
  <c r="AW950" i="2" s="1"/>
  <c r="AI950" i="2"/>
  <c r="AV950" i="2" s="1"/>
  <c r="AH950" i="2"/>
  <c r="AU950" i="2" s="1"/>
  <c r="AG950" i="2"/>
  <c r="AT950" i="2" s="1"/>
  <c r="AF950" i="2"/>
  <c r="AS950" i="2" s="1"/>
  <c r="AE950" i="2"/>
  <c r="AR950" i="2" s="1"/>
  <c r="AD950" i="2"/>
  <c r="AQ950" i="2" s="1"/>
  <c r="AA950" i="2"/>
  <c r="Z950" i="2"/>
  <c r="AP950" i="2" s="1"/>
  <c r="D950" i="2"/>
  <c r="A950" i="2"/>
  <c r="BC949" i="2"/>
  <c r="AO949" i="2"/>
  <c r="BB949" i="2" s="1"/>
  <c r="AN949" i="2"/>
  <c r="BA949" i="2" s="1"/>
  <c r="AM949" i="2"/>
  <c r="AZ949" i="2" s="1"/>
  <c r="AL949" i="2"/>
  <c r="AY949" i="2" s="1"/>
  <c r="AK949" i="2"/>
  <c r="AX949" i="2" s="1"/>
  <c r="AJ949" i="2"/>
  <c r="AW949" i="2" s="1"/>
  <c r="AI949" i="2"/>
  <c r="AV949" i="2" s="1"/>
  <c r="AH949" i="2"/>
  <c r="AU949" i="2" s="1"/>
  <c r="AG949" i="2"/>
  <c r="AT949" i="2" s="1"/>
  <c r="AF949" i="2"/>
  <c r="AS949" i="2" s="1"/>
  <c r="AE949" i="2"/>
  <c r="AR949" i="2" s="1"/>
  <c r="AD949" i="2"/>
  <c r="AQ949" i="2" s="1"/>
  <c r="AA949" i="2"/>
  <c r="Z949" i="2"/>
  <c r="AP949" i="2" s="1"/>
  <c r="D949" i="2"/>
  <c r="A949" i="2"/>
  <c r="BC948" i="2"/>
  <c r="BA948" i="2"/>
  <c r="AO948" i="2"/>
  <c r="BB948" i="2" s="1"/>
  <c r="AN948" i="2"/>
  <c r="AM948" i="2"/>
  <c r="AZ948" i="2" s="1"/>
  <c r="AL948" i="2"/>
  <c r="AY948" i="2" s="1"/>
  <c r="AK948" i="2"/>
  <c r="AX948" i="2" s="1"/>
  <c r="AJ948" i="2"/>
  <c r="AW948" i="2" s="1"/>
  <c r="AI948" i="2"/>
  <c r="AV948" i="2" s="1"/>
  <c r="AH948" i="2"/>
  <c r="AU948" i="2" s="1"/>
  <c r="AG948" i="2"/>
  <c r="AT948" i="2" s="1"/>
  <c r="AF948" i="2"/>
  <c r="AS948" i="2" s="1"/>
  <c r="AE948" i="2"/>
  <c r="AR948" i="2" s="1"/>
  <c r="AD948" i="2"/>
  <c r="AQ948" i="2" s="1"/>
  <c r="AA948" i="2"/>
  <c r="Z948" i="2"/>
  <c r="AP948" i="2" s="1"/>
  <c r="D948" i="2"/>
  <c r="A948" i="2"/>
  <c r="BC947" i="2"/>
  <c r="AO947" i="2"/>
  <c r="BB947" i="2" s="1"/>
  <c r="AN947" i="2"/>
  <c r="BA947" i="2" s="1"/>
  <c r="AM947" i="2"/>
  <c r="AZ947" i="2" s="1"/>
  <c r="AL947" i="2"/>
  <c r="AY947" i="2" s="1"/>
  <c r="AK947" i="2"/>
  <c r="AX947" i="2" s="1"/>
  <c r="AJ947" i="2"/>
  <c r="AW947" i="2" s="1"/>
  <c r="AI947" i="2"/>
  <c r="AV947" i="2" s="1"/>
  <c r="AH947" i="2"/>
  <c r="AU947" i="2" s="1"/>
  <c r="AG947" i="2"/>
  <c r="AT947" i="2" s="1"/>
  <c r="AF947" i="2"/>
  <c r="AS947" i="2" s="1"/>
  <c r="AE947" i="2"/>
  <c r="AR947" i="2" s="1"/>
  <c r="AD947" i="2"/>
  <c r="AQ947" i="2" s="1"/>
  <c r="AA947" i="2"/>
  <c r="Z947" i="2"/>
  <c r="AP947" i="2" s="1"/>
  <c r="D947" i="2"/>
  <c r="A947" i="2"/>
  <c r="BC946" i="2"/>
  <c r="AP946" i="2"/>
  <c r="AO946" i="2"/>
  <c r="BB946" i="2" s="1"/>
  <c r="AN946" i="2"/>
  <c r="BA946" i="2" s="1"/>
  <c r="AM946" i="2"/>
  <c r="AZ946" i="2" s="1"/>
  <c r="AL946" i="2"/>
  <c r="AY946" i="2" s="1"/>
  <c r="AK946" i="2"/>
  <c r="AX946" i="2" s="1"/>
  <c r="AJ946" i="2"/>
  <c r="AW946" i="2" s="1"/>
  <c r="AI946" i="2"/>
  <c r="AV946" i="2" s="1"/>
  <c r="AH946" i="2"/>
  <c r="AU946" i="2" s="1"/>
  <c r="AG946" i="2"/>
  <c r="AT946" i="2" s="1"/>
  <c r="AF946" i="2"/>
  <c r="AS946" i="2" s="1"/>
  <c r="AE946" i="2"/>
  <c r="AR946" i="2" s="1"/>
  <c r="AD946" i="2"/>
  <c r="AQ946" i="2" s="1"/>
  <c r="AA946" i="2"/>
  <c r="Z946" i="2"/>
  <c r="D946" i="2"/>
  <c r="A946" i="2"/>
  <c r="BC945" i="2"/>
  <c r="AO945" i="2"/>
  <c r="BB945" i="2" s="1"/>
  <c r="AN945" i="2"/>
  <c r="BA945" i="2" s="1"/>
  <c r="AM945" i="2"/>
  <c r="AZ945" i="2" s="1"/>
  <c r="AL945" i="2"/>
  <c r="AY945" i="2" s="1"/>
  <c r="AK945" i="2"/>
  <c r="AX945" i="2" s="1"/>
  <c r="AJ945" i="2"/>
  <c r="AW945" i="2" s="1"/>
  <c r="AI945" i="2"/>
  <c r="AV945" i="2" s="1"/>
  <c r="AH945" i="2"/>
  <c r="AU945" i="2" s="1"/>
  <c r="AG945" i="2"/>
  <c r="AT945" i="2" s="1"/>
  <c r="AF945" i="2"/>
  <c r="AS945" i="2" s="1"/>
  <c r="AE945" i="2"/>
  <c r="AR945" i="2" s="1"/>
  <c r="AD945" i="2"/>
  <c r="AQ945" i="2" s="1"/>
  <c r="AA945" i="2"/>
  <c r="Z945" i="2"/>
  <c r="AP945" i="2" s="1"/>
  <c r="D945" i="2"/>
  <c r="A945" i="2"/>
  <c r="BC944" i="2"/>
  <c r="AW944" i="2"/>
  <c r="AP944" i="2"/>
  <c r="AO944" i="2"/>
  <c r="BB944" i="2" s="1"/>
  <c r="AN944" i="2"/>
  <c r="BA944" i="2" s="1"/>
  <c r="AM944" i="2"/>
  <c r="AZ944" i="2" s="1"/>
  <c r="AL944" i="2"/>
  <c r="AY944" i="2" s="1"/>
  <c r="AK944" i="2"/>
  <c r="AX944" i="2" s="1"/>
  <c r="AJ944" i="2"/>
  <c r="AI944" i="2"/>
  <c r="AV944" i="2" s="1"/>
  <c r="AH944" i="2"/>
  <c r="AU944" i="2" s="1"/>
  <c r="AG944" i="2"/>
  <c r="AT944" i="2" s="1"/>
  <c r="AF944" i="2"/>
  <c r="AS944" i="2" s="1"/>
  <c r="AE944" i="2"/>
  <c r="AR944" i="2" s="1"/>
  <c r="AD944" i="2"/>
  <c r="AQ944" i="2" s="1"/>
  <c r="AA944" i="2"/>
  <c r="Z944" i="2"/>
  <c r="D944" i="2"/>
  <c r="A944" i="2"/>
  <c r="BC943" i="2"/>
  <c r="AO943" i="2"/>
  <c r="BB943" i="2" s="1"/>
  <c r="AN943" i="2"/>
  <c r="BA943" i="2" s="1"/>
  <c r="AM943" i="2"/>
  <c r="AZ943" i="2" s="1"/>
  <c r="AL943" i="2"/>
  <c r="AY943" i="2" s="1"/>
  <c r="AK943" i="2"/>
  <c r="AX943" i="2" s="1"/>
  <c r="AJ943" i="2"/>
  <c r="AW943" i="2" s="1"/>
  <c r="AI943" i="2"/>
  <c r="AV943" i="2" s="1"/>
  <c r="AH943" i="2"/>
  <c r="AU943" i="2" s="1"/>
  <c r="AG943" i="2"/>
  <c r="AT943" i="2" s="1"/>
  <c r="AF943" i="2"/>
  <c r="AS943" i="2" s="1"/>
  <c r="AE943" i="2"/>
  <c r="AR943" i="2" s="1"/>
  <c r="AD943" i="2"/>
  <c r="AQ943" i="2" s="1"/>
  <c r="AA943" i="2"/>
  <c r="Z943" i="2"/>
  <c r="AP943" i="2" s="1"/>
  <c r="D943" i="2"/>
  <c r="A943" i="2"/>
  <c r="BC942" i="2"/>
  <c r="AS942" i="2"/>
  <c r="AO942" i="2"/>
  <c r="BB942" i="2" s="1"/>
  <c r="AN942" i="2"/>
  <c r="BA942" i="2" s="1"/>
  <c r="AM942" i="2"/>
  <c r="AZ942" i="2" s="1"/>
  <c r="AL942" i="2"/>
  <c r="AY942" i="2" s="1"/>
  <c r="AK942" i="2"/>
  <c r="AX942" i="2" s="1"/>
  <c r="AJ942" i="2"/>
  <c r="AW942" i="2" s="1"/>
  <c r="AI942" i="2"/>
  <c r="AV942" i="2" s="1"/>
  <c r="AH942" i="2"/>
  <c r="AU942" i="2" s="1"/>
  <c r="AG942" i="2"/>
  <c r="AT942" i="2" s="1"/>
  <c r="AF942" i="2"/>
  <c r="AE942" i="2"/>
  <c r="AR942" i="2" s="1"/>
  <c r="AD942" i="2"/>
  <c r="AQ942" i="2" s="1"/>
  <c r="AA942" i="2"/>
  <c r="Z942" i="2"/>
  <c r="AP942" i="2" s="1"/>
  <c r="D942" i="2"/>
  <c r="A942" i="2"/>
  <c r="BC941" i="2"/>
  <c r="AO941" i="2"/>
  <c r="BB941" i="2" s="1"/>
  <c r="AN941" i="2"/>
  <c r="BA941" i="2" s="1"/>
  <c r="AM941" i="2"/>
  <c r="AZ941" i="2" s="1"/>
  <c r="AL941" i="2"/>
  <c r="AY941" i="2" s="1"/>
  <c r="AK941" i="2"/>
  <c r="AX941" i="2" s="1"/>
  <c r="AJ941" i="2"/>
  <c r="AW941" i="2" s="1"/>
  <c r="AI941" i="2"/>
  <c r="AV941" i="2" s="1"/>
  <c r="AH941" i="2"/>
  <c r="AU941" i="2" s="1"/>
  <c r="AG941" i="2"/>
  <c r="AT941" i="2" s="1"/>
  <c r="AF941" i="2"/>
  <c r="AS941" i="2" s="1"/>
  <c r="AE941" i="2"/>
  <c r="AR941" i="2" s="1"/>
  <c r="AD941" i="2"/>
  <c r="AQ941" i="2" s="1"/>
  <c r="AA941" i="2"/>
  <c r="Z941" i="2"/>
  <c r="AP941" i="2" s="1"/>
  <c r="D941" i="2"/>
  <c r="A941" i="2"/>
  <c r="BC940" i="2"/>
  <c r="AO940" i="2"/>
  <c r="BB940" i="2" s="1"/>
  <c r="AN940" i="2"/>
  <c r="BA940" i="2" s="1"/>
  <c r="AM940" i="2"/>
  <c r="AZ940" i="2" s="1"/>
  <c r="AL940" i="2"/>
  <c r="AY940" i="2" s="1"/>
  <c r="AK940" i="2"/>
  <c r="AX940" i="2" s="1"/>
  <c r="AJ940" i="2"/>
  <c r="AW940" i="2" s="1"/>
  <c r="AI940" i="2"/>
  <c r="AV940" i="2" s="1"/>
  <c r="AH940" i="2"/>
  <c r="AU940" i="2" s="1"/>
  <c r="AG940" i="2"/>
  <c r="AT940" i="2" s="1"/>
  <c r="AF940" i="2"/>
  <c r="AS940" i="2" s="1"/>
  <c r="AE940" i="2"/>
  <c r="AR940" i="2" s="1"/>
  <c r="AD940" i="2"/>
  <c r="AQ940" i="2" s="1"/>
  <c r="AA940" i="2"/>
  <c r="Z940" i="2"/>
  <c r="AP940" i="2" s="1"/>
  <c r="D940" i="2"/>
  <c r="A940" i="2"/>
  <c r="BC939" i="2"/>
  <c r="AW939" i="2"/>
  <c r="AO939" i="2"/>
  <c r="BB939" i="2" s="1"/>
  <c r="AN939" i="2"/>
  <c r="BA939" i="2" s="1"/>
  <c r="AM939" i="2"/>
  <c r="AZ939" i="2" s="1"/>
  <c r="AL939" i="2"/>
  <c r="AY939" i="2" s="1"/>
  <c r="AK939" i="2"/>
  <c r="AX939" i="2" s="1"/>
  <c r="AJ939" i="2"/>
  <c r="AI939" i="2"/>
  <c r="AV939" i="2" s="1"/>
  <c r="AH939" i="2"/>
  <c r="AU939" i="2" s="1"/>
  <c r="AG939" i="2"/>
  <c r="AT939" i="2" s="1"/>
  <c r="AF939" i="2"/>
  <c r="AS939" i="2" s="1"/>
  <c r="AE939" i="2"/>
  <c r="AR939" i="2" s="1"/>
  <c r="AD939" i="2"/>
  <c r="AQ939" i="2" s="1"/>
  <c r="AA939" i="2"/>
  <c r="Z939" i="2"/>
  <c r="AP939" i="2" s="1"/>
  <c r="D939" i="2"/>
  <c r="A939" i="2"/>
  <c r="BC938" i="2"/>
  <c r="AO938" i="2"/>
  <c r="BB938" i="2" s="1"/>
  <c r="AN938" i="2"/>
  <c r="BA938" i="2" s="1"/>
  <c r="AM938" i="2"/>
  <c r="AZ938" i="2" s="1"/>
  <c r="AL938" i="2"/>
  <c r="AY938" i="2" s="1"/>
  <c r="AK938" i="2"/>
  <c r="AX938" i="2" s="1"/>
  <c r="AJ938" i="2"/>
  <c r="AW938" i="2" s="1"/>
  <c r="AI938" i="2"/>
  <c r="AV938" i="2" s="1"/>
  <c r="AH938" i="2"/>
  <c r="AU938" i="2" s="1"/>
  <c r="AG938" i="2"/>
  <c r="AT938" i="2" s="1"/>
  <c r="AF938" i="2"/>
  <c r="AS938" i="2" s="1"/>
  <c r="AE938" i="2"/>
  <c r="AR938" i="2" s="1"/>
  <c r="AD938" i="2"/>
  <c r="AQ938" i="2" s="1"/>
  <c r="AA938" i="2"/>
  <c r="Z938" i="2"/>
  <c r="AP938" i="2" s="1"/>
  <c r="D938" i="2"/>
  <c r="A938" i="2"/>
  <c r="BC937" i="2"/>
  <c r="AO937" i="2"/>
  <c r="BB937" i="2" s="1"/>
  <c r="AN937" i="2"/>
  <c r="BA937" i="2" s="1"/>
  <c r="AM937" i="2"/>
  <c r="AZ937" i="2" s="1"/>
  <c r="AL937" i="2"/>
  <c r="AY937" i="2" s="1"/>
  <c r="AK937" i="2"/>
  <c r="AX937" i="2" s="1"/>
  <c r="AJ937" i="2"/>
  <c r="AW937" i="2" s="1"/>
  <c r="AI937" i="2"/>
  <c r="AV937" i="2" s="1"/>
  <c r="AH937" i="2"/>
  <c r="AU937" i="2" s="1"/>
  <c r="AG937" i="2"/>
  <c r="AT937" i="2" s="1"/>
  <c r="AF937" i="2"/>
  <c r="AS937" i="2" s="1"/>
  <c r="AE937" i="2"/>
  <c r="AR937" i="2" s="1"/>
  <c r="AD937" i="2"/>
  <c r="AQ937" i="2" s="1"/>
  <c r="AA937" i="2"/>
  <c r="Z937" i="2"/>
  <c r="AP937" i="2" s="1"/>
  <c r="D937" i="2"/>
  <c r="A937" i="2"/>
  <c r="BC936" i="2"/>
  <c r="BA936" i="2"/>
  <c r="AO936" i="2"/>
  <c r="BB936" i="2" s="1"/>
  <c r="AN936" i="2"/>
  <c r="AM936" i="2"/>
  <c r="AZ936" i="2" s="1"/>
  <c r="AL936" i="2"/>
  <c r="AY936" i="2" s="1"/>
  <c r="AK936" i="2"/>
  <c r="AX936" i="2" s="1"/>
  <c r="AJ936" i="2"/>
  <c r="AW936" i="2" s="1"/>
  <c r="AI936" i="2"/>
  <c r="AV936" i="2" s="1"/>
  <c r="AH936" i="2"/>
  <c r="AU936" i="2" s="1"/>
  <c r="AG936" i="2"/>
  <c r="AT936" i="2" s="1"/>
  <c r="AF936" i="2"/>
  <c r="AS936" i="2" s="1"/>
  <c r="AE936" i="2"/>
  <c r="AR936" i="2" s="1"/>
  <c r="AD936" i="2"/>
  <c r="AQ936" i="2" s="1"/>
  <c r="AA936" i="2"/>
  <c r="Z936" i="2"/>
  <c r="AP936" i="2" s="1"/>
  <c r="D936" i="2"/>
  <c r="A936" i="2"/>
  <c r="BC935" i="2"/>
  <c r="AO935" i="2"/>
  <c r="BB935" i="2" s="1"/>
  <c r="AN935" i="2"/>
  <c r="BA935" i="2" s="1"/>
  <c r="AM935" i="2"/>
  <c r="AZ935" i="2" s="1"/>
  <c r="AL935" i="2"/>
  <c r="AY935" i="2" s="1"/>
  <c r="AK935" i="2"/>
  <c r="AX935" i="2" s="1"/>
  <c r="AJ935" i="2"/>
  <c r="AW935" i="2" s="1"/>
  <c r="AI935" i="2"/>
  <c r="AV935" i="2" s="1"/>
  <c r="AH935" i="2"/>
  <c r="AU935" i="2" s="1"/>
  <c r="AG935" i="2"/>
  <c r="AT935" i="2" s="1"/>
  <c r="AF935" i="2"/>
  <c r="AS935" i="2" s="1"/>
  <c r="AE935" i="2"/>
  <c r="AR935" i="2" s="1"/>
  <c r="AD935" i="2"/>
  <c r="AQ935" i="2" s="1"/>
  <c r="AA935" i="2"/>
  <c r="Z935" i="2"/>
  <c r="AP935" i="2" s="1"/>
  <c r="D935" i="2"/>
  <c r="A935" i="2"/>
  <c r="BC934" i="2"/>
  <c r="AO934" i="2"/>
  <c r="BB934" i="2" s="1"/>
  <c r="AN934" i="2"/>
  <c r="BA934" i="2" s="1"/>
  <c r="AM934" i="2"/>
  <c r="AZ934" i="2" s="1"/>
  <c r="AL934" i="2"/>
  <c r="AY934" i="2" s="1"/>
  <c r="AK934" i="2"/>
  <c r="AX934" i="2" s="1"/>
  <c r="AJ934" i="2"/>
  <c r="AW934" i="2" s="1"/>
  <c r="AI934" i="2"/>
  <c r="AV934" i="2" s="1"/>
  <c r="AH934" i="2"/>
  <c r="AU934" i="2" s="1"/>
  <c r="AG934" i="2"/>
  <c r="AT934" i="2" s="1"/>
  <c r="AF934" i="2"/>
  <c r="AS934" i="2" s="1"/>
  <c r="AE934" i="2"/>
  <c r="AR934" i="2" s="1"/>
  <c r="AD934" i="2"/>
  <c r="AQ934" i="2" s="1"/>
  <c r="AA934" i="2"/>
  <c r="Z934" i="2"/>
  <c r="AP934" i="2" s="1"/>
  <c r="D934" i="2"/>
  <c r="A934" i="2"/>
  <c r="BC933" i="2"/>
  <c r="AO933" i="2"/>
  <c r="BB933" i="2" s="1"/>
  <c r="AN933" i="2"/>
  <c r="BA933" i="2" s="1"/>
  <c r="AM933" i="2"/>
  <c r="AZ933" i="2" s="1"/>
  <c r="AL933" i="2"/>
  <c r="AY933" i="2" s="1"/>
  <c r="AK933" i="2"/>
  <c r="AX933" i="2" s="1"/>
  <c r="AJ933" i="2"/>
  <c r="AW933" i="2" s="1"/>
  <c r="AI933" i="2"/>
  <c r="AV933" i="2" s="1"/>
  <c r="AH933" i="2"/>
  <c r="AU933" i="2" s="1"/>
  <c r="AG933" i="2"/>
  <c r="AT933" i="2" s="1"/>
  <c r="AF933" i="2"/>
  <c r="AS933" i="2" s="1"/>
  <c r="AE933" i="2"/>
  <c r="AR933" i="2" s="1"/>
  <c r="AD933" i="2"/>
  <c r="AQ933" i="2" s="1"/>
  <c r="AA933" i="2"/>
  <c r="Z933" i="2"/>
  <c r="AP933" i="2" s="1"/>
  <c r="D933" i="2"/>
  <c r="A933" i="2"/>
  <c r="BC932" i="2"/>
  <c r="AO932" i="2"/>
  <c r="BB932" i="2" s="1"/>
  <c r="AN932" i="2"/>
  <c r="BA932" i="2" s="1"/>
  <c r="AM932" i="2"/>
  <c r="AZ932" i="2" s="1"/>
  <c r="AL932" i="2"/>
  <c r="AY932" i="2" s="1"/>
  <c r="AK932" i="2"/>
  <c r="AX932" i="2" s="1"/>
  <c r="AJ932" i="2"/>
  <c r="AW932" i="2" s="1"/>
  <c r="AI932" i="2"/>
  <c r="AV932" i="2" s="1"/>
  <c r="AH932" i="2"/>
  <c r="AU932" i="2" s="1"/>
  <c r="AG932" i="2"/>
  <c r="AT932" i="2" s="1"/>
  <c r="AF932" i="2"/>
  <c r="AS932" i="2" s="1"/>
  <c r="AE932" i="2"/>
  <c r="AR932" i="2" s="1"/>
  <c r="AD932" i="2"/>
  <c r="AQ932" i="2" s="1"/>
  <c r="AA932" i="2"/>
  <c r="Z932" i="2"/>
  <c r="AP932" i="2" s="1"/>
  <c r="D932" i="2"/>
  <c r="A932" i="2"/>
  <c r="BC931" i="2"/>
  <c r="AO931" i="2"/>
  <c r="BB931" i="2" s="1"/>
  <c r="AN931" i="2"/>
  <c r="BA931" i="2" s="1"/>
  <c r="AM931" i="2"/>
  <c r="AZ931" i="2" s="1"/>
  <c r="AL931" i="2"/>
  <c r="AY931" i="2" s="1"/>
  <c r="AK931" i="2"/>
  <c r="AX931" i="2" s="1"/>
  <c r="AJ931" i="2"/>
  <c r="AW931" i="2" s="1"/>
  <c r="AI931" i="2"/>
  <c r="AV931" i="2" s="1"/>
  <c r="AH931" i="2"/>
  <c r="AU931" i="2" s="1"/>
  <c r="AG931" i="2"/>
  <c r="AT931" i="2" s="1"/>
  <c r="AF931" i="2"/>
  <c r="AS931" i="2" s="1"/>
  <c r="AE931" i="2"/>
  <c r="AR931" i="2" s="1"/>
  <c r="AD931" i="2"/>
  <c r="AQ931" i="2" s="1"/>
  <c r="AA931" i="2"/>
  <c r="Z931" i="2"/>
  <c r="AP931" i="2" s="1"/>
  <c r="D931" i="2"/>
  <c r="A931" i="2"/>
  <c r="BC930" i="2"/>
  <c r="AO930" i="2"/>
  <c r="BB930" i="2" s="1"/>
  <c r="AN930" i="2"/>
  <c r="BA930" i="2" s="1"/>
  <c r="AM930" i="2"/>
  <c r="AZ930" i="2" s="1"/>
  <c r="AL930" i="2"/>
  <c r="AY930" i="2" s="1"/>
  <c r="AK930" i="2"/>
  <c r="AX930" i="2" s="1"/>
  <c r="AJ930" i="2"/>
  <c r="AW930" i="2" s="1"/>
  <c r="AI930" i="2"/>
  <c r="AV930" i="2" s="1"/>
  <c r="AH930" i="2"/>
  <c r="AU930" i="2" s="1"/>
  <c r="AG930" i="2"/>
  <c r="AT930" i="2" s="1"/>
  <c r="AF930" i="2"/>
  <c r="AS930" i="2" s="1"/>
  <c r="AE930" i="2"/>
  <c r="AR930" i="2" s="1"/>
  <c r="AD930" i="2"/>
  <c r="AQ930" i="2" s="1"/>
  <c r="AA930" i="2"/>
  <c r="Z930" i="2"/>
  <c r="AP930" i="2" s="1"/>
  <c r="D930" i="2"/>
  <c r="A930" i="2"/>
  <c r="BC929" i="2"/>
  <c r="AO929" i="2"/>
  <c r="BB929" i="2" s="1"/>
  <c r="AN929" i="2"/>
  <c r="BA929" i="2" s="1"/>
  <c r="AM929" i="2"/>
  <c r="AZ929" i="2" s="1"/>
  <c r="AL929" i="2"/>
  <c r="AY929" i="2" s="1"/>
  <c r="AK929" i="2"/>
  <c r="AX929" i="2" s="1"/>
  <c r="AJ929" i="2"/>
  <c r="AW929" i="2" s="1"/>
  <c r="AI929" i="2"/>
  <c r="AV929" i="2" s="1"/>
  <c r="AH929" i="2"/>
  <c r="AU929" i="2" s="1"/>
  <c r="AG929" i="2"/>
  <c r="AT929" i="2" s="1"/>
  <c r="AF929" i="2"/>
  <c r="AS929" i="2" s="1"/>
  <c r="AE929" i="2"/>
  <c r="AR929" i="2" s="1"/>
  <c r="AD929" i="2"/>
  <c r="AQ929" i="2" s="1"/>
  <c r="AA929" i="2"/>
  <c r="Z929" i="2"/>
  <c r="AP929" i="2" s="1"/>
  <c r="D929" i="2"/>
  <c r="A929" i="2"/>
  <c r="BC928" i="2"/>
  <c r="AO928" i="2"/>
  <c r="BB928" i="2" s="1"/>
  <c r="AN928" i="2"/>
  <c r="BA928" i="2" s="1"/>
  <c r="AM928" i="2"/>
  <c r="AZ928" i="2" s="1"/>
  <c r="AL928" i="2"/>
  <c r="AY928" i="2" s="1"/>
  <c r="AK928" i="2"/>
  <c r="AX928" i="2" s="1"/>
  <c r="AJ928" i="2"/>
  <c r="AW928" i="2" s="1"/>
  <c r="AI928" i="2"/>
  <c r="AV928" i="2" s="1"/>
  <c r="AH928" i="2"/>
  <c r="AU928" i="2" s="1"/>
  <c r="AG928" i="2"/>
  <c r="AT928" i="2" s="1"/>
  <c r="AF928" i="2"/>
  <c r="AS928" i="2" s="1"/>
  <c r="AE928" i="2"/>
  <c r="AR928" i="2" s="1"/>
  <c r="AD928" i="2"/>
  <c r="AQ928" i="2" s="1"/>
  <c r="AA928" i="2"/>
  <c r="Z928" i="2"/>
  <c r="AP928" i="2" s="1"/>
  <c r="D928" i="2"/>
  <c r="A928" i="2"/>
  <c r="BC927" i="2"/>
  <c r="AO927" i="2"/>
  <c r="BB927" i="2" s="1"/>
  <c r="AN927" i="2"/>
  <c r="BA927" i="2" s="1"/>
  <c r="AM927" i="2"/>
  <c r="AZ927" i="2" s="1"/>
  <c r="AL927" i="2"/>
  <c r="AY927" i="2" s="1"/>
  <c r="AK927" i="2"/>
  <c r="AX927" i="2" s="1"/>
  <c r="AJ927" i="2"/>
  <c r="AW927" i="2" s="1"/>
  <c r="AI927" i="2"/>
  <c r="AV927" i="2" s="1"/>
  <c r="AH927" i="2"/>
  <c r="AU927" i="2" s="1"/>
  <c r="AG927" i="2"/>
  <c r="AT927" i="2" s="1"/>
  <c r="AF927" i="2"/>
  <c r="AS927" i="2" s="1"/>
  <c r="AE927" i="2"/>
  <c r="AR927" i="2" s="1"/>
  <c r="AD927" i="2"/>
  <c r="AQ927" i="2" s="1"/>
  <c r="AA927" i="2"/>
  <c r="Z927" i="2"/>
  <c r="AP927" i="2" s="1"/>
  <c r="D927" i="2"/>
  <c r="A927" i="2"/>
  <c r="BC926" i="2"/>
  <c r="BA926" i="2"/>
  <c r="AP926" i="2"/>
  <c r="AO926" i="2"/>
  <c r="BB926" i="2" s="1"/>
  <c r="AN926" i="2"/>
  <c r="AM926" i="2"/>
  <c r="AZ926" i="2" s="1"/>
  <c r="AL926" i="2"/>
  <c r="AY926" i="2" s="1"/>
  <c r="AK926" i="2"/>
  <c r="AX926" i="2" s="1"/>
  <c r="AJ926" i="2"/>
  <c r="AW926" i="2" s="1"/>
  <c r="AI926" i="2"/>
  <c r="AV926" i="2" s="1"/>
  <c r="AH926" i="2"/>
  <c r="AU926" i="2" s="1"/>
  <c r="AG926" i="2"/>
  <c r="AT926" i="2" s="1"/>
  <c r="AF926" i="2"/>
  <c r="AS926" i="2" s="1"/>
  <c r="AE926" i="2"/>
  <c r="AR926" i="2" s="1"/>
  <c r="AD926" i="2"/>
  <c r="AQ926" i="2" s="1"/>
  <c r="AA926" i="2"/>
  <c r="Z926" i="2"/>
  <c r="D926" i="2"/>
  <c r="A926" i="2"/>
  <c r="BC925" i="2"/>
  <c r="AO925" i="2"/>
  <c r="BB925" i="2" s="1"/>
  <c r="AN925" i="2"/>
  <c r="BA925" i="2" s="1"/>
  <c r="AM925" i="2"/>
  <c r="AZ925" i="2" s="1"/>
  <c r="AL925" i="2"/>
  <c r="AY925" i="2" s="1"/>
  <c r="AK925" i="2"/>
  <c r="AX925" i="2" s="1"/>
  <c r="AJ925" i="2"/>
  <c r="AW925" i="2" s="1"/>
  <c r="AI925" i="2"/>
  <c r="AV925" i="2" s="1"/>
  <c r="AH925" i="2"/>
  <c r="AU925" i="2" s="1"/>
  <c r="AG925" i="2"/>
  <c r="AT925" i="2" s="1"/>
  <c r="AF925" i="2"/>
  <c r="AS925" i="2" s="1"/>
  <c r="AE925" i="2"/>
  <c r="AR925" i="2" s="1"/>
  <c r="AD925" i="2"/>
  <c r="AQ925" i="2" s="1"/>
  <c r="AA925" i="2"/>
  <c r="Z925" i="2"/>
  <c r="AP925" i="2" s="1"/>
  <c r="D925" i="2"/>
  <c r="A925" i="2"/>
  <c r="BC924" i="2"/>
  <c r="AO924" i="2"/>
  <c r="BB924" i="2" s="1"/>
  <c r="AN924" i="2"/>
  <c r="BA924" i="2" s="1"/>
  <c r="AM924" i="2"/>
  <c r="AZ924" i="2" s="1"/>
  <c r="AL924" i="2"/>
  <c r="AY924" i="2" s="1"/>
  <c r="AK924" i="2"/>
  <c r="AX924" i="2" s="1"/>
  <c r="AJ924" i="2"/>
  <c r="AW924" i="2" s="1"/>
  <c r="AI924" i="2"/>
  <c r="AV924" i="2" s="1"/>
  <c r="AH924" i="2"/>
  <c r="AU924" i="2" s="1"/>
  <c r="AG924" i="2"/>
  <c r="AT924" i="2" s="1"/>
  <c r="AF924" i="2"/>
  <c r="AS924" i="2" s="1"/>
  <c r="AE924" i="2"/>
  <c r="AR924" i="2" s="1"/>
  <c r="AD924" i="2"/>
  <c r="AQ924" i="2" s="1"/>
  <c r="AA924" i="2"/>
  <c r="Z924" i="2"/>
  <c r="AP924" i="2" s="1"/>
  <c r="D924" i="2"/>
  <c r="A924" i="2"/>
  <c r="BC923" i="2"/>
  <c r="AO923" i="2"/>
  <c r="BB923" i="2" s="1"/>
  <c r="AN923" i="2"/>
  <c r="BA923" i="2" s="1"/>
  <c r="AM923" i="2"/>
  <c r="AZ923" i="2" s="1"/>
  <c r="AL923" i="2"/>
  <c r="AY923" i="2" s="1"/>
  <c r="AK923" i="2"/>
  <c r="AX923" i="2" s="1"/>
  <c r="AJ923" i="2"/>
  <c r="AW923" i="2" s="1"/>
  <c r="AI923" i="2"/>
  <c r="AV923" i="2" s="1"/>
  <c r="AH923" i="2"/>
  <c r="AU923" i="2" s="1"/>
  <c r="AG923" i="2"/>
  <c r="AT923" i="2" s="1"/>
  <c r="AF923" i="2"/>
  <c r="AS923" i="2" s="1"/>
  <c r="AE923" i="2"/>
  <c r="AR923" i="2" s="1"/>
  <c r="AD923" i="2"/>
  <c r="AQ923" i="2" s="1"/>
  <c r="AA923" i="2"/>
  <c r="Z923" i="2"/>
  <c r="AP923" i="2" s="1"/>
  <c r="D923" i="2"/>
  <c r="A923" i="2"/>
  <c r="BC922" i="2"/>
  <c r="AO922" i="2"/>
  <c r="BB922" i="2" s="1"/>
  <c r="AN922" i="2"/>
  <c r="BA922" i="2" s="1"/>
  <c r="AM922" i="2"/>
  <c r="AZ922" i="2" s="1"/>
  <c r="AL922" i="2"/>
  <c r="AY922" i="2" s="1"/>
  <c r="AK922" i="2"/>
  <c r="AX922" i="2" s="1"/>
  <c r="AJ922" i="2"/>
  <c r="AW922" i="2" s="1"/>
  <c r="AI922" i="2"/>
  <c r="AV922" i="2" s="1"/>
  <c r="AH922" i="2"/>
  <c r="AU922" i="2" s="1"/>
  <c r="AG922" i="2"/>
  <c r="AT922" i="2" s="1"/>
  <c r="AF922" i="2"/>
  <c r="AS922" i="2" s="1"/>
  <c r="AE922" i="2"/>
  <c r="AR922" i="2" s="1"/>
  <c r="AD922" i="2"/>
  <c r="AQ922" i="2" s="1"/>
  <c r="AA922" i="2"/>
  <c r="Z922" i="2"/>
  <c r="AP922" i="2" s="1"/>
  <c r="D922" i="2"/>
  <c r="A922" i="2"/>
  <c r="BC921" i="2"/>
  <c r="AO921" i="2"/>
  <c r="BB921" i="2" s="1"/>
  <c r="AN921" i="2"/>
  <c r="BA921" i="2" s="1"/>
  <c r="AM921" i="2"/>
  <c r="AZ921" i="2" s="1"/>
  <c r="AL921" i="2"/>
  <c r="AY921" i="2" s="1"/>
  <c r="AK921" i="2"/>
  <c r="AX921" i="2" s="1"/>
  <c r="AJ921" i="2"/>
  <c r="AW921" i="2" s="1"/>
  <c r="AI921" i="2"/>
  <c r="AV921" i="2" s="1"/>
  <c r="AH921" i="2"/>
  <c r="AU921" i="2" s="1"/>
  <c r="AG921" i="2"/>
  <c r="AT921" i="2" s="1"/>
  <c r="AF921" i="2"/>
  <c r="AS921" i="2" s="1"/>
  <c r="AE921" i="2"/>
  <c r="AR921" i="2" s="1"/>
  <c r="AD921" i="2"/>
  <c r="AQ921" i="2" s="1"/>
  <c r="AA921" i="2"/>
  <c r="Z921" i="2"/>
  <c r="AP921" i="2" s="1"/>
  <c r="D921" i="2"/>
  <c r="A921" i="2"/>
  <c r="BC920" i="2"/>
  <c r="AO920" i="2"/>
  <c r="BB920" i="2" s="1"/>
  <c r="AN920" i="2"/>
  <c r="BA920" i="2" s="1"/>
  <c r="AM920" i="2"/>
  <c r="AZ920" i="2" s="1"/>
  <c r="AL920" i="2"/>
  <c r="AY920" i="2" s="1"/>
  <c r="AK920" i="2"/>
  <c r="AX920" i="2" s="1"/>
  <c r="AJ920" i="2"/>
  <c r="AW920" i="2" s="1"/>
  <c r="AI920" i="2"/>
  <c r="AV920" i="2" s="1"/>
  <c r="AH920" i="2"/>
  <c r="AU920" i="2" s="1"/>
  <c r="AG920" i="2"/>
  <c r="AT920" i="2" s="1"/>
  <c r="AF920" i="2"/>
  <c r="AS920" i="2" s="1"/>
  <c r="AE920" i="2"/>
  <c r="AR920" i="2" s="1"/>
  <c r="AD920" i="2"/>
  <c r="AQ920" i="2" s="1"/>
  <c r="AA920" i="2"/>
  <c r="Z920" i="2"/>
  <c r="AP920" i="2" s="1"/>
  <c r="D920" i="2"/>
  <c r="A920" i="2"/>
  <c r="BC919" i="2"/>
  <c r="AO919" i="2"/>
  <c r="BB919" i="2" s="1"/>
  <c r="AN919" i="2"/>
  <c r="BA919" i="2" s="1"/>
  <c r="AM919" i="2"/>
  <c r="AZ919" i="2" s="1"/>
  <c r="AL919" i="2"/>
  <c r="AY919" i="2" s="1"/>
  <c r="AK919" i="2"/>
  <c r="AX919" i="2" s="1"/>
  <c r="AJ919" i="2"/>
  <c r="AW919" i="2" s="1"/>
  <c r="AI919" i="2"/>
  <c r="AV919" i="2" s="1"/>
  <c r="AH919" i="2"/>
  <c r="AU919" i="2" s="1"/>
  <c r="AG919" i="2"/>
  <c r="AT919" i="2" s="1"/>
  <c r="AF919" i="2"/>
  <c r="AS919" i="2" s="1"/>
  <c r="AE919" i="2"/>
  <c r="AR919" i="2" s="1"/>
  <c r="AD919" i="2"/>
  <c r="AQ919" i="2" s="1"/>
  <c r="AA919" i="2"/>
  <c r="Z919" i="2"/>
  <c r="AP919" i="2" s="1"/>
  <c r="D919" i="2"/>
  <c r="A919" i="2"/>
  <c r="BC918" i="2"/>
  <c r="AO918" i="2"/>
  <c r="BB918" i="2" s="1"/>
  <c r="AN918" i="2"/>
  <c r="BA918" i="2" s="1"/>
  <c r="AM918" i="2"/>
  <c r="AZ918" i="2" s="1"/>
  <c r="AL918" i="2"/>
  <c r="AY918" i="2" s="1"/>
  <c r="AK918" i="2"/>
  <c r="AX918" i="2" s="1"/>
  <c r="AJ918" i="2"/>
  <c r="AW918" i="2" s="1"/>
  <c r="AI918" i="2"/>
  <c r="AV918" i="2" s="1"/>
  <c r="AH918" i="2"/>
  <c r="AU918" i="2" s="1"/>
  <c r="AG918" i="2"/>
  <c r="AT918" i="2" s="1"/>
  <c r="AF918" i="2"/>
  <c r="AS918" i="2" s="1"/>
  <c r="AE918" i="2"/>
  <c r="AR918" i="2" s="1"/>
  <c r="AD918" i="2"/>
  <c r="AQ918" i="2" s="1"/>
  <c r="AA918" i="2"/>
  <c r="Z918" i="2"/>
  <c r="AP918" i="2" s="1"/>
  <c r="D918" i="2"/>
  <c r="A918" i="2"/>
  <c r="BC917" i="2"/>
  <c r="AO917" i="2"/>
  <c r="BB917" i="2" s="1"/>
  <c r="AN917" i="2"/>
  <c r="BA917" i="2" s="1"/>
  <c r="AM917" i="2"/>
  <c r="AZ917" i="2" s="1"/>
  <c r="AL917" i="2"/>
  <c r="AY917" i="2" s="1"/>
  <c r="AK917" i="2"/>
  <c r="AX917" i="2" s="1"/>
  <c r="AJ917" i="2"/>
  <c r="AW917" i="2" s="1"/>
  <c r="AI917" i="2"/>
  <c r="AV917" i="2" s="1"/>
  <c r="AH917" i="2"/>
  <c r="AU917" i="2" s="1"/>
  <c r="AG917" i="2"/>
  <c r="AT917" i="2" s="1"/>
  <c r="AF917" i="2"/>
  <c r="AS917" i="2" s="1"/>
  <c r="AE917" i="2"/>
  <c r="AR917" i="2" s="1"/>
  <c r="AD917" i="2"/>
  <c r="AQ917" i="2" s="1"/>
  <c r="AA917" i="2"/>
  <c r="Z917" i="2"/>
  <c r="AP917" i="2" s="1"/>
  <c r="D917" i="2"/>
  <c r="A917" i="2"/>
  <c r="BC916" i="2"/>
  <c r="AO916" i="2"/>
  <c r="BB916" i="2" s="1"/>
  <c r="AN916" i="2"/>
  <c r="BA916" i="2" s="1"/>
  <c r="AM916" i="2"/>
  <c r="AZ916" i="2" s="1"/>
  <c r="AL916" i="2"/>
  <c r="AY916" i="2" s="1"/>
  <c r="AK916" i="2"/>
  <c r="AX916" i="2" s="1"/>
  <c r="AJ916" i="2"/>
  <c r="AW916" i="2" s="1"/>
  <c r="AI916" i="2"/>
  <c r="AV916" i="2" s="1"/>
  <c r="AH916" i="2"/>
  <c r="AU916" i="2" s="1"/>
  <c r="AG916" i="2"/>
  <c r="AT916" i="2" s="1"/>
  <c r="AF916" i="2"/>
  <c r="AS916" i="2" s="1"/>
  <c r="AE916" i="2"/>
  <c r="AR916" i="2" s="1"/>
  <c r="AD916" i="2"/>
  <c r="AQ916" i="2" s="1"/>
  <c r="AA916" i="2"/>
  <c r="Z916" i="2"/>
  <c r="AP916" i="2" s="1"/>
  <c r="D916" i="2"/>
  <c r="A916" i="2"/>
  <c r="BC915" i="2"/>
  <c r="AO915" i="2"/>
  <c r="BB915" i="2" s="1"/>
  <c r="AN915" i="2"/>
  <c r="BA915" i="2" s="1"/>
  <c r="AM915" i="2"/>
  <c r="AZ915" i="2" s="1"/>
  <c r="AL915" i="2"/>
  <c r="AY915" i="2" s="1"/>
  <c r="AK915" i="2"/>
  <c r="AX915" i="2" s="1"/>
  <c r="AJ915" i="2"/>
  <c r="AW915" i="2" s="1"/>
  <c r="AI915" i="2"/>
  <c r="AV915" i="2" s="1"/>
  <c r="AH915" i="2"/>
  <c r="AU915" i="2" s="1"/>
  <c r="AG915" i="2"/>
  <c r="AT915" i="2" s="1"/>
  <c r="AF915" i="2"/>
  <c r="AS915" i="2" s="1"/>
  <c r="AE915" i="2"/>
  <c r="AR915" i="2" s="1"/>
  <c r="AD915" i="2"/>
  <c r="AQ915" i="2" s="1"/>
  <c r="AA915" i="2"/>
  <c r="Z915" i="2"/>
  <c r="AP915" i="2" s="1"/>
  <c r="D915" i="2"/>
  <c r="A915" i="2"/>
  <c r="BC914" i="2"/>
  <c r="AO914" i="2"/>
  <c r="BB914" i="2" s="1"/>
  <c r="AN914" i="2"/>
  <c r="BA914" i="2" s="1"/>
  <c r="AM914" i="2"/>
  <c r="AZ914" i="2" s="1"/>
  <c r="AL914" i="2"/>
  <c r="AY914" i="2" s="1"/>
  <c r="AK914" i="2"/>
  <c r="AX914" i="2" s="1"/>
  <c r="AJ914" i="2"/>
  <c r="AW914" i="2" s="1"/>
  <c r="AI914" i="2"/>
  <c r="AV914" i="2" s="1"/>
  <c r="AH914" i="2"/>
  <c r="AU914" i="2" s="1"/>
  <c r="AG914" i="2"/>
  <c r="AT914" i="2" s="1"/>
  <c r="AF914" i="2"/>
  <c r="AS914" i="2" s="1"/>
  <c r="AE914" i="2"/>
  <c r="AR914" i="2" s="1"/>
  <c r="AD914" i="2"/>
  <c r="AQ914" i="2" s="1"/>
  <c r="AA914" i="2"/>
  <c r="Z914" i="2"/>
  <c r="AP914" i="2" s="1"/>
  <c r="D914" i="2"/>
  <c r="A914" i="2"/>
  <c r="BC913" i="2"/>
  <c r="AO913" i="2"/>
  <c r="BB913" i="2" s="1"/>
  <c r="AN913" i="2"/>
  <c r="BA913" i="2" s="1"/>
  <c r="AM913" i="2"/>
  <c r="AZ913" i="2" s="1"/>
  <c r="AL913" i="2"/>
  <c r="AY913" i="2" s="1"/>
  <c r="AK913" i="2"/>
  <c r="AX913" i="2" s="1"/>
  <c r="AJ913" i="2"/>
  <c r="AW913" i="2" s="1"/>
  <c r="AI913" i="2"/>
  <c r="AV913" i="2" s="1"/>
  <c r="AH913" i="2"/>
  <c r="AU913" i="2" s="1"/>
  <c r="AG913" i="2"/>
  <c r="AT913" i="2" s="1"/>
  <c r="AF913" i="2"/>
  <c r="AS913" i="2" s="1"/>
  <c r="AE913" i="2"/>
  <c r="AR913" i="2" s="1"/>
  <c r="AD913" i="2"/>
  <c r="AQ913" i="2" s="1"/>
  <c r="AA913" i="2"/>
  <c r="Z913" i="2"/>
  <c r="AP913" i="2" s="1"/>
  <c r="D913" i="2"/>
  <c r="A913" i="2"/>
  <c r="BC912" i="2"/>
  <c r="AO912" i="2"/>
  <c r="BB912" i="2" s="1"/>
  <c r="AN912" i="2"/>
  <c r="BA912" i="2" s="1"/>
  <c r="AM912" i="2"/>
  <c r="AZ912" i="2" s="1"/>
  <c r="AL912" i="2"/>
  <c r="AY912" i="2" s="1"/>
  <c r="AK912" i="2"/>
  <c r="AX912" i="2" s="1"/>
  <c r="AJ912" i="2"/>
  <c r="AW912" i="2" s="1"/>
  <c r="AI912" i="2"/>
  <c r="AV912" i="2" s="1"/>
  <c r="AH912" i="2"/>
  <c r="AU912" i="2" s="1"/>
  <c r="AG912" i="2"/>
  <c r="AT912" i="2" s="1"/>
  <c r="AF912" i="2"/>
  <c r="AS912" i="2" s="1"/>
  <c r="AE912" i="2"/>
  <c r="AR912" i="2" s="1"/>
  <c r="AD912" i="2"/>
  <c r="AQ912" i="2" s="1"/>
  <c r="AA912" i="2"/>
  <c r="Z912" i="2"/>
  <c r="AP912" i="2" s="1"/>
  <c r="D912" i="2"/>
  <c r="A912" i="2"/>
  <c r="BC911" i="2"/>
  <c r="AO911" i="2"/>
  <c r="BB911" i="2" s="1"/>
  <c r="AN911" i="2"/>
  <c r="BA911" i="2" s="1"/>
  <c r="AM911" i="2"/>
  <c r="AZ911" i="2" s="1"/>
  <c r="AL911" i="2"/>
  <c r="AY911" i="2" s="1"/>
  <c r="AK911" i="2"/>
  <c r="AX911" i="2" s="1"/>
  <c r="AJ911" i="2"/>
  <c r="AW911" i="2" s="1"/>
  <c r="AI911" i="2"/>
  <c r="AV911" i="2" s="1"/>
  <c r="AH911" i="2"/>
  <c r="AU911" i="2" s="1"/>
  <c r="AG911" i="2"/>
  <c r="AT911" i="2" s="1"/>
  <c r="AF911" i="2"/>
  <c r="AS911" i="2" s="1"/>
  <c r="AE911" i="2"/>
  <c r="AR911" i="2" s="1"/>
  <c r="AD911" i="2"/>
  <c r="AQ911" i="2" s="1"/>
  <c r="AA911" i="2"/>
  <c r="Z911" i="2"/>
  <c r="AP911" i="2" s="1"/>
  <c r="D911" i="2"/>
  <c r="A911" i="2"/>
  <c r="BC910" i="2"/>
  <c r="BB910" i="2"/>
  <c r="AX910" i="2"/>
  <c r="AO910" i="2"/>
  <c r="AN910" i="2"/>
  <c r="BA910" i="2" s="1"/>
  <c r="AM910" i="2"/>
  <c r="AZ910" i="2" s="1"/>
  <c r="AL910" i="2"/>
  <c r="AY910" i="2" s="1"/>
  <c r="AK910" i="2"/>
  <c r="AJ910" i="2"/>
  <c r="AW910" i="2" s="1"/>
  <c r="AI910" i="2"/>
  <c r="AV910" i="2" s="1"/>
  <c r="AH910" i="2"/>
  <c r="AU910" i="2" s="1"/>
  <c r="AG910" i="2"/>
  <c r="AT910" i="2" s="1"/>
  <c r="AF910" i="2"/>
  <c r="AS910" i="2" s="1"/>
  <c r="AE910" i="2"/>
  <c r="AR910" i="2" s="1"/>
  <c r="AD910" i="2"/>
  <c r="AQ910" i="2" s="1"/>
  <c r="AA910" i="2"/>
  <c r="Z910" i="2"/>
  <c r="AP910" i="2" s="1"/>
  <c r="D910" i="2"/>
  <c r="A910" i="2"/>
  <c r="BC909" i="2"/>
  <c r="AZ909" i="2"/>
  <c r="AO909" i="2"/>
  <c r="BB909" i="2" s="1"/>
  <c r="AN909" i="2"/>
  <c r="BA909" i="2" s="1"/>
  <c r="AM909" i="2"/>
  <c r="AL909" i="2"/>
  <c r="AY909" i="2" s="1"/>
  <c r="AK909" i="2"/>
  <c r="AX909" i="2" s="1"/>
  <c r="AJ909" i="2"/>
  <c r="AW909" i="2" s="1"/>
  <c r="AI909" i="2"/>
  <c r="AV909" i="2" s="1"/>
  <c r="AH909" i="2"/>
  <c r="AU909" i="2" s="1"/>
  <c r="AG909" i="2"/>
  <c r="AT909" i="2" s="1"/>
  <c r="AF909" i="2"/>
  <c r="AS909" i="2" s="1"/>
  <c r="AE909" i="2"/>
  <c r="AR909" i="2" s="1"/>
  <c r="AD909" i="2"/>
  <c r="AQ909" i="2" s="1"/>
  <c r="AA909" i="2"/>
  <c r="Z909" i="2"/>
  <c r="AP909" i="2" s="1"/>
  <c r="D909" i="2"/>
  <c r="A909" i="2"/>
  <c r="BC908" i="2"/>
  <c r="AS908" i="2"/>
  <c r="AP908" i="2"/>
  <c r="AO908" i="2"/>
  <c r="BB908" i="2" s="1"/>
  <c r="AN908" i="2"/>
  <c r="BA908" i="2" s="1"/>
  <c r="AM908" i="2"/>
  <c r="AZ908" i="2" s="1"/>
  <c r="AL908" i="2"/>
  <c r="AY908" i="2" s="1"/>
  <c r="AK908" i="2"/>
  <c r="AX908" i="2" s="1"/>
  <c r="AJ908" i="2"/>
  <c r="AW908" i="2" s="1"/>
  <c r="AI908" i="2"/>
  <c r="AV908" i="2" s="1"/>
  <c r="AH908" i="2"/>
  <c r="AU908" i="2" s="1"/>
  <c r="AG908" i="2"/>
  <c r="AT908" i="2" s="1"/>
  <c r="AF908" i="2"/>
  <c r="AE908" i="2"/>
  <c r="AR908" i="2" s="1"/>
  <c r="AD908" i="2"/>
  <c r="AQ908" i="2" s="1"/>
  <c r="AA908" i="2"/>
  <c r="Z908" i="2"/>
  <c r="D908" i="2"/>
  <c r="A908" i="2"/>
  <c r="BC907" i="2"/>
  <c r="AO907" i="2"/>
  <c r="BB907" i="2" s="1"/>
  <c r="AN907" i="2"/>
  <c r="BA907" i="2" s="1"/>
  <c r="AM907" i="2"/>
  <c r="AZ907" i="2" s="1"/>
  <c r="AL907" i="2"/>
  <c r="AY907" i="2" s="1"/>
  <c r="AK907" i="2"/>
  <c r="AX907" i="2" s="1"/>
  <c r="AJ907" i="2"/>
  <c r="AW907" i="2" s="1"/>
  <c r="AI907" i="2"/>
  <c r="AV907" i="2" s="1"/>
  <c r="AH907" i="2"/>
  <c r="AU907" i="2" s="1"/>
  <c r="AG907" i="2"/>
  <c r="AT907" i="2" s="1"/>
  <c r="AF907" i="2"/>
  <c r="AS907" i="2" s="1"/>
  <c r="AE907" i="2"/>
  <c r="AR907" i="2" s="1"/>
  <c r="AD907" i="2"/>
  <c r="AQ907" i="2" s="1"/>
  <c r="AA907" i="2"/>
  <c r="Z907" i="2"/>
  <c r="AP907" i="2" s="1"/>
  <c r="D907" i="2"/>
  <c r="A907" i="2"/>
  <c r="BC906" i="2"/>
  <c r="AO906" i="2"/>
  <c r="BB906" i="2" s="1"/>
  <c r="AN906" i="2"/>
  <c r="BA906" i="2" s="1"/>
  <c r="AM906" i="2"/>
  <c r="AZ906" i="2" s="1"/>
  <c r="AL906" i="2"/>
  <c r="AY906" i="2" s="1"/>
  <c r="AK906" i="2"/>
  <c r="AX906" i="2" s="1"/>
  <c r="AJ906" i="2"/>
  <c r="AW906" i="2" s="1"/>
  <c r="AI906" i="2"/>
  <c r="AV906" i="2" s="1"/>
  <c r="AH906" i="2"/>
  <c r="AU906" i="2" s="1"/>
  <c r="AG906" i="2"/>
  <c r="AT906" i="2" s="1"/>
  <c r="AF906" i="2"/>
  <c r="AS906" i="2" s="1"/>
  <c r="AE906" i="2"/>
  <c r="AR906" i="2" s="1"/>
  <c r="AD906" i="2"/>
  <c r="AQ906" i="2" s="1"/>
  <c r="AA906" i="2"/>
  <c r="Z906" i="2"/>
  <c r="AP906" i="2" s="1"/>
  <c r="D906" i="2"/>
  <c r="A906" i="2"/>
  <c r="BC905" i="2"/>
  <c r="AO905" i="2"/>
  <c r="BB905" i="2" s="1"/>
  <c r="AN905" i="2"/>
  <c r="BA905" i="2" s="1"/>
  <c r="AM905" i="2"/>
  <c r="AZ905" i="2" s="1"/>
  <c r="AL905" i="2"/>
  <c r="AY905" i="2" s="1"/>
  <c r="AK905" i="2"/>
  <c r="AX905" i="2" s="1"/>
  <c r="AJ905" i="2"/>
  <c r="AW905" i="2" s="1"/>
  <c r="AI905" i="2"/>
  <c r="AV905" i="2" s="1"/>
  <c r="AH905" i="2"/>
  <c r="AU905" i="2" s="1"/>
  <c r="AG905" i="2"/>
  <c r="AT905" i="2" s="1"/>
  <c r="AF905" i="2"/>
  <c r="AS905" i="2" s="1"/>
  <c r="AE905" i="2"/>
  <c r="AR905" i="2" s="1"/>
  <c r="AD905" i="2"/>
  <c r="AQ905" i="2" s="1"/>
  <c r="AA905" i="2"/>
  <c r="Z905" i="2"/>
  <c r="AP905" i="2" s="1"/>
  <c r="D905" i="2"/>
  <c r="A905" i="2"/>
  <c r="BC904" i="2"/>
  <c r="AO904" i="2"/>
  <c r="BB904" i="2" s="1"/>
  <c r="AN904" i="2"/>
  <c r="BA904" i="2" s="1"/>
  <c r="AM904" i="2"/>
  <c r="AZ904" i="2" s="1"/>
  <c r="AL904" i="2"/>
  <c r="AY904" i="2" s="1"/>
  <c r="AK904" i="2"/>
  <c r="AX904" i="2" s="1"/>
  <c r="AJ904" i="2"/>
  <c r="AW904" i="2" s="1"/>
  <c r="AI904" i="2"/>
  <c r="AV904" i="2" s="1"/>
  <c r="AH904" i="2"/>
  <c r="AU904" i="2" s="1"/>
  <c r="AG904" i="2"/>
  <c r="AT904" i="2" s="1"/>
  <c r="AF904" i="2"/>
  <c r="AS904" i="2" s="1"/>
  <c r="AE904" i="2"/>
  <c r="AR904" i="2" s="1"/>
  <c r="AD904" i="2"/>
  <c r="AQ904" i="2" s="1"/>
  <c r="AA904" i="2"/>
  <c r="Z904" i="2"/>
  <c r="AP904" i="2" s="1"/>
  <c r="D904" i="2"/>
  <c r="A904" i="2"/>
  <c r="BC903" i="2"/>
  <c r="AO903" i="2"/>
  <c r="BB903" i="2" s="1"/>
  <c r="AN903" i="2"/>
  <c r="BA903" i="2" s="1"/>
  <c r="AM903" i="2"/>
  <c r="AZ903" i="2" s="1"/>
  <c r="AL903" i="2"/>
  <c r="AY903" i="2" s="1"/>
  <c r="AK903" i="2"/>
  <c r="AX903" i="2" s="1"/>
  <c r="AJ903" i="2"/>
  <c r="AW903" i="2" s="1"/>
  <c r="AI903" i="2"/>
  <c r="AV903" i="2" s="1"/>
  <c r="AH903" i="2"/>
  <c r="AU903" i="2" s="1"/>
  <c r="AG903" i="2"/>
  <c r="AT903" i="2" s="1"/>
  <c r="AF903" i="2"/>
  <c r="AS903" i="2" s="1"/>
  <c r="AE903" i="2"/>
  <c r="AR903" i="2" s="1"/>
  <c r="AD903" i="2"/>
  <c r="AQ903" i="2" s="1"/>
  <c r="AA903" i="2"/>
  <c r="Z903" i="2"/>
  <c r="AP903" i="2" s="1"/>
  <c r="D903" i="2"/>
  <c r="A903" i="2"/>
  <c r="BC902" i="2"/>
  <c r="BA902" i="2"/>
  <c r="AX902" i="2"/>
  <c r="AO902" i="2"/>
  <c r="BB902" i="2" s="1"/>
  <c r="AN902" i="2"/>
  <c r="AM902" i="2"/>
  <c r="AZ902" i="2" s="1"/>
  <c r="AL902" i="2"/>
  <c r="AY902" i="2" s="1"/>
  <c r="AK902" i="2"/>
  <c r="AJ902" i="2"/>
  <c r="AW902" i="2" s="1"/>
  <c r="AI902" i="2"/>
  <c r="AV902" i="2" s="1"/>
  <c r="AH902" i="2"/>
  <c r="AU902" i="2" s="1"/>
  <c r="AG902" i="2"/>
  <c r="AT902" i="2" s="1"/>
  <c r="AF902" i="2"/>
  <c r="AS902" i="2" s="1"/>
  <c r="AE902" i="2"/>
  <c r="AR902" i="2" s="1"/>
  <c r="AD902" i="2"/>
  <c r="AQ902" i="2" s="1"/>
  <c r="AA902" i="2"/>
  <c r="Z902" i="2"/>
  <c r="AP902" i="2" s="1"/>
  <c r="D902" i="2"/>
  <c r="A902" i="2"/>
  <c r="BC901" i="2"/>
  <c r="AO901" i="2"/>
  <c r="BB901" i="2" s="1"/>
  <c r="AN901" i="2"/>
  <c r="BA901" i="2" s="1"/>
  <c r="AM901" i="2"/>
  <c r="AZ901" i="2" s="1"/>
  <c r="AL901" i="2"/>
  <c r="AY901" i="2" s="1"/>
  <c r="AK901" i="2"/>
  <c r="AX901" i="2" s="1"/>
  <c r="AJ901" i="2"/>
  <c r="AW901" i="2" s="1"/>
  <c r="AI901" i="2"/>
  <c r="AV901" i="2" s="1"/>
  <c r="AH901" i="2"/>
  <c r="AU901" i="2" s="1"/>
  <c r="AG901" i="2"/>
  <c r="AT901" i="2" s="1"/>
  <c r="AF901" i="2"/>
  <c r="AS901" i="2" s="1"/>
  <c r="AE901" i="2"/>
  <c r="AR901" i="2" s="1"/>
  <c r="AD901" i="2"/>
  <c r="AQ901" i="2" s="1"/>
  <c r="AA901" i="2"/>
  <c r="Z901" i="2"/>
  <c r="AP901" i="2" s="1"/>
  <c r="D901" i="2"/>
  <c r="A901" i="2"/>
  <c r="BC900" i="2"/>
  <c r="BA900" i="2"/>
  <c r="AW900" i="2"/>
  <c r="AO900" i="2"/>
  <c r="BB900" i="2" s="1"/>
  <c r="AN900" i="2"/>
  <c r="AM900" i="2"/>
  <c r="AZ900" i="2" s="1"/>
  <c r="AL900" i="2"/>
  <c r="AY900" i="2" s="1"/>
  <c r="AK900" i="2"/>
  <c r="AX900" i="2" s="1"/>
  <c r="AJ900" i="2"/>
  <c r="AI900" i="2"/>
  <c r="AV900" i="2" s="1"/>
  <c r="AH900" i="2"/>
  <c r="AU900" i="2" s="1"/>
  <c r="AG900" i="2"/>
  <c r="AT900" i="2" s="1"/>
  <c r="AF900" i="2"/>
  <c r="AS900" i="2" s="1"/>
  <c r="AE900" i="2"/>
  <c r="AR900" i="2" s="1"/>
  <c r="AD900" i="2"/>
  <c r="AQ900" i="2" s="1"/>
  <c r="AA900" i="2"/>
  <c r="Z900" i="2"/>
  <c r="AP900" i="2" s="1"/>
  <c r="D900" i="2"/>
  <c r="A900" i="2"/>
  <c r="BC899" i="2"/>
  <c r="AO899" i="2"/>
  <c r="BB899" i="2" s="1"/>
  <c r="AN899" i="2"/>
  <c r="BA899" i="2" s="1"/>
  <c r="AM899" i="2"/>
  <c r="AZ899" i="2" s="1"/>
  <c r="AL899" i="2"/>
  <c r="AY899" i="2" s="1"/>
  <c r="AK899" i="2"/>
  <c r="AX899" i="2" s="1"/>
  <c r="AJ899" i="2"/>
  <c r="AW899" i="2" s="1"/>
  <c r="AI899" i="2"/>
  <c r="AV899" i="2" s="1"/>
  <c r="AH899" i="2"/>
  <c r="AU899" i="2" s="1"/>
  <c r="AG899" i="2"/>
  <c r="AT899" i="2" s="1"/>
  <c r="AF899" i="2"/>
  <c r="AS899" i="2" s="1"/>
  <c r="AE899" i="2"/>
  <c r="AR899" i="2" s="1"/>
  <c r="AD899" i="2"/>
  <c r="AQ899" i="2" s="1"/>
  <c r="AA899" i="2"/>
  <c r="Z899" i="2"/>
  <c r="AP899" i="2" s="1"/>
  <c r="D899" i="2"/>
  <c r="A899" i="2"/>
  <c r="BC898" i="2"/>
  <c r="AP898" i="2"/>
  <c r="AO898" i="2"/>
  <c r="BB898" i="2" s="1"/>
  <c r="AN898" i="2"/>
  <c r="BA898" i="2" s="1"/>
  <c r="AM898" i="2"/>
  <c r="AZ898" i="2" s="1"/>
  <c r="AL898" i="2"/>
  <c r="AY898" i="2" s="1"/>
  <c r="AK898" i="2"/>
  <c r="AX898" i="2" s="1"/>
  <c r="AJ898" i="2"/>
  <c r="AW898" i="2" s="1"/>
  <c r="AI898" i="2"/>
  <c r="AV898" i="2" s="1"/>
  <c r="AH898" i="2"/>
  <c r="AU898" i="2" s="1"/>
  <c r="AG898" i="2"/>
  <c r="AT898" i="2" s="1"/>
  <c r="AF898" i="2"/>
  <c r="AS898" i="2" s="1"/>
  <c r="AE898" i="2"/>
  <c r="AR898" i="2" s="1"/>
  <c r="AD898" i="2"/>
  <c r="AQ898" i="2" s="1"/>
  <c r="AA898" i="2"/>
  <c r="Z898" i="2"/>
  <c r="D898" i="2"/>
  <c r="A898" i="2"/>
  <c r="BC897" i="2"/>
  <c r="AR897" i="2"/>
  <c r="AO897" i="2"/>
  <c r="BB897" i="2" s="1"/>
  <c r="AN897" i="2"/>
  <c r="BA897" i="2" s="1"/>
  <c r="AM897" i="2"/>
  <c r="AZ897" i="2" s="1"/>
  <c r="AL897" i="2"/>
  <c r="AY897" i="2" s="1"/>
  <c r="AK897" i="2"/>
  <c r="AX897" i="2" s="1"/>
  <c r="AJ897" i="2"/>
  <c r="AW897" i="2" s="1"/>
  <c r="AI897" i="2"/>
  <c r="AV897" i="2" s="1"/>
  <c r="AH897" i="2"/>
  <c r="AU897" i="2" s="1"/>
  <c r="AG897" i="2"/>
  <c r="AT897" i="2" s="1"/>
  <c r="AF897" i="2"/>
  <c r="AS897" i="2" s="1"/>
  <c r="AE897" i="2"/>
  <c r="AD897" i="2"/>
  <c r="AQ897" i="2" s="1"/>
  <c r="AA897" i="2"/>
  <c r="Z897" i="2"/>
  <c r="AP897" i="2" s="1"/>
  <c r="D897" i="2"/>
  <c r="A897" i="2"/>
  <c r="BC896" i="2"/>
  <c r="AO896" i="2"/>
  <c r="BB896" i="2" s="1"/>
  <c r="AN896" i="2"/>
  <c r="BA896" i="2" s="1"/>
  <c r="AM896" i="2"/>
  <c r="AZ896" i="2" s="1"/>
  <c r="AL896" i="2"/>
  <c r="AY896" i="2" s="1"/>
  <c r="AK896" i="2"/>
  <c r="AX896" i="2" s="1"/>
  <c r="AJ896" i="2"/>
  <c r="AW896" i="2" s="1"/>
  <c r="AI896" i="2"/>
  <c r="AV896" i="2" s="1"/>
  <c r="AH896" i="2"/>
  <c r="AU896" i="2" s="1"/>
  <c r="AG896" i="2"/>
  <c r="AT896" i="2" s="1"/>
  <c r="AF896" i="2"/>
  <c r="AS896" i="2" s="1"/>
  <c r="AE896" i="2"/>
  <c r="AR896" i="2" s="1"/>
  <c r="AD896" i="2"/>
  <c r="AQ896" i="2" s="1"/>
  <c r="AA896" i="2"/>
  <c r="Z896" i="2"/>
  <c r="AP896" i="2" s="1"/>
  <c r="D896" i="2"/>
  <c r="A896" i="2"/>
  <c r="BC895" i="2"/>
  <c r="AO895" i="2"/>
  <c r="BB895" i="2" s="1"/>
  <c r="AN895" i="2"/>
  <c r="BA895" i="2" s="1"/>
  <c r="AM895" i="2"/>
  <c r="AZ895" i="2" s="1"/>
  <c r="AL895" i="2"/>
  <c r="AY895" i="2" s="1"/>
  <c r="AK895" i="2"/>
  <c r="AX895" i="2" s="1"/>
  <c r="AJ895" i="2"/>
  <c r="AW895" i="2" s="1"/>
  <c r="AI895" i="2"/>
  <c r="AV895" i="2" s="1"/>
  <c r="AH895" i="2"/>
  <c r="AU895" i="2" s="1"/>
  <c r="AG895" i="2"/>
  <c r="AT895" i="2" s="1"/>
  <c r="AF895" i="2"/>
  <c r="AS895" i="2" s="1"/>
  <c r="AE895" i="2"/>
  <c r="AR895" i="2" s="1"/>
  <c r="AD895" i="2"/>
  <c r="AQ895" i="2" s="1"/>
  <c r="AA895" i="2"/>
  <c r="Z895" i="2"/>
  <c r="AP895" i="2" s="1"/>
  <c r="D895" i="2"/>
  <c r="A895" i="2"/>
  <c r="BC894" i="2"/>
  <c r="BB894" i="2"/>
  <c r="BA894" i="2"/>
  <c r="AO894" i="2"/>
  <c r="AN894" i="2"/>
  <c r="AM894" i="2"/>
  <c r="AZ894" i="2" s="1"/>
  <c r="AL894" i="2"/>
  <c r="AY894" i="2" s="1"/>
  <c r="AK894" i="2"/>
  <c r="AX894" i="2" s="1"/>
  <c r="AJ894" i="2"/>
  <c r="AW894" i="2" s="1"/>
  <c r="AI894" i="2"/>
  <c r="AV894" i="2" s="1"/>
  <c r="AH894" i="2"/>
  <c r="AU894" i="2" s="1"/>
  <c r="AG894" i="2"/>
  <c r="AT894" i="2" s="1"/>
  <c r="AF894" i="2"/>
  <c r="AS894" i="2" s="1"/>
  <c r="AE894" i="2"/>
  <c r="AR894" i="2" s="1"/>
  <c r="AD894" i="2"/>
  <c r="AQ894" i="2" s="1"/>
  <c r="AA894" i="2"/>
  <c r="Z894" i="2"/>
  <c r="AP894" i="2" s="1"/>
  <c r="D894" i="2"/>
  <c r="A894" i="2"/>
  <c r="BC893" i="2"/>
  <c r="AO893" i="2"/>
  <c r="BB893" i="2" s="1"/>
  <c r="AN893" i="2"/>
  <c r="BA893" i="2" s="1"/>
  <c r="AM893" i="2"/>
  <c r="AZ893" i="2" s="1"/>
  <c r="AL893" i="2"/>
  <c r="AY893" i="2" s="1"/>
  <c r="AK893" i="2"/>
  <c r="AX893" i="2" s="1"/>
  <c r="AJ893" i="2"/>
  <c r="AW893" i="2" s="1"/>
  <c r="AI893" i="2"/>
  <c r="AV893" i="2" s="1"/>
  <c r="AH893" i="2"/>
  <c r="AU893" i="2" s="1"/>
  <c r="AG893" i="2"/>
  <c r="AT893" i="2" s="1"/>
  <c r="AF893" i="2"/>
  <c r="AS893" i="2" s="1"/>
  <c r="AE893" i="2"/>
  <c r="AR893" i="2" s="1"/>
  <c r="AD893" i="2"/>
  <c r="AQ893" i="2" s="1"/>
  <c r="AA893" i="2"/>
  <c r="Z893" i="2"/>
  <c r="AP893" i="2" s="1"/>
  <c r="D893" i="2"/>
  <c r="A893" i="2"/>
  <c r="BC892" i="2"/>
  <c r="AO892" i="2"/>
  <c r="BB892" i="2" s="1"/>
  <c r="AN892" i="2"/>
  <c r="BA892" i="2" s="1"/>
  <c r="AM892" i="2"/>
  <c r="AZ892" i="2" s="1"/>
  <c r="AL892" i="2"/>
  <c r="AY892" i="2" s="1"/>
  <c r="AK892" i="2"/>
  <c r="AX892" i="2" s="1"/>
  <c r="AJ892" i="2"/>
  <c r="AW892" i="2" s="1"/>
  <c r="AI892" i="2"/>
  <c r="AV892" i="2" s="1"/>
  <c r="AH892" i="2"/>
  <c r="AU892" i="2" s="1"/>
  <c r="AG892" i="2"/>
  <c r="AT892" i="2" s="1"/>
  <c r="AF892" i="2"/>
  <c r="AS892" i="2" s="1"/>
  <c r="AE892" i="2"/>
  <c r="AR892" i="2" s="1"/>
  <c r="AD892" i="2"/>
  <c r="AQ892" i="2" s="1"/>
  <c r="AA892" i="2"/>
  <c r="Z892" i="2"/>
  <c r="AP892" i="2" s="1"/>
  <c r="D892" i="2"/>
  <c r="A892" i="2"/>
  <c r="BC891" i="2"/>
  <c r="AO891" i="2"/>
  <c r="BB891" i="2" s="1"/>
  <c r="AN891" i="2"/>
  <c r="BA891" i="2" s="1"/>
  <c r="AM891" i="2"/>
  <c r="AZ891" i="2" s="1"/>
  <c r="AL891" i="2"/>
  <c r="AY891" i="2" s="1"/>
  <c r="AK891" i="2"/>
  <c r="AX891" i="2" s="1"/>
  <c r="AJ891" i="2"/>
  <c r="AW891" i="2" s="1"/>
  <c r="AI891" i="2"/>
  <c r="AV891" i="2" s="1"/>
  <c r="AH891" i="2"/>
  <c r="AU891" i="2" s="1"/>
  <c r="AG891" i="2"/>
  <c r="AT891" i="2" s="1"/>
  <c r="AF891" i="2"/>
  <c r="AS891" i="2" s="1"/>
  <c r="AE891" i="2"/>
  <c r="AR891" i="2" s="1"/>
  <c r="AD891" i="2"/>
  <c r="AQ891" i="2" s="1"/>
  <c r="AA891" i="2"/>
  <c r="Z891" i="2"/>
  <c r="AP891" i="2" s="1"/>
  <c r="D891" i="2"/>
  <c r="A891" i="2"/>
  <c r="BC890" i="2"/>
  <c r="AO890" i="2"/>
  <c r="BB890" i="2" s="1"/>
  <c r="AN890" i="2"/>
  <c r="BA890" i="2" s="1"/>
  <c r="AM890" i="2"/>
  <c r="AZ890" i="2" s="1"/>
  <c r="AL890" i="2"/>
  <c r="AY890" i="2" s="1"/>
  <c r="AK890" i="2"/>
  <c r="AX890" i="2" s="1"/>
  <c r="AJ890" i="2"/>
  <c r="AW890" i="2" s="1"/>
  <c r="AI890" i="2"/>
  <c r="AV890" i="2" s="1"/>
  <c r="AH890" i="2"/>
  <c r="AU890" i="2" s="1"/>
  <c r="AG890" i="2"/>
  <c r="AT890" i="2" s="1"/>
  <c r="AF890" i="2"/>
  <c r="AS890" i="2" s="1"/>
  <c r="AE890" i="2"/>
  <c r="AR890" i="2" s="1"/>
  <c r="AD890" i="2"/>
  <c r="AQ890" i="2" s="1"/>
  <c r="AA890" i="2"/>
  <c r="Z890" i="2"/>
  <c r="AP890" i="2" s="1"/>
  <c r="D890" i="2"/>
  <c r="A890" i="2"/>
  <c r="BC889" i="2"/>
  <c r="AO889" i="2"/>
  <c r="BB889" i="2" s="1"/>
  <c r="AN889" i="2"/>
  <c r="BA889" i="2" s="1"/>
  <c r="AM889" i="2"/>
  <c r="AZ889" i="2" s="1"/>
  <c r="AL889" i="2"/>
  <c r="AY889" i="2" s="1"/>
  <c r="AK889" i="2"/>
  <c r="AX889" i="2" s="1"/>
  <c r="AJ889" i="2"/>
  <c r="AW889" i="2" s="1"/>
  <c r="AI889" i="2"/>
  <c r="AV889" i="2" s="1"/>
  <c r="AH889" i="2"/>
  <c r="AU889" i="2" s="1"/>
  <c r="AG889" i="2"/>
  <c r="AT889" i="2" s="1"/>
  <c r="AF889" i="2"/>
  <c r="AS889" i="2" s="1"/>
  <c r="AE889" i="2"/>
  <c r="AR889" i="2" s="1"/>
  <c r="AD889" i="2"/>
  <c r="AQ889" i="2" s="1"/>
  <c r="AA889" i="2"/>
  <c r="Z889" i="2"/>
  <c r="AP889" i="2" s="1"/>
  <c r="D889" i="2"/>
  <c r="A889" i="2"/>
  <c r="BC888" i="2"/>
  <c r="AO888" i="2"/>
  <c r="BB888" i="2" s="1"/>
  <c r="AN888" i="2"/>
  <c r="BA888" i="2" s="1"/>
  <c r="AM888" i="2"/>
  <c r="AZ888" i="2" s="1"/>
  <c r="AL888" i="2"/>
  <c r="AY888" i="2" s="1"/>
  <c r="AK888" i="2"/>
  <c r="AX888" i="2" s="1"/>
  <c r="AJ888" i="2"/>
  <c r="AW888" i="2" s="1"/>
  <c r="AI888" i="2"/>
  <c r="AV888" i="2" s="1"/>
  <c r="AH888" i="2"/>
  <c r="AU888" i="2" s="1"/>
  <c r="AG888" i="2"/>
  <c r="AT888" i="2" s="1"/>
  <c r="AF888" i="2"/>
  <c r="AS888" i="2" s="1"/>
  <c r="AE888" i="2"/>
  <c r="AR888" i="2" s="1"/>
  <c r="AD888" i="2"/>
  <c r="AQ888" i="2" s="1"/>
  <c r="AA888" i="2"/>
  <c r="Z888" i="2"/>
  <c r="AP888" i="2" s="1"/>
  <c r="D888" i="2"/>
  <c r="A888" i="2"/>
  <c r="BC887" i="2"/>
  <c r="AO887" i="2"/>
  <c r="BB887" i="2" s="1"/>
  <c r="AN887" i="2"/>
  <c r="BA887" i="2" s="1"/>
  <c r="AM887" i="2"/>
  <c r="AZ887" i="2" s="1"/>
  <c r="AL887" i="2"/>
  <c r="AY887" i="2" s="1"/>
  <c r="AK887" i="2"/>
  <c r="AX887" i="2" s="1"/>
  <c r="AJ887" i="2"/>
  <c r="AW887" i="2" s="1"/>
  <c r="AI887" i="2"/>
  <c r="AV887" i="2" s="1"/>
  <c r="AH887" i="2"/>
  <c r="AU887" i="2" s="1"/>
  <c r="AG887" i="2"/>
  <c r="AT887" i="2" s="1"/>
  <c r="AF887" i="2"/>
  <c r="AS887" i="2" s="1"/>
  <c r="AE887" i="2"/>
  <c r="AR887" i="2" s="1"/>
  <c r="AD887" i="2"/>
  <c r="AQ887" i="2" s="1"/>
  <c r="AA887" i="2"/>
  <c r="Z887" i="2"/>
  <c r="AP887" i="2" s="1"/>
  <c r="D887" i="2"/>
  <c r="A887" i="2"/>
  <c r="BC886" i="2"/>
  <c r="AO886" i="2"/>
  <c r="BB886" i="2" s="1"/>
  <c r="AN886" i="2"/>
  <c r="BA886" i="2" s="1"/>
  <c r="AM886" i="2"/>
  <c r="AZ886" i="2" s="1"/>
  <c r="AL886" i="2"/>
  <c r="AY886" i="2" s="1"/>
  <c r="AK886" i="2"/>
  <c r="AX886" i="2" s="1"/>
  <c r="AJ886" i="2"/>
  <c r="AW886" i="2" s="1"/>
  <c r="AI886" i="2"/>
  <c r="AV886" i="2" s="1"/>
  <c r="AH886" i="2"/>
  <c r="AU886" i="2" s="1"/>
  <c r="AG886" i="2"/>
  <c r="AT886" i="2" s="1"/>
  <c r="AF886" i="2"/>
  <c r="AS886" i="2" s="1"/>
  <c r="AE886" i="2"/>
  <c r="AR886" i="2" s="1"/>
  <c r="AD886" i="2"/>
  <c r="AQ886" i="2" s="1"/>
  <c r="AA886" i="2"/>
  <c r="Z886" i="2"/>
  <c r="AP886" i="2" s="1"/>
  <c r="D886" i="2"/>
  <c r="A886" i="2"/>
  <c r="BC885" i="2"/>
  <c r="AO885" i="2"/>
  <c r="BB885" i="2" s="1"/>
  <c r="AN885" i="2"/>
  <c r="BA885" i="2" s="1"/>
  <c r="AM885" i="2"/>
  <c r="AZ885" i="2" s="1"/>
  <c r="AL885" i="2"/>
  <c r="AY885" i="2" s="1"/>
  <c r="AK885" i="2"/>
  <c r="AX885" i="2" s="1"/>
  <c r="AJ885" i="2"/>
  <c r="AW885" i="2" s="1"/>
  <c r="AI885" i="2"/>
  <c r="AV885" i="2" s="1"/>
  <c r="AH885" i="2"/>
  <c r="AU885" i="2" s="1"/>
  <c r="AG885" i="2"/>
  <c r="AT885" i="2" s="1"/>
  <c r="AF885" i="2"/>
  <c r="AS885" i="2" s="1"/>
  <c r="AE885" i="2"/>
  <c r="AR885" i="2" s="1"/>
  <c r="AD885" i="2"/>
  <c r="AQ885" i="2" s="1"/>
  <c r="AA885" i="2"/>
  <c r="Z885" i="2"/>
  <c r="AP885" i="2" s="1"/>
  <c r="D885" i="2"/>
  <c r="A885" i="2"/>
  <c r="BC884" i="2"/>
  <c r="AO884" i="2"/>
  <c r="BB884" i="2" s="1"/>
  <c r="AN884" i="2"/>
  <c r="BA884" i="2" s="1"/>
  <c r="AM884" i="2"/>
  <c r="AZ884" i="2" s="1"/>
  <c r="AL884" i="2"/>
  <c r="AY884" i="2" s="1"/>
  <c r="AK884" i="2"/>
  <c r="AX884" i="2" s="1"/>
  <c r="AJ884" i="2"/>
  <c r="AW884" i="2" s="1"/>
  <c r="AI884" i="2"/>
  <c r="AV884" i="2" s="1"/>
  <c r="AH884" i="2"/>
  <c r="AU884" i="2" s="1"/>
  <c r="AG884" i="2"/>
  <c r="AT884" i="2" s="1"/>
  <c r="AF884" i="2"/>
  <c r="AS884" i="2" s="1"/>
  <c r="AE884" i="2"/>
  <c r="AR884" i="2" s="1"/>
  <c r="AD884" i="2"/>
  <c r="AQ884" i="2" s="1"/>
  <c r="AA884" i="2"/>
  <c r="Z884" i="2"/>
  <c r="AP884" i="2" s="1"/>
  <c r="D884" i="2"/>
  <c r="A884" i="2"/>
  <c r="BC883" i="2"/>
  <c r="AW883" i="2"/>
  <c r="AO883" i="2"/>
  <c r="BB883" i="2" s="1"/>
  <c r="AN883" i="2"/>
  <c r="BA883" i="2" s="1"/>
  <c r="AM883" i="2"/>
  <c r="AZ883" i="2" s="1"/>
  <c r="AL883" i="2"/>
  <c r="AY883" i="2" s="1"/>
  <c r="AK883" i="2"/>
  <c r="AX883" i="2" s="1"/>
  <c r="AJ883" i="2"/>
  <c r="AI883" i="2"/>
  <c r="AV883" i="2" s="1"/>
  <c r="AH883" i="2"/>
  <c r="AU883" i="2" s="1"/>
  <c r="AG883" i="2"/>
  <c r="AT883" i="2" s="1"/>
  <c r="AF883" i="2"/>
  <c r="AS883" i="2" s="1"/>
  <c r="AE883" i="2"/>
  <c r="AR883" i="2" s="1"/>
  <c r="AD883" i="2"/>
  <c r="AQ883" i="2" s="1"/>
  <c r="AA883" i="2"/>
  <c r="Z883" i="2"/>
  <c r="AP883" i="2" s="1"/>
  <c r="D883" i="2"/>
  <c r="A883" i="2"/>
  <c r="BC882" i="2"/>
  <c r="AP882" i="2"/>
  <c r="AO882" i="2"/>
  <c r="BB882" i="2" s="1"/>
  <c r="AN882" i="2"/>
  <c r="BA882" i="2" s="1"/>
  <c r="AM882" i="2"/>
  <c r="AZ882" i="2" s="1"/>
  <c r="AL882" i="2"/>
  <c r="AY882" i="2" s="1"/>
  <c r="AK882" i="2"/>
  <c r="AX882" i="2" s="1"/>
  <c r="AJ882" i="2"/>
  <c r="AW882" i="2" s="1"/>
  <c r="AI882" i="2"/>
  <c r="AV882" i="2" s="1"/>
  <c r="AH882" i="2"/>
  <c r="AU882" i="2" s="1"/>
  <c r="AG882" i="2"/>
  <c r="AT882" i="2" s="1"/>
  <c r="AF882" i="2"/>
  <c r="AS882" i="2" s="1"/>
  <c r="AE882" i="2"/>
  <c r="AR882" i="2" s="1"/>
  <c r="AD882" i="2"/>
  <c r="AQ882" i="2" s="1"/>
  <c r="AA882" i="2"/>
  <c r="Z882" i="2"/>
  <c r="D882" i="2"/>
  <c r="A882" i="2"/>
  <c r="BC881" i="2"/>
  <c r="AO881" i="2"/>
  <c r="BB881" i="2" s="1"/>
  <c r="AN881" i="2"/>
  <c r="BA881" i="2" s="1"/>
  <c r="AM881" i="2"/>
  <c r="AZ881" i="2" s="1"/>
  <c r="AL881" i="2"/>
  <c r="AY881" i="2" s="1"/>
  <c r="AK881" i="2"/>
  <c r="AX881" i="2" s="1"/>
  <c r="AJ881" i="2"/>
  <c r="AW881" i="2" s="1"/>
  <c r="AI881" i="2"/>
  <c r="AV881" i="2" s="1"/>
  <c r="AH881" i="2"/>
  <c r="AU881" i="2" s="1"/>
  <c r="AG881" i="2"/>
  <c r="AT881" i="2" s="1"/>
  <c r="AF881" i="2"/>
  <c r="AS881" i="2" s="1"/>
  <c r="AE881" i="2"/>
  <c r="AR881" i="2" s="1"/>
  <c r="AD881" i="2"/>
  <c r="AQ881" i="2" s="1"/>
  <c r="AA881" i="2"/>
  <c r="Z881" i="2"/>
  <c r="AP881" i="2" s="1"/>
  <c r="D881" i="2"/>
  <c r="A881" i="2"/>
  <c r="BC880" i="2"/>
  <c r="AO880" i="2"/>
  <c r="BB880" i="2" s="1"/>
  <c r="AN880" i="2"/>
  <c r="BA880" i="2" s="1"/>
  <c r="AM880" i="2"/>
  <c r="AZ880" i="2" s="1"/>
  <c r="AL880" i="2"/>
  <c r="AY880" i="2" s="1"/>
  <c r="AK880" i="2"/>
  <c r="AX880" i="2" s="1"/>
  <c r="AJ880" i="2"/>
  <c r="AW880" i="2" s="1"/>
  <c r="AI880" i="2"/>
  <c r="AV880" i="2" s="1"/>
  <c r="AH880" i="2"/>
  <c r="AU880" i="2" s="1"/>
  <c r="AG880" i="2"/>
  <c r="AT880" i="2" s="1"/>
  <c r="AF880" i="2"/>
  <c r="AS880" i="2" s="1"/>
  <c r="AE880" i="2"/>
  <c r="AR880" i="2" s="1"/>
  <c r="AD880" i="2"/>
  <c r="AQ880" i="2" s="1"/>
  <c r="AA880" i="2"/>
  <c r="Z880" i="2"/>
  <c r="AP880" i="2" s="1"/>
  <c r="D880" i="2"/>
  <c r="A880" i="2"/>
  <c r="BC879" i="2"/>
  <c r="AS879" i="2"/>
  <c r="AO879" i="2"/>
  <c r="BB879" i="2" s="1"/>
  <c r="AN879" i="2"/>
  <c r="BA879" i="2" s="1"/>
  <c r="AM879" i="2"/>
  <c r="AZ879" i="2" s="1"/>
  <c r="AL879" i="2"/>
  <c r="AY879" i="2" s="1"/>
  <c r="AK879" i="2"/>
  <c r="AX879" i="2" s="1"/>
  <c r="AJ879" i="2"/>
  <c r="AW879" i="2" s="1"/>
  <c r="AI879" i="2"/>
  <c r="AV879" i="2" s="1"/>
  <c r="AH879" i="2"/>
  <c r="AU879" i="2" s="1"/>
  <c r="AG879" i="2"/>
  <c r="AT879" i="2" s="1"/>
  <c r="AF879" i="2"/>
  <c r="AE879" i="2"/>
  <c r="AR879" i="2" s="1"/>
  <c r="AD879" i="2"/>
  <c r="AQ879" i="2" s="1"/>
  <c r="AA879" i="2"/>
  <c r="Z879" i="2"/>
  <c r="AP879" i="2" s="1"/>
  <c r="D879" i="2"/>
  <c r="A879" i="2"/>
  <c r="BC878" i="2"/>
  <c r="AO878" i="2"/>
  <c r="BB878" i="2" s="1"/>
  <c r="AN878" i="2"/>
  <c r="BA878" i="2" s="1"/>
  <c r="AM878" i="2"/>
  <c r="AZ878" i="2" s="1"/>
  <c r="AL878" i="2"/>
  <c r="AY878" i="2" s="1"/>
  <c r="AK878" i="2"/>
  <c r="AX878" i="2" s="1"/>
  <c r="AJ878" i="2"/>
  <c r="AW878" i="2" s="1"/>
  <c r="AI878" i="2"/>
  <c r="AV878" i="2" s="1"/>
  <c r="AH878" i="2"/>
  <c r="AU878" i="2" s="1"/>
  <c r="AG878" i="2"/>
  <c r="AT878" i="2" s="1"/>
  <c r="AF878" i="2"/>
  <c r="AS878" i="2" s="1"/>
  <c r="AE878" i="2"/>
  <c r="AR878" i="2" s="1"/>
  <c r="AD878" i="2"/>
  <c r="AQ878" i="2" s="1"/>
  <c r="AA878" i="2"/>
  <c r="Z878" i="2"/>
  <c r="AP878" i="2" s="1"/>
  <c r="D878" i="2"/>
  <c r="A878" i="2"/>
  <c r="BC877" i="2"/>
  <c r="AS877" i="2"/>
  <c r="AO877" i="2"/>
  <c r="BB877" i="2" s="1"/>
  <c r="AN877" i="2"/>
  <c r="BA877" i="2" s="1"/>
  <c r="AM877" i="2"/>
  <c r="AZ877" i="2" s="1"/>
  <c r="AL877" i="2"/>
  <c r="AY877" i="2" s="1"/>
  <c r="AK877" i="2"/>
  <c r="AX877" i="2" s="1"/>
  <c r="AJ877" i="2"/>
  <c r="AW877" i="2" s="1"/>
  <c r="AI877" i="2"/>
  <c r="AV877" i="2" s="1"/>
  <c r="AH877" i="2"/>
  <c r="AU877" i="2" s="1"/>
  <c r="AG877" i="2"/>
  <c r="AT877" i="2" s="1"/>
  <c r="AF877" i="2"/>
  <c r="AE877" i="2"/>
  <c r="AR877" i="2" s="1"/>
  <c r="AD877" i="2"/>
  <c r="AQ877" i="2" s="1"/>
  <c r="AA877" i="2"/>
  <c r="Z877" i="2"/>
  <c r="AP877" i="2" s="1"/>
  <c r="D877" i="2"/>
  <c r="A877" i="2"/>
  <c r="BC876" i="2"/>
  <c r="AO876" i="2"/>
  <c r="BB876" i="2" s="1"/>
  <c r="AN876" i="2"/>
  <c r="BA876" i="2" s="1"/>
  <c r="AM876" i="2"/>
  <c r="AZ876" i="2" s="1"/>
  <c r="AL876" i="2"/>
  <c r="AY876" i="2" s="1"/>
  <c r="AK876" i="2"/>
  <c r="AX876" i="2" s="1"/>
  <c r="AJ876" i="2"/>
  <c r="AW876" i="2" s="1"/>
  <c r="AI876" i="2"/>
  <c r="AV876" i="2" s="1"/>
  <c r="AH876" i="2"/>
  <c r="AU876" i="2" s="1"/>
  <c r="AG876" i="2"/>
  <c r="AT876" i="2" s="1"/>
  <c r="AF876" i="2"/>
  <c r="AS876" i="2" s="1"/>
  <c r="AE876" i="2"/>
  <c r="AR876" i="2" s="1"/>
  <c r="AD876" i="2"/>
  <c r="AQ876" i="2" s="1"/>
  <c r="AA876" i="2"/>
  <c r="Z876" i="2"/>
  <c r="AP876" i="2" s="1"/>
  <c r="D876" i="2"/>
  <c r="A876" i="2"/>
  <c r="BC875" i="2"/>
  <c r="AO875" i="2"/>
  <c r="BB875" i="2" s="1"/>
  <c r="AN875" i="2"/>
  <c r="BA875" i="2" s="1"/>
  <c r="AM875" i="2"/>
  <c r="AZ875" i="2" s="1"/>
  <c r="AL875" i="2"/>
  <c r="AY875" i="2" s="1"/>
  <c r="AK875" i="2"/>
  <c r="AX875" i="2" s="1"/>
  <c r="AJ875" i="2"/>
  <c r="AW875" i="2" s="1"/>
  <c r="AI875" i="2"/>
  <c r="AV875" i="2" s="1"/>
  <c r="AH875" i="2"/>
  <c r="AU875" i="2" s="1"/>
  <c r="AG875" i="2"/>
  <c r="AT875" i="2" s="1"/>
  <c r="AF875" i="2"/>
  <c r="AS875" i="2" s="1"/>
  <c r="AE875" i="2"/>
  <c r="AR875" i="2" s="1"/>
  <c r="AD875" i="2"/>
  <c r="AQ875" i="2" s="1"/>
  <c r="AA875" i="2"/>
  <c r="Z875" i="2"/>
  <c r="AP875" i="2" s="1"/>
  <c r="D875" i="2"/>
  <c r="A875" i="2"/>
  <c r="BC874" i="2"/>
  <c r="AW874" i="2"/>
  <c r="AO874" i="2"/>
  <c r="BB874" i="2" s="1"/>
  <c r="AN874" i="2"/>
  <c r="BA874" i="2" s="1"/>
  <c r="AM874" i="2"/>
  <c r="AZ874" i="2" s="1"/>
  <c r="AL874" i="2"/>
  <c r="AY874" i="2" s="1"/>
  <c r="AK874" i="2"/>
  <c r="AX874" i="2" s="1"/>
  <c r="AJ874" i="2"/>
  <c r="AI874" i="2"/>
  <c r="AV874" i="2" s="1"/>
  <c r="AH874" i="2"/>
  <c r="AU874" i="2" s="1"/>
  <c r="AG874" i="2"/>
  <c r="AT874" i="2" s="1"/>
  <c r="AF874" i="2"/>
  <c r="AS874" i="2" s="1"/>
  <c r="AE874" i="2"/>
  <c r="AR874" i="2" s="1"/>
  <c r="AD874" i="2"/>
  <c r="AQ874" i="2" s="1"/>
  <c r="AA874" i="2"/>
  <c r="Z874" i="2"/>
  <c r="AP874" i="2" s="1"/>
  <c r="D874" i="2"/>
  <c r="A874" i="2"/>
  <c r="BC873" i="2"/>
  <c r="AO873" i="2"/>
  <c r="BB873" i="2" s="1"/>
  <c r="AN873" i="2"/>
  <c r="BA873" i="2" s="1"/>
  <c r="AM873" i="2"/>
  <c r="AZ873" i="2" s="1"/>
  <c r="AL873" i="2"/>
  <c r="AY873" i="2" s="1"/>
  <c r="AK873" i="2"/>
  <c r="AX873" i="2" s="1"/>
  <c r="AJ873" i="2"/>
  <c r="AW873" i="2" s="1"/>
  <c r="AI873" i="2"/>
  <c r="AV873" i="2" s="1"/>
  <c r="AH873" i="2"/>
  <c r="AU873" i="2" s="1"/>
  <c r="AG873" i="2"/>
  <c r="AT873" i="2" s="1"/>
  <c r="AF873" i="2"/>
  <c r="AS873" i="2" s="1"/>
  <c r="AE873" i="2"/>
  <c r="AR873" i="2" s="1"/>
  <c r="AD873" i="2"/>
  <c r="AQ873" i="2" s="1"/>
  <c r="AA873" i="2"/>
  <c r="Z873" i="2"/>
  <c r="AP873" i="2" s="1"/>
  <c r="D873" i="2"/>
  <c r="A873" i="2"/>
  <c r="BC872" i="2"/>
  <c r="AO872" i="2"/>
  <c r="BB872" i="2" s="1"/>
  <c r="AN872" i="2"/>
  <c r="BA872" i="2" s="1"/>
  <c r="AM872" i="2"/>
  <c r="AZ872" i="2" s="1"/>
  <c r="AL872" i="2"/>
  <c r="AY872" i="2" s="1"/>
  <c r="AK872" i="2"/>
  <c r="AX872" i="2" s="1"/>
  <c r="AJ872" i="2"/>
  <c r="AW872" i="2" s="1"/>
  <c r="AI872" i="2"/>
  <c r="AV872" i="2" s="1"/>
  <c r="AH872" i="2"/>
  <c r="AU872" i="2" s="1"/>
  <c r="AG872" i="2"/>
  <c r="AT872" i="2" s="1"/>
  <c r="AF872" i="2"/>
  <c r="AS872" i="2" s="1"/>
  <c r="AE872" i="2"/>
  <c r="AR872" i="2" s="1"/>
  <c r="AD872" i="2"/>
  <c r="AQ872" i="2" s="1"/>
  <c r="AA872" i="2"/>
  <c r="Z872" i="2"/>
  <c r="AP872" i="2" s="1"/>
  <c r="D872" i="2"/>
  <c r="A872" i="2"/>
  <c r="BC871" i="2"/>
  <c r="AO871" i="2"/>
  <c r="BB871" i="2" s="1"/>
  <c r="AN871" i="2"/>
  <c r="BA871" i="2" s="1"/>
  <c r="AM871" i="2"/>
  <c r="AZ871" i="2" s="1"/>
  <c r="AL871" i="2"/>
  <c r="AY871" i="2" s="1"/>
  <c r="AK871" i="2"/>
  <c r="AX871" i="2" s="1"/>
  <c r="AJ871" i="2"/>
  <c r="AW871" i="2" s="1"/>
  <c r="AI871" i="2"/>
  <c r="AV871" i="2" s="1"/>
  <c r="AH871" i="2"/>
  <c r="AU871" i="2" s="1"/>
  <c r="AG871" i="2"/>
  <c r="AT871" i="2" s="1"/>
  <c r="AF871" i="2"/>
  <c r="AS871" i="2" s="1"/>
  <c r="AE871" i="2"/>
  <c r="AR871" i="2" s="1"/>
  <c r="AD871" i="2"/>
  <c r="AQ871" i="2" s="1"/>
  <c r="AA871" i="2"/>
  <c r="Z871" i="2"/>
  <c r="AP871" i="2" s="1"/>
  <c r="D871" i="2"/>
  <c r="A871" i="2"/>
  <c r="BC870" i="2"/>
  <c r="AO870" i="2"/>
  <c r="BB870" i="2" s="1"/>
  <c r="AN870" i="2"/>
  <c r="BA870" i="2" s="1"/>
  <c r="AM870" i="2"/>
  <c r="AZ870" i="2" s="1"/>
  <c r="AL870" i="2"/>
  <c r="AY870" i="2" s="1"/>
  <c r="AK870" i="2"/>
  <c r="AX870" i="2" s="1"/>
  <c r="AJ870" i="2"/>
  <c r="AW870" i="2" s="1"/>
  <c r="AI870" i="2"/>
  <c r="AV870" i="2" s="1"/>
  <c r="AH870" i="2"/>
  <c r="AU870" i="2" s="1"/>
  <c r="AG870" i="2"/>
  <c r="AT870" i="2" s="1"/>
  <c r="AF870" i="2"/>
  <c r="AS870" i="2" s="1"/>
  <c r="AE870" i="2"/>
  <c r="AR870" i="2" s="1"/>
  <c r="AD870" i="2"/>
  <c r="AQ870" i="2" s="1"/>
  <c r="AA870" i="2"/>
  <c r="Z870" i="2"/>
  <c r="AP870" i="2" s="1"/>
  <c r="D870" i="2"/>
  <c r="A870" i="2"/>
  <c r="BC869" i="2"/>
  <c r="BA869" i="2"/>
  <c r="AS869" i="2"/>
  <c r="AO869" i="2"/>
  <c r="BB869" i="2" s="1"/>
  <c r="AN869" i="2"/>
  <c r="AM869" i="2"/>
  <c r="AZ869" i="2" s="1"/>
  <c r="AL869" i="2"/>
  <c r="AY869" i="2" s="1"/>
  <c r="AK869" i="2"/>
  <c r="AX869" i="2" s="1"/>
  <c r="AJ869" i="2"/>
  <c r="AW869" i="2" s="1"/>
  <c r="AI869" i="2"/>
  <c r="AV869" i="2" s="1"/>
  <c r="AH869" i="2"/>
  <c r="AU869" i="2" s="1"/>
  <c r="AG869" i="2"/>
  <c r="AT869" i="2" s="1"/>
  <c r="AF869" i="2"/>
  <c r="AE869" i="2"/>
  <c r="AR869" i="2" s="1"/>
  <c r="AD869" i="2"/>
  <c r="AQ869" i="2" s="1"/>
  <c r="AA869" i="2"/>
  <c r="Z869" i="2"/>
  <c r="AP869" i="2" s="1"/>
  <c r="D869" i="2"/>
  <c r="A869" i="2"/>
  <c r="BC868" i="2"/>
  <c r="AO868" i="2"/>
  <c r="BB868" i="2" s="1"/>
  <c r="AN868" i="2"/>
  <c r="BA868" i="2" s="1"/>
  <c r="AM868" i="2"/>
  <c r="AZ868" i="2" s="1"/>
  <c r="AL868" i="2"/>
  <c r="AY868" i="2" s="1"/>
  <c r="AK868" i="2"/>
  <c r="AX868" i="2" s="1"/>
  <c r="AJ868" i="2"/>
  <c r="AW868" i="2" s="1"/>
  <c r="AI868" i="2"/>
  <c r="AV868" i="2" s="1"/>
  <c r="AH868" i="2"/>
  <c r="AU868" i="2" s="1"/>
  <c r="AG868" i="2"/>
  <c r="AT868" i="2" s="1"/>
  <c r="AF868" i="2"/>
  <c r="AS868" i="2" s="1"/>
  <c r="AE868" i="2"/>
  <c r="AR868" i="2" s="1"/>
  <c r="AD868" i="2"/>
  <c r="AQ868" i="2" s="1"/>
  <c r="AA868" i="2"/>
  <c r="Z868" i="2"/>
  <c r="AP868" i="2" s="1"/>
  <c r="D868" i="2"/>
  <c r="A868" i="2"/>
  <c r="BC867" i="2"/>
  <c r="AW867" i="2"/>
  <c r="AO867" i="2"/>
  <c r="BB867" i="2" s="1"/>
  <c r="AN867" i="2"/>
  <c r="BA867" i="2" s="1"/>
  <c r="AM867" i="2"/>
  <c r="AZ867" i="2" s="1"/>
  <c r="AL867" i="2"/>
  <c r="AY867" i="2" s="1"/>
  <c r="AK867" i="2"/>
  <c r="AX867" i="2" s="1"/>
  <c r="AJ867" i="2"/>
  <c r="AI867" i="2"/>
  <c r="AV867" i="2" s="1"/>
  <c r="AH867" i="2"/>
  <c r="AU867" i="2" s="1"/>
  <c r="AG867" i="2"/>
  <c r="AT867" i="2" s="1"/>
  <c r="AF867" i="2"/>
  <c r="AS867" i="2" s="1"/>
  <c r="AE867" i="2"/>
  <c r="AR867" i="2" s="1"/>
  <c r="AD867" i="2"/>
  <c r="AQ867" i="2" s="1"/>
  <c r="AA867" i="2"/>
  <c r="Z867" i="2"/>
  <c r="AP867" i="2" s="1"/>
  <c r="D867" i="2"/>
  <c r="A867" i="2"/>
  <c r="BC866" i="2"/>
  <c r="AP866" i="2"/>
  <c r="AO866" i="2"/>
  <c r="BB866" i="2" s="1"/>
  <c r="AN866" i="2"/>
  <c r="BA866" i="2" s="1"/>
  <c r="AM866" i="2"/>
  <c r="AZ866" i="2" s="1"/>
  <c r="AL866" i="2"/>
  <c r="AY866" i="2" s="1"/>
  <c r="AK866" i="2"/>
  <c r="AX866" i="2" s="1"/>
  <c r="AJ866" i="2"/>
  <c r="AW866" i="2" s="1"/>
  <c r="AI866" i="2"/>
  <c r="AV866" i="2" s="1"/>
  <c r="AH866" i="2"/>
  <c r="AU866" i="2" s="1"/>
  <c r="AG866" i="2"/>
  <c r="AT866" i="2" s="1"/>
  <c r="AF866" i="2"/>
  <c r="AS866" i="2" s="1"/>
  <c r="AE866" i="2"/>
  <c r="AR866" i="2" s="1"/>
  <c r="AD866" i="2"/>
  <c r="AQ866" i="2" s="1"/>
  <c r="AA866" i="2"/>
  <c r="Z866" i="2"/>
  <c r="D866" i="2"/>
  <c r="A866" i="2"/>
  <c r="BC865" i="2"/>
  <c r="AO865" i="2"/>
  <c r="BB865" i="2" s="1"/>
  <c r="AN865" i="2"/>
  <c r="BA865" i="2" s="1"/>
  <c r="AM865" i="2"/>
  <c r="AZ865" i="2" s="1"/>
  <c r="AL865" i="2"/>
  <c r="AY865" i="2" s="1"/>
  <c r="AK865" i="2"/>
  <c r="AX865" i="2" s="1"/>
  <c r="AJ865" i="2"/>
  <c r="AW865" i="2" s="1"/>
  <c r="AI865" i="2"/>
  <c r="AV865" i="2" s="1"/>
  <c r="AH865" i="2"/>
  <c r="AU865" i="2" s="1"/>
  <c r="AG865" i="2"/>
  <c r="AT865" i="2" s="1"/>
  <c r="AF865" i="2"/>
  <c r="AS865" i="2" s="1"/>
  <c r="AE865" i="2"/>
  <c r="AR865" i="2" s="1"/>
  <c r="AD865" i="2"/>
  <c r="AQ865" i="2" s="1"/>
  <c r="AA865" i="2"/>
  <c r="Z865" i="2"/>
  <c r="AP865" i="2" s="1"/>
  <c r="D865" i="2"/>
  <c r="A865" i="2"/>
  <c r="BC864" i="2"/>
  <c r="AO864" i="2"/>
  <c r="BB864" i="2" s="1"/>
  <c r="AN864" i="2"/>
  <c r="BA864" i="2" s="1"/>
  <c r="AM864" i="2"/>
  <c r="AZ864" i="2" s="1"/>
  <c r="AL864" i="2"/>
  <c r="AY864" i="2" s="1"/>
  <c r="AK864" i="2"/>
  <c r="AX864" i="2" s="1"/>
  <c r="AJ864" i="2"/>
  <c r="AW864" i="2" s="1"/>
  <c r="AI864" i="2"/>
  <c r="AV864" i="2" s="1"/>
  <c r="AH864" i="2"/>
  <c r="AU864" i="2" s="1"/>
  <c r="AG864" i="2"/>
  <c r="AT864" i="2" s="1"/>
  <c r="AF864" i="2"/>
  <c r="AS864" i="2" s="1"/>
  <c r="AE864" i="2"/>
  <c r="AR864" i="2" s="1"/>
  <c r="AD864" i="2"/>
  <c r="AQ864" i="2" s="1"/>
  <c r="AA864" i="2"/>
  <c r="Z864" i="2"/>
  <c r="AP864" i="2" s="1"/>
  <c r="D864" i="2"/>
  <c r="A864" i="2"/>
  <c r="BC863" i="2"/>
  <c r="AS863" i="2"/>
  <c r="AO863" i="2"/>
  <c r="BB863" i="2" s="1"/>
  <c r="AN863" i="2"/>
  <c r="BA863" i="2" s="1"/>
  <c r="AM863" i="2"/>
  <c r="AZ863" i="2" s="1"/>
  <c r="AL863" i="2"/>
  <c r="AY863" i="2" s="1"/>
  <c r="AK863" i="2"/>
  <c r="AX863" i="2" s="1"/>
  <c r="AJ863" i="2"/>
  <c r="AW863" i="2" s="1"/>
  <c r="AI863" i="2"/>
  <c r="AV863" i="2" s="1"/>
  <c r="AH863" i="2"/>
  <c r="AU863" i="2" s="1"/>
  <c r="AG863" i="2"/>
  <c r="AT863" i="2" s="1"/>
  <c r="AF863" i="2"/>
  <c r="AE863" i="2"/>
  <c r="AR863" i="2" s="1"/>
  <c r="AD863" i="2"/>
  <c r="AQ863" i="2" s="1"/>
  <c r="AA863" i="2"/>
  <c r="Z863" i="2"/>
  <c r="AP863" i="2" s="1"/>
  <c r="D863" i="2"/>
  <c r="A863" i="2"/>
  <c r="BC862" i="2"/>
  <c r="AO862" i="2"/>
  <c r="BB862" i="2" s="1"/>
  <c r="AN862" i="2"/>
  <c r="BA862" i="2" s="1"/>
  <c r="AM862" i="2"/>
  <c r="AZ862" i="2" s="1"/>
  <c r="AL862" i="2"/>
  <c r="AY862" i="2" s="1"/>
  <c r="AK862" i="2"/>
  <c r="AX862" i="2" s="1"/>
  <c r="AJ862" i="2"/>
  <c r="AW862" i="2" s="1"/>
  <c r="AI862" i="2"/>
  <c r="AV862" i="2" s="1"/>
  <c r="AH862" i="2"/>
  <c r="AU862" i="2" s="1"/>
  <c r="AG862" i="2"/>
  <c r="AT862" i="2" s="1"/>
  <c r="AF862" i="2"/>
  <c r="AS862" i="2" s="1"/>
  <c r="AE862" i="2"/>
  <c r="AR862" i="2" s="1"/>
  <c r="AD862" i="2"/>
  <c r="AQ862" i="2" s="1"/>
  <c r="AA862" i="2"/>
  <c r="Z862" i="2"/>
  <c r="AP862" i="2" s="1"/>
  <c r="D862" i="2"/>
  <c r="A862" i="2"/>
  <c r="BC861" i="2"/>
  <c r="AS861" i="2"/>
  <c r="AO861" i="2"/>
  <c r="BB861" i="2" s="1"/>
  <c r="AN861" i="2"/>
  <c r="BA861" i="2" s="1"/>
  <c r="AM861" i="2"/>
  <c r="AZ861" i="2" s="1"/>
  <c r="AL861" i="2"/>
  <c r="AY861" i="2" s="1"/>
  <c r="AK861" i="2"/>
  <c r="AX861" i="2" s="1"/>
  <c r="AJ861" i="2"/>
  <c r="AW861" i="2" s="1"/>
  <c r="AI861" i="2"/>
  <c r="AV861" i="2" s="1"/>
  <c r="AH861" i="2"/>
  <c r="AU861" i="2" s="1"/>
  <c r="AG861" i="2"/>
  <c r="AT861" i="2" s="1"/>
  <c r="AF861" i="2"/>
  <c r="AE861" i="2"/>
  <c r="AR861" i="2" s="1"/>
  <c r="AD861" i="2"/>
  <c r="AQ861" i="2" s="1"/>
  <c r="AA861" i="2"/>
  <c r="Z861" i="2"/>
  <c r="AP861" i="2" s="1"/>
  <c r="D861" i="2"/>
  <c r="A861" i="2"/>
  <c r="BC860" i="2"/>
  <c r="AO860" i="2"/>
  <c r="BB860" i="2" s="1"/>
  <c r="AN860" i="2"/>
  <c r="BA860" i="2" s="1"/>
  <c r="AM860" i="2"/>
  <c r="AZ860" i="2" s="1"/>
  <c r="AL860" i="2"/>
  <c r="AY860" i="2" s="1"/>
  <c r="AK860" i="2"/>
  <c r="AX860" i="2" s="1"/>
  <c r="AJ860" i="2"/>
  <c r="AW860" i="2" s="1"/>
  <c r="AI860" i="2"/>
  <c r="AV860" i="2" s="1"/>
  <c r="AH860" i="2"/>
  <c r="AU860" i="2" s="1"/>
  <c r="AG860" i="2"/>
  <c r="AT860" i="2" s="1"/>
  <c r="AF860" i="2"/>
  <c r="AS860" i="2" s="1"/>
  <c r="AE860" i="2"/>
  <c r="AR860" i="2" s="1"/>
  <c r="AD860" i="2"/>
  <c r="AQ860" i="2" s="1"/>
  <c r="AA860" i="2"/>
  <c r="Z860" i="2"/>
  <c r="AP860" i="2" s="1"/>
  <c r="D860" i="2"/>
  <c r="A860" i="2"/>
  <c r="BC859" i="2"/>
  <c r="BA859" i="2"/>
  <c r="AW859" i="2"/>
  <c r="AO859" i="2"/>
  <c r="BB859" i="2" s="1"/>
  <c r="AN859" i="2"/>
  <c r="AM859" i="2"/>
  <c r="AZ859" i="2" s="1"/>
  <c r="AL859" i="2"/>
  <c r="AY859" i="2" s="1"/>
  <c r="AK859" i="2"/>
  <c r="AX859" i="2" s="1"/>
  <c r="AJ859" i="2"/>
  <c r="AI859" i="2"/>
  <c r="AV859" i="2" s="1"/>
  <c r="AH859" i="2"/>
  <c r="AU859" i="2" s="1"/>
  <c r="AG859" i="2"/>
  <c r="AT859" i="2" s="1"/>
  <c r="AF859" i="2"/>
  <c r="AS859" i="2" s="1"/>
  <c r="AE859" i="2"/>
  <c r="AR859" i="2" s="1"/>
  <c r="AD859" i="2"/>
  <c r="AQ859" i="2" s="1"/>
  <c r="AA859" i="2"/>
  <c r="Z859" i="2"/>
  <c r="AP859" i="2" s="1"/>
  <c r="D859" i="2"/>
  <c r="A859" i="2"/>
  <c r="BC858" i="2"/>
  <c r="AW858" i="2"/>
  <c r="AO858" i="2"/>
  <c r="BB858" i="2" s="1"/>
  <c r="AN858" i="2"/>
  <c r="BA858" i="2" s="1"/>
  <c r="AM858" i="2"/>
  <c r="AZ858" i="2" s="1"/>
  <c r="AL858" i="2"/>
  <c r="AY858" i="2" s="1"/>
  <c r="AK858" i="2"/>
  <c r="AX858" i="2" s="1"/>
  <c r="AJ858" i="2"/>
  <c r="AI858" i="2"/>
  <c r="AV858" i="2" s="1"/>
  <c r="AH858" i="2"/>
  <c r="AU858" i="2" s="1"/>
  <c r="AG858" i="2"/>
  <c r="AT858" i="2" s="1"/>
  <c r="AF858" i="2"/>
  <c r="AS858" i="2" s="1"/>
  <c r="AE858" i="2"/>
  <c r="AR858" i="2" s="1"/>
  <c r="AD858" i="2"/>
  <c r="AQ858" i="2" s="1"/>
  <c r="AA858" i="2"/>
  <c r="Z858" i="2"/>
  <c r="AP858" i="2" s="1"/>
  <c r="D858" i="2"/>
  <c r="A858" i="2"/>
  <c r="BC857" i="2"/>
  <c r="AO857" i="2"/>
  <c r="BB857" i="2" s="1"/>
  <c r="AN857" i="2"/>
  <c r="BA857" i="2" s="1"/>
  <c r="AM857" i="2"/>
  <c r="AZ857" i="2" s="1"/>
  <c r="AL857" i="2"/>
  <c r="AY857" i="2" s="1"/>
  <c r="AK857" i="2"/>
  <c r="AX857" i="2" s="1"/>
  <c r="AJ857" i="2"/>
  <c r="AW857" i="2" s="1"/>
  <c r="AI857" i="2"/>
  <c r="AV857" i="2" s="1"/>
  <c r="AH857" i="2"/>
  <c r="AU857" i="2" s="1"/>
  <c r="AG857" i="2"/>
  <c r="AT857" i="2" s="1"/>
  <c r="AF857" i="2"/>
  <c r="AS857" i="2" s="1"/>
  <c r="AE857" i="2"/>
  <c r="AR857" i="2" s="1"/>
  <c r="AD857" i="2"/>
  <c r="AQ857" i="2" s="1"/>
  <c r="AA857" i="2"/>
  <c r="Z857" i="2"/>
  <c r="AP857" i="2" s="1"/>
  <c r="D857" i="2"/>
  <c r="A857" i="2"/>
  <c r="BC856" i="2"/>
  <c r="AO856" i="2"/>
  <c r="BB856" i="2" s="1"/>
  <c r="AN856" i="2"/>
  <c r="BA856" i="2" s="1"/>
  <c r="AM856" i="2"/>
  <c r="AZ856" i="2" s="1"/>
  <c r="AL856" i="2"/>
  <c r="AY856" i="2" s="1"/>
  <c r="AK856" i="2"/>
  <c r="AX856" i="2" s="1"/>
  <c r="AJ856" i="2"/>
  <c r="AW856" i="2" s="1"/>
  <c r="AI856" i="2"/>
  <c r="AV856" i="2" s="1"/>
  <c r="AH856" i="2"/>
  <c r="AU856" i="2" s="1"/>
  <c r="AG856" i="2"/>
  <c r="AT856" i="2" s="1"/>
  <c r="AF856" i="2"/>
  <c r="AS856" i="2" s="1"/>
  <c r="AE856" i="2"/>
  <c r="AR856" i="2" s="1"/>
  <c r="AD856" i="2"/>
  <c r="AQ856" i="2" s="1"/>
  <c r="AA856" i="2"/>
  <c r="Z856" i="2"/>
  <c r="AP856" i="2" s="1"/>
  <c r="D856" i="2"/>
  <c r="A856" i="2"/>
  <c r="BC855" i="2"/>
  <c r="AO855" i="2"/>
  <c r="BB855" i="2" s="1"/>
  <c r="AN855" i="2"/>
  <c r="BA855" i="2" s="1"/>
  <c r="AM855" i="2"/>
  <c r="AZ855" i="2" s="1"/>
  <c r="AL855" i="2"/>
  <c r="AY855" i="2" s="1"/>
  <c r="AK855" i="2"/>
  <c r="AX855" i="2" s="1"/>
  <c r="AJ855" i="2"/>
  <c r="AW855" i="2" s="1"/>
  <c r="AI855" i="2"/>
  <c r="AV855" i="2" s="1"/>
  <c r="AH855" i="2"/>
  <c r="AU855" i="2" s="1"/>
  <c r="AG855" i="2"/>
  <c r="AT855" i="2" s="1"/>
  <c r="AF855" i="2"/>
  <c r="AS855" i="2" s="1"/>
  <c r="AE855" i="2"/>
  <c r="AR855" i="2" s="1"/>
  <c r="AD855" i="2"/>
  <c r="AQ855" i="2" s="1"/>
  <c r="AA855" i="2"/>
  <c r="Z855" i="2"/>
  <c r="AP855" i="2" s="1"/>
  <c r="D855" i="2"/>
  <c r="A855" i="2"/>
  <c r="BC854" i="2"/>
  <c r="AO854" i="2"/>
  <c r="BB854" i="2" s="1"/>
  <c r="AN854" i="2"/>
  <c r="BA854" i="2" s="1"/>
  <c r="AM854" i="2"/>
  <c r="AZ854" i="2" s="1"/>
  <c r="AL854" i="2"/>
  <c r="AY854" i="2" s="1"/>
  <c r="AK854" i="2"/>
  <c r="AX854" i="2" s="1"/>
  <c r="AJ854" i="2"/>
  <c r="AW854" i="2" s="1"/>
  <c r="AI854" i="2"/>
  <c r="AV854" i="2" s="1"/>
  <c r="AH854" i="2"/>
  <c r="AU854" i="2" s="1"/>
  <c r="AG854" i="2"/>
  <c r="AT854" i="2" s="1"/>
  <c r="AF854" i="2"/>
  <c r="AS854" i="2" s="1"/>
  <c r="AE854" i="2"/>
  <c r="AR854" i="2" s="1"/>
  <c r="AD854" i="2"/>
  <c r="AQ854" i="2" s="1"/>
  <c r="AA854" i="2"/>
  <c r="Z854" i="2"/>
  <c r="AP854" i="2" s="1"/>
  <c r="D854" i="2"/>
  <c r="A854" i="2"/>
  <c r="BC853" i="2"/>
  <c r="BA853" i="2"/>
  <c r="AO853" i="2"/>
  <c r="BB853" i="2" s="1"/>
  <c r="AN853" i="2"/>
  <c r="AM853" i="2"/>
  <c r="AZ853" i="2" s="1"/>
  <c r="AL853" i="2"/>
  <c r="AY853" i="2" s="1"/>
  <c r="AK853" i="2"/>
  <c r="AX853" i="2" s="1"/>
  <c r="AJ853" i="2"/>
  <c r="AW853" i="2" s="1"/>
  <c r="AI853" i="2"/>
  <c r="AV853" i="2" s="1"/>
  <c r="AH853" i="2"/>
  <c r="AU853" i="2" s="1"/>
  <c r="AG853" i="2"/>
  <c r="AT853" i="2" s="1"/>
  <c r="AF853" i="2"/>
  <c r="AS853" i="2" s="1"/>
  <c r="AE853" i="2"/>
  <c r="AR853" i="2" s="1"/>
  <c r="AD853" i="2"/>
  <c r="AQ853" i="2" s="1"/>
  <c r="AA853" i="2"/>
  <c r="Z853" i="2"/>
  <c r="AP853" i="2" s="1"/>
  <c r="D853" i="2"/>
  <c r="A853" i="2"/>
  <c r="BC852" i="2"/>
  <c r="AW852" i="2"/>
  <c r="AP852" i="2"/>
  <c r="AO852" i="2"/>
  <c r="BB852" i="2" s="1"/>
  <c r="AN852" i="2"/>
  <c r="BA852" i="2" s="1"/>
  <c r="AM852" i="2"/>
  <c r="AZ852" i="2" s="1"/>
  <c r="AL852" i="2"/>
  <c r="AY852" i="2" s="1"/>
  <c r="AK852" i="2"/>
  <c r="AX852" i="2" s="1"/>
  <c r="AJ852" i="2"/>
  <c r="AI852" i="2"/>
  <c r="AV852" i="2" s="1"/>
  <c r="AH852" i="2"/>
  <c r="AU852" i="2" s="1"/>
  <c r="AG852" i="2"/>
  <c r="AT852" i="2" s="1"/>
  <c r="AF852" i="2"/>
  <c r="AS852" i="2" s="1"/>
  <c r="AE852" i="2"/>
  <c r="AR852" i="2" s="1"/>
  <c r="AD852" i="2"/>
  <c r="AQ852" i="2" s="1"/>
  <c r="AA852" i="2"/>
  <c r="Z852" i="2"/>
  <c r="D852" i="2"/>
  <c r="A852" i="2"/>
  <c r="BC851" i="2"/>
  <c r="AW851" i="2"/>
  <c r="AS851" i="2"/>
  <c r="AO851" i="2"/>
  <c r="BB851" i="2" s="1"/>
  <c r="AN851" i="2"/>
  <c r="BA851" i="2" s="1"/>
  <c r="AM851" i="2"/>
  <c r="AZ851" i="2" s="1"/>
  <c r="AL851" i="2"/>
  <c r="AY851" i="2" s="1"/>
  <c r="AK851" i="2"/>
  <c r="AX851" i="2" s="1"/>
  <c r="AJ851" i="2"/>
  <c r="AI851" i="2"/>
  <c r="AV851" i="2" s="1"/>
  <c r="AH851" i="2"/>
  <c r="AU851" i="2" s="1"/>
  <c r="AG851" i="2"/>
  <c r="AT851" i="2" s="1"/>
  <c r="AF851" i="2"/>
  <c r="AE851" i="2"/>
  <c r="AR851" i="2" s="1"/>
  <c r="AD851" i="2"/>
  <c r="AQ851" i="2" s="1"/>
  <c r="AA851" i="2"/>
  <c r="Z851" i="2"/>
  <c r="AP851" i="2" s="1"/>
  <c r="D851" i="2"/>
  <c r="A851" i="2"/>
  <c r="BC850" i="2"/>
  <c r="AO850" i="2"/>
  <c r="BB850" i="2" s="1"/>
  <c r="AN850" i="2"/>
  <c r="BA850" i="2" s="1"/>
  <c r="AM850" i="2"/>
  <c r="AZ850" i="2" s="1"/>
  <c r="AL850" i="2"/>
  <c r="AY850" i="2" s="1"/>
  <c r="AK850" i="2"/>
  <c r="AX850" i="2" s="1"/>
  <c r="AJ850" i="2"/>
  <c r="AW850" i="2" s="1"/>
  <c r="AI850" i="2"/>
  <c r="AV850" i="2" s="1"/>
  <c r="AH850" i="2"/>
  <c r="AU850" i="2" s="1"/>
  <c r="AG850" i="2"/>
  <c r="AT850" i="2" s="1"/>
  <c r="AF850" i="2"/>
  <c r="AS850" i="2" s="1"/>
  <c r="AE850" i="2"/>
  <c r="AR850" i="2" s="1"/>
  <c r="AD850" i="2"/>
  <c r="AQ850" i="2" s="1"/>
  <c r="AA850" i="2"/>
  <c r="Z850" i="2"/>
  <c r="AP850" i="2" s="1"/>
  <c r="D850" i="2"/>
  <c r="A850" i="2"/>
  <c r="BC849" i="2"/>
  <c r="AO849" i="2"/>
  <c r="BB849" i="2" s="1"/>
  <c r="AN849" i="2"/>
  <c r="BA849" i="2" s="1"/>
  <c r="AM849" i="2"/>
  <c r="AZ849" i="2" s="1"/>
  <c r="AL849" i="2"/>
  <c r="AY849" i="2" s="1"/>
  <c r="AK849" i="2"/>
  <c r="AX849" i="2" s="1"/>
  <c r="AJ849" i="2"/>
  <c r="AW849" i="2" s="1"/>
  <c r="AI849" i="2"/>
  <c r="AV849" i="2" s="1"/>
  <c r="AH849" i="2"/>
  <c r="AU849" i="2" s="1"/>
  <c r="AG849" i="2"/>
  <c r="AT849" i="2" s="1"/>
  <c r="AF849" i="2"/>
  <c r="AS849" i="2" s="1"/>
  <c r="AE849" i="2"/>
  <c r="AR849" i="2" s="1"/>
  <c r="AD849" i="2"/>
  <c r="AQ849" i="2" s="1"/>
  <c r="AA849" i="2"/>
  <c r="Z849" i="2"/>
  <c r="AP849" i="2" s="1"/>
  <c r="D849" i="2"/>
  <c r="A849" i="2"/>
  <c r="BC848" i="2"/>
  <c r="AO848" i="2"/>
  <c r="BB848" i="2" s="1"/>
  <c r="AN848" i="2"/>
  <c r="BA848" i="2" s="1"/>
  <c r="AM848" i="2"/>
  <c r="AZ848" i="2" s="1"/>
  <c r="AL848" i="2"/>
  <c r="AY848" i="2" s="1"/>
  <c r="AK848" i="2"/>
  <c r="AX848" i="2" s="1"/>
  <c r="AJ848" i="2"/>
  <c r="AW848" i="2" s="1"/>
  <c r="AI848" i="2"/>
  <c r="AV848" i="2" s="1"/>
  <c r="AH848" i="2"/>
  <c r="AU848" i="2" s="1"/>
  <c r="AG848" i="2"/>
  <c r="AT848" i="2" s="1"/>
  <c r="AF848" i="2"/>
  <c r="AS848" i="2" s="1"/>
  <c r="AE848" i="2"/>
  <c r="AR848" i="2" s="1"/>
  <c r="AD848" i="2"/>
  <c r="AQ848" i="2" s="1"/>
  <c r="AA848" i="2"/>
  <c r="Z848" i="2"/>
  <c r="AP848" i="2" s="1"/>
  <c r="D848" i="2"/>
  <c r="A848" i="2"/>
  <c r="BC847" i="2"/>
  <c r="AU847" i="2"/>
  <c r="AO847" i="2"/>
  <c r="BB847" i="2" s="1"/>
  <c r="AN847" i="2"/>
  <c r="BA847" i="2" s="1"/>
  <c r="AM847" i="2"/>
  <c r="AZ847" i="2" s="1"/>
  <c r="AL847" i="2"/>
  <c r="AY847" i="2" s="1"/>
  <c r="AK847" i="2"/>
  <c r="AX847" i="2" s="1"/>
  <c r="AJ847" i="2"/>
  <c r="AW847" i="2" s="1"/>
  <c r="AI847" i="2"/>
  <c r="AV847" i="2" s="1"/>
  <c r="AH847" i="2"/>
  <c r="AG847" i="2"/>
  <c r="AT847" i="2" s="1"/>
  <c r="AF847" i="2"/>
  <c r="AS847" i="2" s="1"/>
  <c r="AE847" i="2"/>
  <c r="AR847" i="2" s="1"/>
  <c r="AD847" i="2"/>
  <c r="AQ847" i="2" s="1"/>
  <c r="AA847" i="2"/>
  <c r="Z847" i="2"/>
  <c r="AP847" i="2" s="1"/>
  <c r="D847" i="2"/>
  <c r="A847" i="2"/>
  <c r="BC846" i="2"/>
  <c r="AO846" i="2"/>
  <c r="BB846" i="2" s="1"/>
  <c r="AN846" i="2"/>
  <c r="BA846" i="2" s="1"/>
  <c r="AM846" i="2"/>
  <c r="AZ846" i="2" s="1"/>
  <c r="AL846" i="2"/>
  <c r="AY846" i="2" s="1"/>
  <c r="AK846" i="2"/>
  <c r="AX846" i="2" s="1"/>
  <c r="AJ846" i="2"/>
  <c r="AW846" i="2" s="1"/>
  <c r="AI846" i="2"/>
  <c r="AV846" i="2" s="1"/>
  <c r="AH846" i="2"/>
  <c r="AU846" i="2" s="1"/>
  <c r="AG846" i="2"/>
  <c r="AT846" i="2" s="1"/>
  <c r="AF846" i="2"/>
  <c r="AS846" i="2" s="1"/>
  <c r="AE846" i="2"/>
  <c r="AR846" i="2" s="1"/>
  <c r="AD846" i="2"/>
  <c r="AQ846" i="2" s="1"/>
  <c r="AA846" i="2"/>
  <c r="Z846" i="2"/>
  <c r="AP846" i="2" s="1"/>
  <c r="D846" i="2"/>
  <c r="A846" i="2"/>
  <c r="BC845" i="2"/>
  <c r="AO845" i="2"/>
  <c r="BB845" i="2" s="1"/>
  <c r="AN845" i="2"/>
  <c r="BA845" i="2" s="1"/>
  <c r="AM845" i="2"/>
  <c r="AZ845" i="2" s="1"/>
  <c r="AL845" i="2"/>
  <c r="AY845" i="2" s="1"/>
  <c r="AK845" i="2"/>
  <c r="AX845" i="2" s="1"/>
  <c r="AJ845" i="2"/>
  <c r="AW845" i="2" s="1"/>
  <c r="AI845" i="2"/>
  <c r="AV845" i="2" s="1"/>
  <c r="AH845" i="2"/>
  <c r="AU845" i="2" s="1"/>
  <c r="AG845" i="2"/>
  <c r="AT845" i="2" s="1"/>
  <c r="AF845" i="2"/>
  <c r="AS845" i="2" s="1"/>
  <c r="AE845" i="2"/>
  <c r="AR845" i="2" s="1"/>
  <c r="AD845" i="2"/>
  <c r="AQ845" i="2" s="1"/>
  <c r="AA845" i="2"/>
  <c r="Z845" i="2"/>
  <c r="AP845" i="2" s="1"/>
  <c r="D845" i="2"/>
  <c r="A845" i="2"/>
  <c r="BC844" i="2"/>
  <c r="AW844" i="2"/>
  <c r="AO844" i="2"/>
  <c r="BB844" i="2" s="1"/>
  <c r="AN844" i="2"/>
  <c r="BA844" i="2" s="1"/>
  <c r="AM844" i="2"/>
  <c r="AZ844" i="2" s="1"/>
  <c r="AL844" i="2"/>
  <c r="AY844" i="2" s="1"/>
  <c r="AK844" i="2"/>
  <c r="AX844" i="2" s="1"/>
  <c r="AJ844" i="2"/>
  <c r="AI844" i="2"/>
  <c r="AV844" i="2" s="1"/>
  <c r="AH844" i="2"/>
  <c r="AU844" i="2" s="1"/>
  <c r="AG844" i="2"/>
  <c r="AT844" i="2" s="1"/>
  <c r="AF844" i="2"/>
  <c r="AS844" i="2" s="1"/>
  <c r="AE844" i="2"/>
  <c r="AR844" i="2" s="1"/>
  <c r="AD844" i="2"/>
  <c r="AQ844" i="2" s="1"/>
  <c r="AA844" i="2"/>
  <c r="Z844" i="2"/>
  <c r="AP844" i="2" s="1"/>
  <c r="D844" i="2"/>
  <c r="A844" i="2"/>
  <c r="BC843" i="2"/>
  <c r="AO843" i="2"/>
  <c r="BB843" i="2" s="1"/>
  <c r="AN843" i="2"/>
  <c r="BA843" i="2" s="1"/>
  <c r="AM843" i="2"/>
  <c r="AZ843" i="2" s="1"/>
  <c r="AL843" i="2"/>
  <c r="AY843" i="2" s="1"/>
  <c r="AK843" i="2"/>
  <c r="AX843" i="2" s="1"/>
  <c r="AJ843" i="2"/>
  <c r="AW843" i="2" s="1"/>
  <c r="AI843" i="2"/>
  <c r="AV843" i="2" s="1"/>
  <c r="AH843" i="2"/>
  <c r="AU843" i="2" s="1"/>
  <c r="AG843" i="2"/>
  <c r="AT843" i="2" s="1"/>
  <c r="AF843" i="2"/>
  <c r="AS843" i="2" s="1"/>
  <c r="AE843" i="2"/>
  <c r="AR843" i="2" s="1"/>
  <c r="AD843" i="2"/>
  <c r="AQ843" i="2" s="1"/>
  <c r="AA843" i="2"/>
  <c r="Z843" i="2"/>
  <c r="AP843" i="2" s="1"/>
  <c r="D843" i="2"/>
  <c r="A843" i="2"/>
  <c r="BC842" i="2"/>
  <c r="AS842" i="2"/>
  <c r="AO842" i="2"/>
  <c r="BB842" i="2" s="1"/>
  <c r="AN842" i="2"/>
  <c r="BA842" i="2" s="1"/>
  <c r="AM842" i="2"/>
  <c r="AZ842" i="2" s="1"/>
  <c r="AL842" i="2"/>
  <c r="AY842" i="2" s="1"/>
  <c r="AK842" i="2"/>
  <c r="AX842" i="2" s="1"/>
  <c r="AJ842" i="2"/>
  <c r="AW842" i="2" s="1"/>
  <c r="AI842" i="2"/>
  <c r="AV842" i="2" s="1"/>
  <c r="AH842" i="2"/>
  <c r="AU842" i="2" s="1"/>
  <c r="AG842" i="2"/>
  <c r="AT842" i="2" s="1"/>
  <c r="AF842" i="2"/>
  <c r="AE842" i="2"/>
  <c r="AR842" i="2" s="1"/>
  <c r="AD842" i="2"/>
  <c r="AQ842" i="2" s="1"/>
  <c r="AA842" i="2"/>
  <c r="Z842" i="2"/>
  <c r="AP842" i="2" s="1"/>
  <c r="D842" i="2"/>
  <c r="A842" i="2"/>
  <c r="BC841" i="2"/>
  <c r="AO841" i="2"/>
  <c r="BB841" i="2" s="1"/>
  <c r="AN841" i="2"/>
  <c r="BA841" i="2" s="1"/>
  <c r="AM841" i="2"/>
  <c r="AZ841" i="2" s="1"/>
  <c r="AL841" i="2"/>
  <c r="AY841" i="2" s="1"/>
  <c r="AK841" i="2"/>
  <c r="AX841" i="2" s="1"/>
  <c r="AJ841" i="2"/>
  <c r="AW841" i="2" s="1"/>
  <c r="AI841" i="2"/>
  <c r="AV841" i="2" s="1"/>
  <c r="AH841" i="2"/>
  <c r="AU841" i="2" s="1"/>
  <c r="AG841" i="2"/>
  <c r="AT841" i="2" s="1"/>
  <c r="AF841" i="2"/>
  <c r="AS841" i="2" s="1"/>
  <c r="AE841" i="2"/>
  <c r="AR841" i="2" s="1"/>
  <c r="AD841" i="2"/>
  <c r="AQ841" i="2" s="1"/>
  <c r="AA841" i="2"/>
  <c r="Z841" i="2"/>
  <c r="AP841" i="2" s="1"/>
  <c r="D841" i="2"/>
  <c r="A841" i="2"/>
  <c r="BC840" i="2"/>
  <c r="AO840" i="2"/>
  <c r="BB840" i="2" s="1"/>
  <c r="AN840" i="2"/>
  <c r="BA840" i="2" s="1"/>
  <c r="AM840" i="2"/>
  <c r="AZ840" i="2" s="1"/>
  <c r="AL840" i="2"/>
  <c r="AY840" i="2" s="1"/>
  <c r="AK840" i="2"/>
  <c r="AX840" i="2" s="1"/>
  <c r="AJ840" i="2"/>
  <c r="AW840" i="2" s="1"/>
  <c r="AI840" i="2"/>
  <c r="AV840" i="2" s="1"/>
  <c r="AH840" i="2"/>
  <c r="AU840" i="2" s="1"/>
  <c r="AG840" i="2"/>
  <c r="AT840" i="2" s="1"/>
  <c r="AF840" i="2"/>
  <c r="AS840" i="2" s="1"/>
  <c r="AE840" i="2"/>
  <c r="AR840" i="2" s="1"/>
  <c r="AD840" i="2"/>
  <c r="AQ840" i="2" s="1"/>
  <c r="AA840" i="2"/>
  <c r="Z840" i="2"/>
  <c r="AP840" i="2" s="1"/>
  <c r="D840" i="2"/>
  <c r="A840" i="2"/>
  <c r="BC839" i="2"/>
  <c r="AO839" i="2"/>
  <c r="BB839" i="2" s="1"/>
  <c r="AN839" i="2"/>
  <c r="BA839" i="2" s="1"/>
  <c r="AM839" i="2"/>
  <c r="AZ839" i="2" s="1"/>
  <c r="AL839" i="2"/>
  <c r="AY839" i="2" s="1"/>
  <c r="AK839" i="2"/>
  <c r="AX839" i="2" s="1"/>
  <c r="AJ839" i="2"/>
  <c r="AW839" i="2" s="1"/>
  <c r="AI839" i="2"/>
  <c r="AV839" i="2" s="1"/>
  <c r="AH839" i="2"/>
  <c r="AU839" i="2" s="1"/>
  <c r="AG839" i="2"/>
  <c r="AT839" i="2" s="1"/>
  <c r="AF839" i="2"/>
  <c r="AS839" i="2" s="1"/>
  <c r="AE839" i="2"/>
  <c r="AR839" i="2" s="1"/>
  <c r="AD839" i="2"/>
  <c r="AQ839" i="2" s="1"/>
  <c r="AA839" i="2"/>
  <c r="Z839" i="2"/>
  <c r="AP839" i="2" s="1"/>
  <c r="D839" i="2"/>
  <c r="A839" i="2"/>
  <c r="BC838" i="2"/>
  <c r="AY838" i="2"/>
  <c r="AO838" i="2"/>
  <c r="BB838" i="2" s="1"/>
  <c r="AN838" i="2"/>
  <c r="BA838" i="2" s="1"/>
  <c r="AM838" i="2"/>
  <c r="AZ838" i="2" s="1"/>
  <c r="AL838" i="2"/>
  <c r="AK838" i="2"/>
  <c r="AX838" i="2" s="1"/>
  <c r="AJ838" i="2"/>
  <c r="AW838" i="2" s="1"/>
  <c r="AI838" i="2"/>
  <c r="AV838" i="2" s="1"/>
  <c r="AH838" i="2"/>
  <c r="AU838" i="2" s="1"/>
  <c r="AG838" i="2"/>
  <c r="AT838" i="2" s="1"/>
  <c r="AF838" i="2"/>
  <c r="AS838" i="2" s="1"/>
  <c r="AE838" i="2"/>
  <c r="AR838" i="2" s="1"/>
  <c r="AD838" i="2"/>
  <c r="AQ838" i="2" s="1"/>
  <c r="AA838" i="2"/>
  <c r="Z838" i="2"/>
  <c r="AP838" i="2" s="1"/>
  <c r="D838" i="2"/>
  <c r="A838" i="2"/>
  <c r="BC837" i="2"/>
  <c r="AO837" i="2"/>
  <c r="BB837" i="2" s="1"/>
  <c r="AN837" i="2"/>
  <c r="BA837" i="2" s="1"/>
  <c r="AM837" i="2"/>
  <c r="AZ837" i="2" s="1"/>
  <c r="AL837" i="2"/>
  <c r="AY837" i="2" s="1"/>
  <c r="AK837" i="2"/>
  <c r="AX837" i="2" s="1"/>
  <c r="AJ837" i="2"/>
  <c r="AW837" i="2" s="1"/>
  <c r="AI837" i="2"/>
  <c r="AV837" i="2" s="1"/>
  <c r="AH837" i="2"/>
  <c r="AU837" i="2" s="1"/>
  <c r="AG837" i="2"/>
  <c r="AT837" i="2" s="1"/>
  <c r="AF837" i="2"/>
  <c r="AS837" i="2" s="1"/>
  <c r="AE837" i="2"/>
  <c r="AR837" i="2" s="1"/>
  <c r="AD837" i="2"/>
  <c r="AQ837" i="2" s="1"/>
  <c r="AA837" i="2"/>
  <c r="Z837" i="2"/>
  <c r="AP837" i="2" s="1"/>
  <c r="D837" i="2"/>
  <c r="A837" i="2"/>
  <c r="BC836" i="2"/>
  <c r="AO836" i="2"/>
  <c r="BB836" i="2" s="1"/>
  <c r="AN836" i="2"/>
  <c r="BA836" i="2" s="1"/>
  <c r="AM836" i="2"/>
  <c r="AZ836" i="2" s="1"/>
  <c r="AL836" i="2"/>
  <c r="AY836" i="2" s="1"/>
  <c r="AK836" i="2"/>
  <c r="AX836" i="2" s="1"/>
  <c r="AJ836" i="2"/>
  <c r="AW836" i="2" s="1"/>
  <c r="AI836" i="2"/>
  <c r="AV836" i="2" s="1"/>
  <c r="AH836" i="2"/>
  <c r="AU836" i="2" s="1"/>
  <c r="AG836" i="2"/>
  <c r="AT836" i="2" s="1"/>
  <c r="AF836" i="2"/>
  <c r="AS836" i="2" s="1"/>
  <c r="AE836" i="2"/>
  <c r="AR836" i="2" s="1"/>
  <c r="AD836" i="2"/>
  <c r="AQ836" i="2" s="1"/>
  <c r="AA836" i="2"/>
  <c r="Z836" i="2"/>
  <c r="AP836" i="2" s="1"/>
  <c r="D836" i="2"/>
  <c r="A836" i="2"/>
  <c r="BC835" i="2"/>
  <c r="AO835" i="2"/>
  <c r="BB835" i="2" s="1"/>
  <c r="AN835" i="2"/>
  <c r="BA835" i="2" s="1"/>
  <c r="AM835" i="2"/>
  <c r="AZ835" i="2" s="1"/>
  <c r="AL835" i="2"/>
  <c r="AY835" i="2" s="1"/>
  <c r="AK835" i="2"/>
  <c r="AX835" i="2" s="1"/>
  <c r="AJ835" i="2"/>
  <c r="AW835" i="2" s="1"/>
  <c r="AI835" i="2"/>
  <c r="AV835" i="2" s="1"/>
  <c r="AH835" i="2"/>
  <c r="AU835" i="2" s="1"/>
  <c r="AG835" i="2"/>
  <c r="AT835" i="2" s="1"/>
  <c r="AF835" i="2"/>
  <c r="AS835" i="2" s="1"/>
  <c r="AE835" i="2"/>
  <c r="AR835" i="2" s="1"/>
  <c r="AD835" i="2"/>
  <c r="AQ835" i="2" s="1"/>
  <c r="AA835" i="2"/>
  <c r="Z835" i="2"/>
  <c r="AP835" i="2" s="1"/>
  <c r="D835" i="2"/>
  <c r="A835" i="2"/>
  <c r="BC834" i="2"/>
  <c r="AO834" i="2"/>
  <c r="BB834" i="2" s="1"/>
  <c r="AN834" i="2"/>
  <c r="BA834" i="2" s="1"/>
  <c r="AM834" i="2"/>
  <c r="AZ834" i="2" s="1"/>
  <c r="AL834" i="2"/>
  <c r="AY834" i="2" s="1"/>
  <c r="AK834" i="2"/>
  <c r="AX834" i="2" s="1"/>
  <c r="AJ834" i="2"/>
  <c r="AW834" i="2" s="1"/>
  <c r="AI834" i="2"/>
  <c r="AV834" i="2" s="1"/>
  <c r="AH834" i="2"/>
  <c r="AU834" i="2" s="1"/>
  <c r="AG834" i="2"/>
  <c r="AT834" i="2" s="1"/>
  <c r="AF834" i="2"/>
  <c r="AS834" i="2" s="1"/>
  <c r="AE834" i="2"/>
  <c r="AR834" i="2" s="1"/>
  <c r="AD834" i="2"/>
  <c r="AQ834" i="2" s="1"/>
  <c r="AA834" i="2"/>
  <c r="Z834" i="2"/>
  <c r="AP834" i="2" s="1"/>
  <c r="D834" i="2"/>
  <c r="A834" i="2"/>
  <c r="BC833" i="2"/>
  <c r="AO833" i="2"/>
  <c r="BB833" i="2" s="1"/>
  <c r="AN833" i="2"/>
  <c r="BA833" i="2" s="1"/>
  <c r="AM833" i="2"/>
  <c r="AZ833" i="2" s="1"/>
  <c r="AL833" i="2"/>
  <c r="AY833" i="2" s="1"/>
  <c r="AK833" i="2"/>
  <c r="AX833" i="2" s="1"/>
  <c r="AJ833" i="2"/>
  <c r="AW833" i="2" s="1"/>
  <c r="AI833" i="2"/>
  <c r="AV833" i="2" s="1"/>
  <c r="AH833" i="2"/>
  <c r="AU833" i="2" s="1"/>
  <c r="AG833" i="2"/>
  <c r="AT833" i="2" s="1"/>
  <c r="AF833" i="2"/>
  <c r="AS833" i="2" s="1"/>
  <c r="AE833" i="2"/>
  <c r="AR833" i="2" s="1"/>
  <c r="AD833" i="2"/>
  <c r="AQ833" i="2" s="1"/>
  <c r="AA833" i="2"/>
  <c r="Z833" i="2"/>
  <c r="AP833" i="2" s="1"/>
  <c r="D833" i="2"/>
  <c r="A833" i="2"/>
  <c r="BC832" i="2"/>
  <c r="AW832" i="2"/>
  <c r="AO832" i="2"/>
  <c r="BB832" i="2" s="1"/>
  <c r="AN832" i="2"/>
  <c r="BA832" i="2" s="1"/>
  <c r="AM832" i="2"/>
  <c r="AZ832" i="2" s="1"/>
  <c r="AL832" i="2"/>
  <c r="AY832" i="2" s="1"/>
  <c r="AK832" i="2"/>
  <c r="AX832" i="2" s="1"/>
  <c r="AJ832" i="2"/>
  <c r="AI832" i="2"/>
  <c r="AV832" i="2" s="1"/>
  <c r="AH832" i="2"/>
  <c r="AU832" i="2" s="1"/>
  <c r="AG832" i="2"/>
  <c r="AT832" i="2" s="1"/>
  <c r="AF832" i="2"/>
  <c r="AS832" i="2" s="1"/>
  <c r="AE832" i="2"/>
  <c r="AR832" i="2" s="1"/>
  <c r="AD832" i="2"/>
  <c r="AQ832" i="2" s="1"/>
  <c r="AA832" i="2"/>
  <c r="Z832" i="2"/>
  <c r="AP832" i="2" s="1"/>
  <c r="D832" i="2"/>
  <c r="A832" i="2"/>
  <c r="BC831" i="2"/>
  <c r="AO831" i="2"/>
  <c r="BB831" i="2" s="1"/>
  <c r="AN831" i="2"/>
  <c r="BA831" i="2" s="1"/>
  <c r="AM831" i="2"/>
  <c r="AZ831" i="2" s="1"/>
  <c r="AL831" i="2"/>
  <c r="AY831" i="2" s="1"/>
  <c r="AK831" i="2"/>
  <c r="AX831" i="2" s="1"/>
  <c r="AJ831" i="2"/>
  <c r="AW831" i="2" s="1"/>
  <c r="AI831" i="2"/>
  <c r="AV831" i="2" s="1"/>
  <c r="AH831" i="2"/>
  <c r="AU831" i="2" s="1"/>
  <c r="AG831" i="2"/>
  <c r="AT831" i="2" s="1"/>
  <c r="AF831" i="2"/>
  <c r="AS831" i="2" s="1"/>
  <c r="AE831" i="2"/>
  <c r="AR831" i="2" s="1"/>
  <c r="AD831" i="2"/>
  <c r="AQ831" i="2" s="1"/>
  <c r="AA831" i="2"/>
  <c r="Z831" i="2"/>
  <c r="AP831" i="2" s="1"/>
  <c r="D831" i="2"/>
  <c r="A831" i="2"/>
  <c r="BC830" i="2"/>
  <c r="AO830" i="2"/>
  <c r="BB830" i="2" s="1"/>
  <c r="AN830" i="2"/>
  <c r="BA830" i="2" s="1"/>
  <c r="AM830" i="2"/>
  <c r="AZ830" i="2" s="1"/>
  <c r="AL830" i="2"/>
  <c r="AY830" i="2" s="1"/>
  <c r="AK830" i="2"/>
  <c r="AX830" i="2" s="1"/>
  <c r="AJ830" i="2"/>
  <c r="AW830" i="2" s="1"/>
  <c r="AI830" i="2"/>
  <c r="AV830" i="2" s="1"/>
  <c r="AH830" i="2"/>
  <c r="AU830" i="2" s="1"/>
  <c r="AG830" i="2"/>
  <c r="AT830" i="2" s="1"/>
  <c r="AF830" i="2"/>
  <c r="AS830" i="2" s="1"/>
  <c r="AE830" i="2"/>
  <c r="AR830" i="2" s="1"/>
  <c r="AD830" i="2"/>
  <c r="AQ830" i="2" s="1"/>
  <c r="AA830" i="2"/>
  <c r="Z830" i="2"/>
  <c r="AP830" i="2" s="1"/>
  <c r="D830" i="2"/>
  <c r="A830" i="2"/>
  <c r="BC829" i="2"/>
  <c r="AO829" i="2"/>
  <c r="BB829" i="2" s="1"/>
  <c r="AN829" i="2"/>
  <c r="BA829" i="2" s="1"/>
  <c r="AM829" i="2"/>
  <c r="AZ829" i="2" s="1"/>
  <c r="AL829" i="2"/>
  <c r="AY829" i="2" s="1"/>
  <c r="AK829" i="2"/>
  <c r="AX829" i="2" s="1"/>
  <c r="AJ829" i="2"/>
  <c r="AW829" i="2" s="1"/>
  <c r="AI829" i="2"/>
  <c r="AV829" i="2" s="1"/>
  <c r="AH829" i="2"/>
  <c r="AU829" i="2" s="1"/>
  <c r="AG829" i="2"/>
  <c r="AT829" i="2" s="1"/>
  <c r="AF829" i="2"/>
  <c r="AS829" i="2" s="1"/>
  <c r="AE829" i="2"/>
  <c r="AR829" i="2" s="1"/>
  <c r="AD829" i="2"/>
  <c r="AQ829" i="2" s="1"/>
  <c r="AA829" i="2"/>
  <c r="Z829" i="2"/>
  <c r="AP829" i="2" s="1"/>
  <c r="D829" i="2"/>
  <c r="A829" i="2"/>
  <c r="BC828" i="2"/>
  <c r="AW828" i="2"/>
  <c r="AS828" i="2"/>
  <c r="AO828" i="2"/>
  <c r="BB828" i="2" s="1"/>
  <c r="AN828" i="2"/>
  <c r="BA828" i="2" s="1"/>
  <c r="AM828" i="2"/>
  <c r="AZ828" i="2" s="1"/>
  <c r="AL828" i="2"/>
  <c r="AY828" i="2" s="1"/>
  <c r="AK828" i="2"/>
  <c r="AX828" i="2" s="1"/>
  <c r="AJ828" i="2"/>
  <c r="AI828" i="2"/>
  <c r="AV828" i="2" s="1"/>
  <c r="AH828" i="2"/>
  <c r="AU828" i="2" s="1"/>
  <c r="AG828" i="2"/>
  <c r="AT828" i="2" s="1"/>
  <c r="AF828" i="2"/>
  <c r="AE828" i="2"/>
  <c r="AR828" i="2" s="1"/>
  <c r="AD828" i="2"/>
  <c r="AQ828" i="2" s="1"/>
  <c r="AA828" i="2"/>
  <c r="Z828" i="2"/>
  <c r="AP828" i="2" s="1"/>
  <c r="D828" i="2"/>
  <c r="A828" i="2"/>
  <c r="BC827" i="2"/>
  <c r="AO827" i="2"/>
  <c r="BB827" i="2" s="1"/>
  <c r="AN827" i="2"/>
  <c r="BA827" i="2" s="1"/>
  <c r="AM827" i="2"/>
  <c r="AZ827" i="2" s="1"/>
  <c r="AL827" i="2"/>
  <c r="AY827" i="2" s="1"/>
  <c r="AK827" i="2"/>
  <c r="AX827" i="2" s="1"/>
  <c r="AJ827" i="2"/>
  <c r="AW827" i="2" s="1"/>
  <c r="AI827" i="2"/>
  <c r="AV827" i="2" s="1"/>
  <c r="AH827" i="2"/>
  <c r="AU827" i="2" s="1"/>
  <c r="AG827" i="2"/>
  <c r="AT827" i="2" s="1"/>
  <c r="AF827" i="2"/>
  <c r="AS827" i="2" s="1"/>
  <c r="AE827" i="2"/>
  <c r="AR827" i="2" s="1"/>
  <c r="AD827" i="2"/>
  <c r="AQ827" i="2" s="1"/>
  <c r="AA827" i="2"/>
  <c r="Z827" i="2"/>
  <c r="AP827" i="2" s="1"/>
  <c r="D827" i="2"/>
  <c r="A827" i="2"/>
  <c r="BC826" i="2"/>
  <c r="AW826" i="2"/>
  <c r="AS826" i="2"/>
  <c r="AO826" i="2"/>
  <c r="BB826" i="2" s="1"/>
  <c r="AN826" i="2"/>
  <c r="BA826" i="2" s="1"/>
  <c r="AM826" i="2"/>
  <c r="AZ826" i="2" s="1"/>
  <c r="AL826" i="2"/>
  <c r="AY826" i="2" s="1"/>
  <c r="AK826" i="2"/>
  <c r="AX826" i="2" s="1"/>
  <c r="AJ826" i="2"/>
  <c r="AI826" i="2"/>
  <c r="AV826" i="2" s="1"/>
  <c r="AH826" i="2"/>
  <c r="AU826" i="2" s="1"/>
  <c r="AG826" i="2"/>
  <c r="AT826" i="2" s="1"/>
  <c r="AF826" i="2"/>
  <c r="AE826" i="2"/>
  <c r="AR826" i="2" s="1"/>
  <c r="AD826" i="2"/>
  <c r="AQ826" i="2" s="1"/>
  <c r="AA826" i="2"/>
  <c r="Z826" i="2"/>
  <c r="AP826" i="2" s="1"/>
  <c r="D826" i="2"/>
  <c r="A826" i="2"/>
  <c r="BC825" i="2"/>
  <c r="AO825" i="2"/>
  <c r="BB825" i="2" s="1"/>
  <c r="AN825" i="2"/>
  <c r="BA825" i="2" s="1"/>
  <c r="AM825" i="2"/>
  <c r="AZ825" i="2" s="1"/>
  <c r="AL825" i="2"/>
  <c r="AY825" i="2" s="1"/>
  <c r="AK825" i="2"/>
  <c r="AX825" i="2" s="1"/>
  <c r="AJ825" i="2"/>
  <c r="AW825" i="2" s="1"/>
  <c r="AI825" i="2"/>
  <c r="AV825" i="2" s="1"/>
  <c r="AH825" i="2"/>
  <c r="AU825" i="2" s="1"/>
  <c r="AG825" i="2"/>
  <c r="AT825" i="2" s="1"/>
  <c r="AF825" i="2"/>
  <c r="AS825" i="2" s="1"/>
  <c r="AE825" i="2"/>
  <c r="AR825" i="2" s="1"/>
  <c r="AD825" i="2"/>
  <c r="AQ825" i="2" s="1"/>
  <c r="AA825" i="2"/>
  <c r="Z825" i="2"/>
  <c r="AP825" i="2" s="1"/>
  <c r="D825" i="2"/>
  <c r="A825" i="2"/>
  <c r="BC824" i="2"/>
  <c r="AO824" i="2"/>
  <c r="BB824" i="2" s="1"/>
  <c r="AN824" i="2"/>
  <c r="BA824" i="2" s="1"/>
  <c r="AM824" i="2"/>
  <c r="AZ824" i="2" s="1"/>
  <c r="AL824" i="2"/>
  <c r="AY824" i="2" s="1"/>
  <c r="AK824" i="2"/>
  <c r="AX824" i="2" s="1"/>
  <c r="AJ824" i="2"/>
  <c r="AW824" i="2" s="1"/>
  <c r="AI824" i="2"/>
  <c r="AV824" i="2" s="1"/>
  <c r="AH824" i="2"/>
  <c r="AU824" i="2" s="1"/>
  <c r="AG824" i="2"/>
  <c r="AT824" i="2" s="1"/>
  <c r="AF824" i="2"/>
  <c r="AS824" i="2" s="1"/>
  <c r="AE824" i="2"/>
  <c r="AR824" i="2" s="1"/>
  <c r="AD824" i="2"/>
  <c r="AQ824" i="2" s="1"/>
  <c r="AA824" i="2"/>
  <c r="Z824" i="2"/>
  <c r="AP824" i="2" s="1"/>
  <c r="D824" i="2"/>
  <c r="A824" i="2"/>
  <c r="BC823" i="2"/>
  <c r="AO823" i="2"/>
  <c r="BB823" i="2" s="1"/>
  <c r="AN823" i="2"/>
  <c r="BA823" i="2" s="1"/>
  <c r="AM823" i="2"/>
  <c r="AZ823" i="2" s="1"/>
  <c r="AL823" i="2"/>
  <c r="AY823" i="2" s="1"/>
  <c r="AK823" i="2"/>
  <c r="AX823" i="2" s="1"/>
  <c r="AJ823" i="2"/>
  <c r="AW823" i="2" s="1"/>
  <c r="AI823" i="2"/>
  <c r="AV823" i="2" s="1"/>
  <c r="AH823" i="2"/>
  <c r="AU823" i="2" s="1"/>
  <c r="AG823" i="2"/>
  <c r="AT823" i="2" s="1"/>
  <c r="AF823" i="2"/>
  <c r="AS823" i="2" s="1"/>
  <c r="AE823" i="2"/>
  <c r="AR823" i="2" s="1"/>
  <c r="AD823" i="2"/>
  <c r="AQ823" i="2" s="1"/>
  <c r="AA823" i="2"/>
  <c r="Z823" i="2"/>
  <c r="AP823" i="2" s="1"/>
  <c r="D823" i="2"/>
  <c r="A823" i="2"/>
  <c r="BC822" i="2"/>
  <c r="AW822" i="2"/>
  <c r="AO822" i="2"/>
  <c r="BB822" i="2" s="1"/>
  <c r="AN822" i="2"/>
  <c r="BA822" i="2" s="1"/>
  <c r="AM822" i="2"/>
  <c r="AZ822" i="2" s="1"/>
  <c r="AL822" i="2"/>
  <c r="AY822" i="2" s="1"/>
  <c r="AK822" i="2"/>
  <c r="AX822" i="2" s="1"/>
  <c r="AJ822" i="2"/>
  <c r="AI822" i="2"/>
  <c r="AV822" i="2" s="1"/>
  <c r="AH822" i="2"/>
  <c r="AU822" i="2" s="1"/>
  <c r="AG822" i="2"/>
  <c r="AT822" i="2" s="1"/>
  <c r="AF822" i="2"/>
  <c r="AS822" i="2" s="1"/>
  <c r="AE822" i="2"/>
  <c r="AR822" i="2" s="1"/>
  <c r="AD822" i="2"/>
  <c r="AQ822" i="2" s="1"/>
  <c r="AA822" i="2"/>
  <c r="Z822" i="2"/>
  <c r="AP822" i="2" s="1"/>
  <c r="D822" i="2"/>
  <c r="A822" i="2"/>
  <c r="BC821" i="2"/>
  <c r="AO821" i="2"/>
  <c r="BB821" i="2" s="1"/>
  <c r="AN821" i="2"/>
  <c r="BA821" i="2" s="1"/>
  <c r="AM821" i="2"/>
  <c r="AZ821" i="2" s="1"/>
  <c r="AL821" i="2"/>
  <c r="AY821" i="2" s="1"/>
  <c r="AK821" i="2"/>
  <c r="AX821" i="2" s="1"/>
  <c r="AJ821" i="2"/>
  <c r="AW821" i="2" s="1"/>
  <c r="AI821" i="2"/>
  <c r="AV821" i="2" s="1"/>
  <c r="AH821" i="2"/>
  <c r="AU821" i="2" s="1"/>
  <c r="AG821" i="2"/>
  <c r="AT821" i="2" s="1"/>
  <c r="AF821" i="2"/>
  <c r="AS821" i="2" s="1"/>
  <c r="AE821" i="2"/>
  <c r="AR821" i="2" s="1"/>
  <c r="AD821" i="2"/>
  <c r="AQ821" i="2" s="1"/>
  <c r="AA821" i="2"/>
  <c r="Z821" i="2"/>
  <c r="AP821" i="2" s="1"/>
  <c r="D821" i="2"/>
  <c r="A821" i="2"/>
  <c r="BC820" i="2"/>
  <c r="AO820" i="2"/>
  <c r="BB820" i="2" s="1"/>
  <c r="AN820" i="2"/>
  <c r="BA820" i="2" s="1"/>
  <c r="AM820" i="2"/>
  <c r="AZ820" i="2" s="1"/>
  <c r="AL820" i="2"/>
  <c r="AY820" i="2" s="1"/>
  <c r="AK820" i="2"/>
  <c r="AX820" i="2" s="1"/>
  <c r="AJ820" i="2"/>
  <c r="AW820" i="2" s="1"/>
  <c r="AI820" i="2"/>
  <c r="AV820" i="2" s="1"/>
  <c r="AH820" i="2"/>
  <c r="AU820" i="2" s="1"/>
  <c r="AG820" i="2"/>
  <c r="AT820" i="2" s="1"/>
  <c r="AF820" i="2"/>
  <c r="AS820" i="2" s="1"/>
  <c r="AE820" i="2"/>
  <c r="AR820" i="2" s="1"/>
  <c r="AD820" i="2"/>
  <c r="AQ820" i="2" s="1"/>
  <c r="AA820" i="2"/>
  <c r="Z820" i="2"/>
  <c r="AP820" i="2" s="1"/>
  <c r="D820" i="2"/>
  <c r="A820" i="2"/>
  <c r="BC819" i="2"/>
  <c r="AO819" i="2"/>
  <c r="BB819" i="2" s="1"/>
  <c r="AN819" i="2"/>
  <c r="BA819" i="2" s="1"/>
  <c r="AM819" i="2"/>
  <c r="AZ819" i="2" s="1"/>
  <c r="AL819" i="2"/>
  <c r="AY819" i="2" s="1"/>
  <c r="AK819" i="2"/>
  <c r="AX819" i="2" s="1"/>
  <c r="AJ819" i="2"/>
  <c r="AW819" i="2" s="1"/>
  <c r="AI819" i="2"/>
  <c r="AV819" i="2" s="1"/>
  <c r="AH819" i="2"/>
  <c r="AU819" i="2" s="1"/>
  <c r="AG819" i="2"/>
  <c r="AT819" i="2" s="1"/>
  <c r="AF819" i="2"/>
  <c r="AS819" i="2" s="1"/>
  <c r="AE819" i="2"/>
  <c r="AR819" i="2" s="1"/>
  <c r="AD819" i="2"/>
  <c r="AQ819" i="2" s="1"/>
  <c r="AA819" i="2"/>
  <c r="Z819" i="2"/>
  <c r="AP819" i="2" s="1"/>
  <c r="D819" i="2"/>
  <c r="A819" i="2"/>
  <c r="BC818" i="2"/>
  <c r="AO818" i="2"/>
  <c r="BB818" i="2" s="1"/>
  <c r="AN818" i="2"/>
  <c r="BA818" i="2" s="1"/>
  <c r="AM818" i="2"/>
  <c r="AZ818" i="2" s="1"/>
  <c r="AL818" i="2"/>
  <c r="AY818" i="2" s="1"/>
  <c r="AK818" i="2"/>
  <c r="AX818" i="2" s="1"/>
  <c r="AJ818" i="2"/>
  <c r="AW818" i="2" s="1"/>
  <c r="AI818" i="2"/>
  <c r="AV818" i="2" s="1"/>
  <c r="AH818" i="2"/>
  <c r="AU818" i="2" s="1"/>
  <c r="AG818" i="2"/>
  <c r="AT818" i="2" s="1"/>
  <c r="AF818" i="2"/>
  <c r="AS818" i="2" s="1"/>
  <c r="AE818" i="2"/>
  <c r="AR818" i="2" s="1"/>
  <c r="AD818" i="2"/>
  <c r="AQ818" i="2" s="1"/>
  <c r="AA818" i="2"/>
  <c r="Z818" i="2"/>
  <c r="AP818" i="2" s="1"/>
  <c r="D818" i="2"/>
  <c r="A818" i="2"/>
  <c r="BC817" i="2"/>
  <c r="AO817" i="2"/>
  <c r="BB817" i="2" s="1"/>
  <c r="AN817" i="2"/>
  <c r="BA817" i="2" s="1"/>
  <c r="AM817" i="2"/>
  <c r="AZ817" i="2" s="1"/>
  <c r="AL817" i="2"/>
  <c r="AY817" i="2" s="1"/>
  <c r="AK817" i="2"/>
  <c r="AX817" i="2" s="1"/>
  <c r="AJ817" i="2"/>
  <c r="AW817" i="2" s="1"/>
  <c r="AI817" i="2"/>
  <c r="AV817" i="2" s="1"/>
  <c r="AH817" i="2"/>
  <c r="AU817" i="2" s="1"/>
  <c r="AG817" i="2"/>
  <c r="AT817" i="2" s="1"/>
  <c r="AF817" i="2"/>
  <c r="AS817" i="2" s="1"/>
  <c r="AE817" i="2"/>
  <c r="AR817" i="2" s="1"/>
  <c r="AD817" i="2"/>
  <c r="AQ817" i="2" s="1"/>
  <c r="AA817" i="2"/>
  <c r="Z817" i="2"/>
  <c r="AP817" i="2" s="1"/>
  <c r="D817" i="2"/>
  <c r="A817" i="2"/>
  <c r="BC816" i="2"/>
  <c r="AW816" i="2"/>
  <c r="AO816" i="2"/>
  <c r="BB816" i="2" s="1"/>
  <c r="AN816" i="2"/>
  <c r="BA816" i="2" s="1"/>
  <c r="AM816" i="2"/>
  <c r="AZ816" i="2" s="1"/>
  <c r="AL816" i="2"/>
  <c r="AY816" i="2" s="1"/>
  <c r="AK816" i="2"/>
  <c r="AX816" i="2" s="1"/>
  <c r="AJ816" i="2"/>
  <c r="AI816" i="2"/>
  <c r="AV816" i="2" s="1"/>
  <c r="AH816" i="2"/>
  <c r="AU816" i="2" s="1"/>
  <c r="AG816" i="2"/>
  <c r="AT816" i="2" s="1"/>
  <c r="AF816" i="2"/>
  <c r="AS816" i="2" s="1"/>
  <c r="AE816" i="2"/>
  <c r="AR816" i="2" s="1"/>
  <c r="AD816" i="2"/>
  <c r="AQ816" i="2" s="1"/>
  <c r="AA816" i="2"/>
  <c r="Z816" i="2"/>
  <c r="AP816" i="2" s="1"/>
  <c r="D816" i="2"/>
  <c r="A816" i="2"/>
  <c r="BC815" i="2"/>
  <c r="AO815" i="2"/>
  <c r="BB815" i="2" s="1"/>
  <c r="AN815" i="2"/>
  <c r="BA815" i="2" s="1"/>
  <c r="AM815" i="2"/>
  <c r="AZ815" i="2" s="1"/>
  <c r="AL815" i="2"/>
  <c r="AY815" i="2" s="1"/>
  <c r="AK815" i="2"/>
  <c r="AX815" i="2" s="1"/>
  <c r="AJ815" i="2"/>
  <c r="AW815" i="2" s="1"/>
  <c r="AI815" i="2"/>
  <c r="AV815" i="2" s="1"/>
  <c r="AH815" i="2"/>
  <c r="AU815" i="2" s="1"/>
  <c r="AG815" i="2"/>
  <c r="AT815" i="2" s="1"/>
  <c r="AF815" i="2"/>
  <c r="AS815" i="2" s="1"/>
  <c r="AE815" i="2"/>
  <c r="AR815" i="2" s="1"/>
  <c r="AD815" i="2"/>
  <c r="AQ815" i="2" s="1"/>
  <c r="AA815" i="2"/>
  <c r="Z815" i="2"/>
  <c r="AP815" i="2" s="1"/>
  <c r="D815" i="2"/>
  <c r="A815" i="2"/>
  <c r="BC814" i="2"/>
  <c r="AO814" i="2"/>
  <c r="BB814" i="2" s="1"/>
  <c r="AN814" i="2"/>
  <c r="BA814" i="2" s="1"/>
  <c r="AM814" i="2"/>
  <c r="AZ814" i="2" s="1"/>
  <c r="AL814" i="2"/>
  <c r="AY814" i="2" s="1"/>
  <c r="AK814" i="2"/>
  <c r="AX814" i="2" s="1"/>
  <c r="AJ814" i="2"/>
  <c r="AW814" i="2" s="1"/>
  <c r="AI814" i="2"/>
  <c r="AV814" i="2" s="1"/>
  <c r="AH814" i="2"/>
  <c r="AU814" i="2" s="1"/>
  <c r="AG814" i="2"/>
  <c r="AT814" i="2" s="1"/>
  <c r="AF814" i="2"/>
  <c r="AS814" i="2" s="1"/>
  <c r="AE814" i="2"/>
  <c r="AR814" i="2" s="1"/>
  <c r="AD814" i="2"/>
  <c r="AQ814" i="2" s="1"/>
  <c r="AA814" i="2"/>
  <c r="Z814" i="2"/>
  <c r="AP814" i="2" s="1"/>
  <c r="D814" i="2"/>
  <c r="A814" i="2"/>
  <c r="BC813" i="2"/>
  <c r="AO813" i="2"/>
  <c r="BB813" i="2" s="1"/>
  <c r="AN813" i="2"/>
  <c r="BA813" i="2" s="1"/>
  <c r="AM813" i="2"/>
  <c r="AZ813" i="2" s="1"/>
  <c r="AL813" i="2"/>
  <c r="AY813" i="2" s="1"/>
  <c r="AK813" i="2"/>
  <c r="AX813" i="2" s="1"/>
  <c r="AJ813" i="2"/>
  <c r="AW813" i="2" s="1"/>
  <c r="AI813" i="2"/>
  <c r="AV813" i="2" s="1"/>
  <c r="AH813" i="2"/>
  <c r="AU813" i="2" s="1"/>
  <c r="AG813" i="2"/>
  <c r="AT813" i="2" s="1"/>
  <c r="AF813" i="2"/>
  <c r="AS813" i="2" s="1"/>
  <c r="AE813" i="2"/>
  <c r="AR813" i="2" s="1"/>
  <c r="AD813" i="2"/>
  <c r="AQ813" i="2" s="1"/>
  <c r="AA813" i="2"/>
  <c r="Z813" i="2"/>
  <c r="AP813" i="2" s="1"/>
  <c r="D813" i="2"/>
  <c r="A813" i="2"/>
  <c r="BC812" i="2"/>
  <c r="AW812" i="2"/>
  <c r="AS812" i="2"/>
  <c r="AO812" i="2"/>
  <c r="BB812" i="2" s="1"/>
  <c r="AN812" i="2"/>
  <c r="BA812" i="2" s="1"/>
  <c r="AM812" i="2"/>
  <c r="AZ812" i="2" s="1"/>
  <c r="AL812" i="2"/>
  <c r="AY812" i="2" s="1"/>
  <c r="AK812" i="2"/>
  <c r="AX812" i="2" s="1"/>
  <c r="AJ812" i="2"/>
  <c r="AI812" i="2"/>
  <c r="AV812" i="2" s="1"/>
  <c r="AH812" i="2"/>
  <c r="AU812" i="2" s="1"/>
  <c r="AG812" i="2"/>
  <c r="AT812" i="2" s="1"/>
  <c r="AF812" i="2"/>
  <c r="AE812" i="2"/>
  <c r="AR812" i="2" s="1"/>
  <c r="AD812" i="2"/>
  <c r="AQ812" i="2" s="1"/>
  <c r="AA812" i="2"/>
  <c r="Z812" i="2"/>
  <c r="AP812" i="2" s="1"/>
  <c r="D812" i="2"/>
  <c r="A812" i="2"/>
  <c r="BC811" i="2"/>
  <c r="AO811" i="2"/>
  <c r="BB811" i="2" s="1"/>
  <c r="AN811" i="2"/>
  <c r="BA811" i="2" s="1"/>
  <c r="AM811" i="2"/>
  <c r="AZ811" i="2" s="1"/>
  <c r="AL811" i="2"/>
  <c r="AY811" i="2" s="1"/>
  <c r="AK811" i="2"/>
  <c r="AX811" i="2" s="1"/>
  <c r="AJ811" i="2"/>
  <c r="AW811" i="2" s="1"/>
  <c r="AI811" i="2"/>
  <c r="AV811" i="2" s="1"/>
  <c r="AH811" i="2"/>
  <c r="AU811" i="2" s="1"/>
  <c r="AG811" i="2"/>
  <c r="AT811" i="2" s="1"/>
  <c r="AF811" i="2"/>
  <c r="AS811" i="2" s="1"/>
  <c r="AE811" i="2"/>
  <c r="AR811" i="2" s="1"/>
  <c r="AD811" i="2"/>
  <c r="AQ811" i="2" s="1"/>
  <c r="AA811" i="2"/>
  <c r="Z811" i="2"/>
  <c r="AP811" i="2" s="1"/>
  <c r="D811" i="2"/>
  <c r="A811" i="2"/>
  <c r="BC810" i="2"/>
  <c r="AW810" i="2"/>
  <c r="AS810" i="2"/>
  <c r="AO810" i="2"/>
  <c r="BB810" i="2" s="1"/>
  <c r="AN810" i="2"/>
  <c r="BA810" i="2" s="1"/>
  <c r="AM810" i="2"/>
  <c r="AZ810" i="2" s="1"/>
  <c r="AL810" i="2"/>
  <c r="AY810" i="2" s="1"/>
  <c r="AK810" i="2"/>
  <c r="AX810" i="2" s="1"/>
  <c r="AJ810" i="2"/>
  <c r="AI810" i="2"/>
  <c r="AV810" i="2" s="1"/>
  <c r="AH810" i="2"/>
  <c r="AU810" i="2" s="1"/>
  <c r="AG810" i="2"/>
  <c r="AT810" i="2" s="1"/>
  <c r="AF810" i="2"/>
  <c r="AE810" i="2"/>
  <c r="AR810" i="2" s="1"/>
  <c r="AD810" i="2"/>
  <c r="AQ810" i="2" s="1"/>
  <c r="AA810" i="2"/>
  <c r="Z810" i="2"/>
  <c r="AP810" i="2" s="1"/>
  <c r="D810" i="2"/>
  <c r="A810" i="2"/>
  <c r="BC809" i="2"/>
  <c r="AO809" i="2"/>
  <c r="BB809" i="2" s="1"/>
  <c r="AN809" i="2"/>
  <c r="BA809" i="2" s="1"/>
  <c r="AM809" i="2"/>
  <c r="AZ809" i="2" s="1"/>
  <c r="AL809" i="2"/>
  <c r="AY809" i="2" s="1"/>
  <c r="AK809" i="2"/>
  <c r="AX809" i="2" s="1"/>
  <c r="AJ809" i="2"/>
  <c r="AW809" i="2" s="1"/>
  <c r="AI809" i="2"/>
  <c r="AV809" i="2" s="1"/>
  <c r="AH809" i="2"/>
  <c r="AU809" i="2" s="1"/>
  <c r="AG809" i="2"/>
  <c r="AT809" i="2" s="1"/>
  <c r="AF809" i="2"/>
  <c r="AS809" i="2" s="1"/>
  <c r="AE809" i="2"/>
  <c r="AR809" i="2" s="1"/>
  <c r="AD809" i="2"/>
  <c r="AQ809" i="2" s="1"/>
  <c r="AA809" i="2"/>
  <c r="Z809" i="2"/>
  <c r="AP809" i="2" s="1"/>
  <c r="D809" i="2"/>
  <c r="A809" i="2"/>
  <c r="BC808" i="2"/>
  <c r="AO808" i="2"/>
  <c r="BB808" i="2" s="1"/>
  <c r="AN808" i="2"/>
  <c r="BA808" i="2" s="1"/>
  <c r="AM808" i="2"/>
  <c r="AZ808" i="2" s="1"/>
  <c r="AL808" i="2"/>
  <c r="AY808" i="2" s="1"/>
  <c r="AK808" i="2"/>
  <c r="AX808" i="2" s="1"/>
  <c r="AJ808" i="2"/>
  <c r="AW808" i="2" s="1"/>
  <c r="AI808" i="2"/>
  <c r="AV808" i="2" s="1"/>
  <c r="AH808" i="2"/>
  <c r="AU808" i="2" s="1"/>
  <c r="AG808" i="2"/>
  <c r="AT808" i="2" s="1"/>
  <c r="AF808" i="2"/>
  <c r="AS808" i="2" s="1"/>
  <c r="AE808" i="2"/>
  <c r="AR808" i="2" s="1"/>
  <c r="AD808" i="2"/>
  <c r="AQ808" i="2" s="1"/>
  <c r="AA808" i="2"/>
  <c r="Z808" i="2"/>
  <c r="AP808" i="2" s="1"/>
  <c r="D808" i="2"/>
  <c r="A808" i="2"/>
  <c r="BC807" i="2"/>
  <c r="AO807" i="2"/>
  <c r="BB807" i="2" s="1"/>
  <c r="AN807" i="2"/>
  <c r="BA807" i="2" s="1"/>
  <c r="AM807" i="2"/>
  <c r="AZ807" i="2" s="1"/>
  <c r="AL807" i="2"/>
  <c r="AY807" i="2" s="1"/>
  <c r="AK807" i="2"/>
  <c r="AX807" i="2" s="1"/>
  <c r="AJ807" i="2"/>
  <c r="AW807" i="2" s="1"/>
  <c r="AI807" i="2"/>
  <c r="AV807" i="2" s="1"/>
  <c r="AH807" i="2"/>
  <c r="AU807" i="2" s="1"/>
  <c r="AG807" i="2"/>
  <c r="AT807" i="2" s="1"/>
  <c r="AF807" i="2"/>
  <c r="AS807" i="2" s="1"/>
  <c r="AE807" i="2"/>
  <c r="AR807" i="2" s="1"/>
  <c r="AD807" i="2"/>
  <c r="AQ807" i="2" s="1"/>
  <c r="AA807" i="2"/>
  <c r="Z807" i="2"/>
  <c r="AP807" i="2" s="1"/>
  <c r="D807" i="2"/>
  <c r="A807" i="2"/>
  <c r="BC806" i="2"/>
  <c r="AS806" i="2"/>
  <c r="AO806" i="2"/>
  <c r="BB806" i="2" s="1"/>
  <c r="AN806" i="2"/>
  <c r="BA806" i="2" s="1"/>
  <c r="AM806" i="2"/>
  <c r="AZ806" i="2" s="1"/>
  <c r="AL806" i="2"/>
  <c r="AY806" i="2" s="1"/>
  <c r="AK806" i="2"/>
  <c r="AX806" i="2" s="1"/>
  <c r="AJ806" i="2"/>
  <c r="AW806" i="2" s="1"/>
  <c r="AI806" i="2"/>
  <c r="AV806" i="2" s="1"/>
  <c r="AH806" i="2"/>
  <c r="AU806" i="2" s="1"/>
  <c r="AG806" i="2"/>
  <c r="AT806" i="2" s="1"/>
  <c r="AF806" i="2"/>
  <c r="AE806" i="2"/>
  <c r="AR806" i="2" s="1"/>
  <c r="AD806" i="2"/>
  <c r="AQ806" i="2" s="1"/>
  <c r="AA806" i="2"/>
  <c r="Z806" i="2"/>
  <c r="AP806" i="2" s="1"/>
  <c r="D806" i="2"/>
  <c r="A806" i="2"/>
  <c r="BC805" i="2"/>
  <c r="AO805" i="2"/>
  <c r="BB805" i="2" s="1"/>
  <c r="AN805" i="2"/>
  <c r="BA805" i="2" s="1"/>
  <c r="AM805" i="2"/>
  <c r="AZ805" i="2" s="1"/>
  <c r="AL805" i="2"/>
  <c r="AY805" i="2" s="1"/>
  <c r="AK805" i="2"/>
  <c r="AX805" i="2" s="1"/>
  <c r="AJ805" i="2"/>
  <c r="AW805" i="2" s="1"/>
  <c r="AI805" i="2"/>
  <c r="AV805" i="2" s="1"/>
  <c r="AH805" i="2"/>
  <c r="AU805" i="2" s="1"/>
  <c r="AG805" i="2"/>
  <c r="AT805" i="2" s="1"/>
  <c r="AF805" i="2"/>
  <c r="AS805" i="2" s="1"/>
  <c r="AE805" i="2"/>
  <c r="AR805" i="2" s="1"/>
  <c r="AD805" i="2"/>
  <c r="AQ805" i="2" s="1"/>
  <c r="AA805" i="2"/>
  <c r="Z805" i="2"/>
  <c r="AP805" i="2" s="1"/>
  <c r="D805" i="2"/>
  <c r="A805" i="2"/>
  <c r="BC804" i="2"/>
  <c r="AO804" i="2"/>
  <c r="BB804" i="2" s="1"/>
  <c r="AN804" i="2"/>
  <c r="BA804" i="2" s="1"/>
  <c r="AM804" i="2"/>
  <c r="AZ804" i="2" s="1"/>
  <c r="AL804" i="2"/>
  <c r="AY804" i="2" s="1"/>
  <c r="AK804" i="2"/>
  <c r="AX804" i="2" s="1"/>
  <c r="AJ804" i="2"/>
  <c r="AW804" i="2" s="1"/>
  <c r="AI804" i="2"/>
  <c r="AV804" i="2" s="1"/>
  <c r="AH804" i="2"/>
  <c r="AU804" i="2" s="1"/>
  <c r="AG804" i="2"/>
  <c r="AT804" i="2" s="1"/>
  <c r="AF804" i="2"/>
  <c r="AS804" i="2" s="1"/>
  <c r="AE804" i="2"/>
  <c r="AR804" i="2" s="1"/>
  <c r="AD804" i="2"/>
  <c r="AQ804" i="2" s="1"/>
  <c r="AA804" i="2"/>
  <c r="Z804" i="2"/>
  <c r="AP804" i="2" s="1"/>
  <c r="D804" i="2"/>
  <c r="A804" i="2"/>
  <c r="BC803" i="2"/>
  <c r="AO803" i="2"/>
  <c r="BB803" i="2" s="1"/>
  <c r="AN803" i="2"/>
  <c r="BA803" i="2" s="1"/>
  <c r="AM803" i="2"/>
  <c r="AZ803" i="2" s="1"/>
  <c r="AL803" i="2"/>
  <c r="AY803" i="2" s="1"/>
  <c r="AK803" i="2"/>
  <c r="AX803" i="2" s="1"/>
  <c r="AJ803" i="2"/>
  <c r="AW803" i="2" s="1"/>
  <c r="AI803" i="2"/>
  <c r="AV803" i="2" s="1"/>
  <c r="AH803" i="2"/>
  <c r="AU803" i="2" s="1"/>
  <c r="AG803" i="2"/>
  <c r="AT803" i="2" s="1"/>
  <c r="AF803" i="2"/>
  <c r="AS803" i="2" s="1"/>
  <c r="AE803" i="2"/>
  <c r="AR803" i="2" s="1"/>
  <c r="AD803" i="2"/>
  <c r="AQ803" i="2" s="1"/>
  <c r="AA803" i="2"/>
  <c r="Z803" i="2"/>
  <c r="AP803" i="2" s="1"/>
  <c r="D803" i="2"/>
  <c r="A803" i="2"/>
  <c r="BC802" i="2"/>
  <c r="AO802" i="2"/>
  <c r="BB802" i="2" s="1"/>
  <c r="AN802" i="2"/>
  <c r="BA802" i="2" s="1"/>
  <c r="AM802" i="2"/>
  <c r="AZ802" i="2" s="1"/>
  <c r="AL802" i="2"/>
  <c r="AY802" i="2" s="1"/>
  <c r="AK802" i="2"/>
  <c r="AX802" i="2" s="1"/>
  <c r="AJ802" i="2"/>
  <c r="AW802" i="2" s="1"/>
  <c r="AI802" i="2"/>
  <c r="AV802" i="2" s="1"/>
  <c r="AH802" i="2"/>
  <c r="AU802" i="2" s="1"/>
  <c r="AG802" i="2"/>
  <c r="AT802" i="2" s="1"/>
  <c r="AF802" i="2"/>
  <c r="AS802" i="2" s="1"/>
  <c r="AE802" i="2"/>
  <c r="AR802" i="2" s="1"/>
  <c r="AD802" i="2"/>
  <c r="AQ802" i="2" s="1"/>
  <c r="AA802" i="2"/>
  <c r="Z802" i="2"/>
  <c r="AP802" i="2" s="1"/>
  <c r="D802" i="2"/>
  <c r="A802" i="2"/>
  <c r="BC801" i="2"/>
  <c r="AO801" i="2"/>
  <c r="BB801" i="2" s="1"/>
  <c r="AN801" i="2"/>
  <c r="BA801" i="2" s="1"/>
  <c r="AM801" i="2"/>
  <c r="AZ801" i="2" s="1"/>
  <c r="AL801" i="2"/>
  <c r="AY801" i="2" s="1"/>
  <c r="AK801" i="2"/>
  <c r="AX801" i="2" s="1"/>
  <c r="AJ801" i="2"/>
  <c r="AW801" i="2" s="1"/>
  <c r="AI801" i="2"/>
  <c r="AV801" i="2" s="1"/>
  <c r="AH801" i="2"/>
  <c r="AU801" i="2" s="1"/>
  <c r="AG801" i="2"/>
  <c r="AT801" i="2" s="1"/>
  <c r="AF801" i="2"/>
  <c r="AS801" i="2" s="1"/>
  <c r="AE801" i="2"/>
  <c r="AR801" i="2" s="1"/>
  <c r="AD801" i="2"/>
  <c r="AQ801" i="2" s="1"/>
  <c r="AA801" i="2"/>
  <c r="Z801" i="2"/>
  <c r="AP801" i="2" s="1"/>
  <c r="D801" i="2"/>
  <c r="A801" i="2"/>
  <c r="BC800" i="2"/>
  <c r="AW800" i="2"/>
  <c r="AS800" i="2"/>
  <c r="AO800" i="2"/>
  <c r="BB800" i="2" s="1"/>
  <c r="AN800" i="2"/>
  <c r="BA800" i="2" s="1"/>
  <c r="AM800" i="2"/>
  <c r="AZ800" i="2" s="1"/>
  <c r="AL800" i="2"/>
  <c r="AY800" i="2" s="1"/>
  <c r="AK800" i="2"/>
  <c r="AX800" i="2" s="1"/>
  <c r="AJ800" i="2"/>
  <c r="AI800" i="2"/>
  <c r="AV800" i="2" s="1"/>
  <c r="AH800" i="2"/>
  <c r="AU800" i="2" s="1"/>
  <c r="AG800" i="2"/>
  <c r="AT800" i="2" s="1"/>
  <c r="AF800" i="2"/>
  <c r="AE800" i="2"/>
  <c r="AR800" i="2" s="1"/>
  <c r="AD800" i="2"/>
  <c r="AQ800" i="2" s="1"/>
  <c r="AA800" i="2"/>
  <c r="Z800" i="2"/>
  <c r="AP800" i="2" s="1"/>
  <c r="D800" i="2"/>
  <c r="A800" i="2"/>
  <c r="BC799" i="2"/>
  <c r="AO799" i="2"/>
  <c r="BB799" i="2" s="1"/>
  <c r="AN799" i="2"/>
  <c r="BA799" i="2" s="1"/>
  <c r="AM799" i="2"/>
  <c r="AZ799" i="2" s="1"/>
  <c r="AL799" i="2"/>
  <c r="AY799" i="2" s="1"/>
  <c r="AK799" i="2"/>
  <c r="AX799" i="2" s="1"/>
  <c r="AJ799" i="2"/>
  <c r="AW799" i="2" s="1"/>
  <c r="AI799" i="2"/>
  <c r="AV799" i="2" s="1"/>
  <c r="AH799" i="2"/>
  <c r="AU799" i="2" s="1"/>
  <c r="AG799" i="2"/>
  <c r="AT799" i="2" s="1"/>
  <c r="AF799" i="2"/>
  <c r="AS799" i="2" s="1"/>
  <c r="AE799" i="2"/>
  <c r="AR799" i="2" s="1"/>
  <c r="AD799" i="2"/>
  <c r="AQ799" i="2" s="1"/>
  <c r="AA799" i="2"/>
  <c r="Z799" i="2"/>
  <c r="AP799" i="2" s="1"/>
  <c r="D799" i="2"/>
  <c r="A799" i="2"/>
  <c r="BC798" i="2"/>
  <c r="AO798" i="2"/>
  <c r="BB798" i="2" s="1"/>
  <c r="AN798" i="2"/>
  <c r="BA798" i="2" s="1"/>
  <c r="AM798" i="2"/>
  <c r="AZ798" i="2" s="1"/>
  <c r="AL798" i="2"/>
  <c r="AY798" i="2" s="1"/>
  <c r="AK798" i="2"/>
  <c r="AX798" i="2" s="1"/>
  <c r="AJ798" i="2"/>
  <c r="AW798" i="2" s="1"/>
  <c r="AI798" i="2"/>
  <c r="AV798" i="2" s="1"/>
  <c r="AH798" i="2"/>
  <c r="AU798" i="2" s="1"/>
  <c r="AG798" i="2"/>
  <c r="AT798" i="2" s="1"/>
  <c r="AF798" i="2"/>
  <c r="AS798" i="2" s="1"/>
  <c r="AE798" i="2"/>
  <c r="AR798" i="2" s="1"/>
  <c r="AD798" i="2"/>
  <c r="AQ798" i="2" s="1"/>
  <c r="AA798" i="2"/>
  <c r="Z798" i="2"/>
  <c r="AP798" i="2" s="1"/>
  <c r="D798" i="2"/>
  <c r="A798" i="2"/>
  <c r="BC797" i="2"/>
  <c r="AO797" i="2"/>
  <c r="BB797" i="2" s="1"/>
  <c r="AN797" i="2"/>
  <c r="BA797" i="2" s="1"/>
  <c r="AM797" i="2"/>
  <c r="AZ797" i="2" s="1"/>
  <c r="AL797" i="2"/>
  <c r="AY797" i="2" s="1"/>
  <c r="AK797" i="2"/>
  <c r="AX797" i="2" s="1"/>
  <c r="AJ797" i="2"/>
  <c r="AW797" i="2" s="1"/>
  <c r="AI797" i="2"/>
  <c r="AV797" i="2" s="1"/>
  <c r="AH797" i="2"/>
  <c r="AU797" i="2" s="1"/>
  <c r="AG797" i="2"/>
  <c r="AT797" i="2" s="1"/>
  <c r="AF797" i="2"/>
  <c r="AS797" i="2" s="1"/>
  <c r="AE797" i="2"/>
  <c r="AR797" i="2" s="1"/>
  <c r="AD797" i="2"/>
  <c r="AQ797" i="2" s="1"/>
  <c r="AA797" i="2"/>
  <c r="Z797" i="2"/>
  <c r="AP797" i="2" s="1"/>
  <c r="D797" i="2"/>
  <c r="A797" i="2"/>
  <c r="BC796" i="2"/>
  <c r="AO796" i="2"/>
  <c r="BB796" i="2" s="1"/>
  <c r="AN796" i="2"/>
  <c r="BA796" i="2" s="1"/>
  <c r="AM796" i="2"/>
  <c r="AZ796" i="2" s="1"/>
  <c r="AL796" i="2"/>
  <c r="AY796" i="2" s="1"/>
  <c r="AK796" i="2"/>
  <c r="AX796" i="2" s="1"/>
  <c r="AJ796" i="2"/>
  <c r="AW796" i="2" s="1"/>
  <c r="AI796" i="2"/>
  <c r="AV796" i="2" s="1"/>
  <c r="AH796" i="2"/>
  <c r="AU796" i="2" s="1"/>
  <c r="AG796" i="2"/>
  <c r="AT796" i="2" s="1"/>
  <c r="AF796" i="2"/>
  <c r="AS796" i="2" s="1"/>
  <c r="AE796" i="2"/>
  <c r="AR796" i="2" s="1"/>
  <c r="AD796" i="2"/>
  <c r="AQ796" i="2" s="1"/>
  <c r="AA796" i="2"/>
  <c r="Z796" i="2"/>
  <c r="AP796" i="2" s="1"/>
  <c r="D796" i="2"/>
  <c r="A796" i="2"/>
  <c r="BC795" i="2"/>
  <c r="AO795" i="2"/>
  <c r="BB795" i="2" s="1"/>
  <c r="AN795" i="2"/>
  <c r="BA795" i="2" s="1"/>
  <c r="AM795" i="2"/>
  <c r="AZ795" i="2" s="1"/>
  <c r="AL795" i="2"/>
  <c r="AY795" i="2" s="1"/>
  <c r="AK795" i="2"/>
  <c r="AX795" i="2" s="1"/>
  <c r="AJ795" i="2"/>
  <c r="AW795" i="2" s="1"/>
  <c r="AI795" i="2"/>
  <c r="AV795" i="2" s="1"/>
  <c r="AH795" i="2"/>
  <c r="AU795" i="2" s="1"/>
  <c r="AG795" i="2"/>
  <c r="AT795" i="2" s="1"/>
  <c r="AF795" i="2"/>
  <c r="AS795" i="2" s="1"/>
  <c r="AE795" i="2"/>
  <c r="AR795" i="2" s="1"/>
  <c r="AD795" i="2"/>
  <c r="AQ795" i="2" s="1"/>
  <c r="AA795" i="2"/>
  <c r="Z795" i="2"/>
  <c r="AP795" i="2" s="1"/>
  <c r="D795" i="2"/>
  <c r="A795" i="2"/>
  <c r="BC794" i="2"/>
  <c r="AW794" i="2"/>
  <c r="AO794" i="2"/>
  <c r="BB794" i="2" s="1"/>
  <c r="AN794" i="2"/>
  <c r="BA794" i="2" s="1"/>
  <c r="AM794" i="2"/>
  <c r="AZ794" i="2" s="1"/>
  <c r="AL794" i="2"/>
  <c r="AY794" i="2" s="1"/>
  <c r="AK794" i="2"/>
  <c r="AX794" i="2" s="1"/>
  <c r="AJ794" i="2"/>
  <c r="AI794" i="2"/>
  <c r="AV794" i="2" s="1"/>
  <c r="AH794" i="2"/>
  <c r="AU794" i="2" s="1"/>
  <c r="AG794" i="2"/>
  <c r="AT794" i="2" s="1"/>
  <c r="AF794" i="2"/>
  <c r="AS794" i="2" s="1"/>
  <c r="AE794" i="2"/>
  <c r="AR794" i="2" s="1"/>
  <c r="AD794" i="2"/>
  <c r="AQ794" i="2" s="1"/>
  <c r="AA794" i="2"/>
  <c r="Z794" i="2"/>
  <c r="AP794" i="2" s="1"/>
  <c r="D794" i="2"/>
  <c r="A794" i="2"/>
  <c r="BC793" i="2"/>
  <c r="AS793" i="2"/>
  <c r="AO793" i="2"/>
  <c r="BB793" i="2" s="1"/>
  <c r="AN793" i="2"/>
  <c r="BA793" i="2" s="1"/>
  <c r="AM793" i="2"/>
  <c r="AZ793" i="2" s="1"/>
  <c r="AL793" i="2"/>
  <c r="AY793" i="2" s="1"/>
  <c r="AK793" i="2"/>
  <c r="AX793" i="2" s="1"/>
  <c r="AJ793" i="2"/>
  <c r="AW793" i="2" s="1"/>
  <c r="AI793" i="2"/>
  <c r="AV793" i="2" s="1"/>
  <c r="AH793" i="2"/>
  <c r="AU793" i="2" s="1"/>
  <c r="AG793" i="2"/>
  <c r="AT793" i="2" s="1"/>
  <c r="AF793" i="2"/>
  <c r="AE793" i="2"/>
  <c r="AR793" i="2" s="1"/>
  <c r="AD793" i="2"/>
  <c r="AQ793" i="2" s="1"/>
  <c r="AA793" i="2"/>
  <c r="Z793" i="2"/>
  <c r="AP793" i="2" s="1"/>
  <c r="D793" i="2"/>
  <c r="A793" i="2"/>
  <c r="BC792" i="2"/>
  <c r="AO792" i="2"/>
  <c r="BB792" i="2" s="1"/>
  <c r="AN792" i="2"/>
  <c r="BA792" i="2" s="1"/>
  <c r="AM792" i="2"/>
  <c r="AZ792" i="2" s="1"/>
  <c r="AL792" i="2"/>
  <c r="AY792" i="2" s="1"/>
  <c r="AK792" i="2"/>
  <c r="AX792" i="2" s="1"/>
  <c r="AJ792" i="2"/>
  <c r="AW792" i="2" s="1"/>
  <c r="AI792" i="2"/>
  <c r="AV792" i="2" s="1"/>
  <c r="AH792" i="2"/>
  <c r="AU792" i="2" s="1"/>
  <c r="AG792" i="2"/>
  <c r="AT792" i="2" s="1"/>
  <c r="AF792" i="2"/>
  <c r="AS792" i="2" s="1"/>
  <c r="AE792" i="2"/>
  <c r="AR792" i="2" s="1"/>
  <c r="AD792" i="2"/>
  <c r="AQ792" i="2" s="1"/>
  <c r="AA792" i="2"/>
  <c r="Z792" i="2"/>
  <c r="AP792" i="2" s="1"/>
  <c r="D792" i="2"/>
  <c r="A792" i="2"/>
  <c r="BC791" i="2"/>
  <c r="AW791" i="2"/>
  <c r="AS791" i="2"/>
  <c r="AO791" i="2"/>
  <c r="BB791" i="2" s="1"/>
  <c r="AN791" i="2"/>
  <c r="BA791" i="2" s="1"/>
  <c r="AM791" i="2"/>
  <c r="AZ791" i="2" s="1"/>
  <c r="AL791" i="2"/>
  <c r="AY791" i="2" s="1"/>
  <c r="AK791" i="2"/>
  <c r="AX791" i="2" s="1"/>
  <c r="AJ791" i="2"/>
  <c r="AI791" i="2"/>
  <c r="AV791" i="2" s="1"/>
  <c r="AH791" i="2"/>
  <c r="AU791" i="2" s="1"/>
  <c r="AG791" i="2"/>
  <c r="AT791" i="2" s="1"/>
  <c r="AF791" i="2"/>
  <c r="AE791" i="2"/>
  <c r="AR791" i="2" s="1"/>
  <c r="AD791" i="2"/>
  <c r="AQ791" i="2" s="1"/>
  <c r="AA791" i="2"/>
  <c r="Z791" i="2"/>
  <c r="AP791" i="2" s="1"/>
  <c r="D791" i="2"/>
  <c r="A791" i="2"/>
  <c r="BC790" i="2"/>
  <c r="AO790" i="2"/>
  <c r="BB790" i="2" s="1"/>
  <c r="AN790" i="2"/>
  <c r="BA790" i="2" s="1"/>
  <c r="AM790" i="2"/>
  <c r="AZ790" i="2" s="1"/>
  <c r="AL790" i="2"/>
  <c r="AY790" i="2" s="1"/>
  <c r="AK790" i="2"/>
  <c r="AX790" i="2" s="1"/>
  <c r="AJ790" i="2"/>
  <c r="AW790" i="2" s="1"/>
  <c r="AI790" i="2"/>
  <c r="AV790" i="2" s="1"/>
  <c r="AH790" i="2"/>
  <c r="AU790" i="2" s="1"/>
  <c r="AG790" i="2"/>
  <c r="AT790" i="2" s="1"/>
  <c r="AF790" i="2"/>
  <c r="AS790" i="2" s="1"/>
  <c r="AE790" i="2"/>
  <c r="AR790" i="2" s="1"/>
  <c r="AD790" i="2"/>
  <c r="AQ790" i="2" s="1"/>
  <c r="AA790" i="2"/>
  <c r="Z790" i="2"/>
  <c r="AP790" i="2" s="1"/>
  <c r="D790" i="2"/>
  <c r="A790" i="2"/>
  <c r="BC789" i="2"/>
  <c r="AO789" i="2"/>
  <c r="BB789" i="2" s="1"/>
  <c r="AN789" i="2"/>
  <c r="BA789" i="2" s="1"/>
  <c r="AM789" i="2"/>
  <c r="AZ789" i="2" s="1"/>
  <c r="AL789" i="2"/>
  <c r="AY789" i="2" s="1"/>
  <c r="AK789" i="2"/>
  <c r="AX789" i="2" s="1"/>
  <c r="AJ789" i="2"/>
  <c r="AW789" i="2" s="1"/>
  <c r="AI789" i="2"/>
  <c r="AV789" i="2" s="1"/>
  <c r="AH789" i="2"/>
  <c r="AU789" i="2" s="1"/>
  <c r="AG789" i="2"/>
  <c r="AT789" i="2" s="1"/>
  <c r="AF789" i="2"/>
  <c r="AS789" i="2" s="1"/>
  <c r="AE789" i="2"/>
  <c r="AR789" i="2" s="1"/>
  <c r="AD789" i="2"/>
  <c r="AQ789" i="2" s="1"/>
  <c r="AA789" i="2"/>
  <c r="Z789" i="2"/>
  <c r="AP789" i="2" s="1"/>
  <c r="D789" i="2"/>
  <c r="A789" i="2"/>
  <c r="BC788" i="2"/>
  <c r="AO788" i="2"/>
  <c r="BB788" i="2" s="1"/>
  <c r="AN788" i="2"/>
  <c r="BA788" i="2" s="1"/>
  <c r="AM788" i="2"/>
  <c r="AZ788" i="2" s="1"/>
  <c r="AL788" i="2"/>
  <c r="AY788" i="2" s="1"/>
  <c r="AK788" i="2"/>
  <c r="AX788" i="2" s="1"/>
  <c r="AJ788" i="2"/>
  <c r="AW788" i="2" s="1"/>
  <c r="AI788" i="2"/>
  <c r="AV788" i="2" s="1"/>
  <c r="AH788" i="2"/>
  <c r="AU788" i="2" s="1"/>
  <c r="AG788" i="2"/>
  <c r="AT788" i="2" s="1"/>
  <c r="AF788" i="2"/>
  <c r="AS788" i="2" s="1"/>
  <c r="AE788" i="2"/>
  <c r="AR788" i="2" s="1"/>
  <c r="AD788" i="2"/>
  <c r="AQ788" i="2" s="1"/>
  <c r="AA788" i="2"/>
  <c r="Z788" i="2"/>
  <c r="AP788" i="2" s="1"/>
  <c r="D788" i="2"/>
  <c r="A788" i="2"/>
  <c r="BC787" i="2"/>
  <c r="AS787" i="2"/>
  <c r="AO787" i="2"/>
  <c r="BB787" i="2" s="1"/>
  <c r="AN787" i="2"/>
  <c r="BA787" i="2" s="1"/>
  <c r="AM787" i="2"/>
  <c r="AZ787" i="2" s="1"/>
  <c r="AL787" i="2"/>
  <c r="AY787" i="2" s="1"/>
  <c r="AK787" i="2"/>
  <c r="AX787" i="2" s="1"/>
  <c r="AJ787" i="2"/>
  <c r="AW787" i="2" s="1"/>
  <c r="AI787" i="2"/>
  <c r="AV787" i="2" s="1"/>
  <c r="AH787" i="2"/>
  <c r="AU787" i="2" s="1"/>
  <c r="AG787" i="2"/>
  <c r="AT787" i="2" s="1"/>
  <c r="AF787" i="2"/>
  <c r="AE787" i="2"/>
  <c r="AR787" i="2" s="1"/>
  <c r="AD787" i="2"/>
  <c r="AQ787" i="2" s="1"/>
  <c r="AA787" i="2"/>
  <c r="Z787" i="2"/>
  <c r="AP787" i="2" s="1"/>
  <c r="D787" i="2"/>
  <c r="A787" i="2"/>
  <c r="BC786" i="2"/>
  <c r="AO786" i="2"/>
  <c r="BB786" i="2" s="1"/>
  <c r="AN786" i="2"/>
  <c r="BA786" i="2" s="1"/>
  <c r="AM786" i="2"/>
  <c r="AZ786" i="2" s="1"/>
  <c r="AL786" i="2"/>
  <c r="AY786" i="2" s="1"/>
  <c r="AK786" i="2"/>
  <c r="AX786" i="2" s="1"/>
  <c r="AJ786" i="2"/>
  <c r="AW786" i="2" s="1"/>
  <c r="AI786" i="2"/>
  <c r="AV786" i="2" s="1"/>
  <c r="AH786" i="2"/>
  <c r="AU786" i="2" s="1"/>
  <c r="AG786" i="2"/>
  <c r="AT786" i="2" s="1"/>
  <c r="AF786" i="2"/>
  <c r="AS786" i="2" s="1"/>
  <c r="AE786" i="2"/>
  <c r="AR786" i="2" s="1"/>
  <c r="AD786" i="2"/>
  <c r="AQ786" i="2" s="1"/>
  <c r="AA786" i="2"/>
  <c r="Z786" i="2"/>
  <c r="AP786" i="2" s="1"/>
  <c r="D786" i="2"/>
  <c r="A786" i="2"/>
  <c r="BC785" i="2"/>
  <c r="AO785" i="2"/>
  <c r="BB785" i="2" s="1"/>
  <c r="AN785" i="2"/>
  <c r="BA785" i="2" s="1"/>
  <c r="AM785" i="2"/>
  <c r="AZ785" i="2" s="1"/>
  <c r="AL785" i="2"/>
  <c r="AY785" i="2" s="1"/>
  <c r="AK785" i="2"/>
  <c r="AX785" i="2" s="1"/>
  <c r="AJ785" i="2"/>
  <c r="AW785" i="2" s="1"/>
  <c r="AI785" i="2"/>
  <c r="AV785" i="2" s="1"/>
  <c r="AH785" i="2"/>
  <c r="AU785" i="2" s="1"/>
  <c r="AG785" i="2"/>
  <c r="AT785" i="2" s="1"/>
  <c r="AF785" i="2"/>
  <c r="AS785" i="2" s="1"/>
  <c r="AE785" i="2"/>
  <c r="AR785" i="2" s="1"/>
  <c r="AD785" i="2"/>
  <c r="AQ785" i="2" s="1"/>
  <c r="AA785" i="2"/>
  <c r="Z785" i="2"/>
  <c r="AP785" i="2" s="1"/>
  <c r="D785" i="2"/>
  <c r="A785" i="2"/>
  <c r="BC784" i="2"/>
  <c r="AY784" i="2"/>
  <c r="AO784" i="2"/>
  <c r="BB784" i="2" s="1"/>
  <c r="AN784" i="2"/>
  <c r="BA784" i="2" s="1"/>
  <c r="AM784" i="2"/>
  <c r="AZ784" i="2" s="1"/>
  <c r="AL784" i="2"/>
  <c r="AK784" i="2"/>
  <c r="AX784" i="2" s="1"/>
  <c r="AJ784" i="2"/>
  <c r="AW784" i="2" s="1"/>
  <c r="AI784" i="2"/>
  <c r="AV784" i="2" s="1"/>
  <c r="AH784" i="2"/>
  <c r="AU784" i="2" s="1"/>
  <c r="AG784" i="2"/>
  <c r="AT784" i="2" s="1"/>
  <c r="AF784" i="2"/>
  <c r="AS784" i="2" s="1"/>
  <c r="AE784" i="2"/>
  <c r="AR784" i="2" s="1"/>
  <c r="AD784" i="2"/>
  <c r="AQ784" i="2" s="1"/>
  <c r="AA784" i="2"/>
  <c r="Z784" i="2"/>
  <c r="AP784" i="2" s="1"/>
  <c r="D784" i="2"/>
  <c r="A784" i="2"/>
  <c r="BC783" i="2"/>
  <c r="AO783" i="2"/>
  <c r="BB783" i="2" s="1"/>
  <c r="AN783" i="2"/>
  <c r="BA783" i="2" s="1"/>
  <c r="AM783" i="2"/>
  <c r="AZ783" i="2" s="1"/>
  <c r="AL783" i="2"/>
  <c r="AY783" i="2" s="1"/>
  <c r="AK783" i="2"/>
  <c r="AX783" i="2" s="1"/>
  <c r="AJ783" i="2"/>
  <c r="AW783" i="2" s="1"/>
  <c r="AI783" i="2"/>
  <c r="AV783" i="2" s="1"/>
  <c r="AH783" i="2"/>
  <c r="AU783" i="2" s="1"/>
  <c r="AG783" i="2"/>
  <c r="AT783" i="2" s="1"/>
  <c r="AF783" i="2"/>
  <c r="AS783" i="2" s="1"/>
  <c r="AE783" i="2"/>
  <c r="AR783" i="2" s="1"/>
  <c r="AD783" i="2"/>
  <c r="AQ783" i="2" s="1"/>
  <c r="AA783" i="2"/>
  <c r="Z783" i="2"/>
  <c r="AP783" i="2" s="1"/>
  <c r="D783" i="2"/>
  <c r="A783" i="2"/>
  <c r="BC782" i="2"/>
  <c r="AO782" i="2"/>
  <c r="BB782" i="2" s="1"/>
  <c r="AN782" i="2"/>
  <c r="BA782" i="2" s="1"/>
  <c r="AM782" i="2"/>
  <c r="AZ782" i="2" s="1"/>
  <c r="AL782" i="2"/>
  <c r="AY782" i="2" s="1"/>
  <c r="AK782" i="2"/>
  <c r="AX782" i="2" s="1"/>
  <c r="AJ782" i="2"/>
  <c r="AW782" i="2" s="1"/>
  <c r="AI782" i="2"/>
  <c r="AV782" i="2" s="1"/>
  <c r="AH782" i="2"/>
  <c r="AU782" i="2" s="1"/>
  <c r="AG782" i="2"/>
  <c r="AT782" i="2" s="1"/>
  <c r="AF782" i="2"/>
  <c r="AS782" i="2" s="1"/>
  <c r="AE782" i="2"/>
  <c r="AR782" i="2" s="1"/>
  <c r="AD782" i="2"/>
  <c r="AQ782" i="2" s="1"/>
  <c r="AA782" i="2"/>
  <c r="Z782" i="2"/>
  <c r="AP782" i="2" s="1"/>
  <c r="D782" i="2"/>
  <c r="A782" i="2"/>
  <c r="BC781" i="2"/>
  <c r="AO781" i="2"/>
  <c r="BB781" i="2" s="1"/>
  <c r="AN781" i="2"/>
  <c r="BA781" i="2" s="1"/>
  <c r="AM781" i="2"/>
  <c r="AZ781" i="2" s="1"/>
  <c r="AL781" i="2"/>
  <c r="AY781" i="2" s="1"/>
  <c r="AK781" i="2"/>
  <c r="AX781" i="2" s="1"/>
  <c r="AJ781" i="2"/>
  <c r="AW781" i="2" s="1"/>
  <c r="AI781" i="2"/>
  <c r="AV781" i="2" s="1"/>
  <c r="AH781" i="2"/>
  <c r="AU781" i="2" s="1"/>
  <c r="AG781" i="2"/>
  <c r="AT781" i="2" s="1"/>
  <c r="AF781" i="2"/>
  <c r="AS781" i="2" s="1"/>
  <c r="AE781" i="2"/>
  <c r="AR781" i="2" s="1"/>
  <c r="AD781" i="2"/>
  <c r="AQ781" i="2" s="1"/>
  <c r="AA781" i="2"/>
  <c r="Z781" i="2"/>
  <c r="AP781" i="2" s="1"/>
  <c r="D781" i="2"/>
  <c r="A781" i="2"/>
  <c r="BC780" i="2"/>
  <c r="AW780" i="2"/>
  <c r="AS780" i="2"/>
  <c r="AO780" i="2"/>
  <c r="BB780" i="2" s="1"/>
  <c r="AN780" i="2"/>
  <c r="BA780" i="2" s="1"/>
  <c r="AM780" i="2"/>
  <c r="AZ780" i="2" s="1"/>
  <c r="AL780" i="2"/>
  <c r="AY780" i="2" s="1"/>
  <c r="AK780" i="2"/>
  <c r="AX780" i="2" s="1"/>
  <c r="AJ780" i="2"/>
  <c r="AI780" i="2"/>
  <c r="AV780" i="2" s="1"/>
  <c r="AH780" i="2"/>
  <c r="AU780" i="2" s="1"/>
  <c r="AG780" i="2"/>
  <c r="AT780" i="2" s="1"/>
  <c r="AF780" i="2"/>
  <c r="AE780" i="2"/>
  <c r="AR780" i="2" s="1"/>
  <c r="AD780" i="2"/>
  <c r="AQ780" i="2" s="1"/>
  <c r="AA780" i="2"/>
  <c r="Z780" i="2"/>
  <c r="AP780" i="2" s="1"/>
  <c r="D780" i="2"/>
  <c r="A780" i="2"/>
  <c r="BC779" i="2"/>
  <c r="AO779" i="2"/>
  <c r="BB779" i="2" s="1"/>
  <c r="AN779" i="2"/>
  <c r="BA779" i="2" s="1"/>
  <c r="AM779" i="2"/>
  <c r="AZ779" i="2" s="1"/>
  <c r="AL779" i="2"/>
  <c r="AY779" i="2" s="1"/>
  <c r="AK779" i="2"/>
  <c r="AX779" i="2" s="1"/>
  <c r="AJ779" i="2"/>
  <c r="AW779" i="2" s="1"/>
  <c r="AI779" i="2"/>
  <c r="AV779" i="2" s="1"/>
  <c r="AH779" i="2"/>
  <c r="AU779" i="2" s="1"/>
  <c r="AG779" i="2"/>
  <c r="AT779" i="2" s="1"/>
  <c r="AF779" i="2"/>
  <c r="AS779" i="2" s="1"/>
  <c r="AE779" i="2"/>
  <c r="AR779" i="2" s="1"/>
  <c r="AD779" i="2"/>
  <c r="AQ779" i="2" s="1"/>
  <c r="AA779" i="2"/>
  <c r="Z779" i="2"/>
  <c r="AP779" i="2" s="1"/>
  <c r="D779" i="2"/>
  <c r="A779" i="2"/>
  <c r="BC778" i="2"/>
  <c r="AO778" i="2"/>
  <c r="BB778" i="2" s="1"/>
  <c r="AN778" i="2"/>
  <c r="BA778" i="2" s="1"/>
  <c r="AM778" i="2"/>
  <c r="AZ778" i="2" s="1"/>
  <c r="AL778" i="2"/>
  <c r="AY778" i="2" s="1"/>
  <c r="AK778" i="2"/>
  <c r="AX778" i="2" s="1"/>
  <c r="AJ778" i="2"/>
  <c r="AW778" i="2" s="1"/>
  <c r="AI778" i="2"/>
  <c r="AV778" i="2" s="1"/>
  <c r="AH778" i="2"/>
  <c r="AU778" i="2" s="1"/>
  <c r="AG778" i="2"/>
  <c r="AT778" i="2" s="1"/>
  <c r="AF778" i="2"/>
  <c r="AS778" i="2" s="1"/>
  <c r="AE778" i="2"/>
  <c r="AR778" i="2" s="1"/>
  <c r="AD778" i="2"/>
  <c r="AQ778" i="2" s="1"/>
  <c r="AA778" i="2"/>
  <c r="Z778" i="2"/>
  <c r="AP778" i="2" s="1"/>
  <c r="D778" i="2"/>
  <c r="A778" i="2"/>
  <c r="BC777" i="2"/>
  <c r="AO777" i="2"/>
  <c r="BB777" i="2" s="1"/>
  <c r="AN777" i="2"/>
  <c r="BA777" i="2" s="1"/>
  <c r="AM777" i="2"/>
  <c r="AZ777" i="2" s="1"/>
  <c r="AL777" i="2"/>
  <c r="AY777" i="2" s="1"/>
  <c r="AK777" i="2"/>
  <c r="AX777" i="2" s="1"/>
  <c r="AJ777" i="2"/>
  <c r="AW777" i="2" s="1"/>
  <c r="AI777" i="2"/>
  <c r="AV777" i="2" s="1"/>
  <c r="AH777" i="2"/>
  <c r="AU777" i="2" s="1"/>
  <c r="AG777" i="2"/>
  <c r="AT777" i="2" s="1"/>
  <c r="AF777" i="2"/>
  <c r="AS777" i="2" s="1"/>
  <c r="AE777" i="2"/>
  <c r="AR777" i="2" s="1"/>
  <c r="AD777" i="2"/>
  <c r="AQ777" i="2" s="1"/>
  <c r="AA777" i="2"/>
  <c r="Z777" i="2"/>
  <c r="AP777" i="2" s="1"/>
  <c r="D777" i="2"/>
  <c r="A777" i="2"/>
  <c r="BC776" i="2"/>
  <c r="AS776" i="2"/>
  <c r="AO776" i="2"/>
  <c r="BB776" i="2" s="1"/>
  <c r="AN776" i="2"/>
  <c r="BA776" i="2" s="1"/>
  <c r="AM776" i="2"/>
  <c r="AZ776" i="2" s="1"/>
  <c r="AL776" i="2"/>
  <c r="AY776" i="2" s="1"/>
  <c r="AK776" i="2"/>
  <c r="AX776" i="2" s="1"/>
  <c r="AJ776" i="2"/>
  <c r="AW776" i="2" s="1"/>
  <c r="AI776" i="2"/>
  <c r="AV776" i="2" s="1"/>
  <c r="AH776" i="2"/>
  <c r="AU776" i="2" s="1"/>
  <c r="AG776" i="2"/>
  <c r="AT776" i="2" s="1"/>
  <c r="AF776" i="2"/>
  <c r="AE776" i="2"/>
  <c r="AR776" i="2" s="1"/>
  <c r="AD776" i="2"/>
  <c r="AQ776" i="2" s="1"/>
  <c r="AA776" i="2"/>
  <c r="Z776" i="2"/>
  <c r="AP776" i="2" s="1"/>
  <c r="D776" i="2"/>
  <c r="A776" i="2"/>
  <c r="BC775" i="2"/>
  <c r="AO775" i="2"/>
  <c r="BB775" i="2" s="1"/>
  <c r="AN775" i="2"/>
  <c r="BA775" i="2" s="1"/>
  <c r="AM775" i="2"/>
  <c r="AZ775" i="2" s="1"/>
  <c r="AL775" i="2"/>
  <c r="AY775" i="2" s="1"/>
  <c r="AK775" i="2"/>
  <c r="AX775" i="2" s="1"/>
  <c r="AJ775" i="2"/>
  <c r="AW775" i="2" s="1"/>
  <c r="AI775" i="2"/>
  <c r="AV775" i="2" s="1"/>
  <c r="AH775" i="2"/>
  <c r="AU775" i="2" s="1"/>
  <c r="AG775" i="2"/>
  <c r="AT775" i="2" s="1"/>
  <c r="AF775" i="2"/>
  <c r="AS775" i="2" s="1"/>
  <c r="AE775" i="2"/>
  <c r="AR775" i="2" s="1"/>
  <c r="AD775" i="2"/>
  <c r="AQ775" i="2" s="1"/>
  <c r="AA775" i="2"/>
  <c r="Z775" i="2"/>
  <c r="AP775" i="2" s="1"/>
  <c r="D775" i="2"/>
  <c r="A775" i="2"/>
  <c r="BC774" i="2"/>
  <c r="AW774" i="2"/>
  <c r="AS774" i="2"/>
  <c r="AO774" i="2"/>
  <c r="BB774" i="2" s="1"/>
  <c r="AN774" i="2"/>
  <c r="BA774" i="2" s="1"/>
  <c r="AM774" i="2"/>
  <c r="AZ774" i="2" s="1"/>
  <c r="AL774" i="2"/>
  <c r="AY774" i="2" s="1"/>
  <c r="AK774" i="2"/>
  <c r="AX774" i="2" s="1"/>
  <c r="AJ774" i="2"/>
  <c r="AI774" i="2"/>
  <c r="AV774" i="2" s="1"/>
  <c r="AH774" i="2"/>
  <c r="AU774" i="2" s="1"/>
  <c r="AG774" i="2"/>
  <c r="AT774" i="2" s="1"/>
  <c r="AF774" i="2"/>
  <c r="AE774" i="2"/>
  <c r="AR774" i="2" s="1"/>
  <c r="AD774" i="2"/>
  <c r="AQ774" i="2" s="1"/>
  <c r="AA774" i="2"/>
  <c r="Z774" i="2"/>
  <c r="AP774" i="2" s="1"/>
  <c r="D774" i="2"/>
  <c r="A774" i="2"/>
  <c r="BC773" i="2"/>
  <c r="AO773" i="2"/>
  <c r="BB773" i="2" s="1"/>
  <c r="AN773" i="2"/>
  <c r="BA773" i="2" s="1"/>
  <c r="AM773" i="2"/>
  <c r="AZ773" i="2" s="1"/>
  <c r="AL773" i="2"/>
  <c r="AY773" i="2" s="1"/>
  <c r="AK773" i="2"/>
  <c r="AX773" i="2" s="1"/>
  <c r="AJ773" i="2"/>
  <c r="AW773" i="2" s="1"/>
  <c r="AI773" i="2"/>
  <c r="AV773" i="2" s="1"/>
  <c r="AH773" i="2"/>
  <c r="AU773" i="2" s="1"/>
  <c r="AG773" i="2"/>
  <c r="AT773" i="2" s="1"/>
  <c r="AF773" i="2"/>
  <c r="AS773" i="2" s="1"/>
  <c r="AE773" i="2"/>
  <c r="AR773" i="2" s="1"/>
  <c r="AD773" i="2"/>
  <c r="AQ773" i="2" s="1"/>
  <c r="AA773" i="2"/>
  <c r="Z773" i="2"/>
  <c r="AP773" i="2" s="1"/>
  <c r="D773" i="2"/>
  <c r="A773" i="2"/>
  <c r="BC772" i="2"/>
  <c r="AO772" i="2"/>
  <c r="BB772" i="2" s="1"/>
  <c r="AN772" i="2"/>
  <c r="BA772" i="2" s="1"/>
  <c r="AM772" i="2"/>
  <c r="AZ772" i="2" s="1"/>
  <c r="AL772" i="2"/>
  <c r="AY772" i="2" s="1"/>
  <c r="AK772" i="2"/>
  <c r="AX772" i="2" s="1"/>
  <c r="AJ772" i="2"/>
  <c r="AW772" i="2" s="1"/>
  <c r="AI772" i="2"/>
  <c r="AV772" i="2" s="1"/>
  <c r="AH772" i="2"/>
  <c r="AU772" i="2" s="1"/>
  <c r="AG772" i="2"/>
  <c r="AT772" i="2" s="1"/>
  <c r="AF772" i="2"/>
  <c r="AS772" i="2" s="1"/>
  <c r="AE772" i="2"/>
  <c r="AR772" i="2" s="1"/>
  <c r="AD772" i="2"/>
  <c r="AQ772" i="2" s="1"/>
  <c r="AA772" i="2"/>
  <c r="Z772" i="2"/>
  <c r="AP772" i="2" s="1"/>
  <c r="D772" i="2"/>
  <c r="A772" i="2"/>
  <c r="BC771" i="2"/>
  <c r="AO771" i="2"/>
  <c r="BB771" i="2" s="1"/>
  <c r="AN771" i="2"/>
  <c r="BA771" i="2" s="1"/>
  <c r="AM771" i="2"/>
  <c r="AZ771" i="2" s="1"/>
  <c r="AL771" i="2"/>
  <c r="AY771" i="2" s="1"/>
  <c r="AK771" i="2"/>
  <c r="AX771" i="2" s="1"/>
  <c r="AJ771" i="2"/>
  <c r="AW771" i="2" s="1"/>
  <c r="AI771" i="2"/>
  <c r="AV771" i="2" s="1"/>
  <c r="AH771" i="2"/>
  <c r="AU771" i="2" s="1"/>
  <c r="AG771" i="2"/>
  <c r="AT771" i="2" s="1"/>
  <c r="AF771" i="2"/>
  <c r="AS771" i="2" s="1"/>
  <c r="AE771" i="2"/>
  <c r="AR771" i="2" s="1"/>
  <c r="AD771" i="2"/>
  <c r="AQ771" i="2" s="1"/>
  <c r="AA771" i="2"/>
  <c r="Z771" i="2"/>
  <c r="AP771" i="2" s="1"/>
  <c r="D771" i="2"/>
  <c r="A771" i="2"/>
  <c r="BC770" i="2"/>
  <c r="AO770" i="2"/>
  <c r="BB770" i="2" s="1"/>
  <c r="AN770" i="2"/>
  <c r="BA770" i="2" s="1"/>
  <c r="AM770" i="2"/>
  <c r="AZ770" i="2" s="1"/>
  <c r="AL770" i="2"/>
  <c r="AY770" i="2" s="1"/>
  <c r="AK770" i="2"/>
  <c r="AX770" i="2" s="1"/>
  <c r="AJ770" i="2"/>
  <c r="AW770" i="2" s="1"/>
  <c r="AI770" i="2"/>
  <c r="AV770" i="2" s="1"/>
  <c r="AH770" i="2"/>
  <c r="AU770" i="2" s="1"/>
  <c r="AG770" i="2"/>
  <c r="AT770" i="2" s="1"/>
  <c r="AF770" i="2"/>
  <c r="AS770" i="2" s="1"/>
  <c r="AE770" i="2"/>
  <c r="AR770" i="2" s="1"/>
  <c r="AD770" i="2"/>
  <c r="AQ770" i="2" s="1"/>
  <c r="AA770" i="2"/>
  <c r="Z770" i="2"/>
  <c r="AP770" i="2" s="1"/>
  <c r="D770" i="2"/>
  <c r="A770" i="2"/>
  <c r="BC769" i="2"/>
  <c r="AO769" i="2"/>
  <c r="BB769" i="2" s="1"/>
  <c r="AN769" i="2"/>
  <c r="BA769" i="2" s="1"/>
  <c r="AM769" i="2"/>
  <c r="AZ769" i="2" s="1"/>
  <c r="AL769" i="2"/>
  <c r="AY769" i="2" s="1"/>
  <c r="AK769" i="2"/>
  <c r="AX769" i="2" s="1"/>
  <c r="AJ769" i="2"/>
  <c r="AW769" i="2" s="1"/>
  <c r="AI769" i="2"/>
  <c r="AV769" i="2" s="1"/>
  <c r="AH769" i="2"/>
  <c r="AU769" i="2" s="1"/>
  <c r="AG769" i="2"/>
  <c r="AT769" i="2" s="1"/>
  <c r="AF769" i="2"/>
  <c r="AS769" i="2" s="1"/>
  <c r="AE769" i="2"/>
  <c r="AR769" i="2" s="1"/>
  <c r="AD769" i="2"/>
  <c r="AQ769" i="2" s="1"/>
  <c r="AA769" i="2"/>
  <c r="Z769" i="2"/>
  <c r="AP769" i="2" s="1"/>
  <c r="D769" i="2"/>
  <c r="A769" i="2"/>
  <c r="BC768" i="2"/>
  <c r="AO768" i="2"/>
  <c r="BB768" i="2" s="1"/>
  <c r="AN768" i="2"/>
  <c r="BA768" i="2" s="1"/>
  <c r="AM768" i="2"/>
  <c r="AZ768" i="2" s="1"/>
  <c r="AL768" i="2"/>
  <c r="AY768" i="2" s="1"/>
  <c r="AK768" i="2"/>
  <c r="AX768" i="2" s="1"/>
  <c r="AJ768" i="2"/>
  <c r="AW768" i="2" s="1"/>
  <c r="AI768" i="2"/>
  <c r="AV768" i="2" s="1"/>
  <c r="AH768" i="2"/>
  <c r="AU768" i="2" s="1"/>
  <c r="AG768" i="2"/>
  <c r="AT768" i="2" s="1"/>
  <c r="AF768" i="2"/>
  <c r="AS768" i="2" s="1"/>
  <c r="AE768" i="2"/>
  <c r="AR768" i="2" s="1"/>
  <c r="AD768" i="2"/>
  <c r="AQ768" i="2" s="1"/>
  <c r="AA768" i="2"/>
  <c r="Z768" i="2"/>
  <c r="AP768" i="2" s="1"/>
  <c r="D768" i="2"/>
  <c r="A768" i="2"/>
  <c r="BC767" i="2"/>
  <c r="AO767" i="2"/>
  <c r="BB767" i="2" s="1"/>
  <c r="AN767" i="2"/>
  <c r="BA767" i="2" s="1"/>
  <c r="AM767" i="2"/>
  <c r="AZ767" i="2" s="1"/>
  <c r="AL767" i="2"/>
  <c r="AY767" i="2" s="1"/>
  <c r="AK767" i="2"/>
  <c r="AX767" i="2" s="1"/>
  <c r="AJ767" i="2"/>
  <c r="AW767" i="2" s="1"/>
  <c r="AI767" i="2"/>
  <c r="AV767" i="2" s="1"/>
  <c r="AH767" i="2"/>
  <c r="AU767" i="2" s="1"/>
  <c r="AG767" i="2"/>
  <c r="AT767" i="2" s="1"/>
  <c r="AF767" i="2"/>
  <c r="AS767" i="2" s="1"/>
  <c r="AE767" i="2"/>
  <c r="AR767" i="2" s="1"/>
  <c r="AD767" i="2"/>
  <c r="AQ767" i="2" s="1"/>
  <c r="AA767" i="2"/>
  <c r="Z767" i="2"/>
  <c r="AP767" i="2" s="1"/>
  <c r="D767" i="2"/>
  <c r="A767" i="2"/>
  <c r="BC766" i="2"/>
  <c r="AO766" i="2"/>
  <c r="BB766" i="2" s="1"/>
  <c r="AN766" i="2"/>
  <c r="BA766" i="2" s="1"/>
  <c r="AM766" i="2"/>
  <c r="AZ766" i="2" s="1"/>
  <c r="AL766" i="2"/>
  <c r="AY766" i="2" s="1"/>
  <c r="AK766" i="2"/>
  <c r="AX766" i="2" s="1"/>
  <c r="AJ766" i="2"/>
  <c r="AW766" i="2" s="1"/>
  <c r="AI766" i="2"/>
  <c r="AV766" i="2" s="1"/>
  <c r="AH766" i="2"/>
  <c r="AU766" i="2" s="1"/>
  <c r="AG766" i="2"/>
  <c r="AT766" i="2" s="1"/>
  <c r="AF766" i="2"/>
  <c r="AS766" i="2" s="1"/>
  <c r="AE766" i="2"/>
  <c r="AR766" i="2" s="1"/>
  <c r="AD766" i="2"/>
  <c r="AQ766" i="2" s="1"/>
  <c r="AA766" i="2"/>
  <c r="Z766" i="2"/>
  <c r="AP766" i="2" s="1"/>
  <c r="D766" i="2"/>
  <c r="A766" i="2"/>
  <c r="BC765" i="2"/>
  <c r="AO765" i="2"/>
  <c r="BB765" i="2" s="1"/>
  <c r="AN765" i="2"/>
  <c r="BA765" i="2" s="1"/>
  <c r="AM765" i="2"/>
  <c r="AZ765" i="2" s="1"/>
  <c r="AL765" i="2"/>
  <c r="AY765" i="2" s="1"/>
  <c r="AK765" i="2"/>
  <c r="AX765" i="2" s="1"/>
  <c r="AJ765" i="2"/>
  <c r="AW765" i="2" s="1"/>
  <c r="AI765" i="2"/>
  <c r="AV765" i="2" s="1"/>
  <c r="AH765" i="2"/>
  <c r="AU765" i="2" s="1"/>
  <c r="AG765" i="2"/>
  <c r="AT765" i="2" s="1"/>
  <c r="AF765" i="2"/>
  <c r="AS765" i="2" s="1"/>
  <c r="AE765" i="2"/>
  <c r="AR765" i="2" s="1"/>
  <c r="AD765" i="2"/>
  <c r="AQ765" i="2" s="1"/>
  <c r="AA765" i="2"/>
  <c r="Z765" i="2"/>
  <c r="AP765" i="2" s="1"/>
  <c r="D765" i="2"/>
  <c r="A765" i="2"/>
  <c r="BC764" i="2"/>
  <c r="AW764" i="2"/>
  <c r="AO764" i="2"/>
  <c r="BB764" i="2" s="1"/>
  <c r="AN764" i="2"/>
  <c r="BA764" i="2" s="1"/>
  <c r="AM764" i="2"/>
  <c r="AZ764" i="2" s="1"/>
  <c r="AL764" i="2"/>
  <c r="AY764" i="2" s="1"/>
  <c r="AK764" i="2"/>
  <c r="AX764" i="2" s="1"/>
  <c r="AJ764" i="2"/>
  <c r="AI764" i="2"/>
  <c r="AV764" i="2" s="1"/>
  <c r="AH764" i="2"/>
  <c r="AU764" i="2" s="1"/>
  <c r="AG764" i="2"/>
  <c r="AT764" i="2" s="1"/>
  <c r="AF764" i="2"/>
  <c r="AS764" i="2" s="1"/>
  <c r="AE764" i="2"/>
  <c r="AR764" i="2" s="1"/>
  <c r="AD764" i="2"/>
  <c r="AQ764" i="2" s="1"/>
  <c r="AA764" i="2"/>
  <c r="Z764" i="2"/>
  <c r="AP764" i="2" s="1"/>
  <c r="D764" i="2"/>
  <c r="A764" i="2"/>
  <c r="BC763" i="2"/>
  <c r="AO763" i="2"/>
  <c r="BB763" i="2" s="1"/>
  <c r="AN763" i="2"/>
  <c r="BA763" i="2" s="1"/>
  <c r="AM763" i="2"/>
  <c r="AZ763" i="2" s="1"/>
  <c r="AL763" i="2"/>
  <c r="AY763" i="2" s="1"/>
  <c r="AK763" i="2"/>
  <c r="AX763" i="2" s="1"/>
  <c r="AJ763" i="2"/>
  <c r="AW763" i="2" s="1"/>
  <c r="AI763" i="2"/>
  <c r="AV763" i="2" s="1"/>
  <c r="AH763" i="2"/>
  <c r="AU763" i="2" s="1"/>
  <c r="AG763" i="2"/>
  <c r="AT763" i="2" s="1"/>
  <c r="AF763" i="2"/>
  <c r="AS763" i="2" s="1"/>
  <c r="AE763" i="2"/>
  <c r="AR763" i="2" s="1"/>
  <c r="AD763" i="2"/>
  <c r="AQ763" i="2" s="1"/>
  <c r="AA763" i="2"/>
  <c r="Z763" i="2"/>
  <c r="AP763" i="2" s="1"/>
  <c r="D763" i="2"/>
  <c r="A763" i="2"/>
  <c r="BC762" i="2"/>
  <c r="AO762" i="2"/>
  <c r="BB762" i="2" s="1"/>
  <c r="AN762" i="2"/>
  <c r="BA762" i="2" s="1"/>
  <c r="AM762" i="2"/>
  <c r="AZ762" i="2" s="1"/>
  <c r="AL762" i="2"/>
  <c r="AY762" i="2" s="1"/>
  <c r="AK762" i="2"/>
  <c r="AX762" i="2" s="1"/>
  <c r="AJ762" i="2"/>
  <c r="AW762" i="2" s="1"/>
  <c r="AI762" i="2"/>
  <c r="AV762" i="2" s="1"/>
  <c r="AH762" i="2"/>
  <c r="AU762" i="2" s="1"/>
  <c r="AG762" i="2"/>
  <c r="AT762" i="2" s="1"/>
  <c r="AF762" i="2"/>
  <c r="AS762" i="2" s="1"/>
  <c r="AE762" i="2"/>
  <c r="AR762" i="2" s="1"/>
  <c r="AD762" i="2"/>
  <c r="AQ762" i="2" s="1"/>
  <c r="AA762" i="2"/>
  <c r="Z762" i="2"/>
  <c r="AP762" i="2" s="1"/>
  <c r="D762" i="2"/>
  <c r="A762" i="2"/>
  <c r="BC761" i="2"/>
  <c r="AO761" i="2"/>
  <c r="BB761" i="2" s="1"/>
  <c r="AN761" i="2"/>
  <c r="BA761" i="2" s="1"/>
  <c r="AM761" i="2"/>
  <c r="AZ761" i="2" s="1"/>
  <c r="AL761" i="2"/>
  <c r="AY761" i="2" s="1"/>
  <c r="AK761" i="2"/>
  <c r="AX761" i="2" s="1"/>
  <c r="AJ761" i="2"/>
  <c r="AW761" i="2" s="1"/>
  <c r="AI761" i="2"/>
  <c r="AV761" i="2" s="1"/>
  <c r="AH761" i="2"/>
  <c r="AU761" i="2" s="1"/>
  <c r="AG761" i="2"/>
  <c r="AT761" i="2" s="1"/>
  <c r="AF761" i="2"/>
  <c r="AS761" i="2" s="1"/>
  <c r="AE761" i="2"/>
  <c r="AR761" i="2" s="1"/>
  <c r="AD761" i="2"/>
  <c r="AQ761" i="2" s="1"/>
  <c r="AA761" i="2"/>
  <c r="Z761" i="2"/>
  <c r="AP761" i="2" s="1"/>
  <c r="D761" i="2"/>
  <c r="A761" i="2"/>
  <c r="BC760" i="2"/>
  <c r="AO760" i="2"/>
  <c r="BB760" i="2" s="1"/>
  <c r="AN760" i="2"/>
  <c r="BA760" i="2" s="1"/>
  <c r="AM760" i="2"/>
  <c r="AZ760" i="2" s="1"/>
  <c r="AL760" i="2"/>
  <c r="AY760" i="2" s="1"/>
  <c r="AK760" i="2"/>
  <c r="AX760" i="2" s="1"/>
  <c r="AJ760" i="2"/>
  <c r="AW760" i="2" s="1"/>
  <c r="AI760" i="2"/>
  <c r="AV760" i="2" s="1"/>
  <c r="AH760" i="2"/>
  <c r="AU760" i="2" s="1"/>
  <c r="AG760" i="2"/>
  <c r="AT760" i="2" s="1"/>
  <c r="AF760" i="2"/>
  <c r="AS760" i="2" s="1"/>
  <c r="AE760" i="2"/>
  <c r="AR760" i="2" s="1"/>
  <c r="AD760" i="2"/>
  <c r="AQ760" i="2" s="1"/>
  <c r="AA760" i="2"/>
  <c r="Z760" i="2"/>
  <c r="AP760" i="2" s="1"/>
  <c r="D760" i="2"/>
  <c r="A760" i="2"/>
  <c r="BC759" i="2"/>
  <c r="AO759" i="2"/>
  <c r="BB759" i="2" s="1"/>
  <c r="AN759" i="2"/>
  <c r="BA759" i="2" s="1"/>
  <c r="AM759" i="2"/>
  <c r="AZ759" i="2" s="1"/>
  <c r="AL759" i="2"/>
  <c r="AY759" i="2" s="1"/>
  <c r="AK759" i="2"/>
  <c r="AX759" i="2" s="1"/>
  <c r="AJ759" i="2"/>
  <c r="AW759" i="2" s="1"/>
  <c r="AI759" i="2"/>
  <c r="AV759" i="2" s="1"/>
  <c r="AH759" i="2"/>
  <c r="AU759" i="2" s="1"/>
  <c r="AG759" i="2"/>
  <c r="AT759" i="2" s="1"/>
  <c r="AF759" i="2"/>
  <c r="AS759" i="2" s="1"/>
  <c r="AE759" i="2"/>
  <c r="AR759" i="2" s="1"/>
  <c r="AD759" i="2"/>
  <c r="AQ759" i="2" s="1"/>
  <c r="AA759" i="2"/>
  <c r="Z759" i="2"/>
  <c r="AP759" i="2" s="1"/>
  <c r="D759" i="2"/>
  <c r="A759" i="2"/>
  <c r="BC758" i="2"/>
  <c r="AO758" i="2"/>
  <c r="BB758" i="2" s="1"/>
  <c r="AN758" i="2"/>
  <c r="BA758" i="2" s="1"/>
  <c r="AM758" i="2"/>
  <c r="AZ758" i="2" s="1"/>
  <c r="AL758" i="2"/>
  <c r="AY758" i="2" s="1"/>
  <c r="AK758" i="2"/>
  <c r="AX758" i="2" s="1"/>
  <c r="AJ758" i="2"/>
  <c r="AW758" i="2" s="1"/>
  <c r="AI758" i="2"/>
  <c r="AV758" i="2" s="1"/>
  <c r="AH758" i="2"/>
  <c r="AU758" i="2" s="1"/>
  <c r="AG758" i="2"/>
  <c r="AT758" i="2" s="1"/>
  <c r="AF758" i="2"/>
  <c r="AS758" i="2" s="1"/>
  <c r="AE758" i="2"/>
  <c r="AR758" i="2" s="1"/>
  <c r="AD758" i="2"/>
  <c r="AQ758" i="2" s="1"/>
  <c r="AA758" i="2"/>
  <c r="Z758" i="2"/>
  <c r="AP758" i="2" s="1"/>
  <c r="D758" i="2"/>
  <c r="A758" i="2"/>
  <c r="BC757" i="2"/>
  <c r="AO757" i="2"/>
  <c r="BB757" i="2" s="1"/>
  <c r="AN757" i="2"/>
  <c r="BA757" i="2" s="1"/>
  <c r="AM757" i="2"/>
  <c r="AZ757" i="2" s="1"/>
  <c r="AL757" i="2"/>
  <c r="AY757" i="2" s="1"/>
  <c r="AK757" i="2"/>
  <c r="AX757" i="2" s="1"/>
  <c r="AJ757" i="2"/>
  <c r="AW757" i="2" s="1"/>
  <c r="AI757" i="2"/>
  <c r="AV757" i="2" s="1"/>
  <c r="AH757" i="2"/>
  <c r="AU757" i="2" s="1"/>
  <c r="AG757" i="2"/>
  <c r="AT757" i="2" s="1"/>
  <c r="AF757" i="2"/>
  <c r="AS757" i="2" s="1"/>
  <c r="AE757" i="2"/>
  <c r="AR757" i="2" s="1"/>
  <c r="AD757" i="2"/>
  <c r="AQ757" i="2" s="1"/>
  <c r="AA757" i="2"/>
  <c r="Z757" i="2"/>
  <c r="AP757" i="2" s="1"/>
  <c r="D757" i="2"/>
  <c r="A757" i="2"/>
  <c r="BC756" i="2"/>
  <c r="AO756" i="2"/>
  <c r="BB756" i="2" s="1"/>
  <c r="AN756" i="2"/>
  <c r="BA756" i="2" s="1"/>
  <c r="AM756" i="2"/>
  <c r="AZ756" i="2" s="1"/>
  <c r="AL756" i="2"/>
  <c r="AY756" i="2" s="1"/>
  <c r="AK756" i="2"/>
  <c r="AX756" i="2" s="1"/>
  <c r="AJ756" i="2"/>
  <c r="AW756" i="2" s="1"/>
  <c r="AI756" i="2"/>
  <c r="AV756" i="2" s="1"/>
  <c r="AH756" i="2"/>
  <c r="AU756" i="2" s="1"/>
  <c r="AG756" i="2"/>
  <c r="AT756" i="2" s="1"/>
  <c r="AF756" i="2"/>
  <c r="AS756" i="2" s="1"/>
  <c r="AE756" i="2"/>
  <c r="AR756" i="2" s="1"/>
  <c r="AD756" i="2"/>
  <c r="AQ756" i="2" s="1"/>
  <c r="AA756" i="2"/>
  <c r="Z756" i="2"/>
  <c r="AP756" i="2" s="1"/>
  <c r="D756" i="2"/>
  <c r="A756" i="2"/>
  <c r="BC755" i="2"/>
  <c r="AO755" i="2"/>
  <c r="BB755" i="2" s="1"/>
  <c r="AN755" i="2"/>
  <c r="BA755" i="2" s="1"/>
  <c r="AM755" i="2"/>
  <c r="AZ755" i="2" s="1"/>
  <c r="AL755" i="2"/>
  <c r="AY755" i="2" s="1"/>
  <c r="AK755" i="2"/>
  <c r="AX755" i="2" s="1"/>
  <c r="AJ755" i="2"/>
  <c r="AW755" i="2" s="1"/>
  <c r="AI755" i="2"/>
  <c r="AV755" i="2" s="1"/>
  <c r="AH755" i="2"/>
  <c r="AU755" i="2" s="1"/>
  <c r="AG755" i="2"/>
  <c r="AT755" i="2" s="1"/>
  <c r="AF755" i="2"/>
  <c r="AS755" i="2" s="1"/>
  <c r="AE755" i="2"/>
  <c r="AR755" i="2" s="1"/>
  <c r="AD755" i="2"/>
  <c r="AQ755" i="2" s="1"/>
  <c r="AA755" i="2"/>
  <c r="Z755" i="2"/>
  <c r="AP755" i="2" s="1"/>
  <c r="D755" i="2"/>
  <c r="A755" i="2"/>
  <c r="BC754" i="2"/>
  <c r="AO754" i="2"/>
  <c r="BB754" i="2" s="1"/>
  <c r="AN754" i="2"/>
  <c r="BA754" i="2" s="1"/>
  <c r="AM754" i="2"/>
  <c r="AZ754" i="2" s="1"/>
  <c r="AL754" i="2"/>
  <c r="AY754" i="2" s="1"/>
  <c r="AK754" i="2"/>
  <c r="AX754" i="2" s="1"/>
  <c r="AJ754" i="2"/>
  <c r="AW754" i="2" s="1"/>
  <c r="AI754" i="2"/>
  <c r="AV754" i="2" s="1"/>
  <c r="AH754" i="2"/>
  <c r="AU754" i="2" s="1"/>
  <c r="AG754" i="2"/>
  <c r="AT754" i="2" s="1"/>
  <c r="AF754" i="2"/>
  <c r="AS754" i="2" s="1"/>
  <c r="AE754" i="2"/>
  <c r="AR754" i="2" s="1"/>
  <c r="AD754" i="2"/>
  <c r="AQ754" i="2" s="1"/>
  <c r="AA754" i="2"/>
  <c r="Z754" i="2"/>
  <c r="AP754" i="2" s="1"/>
  <c r="D754" i="2"/>
  <c r="A754" i="2"/>
  <c r="BC753" i="2"/>
  <c r="AO753" i="2"/>
  <c r="BB753" i="2" s="1"/>
  <c r="AN753" i="2"/>
  <c r="BA753" i="2" s="1"/>
  <c r="AM753" i="2"/>
  <c r="AZ753" i="2" s="1"/>
  <c r="AL753" i="2"/>
  <c r="AY753" i="2" s="1"/>
  <c r="AK753" i="2"/>
  <c r="AX753" i="2" s="1"/>
  <c r="AJ753" i="2"/>
  <c r="AW753" i="2" s="1"/>
  <c r="AI753" i="2"/>
  <c r="AV753" i="2" s="1"/>
  <c r="AH753" i="2"/>
  <c r="AU753" i="2" s="1"/>
  <c r="AG753" i="2"/>
  <c r="AT753" i="2" s="1"/>
  <c r="AF753" i="2"/>
  <c r="AS753" i="2" s="1"/>
  <c r="AE753" i="2"/>
  <c r="AR753" i="2" s="1"/>
  <c r="AD753" i="2"/>
  <c r="AQ753" i="2" s="1"/>
  <c r="AA753" i="2"/>
  <c r="Z753" i="2"/>
  <c r="AP753" i="2" s="1"/>
  <c r="D753" i="2"/>
  <c r="A753" i="2"/>
  <c r="BC752" i="2"/>
  <c r="AO752" i="2"/>
  <c r="BB752" i="2" s="1"/>
  <c r="AN752" i="2"/>
  <c r="BA752" i="2" s="1"/>
  <c r="AM752" i="2"/>
  <c r="AZ752" i="2" s="1"/>
  <c r="AL752" i="2"/>
  <c r="AY752" i="2" s="1"/>
  <c r="AK752" i="2"/>
  <c r="AX752" i="2" s="1"/>
  <c r="AJ752" i="2"/>
  <c r="AW752" i="2" s="1"/>
  <c r="AI752" i="2"/>
  <c r="AV752" i="2" s="1"/>
  <c r="AH752" i="2"/>
  <c r="AU752" i="2" s="1"/>
  <c r="AG752" i="2"/>
  <c r="AT752" i="2" s="1"/>
  <c r="AF752" i="2"/>
  <c r="AS752" i="2" s="1"/>
  <c r="AE752" i="2"/>
  <c r="AR752" i="2" s="1"/>
  <c r="AD752" i="2"/>
  <c r="AQ752" i="2" s="1"/>
  <c r="AA752" i="2"/>
  <c r="Z752" i="2"/>
  <c r="AP752" i="2" s="1"/>
  <c r="D752" i="2"/>
  <c r="A752" i="2"/>
  <c r="BC751" i="2"/>
  <c r="AO751" i="2"/>
  <c r="BB751" i="2" s="1"/>
  <c r="AN751" i="2"/>
  <c r="BA751" i="2" s="1"/>
  <c r="AM751" i="2"/>
  <c r="AZ751" i="2" s="1"/>
  <c r="AL751" i="2"/>
  <c r="AY751" i="2" s="1"/>
  <c r="AK751" i="2"/>
  <c r="AX751" i="2" s="1"/>
  <c r="AJ751" i="2"/>
  <c r="AW751" i="2" s="1"/>
  <c r="AI751" i="2"/>
  <c r="AV751" i="2" s="1"/>
  <c r="AH751" i="2"/>
  <c r="AU751" i="2" s="1"/>
  <c r="AG751" i="2"/>
  <c r="AT751" i="2" s="1"/>
  <c r="AF751" i="2"/>
  <c r="AS751" i="2" s="1"/>
  <c r="AE751" i="2"/>
  <c r="AR751" i="2" s="1"/>
  <c r="AD751" i="2"/>
  <c r="AQ751" i="2" s="1"/>
  <c r="AA751" i="2"/>
  <c r="Z751" i="2"/>
  <c r="AP751" i="2" s="1"/>
  <c r="D751" i="2"/>
  <c r="A751" i="2"/>
  <c r="BC750" i="2"/>
  <c r="AO750" i="2"/>
  <c r="BB750" i="2" s="1"/>
  <c r="AN750" i="2"/>
  <c r="BA750" i="2" s="1"/>
  <c r="AM750" i="2"/>
  <c r="AZ750" i="2" s="1"/>
  <c r="AL750" i="2"/>
  <c r="AY750" i="2" s="1"/>
  <c r="AK750" i="2"/>
  <c r="AX750" i="2" s="1"/>
  <c r="AJ750" i="2"/>
  <c r="AW750" i="2" s="1"/>
  <c r="AI750" i="2"/>
  <c r="AV750" i="2" s="1"/>
  <c r="AH750" i="2"/>
  <c r="AU750" i="2" s="1"/>
  <c r="AG750" i="2"/>
  <c r="AT750" i="2" s="1"/>
  <c r="AF750" i="2"/>
  <c r="AS750" i="2" s="1"/>
  <c r="AE750" i="2"/>
  <c r="AR750" i="2" s="1"/>
  <c r="AD750" i="2"/>
  <c r="AQ750" i="2" s="1"/>
  <c r="AA750" i="2"/>
  <c r="Z750" i="2"/>
  <c r="AP750" i="2" s="1"/>
  <c r="D750" i="2"/>
  <c r="A750" i="2"/>
  <c r="BC749" i="2"/>
  <c r="AS749" i="2"/>
  <c r="AO749" i="2"/>
  <c r="BB749" i="2" s="1"/>
  <c r="AN749" i="2"/>
  <c r="BA749" i="2" s="1"/>
  <c r="AM749" i="2"/>
  <c r="AZ749" i="2" s="1"/>
  <c r="AL749" i="2"/>
  <c r="AY749" i="2" s="1"/>
  <c r="AK749" i="2"/>
  <c r="AX749" i="2" s="1"/>
  <c r="AJ749" i="2"/>
  <c r="AW749" i="2" s="1"/>
  <c r="AI749" i="2"/>
  <c r="AV749" i="2" s="1"/>
  <c r="AH749" i="2"/>
  <c r="AU749" i="2" s="1"/>
  <c r="AG749" i="2"/>
  <c r="AT749" i="2" s="1"/>
  <c r="AF749" i="2"/>
  <c r="AE749" i="2"/>
  <c r="AR749" i="2" s="1"/>
  <c r="AD749" i="2"/>
  <c r="AQ749" i="2" s="1"/>
  <c r="AA749" i="2"/>
  <c r="Z749" i="2"/>
  <c r="AP749" i="2" s="1"/>
  <c r="D749" i="2"/>
  <c r="A749" i="2"/>
  <c r="BC748" i="2"/>
  <c r="AO748" i="2"/>
  <c r="BB748" i="2" s="1"/>
  <c r="AN748" i="2"/>
  <c r="BA748" i="2" s="1"/>
  <c r="AM748" i="2"/>
  <c r="AZ748" i="2" s="1"/>
  <c r="AL748" i="2"/>
  <c r="AY748" i="2" s="1"/>
  <c r="AK748" i="2"/>
  <c r="AX748" i="2" s="1"/>
  <c r="AJ748" i="2"/>
  <c r="AW748" i="2" s="1"/>
  <c r="AI748" i="2"/>
  <c r="AV748" i="2" s="1"/>
  <c r="AH748" i="2"/>
  <c r="AU748" i="2" s="1"/>
  <c r="AG748" i="2"/>
  <c r="AT748" i="2" s="1"/>
  <c r="AF748" i="2"/>
  <c r="AS748" i="2" s="1"/>
  <c r="AE748" i="2"/>
  <c r="AR748" i="2" s="1"/>
  <c r="AD748" i="2"/>
  <c r="AQ748" i="2" s="1"/>
  <c r="AA748" i="2"/>
  <c r="Z748" i="2"/>
  <c r="AP748" i="2" s="1"/>
  <c r="D748" i="2"/>
  <c r="A748" i="2"/>
  <c r="BC747" i="2"/>
  <c r="AO747" i="2"/>
  <c r="BB747" i="2" s="1"/>
  <c r="AN747" i="2"/>
  <c r="BA747" i="2" s="1"/>
  <c r="AM747" i="2"/>
  <c r="AZ747" i="2" s="1"/>
  <c r="AL747" i="2"/>
  <c r="AY747" i="2" s="1"/>
  <c r="AK747" i="2"/>
  <c r="AX747" i="2" s="1"/>
  <c r="AJ747" i="2"/>
  <c r="AW747" i="2" s="1"/>
  <c r="AI747" i="2"/>
  <c r="AV747" i="2" s="1"/>
  <c r="AH747" i="2"/>
  <c r="AU747" i="2" s="1"/>
  <c r="AG747" i="2"/>
  <c r="AT747" i="2" s="1"/>
  <c r="AF747" i="2"/>
  <c r="AS747" i="2" s="1"/>
  <c r="AE747" i="2"/>
  <c r="AR747" i="2" s="1"/>
  <c r="AD747" i="2"/>
  <c r="AQ747" i="2" s="1"/>
  <c r="AA747" i="2"/>
  <c r="Z747" i="2"/>
  <c r="AP747" i="2" s="1"/>
  <c r="D747" i="2"/>
  <c r="A747" i="2"/>
  <c r="BC746" i="2"/>
  <c r="AO746" i="2"/>
  <c r="BB746" i="2" s="1"/>
  <c r="AN746" i="2"/>
  <c r="BA746" i="2" s="1"/>
  <c r="AM746" i="2"/>
  <c r="AZ746" i="2" s="1"/>
  <c r="AL746" i="2"/>
  <c r="AY746" i="2" s="1"/>
  <c r="AK746" i="2"/>
  <c r="AX746" i="2" s="1"/>
  <c r="AJ746" i="2"/>
  <c r="AW746" i="2" s="1"/>
  <c r="AI746" i="2"/>
  <c r="AV746" i="2" s="1"/>
  <c r="AH746" i="2"/>
  <c r="AU746" i="2" s="1"/>
  <c r="AG746" i="2"/>
  <c r="AT746" i="2" s="1"/>
  <c r="AF746" i="2"/>
  <c r="AS746" i="2" s="1"/>
  <c r="AE746" i="2"/>
  <c r="AR746" i="2" s="1"/>
  <c r="AD746" i="2"/>
  <c r="AQ746" i="2" s="1"/>
  <c r="AA746" i="2"/>
  <c r="Z746" i="2"/>
  <c r="AP746" i="2" s="1"/>
  <c r="D746" i="2"/>
  <c r="A746" i="2"/>
  <c r="BC745" i="2"/>
  <c r="AO745" i="2"/>
  <c r="BB745" i="2" s="1"/>
  <c r="AN745" i="2"/>
  <c r="BA745" i="2" s="1"/>
  <c r="AM745" i="2"/>
  <c r="AZ745" i="2" s="1"/>
  <c r="AL745" i="2"/>
  <c r="AY745" i="2" s="1"/>
  <c r="AK745" i="2"/>
  <c r="AX745" i="2" s="1"/>
  <c r="AJ745" i="2"/>
  <c r="AW745" i="2" s="1"/>
  <c r="AI745" i="2"/>
  <c r="AV745" i="2" s="1"/>
  <c r="AH745" i="2"/>
  <c r="AU745" i="2" s="1"/>
  <c r="AG745" i="2"/>
  <c r="AT745" i="2" s="1"/>
  <c r="AF745" i="2"/>
  <c r="AS745" i="2" s="1"/>
  <c r="AE745" i="2"/>
  <c r="AR745" i="2" s="1"/>
  <c r="AD745" i="2"/>
  <c r="AQ745" i="2" s="1"/>
  <c r="AA745" i="2"/>
  <c r="Z745" i="2"/>
  <c r="AP745" i="2" s="1"/>
  <c r="D745" i="2"/>
  <c r="A745" i="2"/>
  <c r="BC744" i="2"/>
  <c r="AU744" i="2"/>
  <c r="AO744" i="2"/>
  <c r="BB744" i="2" s="1"/>
  <c r="AN744" i="2"/>
  <c r="BA744" i="2" s="1"/>
  <c r="AM744" i="2"/>
  <c r="AZ744" i="2" s="1"/>
  <c r="AL744" i="2"/>
  <c r="AY744" i="2" s="1"/>
  <c r="AK744" i="2"/>
  <c r="AX744" i="2" s="1"/>
  <c r="AJ744" i="2"/>
  <c r="AW744" i="2" s="1"/>
  <c r="AI744" i="2"/>
  <c r="AV744" i="2" s="1"/>
  <c r="AH744" i="2"/>
  <c r="AG744" i="2"/>
  <c r="AT744" i="2" s="1"/>
  <c r="AF744" i="2"/>
  <c r="AS744" i="2" s="1"/>
  <c r="AE744" i="2"/>
  <c r="AR744" i="2" s="1"/>
  <c r="AD744" i="2"/>
  <c r="AQ744" i="2" s="1"/>
  <c r="AA744" i="2"/>
  <c r="Z744" i="2"/>
  <c r="AP744" i="2" s="1"/>
  <c r="D744" i="2"/>
  <c r="A744" i="2"/>
  <c r="BC743" i="2"/>
  <c r="AO743" i="2"/>
  <c r="BB743" i="2" s="1"/>
  <c r="AN743" i="2"/>
  <c r="BA743" i="2" s="1"/>
  <c r="AM743" i="2"/>
  <c r="AZ743" i="2" s="1"/>
  <c r="AL743" i="2"/>
  <c r="AY743" i="2" s="1"/>
  <c r="AK743" i="2"/>
  <c r="AX743" i="2" s="1"/>
  <c r="AJ743" i="2"/>
  <c r="AW743" i="2" s="1"/>
  <c r="AI743" i="2"/>
  <c r="AV743" i="2" s="1"/>
  <c r="AH743" i="2"/>
  <c r="AU743" i="2" s="1"/>
  <c r="AG743" i="2"/>
  <c r="AT743" i="2" s="1"/>
  <c r="AF743" i="2"/>
  <c r="AS743" i="2" s="1"/>
  <c r="AE743" i="2"/>
  <c r="AR743" i="2" s="1"/>
  <c r="AD743" i="2"/>
  <c r="AQ743" i="2" s="1"/>
  <c r="AA743" i="2"/>
  <c r="Z743" i="2"/>
  <c r="AP743" i="2" s="1"/>
  <c r="D743" i="2"/>
  <c r="A743" i="2"/>
  <c r="BC742" i="2"/>
  <c r="AO742" i="2"/>
  <c r="BB742" i="2" s="1"/>
  <c r="AN742" i="2"/>
  <c r="BA742" i="2" s="1"/>
  <c r="AM742" i="2"/>
  <c r="AZ742" i="2" s="1"/>
  <c r="AL742" i="2"/>
  <c r="AY742" i="2" s="1"/>
  <c r="AK742" i="2"/>
  <c r="AX742" i="2" s="1"/>
  <c r="AJ742" i="2"/>
  <c r="AW742" i="2" s="1"/>
  <c r="AI742" i="2"/>
  <c r="AV742" i="2" s="1"/>
  <c r="AH742" i="2"/>
  <c r="AU742" i="2" s="1"/>
  <c r="AG742" i="2"/>
  <c r="AT742" i="2" s="1"/>
  <c r="AF742" i="2"/>
  <c r="AS742" i="2" s="1"/>
  <c r="AE742" i="2"/>
  <c r="AR742" i="2" s="1"/>
  <c r="AD742" i="2"/>
  <c r="AQ742" i="2" s="1"/>
  <c r="AA742" i="2"/>
  <c r="Z742" i="2"/>
  <c r="AP742" i="2" s="1"/>
  <c r="D742" i="2"/>
  <c r="A742" i="2"/>
  <c r="BC741" i="2"/>
  <c r="AO741" i="2"/>
  <c r="BB741" i="2" s="1"/>
  <c r="AN741" i="2"/>
  <c r="BA741" i="2" s="1"/>
  <c r="AM741" i="2"/>
  <c r="AZ741" i="2" s="1"/>
  <c r="AL741" i="2"/>
  <c r="AY741" i="2" s="1"/>
  <c r="AK741" i="2"/>
  <c r="AX741" i="2" s="1"/>
  <c r="AJ741" i="2"/>
  <c r="AW741" i="2" s="1"/>
  <c r="AI741" i="2"/>
  <c r="AV741" i="2" s="1"/>
  <c r="AH741" i="2"/>
  <c r="AU741" i="2" s="1"/>
  <c r="AG741" i="2"/>
  <c r="AT741" i="2" s="1"/>
  <c r="AF741" i="2"/>
  <c r="AS741" i="2" s="1"/>
  <c r="AE741" i="2"/>
  <c r="AR741" i="2" s="1"/>
  <c r="AD741" i="2"/>
  <c r="AQ741" i="2" s="1"/>
  <c r="AA741" i="2"/>
  <c r="Z741" i="2"/>
  <c r="AP741" i="2" s="1"/>
  <c r="D741" i="2"/>
  <c r="A741" i="2"/>
  <c r="BC740" i="2"/>
  <c r="AV740" i="2"/>
  <c r="AO740" i="2"/>
  <c r="BB740" i="2" s="1"/>
  <c r="AN740" i="2"/>
  <c r="BA740" i="2" s="1"/>
  <c r="AM740" i="2"/>
  <c r="AZ740" i="2" s="1"/>
  <c r="AL740" i="2"/>
  <c r="AY740" i="2" s="1"/>
  <c r="AK740" i="2"/>
  <c r="AX740" i="2" s="1"/>
  <c r="AJ740" i="2"/>
  <c r="AW740" i="2" s="1"/>
  <c r="AI740" i="2"/>
  <c r="AH740" i="2"/>
  <c r="AU740" i="2" s="1"/>
  <c r="AG740" i="2"/>
  <c r="AT740" i="2" s="1"/>
  <c r="AF740" i="2"/>
  <c r="AS740" i="2" s="1"/>
  <c r="AE740" i="2"/>
  <c r="AR740" i="2" s="1"/>
  <c r="AD740" i="2"/>
  <c r="AQ740" i="2" s="1"/>
  <c r="AA740" i="2"/>
  <c r="Z740" i="2"/>
  <c r="AP740" i="2" s="1"/>
  <c r="D740" i="2"/>
  <c r="A740" i="2"/>
  <c r="BC739" i="2"/>
  <c r="AO739" i="2"/>
  <c r="BB739" i="2" s="1"/>
  <c r="AN739" i="2"/>
  <c r="BA739" i="2" s="1"/>
  <c r="AM739" i="2"/>
  <c r="AZ739" i="2" s="1"/>
  <c r="AL739" i="2"/>
  <c r="AY739" i="2" s="1"/>
  <c r="AK739" i="2"/>
  <c r="AX739" i="2" s="1"/>
  <c r="AJ739" i="2"/>
  <c r="AW739" i="2" s="1"/>
  <c r="AI739" i="2"/>
  <c r="AV739" i="2" s="1"/>
  <c r="AH739" i="2"/>
  <c r="AU739" i="2" s="1"/>
  <c r="AG739" i="2"/>
  <c r="AT739" i="2" s="1"/>
  <c r="AF739" i="2"/>
  <c r="AS739" i="2" s="1"/>
  <c r="AE739" i="2"/>
  <c r="AR739" i="2" s="1"/>
  <c r="AD739" i="2"/>
  <c r="AQ739" i="2" s="1"/>
  <c r="AA739" i="2"/>
  <c r="Z739" i="2"/>
  <c r="AP739" i="2" s="1"/>
  <c r="D739" i="2"/>
  <c r="A739" i="2"/>
  <c r="BC738" i="2"/>
  <c r="AZ738" i="2"/>
  <c r="AO738" i="2"/>
  <c r="BB738" i="2" s="1"/>
  <c r="AN738" i="2"/>
  <c r="BA738" i="2" s="1"/>
  <c r="AM738" i="2"/>
  <c r="AL738" i="2"/>
  <c r="AY738" i="2" s="1"/>
  <c r="AK738" i="2"/>
  <c r="AX738" i="2" s="1"/>
  <c r="AJ738" i="2"/>
  <c r="AW738" i="2" s="1"/>
  <c r="AI738" i="2"/>
  <c r="AV738" i="2" s="1"/>
  <c r="AH738" i="2"/>
  <c r="AU738" i="2" s="1"/>
  <c r="AG738" i="2"/>
  <c r="AT738" i="2" s="1"/>
  <c r="AF738" i="2"/>
  <c r="AS738" i="2" s="1"/>
  <c r="AE738" i="2"/>
  <c r="AR738" i="2" s="1"/>
  <c r="AD738" i="2"/>
  <c r="AQ738" i="2" s="1"/>
  <c r="AA738" i="2"/>
  <c r="Z738" i="2"/>
  <c r="AP738" i="2" s="1"/>
  <c r="D738" i="2"/>
  <c r="A738" i="2"/>
  <c r="BC737" i="2"/>
  <c r="AO737" i="2"/>
  <c r="BB737" i="2" s="1"/>
  <c r="AN737" i="2"/>
  <c r="BA737" i="2" s="1"/>
  <c r="AM737" i="2"/>
  <c r="AZ737" i="2" s="1"/>
  <c r="AL737" i="2"/>
  <c r="AY737" i="2" s="1"/>
  <c r="AK737" i="2"/>
  <c r="AX737" i="2" s="1"/>
  <c r="AJ737" i="2"/>
  <c r="AW737" i="2" s="1"/>
  <c r="AI737" i="2"/>
  <c r="AV737" i="2" s="1"/>
  <c r="AH737" i="2"/>
  <c r="AU737" i="2" s="1"/>
  <c r="AG737" i="2"/>
  <c r="AT737" i="2" s="1"/>
  <c r="AF737" i="2"/>
  <c r="AS737" i="2" s="1"/>
  <c r="AE737" i="2"/>
  <c r="AR737" i="2" s="1"/>
  <c r="AD737" i="2"/>
  <c r="AQ737" i="2" s="1"/>
  <c r="AA737" i="2"/>
  <c r="Z737" i="2"/>
  <c r="AP737" i="2" s="1"/>
  <c r="D737" i="2"/>
  <c r="A737" i="2"/>
  <c r="BC736" i="2"/>
  <c r="AV736" i="2"/>
  <c r="AO736" i="2"/>
  <c r="BB736" i="2" s="1"/>
  <c r="AN736" i="2"/>
  <c r="BA736" i="2" s="1"/>
  <c r="AM736" i="2"/>
  <c r="AZ736" i="2" s="1"/>
  <c r="AL736" i="2"/>
  <c r="AY736" i="2" s="1"/>
  <c r="AK736" i="2"/>
  <c r="AX736" i="2" s="1"/>
  <c r="AJ736" i="2"/>
  <c r="AW736" i="2" s="1"/>
  <c r="AI736" i="2"/>
  <c r="AH736" i="2"/>
  <c r="AU736" i="2" s="1"/>
  <c r="AG736" i="2"/>
  <c r="AT736" i="2" s="1"/>
  <c r="AF736" i="2"/>
  <c r="AS736" i="2" s="1"/>
  <c r="AE736" i="2"/>
  <c r="AR736" i="2" s="1"/>
  <c r="AD736" i="2"/>
  <c r="AQ736" i="2" s="1"/>
  <c r="AA736" i="2"/>
  <c r="Z736" i="2"/>
  <c r="AP736" i="2" s="1"/>
  <c r="D736" i="2"/>
  <c r="A736" i="2"/>
  <c r="BC735" i="2"/>
  <c r="AP735" i="2"/>
  <c r="AO735" i="2"/>
  <c r="BB735" i="2" s="1"/>
  <c r="AN735" i="2"/>
  <c r="BA735" i="2" s="1"/>
  <c r="AM735" i="2"/>
  <c r="AZ735" i="2" s="1"/>
  <c r="AL735" i="2"/>
  <c r="AY735" i="2" s="1"/>
  <c r="AK735" i="2"/>
  <c r="AX735" i="2" s="1"/>
  <c r="AJ735" i="2"/>
  <c r="AW735" i="2" s="1"/>
  <c r="AI735" i="2"/>
  <c r="AV735" i="2" s="1"/>
  <c r="AH735" i="2"/>
  <c r="AU735" i="2" s="1"/>
  <c r="AG735" i="2"/>
  <c r="AT735" i="2" s="1"/>
  <c r="AF735" i="2"/>
  <c r="AS735" i="2" s="1"/>
  <c r="AE735" i="2"/>
  <c r="AR735" i="2" s="1"/>
  <c r="AD735" i="2"/>
  <c r="AQ735" i="2" s="1"/>
  <c r="AA735" i="2"/>
  <c r="Z735" i="2"/>
  <c r="D735" i="2"/>
  <c r="A735" i="2"/>
  <c r="BC734" i="2"/>
  <c r="AO734" i="2"/>
  <c r="BB734" i="2" s="1"/>
  <c r="AN734" i="2"/>
  <c r="BA734" i="2" s="1"/>
  <c r="AM734" i="2"/>
  <c r="AZ734" i="2" s="1"/>
  <c r="AL734" i="2"/>
  <c r="AY734" i="2" s="1"/>
  <c r="AK734" i="2"/>
  <c r="AX734" i="2" s="1"/>
  <c r="AJ734" i="2"/>
  <c r="AW734" i="2" s="1"/>
  <c r="AI734" i="2"/>
  <c r="AV734" i="2" s="1"/>
  <c r="AH734" i="2"/>
  <c r="AU734" i="2" s="1"/>
  <c r="AG734" i="2"/>
  <c r="AT734" i="2" s="1"/>
  <c r="AF734" i="2"/>
  <c r="AS734" i="2" s="1"/>
  <c r="AE734" i="2"/>
  <c r="AR734" i="2" s="1"/>
  <c r="AD734" i="2"/>
  <c r="AQ734" i="2" s="1"/>
  <c r="AA734" i="2"/>
  <c r="Z734" i="2"/>
  <c r="AP734" i="2" s="1"/>
  <c r="D734" i="2"/>
  <c r="A734" i="2"/>
  <c r="BC733" i="2"/>
  <c r="AX733" i="2"/>
  <c r="AO733" i="2"/>
  <c r="BB733" i="2" s="1"/>
  <c r="AN733" i="2"/>
  <c r="BA733" i="2" s="1"/>
  <c r="AM733" i="2"/>
  <c r="AZ733" i="2" s="1"/>
  <c r="AL733" i="2"/>
  <c r="AY733" i="2" s="1"/>
  <c r="AK733" i="2"/>
  <c r="AJ733" i="2"/>
  <c r="AW733" i="2" s="1"/>
  <c r="AI733" i="2"/>
  <c r="AV733" i="2" s="1"/>
  <c r="AH733" i="2"/>
  <c r="AU733" i="2" s="1"/>
  <c r="AG733" i="2"/>
  <c r="AT733" i="2" s="1"/>
  <c r="AF733" i="2"/>
  <c r="AS733" i="2" s="1"/>
  <c r="AE733" i="2"/>
  <c r="AR733" i="2" s="1"/>
  <c r="AD733" i="2"/>
  <c r="AQ733" i="2" s="1"/>
  <c r="AA733" i="2"/>
  <c r="Z733" i="2"/>
  <c r="AP733" i="2" s="1"/>
  <c r="D733" i="2"/>
  <c r="A733" i="2"/>
  <c r="BC732" i="2"/>
  <c r="AO732" i="2"/>
  <c r="BB732" i="2" s="1"/>
  <c r="AN732" i="2"/>
  <c r="BA732" i="2" s="1"/>
  <c r="AM732" i="2"/>
  <c r="AZ732" i="2" s="1"/>
  <c r="AL732" i="2"/>
  <c r="AY732" i="2" s="1"/>
  <c r="AK732" i="2"/>
  <c r="AX732" i="2" s="1"/>
  <c r="AJ732" i="2"/>
  <c r="AW732" i="2" s="1"/>
  <c r="AI732" i="2"/>
  <c r="AV732" i="2" s="1"/>
  <c r="AH732" i="2"/>
  <c r="AU732" i="2" s="1"/>
  <c r="AG732" i="2"/>
  <c r="AT732" i="2" s="1"/>
  <c r="AF732" i="2"/>
  <c r="AS732" i="2" s="1"/>
  <c r="AE732" i="2"/>
  <c r="AR732" i="2" s="1"/>
  <c r="AD732" i="2"/>
  <c r="AQ732" i="2" s="1"/>
  <c r="AA732" i="2"/>
  <c r="Z732" i="2"/>
  <c r="AP732" i="2" s="1"/>
  <c r="D732" i="2"/>
  <c r="A732" i="2"/>
  <c r="BC731" i="2"/>
  <c r="AO731" i="2"/>
  <c r="BB731" i="2" s="1"/>
  <c r="AN731" i="2"/>
  <c r="BA731" i="2" s="1"/>
  <c r="AM731" i="2"/>
  <c r="AZ731" i="2" s="1"/>
  <c r="AL731" i="2"/>
  <c r="AY731" i="2" s="1"/>
  <c r="AK731" i="2"/>
  <c r="AX731" i="2" s="1"/>
  <c r="AJ731" i="2"/>
  <c r="AW731" i="2" s="1"/>
  <c r="AI731" i="2"/>
  <c r="AV731" i="2" s="1"/>
  <c r="AH731" i="2"/>
  <c r="AU731" i="2" s="1"/>
  <c r="AG731" i="2"/>
  <c r="AT731" i="2" s="1"/>
  <c r="AF731" i="2"/>
  <c r="AS731" i="2" s="1"/>
  <c r="AE731" i="2"/>
  <c r="AR731" i="2" s="1"/>
  <c r="AD731" i="2"/>
  <c r="AQ731" i="2" s="1"/>
  <c r="AA731" i="2"/>
  <c r="Z731" i="2"/>
  <c r="AP731" i="2" s="1"/>
  <c r="D731" i="2"/>
  <c r="A731" i="2"/>
  <c r="BC730" i="2"/>
  <c r="AO730" i="2"/>
  <c r="BB730" i="2" s="1"/>
  <c r="AN730" i="2"/>
  <c r="BA730" i="2" s="1"/>
  <c r="AM730" i="2"/>
  <c r="AZ730" i="2" s="1"/>
  <c r="AL730" i="2"/>
  <c r="AY730" i="2" s="1"/>
  <c r="AK730" i="2"/>
  <c r="AX730" i="2" s="1"/>
  <c r="AJ730" i="2"/>
  <c r="AW730" i="2" s="1"/>
  <c r="AI730" i="2"/>
  <c r="AV730" i="2" s="1"/>
  <c r="AH730" i="2"/>
  <c r="AU730" i="2" s="1"/>
  <c r="AG730" i="2"/>
  <c r="AT730" i="2" s="1"/>
  <c r="AF730" i="2"/>
  <c r="AS730" i="2" s="1"/>
  <c r="AE730" i="2"/>
  <c r="AR730" i="2" s="1"/>
  <c r="AD730" i="2"/>
  <c r="AQ730" i="2" s="1"/>
  <c r="AA730" i="2"/>
  <c r="Z730" i="2"/>
  <c r="AP730" i="2" s="1"/>
  <c r="D730" i="2"/>
  <c r="A730" i="2"/>
  <c r="BC729" i="2"/>
  <c r="AO729" i="2"/>
  <c r="BB729" i="2" s="1"/>
  <c r="AN729" i="2"/>
  <c r="BA729" i="2" s="1"/>
  <c r="AM729" i="2"/>
  <c r="AZ729" i="2" s="1"/>
  <c r="AL729" i="2"/>
  <c r="AY729" i="2" s="1"/>
  <c r="AK729" i="2"/>
  <c r="AX729" i="2" s="1"/>
  <c r="AJ729" i="2"/>
  <c r="AW729" i="2" s="1"/>
  <c r="AI729" i="2"/>
  <c r="AV729" i="2" s="1"/>
  <c r="AH729" i="2"/>
  <c r="AU729" i="2" s="1"/>
  <c r="AG729" i="2"/>
  <c r="AT729" i="2" s="1"/>
  <c r="AF729" i="2"/>
  <c r="AS729" i="2" s="1"/>
  <c r="AE729" i="2"/>
  <c r="AR729" i="2" s="1"/>
  <c r="AD729" i="2"/>
  <c r="AQ729" i="2" s="1"/>
  <c r="AA729" i="2"/>
  <c r="Z729" i="2"/>
  <c r="AP729" i="2" s="1"/>
  <c r="D729" i="2"/>
  <c r="A729" i="2"/>
  <c r="BC728" i="2"/>
  <c r="AO728" i="2"/>
  <c r="BB728" i="2" s="1"/>
  <c r="AN728" i="2"/>
  <c r="BA728" i="2" s="1"/>
  <c r="AM728" i="2"/>
  <c r="AZ728" i="2" s="1"/>
  <c r="AL728" i="2"/>
  <c r="AY728" i="2" s="1"/>
  <c r="AK728" i="2"/>
  <c r="AX728" i="2" s="1"/>
  <c r="AJ728" i="2"/>
  <c r="AW728" i="2" s="1"/>
  <c r="AI728" i="2"/>
  <c r="AV728" i="2" s="1"/>
  <c r="AH728" i="2"/>
  <c r="AU728" i="2" s="1"/>
  <c r="AG728" i="2"/>
  <c r="AT728" i="2" s="1"/>
  <c r="AF728" i="2"/>
  <c r="AS728" i="2" s="1"/>
  <c r="AE728" i="2"/>
  <c r="AR728" i="2" s="1"/>
  <c r="AD728" i="2"/>
  <c r="AQ728" i="2" s="1"/>
  <c r="AA728" i="2"/>
  <c r="Z728" i="2"/>
  <c r="AP728" i="2" s="1"/>
  <c r="D728" i="2"/>
  <c r="A728" i="2"/>
  <c r="BC727" i="2"/>
  <c r="AP727" i="2"/>
  <c r="AO727" i="2"/>
  <c r="BB727" i="2" s="1"/>
  <c r="AN727" i="2"/>
  <c r="BA727" i="2" s="1"/>
  <c r="AM727" i="2"/>
  <c r="AZ727" i="2" s="1"/>
  <c r="AL727" i="2"/>
  <c r="AY727" i="2" s="1"/>
  <c r="AK727" i="2"/>
  <c r="AX727" i="2" s="1"/>
  <c r="AJ727" i="2"/>
  <c r="AW727" i="2" s="1"/>
  <c r="AI727" i="2"/>
  <c r="AV727" i="2" s="1"/>
  <c r="AH727" i="2"/>
  <c r="AU727" i="2" s="1"/>
  <c r="AG727" i="2"/>
  <c r="AT727" i="2" s="1"/>
  <c r="AF727" i="2"/>
  <c r="AS727" i="2" s="1"/>
  <c r="AE727" i="2"/>
  <c r="AR727" i="2" s="1"/>
  <c r="AD727" i="2"/>
  <c r="AQ727" i="2" s="1"/>
  <c r="AA727" i="2"/>
  <c r="Z727" i="2"/>
  <c r="D727" i="2"/>
  <c r="A727" i="2"/>
  <c r="BC726" i="2"/>
  <c r="AO726" i="2"/>
  <c r="BB726" i="2" s="1"/>
  <c r="AN726" i="2"/>
  <c r="BA726" i="2" s="1"/>
  <c r="AM726" i="2"/>
  <c r="AZ726" i="2" s="1"/>
  <c r="AL726" i="2"/>
  <c r="AY726" i="2" s="1"/>
  <c r="AK726" i="2"/>
  <c r="AX726" i="2" s="1"/>
  <c r="AJ726" i="2"/>
  <c r="AW726" i="2" s="1"/>
  <c r="AI726" i="2"/>
  <c r="AV726" i="2" s="1"/>
  <c r="AH726" i="2"/>
  <c r="AU726" i="2" s="1"/>
  <c r="AG726" i="2"/>
  <c r="AT726" i="2" s="1"/>
  <c r="AF726" i="2"/>
  <c r="AS726" i="2" s="1"/>
  <c r="AE726" i="2"/>
  <c r="AR726" i="2" s="1"/>
  <c r="AD726" i="2"/>
  <c r="AQ726" i="2" s="1"/>
  <c r="AA726" i="2"/>
  <c r="Z726" i="2"/>
  <c r="AP726" i="2" s="1"/>
  <c r="D726" i="2"/>
  <c r="A726" i="2"/>
  <c r="BC725" i="2"/>
  <c r="BB725" i="2"/>
  <c r="AX725" i="2"/>
  <c r="AO725" i="2"/>
  <c r="AN725" i="2"/>
  <c r="BA725" i="2" s="1"/>
  <c r="AM725" i="2"/>
  <c r="AZ725" i="2" s="1"/>
  <c r="AL725" i="2"/>
  <c r="AY725" i="2" s="1"/>
  <c r="AK725" i="2"/>
  <c r="AJ725" i="2"/>
  <c r="AW725" i="2" s="1"/>
  <c r="AI725" i="2"/>
  <c r="AV725" i="2" s="1"/>
  <c r="AH725" i="2"/>
  <c r="AU725" i="2" s="1"/>
  <c r="AG725" i="2"/>
  <c r="AT725" i="2" s="1"/>
  <c r="AF725" i="2"/>
  <c r="AS725" i="2" s="1"/>
  <c r="AE725" i="2"/>
  <c r="AR725" i="2" s="1"/>
  <c r="AD725" i="2"/>
  <c r="AQ725" i="2" s="1"/>
  <c r="AA725" i="2"/>
  <c r="Z725" i="2"/>
  <c r="AP725" i="2" s="1"/>
  <c r="D725" i="2"/>
  <c r="A725" i="2"/>
  <c r="BC724" i="2"/>
  <c r="AZ724" i="2"/>
  <c r="AO724" i="2"/>
  <c r="BB724" i="2" s="1"/>
  <c r="AN724" i="2"/>
  <c r="BA724" i="2" s="1"/>
  <c r="AM724" i="2"/>
  <c r="AL724" i="2"/>
  <c r="AY724" i="2" s="1"/>
  <c r="AK724" i="2"/>
  <c r="AX724" i="2" s="1"/>
  <c r="AJ724" i="2"/>
  <c r="AW724" i="2" s="1"/>
  <c r="AI724" i="2"/>
  <c r="AV724" i="2" s="1"/>
  <c r="AH724" i="2"/>
  <c r="AU724" i="2" s="1"/>
  <c r="AG724" i="2"/>
  <c r="AT724" i="2" s="1"/>
  <c r="AF724" i="2"/>
  <c r="AS724" i="2" s="1"/>
  <c r="AE724" i="2"/>
  <c r="AR724" i="2" s="1"/>
  <c r="AD724" i="2"/>
  <c r="AQ724" i="2" s="1"/>
  <c r="AA724" i="2"/>
  <c r="Z724" i="2"/>
  <c r="AP724" i="2" s="1"/>
  <c r="D724" i="2"/>
  <c r="A724" i="2"/>
  <c r="BC723" i="2"/>
  <c r="AO723" i="2"/>
  <c r="BB723" i="2" s="1"/>
  <c r="AN723" i="2"/>
  <c r="BA723" i="2" s="1"/>
  <c r="AM723" i="2"/>
  <c r="AZ723" i="2" s="1"/>
  <c r="AL723" i="2"/>
  <c r="AY723" i="2" s="1"/>
  <c r="AK723" i="2"/>
  <c r="AX723" i="2" s="1"/>
  <c r="AJ723" i="2"/>
  <c r="AW723" i="2" s="1"/>
  <c r="AI723" i="2"/>
  <c r="AV723" i="2" s="1"/>
  <c r="AH723" i="2"/>
  <c r="AU723" i="2" s="1"/>
  <c r="AG723" i="2"/>
  <c r="AT723" i="2" s="1"/>
  <c r="AF723" i="2"/>
  <c r="AS723" i="2" s="1"/>
  <c r="AE723" i="2"/>
  <c r="AR723" i="2" s="1"/>
  <c r="AD723" i="2"/>
  <c r="AQ723" i="2" s="1"/>
  <c r="AA723" i="2"/>
  <c r="Z723" i="2"/>
  <c r="AP723" i="2" s="1"/>
  <c r="D723" i="2"/>
  <c r="A723" i="2"/>
  <c r="BC722" i="2"/>
  <c r="AO722" i="2"/>
  <c r="BB722" i="2" s="1"/>
  <c r="AN722" i="2"/>
  <c r="BA722" i="2" s="1"/>
  <c r="AM722" i="2"/>
  <c r="AZ722" i="2" s="1"/>
  <c r="AL722" i="2"/>
  <c r="AY722" i="2" s="1"/>
  <c r="AK722" i="2"/>
  <c r="AX722" i="2" s="1"/>
  <c r="AJ722" i="2"/>
  <c r="AW722" i="2" s="1"/>
  <c r="AI722" i="2"/>
  <c r="AV722" i="2" s="1"/>
  <c r="AH722" i="2"/>
  <c r="AU722" i="2" s="1"/>
  <c r="AG722" i="2"/>
  <c r="AT722" i="2" s="1"/>
  <c r="AF722" i="2"/>
  <c r="AS722" i="2" s="1"/>
  <c r="AE722" i="2"/>
  <c r="AR722" i="2" s="1"/>
  <c r="AD722" i="2"/>
  <c r="AQ722" i="2" s="1"/>
  <c r="AA722" i="2"/>
  <c r="Z722" i="2"/>
  <c r="AP722" i="2" s="1"/>
  <c r="D722" i="2"/>
  <c r="A722" i="2"/>
  <c r="BC721" i="2"/>
  <c r="AO721" i="2"/>
  <c r="BB721" i="2" s="1"/>
  <c r="AN721" i="2"/>
  <c r="BA721" i="2" s="1"/>
  <c r="AM721" i="2"/>
  <c r="AZ721" i="2" s="1"/>
  <c r="AL721" i="2"/>
  <c r="AY721" i="2" s="1"/>
  <c r="AK721" i="2"/>
  <c r="AX721" i="2" s="1"/>
  <c r="AJ721" i="2"/>
  <c r="AW721" i="2" s="1"/>
  <c r="AI721" i="2"/>
  <c r="AV721" i="2" s="1"/>
  <c r="AH721" i="2"/>
  <c r="AU721" i="2" s="1"/>
  <c r="AG721" i="2"/>
  <c r="AT721" i="2" s="1"/>
  <c r="AF721" i="2"/>
  <c r="AS721" i="2" s="1"/>
  <c r="AE721" i="2"/>
  <c r="AR721" i="2" s="1"/>
  <c r="AD721" i="2"/>
  <c r="AQ721" i="2" s="1"/>
  <c r="AA721" i="2"/>
  <c r="Z721" i="2"/>
  <c r="AP721" i="2" s="1"/>
  <c r="D721" i="2"/>
  <c r="A721" i="2"/>
  <c r="BC720" i="2"/>
  <c r="AO720" i="2"/>
  <c r="BB720" i="2" s="1"/>
  <c r="AN720" i="2"/>
  <c r="BA720" i="2" s="1"/>
  <c r="AM720" i="2"/>
  <c r="AZ720" i="2" s="1"/>
  <c r="AL720" i="2"/>
  <c r="AY720" i="2" s="1"/>
  <c r="AK720" i="2"/>
  <c r="AX720" i="2" s="1"/>
  <c r="AJ720" i="2"/>
  <c r="AW720" i="2" s="1"/>
  <c r="AI720" i="2"/>
  <c r="AV720" i="2" s="1"/>
  <c r="AH720" i="2"/>
  <c r="AU720" i="2" s="1"/>
  <c r="AG720" i="2"/>
  <c r="AT720" i="2" s="1"/>
  <c r="AF720" i="2"/>
  <c r="AS720" i="2" s="1"/>
  <c r="AE720" i="2"/>
  <c r="AR720" i="2" s="1"/>
  <c r="AD720" i="2"/>
  <c r="AQ720" i="2" s="1"/>
  <c r="AA720" i="2"/>
  <c r="Z720" i="2"/>
  <c r="AP720" i="2" s="1"/>
  <c r="D720" i="2"/>
  <c r="A720" i="2"/>
  <c r="BC719" i="2"/>
  <c r="BA719" i="2"/>
  <c r="AP719" i="2"/>
  <c r="AO719" i="2"/>
  <c r="BB719" i="2" s="1"/>
  <c r="AN719" i="2"/>
  <c r="AM719" i="2"/>
  <c r="AZ719" i="2" s="1"/>
  <c r="AL719" i="2"/>
  <c r="AY719" i="2" s="1"/>
  <c r="AK719" i="2"/>
  <c r="AX719" i="2" s="1"/>
  <c r="AJ719" i="2"/>
  <c r="AW719" i="2" s="1"/>
  <c r="AI719" i="2"/>
  <c r="AV719" i="2" s="1"/>
  <c r="AH719" i="2"/>
  <c r="AU719" i="2" s="1"/>
  <c r="AG719" i="2"/>
  <c r="AT719" i="2" s="1"/>
  <c r="AF719" i="2"/>
  <c r="AS719" i="2" s="1"/>
  <c r="AE719" i="2"/>
  <c r="AR719" i="2" s="1"/>
  <c r="AD719" i="2"/>
  <c r="AQ719" i="2" s="1"/>
  <c r="AA719" i="2"/>
  <c r="Z719" i="2"/>
  <c r="D719" i="2"/>
  <c r="A719" i="2"/>
  <c r="BC718" i="2"/>
  <c r="AO718" i="2"/>
  <c r="BB718" i="2" s="1"/>
  <c r="AN718" i="2"/>
  <c r="BA718" i="2" s="1"/>
  <c r="AM718" i="2"/>
  <c r="AZ718" i="2" s="1"/>
  <c r="AL718" i="2"/>
  <c r="AY718" i="2" s="1"/>
  <c r="AK718" i="2"/>
  <c r="AX718" i="2" s="1"/>
  <c r="AJ718" i="2"/>
  <c r="AW718" i="2" s="1"/>
  <c r="AI718" i="2"/>
  <c r="AV718" i="2" s="1"/>
  <c r="AH718" i="2"/>
  <c r="AU718" i="2" s="1"/>
  <c r="AG718" i="2"/>
  <c r="AT718" i="2" s="1"/>
  <c r="AF718" i="2"/>
  <c r="AS718" i="2" s="1"/>
  <c r="AE718" i="2"/>
  <c r="AR718" i="2" s="1"/>
  <c r="AD718" i="2"/>
  <c r="AQ718" i="2" s="1"/>
  <c r="AA718" i="2"/>
  <c r="Z718" i="2"/>
  <c r="AP718" i="2" s="1"/>
  <c r="D718" i="2"/>
  <c r="A718" i="2"/>
  <c r="BC717" i="2"/>
  <c r="AO717" i="2"/>
  <c r="BB717" i="2" s="1"/>
  <c r="AN717" i="2"/>
  <c r="BA717" i="2" s="1"/>
  <c r="AM717" i="2"/>
  <c r="AZ717" i="2" s="1"/>
  <c r="AL717" i="2"/>
  <c r="AY717" i="2" s="1"/>
  <c r="AK717" i="2"/>
  <c r="AX717" i="2" s="1"/>
  <c r="AJ717" i="2"/>
  <c r="AW717" i="2" s="1"/>
  <c r="AI717" i="2"/>
  <c r="AV717" i="2" s="1"/>
  <c r="AH717" i="2"/>
  <c r="AU717" i="2" s="1"/>
  <c r="AG717" i="2"/>
  <c r="AT717" i="2" s="1"/>
  <c r="AF717" i="2"/>
  <c r="AS717" i="2" s="1"/>
  <c r="AE717" i="2"/>
  <c r="AR717" i="2" s="1"/>
  <c r="AD717" i="2"/>
  <c r="AQ717" i="2" s="1"/>
  <c r="AA717" i="2"/>
  <c r="Z717" i="2"/>
  <c r="AP717" i="2" s="1"/>
  <c r="D717" i="2"/>
  <c r="A717" i="2"/>
  <c r="BC716" i="2"/>
  <c r="AO716" i="2"/>
  <c r="BB716" i="2" s="1"/>
  <c r="AN716" i="2"/>
  <c r="BA716" i="2" s="1"/>
  <c r="AM716" i="2"/>
  <c r="AZ716" i="2" s="1"/>
  <c r="AL716" i="2"/>
  <c r="AY716" i="2" s="1"/>
  <c r="AK716" i="2"/>
  <c r="AX716" i="2" s="1"/>
  <c r="AJ716" i="2"/>
  <c r="AW716" i="2" s="1"/>
  <c r="AI716" i="2"/>
  <c r="AV716" i="2" s="1"/>
  <c r="AH716" i="2"/>
  <c r="AU716" i="2" s="1"/>
  <c r="AG716" i="2"/>
  <c r="AT716" i="2" s="1"/>
  <c r="AF716" i="2"/>
  <c r="AS716" i="2" s="1"/>
  <c r="AE716" i="2"/>
  <c r="AR716" i="2" s="1"/>
  <c r="AD716" i="2"/>
  <c r="AQ716" i="2" s="1"/>
  <c r="AA716" i="2"/>
  <c r="Z716" i="2"/>
  <c r="AP716" i="2" s="1"/>
  <c r="D716" i="2"/>
  <c r="A716" i="2"/>
  <c r="BC715" i="2"/>
  <c r="AO715" i="2"/>
  <c r="BB715" i="2" s="1"/>
  <c r="AN715" i="2"/>
  <c r="BA715" i="2" s="1"/>
  <c r="AM715" i="2"/>
  <c r="AZ715" i="2" s="1"/>
  <c r="AL715" i="2"/>
  <c r="AY715" i="2" s="1"/>
  <c r="AK715" i="2"/>
  <c r="AX715" i="2" s="1"/>
  <c r="AJ715" i="2"/>
  <c r="AW715" i="2" s="1"/>
  <c r="AI715" i="2"/>
  <c r="AV715" i="2" s="1"/>
  <c r="AH715" i="2"/>
  <c r="AU715" i="2" s="1"/>
  <c r="AG715" i="2"/>
  <c r="AT715" i="2" s="1"/>
  <c r="AF715" i="2"/>
  <c r="AS715" i="2" s="1"/>
  <c r="AE715" i="2"/>
  <c r="AR715" i="2" s="1"/>
  <c r="AD715" i="2"/>
  <c r="AQ715" i="2" s="1"/>
  <c r="AA715" i="2"/>
  <c r="Z715" i="2"/>
  <c r="AP715" i="2" s="1"/>
  <c r="D715" i="2"/>
  <c r="A715" i="2"/>
  <c r="BC714" i="2"/>
  <c r="BA714" i="2"/>
  <c r="AW714" i="2"/>
  <c r="AO714" i="2"/>
  <c r="BB714" i="2" s="1"/>
  <c r="AN714" i="2"/>
  <c r="AM714" i="2"/>
  <c r="AZ714" i="2" s="1"/>
  <c r="AL714" i="2"/>
  <c r="AY714" i="2" s="1"/>
  <c r="AK714" i="2"/>
  <c r="AX714" i="2" s="1"/>
  <c r="AJ714" i="2"/>
  <c r="AI714" i="2"/>
  <c r="AV714" i="2" s="1"/>
  <c r="AH714" i="2"/>
  <c r="AU714" i="2" s="1"/>
  <c r="AG714" i="2"/>
  <c r="AT714" i="2" s="1"/>
  <c r="AF714" i="2"/>
  <c r="AS714" i="2" s="1"/>
  <c r="AE714" i="2"/>
  <c r="AR714" i="2" s="1"/>
  <c r="AD714" i="2"/>
  <c r="AQ714" i="2" s="1"/>
  <c r="AA714" i="2"/>
  <c r="Z714" i="2"/>
  <c r="AP714" i="2" s="1"/>
  <c r="D714" i="2"/>
  <c r="A714" i="2"/>
  <c r="BC713" i="2"/>
  <c r="AO713" i="2"/>
  <c r="BB713" i="2" s="1"/>
  <c r="AN713" i="2"/>
  <c r="BA713" i="2" s="1"/>
  <c r="AM713" i="2"/>
  <c r="AZ713" i="2" s="1"/>
  <c r="AL713" i="2"/>
  <c r="AY713" i="2" s="1"/>
  <c r="AK713" i="2"/>
  <c r="AX713" i="2" s="1"/>
  <c r="AJ713" i="2"/>
  <c r="AW713" i="2" s="1"/>
  <c r="AI713" i="2"/>
  <c r="AV713" i="2" s="1"/>
  <c r="AH713" i="2"/>
  <c r="AU713" i="2" s="1"/>
  <c r="AG713" i="2"/>
  <c r="AT713" i="2" s="1"/>
  <c r="AF713" i="2"/>
  <c r="AS713" i="2" s="1"/>
  <c r="AE713" i="2"/>
  <c r="AR713" i="2" s="1"/>
  <c r="AD713" i="2"/>
  <c r="AQ713" i="2" s="1"/>
  <c r="AA713" i="2"/>
  <c r="Z713" i="2"/>
  <c r="AP713" i="2" s="1"/>
  <c r="D713" i="2"/>
  <c r="A713" i="2"/>
  <c r="BC712" i="2"/>
  <c r="AO712" i="2"/>
  <c r="BB712" i="2" s="1"/>
  <c r="AN712" i="2"/>
  <c r="BA712" i="2" s="1"/>
  <c r="AM712" i="2"/>
  <c r="AZ712" i="2" s="1"/>
  <c r="AL712" i="2"/>
  <c r="AY712" i="2" s="1"/>
  <c r="AK712" i="2"/>
  <c r="AX712" i="2" s="1"/>
  <c r="AJ712" i="2"/>
  <c r="AW712" i="2" s="1"/>
  <c r="AI712" i="2"/>
  <c r="AV712" i="2" s="1"/>
  <c r="AH712" i="2"/>
  <c r="AU712" i="2" s="1"/>
  <c r="AG712" i="2"/>
  <c r="AT712" i="2" s="1"/>
  <c r="AF712" i="2"/>
  <c r="AS712" i="2" s="1"/>
  <c r="AE712" i="2"/>
  <c r="AR712" i="2" s="1"/>
  <c r="AD712" i="2"/>
  <c r="AQ712" i="2" s="1"/>
  <c r="AA712" i="2"/>
  <c r="Z712" i="2"/>
  <c r="AP712" i="2" s="1"/>
  <c r="D712" i="2"/>
  <c r="A712" i="2"/>
  <c r="BC711" i="2"/>
  <c r="BA711" i="2"/>
  <c r="AO711" i="2"/>
  <c r="BB711" i="2" s="1"/>
  <c r="AN711" i="2"/>
  <c r="AM711" i="2"/>
  <c r="AZ711" i="2" s="1"/>
  <c r="AL711" i="2"/>
  <c r="AY711" i="2" s="1"/>
  <c r="AK711" i="2"/>
  <c r="AX711" i="2" s="1"/>
  <c r="AJ711" i="2"/>
  <c r="AW711" i="2" s="1"/>
  <c r="AI711" i="2"/>
  <c r="AV711" i="2" s="1"/>
  <c r="AH711" i="2"/>
  <c r="AU711" i="2" s="1"/>
  <c r="AG711" i="2"/>
  <c r="AT711" i="2" s="1"/>
  <c r="AF711" i="2"/>
  <c r="AS711" i="2" s="1"/>
  <c r="AE711" i="2"/>
  <c r="AR711" i="2" s="1"/>
  <c r="AD711" i="2"/>
  <c r="AQ711" i="2" s="1"/>
  <c r="AA711" i="2"/>
  <c r="Z711" i="2"/>
  <c r="AP711" i="2" s="1"/>
  <c r="D711" i="2"/>
  <c r="A711" i="2"/>
  <c r="BC710" i="2"/>
  <c r="AZ710" i="2"/>
  <c r="AO710" i="2"/>
  <c r="BB710" i="2" s="1"/>
  <c r="AN710" i="2"/>
  <c r="BA710" i="2" s="1"/>
  <c r="AM710" i="2"/>
  <c r="AL710" i="2"/>
  <c r="AY710" i="2" s="1"/>
  <c r="AK710" i="2"/>
  <c r="AX710" i="2" s="1"/>
  <c r="AJ710" i="2"/>
  <c r="AW710" i="2" s="1"/>
  <c r="AI710" i="2"/>
  <c r="AV710" i="2" s="1"/>
  <c r="AH710" i="2"/>
  <c r="AU710" i="2" s="1"/>
  <c r="AG710" i="2"/>
  <c r="AT710" i="2" s="1"/>
  <c r="AF710" i="2"/>
  <c r="AS710" i="2" s="1"/>
  <c r="AE710" i="2"/>
  <c r="AR710" i="2" s="1"/>
  <c r="AD710" i="2"/>
  <c r="AQ710" i="2" s="1"/>
  <c r="AA710" i="2"/>
  <c r="Z710" i="2"/>
  <c r="AP710" i="2" s="1"/>
  <c r="D710" i="2"/>
  <c r="A710" i="2"/>
  <c r="BC709" i="2"/>
  <c r="AO709" i="2"/>
  <c r="BB709" i="2" s="1"/>
  <c r="AN709" i="2"/>
  <c r="BA709" i="2" s="1"/>
  <c r="AM709" i="2"/>
  <c r="AZ709" i="2" s="1"/>
  <c r="AL709" i="2"/>
  <c r="AY709" i="2" s="1"/>
  <c r="AK709" i="2"/>
  <c r="AX709" i="2" s="1"/>
  <c r="AJ709" i="2"/>
  <c r="AW709" i="2" s="1"/>
  <c r="AI709" i="2"/>
  <c r="AV709" i="2" s="1"/>
  <c r="AH709" i="2"/>
  <c r="AU709" i="2" s="1"/>
  <c r="AG709" i="2"/>
  <c r="AT709" i="2" s="1"/>
  <c r="AF709" i="2"/>
  <c r="AS709" i="2" s="1"/>
  <c r="AE709" i="2"/>
  <c r="AR709" i="2" s="1"/>
  <c r="AD709" i="2"/>
  <c r="AQ709" i="2" s="1"/>
  <c r="AA709" i="2"/>
  <c r="Z709" i="2"/>
  <c r="AP709" i="2" s="1"/>
  <c r="D709" i="2"/>
  <c r="A709" i="2"/>
  <c r="BC708" i="2"/>
  <c r="AV708" i="2"/>
  <c r="AO708" i="2"/>
  <c r="BB708" i="2" s="1"/>
  <c r="AN708" i="2"/>
  <c r="BA708" i="2" s="1"/>
  <c r="AM708" i="2"/>
  <c r="AZ708" i="2" s="1"/>
  <c r="AL708" i="2"/>
  <c r="AY708" i="2" s="1"/>
  <c r="AK708" i="2"/>
  <c r="AX708" i="2" s="1"/>
  <c r="AJ708" i="2"/>
  <c r="AW708" i="2" s="1"/>
  <c r="AI708" i="2"/>
  <c r="AH708" i="2"/>
  <c r="AU708" i="2" s="1"/>
  <c r="AG708" i="2"/>
  <c r="AT708" i="2" s="1"/>
  <c r="AF708" i="2"/>
  <c r="AS708" i="2" s="1"/>
  <c r="AE708" i="2"/>
  <c r="AR708" i="2" s="1"/>
  <c r="AD708" i="2"/>
  <c r="AQ708" i="2" s="1"/>
  <c r="AA708" i="2"/>
  <c r="Z708" i="2"/>
  <c r="AP708" i="2" s="1"/>
  <c r="D708" i="2"/>
  <c r="A708" i="2"/>
  <c r="BC707" i="2"/>
  <c r="AO707" i="2"/>
  <c r="BB707" i="2" s="1"/>
  <c r="AN707" i="2"/>
  <c r="BA707" i="2" s="1"/>
  <c r="AM707" i="2"/>
  <c r="AZ707" i="2" s="1"/>
  <c r="AL707" i="2"/>
  <c r="AY707" i="2" s="1"/>
  <c r="AK707" i="2"/>
  <c r="AX707" i="2" s="1"/>
  <c r="AJ707" i="2"/>
  <c r="AW707" i="2" s="1"/>
  <c r="AI707" i="2"/>
  <c r="AV707" i="2" s="1"/>
  <c r="AH707" i="2"/>
  <c r="AU707" i="2" s="1"/>
  <c r="AG707" i="2"/>
  <c r="AT707" i="2" s="1"/>
  <c r="AF707" i="2"/>
  <c r="AS707" i="2" s="1"/>
  <c r="AE707" i="2"/>
  <c r="AR707" i="2" s="1"/>
  <c r="AD707" i="2"/>
  <c r="AQ707" i="2" s="1"/>
  <c r="AA707" i="2"/>
  <c r="Z707" i="2"/>
  <c r="AP707" i="2" s="1"/>
  <c r="D707" i="2"/>
  <c r="A707" i="2"/>
  <c r="BC706" i="2"/>
  <c r="AO706" i="2"/>
  <c r="BB706" i="2" s="1"/>
  <c r="AN706" i="2"/>
  <c r="BA706" i="2" s="1"/>
  <c r="AM706" i="2"/>
  <c r="AZ706" i="2" s="1"/>
  <c r="AL706" i="2"/>
  <c r="AY706" i="2" s="1"/>
  <c r="AK706" i="2"/>
  <c r="AX706" i="2" s="1"/>
  <c r="AJ706" i="2"/>
  <c r="AW706" i="2" s="1"/>
  <c r="AI706" i="2"/>
  <c r="AV706" i="2" s="1"/>
  <c r="AH706" i="2"/>
  <c r="AU706" i="2" s="1"/>
  <c r="AG706" i="2"/>
  <c r="AT706" i="2" s="1"/>
  <c r="AF706" i="2"/>
  <c r="AS706" i="2" s="1"/>
  <c r="AE706" i="2"/>
  <c r="AR706" i="2" s="1"/>
  <c r="AD706" i="2"/>
  <c r="AQ706" i="2" s="1"/>
  <c r="AA706" i="2"/>
  <c r="Z706" i="2"/>
  <c r="AP706" i="2" s="1"/>
  <c r="D706" i="2"/>
  <c r="A706" i="2"/>
  <c r="BC705" i="2"/>
  <c r="AO705" i="2"/>
  <c r="BB705" i="2" s="1"/>
  <c r="AN705" i="2"/>
  <c r="BA705" i="2" s="1"/>
  <c r="AM705" i="2"/>
  <c r="AZ705" i="2" s="1"/>
  <c r="AL705" i="2"/>
  <c r="AY705" i="2" s="1"/>
  <c r="AK705" i="2"/>
  <c r="AX705" i="2" s="1"/>
  <c r="AJ705" i="2"/>
  <c r="AW705" i="2" s="1"/>
  <c r="AI705" i="2"/>
  <c r="AV705" i="2" s="1"/>
  <c r="AH705" i="2"/>
  <c r="AU705" i="2" s="1"/>
  <c r="AG705" i="2"/>
  <c r="AT705" i="2" s="1"/>
  <c r="AF705" i="2"/>
  <c r="AS705" i="2" s="1"/>
  <c r="AE705" i="2"/>
  <c r="AR705" i="2" s="1"/>
  <c r="AD705" i="2"/>
  <c r="AQ705" i="2" s="1"/>
  <c r="AA705" i="2"/>
  <c r="Z705" i="2"/>
  <c r="AP705" i="2" s="1"/>
  <c r="D705" i="2"/>
  <c r="A705" i="2"/>
  <c r="BC704" i="2"/>
  <c r="AO704" i="2"/>
  <c r="BB704" i="2" s="1"/>
  <c r="AN704" i="2"/>
  <c r="BA704" i="2" s="1"/>
  <c r="AM704" i="2"/>
  <c r="AZ704" i="2" s="1"/>
  <c r="AL704" i="2"/>
  <c r="AY704" i="2" s="1"/>
  <c r="AK704" i="2"/>
  <c r="AX704" i="2" s="1"/>
  <c r="AJ704" i="2"/>
  <c r="AW704" i="2" s="1"/>
  <c r="AI704" i="2"/>
  <c r="AV704" i="2" s="1"/>
  <c r="AH704" i="2"/>
  <c r="AU704" i="2" s="1"/>
  <c r="AG704" i="2"/>
  <c r="AT704" i="2" s="1"/>
  <c r="AF704" i="2"/>
  <c r="AS704" i="2" s="1"/>
  <c r="AE704" i="2"/>
  <c r="AR704" i="2" s="1"/>
  <c r="AD704" i="2"/>
  <c r="AQ704" i="2" s="1"/>
  <c r="AA704" i="2"/>
  <c r="Z704" i="2"/>
  <c r="AP704" i="2" s="1"/>
  <c r="D704" i="2"/>
  <c r="A704" i="2"/>
  <c r="BC703" i="2"/>
  <c r="AO703" i="2"/>
  <c r="BB703" i="2" s="1"/>
  <c r="AN703" i="2"/>
  <c r="BA703" i="2" s="1"/>
  <c r="AM703" i="2"/>
  <c r="AZ703" i="2" s="1"/>
  <c r="AL703" i="2"/>
  <c r="AY703" i="2" s="1"/>
  <c r="AK703" i="2"/>
  <c r="AX703" i="2" s="1"/>
  <c r="AJ703" i="2"/>
  <c r="AW703" i="2" s="1"/>
  <c r="AI703" i="2"/>
  <c r="AV703" i="2" s="1"/>
  <c r="AH703" i="2"/>
  <c r="AU703" i="2" s="1"/>
  <c r="AG703" i="2"/>
  <c r="AT703" i="2" s="1"/>
  <c r="AF703" i="2"/>
  <c r="AS703" i="2" s="1"/>
  <c r="AE703" i="2"/>
  <c r="AR703" i="2" s="1"/>
  <c r="AD703" i="2"/>
  <c r="AQ703" i="2" s="1"/>
  <c r="AA703" i="2"/>
  <c r="Z703" i="2"/>
  <c r="AP703" i="2" s="1"/>
  <c r="D703" i="2"/>
  <c r="A703" i="2"/>
  <c r="BC702" i="2"/>
  <c r="AO702" i="2"/>
  <c r="BB702" i="2" s="1"/>
  <c r="AN702" i="2"/>
  <c r="BA702" i="2" s="1"/>
  <c r="AM702" i="2"/>
  <c r="AZ702" i="2" s="1"/>
  <c r="AL702" i="2"/>
  <c r="AY702" i="2" s="1"/>
  <c r="AK702" i="2"/>
  <c r="AX702" i="2" s="1"/>
  <c r="AJ702" i="2"/>
  <c r="AW702" i="2" s="1"/>
  <c r="AI702" i="2"/>
  <c r="AV702" i="2" s="1"/>
  <c r="AH702" i="2"/>
  <c r="AU702" i="2" s="1"/>
  <c r="AG702" i="2"/>
  <c r="AT702" i="2" s="1"/>
  <c r="AF702" i="2"/>
  <c r="AS702" i="2" s="1"/>
  <c r="AE702" i="2"/>
  <c r="AR702" i="2" s="1"/>
  <c r="AD702" i="2"/>
  <c r="AQ702" i="2" s="1"/>
  <c r="AA702" i="2"/>
  <c r="Z702" i="2"/>
  <c r="AP702" i="2" s="1"/>
  <c r="D702" i="2"/>
  <c r="A702" i="2"/>
  <c r="BC701" i="2"/>
  <c r="AP701" i="2"/>
  <c r="AO701" i="2"/>
  <c r="BB701" i="2" s="1"/>
  <c r="AN701" i="2"/>
  <c r="BA701" i="2" s="1"/>
  <c r="AM701" i="2"/>
  <c r="AZ701" i="2" s="1"/>
  <c r="AL701" i="2"/>
  <c r="AY701" i="2" s="1"/>
  <c r="AK701" i="2"/>
  <c r="AX701" i="2" s="1"/>
  <c r="AJ701" i="2"/>
  <c r="AW701" i="2" s="1"/>
  <c r="AI701" i="2"/>
  <c r="AV701" i="2" s="1"/>
  <c r="AH701" i="2"/>
  <c r="AU701" i="2" s="1"/>
  <c r="AG701" i="2"/>
  <c r="AT701" i="2" s="1"/>
  <c r="AF701" i="2"/>
  <c r="AS701" i="2" s="1"/>
  <c r="AE701" i="2"/>
  <c r="AR701" i="2" s="1"/>
  <c r="AD701" i="2"/>
  <c r="AQ701" i="2" s="1"/>
  <c r="AA701" i="2"/>
  <c r="Z701" i="2"/>
  <c r="D701" i="2"/>
  <c r="A701" i="2"/>
  <c r="BC700" i="2"/>
  <c r="AO700" i="2"/>
  <c r="BB700" i="2" s="1"/>
  <c r="AN700" i="2"/>
  <c r="BA700" i="2" s="1"/>
  <c r="AM700" i="2"/>
  <c r="AZ700" i="2" s="1"/>
  <c r="AL700" i="2"/>
  <c r="AY700" i="2" s="1"/>
  <c r="AK700" i="2"/>
  <c r="AX700" i="2" s="1"/>
  <c r="AJ700" i="2"/>
  <c r="AW700" i="2" s="1"/>
  <c r="AI700" i="2"/>
  <c r="AV700" i="2" s="1"/>
  <c r="AH700" i="2"/>
  <c r="AU700" i="2" s="1"/>
  <c r="AG700" i="2"/>
  <c r="AT700" i="2" s="1"/>
  <c r="AF700" i="2"/>
  <c r="AS700" i="2" s="1"/>
  <c r="AE700" i="2"/>
  <c r="AR700" i="2" s="1"/>
  <c r="AD700" i="2"/>
  <c r="AQ700" i="2" s="1"/>
  <c r="AA700" i="2"/>
  <c r="Z700" i="2"/>
  <c r="AP700" i="2" s="1"/>
  <c r="D700" i="2"/>
  <c r="A700" i="2"/>
  <c r="BC699" i="2"/>
  <c r="AW699" i="2"/>
  <c r="AP699" i="2"/>
  <c r="AO699" i="2"/>
  <c r="BB699" i="2" s="1"/>
  <c r="AN699" i="2"/>
  <c r="BA699" i="2" s="1"/>
  <c r="AM699" i="2"/>
  <c r="AZ699" i="2" s="1"/>
  <c r="AL699" i="2"/>
  <c r="AY699" i="2" s="1"/>
  <c r="AK699" i="2"/>
  <c r="AX699" i="2" s="1"/>
  <c r="AJ699" i="2"/>
  <c r="AI699" i="2"/>
  <c r="AV699" i="2" s="1"/>
  <c r="AH699" i="2"/>
  <c r="AU699" i="2" s="1"/>
  <c r="AG699" i="2"/>
  <c r="AT699" i="2" s="1"/>
  <c r="AF699" i="2"/>
  <c r="AS699" i="2" s="1"/>
  <c r="AE699" i="2"/>
  <c r="AR699" i="2" s="1"/>
  <c r="AD699" i="2"/>
  <c r="AQ699" i="2" s="1"/>
  <c r="AA699" i="2"/>
  <c r="Z699" i="2"/>
  <c r="D699" i="2"/>
  <c r="A699" i="2"/>
  <c r="BC698" i="2"/>
  <c r="AO698" i="2"/>
  <c r="BB698" i="2" s="1"/>
  <c r="AN698" i="2"/>
  <c r="BA698" i="2" s="1"/>
  <c r="AM698" i="2"/>
  <c r="AZ698" i="2" s="1"/>
  <c r="AL698" i="2"/>
  <c r="AY698" i="2" s="1"/>
  <c r="AK698" i="2"/>
  <c r="AX698" i="2" s="1"/>
  <c r="AJ698" i="2"/>
  <c r="AW698" i="2" s="1"/>
  <c r="AI698" i="2"/>
  <c r="AV698" i="2" s="1"/>
  <c r="AH698" i="2"/>
  <c r="AU698" i="2" s="1"/>
  <c r="AG698" i="2"/>
  <c r="AT698" i="2" s="1"/>
  <c r="AF698" i="2"/>
  <c r="AS698" i="2" s="1"/>
  <c r="AE698" i="2"/>
  <c r="AR698" i="2" s="1"/>
  <c r="AD698" i="2"/>
  <c r="AQ698" i="2" s="1"/>
  <c r="AA698" i="2"/>
  <c r="Z698" i="2"/>
  <c r="AP698" i="2" s="1"/>
  <c r="D698" i="2"/>
  <c r="A698" i="2"/>
  <c r="BC697" i="2"/>
  <c r="AO697" i="2"/>
  <c r="BB697" i="2" s="1"/>
  <c r="AN697" i="2"/>
  <c r="BA697" i="2" s="1"/>
  <c r="AM697" i="2"/>
  <c r="AZ697" i="2" s="1"/>
  <c r="AL697" i="2"/>
  <c r="AY697" i="2" s="1"/>
  <c r="AK697" i="2"/>
  <c r="AX697" i="2" s="1"/>
  <c r="AJ697" i="2"/>
  <c r="AW697" i="2" s="1"/>
  <c r="AI697" i="2"/>
  <c r="AV697" i="2" s="1"/>
  <c r="AH697" i="2"/>
  <c r="AU697" i="2" s="1"/>
  <c r="AG697" i="2"/>
  <c r="AT697" i="2" s="1"/>
  <c r="AF697" i="2"/>
  <c r="AS697" i="2" s="1"/>
  <c r="AE697" i="2"/>
  <c r="AR697" i="2" s="1"/>
  <c r="AD697" i="2"/>
  <c r="AQ697" i="2" s="1"/>
  <c r="AA697" i="2"/>
  <c r="Z697" i="2"/>
  <c r="AP697" i="2" s="1"/>
  <c r="D697" i="2"/>
  <c r="A697" i="2"/>
  <c r="BC696" i="2"/>
  <c r="AO696" i="2"/>
  <c r="BB696" i="2" s="1"/>
  <c r="AN696" i="2"/>
  <c r="BA696" i="2" s="1"/>
  <c r="AM696" i="2"/>
  <c r="AZ696" i="2" s="1"/>
  <c r="AL696" i="2"/>
  <c r="AY696" i="2" s="1"/>
  <c r="AK696" i="2"/>
  <c r="AX696" i="2" s="1"/>
  <c r="AJ696" i="2"/>
  <c r="AW696" i="2" s="1"/>
  <c r="AI696" i="2"/>
  <c r="AV696" i="2" s="1"/>
  <c r="AH696" i="2"/>
  <c r="AU696" i="2" s="1"/>
  <c r="AG696" i="2"/>
  <c r="AT696" i="2" s="1"/>
  <c r="AF696" i="2"/>
  <c r="AS696" i="2" s="1"/>
  <c r="AE696" i="2"/>
  <c r="AR696" i="2" s="1"/>
  <c r="AD696" i="2"/>
  <c r="AQ696" i="2" s="1"/>
  <c r="AA696" i="2"/>
  <c r="Z696" i="2"/>
  <c r="AP696" i="2" s="1"/>
  <c r="D696" i="2"/>
  <c r="A696" i="2"/>
  <c r="BC695" i="2"/>
  <c r="AO695" i="2"/>
  <c r="BB695" i="2" s="1"/>
  <c r="AN695" i="2"/>
  <c r="BA695" i="2" s="1"/>
  <c r="AM695" i="2"/>
  <c r="AZ695" i="2" s="1"/>
  <c r="AL695" i="2"/>
  <c r="AY695" i="2" s="1"/>
  <c r="AK695" i="2"/>
  <c r="AX695" i="2" s="1"/>
  <c r="AJ695" i="2"/>
  <c r="AW695" i="2" s="1"/>
  <c r="AI695" i="2"/>
  <c r="AV695" i="2" s="1"/>
  <c r="AH695" i="2"/>
  <c r="AU695" i="2" s="1"/>
  <c r="AG695" i="2"/>
  <c r="AT695" i="2" s="1"/>
  <c r="AF695" i="2"/>
  <c r="AS695" i="2" s="1"/>
  <c r="AE695" i="2"/>
  <c r="AR695" i="2" s="1"/>
  <c r="AD695" i="2"/>
  <c r="AQ695" i="2" s="1"/>
  <c r="AA695" i="2"/>
  <c r="Z695" i="2"/>
  <c r="AP695" i="2" s="1"/>
  <c r="D695" i="2"/>
  <c r="A695" i="2"/>
  <c r="BC694" i="2"/>
  <c r="AW694" i="2"/>
  <c r="AS694" i="2"/>
  <c r="AO694" i="2"/>
  <c r="BB694" i="2" s="1"/>
  <c r="AN694" i="2"/>
  <c r="BA694" i="2" s="1"/>
  <c r="AM694" i="2"/>
  <c r="AZ694" i="2" s="1"/>
  <c r="AL694" i="2"/>
  <c r="AY694" i="2" s="1"/>
  <c r="AK694" i="2"/>
  <c r="AX694" i="2" s="1"/>
  <c r="AJ694" i="2"/>
  <c r="AI694" i="2"/>
  <c r="AV694" i="2" s="1"/>
  <c r="AH694" i="2"/>
  <c r="AU694" i="2" s="1"/>
  <c r="AG694" i="2"/>
  <c r="AT694" i="2" s="1"/>
  <c r="AF694" i="2"/>
  <c r="AE694" i="2"/>
  <c r="AR694" i="2" s="1"/>
  <c r="AD694" i="2"/>
  <c r="AQ694" i="2" s="1"/>
  <c r="AA694" i="2"/>
  <c r="Z694" i="2"/>
  <c r="AP694" i="2" s="1"/>
  <c r="D694" i="2"/>
  <c r="A694" i="2"/>
  <c r="BC693" i="2"/>
  <c r="AO693" i="2"/>
  <c r="BB693" i="2" s="1"/>
  <c r="AN693" i="2"/>
  <c r="BA693" i="2" s="1"/>
  <c r="AM693" i="2"/>
  <c r="AZ693" i="2" s="1"/>
  <c r="AL693" i="2"/>
  <c r="AY693" i="2" s="1"/>
  <c r="AK693" i="2"/>
  <c r="AX693" i="2" s="1"/>
  <c r="AJ693" i="2"/>
  <c r="AW693" i="2" s="1"/>
  <c r="AI693" i="2"/>
  <c r="AV693" i="2" s="1"/>
  <c r="AH693" i="2"/>
  <c r="AU693" i="2" s="1"/>
  <c r="AG693" i="2"/>
  <c r="AT693" i="2" s="1"/>
  <c r="AF693" i="2"/>
  <c r="AS693" i="2" s="1"/>
  <c r="AE693" i="2"/>
  <c r="AR693" i="2" s="1"/>
  <c r="AD693" i="2"/>
  <c r="AQ693" i="2" s="1"/>
  <c r="AA693" i="2"/>
  <c r="Z693" i="2"/>
  <c r="AP693" i="2" s="1"/>
  <c r="D693" i="2"/>
  <c r="A693" i="2"/>
  <c r="BC692" i="2"/>
  <c r="AW692" i="2"/>
  <c r="AO692" i="2"/>
  <c r="BB692" i="2" s="1"/>
  <c r="AN692" i="2"/>
  <c r="BA692" i="2" s="1"/>
  <c r="AM692" i="2"/>
  <c r="AZ692" i="2" s="1"/>
  <c r="AL692" i="2"/>
  <c r="AY692" i="2" s="1"/>
  <c r="AK692" i="2"/>
  <c r="AX692" i="2" s="1"/>
  <c r="AJ692" i="2"/>
  <c r="AI692" i="2"/>
  <c r="AV692" i="2" s="1"/>
  <c r="AH692" i="2"/>
  <c r="AU692" i="2" s="1"/>
  <c r="AG692" i="2"/>
  <c r="AT692" i="2" s="1"/>
  <c r="AF692" i="2"/>
  <c r="AS692" i="2" s="1"/>
  <c r="AE692" i="2"/>
  <c r="AR692" i="2" s="1"/>
  <c r="AD692" i="2"/>
  <c r="AQ692" i="2" s="1"/>
  <c r="AA692" i="2"/>
  <c r="Z692" i="2"/>
  <c r="AP692" i="2" s="1"/>
  <c r="D692" i="2"/>
  <c r="A692" i="2"/>
  <c r="BC691" i="2"/>
  <c r="AO691" i="2"/>
  <c r="BB691" i="2" s="1"/>
  <c r="AN691" i="2"/>
  <c r="BA691" i="2" s="1"/>
  <c r="AM691" i="2"/>
  <c r="AZ691" i="2" s="1"/>
  <c r="AL691" i="2"/>
  <c r="AY691" i="2" s="1"/>
  <c r="AK691" i="2"/>
  <c r="AX691" i="2" s="1"/>
  <c r="AJ691" i="2"/>
  <c r="AW691" i="2" s="1"/>
  <c r="AI691" i="2"/>
  <c r="AV691" i="2" s="1"/>
  <c r="AH691" i="2"/>
  <c r="AU691" i="2" s="1"/>
  <c r="AG691" i="2"/>
  <c r="AT691" i="2" s="1"/>
  <c r="AF691" i="2"/>
  <c r="AS691" i="2" s="1"/>
  <c r="AE691" i="2"/>
  <c r="AR691" i="2" s="1"/>
  <c r="AD691" i="2"/>
  <c r="AQ691" i="2" s="1"/>
  <c r="AA691" i="2"/>
  <c r="Z691" i="2"/>
  <c r="AP691" i="2" s="1"/>
  <c r="D691" i="2"/>
  <c r="A691" i="2"/>
  <c r="BC690" i="2"/>
  <c r="AO690" i="2"/>
  <c r="BB690" i="2" s="1"/>
  <c r="AN690" i="2"/>
  <c r="BA690" i="2" s="1"/>
  <c r="AM690" i="2"/>
  <c r="AZ690" i="2" s="1"/>
  <c r="AL690" i="2"/>
  <c r="AY690" i="2" s="1"/>
  <c r="AK690" i="2"/>
  <c r="AX690" i="2" s="1"/>
  <c r="AJ690" i="2"/>
  <c r="AW690" i="2" s="1"/>
  <c r="AI690" i="2"/>
  <c r="AV690" i="2" s="1"/>
  <c r="AH690" i="2"/>
  <c r="AU690" i="2" s="1"/>
  <c r="AG690" i="2"/>
  <c r="AT690" i="2" s="1"/>
  <c r="AF690" i="2"/>
  <c r="AS690" i="2" s="1"/>
  <c r="AE690" i="2"/>
  <c r="AR690" i="2" s="1"/>
  <c r="AD690" i="2"/>
  <c r="AQ690" i="2" s="1"/>
  <c r="AA690" i="2"/>
  <c r="Z690" i="2"/>
  <c r="AP690" i="2" s="1"/>
  <c r="D690" i="2"/>
  <c r="A690" i="2"/>
  <c r="BC689" i="2"/>
  <c r="AO689" i="2"/>
  <c r="BB689" i="2" s="1"/>
  <c r="AN689" i="2"/>
  <c r="BA689" i="2" s="1"/>
  <c r="AM689" i="2"/>
  <c r="AZ689" i="2" s="1"/>
  <c r="AL689" i="2"/>
  <c r="AY689" i="2" s="1"/>
  <c r="AK689" i="2"/>
  <c r="AX689" i="2" s="1"/>
  <c r="AJ689" i="2"/>
  <c r="AW689" i="2" s="1"/>
  <c r="AI689" i="2"/>
  <c r="AV689" i="2" s="1"/>
  <c r="AH689" i="2"/>
  <c r="AU689" i="2" s="1"/>
  <c r="AG689" i="2"/>
  <c r="AT689" i="2" s="1"/>
  <c r="AF689" i="2"/>
  <c r="AS689" i="2" s="1"/>
  <c r="AE689" i="2"/>
  <c r="AR689" i="2" s="1"/>
  <c r="AD689" i="2"/>
  <c r="AQ689" i="2" s="1"/>
  <c r="AA689" i="2"/>
  <c r="Z689" i="2"/>
  <c r="AP689" i="2" s="1"/>
  <c r="D689" i="2"/>
  <c r="A689" i="2"/>
  <c r="BC688" i="2"/>
  <c r="AO688" i="2"/>
  <c r="BB688" i="2" s="1"/>
  <c r="AN688" i="2"/>
  <c r="BA688" i="2" s="1"/>
  <c r="AM688" i="2"/>
  <c r="AZ688" i="2" s="1"/>
  <c r="AL688" i="2"/>
  <c r="AY688" i="2" s="1"/>
  <c r="AK688" i="2"/>
  <c r="AX688" i="2" s="1"/>
  <c r="AJ688" i="2"/>
  <c r="AW688" i="2" s="1"/>
  <c r="AI688" i="2"/>
  <c r="AV688" i="2" s="1"/>
  <c r="AH688" i="2"/>
  <c r="AU688" i="2" s="1"/>
  <c r="AG688" i="2"/>
  <c r="AT688" i="2" s="1"/>
  <c r="AF688" i="2"/>
  <c r="AS688" i="2" s="1"/>
  <c r="AE688" i="2"/>
  <c r="AR688" i="2" s="1"/>
  <c r="AD688" i="2"/>
  <c r="AQ688" i="2" s="1"/>
  <c r="AA688" i="2"/>
  <c r="Z688" i="2"/>
  <c r="AP688" i="2" s="1"/>
  <c r="D688" i="2"/>
  <c r="A688" i="2"/>
  <c r="BC687" i="2"/>
  <c r="AO687" i="2"/>
  <c r="BB687" i="2" s="1"/>
  <c r="AN687" i="2"/>
  <c r="BA687" i="2" s="1"/>
  <c r="AM687" i="2"/>
  <c r="AZ687" i="2" s="1"/>
  <c r="AL687" i="2"/>
  <c r="AY687" i="2" s="1"/>
  <c r="AK687" i="2"/>
  <c r="AX687" i="2" s="1"/>
  <c r="AJ687" i="2"/>
  <c r="AW687" i="2" s="1"/>
  <c r="AI687" i="2"/>
  <c r="AV687" i="2" s="1"/>
  <c r="AH687" i="2"/>
  <c r="AU687" i="2" s="1"/>
  <c r="AG687" i="2"/>
  <c r="AT687" i="2" s="1"/>
  <c r="AF687" i="2"/>
  <c r="AS687" i="2" s="1"/>
  <c r="AE687" i="2"/>
  <c r="AR687" i="2" s="1"/>
  <c r="AD687" i="2"/>
  <c r="AQ687" i="2" s="1"/>
  <c r="AA687" i="2"/>
  <c r="Z687" i="2"/>
  <c r="AP687" i="2" s="1"/>
  <c r="D687" i="2"/>
  <c r="A687" i="2"/>
  <c r="BC686" i="2"/>
  <c r="AS686" i="2"/>
  <c r="AO686" i="2"/>
  <c r="BB686" i="2" s="1"/>
  <c r="AN686" i="2"/>
  <c r="BA686" i="2" s="1"/>
  <c r="AM686" i="2"/>
  <c r="AZ686" i="2" s="1"/>
  <c r="AL686" i="2"/>
  <c r="AY686" i="2" s="1"/>
  <c r="AK686" i="2"/>
  <c r="AX686" i="2" s="1"/>
  <c r="AJ686" i="2"/>
  <c r="AW686" i="2" s="1"/>
  <c r="AI686" i="2"/>
  <c r="AV686" i="2" s="1"/>
  <c r="AH686" i="2"/>
  <c r="AU686" i="2" s="1"/>
  <c r="AG686" i="2"/>
  <c r="AT686" i="2" s="1"/>
  <c r="AF686" i="2"/>
  <c r="AE686" i="2"/>
  <c r="AR686" i="2" s="1"/>
  <c r="AD686" i="2"/>
  <c r="AQ686" i="2" s="1"/>
  <c r="AA686" i="2"/>
  <c r="Z686" i="2"/>
  <c r="AP686" i="2" s="1"/>
  <c r="D686" i="2"/>
  <c r="A686" i="2"/>
  <c r="BC685" i="2"/>
  <c r="AO685" i="2"/>
  <c r="BB685" i="2" s="1"/>
  <c r="AN685" i="2"/>
  <c r="BA685" i="2" s="1"/>
  <c r="AM685" i="2"/>
  <c r="AZ685" i="2" s="1"/>
  <c r="AL685" i="2"/>
  <c r="AY685" i="2" s="1"/>
  <c r="AK685" i="2"/>
  <c r="AX685" i="2" s="1"/>
  <c r="AJ685" i="2"/>
  <c r="AW685" i="2" s="1"/>
  <c r="AI685" i="2"/>
  <c r="AV685" i="2" s="1"/>
  <c r="AH685" i="2"/>
  <c r="AU685" i="2" s="1"/>
  <c r="AG685" i="2"/>
  <c r="AT685" i="2" s="1"/>
  <c r="AF685" i="2"/>
  <c r="AS685" i="2" s="1"/>
  <c r="AE685" i="2"/>
  <c r="AR685" i="2" s="1"/>
  <c r="AD685" i="2"/>
  <c r="AQ685" i="2" s="1"/>
  <c r="AA685" i="2"/>
  <c r="Z685" i="2"/>
  <c r="AP685" i="2" s="1"/>
  <c r="D685" i="2"/>
  <c r="A685" i="2"/>
  <c r="BC684" i="2"/>
  <c r="AO684" i="2"/>
  <c r="BB684" i="2" s="1"/>
  <c r="AN684" i="2"/>
  <c r="BA684" i="2" s="1"/>
  <c r="AM684" i="2"/>
  <c r="AZ684" i="2" s="1"/>
  <c r="AL684" i="2"/>
  <c r="AY684" i="2" s="1"/>
  <c r="AK684" i="2"/>
  <c r="AX684" i="2" s="1"/>
  <c r="AJ684" i="2"/>
  <c r="AW684" i="2" s="1"/>
  <c r="AI684" i="2"/>
  <c r="AV684" i="2" s="1"/>
  <c r="AH684" i="2"/>
  <c r="AU684" i="2" s="1"/>
  <c r="AG684" i="2"/>
  <c r="AT684" i="2" s="1"/>
  <c r="AF684" i="2"/>
  <c r="AS684" i="2" s="1"/>
  <c r="AE684" i="2"/>
  <c r="AR684" i="2" s="1"/>
  <c r="AD684" i="2"/>
  <c r="AQ684" i="2" s="1"/>
  <c r="AA684" i="2"/>
  <c r="Z684" i="2"/>
  <c r="AP684" i="2" s="1"/>
  <c r="D684" i="2"/>
  <c r="A684" i="2"/>
  <c r="BC683" i="2"/>
  <c r="AO683" i="2"/>
  <c r="BB683" i="2" s="1"/>
  <c r="AN683" i="2"/>
  <c r="BA683" i="2" s="1"/>
  <c r="AM683" i="2"/>
  <c r="AZ683" i="2" s="1"/>
  <c r="AL683" i="2"/>
  <c r="AY683" i="2" s="1"/>
  <c r="AK683" i="2"/>
  <c r="AX683" i="2" s="1"/>
  <c r="AJ683" i="2"/>
  <c r="AW683" i="2" s="1"/>
  <c r="AI683" i="2"/>
  <c r="AV683" i="2" s="1"/>
  <c r="AH683" i="2"/>
  <c r="AU683" i="2" s="1"/>
  <c r="AG683" i="2"/>
  <c r="AT683" i="2" s="1"/>
  <c r="AF683" i="2"/>
  <c r="AS683" i="2" s="1"/>
  <c r="AE683" i="2"/>
  <c r="AR683" i="2" s="1"/>
  <c r="AD683" i="2"/>
  <c r="AQ683" i="2" s="1"/>
  <c r="AA683" i="2"/>
  <c r="Z683" i="2"/>
  <c r="AP683" i="2" s="1"/>
  <c r="D683" i="2"/>
  <c r="A683" i="2"/>
  <c r="BC682" i="2"/>
  <c r="AO682" i="2"/>
  <c r="BB682" i="2" s="1"/>
  <c r="AN682" i="2"/>
  <c r="BA682" i="2" s="1"/>
  <c r="AM682" i="2"/>
  <c r="AZ682" i="2" s="1"/>
  <c r="AL682" i="2"/>
  <c r="AY682" i="2" s="1"/>
  <c r="AK682" i="2"/>
  <c r="AX682" i="2" s="1"/>
  <c r="AJ682" i="2"/>
  <c r="AW682" i="2" s="1"/>
  <c r="AI682" i="2"/>
  <c r="AV682" i="2" s="1"/>
  <c r="AH682" i="2"/>
  <c r="AU682" i="2" s="1"/>
  <c r="AG682" i="2"/>
  <c r="AT682" i="2" s="1"/>
  <c r="AF682" i="2"/>
  <c r="AS682" i="2" s="1"/>
  <c r="AE682" i="2"/>
  <c r="AR682" i="2" s="1"/>
  <c r="AD682" i="2"/>
  <c r="AQ682" i="2" s="1"/>
  <c r="AA682" i="2"/>
  <c r="Z682" i="2"/>
  <c r="AP682" i="2" s="1"/>
  <c r="D682" i="2"/>
  <c r="A682" i="2"/>
  <c r="BC681" i="2"/>
  <c r="AO681" i="2"/>
  <c r="BB681" i="2" s="1"/>
  <c r="AN681" i="2"/>
  <c r="BA681" i="2" s="1"/>
  <c r="AM681" i="2"/>
  <c r="AZ681" i="2" s="1"/>
  <c r="AL681" i="2"/>
  <c r="AY681" i="2" s="1"/>
  <c r="AK681" i="2"/>
  <c r="AX681" i="2" s="1"/>
  <c r="AJ681" i="2"/>
  <c r="AW681" i="2" s="1"/>
  <c r="AI681" i="2"/>
  <c r="AV681" i="2" s="1"/>
  <c r="AH681" i="2"/>
  <c r="AU681" i="2" s="1"/>
  <c r="AG681" i="2"/>
  <c r="AT681" i="2" s="1"/>
  <c r="AF681" i="2"/>
  <c r="AS681" i="2" s="1"/>
  <c r="AE681" i="2"/>
  <c r="AR681" i="2" s="1"/>
  <c r="AD681" i="2"/>
  <c r="AQ681" i="2" s="1"/>
  <c r="AA681" i="2"/>
  <c r="Z681" i="2"/>
  <c r="AP681" i="2" s="1"/>
  <c r="D681" i="2"/>
  <c r="A681" i="2"/>
  <c r="BC680" i="2"/>
  <c r="AO680" i="2"/>
  <c r="BB680" i="2" s="1"/>
  <c r="AN680" i="2"/>
  <c r="BA680" i="2" s="1"/>
  <c r="AM680" i="2"/>
  <c r="AZ680" i="2" s="1"/>
  <c r="AL680" i="2"/>
  <c r="AY680" i="2" s="1"/>
  <c r="AK680" i="2"/>
  <c r="AX680" i="2" s="1"/>
  <c r="AJ680" i="2"/>
  <c r="AW680" i="2" s="1"/>
  <c r="AI680" i="2"/>
  <c r="AV680" i="2" s="1"/>
  <c r="AH680" i="2"/>
  <c r="AU680" i="2" s="1"/>
  <c r="AG680" i="2"/>
  <c r="AT680" i="2" s="1"/>
  <c r="AF680" i="2"/>
  <c r="AS680" i="2" s="1"/>
  <c r="AE680" i="2"/>
  <c r="AR680" i="2" s="1"/>
  <c r="AD680" i="2"/>
  <c r="AQ680" i="2" s="1"/>
  <c r="AA680" i="2"/>
  <c r="Z680" i="2"/>
  <c r="AP680" i="2" s="1"/>
  <c r="D680" i="2"/>
  <c r="A680" i="2"/>
  <c r="BC679" i="2"/>
  <c r="AO679" i="2"/>
  <c r="BB679" i="2" s="1"/>
  <c r="AN679" i="2"/>
  <c r="BA679" i="2" s="1"/>
  <c r="AM679" i="2"/>
  <c r="AZ679" i="2" s="1"/>
  <c r="AL679" i="2"/>
  <c r="AY679" i="2" s="1"/>
  <c r="AK679" i="2"/>
  <c r="AX679" i="2" s="1"/>
  <c r="AJ679" i="2"/>
  <c r="AW679" i="2" s="1"/>
  <c r="AI679" i="2"/>
  <c r="AV679" i="2" s="1"/>
  <c r="AH679" i="2"/>
  <c r="AU679" i="2" s="1"/>
  <c r="AG679" i="2"/>
  <c r="AT679" i="2" s="1"/>
  <c r="AF679" i="2"/>
  <c r="AS679" i="2" s="1"/>
  <c r="AE679" i="2"/>
  <c r="AR679" i="2" s="1"/>
  <c r="AD679" i="2"/>
  <c r="AQ679" i="2" s="1"/>
  <c r="AA679" i="2"/>
  <c r="Z679" i="2"/>
  <c r="AP679" i="2" s="1"/>
  <c r="D679" i="2"/>
  <c r="A679" i="2"/>
  <c r="BC678" i="2"/>
  <c r="AO678" i="2"/>
  <c r="BB678" i="2" s="1"/>
  <c r="AN678" i="2"/>
  <c r="BA678" i="2" s="1"/>
  <c r="AM678" i="2"/>
  <c r="AZ678" i="2" s="1"/>
  <c r="AL678" i="2"/>
  <c r="AY678" i="2" s="1"/>
  <c r="AK678" i="2"/>
  <c r="AX678" i="2" s="1"/>
  <c r="AJ678" i="2"/>
  <c r="AW678" i="2" s="1"/>
  <c r="AI678" i="2"/>
  <c r="AV678" i="2" s="1"/>
  <c r="AH678" i="2"/>
  <c r="AU678" i="2" s="1"/>
  <c r="AG678" i="2"/>
  <c r="AT678" i="2" s="1"/>
  <c r="AF678" i="2"/>
  <c r="AS678" i="2" s="1"/>
  <c r="AE678" i="2"/>
  <c r="AR678" i="2" s="1"/>
  <c r="AD678" i="2"/>
  <c r="AQ678" i="2" s="1"/>
  <c r="AA678" i="2"/>
  <c r="Z678" i="2"/>
  <c r="AP678" i="2" s="1"/>
  <c r="D678" i="2"/>
  <c r="A678" i="2"/>
  <c r="BC677" i="2"/>
  <c r="AO677" i="2"/>
  <c r="BB677" i="2" s="1"/>
  <c r="AN677" i="2"/>
  <c r="BA677" i="2" s="1"/>
  <c r="AM677" i="2"/>
  <c r="AZ677" i="2" s="1"/>
  <c r="AL677" i="2"/>
  <c r="AY677" i="2" s="1"/>
  <c r="AK677" i="2"/>
  <c r="AX677" i="2" s="1"/>
  <c r="AJ677" i="2"/>
  <c r="AW677" i="2" s="1"/>
  <c r="AI677" i="2"/>
  <c r="AV677" i="2" s="1"/>
  <c r="AH677" i="2"/>
  <c r="AU677" i="2" s="1"/>
  <c r="AG677" i="2"/>
  <c r="AT677" i="2" s="1"/>
  <c r="AF677" i="2"/>
  <c r="AS677" i="2" s="1"/>
  <c r="AE677" i="2"/>
  <c r="AR677" i="2" s="1"/>
  <c r="AD677" i="2"/>
  <c r="AQ677" i="2" s="1"/>
  <c r="AA677" i="2"/>
  <c r="Z677" i="2"/>
  <c r="AP677" i="2" s="1"/>
  <c r="D677" i="2"/>
  <c r="A677" i="2"/>
  <c r="BC676" i="2"/>
  <c r="AO676" i="2"/>
  <c r="BB676" i="2" s="1"/>
  <c r="AN676" i="2"/>
  <c r="BA676" i="2" s="1"/>
  <c r="AM676" i="2"/>
  <c r="AZ676" i="2" s="1"/>
  <c r="AL676" i="2"/>
  <c r="AY676" i="2" s="1"/>
  <c r="AK676" i="2"/>
  <c r="AX676" i="2" s="1"/>
  <c r="AJ676" i="2"/>
  <c r="AW676" i="2" s="1"/>
  <c r="AI676" i="2"/>
  <c r="AV676" i="2" s="1"/>
  <c r="AH676" i="2"/>
  <c r="AU676" i="2" s="1"/>
  <c r="AG676" i="2"/>
  <c r="AT676" i="2" s="1"/>
  <c r="AF676" i="2"/>
  <c r="AS676" i="2" s="1"/>
  <c r="AE676" i="2"/>
  <c r="AR676" i="2" s="1"/>
  <c r="AD676" i="2"/>
  <c r="AQ676" i="2" s="1"/>
  <c r="AA676" i="2"/>
  <c r="Z676" i="2"/>
  <c r="AP676" i="2" s="1"/>
  <c r="D676" i="2"/>
  <c r="A676" i="2"/>
  <c r="BC675" i="2"/>
  <c r="AP675" i="2"/>
  <c r="AO675" i="2"/>
  <c r="BB675" i="2" s="1"/>
  <c r="AN675" i="2"/>
  <c r="BA675" i="2" s="1"/>
  <c r="AM675" i="2"/>
  <c r="AZ675" i="2" s="1"/>
  <c r="AL675" i="2"/>
  <c r="AY675" i="2" s="1"/>
  <c r="AK675" i="2"/>
  <c r="AX675" i="2" s="1"/>
  <c r="AJ675" i="2"/>
  <c r="AW675" i="2" s="1"/>
  <c r="AI675" i="2"/>
  <c r="AV675" i="2" s="1"/>
  <c r="AH675" i="2"/>
  <c r="AU675" i="2" s="1"/>
  <c r="AG675" i="2"/>
  <c r="AT675" i="2" s="1"/>
  <c r="AF675" i="2"/>
  <c r="AS675" i="2" s="1"/>
  <c r="AE675" i="2"/>
  <c r="AR675" i="2" s="1"/>
  <c r="AD675" i="2"/>
  <c r="AQ675" i="2" s="1"/>
  <c r="AA675" i="2"/>
  <c r="Z675" i="2"/>
  <c r="D675" i="2"/>
  <c r="A675" i="2"/>
  <c r="BC674" i="2"/>
  <c r="AO674" i="2"/>
  <c r="BB674" i="2" s="1"/>
  <c r="AN674" i="2"/>
  <c r="BA674" i="2" s="1"/>
  <c r="AM674" i="2"/>
  <c r="AZ674" i="2" s="1"/>
  <c r="AL674" i="2"/>
  <c r="AY674" i="2" s="1"/>
  <c r="AK674" i="2"/>
  <c r="AX674" i="2" s="1"/>
  <c r="AJ674" i="2"/>
  <c r="AW674" i="2" s="1"/>
  <c r="AI674" i="2"/>
  <c r="AV674" i="2" s="1"/>
  <c r="AH674" i="2"/>
  <c r="AU674" i="2" s="1"/>
  <c r="AG674" i="2"/>
  <c r="AT674" i="2" s="1"/>
  <c r="AF674" i="2"/>
  <c r="AS674" i="2" s="1"/>
  <c r="AE674" i="2"/>
  <c r="AR674" i="2" s="1"/>
  <c r="AD674" i="2"/>
  <c r="AQ674" i="2" s="1"/>
  <c r="AA674" i="2"/>
  <c r="Z674" i="2"/>
  <c r="AP674" i="2" s="1"/>
  <c r="D674" i="2"/>
  <c r="A674" i="2"/>
  <c r="BC673" i="2"/>
  <c r="AO673" i="2"/>
  <c r="BB673" i="2" s="1"/>
  <c r="AN673" i="2"/>
  <c r="BA673" i="2" s="1"/>
  <c r="AM673" i="2"/>
  <c r="AZ673" i="2" s="1"/>
  <c r="AL673" i="2"/>
  <c r="AY673" i="2" s="1"/>
  <c r="AK673" i="2"/>
  <c r="AX673" i="2" s="1"/>
  <c r="AJ673" i="2"/>
  <c r="AW673" i="2" s="1"/>
  <c r="AI673" i="2"/>
  <c r="AV673" i="2" s="1"/>
  <c r="AH673" i="2"/>
  <c r="AU673" i="2" s="1"/>
  <c r="AG673" i="2"/>
  <c r="AT673" i="2" s="1"/>
  <c r="AF673" i="2"/>
  <c r="AS673" i="2" s="1"/>
  <c r="AE673" i="2"/>
  <c r="AR673" i="2" s="1"/>
  <c r="AD673" i="2"/>
  <c r="AQ673" i="2" s="1"/>
  <c r="AA673" i="2"/>
  <c r="Z673" i="2"/>
  <c r="AP673" i="2" s="1"/>
  <c r="D673" i="2"/>
  <c r="A673" i="2"/>
  <c r="BC672" i="2"/>
  <c r="AO672" i="2"/>
  <c r="BB672" i="2" s="1"/>
  <c r="AN672" i="2"/>
  <c r="BA672" i="2" s="1"/>
  <c r="AM672" i="2"/>
  <c r="AZ672" i="2" s="1"/>
  <c r="AL672" i="2"/>
  <c r="AY672" i="2" s="1"/>
  <c r="AK672" i="2"/>
  <c r="AX672" i="2" s="1"/>
  <c r="AJ672" i="2"/>
  <c r="AW672" i="2" s="1"/>
  <c r="AI672" i="2"/>
  <c r="AV672" i="2" s="1"/>
  <c r="AH672" i="2"/>
  <c r="AU672" i="2" s="1"/>
  <c r="AG672" i="2"/>
  <c r="AT672" i="2" s="1"/>
  <c r="AF672" i="2"/>
  <c r="AS672" i="2" s="1"/>
  <c r="AE672" i="2"/>
  <c r="AR672" i="2" s="1"/>
  <c r="AD672" i="2"/>
  <c r="AQ672" i="2" s="1"/>
  <c r="AA672" i="2"/>
  <c r="Z672" i="2"/>
  <c r="AP672" i="2" s="1"/>
  <c r="D672" i="2"/>
  <c r="A672" i="2"/>
  <c r="BC671" i="2"/>
  <c r="AO671" i="2"/>
  <c r="BB671" i="2" s="1"/>
  <c r="AN671" i="2"/>
  <c r="BA671" i="2" s="1"/>
  <c r="AM671" i="2"/>
  <c r="AZ671" i="2" s="1"/>
  <c r="AL671" i="2"/>
  <c r="AY671" i="2" s="1"/>
  <c r="AK671" i="2"/>
  <c r="AX671" i="2" s="1"/>
  <c r="AJ671" i="2"/>
  <c r="AW671" i="2" s="1"/>
  <c r="AI671" i="2"/>
  <c r="AV671" i="2" s="1"/>
  <c r="AH671" i="2"/>
  <c r="AU671" i="2" s="1"/>
  <c r="AG671" i="2"/>
  <c r="AT671" i="2" s="1"/>
  <c r="AF671" i="2"/>
  <c r="AS671" i="2" s="1"/>
  <c r="AE671" i="2"/>
  <c r="AR671" i="2" s="1"/>
  <c r="AD671" i="2"/>
  <c r="AQ671" i="2" s="1"/>
  <c r="AA671" i="2"/>
  <c r="Z671" i="2"/>
  <c r="AP671" i="2" s="1"/>
  <c r="D671" i="2"/>
  <c r="A671" i="2"/>
  <c r="BC670" i="2"/>
  <c r="AS670" i="2"/>
  <c r="AO670" i="2"/>
  <c r="BB670" i="2" s="1"/>
  <c r="AN670" i="2"/>
  <c r="BA670" i="2" s="1"/>
  <c r="AM670" i="2"/>
  <c r="AZ670" i="2" s="1"/>
  <c r="AL670" i="2"/>
  <c r="AY670" i="2" s="1"/>
  <c r="AK670" i="2"/>
  <c r="AX670" i="2" s="1"/>
  <c r="AJ670" i="2"/>
  <c r="AW670" i="2" s="1"/>
  <c r="AI670" i="2"/>
  <c r="AV670" i="2" s="1"/>
  <c r="AH670" i="2"/>
  <c r="AU670" i="2" s="1"/>
  <c r="AG670" i="2"/>
  <c r="AT670" i="2" s="1"/>
  <c r="AF670" i="2"/>
  <c r="AE670" i="2"/>
  <c r="AR670" i="2" s="1"/>
  <c r="AD670" i="2"/>
  <c r="AQ670" i="2" s="1"/>
  <c r="AA670" i="2"/>
  <c r="Z670" i="2"/>
  <c r="AP670" i="2" s="1"/>
  <c r="D670" i="2"/>
  <c r="A670" i="2"/>
  <c r="BC669" i="2"/>
  <c r="AO669" i="2"/>
  <c r="BB669" i="2" s="1"/>
  <c r="AN669" i="2"/>
  <c r="BA669" i="2" s="1"/>
  <c r="AM669" i="2"/>
  <c r="AZ669" i="2" s="1"/>
  <c r="AL669" i="2"/>
  <c r="AY669" i="2" s="1"/>
  <c r="AK669" i="2"/>
  <c r="AX669" i="2" s="1"/>
  <c r="AJ669" i="2"/>
  <c r="AW669" i="2" s="1"/>
  <c r="AI669" i="2"/>
  <c r="AV669" i="2" s="1"/>
  <c r="AH669" i="2"/>
  <c r="AU669" i="2" s="1"/>
  <c r="AG669" i="2"/>
  <c r="AT669" i="2" s="1"/>
  <c r="AF669" i="2"/>
  <c r="AS669" i="2" s="1"/>
  <c r="AE669" i="2"/>
  <c r="AR669" i="2" s="1"/>
  <c r="AD669" i="2"/>
  <c r="AQ669" i="2" s="1"/>
  <c r="AA669" i="2"/>
  <c r="Z669" i="2"/>
  <c r="AP669" i="2" s="1"/>
  <c r="D669" i="2"/>
  <c r="A669" i="2"/>
  <c r="BC668" i="2"/>
  <c r="AW668" i="2"/>
  <c r="AO668" i="2"/>
  <c r="BB668" i="2" s="1"/>
  <c r="AN668" i="2"/>
  <c r="BA668" i="2" s="1"/>
  <c r="AM668" i="2"/>
  <c r="AZ668" i="2" s="1"/>
  <c r="AL668" i="2"/>
  <c r="AY668" i="2" s="1"/>
  <c r="AK668" i="2"/>
  <c r="AX668" i="2" s="1"/>
  <c r="AJ668" i="2"/>
  <c r="AI668" i="2"/>
  <c r="AV668" i="2" s="1"/>
  <c r="AH668" i="2"/>
  <c r="AU668" i="2" s="1"/>
  <c r="AG668" i="2"/>
  <c r="AT668" i="2" s="1"/>
  <c r="AF668" i="2"/>
  <c r="AS668" i="2" s="1"/>
  <c r="AE668" i="2"/>
  <c r="AR668" i="2" s="1"/>
  <c r="AD668" i="2"/>
  <c r="AQ668" i="2" s="1"/>
  <c r="AA668" i="2"/>
  <c r="Z668" i="2"/>
  <c r="AP668" i="2" s="1"/>
  <c r="D668" i="2"/>
  <c r="A668" i="2"/>
  <c r="BC667" i="2"/>
  <c r="AO667" i="2"/>
  <c r="BB667" i="2" s="1"/>
  <c r="AN667" i="2"/>
  <c r="BA667" i="2" s="1"/>
  <c r="AM667" i="2"/>
  <c r="AZ667" i="2" s="1"/>
  <c r="AL667" i="2"/>
  <c r="AY667" i="2" s="1"/>
  <c r="AK667" i="2"/>
  <c r="AX667" i="2" s="1"/>
  <c r="AJ667" i="2"/>
  <c r="AW667" i="2" s="1"/>
  <c r="AI667" i="2"/>
  <c r="AV667" i="2" s="1"/>
  <c r="AH667" i="2"/>
  <c r="AU667" i="2" s="1"/>
  <c r="AG667" i="2"/>
  <c r="AT667" i="2" s="1"/>
  <c r="AF667" i="2"/>
  <c r="AS667" i="2" s="1"/>
  <c r="AE667" i="2"/>
  <c r="AR667" i="2" s="1"/>
  <c r="AD667" i="2"/>
  <c r="AQ667" i="2" s="1"/>
  <c r="AA667" i="2"/>
  <c r="Z667" i="2"/>
  <c r="AP667" i="2" s="1"/>
  <c r="D667" i="2"/>
  <c r="A667" i="2"/>
  <c r="BC666" i="2"/>
  <c r="AO666" i="2"/>
  <c r="BB666" i="2" s="1"/>
  <c r="AN666" i="2"/>
  <c r="BA666" i="2" s="1"/>
  <c r="AM666" i="2"/>
  <c r="AZ666" i="2" s="1"/>
  <c r="AL666" i="2"/>
  <c r="AY666" i="2" s="1"/>
  <c r="AK666" i="2"/>
  <c r="AX666" i="2" s="1"/>
  <c r="AJ666" i="2"/>
  <c r="AW666" i="2" s="1"/>
  <c r="AI666" i="2"/>
  <c r="AV666" i="2" s="1"/>
  <c r="AH666" i="2"/>
  <c r="AU666" i="2" s="1"/>
  <c r="AG666" i="2"/>
  <c r="AT666" i="2" s="1"/>
  <c r="AF666" i="2"/>
  <c r="AS666" i="2" s="1"/>
  <c r="AE666" i="2"/>
  <c r="AR666" i="2" s="1"/>
  <c r="AD666" i="2"/>
  <c r="AQ666" i="2" s="1"/>
  <c r="AA666" i="2"/>
  <c r="Z666" i="2"/>
  <c r="AP666" i="2" s="1"/>
  <c r="D666" i="2"/>
  <c r="A666" i="2"/>
  <c r="BC665" i="2"/>
  <c r="AO665" i="2"/>
  <c r="BB665" i="2" s="1"/>
  <c r="AN665" i="2"/>
  <c r="BA665" i="2" s="1"/>
  <c r="AM665" i="2"/>
  <c r="AZ665" i="2" s="1"/>
  <c r="AL665" i="2"/>
  <c r="AY665" i="2" s="1"/>
  <c r="AK665" i="2"/>
  <c r="AX665" i="2" s="1"/>
  <c r="AJ665" i="2"/>
  <c r="AW665" i="2" s="1"/>
  <c r="AI665" i="2"/>
  <c r="AV665" i="2" s="1"/>
  <c r="AH665" i="2"/>
  <c r="AU665" i="2" s="1"/>
  <c r="AG665" i="2"/>
  <c r="AT665" i="2" s="1"/>
  <c r="AF665" i="2"/>
  <c r="AS665" i="2" s="1"/>
  <c r="AE665" i="2"/>
  <c r="AR665" i="2" s="1"/>
  <c r="AD665" i="2"/>
  <c r="AQ665" i="2" s="1"/>
  <c r="AA665" i="2"/>
  <c r="Z665" i="2"/>
  <c r="AP665" i="2" s="1"/>
  <c r="D665" i="2"/>
  <c r="A665" i="2"/>
  <c r="BC664" i="2"/>
  <c r="AO664" i="2"/>
  <c r="BB664" i="2" s="1"/>
  <c r="AN664" i="2"/>
  <c r="BA664" i="2" s="1"/>
  <c r="AM664" i="2"/>
  <c r="AZ664" i="2" s="1"/>
  <c r="AL664" i="2"/>
  <c r="AY664" i="2" s="1"/>
  <c r="AK664" i="2"/>
  <c r="AX664" i="2" s="1"/>
  <c r="AJ664" i="2"/>
  <c r="AW664" i="2" s="1"/>
  <c r="AI664" i="2"/>
  <c r="AV664" i="2" s="1"/>
  <c r="AH664" i="2"/>
  <c r="AU664" i="2" s="1"/>
  <c r="AG664" i="2"/>
  <c r="AT664" i="2" s="1"/>
  <c r="AF664" i="2"/>
  <c r="AS664" i="2" s="1"/>
  <c r="AE664" i="2"/>
  <c r="AR664" i="2" s="1"/>
  <c r="AD664" i="2"/>
  <c r="AQ664" i="2" s="1"/>
  <c r="AA664" i="2"/>
  <c r="Z664" i="2"/>
  <c r="AP664" i="2" s="1"/>
  <c r="D664" i="2"/>
  <c r="A664" i="2"/>
  <c r="BC663" i="2"/>
  <c r="AO663" i="2"/>
  <c r="BB663" i="2" s="1"/>
  <c r="AN663" i="2"/>
  <c r="BA663" i="2" s="1"/>
  <c r="AM663" i="2"/>
  <c r="AZ663" i="2" s="1"/>
  <c r="AL663" i="2"/>
  <c r="AY663" i="2" s="1"/>
  <c r="AK663" i="2"/>
  <c r="AX663" i="2" s="1"/>
  <c r="AJ663" i="2"/>
  <c r="AW663" i="2" s="1"/>
  <c r="AI663" i="2"/>
  <c r="AV663" i="2" s="1"/>
  <c r="AH663" i="2"/>
  <c r="AU663" i="2" s="1"/>
  <c r="AG663" i="2"/>
  <c r="AT663" i="2" s="1"/>
  <c r="AF663" i="2"/>
  <c r="AS663" i="2" s="1"/>
  <c r="AE663" i="2"/>
  <c r="AR663" i="2" s="1"/>
  <c r="AD663" i="2"/>
  <c r="AQ663" i="2" s="1"/>
  <c r="AA663" i="2"/>
  <c r="Z663" i="2"/>
  <c r="AP663" i="2" s="1"/>
  <c r="D663" i="2"/>
  <c r="A663" i="2"/>
  <c r="BC662" i="2"/>
  <c r="AO662" i="2"/>
  <c r="BB662" i="2" s="1"/>
  <c r="AN662" i="2"/>
  <c r="BA662" i="2" s="1"/>
  <c r="AM662" i="2"/>
  <c r="AZ662" i="2" s="1"/>
  <c r="AL662" i="2"/>
  <c r="AY662" i="2" s="1"/>
  <c r="AK662" i="2"/>
  <c r="AX662" i="2" s="1"/>
  <c r="AJ662" i="2"/>
  <c r="AW662" i="2" s="1"/>
  <c r="AI662" i="2"/>
  <c r="AV662" i="2" s="1"/>
  <c r="AH662" i="2"/>
  <c r="AU662" i="2" s="1"/>
  <c r="AG662" i="2"/>
  <c r="AT662" i="2" s="1"/>
  <c r="AF662" i="2"/>
  <c r="AS662" i="2" s="1"/>
  <c r="AE662" i="2"/>
  <c r="AR662" i="2" s="1"/>
  <c r="AD662" i="2"/>
  <c r="AQ662" i="2" s="1"/>
  <c r="AA662" i="2"/>
  <c r="Z662" i="2"/>
  <c r="AP662" i="2" s="1"/>
  <c r="D662" i="2"/>
  <c r="A662" i="2"/>
  <c r="BC661" i="2"/>
  <c r="AP661" i="2"/>
  <c r="AO661" i="2"/>
  <c r="BB661" i="2" s="1"/>
  <c r="AN661" i="2"/>
  <c r="BA661" i="2" s="1"/>
  <c r="AM661" i="2"/>
  <c r="AZ661" i="2" s="1"/>
  <c r="AL661" i="2"/>
  <c r="AY661" i="2" s="1"/>
  <c r="AK661" i="2"/>
  <c r="AX661" i="2" s="1"/>
  <c r="AJ661" i="2"/>
  <c r="AW661" i="2" s="1"/>
  <c r="AI661" i="2"/>
  <c r="AV661" i="2" s="1"/>
  <c r="AH661" i="2"/>
  <c r="AU661" i="2" s="1"/>
  <c r="AG661" i="2"/>
  <c r="AT661" i="2" s="1"/>
  <c r="AF661" i="2"/>
  <c r="AS661" i="2" s="1"/>
  <c r="AE661" i="2"/>
  <c r="AR661" i="2" s="1"/>
  <c r="AD661" i="2"/>
  <c r="AQ661" i="2" s="1"/>
  <c r="AA661" i="2"/>
  <c r="Z661" i="2"/>
  <c r="D661" i="2"/>
  <c r="A661" i="2"/>
  <c r="BC660" i="2"/>
  <c r="AO660" i="2"/>
  <c r="BB660" i="2" s="1"/>
  <c r="AN660" i="2"/>
  <c r="BA660" i="2" s="1"/>
  <c r="AM660" i="2"/>
  <c r="AZ660" i="2" s="1"/>
  <c r="AL660" i="2"/>
  <c r="AY660" i="2" s="1"/>
  <c r="AK660" i="2"/>
  <c r="AX660" i="2" s="1"/>
  <c r="AJ660" i="2"/>
  <c r="AW660" i="2" s="1"/>
  <c r="AI660" i="2"/>
  <c r="AV660" i="2" s="1"/>
  <c r="AH660" i="2"/>
  <c r="AU660" i="2" s="1"/>
  <c r="AG660" i="2"/>
  <c r="AT660" i="2" s="1"/>
  <c r="AF660" i="2"/>
  <c r="AS660" i="2" s="1"/>
  <c r="AE660" i="2"/>
  <c r="AR660" i="2" s="1"/>
  <c r="AD660" i="2"/>
  <c r="AQ660" i="2" s="1"/>
  <c r="AA660" i="2"/>
  <c r="Z660" i="2"/>
  <c r="AP660" i="2" s="1"/>
  <c r="D660" i="2"/>
  <c r="A660" i="2"/>
  <c r="BC659" i="2"/>
  <c r="AW659" i="2"/>
  <c r="AP659" i="2"/>
  <c r="AO659" i="2"/>
  <c r="BB659" i="2" s="1"/>
  <c r="AN659" i="2"/>
  <c r="BA659" i="2" s="1"/>
  <c r="AM659" i="2"/>
  <c r="AZ659" i="2" s="1"/>
  <c r="AL659" i="2"/>
  <c r="AY659" i="2" s="1"/>
  <c r="AK659" i="2"/>
  <c r="AX659" i="2" s="1"/>
  <c r="AJ659" i="2"/>
  <c r="AI659" i="2"/>
  <c r="AV659" i="2" s="1"/>
  <c r="AH659" i="2"/>
  <c r="AU659" i="2" s="1"/>
  <c r="AG659" i="2"/>
  <c r="AT659" i="2" s="1"/>
  <c r="AF659" i="2"/>
  <c r="AS659" i="2" s="1"/>
  <c r="AE659" i="2"/>
  <c r="AR659" i="2" s="1"/>
  <c r="AD659" i="2"/>
  <c r="AQ659" i="2" s="1"/>
  <c r="AA659" i="2"/>
  <c r="Z659" i="2"/>
  <c r="D659" i="2"/>
  <c r="A659" i="2"/>
  <c r="BC658" i="2"/>
  <c r="AO658" i="2"/>
  <c r="BB658" i="2" s="1"/>
  <c r="AN658" i="2"/>
  <c r="BA658" i="2" s="1"/>
  <c r="AM658" i="2"/>
  <c r="AZ658" i="2" s="1"/>
  <c r="AL658" i="2"/>
  <c r="AY658" i="2" s="1"/>
  <c r="AK658" i="2"/>
  <c r="AX658" i="2" s="1"/>
  <c r="AJ658" i="2"/>
  <c r="AW658" i="2" s="1"/>
  <c r="AI658" i="2"/>
  <c r="AV658" i="2" s="1"/>
  <c r="AH658" i="2"/>
  <c r="AU658" i="2" s="1"/>
  <c r="AG658" i="2"/>
  <c r="AT658" i="2" s="1"/>
  <c r="AF658" i="2"/>
  <c r="AS658" i="2" s="1"/>
  <c r="AE658" i="2"/>
  <c r="AR658" i="2" s="1"/>
  <c r="AD658" i="2"/>
  <c r="AQ658" i="2" s="1"/>
  <c r="AA658" i="2"/>
  <c r="Z658" i="2"/>
  <c r="AP658" i="2" s="1"/>
  <c r="D658" i="2"/>
  <c r="A658" i="2"/>
  <c r="BC657" i="2"/>
  <c r="AO657" i="2"/>
  <c r="BB657" i="2" s="1"/>
  <c r="AN657" i="2"/>
  <c r="BA657" i="2" s="1"/>
  <c r="AM657" i="2"/>
  <c r="AZ657" i="2" s="1"/>
  <c r="AL657" i="2"/>
  <c r="AY657" i="2" s="1"/>
  <c r="AK657" i="2"/>
  <c r="AX657" i="2" s="1"/>
  <c r="AJ657" i="2"/>
  <c r="AW657" i="2" s="1"/>
  <c r="AI657" i="2"/>
  <c r="AV657" i="2" s="1"/>
  <c r="AH657" i="2"/>
  <c r="AU657" i="2" s="1"/>
  <c r="AG657" i="2"/>
  <c r="AT657" i="2" s="1"/>
  <c r="AF657" i="2"/>
  <c r="AS657" i="2" s="1"/>
  <c r="AE657" i="2"/>
  <c r="AR657" i="2" s="1"/>
  <c r="AD657" i="2"/>
  <c r="AQ657" i="2" s="1"/>
  <c r="AA657" i="2"/>
  <c r="Z657" i="2"/>
  <c r="AP657" i="2" s="1"/>
  <c r="D657" i="2"/>
  <c r="A657" i="2"/>
  <c r="BC656" i="2"/>
  <c r="AO656" i="2"/>
  <c r="BB656" i="2" s="1"/>
  <c r="AN656" i="2"/>
  <c r="BA656" i="2" s="1"/>
  <c r="AM656" i="2"/>
  <c r="AZ656" i="2" s="1"/>
  <c r="AL656" i="2"/>
  <c r="AY656" i="2" s="1"/>
  <c r="AK656" i="2"/>
  <c r="AX656" i="2" s="1"/>
  <c r="AJ656" i="2"/>
  <c r="AW656" i="2" s="1"/>
  <c r="AI656" i="2"/>
  <c r="AV656" i="2" s="1"/>
  <c r="AH656" i="2"/>
  <c r="AU656" i="2" s="1"/>
  <c r="AG656" i="2"/>
  <c r="AT656" i="2" s="1"/>
  <c r="AF656" i="2"/>
  <c r="AS656" i="2" s="1"/>
  <c r="AE656" i="2"/>
  <c r="AR656" i="2" s="1"/>
  <c r="AD656" i="2"/>
  <c r="AQ656" i="2" s="1"/>
  <c r="AA656" i="2"/>
  <c r="Z656" i="2"/>
  <c r="AP656" i="2" s="1"/>
  <c r="D656" i="2"/>
  <c r="A656" i="2"/>
  <c r="BC655" i="2"/>
  <c r="AP655" i="2"/>
  <c r="AO655" i="2"/>
  <c r="BB655" i="2" s="1"/>
  <c r="AN655" i="2"/>
  <c r="BA655" i="2" s="1"/>
  <c r="AM655" i="2"/>
  <c r="AZ655" i="2" s="1"/>
  <c r="AL655" i="2"/>
  <c r="AY655" i="2" s="1"/>
  <c r="AK655" i="2"/>
  <c r="AX655" i="2" s="1"/>
  <c r="AJ655" i="2"/>
  <c r="AW655" i="2" s="1"/>
  <c r="AI655" i="2"/>
  <c r="AV655" i="2" s="1"/>
  <c r="AH655" i="2"/>
  <c r="AU655" i="2" s="1"/>
  <c r="AG655" i="2"/>
  <c r="AT655" i="2" s="1"/>
  <c r="AF655" i="2"/>
  <c r="AS655" i="2" s="1"/>
  <c r="AE655" i="2"/>
  <c r="AR655" i="2" s="1"/>
  <c r="AD655" i="2"/>
  <c r="AQ655" i="2" s="1"/>
  <c r="AA655" i="2"/>
  <c r="Z655" i="2"/>
  <c r="D655" i="2"/>
  <c r="A655" i="2"/>
  <c r="BC654" i="2"/>
  <c r="AO654" i="2"/>
  <c r="BB654" i="2" s="1"/>
  <c r="AN654" i="2"/>
  <c r="BA654" i="2" s="1"/>
  <c r="AM654" i="2"/>
  <c r="AZ654" i="2" s="1"/>
  <c r="AL654" i="2"/>
  <c r="AY654" i="2" s="1"/>
  <c r="AK654" i="2"/>
  <c r="AX654" i="2" s="1"/>
  <c r="AJ654" i="2"/>
  <c r="AW654" i="2" s="1"/>
  <c r="AI654" i="2"/>
  <c r="AV654" i="2" s="1"/>
  <c r="AH654" i="2"/>
  <c r="AU654" i="2" s="1"/>
  <c r="AG654" i="2"/>
  <c r="AT654" i="2" s="1"/>
  <c r="AF654" i="2"/>
  <c r="AS654" i="2" s="1"/>
  <c r="AE654" i="2"/>
  <c r="AR654" i="2" s="1"/>
  <c r="AD654" i="2"/>
  <c r="AQ654" i="2" s="1"/>
  <c r="AA654" i="2"/>
  <c r="Z654" i="2"/>
  <c r="AP654" i="2" s="1"/>
  <c r="D654" i="2"/>
  <c r="A654" i="2"/>
  <c r="BC653" i="2"/>
  <c r="AO653" i="2"/>
  <c r="BB653" i="2" s="1"/>
  <c r="AN653" i="2"/>
  <c r="BA653" i="2" s="1"/>
  <c r="AM653" i="2"/>
  <c r="AZ653" i="2" s="1"/>
  <c r="AL653" i="2"/>
  <c r="AY653" i="2" s="1"/>
  <c r="AK653" i="2"/>
  <c r="AX653" i="2" s="1"/>
  <c r="AJ653" i="2"/>
  <c r="AW653" i="2" s="1"/>
  <c r="AI653" i="2"/>
  <c r="AV653" i="2" s="1"/>
  <c r="AH653" i="2"/>
  <c r="AU653" i="2" s="1"/>
  <c r="AG653" i="2"/>
  <c r="AT653" i="2" s="1"/>
  <c r="AF653" i="2"/>
  <c r="AS653" i="2" s="1"/>
  <c r="AE653" i="2"/>
  <c r="AR653" i="2" s="1"/>
  <c r="AD653" i="2"/>
  <c r="AQ653" i="2" s="1"/>
  <c r="AA653" i="2"/>
  <c r="Z653" i="2"/>
  <c r="AP653" i="2" s="1"/>
  <c r="D653" i="2"/>
  <c r="A653" i="2"/>
  <c r="BC652" i="2"/>
  <c r="AO652" i="2"/>
  <c r="BB652" i="2" s="1"/>
  <c r="AN652" i="2"/>
  <c r="BA652" i="2" s="1"/>
  <c r="AM652" i="2"/>
  <c r="AZ652" i="2" s="1"/>
  <c r="AL652" i="2"/>
  <c r="AY652" i="2" s="1"/>
  <c r="AK652" i="2"/>
  <c r="AX652" i="2" s="1"/>
  <c r="AJ652" i="2"/>
  <c r="AW652" i="2" s="1"/>
  <c r="AI652" i="2"/>
  <c r="AV652" i="2" s="1"/>
  <c r="AH652" i="2"/>
  <c r="AU652" i="2" s="1"/>
  <c r="AG652" i="2"/>
  <c r="AT652" i="2" s="1"/>
  <c r="AF652" i="2"/>
  <c r="AS652" i="2" s="1"/>
  <c r="AE652" i="2"/>
  <c r="AR652" i="2" s="1"/>
  <c r="AD652" i="2"/>
  <c r="AQ652" i="2" s="1"/>
  <c r="AA652" i="2"/>
  <c r="Z652" i="2"/>
  <c r="AP652" i="2" s="1"/>
  <c r="D652" i="2"/>
  <c r="A652" i="2"/>
  <c r="BC651" i="2"/>
  <c r="AW651" i="2"/>
  <c r="AO651" i="2"/>
  <c r="BB651" i="2" s="1"/>
  <c r="AN651" i="2"/>
  <c r="BA651" i="2" s="1"/>
  <c r="AM651" i="2"/>
  <c r="AZ651" i="2" s="1"/>
  <c r="AL651" i="2"/>
  <c r="AY651" i="2" s="1"/>
  <c r="AK651" i="2"/>
  <c r="AX651" i="2" s="1"/>
  <c r="AJ651" i="2"/>
  <c r="AI651" i="2"/>
  <c r="AV651" i="2" s="1"/>
  <c r="AH651" i="2"/>
  <c r="AU651" i="2" s="1"/>
  <c r="AG651" i="2"/>
  <c r="AT651" i="2" s="1"/>
  <c r="AF651" i="2"/>
  <c r="AS651" i="2" s="1"/>
  <c r="AE651" i="2"/>
  <c r="AR651" i="2" s="1"/>
  <c r="AD651" i="2"/>
  <c r="AQ651" i="2" s="1"/>
  <c r="AA651" i="2"/>
  <c r="Z651" i="2"/>
  <c r="AP651" i="2" s="1"/>
  <c r="D651" i="2"/>
  <c r="A651" i="2"/>
  <c r="BC650" i="2"/>
  <c r="AO650" i="2"/>
  <c r="BB650" i="2" s="1"/>
  <c r="AN650" i="2"/>
  <c r="BA650" i="2" s="1"/>
  <c r="AM650" i="2"/>
  <c r="AZ650" i="2" s="1"/>
  <c r="AL650" i="2"/>
  <c r="AY650" i="2" s="1"/>
  <c r="AK650" i="2"/>
  <c r="AX650" i="2" s="1"/>
  <c r="AJ650" i="2"/>
  <c r="AW650" i="2" s="1"/>
  <c r="AI650" i="2"/>
  <c r="AV650" i="2" s="1"/>
  <c r="AH650" i="2"/>
  <c r="AU650" i="2" s="1"/>
  <c r="AG650" i="2"/>
  <c r="AT650" i="2" s="1"/>
  <c r="AF650" i="2"/>
  <c r="AS650" i="2" s="1"/>
  <c r="AE650" i="2"/>
  <c r="AR650" i="2" s="1"/>
  <c r="AD650" i="2"/>
  <c r="AQ650" i="2" s="1"/>
  <c r="AA650" i="2"/>
  <c r="Z650" i="2"/>
  <c r="AP650" i="2" s="1"/>
  <c r="D650" i="2"/>
  <c r="A650" i="2"/>
  <c r="BC649" i="2"/>
  <c r="AO649" i="2"/>
  <c r="BB649" i="2" s="1"/>
  <c r="AN649" i="2"/>
  <c r="BA649" i="2" s="1"/>
  <c r="AM649" i="2"/>
  <c r="AZ649" i="2" s="1"/>
  <c r="AL649" i="2"/>
  <c r="AY649" i="2" s="1"/>
  <c r="AK649" i="2"/>
  <c r="AX649" i="2" s="1"/>
  <c r="AJ649" i="2"/>
  <c r="AW649" i="2" s="1"/>
  <c r="AI649" i="2"/>
  <c r="AV649" i="2" s="1"/>
  <c r="AH649" i="2"/>
  <c r="AU649" i="2" s="1"/>
  <c r="AG649" i="2"/>
  <c r="AT649" i="2" s="1"/>
  <c r="AF649" i="2"/>
  <c r="AS649" i="2" s="1"/>
  <c r="AE649" i="2"/>
  <c r="AR649" i="2" s="1"/>
  <c r="AD649" i="2"/>
  <c r="AQ649" i="2" s="1"/>
  <c r="AA649" i="2"/>
  <c r="Z649" i="2"/>
  <c r="AP649" i="2" s="1"/>
  <c r="D649" i="2"/>
  <c r="A649" i="2"/>
  <c r="BC648" i="2"/>
  <c r="AO648" i="2"/>
  <c r="BB648" i="2" s="1"/>
  <c r="AN648" i="2"/>
  <c r="BA648" i="2" s="1"/>
  <c r="AM648" i="2"/>
  <c r="AZ648" i="2" s="1"/>
  <c r="AL648" i="2"/>
  <c r="AY648" i="2" s="1"/>
  <c r="AK648" i="2"/>
  <c r="AX648" i="2" s="1"/>
  <c r="AJ648" i="2"/>
  <c r="AW648" i="2" s="1"/>
  <c r="AI648" i="2"/>
  <c r="AV648" i="2" s="1"/>
  <c r="AH648" i="2"/>
  <c r="AU648" i="2" s="1"/>
  <c r="AG648" i="2"/>
  <c r="AT648" i="2" s="1"/>
  <c r="AF648" i="2"/>
  <c r="AS648" i="2" s="1"/>
  <c r="AE648" i="2"/>
  <c r="AR648" i="2" s="1"/>
  <c r="AD648" i="2"/>
  <c r="AQ648" i="2" s="1"/>
  <c r="AA648" i="2"/>
  <c r="Z648" i="2"/>
  <c r="AP648" i="2" s="1"/>
  <c r="D648" i="2"/>
  <c r="A648" i="2"/>
  <c r="BC647" i="2"/>
  <c r="AO647" i="2"/>
  <c r="BB647" i="2" s="1"/>
  <c r="AN647" i="2"/>
  <c r="BA647" i="2" s="1"/>
  <c r="AM647" i="2"/>
  <c r="AZ647" i="2" s="1"/>
  <c r="AL647" i="2"/>
  <c r="AY647" i="2" s="1"/>
  <c r="AK647" i="2"/>
  <c r="AX647" i="2" s="1"/>
  <c r="AJ647" i="2"/>
  <c r="AW647" i="2" s="1"/>
  <c r="AI647" i="2"/>
  <c r="AV647" i="2" s="1"/>
  <c r="AH647" i="2"/>
  <c r="AU647" i="2" s="1"/>
  <c r="AG647" i="2"/>
  <c r="AT647" i="2" s="1"/>
  <c r="AF647" i="2"/>
  <c r="AS647" i="2" s="1"/>
  <c r="AE647" i="2"/>
  <c r="AR647" i="2" s="1"/>
  <c r="AD647" i="2"/>
  <c r="AQ647" i="2" s="1"/>
  <c r="AA647" i="2"/>
  <c r="Z647" i="2"/>
  <c r="AP647" i="2" s="1"/>
  <c r="D647" i="2"/>
  <c r="A647" i="2"/>
  <c r="BC646" i="2"/>
  <c r="AO646" i="2"/>
  <c r="BB646" i="2" s="1"/>
  <c r="AN646" i="2"/>
  <c r="BA646" i="2" s="1"/>
  <c r="AM646" i="2"/>
  <c r="AZ646" i="2" s="1"/>
  <c r="AL646" i="2"/>
  <c r="AY646" i="2" s="1"/>
  <c r="AK646" i="2"/>
  <c r="AX646" i="2" s="1"/>
  <c r="AJ646" i="2"/>
  <c r="AW646" i="2" s="1"/>
  <c r="AI646" i="2"/>
  <c r="AV646" i="2" s="1"/>
  <c r="AH646" i="2"/>
  <c r="AU646" i="2" s="1"/>
  <c r="AG646" i="2"/>
  <c r="AT646" i="2" s="1"/>
  <c r="AF646" i="2"/>
  <c r="AS646" i="2" s="1"/>
  <c r="AE646" i="2"/>
  <c r="AR646" i="2" s="1"/>
  <c r="AD646" i="2"/>
  <c r="AQ646" i="2" s="1"/>
  <c r="AA646" i="2"/>
  <c r="Z646" i="2"/>
  <c r="AP646" i="2" s="1"/>
  <c r="D646" i="2"/>
  <c r="A646" i="2"/>
  <c r="BC645" i="2"/>
  <c r="AO645" i="2"/>
  <c r="BB645" i="2" s="1"/>
  <c r="AN645" i="2"/>
  <c r="BA645" i="2" s="1"/>
  <c r="AM645" i="2"/>
  <c r="AZ645" i="2" s="1"/>
  <c r="AL645" i="2"/>
  <c r="AY645" i="2" s="1"/>
  <c r="AK645" i="2"/>
  <c r="AX645" i="2" s="1"/>
  <c r="AJ645" i="2"/>
  <c r="AW645" i="2" s="1"/>
  <c r="AI645" i="2"/>
  <c r="AV645" i="2" s="1"/>
  <c r="AH645" i="2"/>
  <c r="AU645" i="2" s="1"/>
  <c r="AG645" i="2"/>
  <c r="AT645" i="2" s="1"/>
  <c r="AF645" i="2"/>
  <c r="AS645" i="2" s="1"/>
  <c r="AE645" i="2"/>
  <c r="AR645" i="2" s="1"/>
  <c r="AD645" i="2"/>
  <c r="AQ645" i="2" s="1"/>
  <c r="AA645" i="2"/>
  <c r="Z645" i="2"/>
  <c r="AP645" i="2" s="1"/>
  <c r="D645" i="2"/>
  <c r="A645" i="2"/>
  <c r="BC644" i="2"/>
  <c r="BB644" i="2"/>
  <c r="AO644" i="2"/>
  <c r="AN644" i="2"/>
  <c r="BA644" i="2" s="1"/>
  <c r="AM644" i="2"/>
  <c r="AZ644" i="2" s="1"/>
  <c r="AL644" i="2"/>
  <c r="AY644" i="2" s="1"/>
  <c r="AK644" i="2"/>
  <c r="AX644" i="2" s="1"/>
  <c r="AJ644" i="2"/>
  <c r="AW644" i="2" s="1"/>
  <c r="AI644" i="2"/>
  <c r="AV644" i="2" s="1"/>
  <c r="AH644" i="2"/>
  <c r="AU644" i="2" s="1"/>
  <c r="AG644" i="2"/>
  <c r="AT644" i="2" s="1"/>
  <c r="AF644" i="2"/>
  <c r="AS644" i="2" s="1"/>
  <c r="AE644" i="2"/>
  <c r="AR644" i="2" s="1"/>
  <c r="AD644" i="2"/>
  <c r="AQ644" i="2" s="1"/>
  <c r="AA644" i="2"/>
  <c r="Z644" i="2"/>
  <c r="AP644" i="2" s="1"/>
  <c r="D644" i="2"/>
  <c r="A644" i="2"/>
  <c r="BC643" i="2"/>
  <c r="AO643" i="2"/>
  <c r="BB643" i="2" s="1"/>
  <c r="AN643" i="2"/>
  <c r="BA643" i="2" s="1"/>
  <c r="AM643" i="2"/>
  <c r="AZ643" i="2" s="1"/>
  <c r="AL643" i="2"/>
  <c r="AY643" i="2" s="1"/>
  <c r="AK643" i="2"/>
  <c r="AX643" i="2" s="1"/>
  <c r="AJ643" i="2"/>
  <c r="AW643" i="2" s="1"/>
  <c r="AI643" i="2"/>
  <c r="AV643" i="2" s="1"/>
  <c r="AH643" i="2"/>
  <c r="AU643" i="2" s="1"/>
  <c r="AG643" i="2"/>
  <c r="AT643" i="2" s="1"/>
  <c r="AF643" i="2"/>
  <c r="AS643" i="2" s="1"/>
  <c r="AE643" i="2"/>
  <c r="AR643" i="2" s="1"/>
  <c r="AD643" i="2"/>
  <c r="AQ643" i="2" s="1"/>
  <c r="AA643" i="2"/>
  <c r="Z643" i="2"/>
  <c r="AP643" i="2" s="1"/>
  <c r="D643" i="2"/>
  <c r="A643" i="2"/>
  <c r="BC642" i="2"/>
  <c r="AO642" i="2"/>
  <c r="BB642" i="2" s="1"/>
  <c r="AN642" i="2"/>
  <c r="BA642" i="2" s="1"/>
  <c r="AM642" i="2"/>
  <c r="AZ642" i="2" s="1"/>
  <c r="AL642" i="2"/>
  <c r="AY642" i="2" s="1"/>
  <c r="AK642" i="2"/>
  <c r="AX642" i="2" s="1"/>
  <c r="AJ642" i="2"/>
  <c r="AW642" i="2" s="1"/>
  <c r="AI642" i="2"/>
  <c r="AV642" i="2" s="1"/>
  <c r="AH642" i="2"/>
  <c r="AU642" i="2" s="1"/>
  <c r="AG642" i="2"/>
  <c r="AT642" i="2" s="1"/>
  <c r="AF642" i="2"/>
  <c r="AS642" i="2" s="1"/>
  <c r="AE642" i="2"/>
  <c r="AR642" i="2" s="1"/>
  <c r="AD642" i="2"/>
  <c r="AQ642" i="2" s="1"/>
  <c r="AA642" i="2"/>
  <c r="Z642" i="2"/>
  <c r="AP642" i="2" s="1"/>
  <c r="D642" i="2"/>
  <c r="A642" i="2"/>
  <c r="BC641" i="2"/>
  <c r="AO641" i="2"/>
  <c r="BB641" i="2" s="1"/>
  <c r="AN641" i="2"/>
  <c r="BA641" i="2" s="1"/>
  <c r="AM641" i="2"/>
  <c r="AZ641" i="2" s="1"/>
  <c r="AL641" i="2"/>
  <c r="AY641" i="2" s="1"/>
  <c r="AK641" i="2"/>
  <c r="AX641" i="2" s="1"/>
  <c r="AJ641" i="2"/>
  <c r="AW641" i="2" s="1"/>
  <c r="AI641" i="2"/>
  <c r="AV641" i="2" s="1"/>
  <c r="AH641" i="2"/>
  <c r="AU641" i="2" s="1"/>
  <c r="AG641" i="2"/>
  <c r="AT641" i="2" s="1"/>
  <c r="AF641" i="2"/>
  <c r="AS641" i="2" s="1"/>
  <c r="AE641" i="2"/>
  <c r="AR641" i="2" s="1"/>
  <c r="AD641" i="2"/>
  <c r="AQ641" i="2" s="1"/>
  <c r="AA641" i="2"/>
  <c r="Z641" i="2"/>
  <c r="AP641" i="2" s="1"/>
  <c r="D641" i="2"/>
  <c r="A641" i="2"/>
  <c r="BC640" i="2"/>
  <c r="AO640" i="2"/>
  <c r="BB640" i="2" s="1"/>
  <c r="AN640" i="2"/>
  <c r="BA640" i="2" s="1"/>
  <c r="AM640" i="2"/>
  <c r="AZ640" i="2" s="1"/>
  <c r="AL640" i="2"/>
  <c r="AY640" i="2" s="1"/>
  <c r="AK640" i="2"/>
  <c r="AX640" i="2" s="1"/>
  <c r="AJ640" i="2"/>
  <c r="AW640" i="2" s="1"/>
  <c r="AI640" i="2"/>
  <c r="AV640" i="2" s="1"/>
  <c r="AH640" i="2"/>
  <c r="AU640" i="2" s="1"/>
  <c r="AG640" i="2"/>
  <c r="AT640" i="2" s="1"/>
  <c r="AF640" i="2"/>
  <c r="AS640" i="2" s="1"/>
  <c r="AE640" i="2"/>
  <c r="AR640" i="2" s="1"/>
  <c r="AD640" i="2"/>
  <c r="AQ640" i="2" s="1"/>
  <c r="AA640" i="2"/>
  <c r="Z640" i="2"/>
  <c r="AP640" i="2" s="1"/>
  <c r="D640" i="2"/>
  <c r="A640" i="2"/>
  <c r="BC639" i="2"/>
  <c r="AO639" i="2"/>
  <c r="BB639" i="2" s="1"/>
  <c r="AN639" i="2"/>
  <c r="BA639" i="2" s="1"/>
  <c r="AM639" i="2"/>
  <c r="AZ639" i="2" s="1"/>
  <c r="AL639" i="2"/>
  <c r="AY639" i="2" s="1"/>
  <c r="AK639" i="2"/>
  <c r="AX639" i="2" s="1"/>
  <c r="AJ639" i="2"/>
  <c r="AW639" i="2" s="1"/>
  <c r="AI639" i="2"/>
  <c r="AV639" i="2" s="1"/>
  <c r="AH639" i="2"/>
  <c r="AU639" i="2" s="1"/>
  <c r="AG639" i="2"/>
  <c r="AT639" i="2" s="1"/>
  <c r="AF639" i="2"/>
  <c r="AS639" i="2" s="1"/>
  <c r="AE639" i="2"/>
  <c r="AR639" i="2" s="1"/>
  <c r="AD639" i="2"/>
  <c r="AQ639" i="2" s="1"/>
  <c r="AA639" i="2"/>
  <c r="Z639" i="2"/>
  <c r="AP639" i="2" s="1"/>
  <c r="D639" i="2"/>
  <c r="A639" i="2"/>
  <c r="BC638" i="2"/>
  <c r="AZ638" i="2"/>
  <c r="AO638" i="2"/>
  <c r="BB638" i="2" s="1"/>
  <c r="AN638" i="2"/>
  <c r="BA638" i="2" s="1"/>
  <c r="AM638" i="2"/>
  <c r="AL638" i="2"/>
  <c r="AY638" i="2" s="1"/>
  <c r="AK638" i="2"/>
  <c r="AX638" i="2" s="1"/>
  <c r="AJ638" i="2"/>
  <c r="AW638" i="2" s="1"/>
  <c r="AI638" i="2"/>
  <c r="AV638" i="2" s="1"/>
  <c r="AH638" i="2"/>
  <c r="AU638" i="2" s="1"/>
  <c r="AG638" i="2"/>
  <c r="AT638" i="2" s="1"/>
  <c r="AF638" i="2"/>
  <c r="AS638" i="2" s="1"/>
  <c r="AE638" i="2"/>
  <c r="AR638" i="2" s="1"/>
  <c r="AD638" i="2"/>
  <c r="AQ638" i="2" s="1"/>
  <c r="AA638" i="2"/>
  <c r="Z638" i="2"/>
  <c r="AP638" i="2" s="1"/>
  <c r="D638" i="2"/>
  <c r="A638" i="2"/>
  <c r="BC637" i="2"/>
  <c r="BB637" i="2"/>
  <c r="AX637" i="2"/>
  <c r="AT637" i="2"/>
  <c r="AO637" i="2"/>
  <c r="AN637" i="2"/>
  <c r="BA637" i="2" s="1"/>
  <c r="AM637" i="2"/>
  <c r="AZ637" i="2" s="1"/>
  <c r="AL637" i="2"/>
  <c r="AY637" i="2" s="1"/>
  <c r="AK637" i="2"/>
  <c r="AJ637" i="2"/>
  <c r="AW637" i="2" s="1"/>
  <c r="AI637" i="2"/>
  <c r="AV637" i="2" s="1"/>
  <c r="AH637" i="2"/>
  <c r="AU637" i="2" s="1"/>
  <c r="AG637" i="2"/>
  <c r="AF637" i="2"/>
  <c r="AS637" i="2" s="1"/>
  <c r="AE637" i="2"/>
  <c r="AR637" i="2" s="1"/>
  <c r="AD637" i="2"/>
  <c r="AQ637" i="2" s="1"/>
  <c r="AA637" i="2"/>
  <c r="Z637" i="2"/>
  <c r="AP637" i="2" s="1"/>
  <c r="D637" i="2"/>
  <c r="A637" i="2"/>
  <c r="BC636" i="2"/>
  <c r="AO636" i="2"/>
  <c r="BB636" i="2" s="1"/>
  <c r="AN636" i="2"/>
  <c r="BA636" i="2" s="1"/>
  <c r="AM636" i="2"/>
  <c r="AZ636" i="2" s="1"/>
  <c r="AL636" i="2"/>
  <c r="AY636" i="2" s="1"/>
  <c r="AK636" i="2"/>
  <c r="AX636" i="2" s="1"/>
  <c r="AJ636" i="2"/>
  <c r="AW636" i="2" s="1"/>
  <c r="AI636" i="2"/>
  <c r="AV636" i="2" s="1"/>
  <c r="AH636" i="2"/>
  <c r="AU636" i="2" s="1"/>
  <c r="AG636" i="2"/>
  <c r="AT636" i="2" s="1"/>
  <c r="AF636" i="2"/>
  <c r="AS636" i="2" s="1"/>
  <c r="AE636" i="2"/>
  <c r="AR636" i="2" s="1"/>
  <c r="AD636" i="2"/>
  <c r="AQ636" i="2" s="1"/>
  <c r="AA636" i="2"/>
  <c r="Z636" i="2"/>
  <c r="AP636" i="2" s="1"/>
  <c r="D636" i="2"/>
  <c r="A636" i="2"/>
  <c r="BC635" i="2"/>
  <c r="AO635" i="2"/>
  <c r="BB635" i="2" s="1"/>
  <c r="AN635" i="2"/>
  <c r="BA635" i="2" s="1"/>
  <c r="AM635" i="2"/>
  <c r="AZ635" i="2" s="1"/>
  <c r="AL635" i="2"/>
  <c r="AY635" i="2" s="1"/>
  <c r="AK635" i="2"/>
  <c r="AX635" i="2" s="1"/>
  <c r="AJ635" i="2"/>
  <c r="AW635" i="2" s="1"/>
  <c r="AI635" i="2"/>
  <c r="AV635" i="2" s="1"/>
  <c r="AH635" i="2"/>
  <c r="AU635" i="2" s="1"/>
  <c r="AG635" i="2"/>
  <c r="AT635" i="2" s="1"/>
  <c r="AF635" i="2"/>
  <c r="AS635" i="2" s="1"/>
  <c r="AE635" i="2"/>
  <c r="AR635" i="2" s="1"/>
  <c r="AD635" i="2"/>
  <c r="AQ635" i="2" s="1"/>
  <c r="AA635" i="2"/>
  <c r="Z635" i="2"/>
  <c r="AP635" i="2" s="1"/>
  <c r="D635" i="2"/>
  <c r="A635" i="2"/>
  <c r="BC634" i="2"/>
  <c r="AZ634" i="2"/>
  <c r="AO634" i="2"/>
  <c r="BB634" i="2" s="1"/>
  <c r="AN634" i="2"/>
  <c r="BA634" i="2" s="1"/>
  <c r="AM634" i="2"/>
  <c r="AL634" i="2"/>
  <c r="AY634" i="2" s="1"/>
  <c r="AK634" i="2"/>
  <c r="AX634" i="2" s="1"/>
  <c r="AJ634" i="2"/>
  <c r="AW634" i="2" s="1"/>
  <c r="AI634" i="2"/>
  <c r="AV634" i="2" s="1"/>
  <c r="AH634" i="2"/>
  <c r="AU634" i="2" s="1"/>
  <c r="AG634" i="2"/>
  <c r="AT634" i="2" s="1"/>
  <c r="AF634" i="2"/>
  <c r="AS634" i="2" s="1"/>
  <c r="AE634" i="2"/>
  <c r="AR634" i="2" s="1"/>
  <c r="AD634" i="2"/>
  <c r="AQ634" i="2" s="1"/>
  <c r="AA634" i="2"/>
  <c r="Z634" i="2"/>
  <c r="AP634" i="2" s="1"/>
  <c r="D634" i="2"/>
  <c r="A634" i="2"/>
  <c r="BC633" i="2"/>
  <c r="AO633" i="2"/>
  <c r="BB633" i="2" s="1"/>
  <c r="AN633" i="2"/>
  <c r="BA633" i="2" s="1"/>
  <c r="AM633" i="2"/>
  <c r="AZ633" i="2" s="1"/>
  <c r="AL633" i="2"/>
  <c r="AY633" i="2" s="1"/>
  <c r="AK633" i="2"/>
  <c r="AX633" i="2" s="1"/>
  <c r="AJ633" i="2"/>
  <c r="AW633" i="2" s="1"/>
  <c r="AI633" i="2"/>
  <c r="AV633" i="2" s="1"/>
  <c r="AH633" i="2"/>
  <c r="AU633" i="2" s="1"/>
  <c r="AG633" i="2"/>
  <c r="AT633" i="2" s="1"/>
  <c r="AF633" i="2"/>
  <c r="AS633" i="2" s="1"/>
  <c r="AE633" i="2"/>
  <c r="AR633" i="2" s="1"/>
  <c r="AD633" i="2"/>
  <c r="AQ633" i="2" s="1"/>
  <c r="AA633" i="2"/>
  <c r="Z633" i="2"/>
  <c r="AP633" i="2" s="1"/>
  <c r="D633" i="2"/>
  <c r="A633" i="2"/>
  <c r="BC632" i="2"/>
  <c r="AO632" i="2"/>
  <c r="BB632" i="2" s="1"/>
  <c r="AN632" i="2"/>
  <c r="BA632" i="2" s="1"/>
  <c r="AM632" i="2"/>
  <c r="AZ632" i="2" s="1"/>
  <c r="AL632" i="2"/>
  <c r="AY632" i="2" s="1"/>
  <c r="AK632" i="2"/>
  <c r="AX632" i="2" s="1"/>
  <c r="AJ632" i="2"/>
  <c r="AW632" i="2" s="1"/>
  <c r="AI632" i="2"/>
  <c r="AV632" i="2" s="1"/>
  <c r="AH632" i="2"/>
  <c r="AU632" i="2" s="1"/>
  <c r="AG632" i="2"/>
  <c r="AT632" i="2" s="1"/>
  <c r="AF632" i="2"/>
  <c r="AS632" i="2" s="1"/>
  <c r="AE632" i="2"/>
  <c r="AR632" i="2" s="1"/>
  <c r="AD632" i="2"/>
  <c r="AQ632" i="2" s="1"/>
  <c r="AA632" i="2"/>
  <c r="Z632" i="2"/>
  <c r="AP632" i="2" s="1"/>
  <c r="D632" i="2"/>
  <c r="A632" i="2"/>
  <c r="BC631" i="2"/>
  <c r="AO631" i="2"/>
  <c r="BB631" i="2" s="1"/>
  <c r="AN631" i="2"/>
  <c r="BA631" i="2" s="1"/>
  <c r="AM631" i="2"/>
  <c r="AZ631" i="2" s="1"/>
  <c r="AL631" i="2"/>
  <c r="AY631" i="2" s="1"/>
  <c r="AK631" i="2"/>
  <c r="AX631" i="2" s="1"/>
  <c r="AJ631" i="2"/>
  <c r="AW631" i="2" s="1"/>
  <c r="AI631" i="2"/>
  <c r="AV631" i="2" s="1"/>
  <c r="AH631" i="2"/>
  <c r="AU631" i="2" s="1"/>
  <c r="AG631" i="2"/>
  <c r="AT631" i="2" s="1"/>
  <c r="AF631" i="2"/>
  <c r="AS631" i="2" s="1"/>
  <c r="AE631" i="2"/>
  <c r="AR631" i="2" s="1"/>
  <c r="AD631" i="2"/>
  <c r="AQ631" i="2" s="1"/>
  <c r="AA631" i="2"/>
  <c r="Z631" i="2"/>
  <c r="AP631" i="2" s="1"/>
  <c r="D631" i="2"/>
  <c r="A631" i="2"/>
  <c r="BC630" i="2"/>
  <c r="AO630" i="2"/>
  <c r="BB630" i="2" s="1"/>
  <c r="AN630" i="2"/>
  <c r="BA630" i="2" s="1"/>
  <c r="AM630" i="2"/>
  <c r="AZ630" i="2" s="1"/>
  <c r="AL630" i="2"/>
  <c r="AY630" i="2" s="1"/>
  <c r="AK630" i="2"/>
  <c r="AX630" i="2" s="1"/>
  <c r="AJ630" i="2"/>
  <c r="AW630" i="2" s="1"/>
  <c r="AI630" i="2"/>
  <c r="AV630" i="2" s="1"/>
  <c r="AH630" i="2"/>
  <c r="AU630" i="2" s="1"/>
  <c r="AG630" i="2"/>
  <c r="AT630" i="2" s="1"/>
  <c r="AF630" i="2"/>
  <c r="AS630" i="2" s="1"/>
  <c r="AE630" i="2"/>
  <c r="AR630" i="2" s="1"/>
  <c r="AD630" i="2"/>
  <c r="AQ630" i="2" s="1"/>
  <c r="AA630" i="2"/>
  <c r="Z630" i="2"/>
  <c r="AP630" i="2" s="1"/>
  <c r="D630" i="2"/>
  <c r="A630" i="2"/>
  <c r="BC629" i="2"/>
  <c r="BB629" i="2"/>
  <c r="AO629" i="2"/>
  <c r="AN629" i="2"/>
  <c r="BA629" i="2" s="1"/>
  <c r="AM629" i="2"/>
  <c r="AZ629" i="2" s="1"/>
  <c r="AL629" i="2"/>
  <c r="AY629" i="2" s="1"/>
  <c r="AK629" i="2"/>
  <c r="AX629" i="2" s="1"/>
  <c r="AJ629" i="2"/>
  <c r="AW629" i="2" s="1"/>
  <c r="AI629" i="2"/>
  <c r="AV629" i="2" s="1"/>
  <c r="AH629" i="2"/>
  <c r="AU629" i="2" s="1"/>
  <c r="AG629" i="2"/>
  <c r="AT629" i="2" s="1"/>
  <c r="AF629" i="2"/>
  <c r="AS629" i="2" s="1"/>
  <c r="AE629" i="2"/>
  <c r="AR629" i="2" s="1"/>
  <c r="AD629" i="2"/>
  <c r="AQ629" i="2" s="1"/>
  <c r="AA629" i="2"/>
  <c r="Z629" i="2"/>
  <c r="AP629" i="2" s="1"/>
  <c r="D629" i="2"/>
  <c r="A629" i="2"/>
  <c r="BC628" i="2"/>
  <c r="BB628" i="2"/>
  <c r="AO628" i="2"/>
  <c r="AN628" i="2"/>
  <c r="BA628" i="2" s="1"/>
  <c r="AM628" i="2"/>
  <c r="AZ628" i="2" s="1"/>
  <c r="AL628" i="2"/>
  <c r="AY628" i="2" s="1"/>
  <c r="AK628" i="2"/>
  <c r="AX628" i="2" s="1"/>
  <c r="AJ628" i="2"/>
  <c r="AW628" i="2" s="1"/>
  <c r="AI628" i="2"/>
  <c r="AV628" i="2" s="1"/>
  <c r="AH628" i="2"/>
  <c r="AU628" i="2" s="1"/>
  <c r="AG628" i="2"/>
  <c r="AT628" i="2" s="1"/>
  <c r="AF628" i="2"/>
  <c r="AS628" i="2" s="1"/>
  <c r="AE628" i="2"/>
  <c r="AR628" i="2" s="1"/>
  <c r="AD628" i="2"/>
  <c r="AQ628" i="2" s="1"/>
  <c r="AA628" i="2"/>
  <c r="Z628" i="2"/>
  <c r="AP628" i="2" s="1"/>
  <c r="D628" i="2"/>
  <c r="A628" i="2"/>
  <c r="BC627" i="2"/>
  <c r="AO627" i="2"/>
  <c r="BB627" i="2" s="1"/>
  <c r="AN627" i="2"/>
  <c r="BA627" i="2" s="1"/>
  <c r="AM627" i="2"/>
  <c r="AZ627" i="2" s="1"/>
  <c r="AL627" i="2"/>
  <c r="AY627" i="2" s="1"/>
  <c r="AK627" i="2"/>
  <c r="AX627" i="2" s="1"/>
  <c r="AJ627" i="2"/>
  <c r="AW627" i="2" s="1"/>
  <c r="AI627" i="2"/>
  <c r="AV627" i="2" s="1"/>
  <c r="AH627" i="2"/>
  <c r="AU627" i="2" s="1"/>
  <c r="AG627" i="2"/>
  <c r="AT627" i="2" s="1"/>
  <c r="AF627" i="2"/>
  <c r="AS627" i="2" s="1"/>
  <c r="AE627" i="2"/>
  <c r="AR627" i="2" s="1"/>
  <c r="AD627" i="2"/>
  <c r="AQ627" i="2" s="1"/>
  <c r="AA627" i="2"/>
  <c r="Z627" i="2"/>
  <c r="AP627" i="2" s="1"/>
  <c r="D627" i="2"/>
  <c r="A627" i="2"/>
  <c r="BC626" i="2"/>
  <c r="AZ626" i="2"/>
  <c r="AO626" i="2"/>
  <c r="BB626" i="2" s="1"/>
  <c r="AN626" i="2"/>
  <c r="BA626" i="2" s="1"/>
  <c r="AM626" i="2"/>
  <c r="AL626" i="2"/>
  <c r="AY626" i="2" s="1"/>
  <c r="AK626" i="2"/>
  <c r="AX626" i="2" s="1"/>
  <c r="AJ626" i="2"/>
  <c r="AW626" i="2" s="1"/>
  <c r="AI626" i="2"/>
  <c r="AV626" i="2" s="1"/>
  <c r="AH626" i="2"/>
  <c r="AU626" i="2" s="1"/>
  <c r="AG626" i="2"/>
  <c r="AT626" i="2" s="1"/>
  <c r="AF626" i="2"/>
  <c r="AS626" i="2" s="1"/>
  <c r="AE626" i="2"/>
  <c r="AR626" i="2" s="1"/>
  <c r="AD626" i="2"/>
  <c r="AQ626" i="2" s="1"/>
  <c r="AA626" i="2"/>
  <c r="Z626" i="2"/>
  <c r="AP626" i="2" s="1"/>
  <c r="D626" i="2"/>
  <c r="A626" i="2"/>
  <c r="BC625" i="2"/>
  <c r="AO625" i="2"/>
  <c r="BB625" i="2" s="1"/>
  <c r="AN625" i="2"/>
  <c r="BA625" i="2" s="1"/>
  <c r="AM625" i="2"/>
  <c r="AZ625" i="2" s="1"/>
  <c r="AL625" i="2"/>
  <c r="AY625" i="2" s="1"/>
  <c r="AK625" i="2"/>
  <c r="AX625" i="2" s="1"/>
  <c r="AJ625" i="2"/>
  <c r="AW625" i="2" s="1"/>
  <c r="AI625" i="2"/>
  <c r="AV625" i="2" s="1"/>
  <c r="AH625" i="2"/>
  <c r="AU625" i="2" s="1"/>
  <c r="AG625" i="2"/>
  <c r="AT625" i="2" s="1"/>
  <c r="AF625" i="2"/>
  <c r="AS625" i="2" s="1"/>
  <c r="AE625" i="2"/>
  <c r="AR625" i="2" s="1"/>
  <c r="AD625" i="2"/>
  <c r="AQ625" i="2" s="1"/>
  <c r="AA625" i="2"/>
  <c r="Z625" i="2"/>
  <c r="AP625" i="2" s="1"/>
  <c r="D625" i="2"/>
  <c r="A625" i="2"/>
  <c r="BC624" i="2"/>
  <c r="AO624" i="2"/>
  <c r="BB624" i="2" s="1"/>
  <c r="AN624" i="2"/>
  <c r="BA624" i="2" s="1"/>
  <c r="AM624" i="2"/>
  <c r="AZ624" i="2" s="1"/>
  <c r="AL624" i="2"/>
  <c r="AY624" i="2" s="1"/>
  <c r="AK624" i="2"/>
  <c r="AX624" i="2" s="1"/>
  <c r="AJ624" i="2"/>
  <c r="AW624" i="2" s="1"/>
  <c r="AI624" i="2"/>
  <c r="AV624" i="2" s="1"/>
  <c r="AH624" i="2"/>
  <c r="AU624" i="2" s="1"/>
  <c r="AG624" i="2"/>
  <c r="AT624" i="2" s="1"/>
  <c r="AF624" i="2"/>
  <c r="AS624" i="2" s="1"/>
  <c r="AE624" i="2"/>
  <c r="AR624" i="2" s="1"/>
  <c r="AD624" i="2"/>
  <c r="AQ624" i="2" s="1"/>
  <c r="AA624" i="2"/>
  <c r="Z624" i="2"/>
  <c r="AP624" i="2" s="1"/>
  <c r="D624" i="2"/>
  <c r="A624" i="2"/>
  <c r="BC623" i="2"/>
  <c r="AO623" i="2"/>
  <c r="BB623" i="2" s="1"/>
  <c r="AN623" i="2"/>
  <c r="BA623" i="2" s="1"/>
  <c r="AM623" i="2"/>
  <c r="AZ623" i="2" s="1"/>
  <c r="AL623" i="2"/>
  <c r="AY623" i="2" s="1"/>
  <c r="AK623" i="2"/>
  <c r="AX623" i="2" s="1"/>
  <c r="AJ623" i="2"/>
  <c r="AW623" i="2" s="1"/>
  <c r="AI623" i="2"/>
  <c r="AV623" i="2" s="1"/>
  <c r="AH623" i="2"/>
  <c r="AU623" i="2" s="1"/>
  <c r="AG623" i="2"/>
  <c r="AT623" i="2" s="1"/>
  <c r="AF623" i="2"/>
  <c r="AS623" i="2" s="1"/>
  <c r="AE623" i="2"/>
  <c r="AR623" i="2" s="1"/>
  <c r="AD623" i="2"/>
  <c r="AQ623" i="2" s="1"/>
  <c r="AA623" i="2"/>
  <c r="Z623" i="2"/>
  <c r="AP623" i="2" s="1"/>
  <c r="D623" i="2"/>
  <c r="A623" i="2"/>
  <c r="BC622" i="2"/>
  <c r="AR622" i="2"/>
  <c r="AO622" i="2"/>
  <c r="BB622" i="2" s="1"/>
  <c r="AN622" i="2"/>
  <c r="BA622" i="2" s="1"/>
  <c r="AM622" i="2"/>
  <c r="AZ622" i="2" s="1"/>
  <c r="AL622" i="2"/>
  <c r="AY622" i="2" s="1"/>
  <c r="AK622" i="2"/>
  <c r="AX622" i="2" s="1"/>
  <c r="AJ622" i="2"/>
  <c r="AW622" i="2" s="1"/>
  <c r="AI622" i="2"/>
  <c r="AV622" i="2" s="1"/>
  <c r="AH622" i="2"/>
  <c r="AU622" i="2" s="1"/>
  <c r="AG622" i="2"/>
  <c r="AT622" i="2" s="1"/>
  <c r="AF622" i="2"/>
  <c r="AS622" i="2" s="1"/>
  <c r="AE622" i="2"/>
  <c r="AD622" i="2"/>
  <c r="AQ622" i="2" s="1"/>
  <c r="AA622" i="2"/>
  <c r="Z622" i="2"/>
  <c r="AP622" i="2" s="1"/>
  <c r="D622" i="2"/>
  <c r="A622" i="2"/>
  <c r="BC621" i="2"/>
  <c r="AO621" i="2"/>
  <c r="BB621" i="2" s="1"/>
  <c r="AN621" i="2"/>
  <c r="BA621" i="2" s="1"/>
  <c r="AM621" i="2"/>
  <c r="AZ621" i="2" s="1"/>
  <c r="AL621" i="2"/>
  <c r="AY621" i="2" s="1"/>
  <c r="AK621" i="2"/>
  <c r="AX621" i="2" s="1"/>
  <c r="AJ621" i="2"/>
  <c r="AW621" i="2" s="1"/>
  <c r="AI621" i="2"/>
  <c r="AV621" i="2" s="1"/>
  <c r="AH621" i="2"/>
  <c r="AU621" i="2" s="1"/>
  <c r="AG621" i="2"/>
  <c r="AT621" i="2" s="1"/>
  <c r="AF621" i="2"/>
  <c r="AS621" i="2" s="1"/>
  <c r="AE621" i="2"/>
  <c r="AR621" i="2" s="1"/>
  <c r="AD621" i="2"/>
  <c r="AQ621" i="2" s="1"/>
  <c r="AA621" i="2"/>
  <c r="Z621" i="2"/>
  <c r="AP621" i="2" s="1"/>
  <c r="D621" i="2"/>
  <c r="A621" i="2"/>
  <c r="BC620" i="2"/>
  <c r="AO620" i="2"/>
  <c r="BB620" i="2" s="1"/>
  <c r="AN620" i="2"/>
  <c r="BA620" i="2" s="1"/>
  <c r="AM620" i="2"/>
  <c r="AZ620" i="2" s="1"/>
  <c r="AL620" i="2"/>
  <c r="AY620" i="2" s="1"/>
  <c r="AK620" i="2"/>
  <c r="AX620" i="2" s="1"/>
  <c r="AJ620" i="2"/>
  <c r="AW620" i="2" s="1"/>
  <c r="AI620" i="2"/>
  <c r="AV620" i="2" s="1"/>
  <c r="AH620" i="2"/>
  <c r="AU620" i="2" s="1"/>
  <c r="AG620" i="2"/>
  <c r="AT620" i="2" s="1"/>
  <c r="AF620" i="2"/>
  <c r="AS620" i="2" s="1"/>
  <c r="AE620" i="2"/>
  <c r="AR620" i="2" s="1"/>
  <c r="AD620" i="2"/>
  <c r="AQ620" i="2" s="1"/>
  <c r="AA620" i="2"/>
  <c r="Z620" i="2"/>
  <c r="AP620" i="2" s="1"/>
  <c r="D620" i="2"/>
  <c r="A620" i="2"/>
  <c r="BC619" i="2"/>
  <c r="AO619" i="2"/>
  <c r="BB619" i="2" s="1"/>
  <c r="AN619" i="2"/>
  <c r="BA619" i="2" s="1"/>
  <c r="AM619" i="2"/>
  <c r="AZ619" i="2" s="1"/>
  <c r="AL619" i="2"/>
  <c r="AY619" i="2" s="1"/>
  <c r="AK619" i="2"/>
  <c r="AX619" i="2" s="1"/>
  <c r="AJ619" i="2"/>
  <c r="AW619" i="2" s="1"/>
  <c r="AI619" i="2"/>
  <c r="AV619" i="2" s="1"/>
  <c r="AH619" i="2"/>
  <c r="AU619" i="2" s="1"/>
  <c r="AG619" i="2"/>
  <c r="AT619" i="2" s="1"/>
  <c r="AF619" i="2"/>
  <c r="AS619" i="2" s="1"/>
  <c r="AE619" i="2"/>
  <c r="AR619" i="2" s="1"/>
  <c r="AD619" i="2"/>
  <c r="AQ619" i="2" s="1"/>
  <c r="AA619" i="2"/>
  <c r="Z619" i="2"/>
  <c r="AP619" i="2" s="1"/>
  <c r="D619" i="2"/>
  <c r="A619" i="2"/>
  <c r="BC618" i="2"/>
  <c r="AO618" i="2"/>
  <c r="BB618" i="2" s="1"/>
  <c r="AN618" i="2"/>
  <c r="BA618" i="2" s="1"/>
  <c r="AM618" i="2"/>
  <c r="AZ618" i="2" s="1"/>
  <c r="AL618" i="2"/>
  <c r="AY618" i="2" s="1"/>
  <c r="AK618" i="2"/>
  <c r="AX618" i="2" s="1"/>
  <c r="AJ618" i="2"/>
  <c r="AW618" i="2" s="1"/>
  <c r="AI618" i="2"/>
  <c r="AV618" i="2" s="1"/>
  <c r="AH618" i="2"/>
  <c r="AU618" i="2" s="1"/>
  <c r="AG618" i="2"/>
  <c r="AT618" i="2" s="1"/>
  <c r="AF618" i="2"/>
  <c r="AS618" i="2" s="1"/>
  <c r="AE618" i="2"/>
  <c r="AR618" i="2" s="1"/>
  <c r="AD618" i="2"/>
  <c r="AQ618" i="2" s="1"/>
  <c r="AA618" i="2"/>
  <c r="Z618" i="2"/>
  <c r="AP618" i="2" s="1"/>
  <c r="D618" i="2"/>
  <c r="A618" i="2"/>
  <c r="BC617" i="2"/>
  <c r="AX617" i="2"/>
  <c r="AO617" i="2"/>
  <c r="BB617" i="2" s="1"/>
  <c r="AN617" i="2"/>
  <c r="BA617" i="2" s="1"/>
  <c r="AM617" i="2"/>
  <c r="AZ617" i="2" s="1"/>
  <c r="AL617" i="2"/>
  <c r="AY617" i="2" s="1"/>
  <c r="AK617" i="2"/>
  <c r="AJ617" i="2"/>
  <c r="AW617" i="2" s="1"/>
  <c r="AI617" i="2"/>
  <c r="AV617" i="2" s="1"/>
  <c r="AH617" i="2"/>
  <c r="AU617" i="2" s="1"/>
  <c r="AG617" i="2"/>
  <c r="AT617" i="2" s="1"/>
  <c r="AF617" i="2"/>
  <c r="AS617" i="2" s="1"/>
  <c r="AE617" i="2"/>
  <c r="AR617" i="2" s="1"/>
  <c r="AD617" i="2"/>
  <c r="AQ617" i="2" s="1"/>
  <c r="AA617" i="2"/>
  <c r="Z617" i="2"/>
  <c r="AP617" i="2" s="1"/>
  <c r="D617" i="2"/>
  <c r="A617" i="2"/>
  <c r="BC616" i="2"/>
  <c r="AO616" i="2"/>
  <c r="BB616" i="2" s="1"/>
  <c r="AN616" i="2"/>
  <c r="BA616" i="2" s="1"/>
  <c r="AM616" i="2"/>
  <c r="AZ616" i="2" s="1"/>
  <c r="AL616" i="2"/>
  <c r="AY616" i="2" s="1"/>
  <c r="AK616" i="2"/>
  <c r="AX616" i="2" s="1"/>
  <c r="AJ616" i="2"/>
  <c r="AW616" i="2" s="1"/>
  <c r="AI616" i="2"/>
  <c r="AV616" i="2" s="1"/>
  <c r="AH616" i="2"/>
  <c r="AU616" i="2" s="1"/>
  <c r="AG616" i="2"/>
  <c r="AT616" i="2" s="1"/>
  <c r="AF616" i="2"/>
  <c r="AS616" i="2" s="1"/>
  <c r="AE616" i="2"/>
  <c r="AR616" i="2" s="1"/>
  <c r="AD616" i="2"/>
  <c r="AQ616" i="2" s="1"/>
  <c r="AA616" i="2"/>
  <c r="Z616" i="2"/>
  <c r="AP616" i="2" s="1"/>
  <c r="D616" i="2"/>
  <c r="A616" i="2"/>
  <c r="BC615" i="2"/>
  <c r="AO615" i="2"/>
  <c r="BB615" i="2" s="1"/>
  <c r="AN615" i="2"/>
  <c r="BA615" i="2" s="1"/>
  <c r="AM615" i="2"/>
  <c r="AZ615" i="2" s="1"/>
  <c r="AL615" i="2"/>
  <c r="AY615" i="2" s="1"/>
  <c r="AK615" i="2"/>
  <c r="AX615" i="2" s="1"/>
  <c r="AJ615" i="2"/>
  <c r="AW615" i="2" s="1"/>
  <c r="AI615" i="2"/>
  <c r="AV615" i="2" s="1"/>
  <c r="AH615" i="2"/>
  <c r="AU615" i="2" s="1"/>
  <c r="AG615" i="2"/>
  <c r="AT615" i="2" s="1"/>
  <c r="AF615" i="2"/>
  <c r="AS615" i="2" s="1"/>
  <c r="AE615" i="2"/>
  <c r="AR615" i="2" s="1"/>
  <c r="AD615" i="2"/>
  <c r="AQ615" i="2" s="1"/>
  <c r="AA615" i="2"/>
  <c r="Z615" i="2"/>
  <c r="AP615" i="2" s="1"/>
  <c r="D615" i="2"/>
  <c r="A615" i="2"/>
  <c r="BC614" i="2"/>
  <c r="AZ614" i="2"/>
  <c r="AO614" i="2"/>
  <c r="BB614" i="2" s="1"/>
  <c r="AN614" i="2"/>
  <c r="BA614" i="2" s="1"/>
  <c r="AM614" i="2"/>
  <c r="AL614" i="2"/>
  <c r="AY614" i="2" s="1"/>
  <c r="AK614" i="2"/>
  <c r="AX614" i="2" s="1"/>
  <c r="AJ614" i="2"/>
  <c r="AW614" i="2" s="1"/>
  <c r="AI614" i="2"/>
  <c r="AV614" i="2" s="1"/>
  <c r="AH614" i="2"/>
  <c r="AU614" i="2" s="1"/>
  <c r="AG614" i="2"/>
  <c r="AT614" i="2" s="1"/>
  <c r="AF614" i="2"/>
  <c r="AS614" i="2" s="1"/>
  <c r="AE614" i="2"/>
  <c r="AR614" i="2" s="1"/>
  <c r="AD614" i="2"/>
  <c r="AQ614" i="2" s="1"/>
  <c r="AA614" i="2"/>
  <c r="Z614" i="2"/>
  <c r="AP614" i="2" s="1"/>
  <c r="D614" i="2"/>
  <c r="A614" i="2"/>
  <c r="BC613" i="2"/>
  <c r="AO613" i="2"/>
  <c r="BB613" i="2" s="1"/>
  <c r="AN613" i="2"/>
  <c r="BA613" i="2" s="1"/>
  <c r="AM613" i="2"/>
  <c r="AZ613" i="2" s="1"/>
  <c r="AL613" i="2"/>
  <c r="AY613" i="2" s="1"/>
  <c r="AK613" i="2"/>
  <c r="AX613" i="2" s="1"/>
  <c r="AJ613" i="2"/>
  <c r="AW613" i="2" s="1"/>
  <c r="AI613" i="2"/>
  <c r="AV613" i="2" s="1"/>
  <c r="AH613" i="2"/>
  <c r="AU613" i="2" s="1"/>
  <c r="AG613" i="2"/>
  <c r="AT613" i="2" s="1"/>
  <c r="AF613" i="2"/>
  <c r="AS613" i="2" s="1"/>
  <c r="AE613" i="2"/>
  <c r="AR613" i="2" s="1"/>
  <c r="AD613" i="2"/>
  <c r="AQ613" i="2" s="1"/>
  <c r="AA613" i="2"/>
  <c r="Z613" i="2"/>
  <c r="AP613" i="2" s="1"/>
  <c r="D613" i="2"/>
  <c r="A613" i="2"/>
  <c r="BC612" i="2"/>
  <c r="AO612" i="2"/>
  <c r="BB612" i="2" s="1"/>
  <c r="AN612" i="2"/>
  <c r="BA612" i="2" s="1"/>
  <c r="AM612" i="2"/>
  <c r="AZ612" i="2" s="1"/>
  <c r="AL612" i="2"/>
  <c r="AY612" i="2" s="1"/>
  <c r="AK612" i="2"/>
  <c r="AX612" i="2" s="1"/>
  <c r="AJ612" i="2"/>
  <c r="AW612" i="2" s="1"/>
  <c r="AI612" i="2"/>
  <c r="AV612" i="2" s="1"/>
  <c r="AH612" i="2"/>
  <c r="AU612" i="2" s="1"/>
  <c r="AG612" i="2"/>
  <c r="AT612" i="2" s="1"/>
  <c r="AF612" i="2"/>
  <c r="AS612" i="2" s="1"/>
  <c r="AE612" i="2"/>
  <c r="AR612" i="2" s="1"/>
  <c r="AD612" i="2"/>
  <c r="AQ612" i="2" s="1"/>
  <c r="AA612" i="2"/>
  <c r="Z612" i="2"/>
  <c r="AP612" i="2" s="1"/>
  <c r="D612" i="2"/>
  <c r="A612" i="2"/>
  <c r="BC611" i="2"/>
  <c r="AO611" i="2"/>
  <c r="BB611" i="2" s="1"/>
  <c r="AN611" i="2"/>
  <c r="BA611" i="2" s="1"/>
  <c r="AM611" i="2"/>
  <c r="AZ611" i="2" s="1"/>
  <c r="AL611" i="2"/>
  <c r="AY611" i="2" s="1"/>
  <c r="AK611" i="2"/>
  <c r="AX611" i="2" s="1"/>
  <c r="AJ611" i="2"/>
  <c r="AW611" i="2" s="1"/>
  <c r="AI611" i="2"/>
  <c r="AV611" i="2" s="1"/>
  <c r="AH611" i="2"/>
  <c r="AU611" i="2" s="1"/>
  <c r="AG611" i="2"/>
  <c r="AT611" i="2" s="1"/>
  <c r="AF611" i="2"/>
  <c r="AS611" i="2" s="1"/>
  <c r="AE611" i="2"/>
  <c r="AR611" i="2" s="1"/>
  <c r="AD611" i="2"/>
  <c r="AQ611" i="2" s="1"/>
  <c r="AA611" i="2"/>
  <c r="Z611" i="2"/>
  <c r="AP611" i="2" s="1"/>
  <c r="D611" i="2"/>
  <c r="A611" i="2"/>
  <c r="BC610" i="2"/>
  <c r="AR610" i="2"/>
  <c r="AO610" i="2"/>
  <c r="BB610" i="2" s="1"/>
  <c r="AN610" i="2"/>
  <c r="BA610" i="2" s="1"/>
  <c r="AM610" i="2"/>
  <c r="AZ610" i="2" s="1"/>
  <c r="AL610" i="2"/>
  <c r="AY610" i="2" s="1"/>
  <c r="AK610" i="2"/>
  <c r="AX610" i="2" s="1"/>
  <c r="AJ610" i="2"/>
  <c r="AW610" i="2" s="1"/>
  <c r="AI610" i="2"/>
  <c r="AV610" i="2" s="1"/>
  <c r="AH610" i="2"/>
  <c r="AU610" i="2" s="1"/>
  <c r="AG610" i="2"/>
  <c r="AT610" i="2" s="1"/>
  <c r="AF610" i="2"/>
  <c r="AS610" i="2" s="1"/>
  <c r="AE610" i="2"/>
  <c r="AD610" i="2"/>
  <c r="AQ610" i="2" s="1"/>
  <c r="AA610" i="2"/>
  <c r="Z610" i="2"/>
  <c r="AP610" i="2" s="1"/>
  <c r="D610" i="2"/>
  <c r="A610" i="2"/>
  <c r="BC609" i="2"/>
  <c r="AX609" i="2"/>
  <c r="AO609" i="2"/>
  <c r="BB609" i="2" s="1"/>
  <c r="AN609" i="2"/>
  <c r="BA609" i="2" s="1"/>
  <c r="AM609" i="2"/>
  <c r="AZ609" i="2" s="1"/>
  <c r="AL609" i="2"/>
  <c r="AY609" i="2" s="1"/>
  <c r="AK609" i="2"/>
  <c r="AJ609" i="2"/>
  <c r="AW609" i="2" s="1"/>
  <c r="AI609" i="2"/>
  <c r="AV609" i="2" s="1"/>
  <c r="AH609" i="2"/>
  <c r="AU609" i="2" s="1"/>
  <c r="AG609" i="2"/>
  <c r="AT609" i="2" s="1"/>
  <c r="AF609" i="2"/>
  <c r="AS609" i="2" s="1"/>
  <c r="AE609" i="2"/>
  <c r="AR609" i="2" s="1"/>
  <c r="AD609" i="2"/>
  <c r="AQ609" i="2" s="1"/>
  <c r="AA609" i="2"/>
  <c r="Z609" i="2"/>
  <c r="AP609" i="2" s="1"/>
  <c r="D609" i="2"/>
  <c r="A609" i="2"/>
  <c r="BC608" i="2"/>
  <c r="AO608" i="2"/>
  <c r="BB608" i="2" s="1"/>
  <c r="AN608" i="2"/>
  <c r="BA608" i="2" s="1"/>
  <c r="AM608" i="2"/>
  <c r="AZ608" i="2" s="1"/>
  <c r="AL608" i="2"/>
  <c r="AY608" i="2" s="1"/>
  <c r="AK608" i="2"/>
  <c r="AX608" i="2" s="1"/>
  <c r="AJ608" i="2"/>
  <c r="AW608" i="2" s="1"/>
  <c r="AI608" i="2"/>
  <c r="AV608" i="2" s="1"/>
  <c r="AH608" i="2"/>
  <c r="AU608" i="2" s="1"/>
  <c r="AG608" i="2"/>
  <c r="AT608" i="2" s="1"/>
  <c r="AF608" i="2"/>
  <c r="AS608" i="2" s="1"/>
  <c r="AE608" i="2"/>
  <c r="AR608" i="2" s="1"/>
  <c r="AD608" i="2"/>
  <c r="AQ608" i="2" s="1"/>
  <c r="AA608" i="2"/>
  <c r="Z608" i="2"/>
  <c r="AP608" i="2" s="1"/>
  <c r="D608" i="2"/>
  <c r="A608" i="2"/>
  <c r="BC607" i="2"/>
  <c r="AO607" i="2"/>
  <c r="BB607" i="2" s="1"/>
  <c r="AN607" i="2"/>
  <c r="BA607" i="2" s="1"/>
  <c r="AM607" i="2"/>
  <c r="AZ607" i="2" s="1"/>
  <c r="AL607" i="2"/>
  <c r="AY607" i="2" s="1"/>
  <c r="AK607" i="2"/>
  <c r="AX607" i="2" s="1"/>
  <c r="AJ607" i="2"/>
  <c r="AW607" i="2" s="1"/>
  <c r="AI607" i="2"/>
  <c r="AV607" i="2" s="1"/>
  <c r="AH607" i="2"/>
  <c r="AU607" i="2" s="1"/>
  <c r="AG607" i="2"/>
  <c r="AT607" i="2" s="1"/>
  <c r="AF607" i="2"/>
  <c r="AS607" i="2" s="1"/>
  <c r="AE607" i="2"/>
  <c r="AR607" i="2" s="1"/>
  <c r="AD607" i="2"/>
  <c r="AQ607" i="2" s="1"/>
  <c r="AA607" i="2"/>
  <c r="Z607" i="2"/>
  <c r="AP607" i="2" s="1"/>
  <c r="D607" i="2"/>
  <c r="A607" i="2"/>
  <c r="BC606" i="2"/>
  <c r="AO606" i="2"/>
  <c r="BB606" i="2" s="1"/>
  <c r="AN606" i="2"/>
  <c r="BA606" i="2" s="1"/>
  <c r="AM606" i="2"/>
  <c r="AZ606" i="2" s="1"/>
  <c r="AL606" i="2"/>
  <c r="AY606" i="2" s="1"/>
  <c r="AK606" i="2"/>
  <c r="AX606" i="2" s="1"/>
  <c r="AJ606" i="2"/>
  <c r="AW606" i="2" s="1"/>
  <c r="AI606" i="2"/>
  <c r="AV606" i="2" s="1"/>
  <c r="AH606" i="2"/>
  <c r="AU606" i="2" s="1"/>
  <c r="AG606" i="2"/>
  <c r="AT606" i="2" s="1"/>
  <c r="AF606" i="2"/>
  <c r="AS606" i="2" s="1"/>
  <c r="AE606" i="2"/>
  <c r="AR606" i="2" s="1"/>
  <c r="AD606" i="2"/>
  <c r="AQ606" i="2" s="1"/>
  <c r="AA606" i="2"/>
  <c r="Z606" i="2"/>
  <c r="AP606" i="2" s="1"/>
  <c r="D606" i="2"/>
  <c r="A606" i="2"/>
  <c r="BC605" i="2"/>
  <c r="AO605" i="2"/>
  <c r="BB605" i="2" s="1"/>
  <c r="AN605" i="2"/>
  <c r="BA605" i="2" s="1"/>
  <c r="AM605" i="2"/>
  <c r="AZ605" i="2" s="1"/>
  <c r="AL605" i="2"/>
  <c r="AY605" i="2" s="1"/>
  <c r="AK605" i="2"/>
  <c r="AX605" i="2" s="1"/>
  <c r="AJ605" i="2"/>
  <c r="AW605" i="2" s="1"/>
  <c r="AI605" i="2"/>
  <c r="AV605" i="2" s="1"/>
  <c r="AH605" i="2"/>
  <c r="AU605" i="2" s="1"/>
  <c r="AG605" i="2"/>
  <c r="AT605" i="2" s="1"/>
  <c r="AF605" i="2"/>
  <c r="AS605" i="2" s="1"/>
  <c r="AE605" i="2"/>
  <c r="AR605" i="2" s="1"/>
  <c r="AD605" i="2"/>
  <c r="AQ605" i="2" s="1"/>
  <c r="AA605" i="2"/>
  <c r="Z605" i="2"/>
  <c r="AP605" i="2" s="1"/>
  <c r="D605" i="2"/>
  <c r="A605" i="2"/>
  <c r="BC604" i="2"/>
  <c r="BB604" i="2"/>
  <c r="AO604" i="2"/>
  <c r="AN604" i="2"/>
  <c r="BA604" i="2" s="1"/>
  <c r="AM604" i="2"/>
  <c r="AZ604" i="2" s="1"/>
  <c r="AL604" i="2"/>
  <c r="AY604" i="2" s="1"/>
  <c r="AK604" i="2"/>
  <c r="AX604" i="2" s="1"/>
  <c r="AJ604" i="2"/>
  <c r="AW604" i="2" s="1"/>
  <c r="AI604" i="2"/>
  <c r="AV604" i="2" s="1"/>
  <c r="AH604" i="2"/>
  <c r="AU604" i="2" s="1"/>
  <c r="AG604" i="2"/>
  <c r="AT604" i="2" s="1"/>
  <c r="AF604" i="2"/>
  <c r="AS604" i="2" s="1"/>
  <c r="AE604" i="2"/>
  <c r="AR604" i="2" s="1"/>
  <c r="AD604" i="2"/>
  <c r="AQ604" i="2" s="1"/>
  <c r="AA604" i="2"/>
  <c r="Z604" i="2"/>
  <c r="AP604" i="2" s="1"/>
  <c r="D604" i="2"/>
  <c r="A604" i="2"/>
  <c r="BC603" i="2"/>
  <c r="AO603" i="2"/>
  <c r="BB603" i="2" s="1"/>
  <c r="AN603" i="2"/>
  <c r="BA603" i="2" s="1"/>
  <c r="AM603" i="2"/>
  <c r="AZ603" i="2" s="1"/>
  <c r="AL603" i="2"/>
  <c r="AY603" i="2" s="1"/>
  <c r="AK603" i="2"/>
  <c r="AX603" i="2" s="1"/>
  <c r="AJ603" i="2"/>
  <c r="AW603" i="2" s="1"/>
  <c r="AI603" i="2"/>
  <c r="AV603" i="2" s="1"/>
  <c r="AH603" i="2"/>
  <c r="AU603" i="2" s="1"/>
  <c r="AG603" i="2"/>
  <c r="AT603" i="2" s="1"/>
  <c r="AF603" i="2"/>
  <c r="AS603" i="2" s="1"/>
  <c r="AE603" i="2"/>
  <c r="AR603" i="2" s="1"/>
  <c r="AD603" i="2"/>
  <c r="AQ603" i="2" s="1"/>
  <c r="AA603" i="2"/>
  <c r="Z603" i="2"/>
  <c r="AP603" i="2" s="1"/>
  <c r="D603" i="2"/>
  <c r="A603" i="2"/>
  <c r="BC602" i="2"/>
  <c r="BB602" i="2"/>
  <c r="AR602" i="2"/>
  <c r="AO602" i="2"/>
  <c r="AN602" i="2"/>
  <c r="BA602" i="2" s="1"/>
  <c r="AM602" i="2"/>
  <c r="AZ602" i="2" s="1"/>
  <c r="AL602" i="2"/>
  <c r="AY602" i="2" s="1"/>
  <c r="AK602" i="2"/>
  <c r="AX602" i="2" s="1"/>
  <c r="AJ602" i="2"/>
  <c r="AW602" i="2" s="1"/>
  <c r="AI602" i="2"/>
  <c r="AV602" i="2" s="1"/>
  <c r="AH602" i="2"/>
  <c r="AU602" i="2" s="1"/>
  <c r="AG602" i="2"/>
  <c r="AT602" i="2" s="1"/>
  <c r="AF602" i="2"/>
  <c r="AS602" i="2" s="1"/>
  <c r="AE602" i="2"/>
  <c r="AD602" i="2"/>
  <c r="AQ602" i="2" s="1"/>
  <c r="AA602" i="2"/>
  <c r="Z602" i="2"/>
  <c r="AP602" i="2" s="1"/>
  <c r="D602" i="2"/>
  <c r="A602" i="2"/>
  <c r="BC601" i="2"/>
  <c r="AX601" i="2"/>
  <c r="AO601" i="2"/>
  <c r="BB601" i="2" s="1"/>
  <c r="AN601" i="2"/>
  <c r="BA601" i="2" s="1"/>
  <c r="AM601" i="2"/>
  <c r="AZ601" i="2" s="1"/>
  <c r="AL601" i="2"/>
  <c r="AY601" i="2" s="1"/>
  <c r="AK601" i="2"/>
  <c r="AJ601" i="2"/>
  <c r="AW601" i="2" s="1"/>
  <c r="AI601" i="2"/>
  <c r="AV601" i="2" s="1"/>
  <c r="AH601" i="2"/>
  <c r="AU601" i="2" s="1"/>
  <c r="AG601" i="2"/>
  <c r="AT601" i="2" s="1"/>
  <c r="AF601" i="2"/>
  <c r="AS601" i="2" s="1"/>
  <c r="AE601" i="2"/>
  <c r="AR601" i="2" s="1"/>
  <c r="AD601" i="2"/>
  <c r="AQ601" i="2" s="1"/>
  <c r="AA601" i="2"/>
  <c r="Z601" i="2"/>
  <c r="AP601" i="2" s="1"/>
  <c r="D601" i="2"/>
  <c r="A601" i="2"/>
  <c r="BC600" i="2"/>
  <c r="AO600" i="2"/>
  <c r="BB600" i="2" s="1"/>
  <c r="AN600" i="2"/>
  <c r="BA600" i="2" s="1"/>
  <c r="AM600" i="2"/>
  <c r="AZ600" i="2" s="1"/>
  <c r="AL600" i="2"/>
  <c r="AY600" i="2" s="1"/>
  <c r="AK600" i="2"/>
  <c r="AX600" i="2" s="1"/>
  <c r="AJ600" i="2"/>
  <c r="AW600" i="2" s="1"/>
  <c r="AI600" i="2"/>
  <c r="AV600" i="2" s="1"/>
  <c r="AH600" i="2"/>
  <c r="AU600" i="2" s="1"/>
  <c r="AG600" i="2"/>
  <c r="AT600" i="2" s="1"/>
  <c r="AF600" i="2"/>
  <c r="AS600" i="2" s="1"/>
  <c r="AE600" i="2"/>
  <c r="AR600" i="2" s="1"/>
  <c r="AD600" i="2"/>
  <c r="AQ600" i="2" s="1"/>
  <c r="AA600" i="2"/>
  <c r="Z600" i="2"/>
  <c r="AP600" i="2" s="1"/>
  <c r="D600" i="2"/>
  <c r="A600" i="2"/>
  <c r="BC599" i="2"/>
  <c r="AO599" i="2"/>
  <c r="BB599" i="2" s="1"/>
  <c r="AN599" i="2"/>
  <c r="BA599" i="2" s="1"/>
  <c r="AM599" i="2"/>
  <c r="AZ599" i="2" s="1"/>
  <c r="AL599" i="2"/>
  <c r="AY599" i="2" s="1"/>
  <c r="AK599" i="2"/>
  <c r="AX599" i="2" s="1"/>
  <c r="AJ599" i="2"/>
  <c r="AW599" i="2" s="1"/>
  <c r="AI599" i="2"/>
  <c r="AV599" i="2" s="1"/>
  <c r="AH599" i="2"/>
  <c r="AU599" i="2" s="1"/>
  <c r="AG599" i="2"/>
  <c r="AT599" i="2" s="1"/>
  <c r="AF599" i="2"/>
  <c r="AS599" i="2" s="1"/>
  <c r="AE599" i="2"/>
  <c r="AR599" i="2" s="1"/>
  <c r="AD599" i="2"/>
  <c r="AQ599" i="2" s="1"/>
  <c r="AA599" i="2"/>
  <c r="Z599" i="2"/>
  <c r="AP599" i="2" s="1"/>
  <c r="D599" i="2"/>
  <c r="A599" i="2"/>
  <c r="BC598" i="2"/>
  <c r="AO598" i="2"/>
  <c r="BB598" i="2" s="1"/>
  <c r="AN598" i="2"/>
  <c r="BA598" i="2" s="1"/>
  <c r="AM598" i="2"/>
  <c r="AZ598" i="2" s="1"/>
  <c r="AL598" i="2"/>
  <c r="AY598" i="2" s="1"/>
  <c r="AK598" i="2"/>
  <c r="AX598" i="2" s="1"/>
  <c r="AJ598" i="2"/>
  <c r="AW598" i="2" s="1"/>
  <c r="AI598" i="2"/>
  <c r="AV598" i="2" s="1"/>
  <c r="AH598" i="2"/>
  <c r="AU598" i="2" s="1"/>
  <c r="AG598" i="2"/>
  <c r="AT598" i="2" s="1"/>
  <c r="AF598" i="2"/>
  <c r="AS598" i="2" s="1"/>
  <c r="AE598" i="2"/>
  <c r="AR598" i="2" s="1"/>
  <c r="AD598" i="2"/>
  <c r="AQ598" i="2" s="1"/>
  <c r="AA598" i="2"/>
  <c r="Z598" i="2"/>
  <c r="AP598" i="2" s="1"/>
  <c r="D598" i="2"/>
  <c r="A598" i="2"/>
  <c r="BC597" i="2"/>
  <c r="AO597" i="2"/>
  <c r="BB597" i="2" s="1"/>
  <c r="AN597" i="2"/>
  <c r="BA597" i="2" s="1"/>
  <c r="AM597" i="2"/>
  <c r="AZ597" i="2" s="1"/>
  <c r="AL597" i="2"/>
  <c r="AY597" i="2" s="1"/>
  <c r="AK597" i="2"/>
  <c r="AX597" i="2" s="1"/>
  <c r="AJ597" i="2"/>
  <c r="AW597" i="2" s="1"/>
  <c r="AI597" i="2"/>
  <c r="AV597" i="2" s="1"/>
  <c r="AH597" i="2"/>
  <c r="AU597" i="2" s="1"/>
  <c r="AG597" i="2"/>
  <c r="AT597" i="2" s="1"/>
  <c r="AF597" i="2"/>
  <c r="AS597" i="2" s="1"/>
  <c r="AE597" i="2"/>
  <c r="AR597" i="2" s="1"/>
  <c r="AD597" i="2"/>
  <c r="AQ597" i="2" s="1"/>
  <c r="AA597" i="2"/>
  <c r="Z597" i="2"/>
  <c r="AP597" i="2" s="1"/>
  <c r="D597" i="2"/>
  <c r="A597" i="2"/>
  <c r="BC596" i="2"/>
  <c r="BB596" i="2"/>
  <c r="AO596" i="2"/>
  <c r="AN596" i="2"/>
  <c r="BA596" i="2" s="1"/>
  <c r="AM596" i="2"/>
  <c r="AZ596" i="2" s="1"/>
  <c r="AL596" i="2"/>
  <c r="AY596" i="2" s="1"/>
  <c r="AK596" i="2"/>
  <c r="AX596" i="2" s="1"/>
  <c r="AJ596" i="2"/>
  <c r="AW596" i="2" s="1"/>
  <c r="AI596" i="2"/>
  <c r="AV596" i="2" s="1"/>
  <c r="AH596" i="2"/>
  <c r="AU596" i="2" s="1"/>
  <c r="AG596" i="2"/>
  <c r="AT596" i="2" s="1"/>
  <c r="AF596" i="2"/>
  <c r="AS596" i="2" s="1"/>
  <c r="AE596" i="2"/>
  <c r="AR596" i="2" s="1"/>
  <c r="AD596" i="2"/>
  <c r="AQ596" i="2" s="1"/>
  <c r="AA596" i="2"/>
  <c r="Z596" i="2"/>
  <c r="AP596" i="2" s="1"/>
  <c r="D596" i="2"/>
  <c r="A596" i="2"/>
  <c r="BC595" i="2"/>
  <c r="AO595" i="2"/>
  <c r="BB595" i="2" s="1"/>
  <c r="AN595" i="2"/>
  <c r="BA595" i="2" s="1"/>
  <c r="AM595" i="2"/>
  <c r="AZ595" i="2" s="1"/>
  <c r="AL595" i="2"/>
  <c r="AY595" i="2" s="1"/>
  <c r="AK595" i="2"/>
  <c r="AX595" i="2" s="1"/>
  <c r="AJ595" i="2"/>
  <c r="AW595" i="2" s="1"/>
  <c r="AI595" i="2"/>
  <c r="AV595" i="2" s="1"/>
  <c r="AH595" i="2"/>
  <c r="AU595" i="2" s="1"/>
  <c r="AG595" i="2"/>
  <c r="AT595" i="2" s="1"/>
  <c r="AF595" i="2"/>
  <c r="AS595" i="2" s="1"/>
  <c r="AE595" i="2"/>
  <c r="AR595" i="2" s="1"/>
  <c r="AD595" i="2"/>
  <c r="AQ595" i="2" s="1"/>
  <c r="AA595" i="2"/>
  <c r="Z595" i="2"/>
  <c r="AP595" i="2" s="1"/>
  <c r="D595" i="2"/>
  <c r="A595" i="2"/>
  <c r="BC594" i="2"/>
  <c r="AZ594" i="2"/>
  <c r="AO594" i="2"/>
  <c r="BB594" i="2" s="1"/>
  <c r="AN594" i="2"/>
  <c r="BA594" i="2" s="1"/>
  <c r="AM594" i="2"/>
  <c r="AL594" i="2"/>
  <c r="AY594" i="2" s="1"/>
  <c r="AK594" i="2"/>
  <c r="AX594" i="2" s="1"/>
  <c r="AJ594" i="2"/>
  <c r="AW594" i="2" s="1"/>
  <c r="AI594" i="2"/>
  <c r="AV594" i="2" s="1"/>
  <c r="AH594" i="2"/>
  <c r="AU594" i="2" s="1"/>
  <c r="AG594" i="2"/>
  <c r="AT594" i="2" s="1"/>
  <c r="AF594" i="2"/>
  <c r="AS594" i="2" s="1"/>
  <c r="AE594" i="2"/>
  <c r="AR594" i="2" s="1"/>
  <c r="AD594" i="2"/>
  <c r="AQ594" i="2" s="1"/>
  <c r="AA594" i="2"/>
  <c r="Z594" i="2"/>
  <c r="AP594" i="2" s="1"/>
  <c r="D594" i="2"/>
  <c r="A594" i="2"/>
  <c r="BC593" i="2"/>
  <c r="AO593" i="2"/>
  <c r="BB593" i="2" s="1"/>
  <c r="AN593" i="2"/>
  <c r="BA593" i="2" s="1"/>
  <c r="AM593" i="2"/>
  <c r="AZ593" i="2" s="1"/>
  <c r="AL593" i="2"/>
  <c r="AY593" i="2" s="1"/>
  <c r="AK593" i="2"/>
  <c r="AX593" i="2" s="1"/>
  <c r="AJ593" i="2"/>
  <c r="AW593" i="2" s="1"/>
  <c r="AI593" i="2"/>
  <c r="AV593" i="2" s="1"/>
  <c r="AH593" i="2"/>
  <c r="AU593" i="2" s="1"/>
  <c r="AG593" i="2"/>
  <c r="AT593" i="2" s="1"/>
  <c r="AF593" i="2"/>
  <c r="AS593" i="2" s="1"/>
  <c r="AE593" i="2"/>
  <c r="AR593" i="2" s="1"/>
  <c r="AD593" i="2"/>
  <c r="AQ593" i="2" s="1"/>
  <c r="AA593" i="2"/>
  <c r="Z593" i="2"/>
  <c r="AP593" i="2" s="1"/>
  <c r="D593" i="2"/>
  <c r="A593" i="2"/>
  <c r="BC592" i="2"/>
  <c r="AO592" i="2"/>
  <c r="BB592" i="2" s="1"/>
  <c r="AN592" i="2"/>
  <c r="BA592" i="2" s="1"/>
  <c r="AM592" i="2"/>
  <c r="AZ592" i="2" s="1"/>
  <c r="AL592" i="2"/>
  <c r="AY592" i="2" s="1"/>
  <c r="AK592" i="2"/>
  <c r="AX592" i="2" s="1"/>
  <c r="AJ592" i="2"/>
  <c r="AW592" i="2" s="1"/>
  <c r="AI592" i="2"/>
  <c r="AV592" i="2" s="1"/>
  <c r="AH592" i="2"/>
  <c r="AU592" i="2" s="1"/>
  <c r="AG592" i="2"/>
  <c r="AT592" i="2" s="1"/>
  <c r="AF592" i="2"/>
  <c r="AS592" i="2" s="1"/>
  <c r="AE592" i="2"/>
  <c r="AR592" i="2" s="1"/>
  <c r="AD592" i="2"/>
  <c r="AQ592" i="2" s="1"/>
  <c r="AA592" i="2"/>
  <c r="Z592" i="2"/>
  <c r="AP592" i="2" s="1"/>
  <c r="D592" i="2"/>
  <c r="A592" i="2"/>
  <c r="BC591" i="2"/>
  <c r="AO591" i="2"/>
  <c r="BB591" i="2" s="1"/>
  <c r="AN591" i="2"/>
  <c r="BA591" i="2" s="1"/>
  <c r="AM591" i="2"/>
  <c r="AZ591" i="2" s="1"/>
  <c r="AL591" i="2"/>
  <c r="AY591" i="2" s="1"/>
  <c r="AK591" i="2"/>
  <c r="AX591" i="2" s="1"/>
  <c r="AJ591" i="2"/>
  <c r="AW591" i="2" s="1"/>
  <c r="AI591" i="2"/>
  <c r="AV591" i="2" s="1"/>
  <c r="AH591" i="2"/>
  <c r="AU591" i="2" s="1"/>
  <c r="AG591" i="2"/>
  <c r="AT591" i="2" s="1"/>
  <c r="AF591" i="2"/>
  <c r="AS591" i="2" s="1"/>
  <c r="AE591" i="2"/>
  <c r="AR591" i="2" s="1"/>
  <c r="AD591" i="2"/>
  <c r="AQ591" i="2" s="1"/>
  <c r="AA591" i="2"/>
  <c r="Z591" i="2"/>
  <c r="AP591" i="2" s="1"/>
  <c r="D591" i="2"/>
  <c r="A591" i="2"/>
  <c r="BC590" i="2"/>
  <c r="AZ590" i="2"/>
  <c r="AO590" i="2"/>
  <c r="BB590" i="2" s="1"/>
  <c r="AN590" i="2"/>
  <c r="BA590" i="2" s="1"/>
  <c r="AM590" i="2"/>
  <c r="AL590" i="2"/>
  <c r="AY590" i="2" s="1"/>
  <c r="AK590" i="2"/>
  <c r="AX590" i="2" s="1"/>
  <c r="AJ590" i="2"/>
  <c r="AW590" i="2" s="1"/>
  <c r="AI590" i="2"/>
  <c r="AV590" i="2" s="1"/>
  <c r="AH590" i="2"/>
  <c r="AU590" i="2" s="1"/>
  <c r="AG590" i="2"/>
  <c r="AT590" i="2" s="1"/>
  <c r="AF590" i="2"/>
  <c r="AS590" i="2" s="1"/>
  <c r="AE590" i="2"/>
  <c r="AR590" i="2" s="1"/>
  <c r="AD590" i="2"/>
  <c r="AQ590" i="2" s="1"/>
  <c r="AA590" i="2"/>
  <c r="Z590" i="2"/>
  <c r="AP590" i="2" s="1"/>
  <c r="D590" i="2"/>
  <c r="A590" i="2"/>
  <c r="BC589" i="2"/>
  <c r="BB589" i="2"/>
  <c r="AO589" i="2"/>
  <c r="AN589" i="2"/>
  <c r="BA589" i="2" s="1"/>
  <c r="AM589" i="2"/>
  <c r="AZ589" i="2" s="1"/>
  <c r="AL589" i="2"/>
  <c r="AY589" i="2" s="1"/>
  <c r="AK589" i="2"/>
  <c r="AX589" i="2" s="1"/>
  <c r="AJ589" i="2"/>
  <c r="AW589" i="2" s="1"/>
  <c r="AI589" i="2"/>
  <c r="AV589" i="2" s="1"/>
  <c r="AH589" i="2"/>
  <c r="AU589" i="2" s="1"/>
  <c r="AG589" i="2"/>
  <c r="AT589" i="2" s="1"/>
  <c r="AF589" i="2"/>
  <c r="AS589" i="2" s="1"/>
  <c r="AE589" i="2"/>
  <c r="AR589" i="2" s="1"/>
  <c r="AD589" i="2"/>
  <c r="AQ589" i="2" s="1"/>
  <c r="AA589" i="2"/>
  <c r="Z589" i="2"/>
  <c r="AP589" i="2" s="1"/>
  <c r="D589" i="2"/>
  <c r="A589" i="2"/>
  <c r="BC588" i="2"/>
  <c r="AO588" i="2"/>
  <c r="BB588" i="2" s="1"/>
  <c r="AN588" i="2"/>
  <c r="BA588" i="2" s="1"/>
  <c r="AM588" i="2"/>
  <c r="AZ588" i="2" s="1"/>
  <c r="AL588" i="2"/>
  <c r="AY588" i="2" s="1"/>
  <c r="AK588" i="2"/>
  <c r="AX588" i="2" s="1"/>
  <c r="AJ588" i="2"/>
  <c r="AW588" i="2" s="1"/>
  <c r="AI588" i="2"/>
  <c r="AV588" i="2" s="1"/>
  <c r="AH588" i="2"/>
  <c r="AU588" i="2" s="1"/>
  <c r="AG588" i="2"/>
  <c r="AT588" i="2" s="1"/>
  <c r="AF588" i="2"/>
  <c r="AS588" i="2" s="1"/>
  <c r="AE588" i="2"/>
  <c r="AR588" i="2" s="1"/>
  <c r="AD588" i="2"/>
  <c r="AQ588" i="2" s="1"/>
  <c r="AA588" i="2"/>
  <c r="Z588" i="2"/>
  <c r="AP588" i="2" s="1"/>
  <c r="D588" i="2"/>
  <c r="A588" i="2"/>
  <c r="BC587" i="2"/>
  <c r="AO587" i="2"/>
  <c r="BB587" i="2" s="1"/>
  <c r="AN587" i="2"/>
  <c r="BA587" i="2" s="1"/>
  <c r="AM587" i="2"/>
  <c r="AZ587" i="2" s="1"/>
  <c r="AL587" i="2"/>
  <c r="AY587" i="2" s="1"/>
  <c r="AK587" i="2"/>
  <c r="AX587" i="2" s="1"/>
  <c r="AJ587" i="2"/>
  <c r="AW587" i="2" s="1"/>
  <c r="AI587" i="2"/>
  <c r="AV587" i="2" s="1"/>
  <c r="AH587" i="2"/>
  <c r="AU587" i="2" s="1"/>
  <c r="AG587" i="2"/>
  <c r="AT587" i="2" s="1"/>
  <c r="AF587" i="2"/>
  <c r="AS587" i="2" s="1"/>
  <c r="AE587" i="2"/>
  <c r="AR587" i="2" s="1"/>
  <c r="AD587" i="2"/>
  <c r="AQ587" i="2" s="1"/>
  <c r="AA587" i="2"/>
  <c r="Z587" i="2"/>
  <c r="AP587" i="2" s="1"/>
  <c r="D587" i="2"/>
  <c r="A587" i="2"/>
  <c r="BC586" i="2"/>
  <c r="AZ586" i="2"/>
  <c r="AO586" i="2"/>
  <c r="BB586" i="2" s="1"/>
  <c r="AN586" i="2"/>
  <c r="BA586" i="2" s="1"/>
  <c r="AM586" i="2"/>
  <c r="AL586" i="2"/>
  <c r="AY586" i="2" s="1"/>
  <c r="AK586" i="2"/>
  <c r="AX586" i="2" s="1"/>
  <c r="AJ586" i="2"/>
  <c r="AW586" i="2" s="1"/>
  <c r="AI586" i="2"/>
  <c r="AV586" i="2" s="1"/>
  <c r="AH586" i="2"/>
  <c r="AU586" i="2" s="1"/>
  <c r="AG586" i="2"/>
  <c r="AT586" i="2" s="1"/>
  <c r="AF586" i="2"/>
  <c r="AS586" i="2" s="1"/>
  <c r="AE586" i="2"/>
  <c r="AR586" i="2" s="1"/>
  <c r="AD586" i="2"/>
  <c r="AQ586" i="2" s="1"/>
  <c r="AA586" i="2"/>
  <c r="Z586" i="2"/>
  <c r="AP586" i="2" s="1"/>
  <c r="D586" i="2"/>
  <c r="A586" i="2"/>
  <c r="BC585" i="2"/>
  <c r="AO585" i="2"/>
  <c r="BB585" i="2" s="1"/>
  <c r="AN585" i="2"/>
  <c r="BA585" i="2" s="1"/>
  <c r="AM585" i="2"/>
  <c r="AZ585" i="2" s="1"/>
  <c r="AL585" i="2"/>
  <c r="AY585" i="2" s="1"/>
  <c r="AK585" i="2"/>
  <c r="AX585" i="2" s="1"/>
  <c r="AJ585" i="2"/>
  <c r="AW585" i="2" s="1"/>
  <c r="AI585" i="2"/>
  <c r="AV585" i="2" s="1"/>
  <c r="AH585" i="2"/>
  <c r="AU585" i="2" s="1"/>
  <c r="AG585" i="2"/>
  <c r="AT585" i="2" s="1"/>
  <c r="AF585" i="2"/>
  <c r="AS585" i="2" s="1"/>
  <c r="AE585" i="2"/>
  <c r="AR585" i="2" s="1"/>
  <c r="AD585" i="2"/>
  <c r="AQ585" i="2" s="1"/>
  <c r="AA585" i="2"/>
  <c r="Z585" i="2"/>
  <c r="AP585" i="2" s="1"/>
  <c r="D585" i="2"/>
  <c r="A585" i="2"/>
  <c r="BC584" i="2"/>
  <c r="AO584" i="2"/>
  <c r="BB584" i="2" s="1"/>
  <c r="AN584" i="2"/>
  <c r="BA584" i="2" s="1"/>
  <c r="AM584" i="2"/>
  <c r="AZ584" i="2" s="1"/>
  <c r="AL584" i="2"/>
  <c r="AY584" i="2" s="1"/>
  <c r="AK584" i="2"/>
  <c r="AX584" i="2" s="1"/>
  <c r="AJ584" i="2"/>
  <c r="AW584" i="2" s="1"/>
  <c r="AI584" i="2"/>
  <c r="AV584" i="2" s="1"/>
  <c r="AH584" i="2"/>
  <c r="AU584" i="2" s="1"/>
  <c r="AG584" i="2"/>
  <c r="AT584" i="2" s="1"/>
  <c r="AF584" i="2"/>
  <c r="AS584" i="2" s="1"/>
  <c r="AE584" i="2"/>
  <c r="AR584" i="2" s="1"/>
  <c r="AD584" i="2"/>
  <c r="AQ584" i="2" s="1"/>
  <c r="AA584" i="2"/>
  <c r="Z584" i="2"/>
  <c r="AP584" i="2" s="1"/>
  <c r="D584" i="2"/>
  <c r="A584" i="2"/>
  <c r="BC583" i="2"/>
  <c r="AO583" i="2"/>
  <c r="BB583" i="2" s="1"/>
  <c r="AN583" i="2"/>
  <c r="BA583" i="2" s="1"/>
  <c r="AM583" i="2"/>
  <c r="AZ583" i="2" s="1"/>
  <c r="AL583" i="2"/>
  <c r="AY583" i="2" s="1"/>
  <c r="AK583" i="2"/>
  <c r="AX583" i="2" s="1"/>
  <c r="AJ583" i="2"/>
  <c r="AW583" i="2" s="1"/>
  <c r="AI583" i="2"/>
  <c r="AV583" i="2" s="1"/>
  <c r="AH583" i="2"/>
  <c r="AU583" i="2" s="1"/>
  <c r="AG583" i="2"/>
  <c r="AT583" i="2" s="1"/>
  <c r="AF583" i="2"/>
  <c r="AS583" i="2" s="1"/>
  <c r="AE583" i="2"/>
  <c r="AR583" i="2" s="1"/>
  <c r="AD583" i="2"/>
  <c r="AQ583" i="2" s="1"/>
  <c r="AA583" i="2"/>
  <c r="Z583" i="2"/>
  <c r="AP583" i="2" s="1"/>
  <c r="D583" i="2"/>
  <c r="A583" i="2"/>
  <c r="BC582" i="2"/>
  <c r="AZ582" i="2"/>
  <c r="AO582" i="2"/>
  <c r="BB582" i="2" s="1"/>
  <c r="AN582" i="2"/>
  <c r="BA582" i="2" s="1"/>
  <c r="AM582" i="2"/>
  <c r="AL582" i="2"/>
  <c r="AY582" i="2" s="1"/>
  <c r="AK582" i="2"/>
  <c r="AX582" i="2" s="1"/>
  <c r="AJ582" i="2"/>
  <c r="AW582" i="2" s="1"/>
  <c r="AI582" i="2"/>
  <c r="AV582" i="2" s="1"/>
  <c r="AH582" i="2"/>
  <c r="AU582" i="2" s="1"/>
  <c r="AG582" i="2"/>
  <c r="AT582" i="2" s="1"/>
  <c r="AF582" i="2"/>
  <c r="AS582" i="2" s="1"/>
  <c r="AE582" i="2"/>
  <c r="AR582" i="2" s="1"/>
  <c r="AD582" i="2"/>
  <c r="AQ582" i="2" s="1"/>
  <c r="AA582" i="2"/>
  <c r="Z582" i="2"/>
  <c r="AP582" i="2" s="1"/>
  <c r="D582" i="2"/>
  <c r="A582" i="2"/>
  <c r="BC581" i="2"/>
  <c r="AO581" i="2"/>
  <c r="BB581" i="2" s="1"/>
  <c r="AN581" i="2"/>
  <c r="BA581" i="2" s="1"/>
  <c r="AM581" i="2"/>
  <c r="AZ581" i="2" s="1"/>
  <c r="AL581" i="2"/>
  <c r="AY581" i="2" s="1"/>
  <c r="AK581" i="2"/>
  <c r="AX581" i="2" s="1"/>
  <c r="AJ581" i="2"/>
  <c r="AW581" i="2" s="1"/>
  <c r="AI581" i="2"/>
  <c r="AV581" i="2" s="1"/>
  <c r="AH581" i="2"/>
  <c r="AU581" i="2" s="1"/>
  <c r="AG581" i="2"/>
  <c r="AT581" i="2" s="1"/>
  <c r="AF581" i="2"/>
  <c r="AS581" i="2" s="1"/>
  <c r="AE581" i="2"/>
  <c r="AR581" i="2" s="1"/>
  <c r="AD581" i="2"/>
  <c r="AQ581" i="2" s="1"/>
  <c r="AA581" i="2"/>
  <c r="Z581" i="2"/>
  <c r="AP581" i="2" s="1"/>
  <c r="D581" i="2"/>
  <c r="A581" i="2"/>
  <c r="BC580" i="2"/>
  <c r="BB580" i="2"/>
  <c r="AO580" i="2"/>
  <c r="AN580" i="2"/>
  <c r="BA580" i="2" s="1"/>
  <c r="AM580" i="2"/>
  <c r="AZ580" i="2" s="1"/>
  <c r="AL580" i="2"/>
  <c r="AY580" i="2" s="1"/>
  <c r="AK580" i="2"/>
  <c r="AX580" i="2" s="1"/>
  <c r="AJ580" i="2"/>
  <c r="AW580" i="2" s="1"/>
  <c r="AI580" i="2"/>
  <c r="AV580" i="2" s="1"/>
  <c r="AH580" i="2"/>
  <c r="AU580" i="2" s="1"/>
  <c r="AG580" i="2"/>
  <c r="AT580" i="2" s="1"/>
  <c r="AF580" i="2"/>
  <c r="AS580" i="2" s="1"/>
  <c r="AE580" i="2"/>
  <c r="AR580" i="2" s="1"/>
  <c r="AD580" i="2"/>
  <c r="AQ580" i="2" s="1"/>
  <c r="AA580" i="2"/>
  <c r="Z580" i="2"/>
  <c r="AP580" i="2" s="1"/>
  <c r="D580" i="2"/>
  <c r="A580" i="2"/>
  <c r="BC579" i="2"/>
  <c r="AO579" i="2"/>
  <c r="BB579" i="2" s="1"/>
  <c r="AN579" i="2"/>
  <c r="BA579" i="2" s="1"/>
  <c r="AM579" i="2"/>
  <c r="AZ579" i="2" s="1"/>
  <c r="AL579" i="2"/>
  <c r="AY579" i="2" s="1"/>
  <c r="AK579" i="2"/>
  <c r="AX579" i="2" s="1"/>
  <c r="AJ579" i="2"/>
  <c r="AW579" i="2" s="1"/>
  <c r="AI579" i="2"/>
  <c r="AV579" i="2" s="1"/>
  <c r="AH579" i="2"/>
  <c r="AU579" i="2" s="1"/>
  <c r="AG579" i="2"/>
  <c r="AT579" i="2" s="1"/>
  <c r="AF579" i="2"/>
  <c r="AS579" i="2" s="1"/>
  <c r="AE579" i="2"/>
  <c r="AR579" i="2" s="1"/>
  <c r="AD579" i="2"/>
  <c r="AQ579" i="2" s="1"/>
  <c r="AA579" i="2"/>
  <c r="Z579" i="2"/>
  <c r="AP579" i="2" s="1"/>
  <c r="D579" i="2"/>
  <c r="A579" i="2"/>
  <c r="BC578" i="2"/>
  <c r="AZ578" i="2"/>
  <c r="AO578" i="2"/>
  <c r="BB578" i="2" s="1"/>
  <c r="AN578" i="2"/>
  <c r="BA578" i="2" s="1"/>
  <c r="AM578" i="2"/>
  <c r="AL578" i="2"/>
  <c r="AY578" i="2" s="1"/>
  <c r="AK578" i="2"/>
  <c r="AX578" i="2" s="1"/>
  <c r="AJ578" i="2"/>
  <c r="AW578" i="2" s="1"/>
  <c r="AI578" i="2"/>
  <c r="AV578" i="2" s="1"/>
  <c r="AH578" i="2"/>
  <c r="AU578" i="2" s="1"/>
  <c r="AG578" i="2"/>
  <c r="AT578" i="2" s="1"/>
  <c r="AF578" i="2"/>
  <c r="AS578" i="2" s="1"/>
  <c r="AE578" i="2"/>
  <c r="AR578" i="2" s="1"/>
  <c r="AD578" i="2"/>
  <c r="AQ578" i="2" s="1"/>
  <c r="AA578" i="2"/>
  <c r="Z578" i="2"/>
  <c r="AP578" i="2" s="1"/>
  <c r="D578" i="2"/>
  <c r="A578" i="2"/>
  <c r="BC577" i="2"/>
  <c r="AO577" i="2"/>
  <c r="BB577" i="2" s="1"/>
  <c r="AN577" i="2"/>
  <c r="BA577" i="2" s="1"/>
  <c r="AM577" i="2"/>
  <c r="AZ577" i="2" s="1"/>
  <c r="AL577" i="2"/>
  <c r="AY577" i="2" s="1"/>
  <c r="AK577" i="2"/>
  <c r="AX577" i="2" s="1"/>
  <c r="AJ577" i="2"/>
  <c r="AW577" i="2" s="1"/>
  <c r="AI577" i="2"/>
  <c r="AV577" i="2" s="1"/>
  <c r="AH577" i="2"/>
  <c r="AU577" i="2" s="1"/>
  <c r="AG577" i="2"/>
  <c r="AT577" i="2" s="1"/>
  <c r="AF577" i="2"/>
  <c r="AS577" i="2" s="1"/>
  <c r="AE577" i="2"/>
  <c r="AR577" i="2" s="1"/>
  <c r="AD577" i="2"/>
  <c r="AQ577" i="2" s="1"/>
  <c r="AA577" i="2"/>
  <c r="Z577" i="2"/>
  <c r="AP577" i="2" s="1"/>
  <c r="D577" i="2"/>
  <c r="A577" i="2"/>
  <c r="BC576" i="2"/>
  <c r="AO576" i="2"/>
  <c r="BB576" i="2" s="1"/>
  <c r="AN576" i="2"/>
  <c r="BA576" i="2" s="1"/>
  <c r="AM576" i="2"/>
  <c r="AZ576" i="2" s="1"/>
  <c r="AL576" i="2"/>
  <c r="AY576" i="2" s="1"/>
  <c r="AK576" i="2"/>
  <c r="AX576" i="2" s="1"/>
  <c r="AJ576" i="2"/>
  <c r="AW576" i="2" s="1"/>
  <c r="AI576" i="2"/>
  <c r="AV576" i="2" s="1"/>
  <c r="AH576" i="2"/>
  <c r="AU576" i="2" s="1"/>
  <c r="AG576" i="2"/>
  <c r="AT576" i="2" s="1"/>
  <c r="AF576" i="2"/>
  <c r="AS576" i="2" s="1"/>
  <c r="AE576" i="2"/>
  <c r="AR576" i="2" s="1"/>
  <c r="AD576" i="2"/>
  <c r="AQ576" i="2" s="1"/>
  <c r="AA576" i="2"/>
  <c r="Z576" i="2"/>
  <c r="AP576" i="2" s="1"/>
  <c r="D576" i="2"/>
  <c r="A576" i="2"/>
  <c r="BC575" i="2"/>
  <c r="AO575" i="2"/>
  <c r="BB575" i="2" s="1"/>
  <c r="AN575" i="2"/>
  <c r="BA575" i="2" s="1"/>
  <c r="AM575" i="2"/>
  <c r="AZ575" i="2" s="1"/>
  <c r="AL575" i="2"/>
  <c r="AY575" i="2" s="1"/>
  <c r="AK575" i="2"/>
  <c r="AX575" i="2" s="1"/>
  <c r="AJ575" i="2"/>
  <c r="AW575" i="2" s="1"/>
  <c r="AI575" i="2"/>
  <c r="AV575" i="2" s="1"/>
  <c r="AH575" i="2"/>
  <c r="AU575" i="2" s="1"/>
  <c r="AG575" i="2"/>
  <c r="AT575" i="2" s="1"/>
  <c r="AF575" i="2"/>
  <c r="AS575" i="2" s="1"/>
  <c r="AE575" i="2"/>
  <c r="AR575" i="2" s="1"/>
  <c r="AD575" i="2"/>
  <c r="AQ575" i="2" s="1"/>
  <c r="AA575" i="2"/>
  <c r="Z575" i="2"/>
  <c r="AP575" i="2" s="1"/>
  <c r="D575" i="2"/>
  <c r="A575" i="2"/>
  <c r="BC574" i="2"/>
  <c r="AO574" i="2"/>
  <c r="BB574" i="2" s="1"/>
  <c r="AN574" i="2"/>
  <c r="BA574" i="2" s="1"/>
  <c r="AM574" i="2"/>
  <c r="AZ574" i="2" s="1"/>
  <c r="AL574" i="2"/>
  <c r="AY574" i="2" s="1"/>
  <c r="AK574" i="2"/>
  <c r="AX574" i="2" s="1"/>
  <c r="AJ574" i="2"/>
  <c r="AW574" i="2" s="1"/>
  <c r="AI574" i="2"/>
  <c r="AV574" i="2" s="1"/>
  <c r="AH574" i="2"/>
  <c r="AU574" i="2" s="1"/>
  <c r="AG574" i="2"/>
  <c r="AT574" i="2" s="1"/>
  <c r="AF574" i="2"/>
  <c r="AS574" i="2" s="1"/>
  <c r="AE574" i="2"/>
  <c r="AR574" i="2" s="1"/>
  <c r="AD574" i="2"/>
  <c r="AQ574" i="2" s="1"/>
  <c r="AA574" i="2"/>
  <c r="Z574" i="2"/>
  <c r="AP574" i="2" s="1"/>
  <c r="D574" i="2"/>
  <c r="A574" i="2"/>
  <c r="BC573" i="2"/>
  <c r="BB573" i="2"/>
  <c r="AX573" i="2"/>
  <c r="AO573" i="2"/>
  <c r="AN573" i="2"/>
  <c r="BA573" i="2" s="1"/>
  <c r="AM573" i="2"/>
  <c r="AZ573" i="2" s="1"/>
  <c r="AL573" i="2"/>
  <c r="AY573" i="2" s="1"/>
  <c r="AK573" i="2"/>
  <c r="AJ573" i="2"/>
  <c r="AW573" i="2" s="1"/>
  <c r="AI573" i="2"/>
  <c r="AV573" i="2" s="1"/>
  <c r="AH573" i="2"/>
  <c r="AU573" i="2" s="1"/>
  <c r="AG573" i="2"/>
  <c r="AT573" i="2" s="1"/>
  <c r="AF573" i="2"/>
  <c r="AS573" i="2" s="1"/>
  <c r="AE573" i="2"/>
  <c r="AR573" i="2" s="1"/>
  <c r="AD573" i="2"/>
  <c r="AQ573" i="2" s="1"/>
  <c r="AA573" i="2"/>
  <c r="Z573" i="2"/>
  <c r="AP573" i="2" s="1"/>
  <c r="D573" i="2"/>
  <c r="A573" i="2"/>
  <c r="BC572" i="2"/>
  <c r="AO572" i="2"/>
  <c r="BB572" i="2" s="1"/>
  <c r="AN572" i="2"/>
  <c r="BA572" i="2" s="1"/>
  <c r="AM572" i="2"/>
  <c r="AZ572" i="2" s="1"/>
  <c r="AL572" i="2"/>
  <c r="AY572" i="2" s="1"/>
  <c r="AK572" i="2"/>
  <c r="AX572" i="2" s="1"/>
  <c r="AJ572" i="2"/>
  <c r="AW572" i="2" s="1"/>
  <c r="AI572" i="2"/>
  <c r="AV572" i="2" s="1"/>
  <c r="AH572" i="2"/>
  <c r="AU572" i="2" s="1"/>
  <c r="AG572" i="2"/>
  <c r="AT572" i="2" s="1"/>
  <c r="AF572" i="2"/>
  <c r="AS572" i="2" s="1"/>
  <c r="AE572" i="2"/>
  <c r="AR572" i="2" s="1"/>
  <c r="AD572" i="2"/>
  <c r="AQ572" i="2" s="1"/>
  <c r="AA572" i="2"/>
  <c r="Z572" i="2"/>
  <c r="AP572" i="2" s="1"/>
  <c r="D572" i="2"/>
  <c r="A572" i="2"/>
  <c r="BC571" i="2"/>
  <c r="AO571" i="2"/>
  <c r="BB571" i="2" s="1"/>
  <c r="AN571" i="2"/>
  <c r="BA571" i="2" s="1"/>
  <c r="AM571" i="2"/>
  <c r="AZ571" i="2" s="1"/>
  <c r="AL571" i="2"/>
  <c r="AY571" i="2" s="1"/>
  <c r="AK571" i="2"/>
  <c r="AX571" i="2" s="1"/>
  <c r="AJ571" i="2"/>
  <c r="AW571" i="2" s="1"/>
  <c r="AI571" i="2"/>
  <c r="AV571" i="2" s="1"/>
  <c r="AH571" i="2"/>
  <c r="AU571" i="2" s="1"/>
  <c r="AG571" i="2"/>
  <c r="AT571" i="2" s="1"/>
  <c r="AF571" i="2"/>
  <c r="AS571" i="2" s="1"/>
  <c r="AE571" i="2"/>
  <c r="AR571" i="2" s="1"/>
  <c r="AD571" i="2"/>
  <c r="AQ571" i="2" s="1"/>
  <c r="AA571" i="2"/>
  <c r="Z571" i="2"/>
  <c r="AP571" i="2" s="1"/>
  <c r="D571" i="2"/>
  <c r="A571" i="2"/>
  <c r="BC570" i="2"/>
  <c r="AO570" i="2"/>
  <c r="BB570" i="2" s="1"/>
  <c r="AN570" i="2"/>
  <c r="BA570" i="2" s="1"/>
  <c r="AM570" i="2"/>
  <c r="AZ570" i="2" s="1"/>
  <c r="AL570" i="2"/>
  <c r="AY570" i="2" s="1"/>
  <c r="AK570" i="2"/>
  <c r="AX570" i="2" s="1"/>
  <c r="AJ570" i="2"/>
  <c r="AW570" i="2" s="1"/>
  <c r="AI570" i="2"/>
  <c r="AV570" i="2" s="1"/>
  <c r="AH570" i="2"/>
  <c r="AU570" i="2" s="1"/>
  <c r="AG570" i="2"/>
  <c r="AT570" i="2" s="1"/>
  <c r="AF570" i="2"/>
  <c r="AS570" i="2" s="1"/>
  <c r="AE570" i="2"/>
  <c r="AR570" i="2" s="1"/>
  <c r="AD570" i="2"/>
  <c r="AQ570" i="2" s="1"/>
  <c r="AA570" i="2"/>
  <c r="Z570" i="2"/>
  <c r="AP570" i="2" s="1"/>
  <c r="D570" i="2"/>
  <c r="A570" i="2"/>
  <c r="BC569" i="2"/>
  <c r="AO569" i="2"/>
  <c r="BB569" i="2" s="1"/>
  <c r="AN569" i="2"/>
  <c r="BA569" i="2" s="1"/>
  <c r="AM569" i="2"/>
  <c r="AZ569" i="2" s="1"/>
  <c r="AL569" i="2"/>
  <c r="AY569" i="2" s="1"/>
  <c r="AK569" i="2"/>
  <c r="AX569" i="2" s="1"/>
  <c r="AJ569" i="2"/>
  <c r="AW569" i="2" s="1"/>
  <c r="AI569" i="2"/>
  <c r="AV569" i="2" s="1"/>
  <c r="AH569" i="2"/>
  <c r="AU569" i="2" s="1"/>
  <c r="AG569" i="2"/>
  <c r="AT569" i="2" s="1"/>
  <c r="AF569" i="2"/>
  <c r="AS569" i="2" s="1"/>
  <c r="AE569" i="2"/>
  <c r="AR569" i="2" s="1"/>
  <c r="AD569" i="2"/>
  <c r="AQ569" i="2" s="1"/>
  <c r="AA569" i="2"/>
  <c r="Z569" i="2"/>
  <c r="AP569" i="2" s="1"/>
  <c r="D569" i="2"/>
  <c r="A569" i="2"/>
  <c r="BC568" i="2"/>
  <c r="AO568" i="2"/>
  <c r="BB568" i="2" s="1"/>
  <c r="AN568" i="2"/>
  <c r="BA568" i="2" s="1"/>
  <c r="AM568" i="2"/>
  <c r="AZ568" i="2" s="1"/>
  <c r="AL568" i="2"/>
  <c r="AY568" i="2" s="1"/>
  <c r="AK568" i="2"/>
  <c r="AX568" i="2" s="1"/>
  <c r="AJ568" i="2"/>
  <c r="AW568" i="2" s="1"/>
  <c r="AI568" i="2"/>
  <c r="AV568" i="2" s="1"/>
  <c r="AH568" i="2"/>
  <c r="AU568" i="2" s="1"/>
  <c r="AG568" i="2"/>
  <c r="AT568" i="2" s="1"/>
  <c r="AF568" i="2"/>
  <c r="AS568" i="2" s="1"/>
  <c r="AE568" i="2"/>
  <c r="AR568" i="2" s="1"/>
  <c r="AD568" i="2"/>
  <c r="AQ568" i="2" s="1"/>
  <c r="AA568" i="2"/>
  <c r="Z568" i="2"/>
  <c r="AP568" i="2" s="1"/>
  <c r="D568" i="2"/>
  <c r="A568" i="2"/>
  <c r="BC567" i="2"/>
  <c r="AO567" i="2"/>
  <c r="BB567" i="2" s="1"/>
  <c r="AN567" i="2"/>
  <c r="BA567" i="2" s="1"/>
  <c r="AM567" i="2"/>
  <c r="AZ567" i="2" s="1"/>
  <c r="AL567" i="2"/>
  <c r="AY567" i="2" s="1"/>
  <c r="AK567" i="2"/>
  <c r="AX567" i="2" s="1"/>
  <c r="AJ567" i="2"/>
  <c r="AW567" i="2" s="1"/>
  <c r="AI567" i="2"/>
  <c r="AV567" i="2" s="1"/>
  <c r="AH567" i="2"/>
  <c r="AU567" i="2" s="1"/>
  <c r="AG567" i="2"/>
  <c r="AT567" i="2" s="1"/>
  <c r="AF567" i="2"/>
  <c r="AS567" i="2" s="1"/>
  <c r="AE567" i="2"/>
  <c r="AR567" i="2" s="1"/>
  <c r="AD567" i="2"/>
  <c r="AQ567" i="2" s="1"/>
  <c r="AA567" i="2"/>
  <c r="Z567" i="2"/>
  <c r="AP567" i="2" s="1"/>
  <c r="D567" i="2"/>
  <c r="A567" i="2"/>
  <c r="BC566" i="2"/>
  <c r="AZ566" i="2"/>
  <c r="AO566" i="2"/>
  <c r="BB566" i="2" s="1"/>
  <c r="AN566" i="2"/>
  <c r="BA566" i="2" s="1"/>
  <c r="AM566" i="2"/>
  <c r="AL566" i="2"/>
  <c r="AY566" i="2" s="1"/>
  <c r="AK566" i="2"/>
  <c r="AX566" i="2" s="1"/>
  <c r="AJ566" i="2"/>
  <c r="AW566" i="2" s="1"/>
  <c r="AI566" i="2"/>
  <c r="AV566" i="2" s="1"/>
  <c r="AH566" i="2"/>
  <c r="AU566" i="2" s="1"/>
  <c r="AG566" i="2"/>
  <c r="AT566" i="2" s="1"/>
  <c r="AF566" i="2"/>
  <c r="AS566" i="2" s="1"/>
  <c r="AE566" i="2"/>
  <c r="AR566" i="2" s="1"/>
  <c r="AD566" i="2"/>
  <c r="AQ566" i="2" s="1"/>
  <c r="AA566" i="2"/>
  <c r="Z566" i="2"/>
  <c r="AP566" i="2" s="1"/>
  <c r="D566" i="2"/>
  <c r="A566" i="2"/>
  <c r="BC565" i="2"/>
  <c r="AO565" i="2"/>
  <c r="BB565" i="2" s="1"/>
  <c r="AN565" i="2"/>
  <c r="BA565" i="2" s="1"/>
  <c r="AM565" i="2"/>
  <c r="AZ565" i="2" s="1"/>
  <c r="AL565" i="2"/>
  <c r="AY565" i="2" s="1"/>
  <c r="AK565" i="2"/>
  <c r="AX565" i="2" s="1"/>
  <c r="AJ565" i="2"/>
  <c r="AW565" i="2" s="1"/>
  <c r="AI565" i="2"/>
  <c r="AV565" i="2" s="1"/>
  <c r="AH565" i="2"/>
  <c r="AU565" i="2" s="1"/>
  <c r="AG565" i="2"/>
  <c r="AT565" i="2" s="1"/>
  <c r="AF565" i="2"/>
  <c r="AS565" i="2" s="1"/>
  <c r="AE565" i="2"/>
  <c r="AR565" i="2" s="1"/>
  <c r="AD565" i="2"/>
  <c r="AQ565" i="2" s="1"/>
  <c r="AA565" i="2"/>
  <c r="Z565" i="2"/>
  <c r="AP565" i="2" s="1"/>
  <c r="D565" i="2"/>
  <c r="A565" i="2"/>
  <c r="BC564" i="2"/>
  <c r="BB564" i="2"/>
  <c r="AO564" i="2"/>
  <c r="AN564" i="2"/>
  <c r="BA564" i="2" s="1"/>
  <c r="AM564" i="2"/>
  <c r="AZ564" i="2" s="1"/>
  <c r="AL564" i="2"/>
  <c r="AY564" i="2" s="1"/>
  <c r="AK564" i="2"/>
  <c r="AX564" i="2" s="1"/>
  <c r="AJ564" i="2"/>
  <c r="AW564" i="2" s="1"/>
  <c r="AI564" i="2"/>
  <c r="AV564" i="2" s="1"/>
  <c r="AH564" i="2"/>
  <c r="AU564" i="2" s="1"/>
  <c r="AG564" i="2"/>
  <c r="AT564" i="2" s="1"/>
  <c r="AF564" i="2"/>
  <c r="AS564" i="2" s="1"/>
  <c r="AE564" i="2"/>
  <c r="AR564" i="2" s="1"/>
  <c r="AD564" i="2"/>
  <c r="AQ564" i="2" s="1"/>
  <c r="AA564" i="2"/>
  <c r="Z564" i="2"/>
  <c r="AP564" i="2" s="1"/>
  <c r="D564" i="2"/>
  <c r="A564" i="2"/>
  <c r="BC563" i="2"/>
  <c r="AO563" i="2"/>
  <c r="BB563" i="2" s="1"/>
  <c r="AN563" i="2"/>
  <c r="BA563" i="2" s="1"/>
  <c r="AM563" i="2"/>
  <c r="AZ563" i="2" s="1"/>
  <c r="AL563" i="2"/>
  <c r="AY563" i="2" s="1"/>
  <c r="AK563" i="2"/>
  <c r="AX563" i="2" s="1"/>
  <c r="AJ563" i="2"/>
  <c r="AW563" i="2" s="1"/>
  <c r="AI563" i="2"/>
  <c r="AV563" i="2" s="1"/>
  <c r="AH563" i="2"/>
  <c r="AU563" i="2" s="1"/>
  <c r="AG563" i="2"/>
  <c r="AT563" i="2" s="1"/>
  <c r="AF563" i="2"/>
  <c r="AS563" i="2" s="1"/>
  <c r="AE563" i="2"/>
  <c r="AR563" i="2" s="1"/>
  <c r="AD563" i="2"/>
  <c r="AQ563" i="2" s="1"/>
  <c r="AA563" i="2"/>
  <c r="Z563" i="2"/>
  <c r="AP563" i="2" s="1"/>
  <c r="D563" i="2"/>
  <c r="A563" i="2"/>
  <c r="BC562" i="2"/>
  <c r="AZ562" i="2"/>
  <c r="AO562" i="2"/>
  <c r="BB562" i="2" s="1"/>
  <c r="AN562" i="2"/>
  <c r="BA562" i="2" s="1"/>
  <c r="AM562" i="2"/>
  <c r="AL562" i="2"/>
  <c r="AY562" i="2" s="1"/>
  <c r="AK562" i="2"/>
  <c r="AX562" i="2" s="1"/>
  <c r="AJ562" i="2"/>
  <c r="AW562" i="2" s="1"/>
  <c r="AI562" i="2"/>
  <c r="AV562" i="2" s="1"/>
  <c r="AH562" i="2"/>
  <c r="AU562" i="2" s="1"/>
  <c r="AG562" i="2"/>
  <c r="AT562" i="2" s="1"/>
  <c r="AF562" i="2"/>
  <c r="AS562" i="2" s="1"/>
  <c r="AE562" i="2"/>
  <c r="AR562" i="2" s="1"/>
  <c r="AD562" i="2"/>
  <c r="AQ562" i="2" s="1"/>
  <c r="AA562" i="2"/>
  <c r="Z562" i="2"/>
  <c r="AP562" i="2" s="1"/>
  <c r="D562" i="2"/>
  <c r="A562" i="2"/>
  <c r="BC561" i="2"/>
  <c r="AO561" i="2"/>
  <c r="BB561" i="2" s="1"/>
  <c r="AN561" i="2"/>
  <c r="BA561" i="2" s="1"/>
  <c r="AM561" i="2"/>
  <c r="AZ561" i="2" s="1"/>
  <c r="AL561" i="2"/>
  <c r="AY561" i="2" s="1"/>
  <c r="AK561" i="2"/>
  <c r="AX561" i="2" s="1"/>
  <c r="AJ561" i="2"/>
  <c r="AW561" i="2" s="1"/>
  <c r="AI561" i="2"/>
  <c r="AV561" i="2" s="1"/>
  <c r="AH561" i="2"/>
  <c r="AU561" i="2" s="1"/>
  <c r="AG561" i="2"/>
  <c r="AT561" i="2" s="1"/>
  <c r="AF561" i="2"/>
  <c r="AS561" i="2" s="1"/>
  <c r="AE561" i="2"/>
  <c r="AR561" i="2" s="1"/>
  <c r="AD561" i="2"/>
  <c r="AQ561" i="2" s="1"/>
  <c r="AA561" i="2"/>
  <c r="Z561" i="2"/>
  <c r="AP561" i="2" s="1"/>
  <c r="D561" i="2"/>
  <c r="A561" i="2"/>
  <c r="BC560" i="2"/>
  <c r="AO560" i="2"/>
  <c r="BB560" i="2" s="1"/>
  <c r="AN560" i="2"/>
  <c r="BA560" i="2" s="1"/>
  <c r="AM560" i="2"/>
  <c r="AZ560" i="2" s="1"/>
  <c r="AL560" i="2"/>
  <c r="AY560" i="2" s="1"/>
  <c r="AK560" i="2"/>
  <c r="AX560" i="2" s="1"/>
  <c r="AJ560" i="2"/>
  <c r="AW560" i="2" s="1"/>
  <c r="AI560" i="2"/>
  <c r="AV560" i="2" s="1"/>
  <c r="AH560" i="2"/>
  <c r="AU560" i="2" s="1"/>
  <c r="AG560" i="2"/>
  <c r="AT560" i="2" s="1"/>
  <c r="AF560" i="2"/>
  <c r="AS560" i="2" s="1"/>
  <c r="AE560" i="2"/>
  <c r="AR560" i="2" s="1"/>
  <c r="AD560" i="2"/>
  <c r="AQ560" i="2" s="1"/>
  <c r="AA560" i="2"/>
  <c r="Z560" i="2"/>
  <c r="AP560" i="2" s="1"/>
  <c r="D560" i="2"/>
  <c r="A560" i="2"/>
  <c r="BC559" i="2"/>
  <c r="AO559" i="2"/>
  <c r="BB559" i="2" s="1"/>
  <c r="AN559" i="2"/>
  <c r="BA559" i="2" s="1"/>
  <c r="AM559" i="2"/>
  <c r="AZ559" i="2" s="1"/>
  <c r="AL559" i="2"/>
  <c r="AY559" i="2" s="1"/>
  <c r="AK559" i="2"/>
  <c r="AX559" i="2" s="1"/>
  <c r="AJ559" i="2"/>
  <c r="AW559" i="2" s="1"/>
  <c r="AI559" i="2"/>
  <c r="AV559" i="2" s="1"/>
  <c r="AH559" i="2"/>
  <c r="AU559" i="2" s="1"/>
  <c r="AG559" i="2"/>
  <c r="AT559" i="2" s="1"/>
  <c r="AF559" i="2"/>
  <c r="AS559" i="2" s="1"/>
  <c r="AE559" i="2"/>
  <c r="AR559" i="2" s="1"/>
  <c r="AD559" i="2"/>
  <c r="AQ559" i="2" s="1"/>
  <c r="AA559" i="2"/>
  <c r="Z559" i="2"/>
  <c r="AP559" i="2" s="1"/>
  <c r="D559" i="2"/>
  <c r="A559" i="2"/>
  <c r="BC558" i="2"/>
  <c r="AO558" i="2"/>
  <c r="BB558" i="2" s="1"/>
  <c r="AN558" i="2"/>
  <c r="BA558" i="2" s="1"/>
  <c r="AM558" i="2"/>
  <c r="AZ558" i="2" s="1"/>
  <c r="AL558" i="2"/>
  <c r="AY558" i="2" s="1"/>
  <c r="AK558" i="2"/>
  <c r="AX558" i="2" s="1"/>
  <c r="AJ558" i="2"/>
  <c r="AW558" i="2" s="1"/>
  <c r="AI558" i="2"/>
  <c r="AV558" i="2" s="1"/>
  <c r="AH558" i="2"/>
  <c r="AU558" i="2" s="1"/>
  <c r="AG558" i="2"/>
  <c r="AT558" i="2" s="1"/>
  <c r="AF558" i="2"/>
  <c r="AS558" i="2" s="1"/>
  <c r="AE558" i="2"/>
  <c r="AR558" i="2" s="1"/>
  <c r="AD558" i="2"/>
  <c r="AQ558" i="2" s="1"/>
  <c r="AA558" i="2"/>
  <c r="Z558" i="2"/>
  <c r="AP558" i="2" s="1"/>
  <c r="D558" i="2"/>
  <c r="A558" i="2"/>
  <c r="BC557" i="2"/>
  <c r="AO557" i="2"/>
  <c r="BB557" i="2" s="1"/>
  <c r="AN557" i="2"/>
  <c r="BA557" i="2" s="1"/>
  <c r="AM557" i="2"/>
  <c r="AZ557" i="2" s="1"/>
  <c r="AL557" i="2"/>
  <c r="AY557" i="2" s="1"/>
  <c r="AK557" i="2"/>
  <c r="AX557" i="2" s="1"/>
  <c r="AJ557" i="2"/>
  <c r="AW557" i="2" s="1"/>
  <c r="AI557" i="2"/>
  <c r="AV557" i="2" s="1"/>
  <c r="AH557" i="2"/>
  <c r="AU557" i="2" s="1"/>
  <c r="AG557" i="2"/>
  <c r="AT557" i="2" s="1"/>
  <c r="AF557" i="2"/>
  <c r="AS557" i="2" s="1"/>
  <c r="AE557" i="2"/>
  <c r="AR557" i="2" s="1"/>
  <c r="AD557" i="2"/>
  <c r="AQ557" i="2" s="1"/>
  <c r="AA557" i="2"/>
  <c r="Z557" i="2"/>
  <c r="AP557" i="2" s="1"/>
  <c r="D557" i="2"/>
  <c r="A557" i="2"/>
  <c r="BC556" i="2"/>
  <c r="AO556" i="2"/>
  <c r="BB556" i="2" s="1"/>
  <c r="AN556" i="2"/>
  <c r="BA556" i="2" s="1"/>
  <c r="AM556" i="2"/>
  <c r="AZ556" i="2" s="1"/>
  <c r="AL556" i="2"/>
  <c r="AY556" i="2" s="1"/>
  <c r="AK556" i="2"/>
  <c r="AX556" i="2" s="1"/>
  <c r="AJ556" i="2"/>
  <c r="AW556" i="2" s="1"/>
  <c r="AI556" i="2"/>
  <c r="AV556" i="2" s="1"/>
  <c r="AH556" i="2"/>
  <c r="AU556" i="2" s="1"/>
  <c r="AG556" i="2"/>
  <c r="AT556" i="2" s="1"/>
  <c r="AF556" i="2"/>
  <c r="AS556" i="2" s="1"/>
  <c r="AE556" i="2"/>
  <c r="AR556" i="2" s="1"/>
  <c r="AD556" i="2"/>
  <c r="AQ556" i="2" s="1"/>
  <c r="AA556" i="2"/>
  <c r="Z556" i="2"/>
  <c r="AP556" i="2" s="1"/>
  <c r="D556" i="2"/>
  <c r="A556" i="2"/>
  <c r="BC555" i="2"/>
  <c r="AO555" i="2"/>
  <c r="BB555" i="2" s="1"/>
  <c r="AN555" i="2"/>
  <c r="BA555" i="2" s="1"/>
  <c r="AM555" i="2"/>
  <c r="AZ555" i="2" s="1"/>
  <c r="AL555" i="2"/>
  <c r="AY555" i="2" s="1"/>
  <c r="AK555" i="2"/>
  <c r="AX555" i="2" s="1"/>
  <c r="AJ555" i="2"/>
  <c r="AW555" i="2" s="1"/>
  <c r="AI555" i="2"/>
  <c r="AV555" i="2" s="1"/>
  <c r="AH555" i="2"/>
  <c r="AU555" i="2" s="1"/>
  <c r="AG555" i="2"/>
  <c r="AT555" i="2" s="1"/>
  <c r="AF555" i="2"/>
  <c r="AS555" i="2" s="1"/>
  <c r="AE555" i="2"/>
  <c r="AR555" i="2" s="1"/>
  <c r="AD555" i="2"/>
  <c r="AQ555" i="2" s="1"/>
  <c r="AA555" i="2"/>
  <c r="Z555" i="2"/>
  <c r="AP555" i="2" s="1"/>
  <c r="D555" i="2"/>
  <c r="A555" i="2"/>
  <c r="BC554" i="2"/>
  <c r="AO554" i="2"/>
  <c r="BB554" i="2" s="1"/>
  <c r="AN554" i="2"/>
  <c r="BA554" i="2" s="1"/>
  <c r="AM554" i="2"/>
  <c r="AZ554" i="2" s="1"/>
  <c r="AL554" i="2"/>
  <c r="AY554" i="2" s="1"/>
  <c r="AK554" i="2"/>
  <c r="AX554" i="2" s="1"/>
  <c r="AJ554" i="2"/>
  <c r="AW554" i="2" s="1"/>
  <c r="AI554" i="2"/>
  <c r="AV554" i="2" s="1"/>
  <c r="AH554" i="2"/>
  <c r="AU554" i="2" s="1"/>
  <c r="AG554" i="2"/>
  <c r="AT554" i="2" s="1"/>
  <c r="AF554" i="2"/>
  <c r="AS554" i="2" s="1"/>
  <c r="AE554" i="2"/>
  <c r="AR554" i="2" s="1"/>
  <c r="AD554" i="2"/>
  <c r="AQ554" i="2" s="1"/>
  <c r="AA554" i="2"/>
  <c r="Z554" i="2"/>
  <c r="AP554" i="2" s="1"/>
  <c r="D554" i="2"/>
  <c r="A554" i="2"/>
  <c r="BC553" i="2"/>
  <c r="AO553" i="2"/>
  <c r="BB553" i="2" s="1"/>
  <c r="AN553" i="2"/>
  <c r="BA553" i="2" s="1"/>
  <c r="AM553" i="2"/>
  <c r="AZ553" i="2" s="1"/>
  <c r="AL553" i="2"/>
  <c r="AY553" i="2" s="1"/>
  <c r="AK553" i="2"/>
  <c r="AX553" i="2" s="1"/>
  <c r="AJ553" i="2"/>
  <c r="AW553" i="2" s="1"/>
  <c r="AI553" i="2"/>
  <c r="AV553" i="2" s="1"/>
  <c r="AH553" i="2"/>
  <c r="AU553" i="2" s="1"/>
  <c r="AG553" i="2"/>
  <c r="AT553" i="2" s="1"/>
  <c r="AF553" i="2"/>
  <c r="AS553" i="2" s="1"/>
  <c r="AE553" i="2"/>
  <c r="AR553" i="2" s="1"/>
  <c r="AD553" i="2"/>
  <c r="AQ553" i="2" s="1"/>
  <c r="AA553" i="2"/>
  <c r="Z553" i="2"/>
  <c r="AP553" i="2" s="1"/>
  <c r="D553" i="2"/>
  <c r="A553" i="2"/>
  <c r="BC552" i="2"/>
  <c r="AT552" i="2"/>
  <c r="AO552" i="2"/>
  <c r="BB552" i="2" s="1"/>
  <c r="AN552" i="2"/>
  <c r="BA552" i="2" s="1"/>
  <c r="AM552" i="2"/>
  <c r="AZ552" i="2" s="1"/>
  <c r="AL552" i="2"/>
  <c r="AY552" i="2" s="1"/>
  <c r="AK552" i="2"/>
  <c r="AX552" i="2" s="1"/>
  <c r="AJ552" i="2"/>
  <c r="AW552" i="2" s="1"/>
  <c r="AI552" i="2"/>
  <c r="AV552" i="2" s="1"/>
  <c r="AH552" i="2"/>
  <c r="AU552" i="2" s="1"/>
  <c r="AG552" i="2"/>
  <c r="AF552" i="2"/>
  <c r="AS552" i="2" s="1"/>
  <c r="AE552" i="2"/>
  <c r="AR552" i="2" s="1"/>
  <c r="AD552" i="2"/>
  <c r="AQ552" i="2" s="1"/>
  <c r="AA552" i="2"/>
  <c r="Z552" i="2"/>
  <c r="AP552" i="2" s="1"/>
  <c r="D552" i="2"/>
  <c r="A552" i="2"/>
  <c r="BC551" i="2"/>
  <c r="AR551" i="2"/>
  <c r="AO551" i="2"/>
  <c r="BB551" i="2" s="1"/>
  <c r="AN551" i="2"/>
  <c r="BA551" i="2" s="1"/>
  <c r="AM551" i="2"/>
  <c r="AZ551" i="2" s="1"/>
  <c r="AL551" i="2"/>
  <c r="AY551" i="2" s="1"/>
  <c r="AK551" i="2"/>
  <c r="AX551" i="2" s="1"/>
  <c r="AJ551" i="2"/>
  <c r="AW551" i="2" s="1"/>
  <c r="AI551" i="2"/>
  <c r="AV551" i="2" s="1"/>
  <c r="AH551" i="2"/>
  <c r="AU551" i="2" s="1"/>
  <c r="AG551" i="2"/>
  <c r="AT551" i="2" s="1"/>
  <c r="AF551" i="2"/>
  <c r="AS551" i="2" s="1"/>
  <c r="AE551" i="2"/>
  <c r="AD551" i="2"/>
  <c r="AQ551" i="2" s="1"/>
  <c r="AA551" i="2"/>
  <c r="Z551" i="2"/>
  <c r="AP551" i="2" s="1"/>
  <c r="D551" i="2"/>
  <c r="A551" i="2"/>
  <c r="BC550" i="2"/>
  <c r="AO550" i="2"/>
  <c r="BB550" i="2" s="1"/>
  <c r="AN550" i="2"/>
  <c r="BA550" i="2" s="1"/>
  <c r="AM550" i="2"/>
  <c r="AZ550" i="2" s="1"/>
  <c r="AL550" i="2"/>
  <c r="AY550" i="2" s="1"/>
  <c r="AK550" i="2"/>
  <c r="AX550" i="2" s="1"/>
  <c r="AJ550" i="2"/>
  <c r="AW550" i="2" s="1"/>
  <c r="AI550" i="2"/>
  <c r="AV550" i="2" s="1"/>
  <c r="AH550" i="2"/>
  <c r="AU550" i="2" s="1"/>
  <c r="AG550" i="2"/>
  <c r="AT550" i="2" s="1"/>
  <c r="AF550" i="2"/>
  <c r="AS550" i="2" s="1"/>
  <c r="AE550" i="2"/>
  <c r="AR550" i="2" s="1"/>
  <c r="AD550" i="2"/>
  <c r="AQ550" i="2" s="1"/>
  <c r="AA550" i="2"/>
  <c r="Z550" i="2"/>
  <c r="AP550" i="2" s="1"/>
  <c r="D550" i="2"/>
  <c r="A550" i="2"/>
  <c r="BC549" i="2"/>
  <c r="AO549" i="2"/>
  <c r="BB549" i="2" s="1"/>
  <c r="AN549" i="2"/>
  <c r="BA549" i="2" s="1"/>
  <c r="AM549" i="2"/>
  <c r="AZ549" i="2" s="1"/>
  <c r="AL549" i="2"/>
  <c r="AY549" i="2" s="1"/>
  <c r="AK549" i="2"/>
  <c r="AX549" i="2" s="1"/>
  <c r="AJ549" i="2"/>
  <c r="AW549" i="2" s="1"/>
  <c r="AI549" i="2"/>
  <c r="AV549" i="2" s="1"/>
  <c r="AH549" i="2"/>
  <c r="AU549" i="2" s="1"/>
  <c r="AG549" i="2"/>
  <c r="AT549" i="2" s="1"/>
  <c r="AF549" i="2"/>
  <c r="AS549" i="2" s="1"/>
  <c r="AE549" i="2"/>
  <c r="AR549" i="2" s="1"/>
  <c r="AD549" i="2"/>
  <c r="AQ549" i="2" s="1"/>
  <c r="AA549" i="2"/>
  <c r="Z549" i="2"/>
  <c r="AP549" i="2" s="1"/>
  <c r="D549" i="2"/>
  <c r="A549" i="2"/>
  <c r="BC548" i="2"/>
  <c r="BB548" i="2"/>
  <c r="AO548" i="2"/>
  <c r="AN548" i="2"/>
  <c r="BA548" i="2" s="1"/>
  <c r="AM548" i="2"/>
  <c r="AZ548" i="2" s="1"/>
  <c r="AL548" i="2"/>
  <c r="AY548" i="2" s="1"/>
  <c r="AK548" i="2"/>
  <c r="AX548" i="2" s="1"/>
  <c r="AJ548" i="2"/>
  <c r="AW548" i="2" s="1"/>
  <c r="AI548" i="2"/>
  <c r="AV548" i="2" s="1"/>
  <c r="AH548" i="2"/>
  <c r="AU548" i="2" s="1"/>
  <c r="AG548" i="2"/>
  <c r="AT548" i="2" s="1"/>
  <c r="AF548" i="2"/>
  <c r="AS548" i="2" s="1"/>
  <c r="AE548" i="2"/>
  <c r="AR548" i="2" s="1"/>
  <c r="AD548" i="2"/>
  <c r="AQ548" i="2" s="1"/>
  <c r="AA548" i="2"/>
  <c r="Z548" i="2"/>
  <c r="AP548" i="2" s="1"/>
  <c r="D548" i="2"/>
  <c r="A548" i="2"/>
  <c r="BC547" i="2"/>
  <c r="BB547" i="2"/>
  <c r="AX547" i="2"/>
  <c r="AO547" i="2"/>
  <c r="AN547" i="2"/>
  <c r="BA547" i="2" s="1"/>
  <c r="AM547" i="2"/>
  <c r="AZ547" i="2" s="1"/>
  <c r="AL547" i="2"/>
  <c r="AY547" i="2" s="1"/>
  <c r="AK547" i="2"/>
  <c r="AJ547" i="2"/>
  <c r="AW547" i="2" s="1"/>
  <c r="AI547" i="2"/>
  <c r="AV547" i="2" s="1"/>
  <c r="AH547" i="2"/>
  <c r="AU547" i="2" s="1"/>
  <c r="AG547" i="2"/>
  <c r="AT547" i="2" s="1"/>
  <c r="AF547" i="2"/>
  <c r="AS547" i="2" s="1"/>
  <c r="AE547" i="2"/>
  <c r="AR547" i="2" s="1"/>
  <c r="AD547" i="2"/>
  <c r="AQ547" i="2" s="1"/>
  <c r="AA547" i="2"/>
  <c r="Z547" i="2"/>
  <c r="AP547" i="2" s="1"/>
  <c r="D547" i="2"/>
  <c r="A547" i="2"/>
  <c r="BC546" i="2"/>
  <c r="AO546" i="2"/>
  <c r="BB546" i="2" s="1"/>
  <c r="AN546" i="2"/>
  <c r="BA546" i="2" s="1"/>
  <c r="AM546" i="2"/>
  <c r="AZ546" i="2" s="1"/>
  <c r="AL546" i="2"/>
  <c r="AY546" i="2" s="1"/>
  <c r="AK546" i="2"/>
  <c r="AX546" i="2" s="1"/>
  <c r="AJ546" i="2"/>
  <c r="AW546" i="2" s="1"/>
  <c r="AI546" i="2"/>
  <c r="AV546" i="2" s="1"/>
  <c r="AH546" i="2"/>
  <c r="AU546" i="2" s="1"/>
  <c r="AG546" i="2"/>
  <c r="AT546" i="2" s="1"/>
  <c r="AF546" i="2"/>
  <c r="AS546" i="2" s="1"/>
  <c r="AE546" i="2"/>
  <c r="AR546" i="2" s="1"/>
  <c r="AD546" i="2"/>
  <c r="AQ546" i="2" s="1"/>
  <c r="AA546" i="2"/>
  <c r="Z546" i="2"/>
  <c r="AP546" i="2" s="1"/>
  <c r="D546" i="2"/>
  <c r="A546" i="2"/>
  <c r="BC545" i="2"/>
  <c r="AO545" i="2"/>
  <c r="BB545" i="2" s="1"/>
  <c r="AN545" i="2"/>
  <c r="BA545" i="2" s="1"/>
  <c r="AM545" i="2"/>
  <c r="AZ545" i="2" s="1"/>
  <c r="AL545" i="2"/>
  <c r="AY545" i="2" s="1"/>
  <c r="AK545" i="2"/>
  <c r="AX545" i="2" s="1"/>
  <c r="AJ545" i="2"/>
  <c r="AW545" i="2" s="1"/>
  <c r="AI545" i="2"/>
  <c r="AV545" i="2" s="1"/>
  <c r="AH545" i="2"/>
  <c r="AU545" i="2" s="1"/>
  <c r="AG545" i="2"/>
  <c r="AT545" i="2" s="1"/>
  <c r="AF545" i="2"/>
  <c r="AS545" i="2" s="1"/>
  <c r="AE545" i="2"/>
  <c r="AR545" i="2" s="1"/>
  <c r="AD545" i="2"/>
  <c r="AQ545" i="2" s="1"/>
  <c r="AA545" i="2"/>
  <c r="Z545" i="2"/>
  <c r="AP545" i="2" s="1"/>
  <c r="D545" i="2"/>
  <c r="A545" i="2"/>
  <c r="BC544" i="2"/>
  <c r="BB544" i="2"/>
  <c r="AO544" i="2"/>
  <c r="AN544" i="2"/>
  <c r="BA544" i="2" s="1"/>
  <c r="AM544" i="2"/>
  <c r="AZ544" i="2" s="1"/>
  <c r="AL544" i="2"/>
  <c r="AY544" i="2" s="1"/>
  <c r="AK544" i="2"/>
  <c r="AX544" i="2" s="1"/>
  <c r="AJ544" i="2"/>
  <c r="AW544" i="2" s="1"/>
  <c r="AI544" i="2"/>
  <c r="AV544" i="2" s="1"/>
  <c r="AH544" i="2"/>
  <c r="AU544" i="2" s="1"/>
  <c r="AG544" i="2"/>
  <c r="AT544" i="2" s="1"/>
  <c r="AF544" i="2"/>
  <c r="AS544" i="2" s="1"/>
  <c r="AE544" i="2"/>
  <c r="AR544" i="2" s="1"/>
  <c r="AD544" i="2"/>
  <c r="AQ544" i="2" s="1"/>
  <c r="AA544" i="2"/>
  <c r="Z544" i="2"/>
  <c r="AP544" i="2" s="1"/>
  <c r="D544" i="2"/>
  <c r="A544" i="2"/>
  <c r="BC543" i="2"/>
  <c r="BB543" i="2"/>
  <c r="AX543" i="2"/>
  <c r="AO543" i="2"/>
  <c r="AN543" i="2"/>
  <c r="BA543" i="2" s="1"/>
  <c r="AM543" i="2"/>
  <c r="AZ543" i="2" s="1"/>
  <c r="AL543" i="2"/>
  <c r="AY543" i="2" s="1"/>
  <c r="AK543" i="2"/>
  <c r="AJ543" i="2"/>
  <c r="AW543" i="2" s="1"/>
  <c r="AI543" i="2"/>
  <c r="AV543" i="2" s="1"/>
  <c r="AH543" i="2"/>
  <c r="AU543" i="2" s="1"/>
  <c r="AG543" i="2"/>
  <c r="AT543" i="2" s="1"/>
  <c r="AF543" i="2"/>
  <c r="AS543" i="2" s="1"/>
  <c r="AE543" i="2"/>
  <c r="AR543" i="2" s="1"/>
  <c r="AD543" i="2"/>
  <c r="AQ543" i="2" s="1"/>
  <c r="AA543" i="2"/>
  <c r="Z543" i="2"/>
  <c r="AP543" i="2" s="1"/>
  <c r="D543" i="2"/>
  <c r="A543" i="2"/>
  <c r="BC542" i="2"/>
  <c r="AO542" i="2"/>
  <c r="BB542" i="2" s="1"/>
  <c r="AN542" i="2"/>
  <c r="BA542" i="2" s="1"/>
  <c r="AM542" i="2"/>
  <c r="AZ542" i="2" s="1"/>
  <c r="AL542" i="2"/>
  <c r="AY542" i="2" s="1"/>
  <c r="AK542" i="2"/>
  <c r="AX542" i="2" s="1"/>
  <c r="AJ542" i="2"/>
  <c r="AW542" i="2" s="1"/>
  <c r="AI542" i="2"/>
  <c r="AV542" i="2" s="1"/>
  <c r="AH542" i="2"/>
  <c r="AU542" i="2" s="1"/>
  <c r="AG542" i="2"/>
  <c r="AT542" i="2" s="1"/>
  <c r="AF542" i="2"/>
  <c r="AS542" i="2" s="1"/>
  <c r="AE542" i="2"/>
  <c r="AR542" i="2" s="1"/>
  <c r="AD542" i="2"/>
  <c r="AQ542" i="2" s="1"/>
  <c r="AA542" i="2"/>
  <c r="Z542" i="2"/>
  <c r="AP542" i="2" s="1"/>
  <c r="D542" i="2"/>
  <c r="A542" i="2"/>
  <c r="BC541" i="2"/>
  <c r="AO541" i="2"/>
  <c r="BB541" i="2" s="1"/>
  <c r="AN541" i="2"/>
  <c r="BA541" i="2" s="1"/>
  <c r="AM541" i="2"/>
  <c r="AZ541" i="2" s="1"/>
  <c r="AL541" i="2"/>
  <c r="AY541" i="2" s="1"/>
  <c r="AK541" i="2"/>
  <c r="AX541" i="2" s="1"/>
  <c r="AJ541" i="2"/>
  <c r="AW541" i="2" s="1"/>
  <c r="AI541" i="2"/>
  <c r="AV541" i="2" s="1"/>
  <c r="AH541" i="2"/>
  <c r="AU541" i="2" s="1"/>
  <c r="AG541" i="2"/>
  <c r="AT541" i="2" s="1"/>
  <c r="AF541" i="2"/>
  <c r="AS541" i="2" s="1"/>
  <c r="AE541" i="2"/>
  <c r="AR541" i="2" s="1"/>
  <c r="AD541" i="2"/>
  <c r="AQ541" i="2" s="1"/>
  <c r="AA541" i="2"/>
  <c r="Z541" i="2"/>
  <c r="AP541" i="2" s="1"/>
  <c r="D541" i="2"/>
  <c r="A541" i="2"/>
  <c r="BC540" i="2"/>
  <c r="BB540" i="2"/>
  <c r="AO540" i="2"/>
  <c r="AN540" i="2"/>
  <c r="BA540" i="2" s="1"/>
  <c r="AM540" i="2"/>
  <c r="AZ540" i="2" s="1"/>
  <c r="AL540" i="2"/>
  <c r="AY540" i="2" s="1"/>
  <c r="AK540" i="2"/>
  <c r="AX540" i="2" s="1"/>
  <c r="AJ540" i="2"/>
  <c r="AW540" i="2" s="1"/>
  <c r="AI540" i="2"/>
  <c r="AV540" i="2" s="1"/>
  <c r="AH540" i="2"/>
  <c r="AU540" i="2" s="1"/>
  <c r="AG540" i="2"/>
  <c r="AT540" i="2" s="1"/>
  <c r="AF540" i="2"/>
  <c r="AS540" i="2" s="1"/>
  <c r="AE540" i="2"/>
  <c r="AR540" i="2" s="1"/>
  <c r="AD540" i="2"/>
  <c r="AQ540" i="2" s="1"/>
  <c r="AA540" i="2"/>
  <c r="Z540" i="2"/>
  <c r="AP540" i="2" s="1"/>
  <c r="D540" i="2"/>
  <c r="A540" i="2"/>
  <c r="BC539" i="2"/>
  <c r="BB539" i="2"/>
  <c r="AX539" i="2"/>
  <c r="AO539" i="2"/>
  <c r="AN539" i="2"/>
  <c r="BA539" i="2" s="1"/>
  <c r="AM539" i="2"/>
  <c r="AZ539" i="2" s="1"/>
  <c r="AL539" i="2"/>
  <c r="AY539" i="2" s="1"/>
  <c r="AK539" i="2"/>
  <c r="AJ539" i="2"/>
  <c r="AW539" i="2" s="1"/>
  <c r="AI539" i="2"/>
  <c r="AV539" i="2" s="1"/>
  <c r="AH539" i="2"/>
  <c r="AU539" i="2" s="1"/>
  <c r="AG539" i="2"/>
  <c r="AT539" i="2" s="1"/>
  <c r="AF539" i="2"/>
  <c r="AS539" i="2" s="1"/>
  <c r="AE539" i="2"/>
  <c r="AR539" i="2" s="1"/>
  <c r="AD539" i="2"/>
  <c r="AQ539" i="2" s="1"/>
  <c r="AA539" i="2"/>
  <c r="Z539" i="2"/>
  <c r="AP539" i="2" s="1"/>
  <c r="D539" i="2"/>
  <c r="A539" i="2"/>
  <c r="BC538" i="2"/>
  <c r="AO538" i="2"/>
  <c r="BB538" i="2" s="1"/>
  <c r="AN538" i="2"/>
  <c r="BA538" i="2" s="1"/>
  <c r="AM538" i="2"/>
  <c r="AZ538" i="2" s="1"/>
  <c r="AL538" i="2"/>
  <c r="AY538" i="2" s="1"/>
  <c r="AK538" i="2"/>
  <c r="AX538" i="2" s="1"/>
  <c r="AJ538" i="2"/>
  <c r="AW538" i="2" s="1"/>
  <c r="AI538" i="2"/>
  <c r="AV538" i="2" s="1"/>
  <c r="AH538" i="2"/>
  <c r="AU538" i="2" s="1"/>
  <c r="AG538" i="2"/>
  <c r="AT538" i="2" s="1"/>
  <c r="AF538" i="2"/>
  <c r="AS538" i="2" s="1"/>
  <c r="AE538" i="2"/>
  <c r="AR538" i="2" s="1"/>
  <c r="AD538" i="2"/>
  <c r="AQ538" i="2" s="1"/>
  <c r="AA538" i="2"/>
  <c r="Z538" i="2"/>
  <c r="AP538" i="2" s="1"/>
  <c r="D538" i="2"/>
  <c r="A538" i="2"/>
  <c r="BC537" i="2"/>
  <c r="BB537" i="2"/>
  <c r="AT537" i="2"/>
  <c r="AO537" i="2"/>
  <c r="AN537" i="2"/>
  <c r="BA537" i="2" s="1"/>
  <c r="AM537" i="2"/>
  <c r="AZ537" i="2" s="1"/>
  <c r="AL537" i="2"/>
  <c r="AY537" i="2" s="1"/>
  <c r="AK537" i="2"/>
  <c r="AX537" i="2" s="1"/>
  <c r="AJ537" i="2"/>
  <c r="AW537" i="2" s="1"/>
  <c r="AI537" i="2"/>
  <c r="AV537" i="2" s="1"/>
  <c r="AH537" i="2"/>
  <c r="AU537" i="2" s="1"/>
  <c r="AG537" i="2"/>
  <c r="AF537" i="2"/>
  <c r="AS537" i="2" s="1"/>
  <c r="AE537" i="2"/>
  <c r="AR537" i="2" s="1"/>
  <c r="AD537" i="2"/>
  <c r="AQ537" i="2" s="1"/>
  <c r="AA537" i="2"/>
  <c r="Z537" i="2"/>
  <c r="AP537" i="2" s="1"/>
  <c r="D537" i="2"/>
  <c r="A537" i="2"/>
  <c r="BC536" i="2"/>
  <c r="BB536" i="2"/>
  <c r="AX536" i="2"/>
  <c r="AT536" i="2"/>
  <c r="AO536" i="2"/>
  <c r="AN536" i="2"/>
  <c r="BA536" i="2" s="1"/>
  <c r="AM536" i="2"/>
  <c r="AZ536" i="2" s="1"/>
  <c r="AL536" i="2"/>
  <c r="AY536" i="2" s="1"/>
  <c r="AK536" i="2"/>
  <c r="AJ536" i="2"/>
  <c r="AW536" i="2" s="1"/>
  <c r="AI536" i="2"/>
  <c r="AV536" i="2" s="1"/>
  <c r="AH536" i="2"/>
  <c r="AU536" i="2" s="1"/>
  <c r="AG536" i="2"/>
  <c r="AF536" i="2"/>
  <c r="AS536" i="2" s="1"/>
  <c r="AE536" i="2"/>
  <c r="AR536" i="2" s="1"/>
  <c r="AD536" i="2"/>
  <c r="AQ536" i="2" s="1"/>
  <c r="AA536" i="2"/>
  <c r="Z536" i="2"/>
  <c r="AP536" i="2" s="1"/>
  <c r="D536" i="2"/>
  <c r="A536" i="2"/>
  <c r="BC535" i="2"/>
  <c r="AO535" i="2"/>
  <c r="BB535" i="2" s="1"/>
  <c r="AN535" i="2"/>
  <c r="BA535" i="2" s="1"/>
  <c r="AM535" i="2"/>
  <c r="AZ535" i="2" s="1"/>
  <c r="AL535" i="2"/>
  <c r="AY535" i="2" s="1"/>
  <c r="AK535" i="2"/>
  <c r="AX535" i="2" s="1"/>
  <c r="AJ535" i="2"/>
  <c r="AW535" i="2" s="1"/>
  <c r="AI535" i="2"/>
  <c r="AV535" i="2" s="1"/>
  <c r="AH535" i="2"/>
  <c r="AU535" i="2" s="1"/>
  <c r="AG535" i="2"/>
  <c r="AT535" i="2" s="1"/>
  <c r="AF535" i="2"/>
  <c r="AS535" i="2" s="1"/>
  <c r="AE535" i="2"/>
  <c r="AR535" i="2" s="1"/>
  <c r="AD535" i="2"/>
  <c r="AQ535" i="2" s="1"/>
  <c r="AA535" i="2"/>
  <c r="Z535" i="2"/>
  <c r="AP535" i="2" s="1"/>
  <c r="D535" i="2"/>
  <c r="A535" i="2"/>
  <c r="BC534" i="2"/>
  <c r="AO534" i="2"/>
  <c r="BB534" i="2" s="1"/>
  <c r="AN534" i="2"/>
  <c r="BA534" i="2" s="1"/>
  <c r="AM534" i="2"/>
  <c r="AZ534" i="2" s="1"/>
  <c r="AL534" i="2"/>
  <c r="AY534" i="2" s="1"/>
  <c r="AK534" i="2"/>
  <c r="AX534" i="2" s="1"/>
  <c r="AJ534" i="2"/>
  <c r="AW534" i="2" s="1"/>
  <c r="AI534" i="2"/>
  <c r="AV534" i="2" s="1"/>
  <c r="AH534" i="2"/>
  <c r="AU534" i="2" s="1"/>
  <c r="AG534" i="2"/>
  <c r="AT534" i="2" s="1"/>
  <c r="AF534" i="2"/>
  <c r="AS534" i="2" s="1"/>
  <c r="AE534" i="2"/>
  <c r="AR534" i="2" s="1"/>
  <c r="AD534" i="2"/>
  <c r="AQ534" i="2" s="1"/>
  <c r="AA534" i="2"/>
  <c r="Z534" i="2"/>
  <c r="AP534" i="2" s="1"/>
  <c r="D534" i="2"/>
  <c r="A534" i="2"/>
  <c r="BC533" i="2"/>
  <c r="AO533" i="2"/>
  <c r="BB533" i="2" s="1"/>
  <c r="AN533" i="2"/>
  <c r="BA533" i="2" s="1"/>
  <c r="AM533" i="2"/>
  <c r="AZ533" i="2" s="1"/>
  <c r="AL533" i="2"/>
  <c r="AY533" i="2" s="1"/>
  <c r="AK533" i="2"/>
  <c r="AX533" i="2" s="1"/>
  <c r="AJ533" i="2"/>
  <c r="AW533" i="2" s="1"/>
  <c r="AI533" i="2"/>
  <c r="AV533" i="2" s="1"/>
  <c r="AH533" i="2"/>
  <c r="AU533" i="2" s="1"/>
  <c r="AG533" i="2"/>
  <c r="AT533" i="2" s="1"/>
  <c r="AF533" i="2"/>
  <c r="AS533" i="2" s="1"/>
  <c r="AE533" i="2"/>
  <c r="AR533" i="2" s="1"/>
  <c r="AD533" i="2"/>
  <c r="AQ533" i="2" s="1"/>
  <c r="AA533" i="2"/>
  <c r="Z533" i="2"/>
  <c r="AP533" i="2" s="1"/>
  <c r="D533" i="2"/>
  <c r="A533" i="2"/>
  <c r="BC532" i="2"/>
  <c r="AP532" i="2"/>
  <c r="AO532" i="2"/>
  <c r="BB532" i="2" s="1"/>
  <c r="AN532" i="2"/>
  <c r="BA532" i="2" s="1"/>
  <c r="AM532" i="2"/>
  <c r="AZ532" i="2" s="1"/>
  <c r="AL532" i="2"/>
  <c r="AY532" i="2" s="1"/>
  <c r="AK532" i="2"/>
  <c r="AX532" i="2" s="1"/>
  <c r="AJ532" i="2"/>
  <c r="AW532" i="2" s="1"/>
  <c r="AI532" i="2"/>
  <c r="AV532" i="2" s="1"/>
  <c r="AH532" i="2"/>
  <c r="AU532" i="2" s="1"/>
  <c r="AG532" i="2"/>
  <c r="AT532" i="2" s="1"/>
  <c r="AF532" i="2"/>
  <c r="AS532" i="2" s="1"/>
  <c r="AE532" i="2"/>
  <c r="AR532" i="2" s="1"/>
  <c r="AD532" i="2"/>
  <c r="AQ532" i="2" s="1"/>
  <c r="AA532" i="2"/>
  <c r="Z532" i="2"/>
  <c r="D532" i="2"/>
  <c r="A532" i="2"/>
  <c r="BC531" i="2"/>
  <c r="AO531" i="2"/>
  <c r="BB531" i="2" s="1"/>
  <c r="AN531" i="2"/>
  <c r="BA531" i="2" s="1"/>
  <c r="AM531" i="2"/>
  <c r="AZ531" i="2" s="1"/>
  <c r="AL531" i="2"/>
  <c r="AY531" i="2" s="1"/>
  <c r="AK531" i="2"/>
  <c r="AX531" i="2" s="1"/>
  <c r="AJ531" i="2"/>
  <c r="AW531" i="2" s="1"/>
  <c r="AI531" i="2"/>
  <c r="AV531" i="2" s="1"/>
  <c r="AH531" i="2"/>
  <c r="AU531" i="2" s="1"/>
  <c r="AG531" i="2"/>
  <c r="AT531" i="2" s="1"/>
  <c r="AF531" i="2"/>
  <c r="AS531" i="2" s="1"/>
  <c r="AE531" i="2"/>
  <c r="AR531" i="2" s="1"/>
  <c r="AD531" i="2"/>
  <c r="AQ531" i="2" s="1"/>
  <c r="AA531" i="2"/>
  <c r="Z531" i="2"/>
  <c r="AP531" i="2" s="1"/>
  <c r="D531" i="2"/>
  <c r="A531" i="2"/>
  <c r="BC530" i="2"/>
  <c r="AO530" i="2"/>
  <c r="BB530" i="2" s="1"/>
  <c r="AN530" i="2"/>
  <c r="BA530" i="2" s="1"/>
  <c r="AM530" i="2"/>
  <c r="AZ530" i="2" s="1"/>
  <c r="AL530" i="2"/>
  <c r="AY530" i="2" s="1"/>
  <c r="AK530" i="2"/>
  <c r="AX530" i="2" s="1"/>
  <c r="AJ530" i="2"/>
  <c r="AW530" i="2" s="1"/>
  <c r="AI530" i="2"/>
  <c r="AV530" i="2" s="1"/>
  <c r="AH530" i="2"/>
  <c r="AU530" i="2" s="1"/>
  <c r="AG530" i="2"/>
  <c r="AT530" i="2" s="1"/>
  <c r="AF530" i="2"/>
  <c r="AS530" i="2" s="1"/>
  <c r="AE530" i="2"/>
  <c r="AR530" i="2" s="1"/>
  <c r="AD530" i="2"/>
  <c r="AQ530" i="2" s="1"/>
  <c r="AA530" i="2"/>
  <c r="Z530" i="2"/>
  <c r="AP530" i="2" s="1"/>
  <c r="D530" i="2"/>
  <c r="A530" i="2"/>
  <c r="BC529" i="2"/>
  <c r="AO529" i="2"/>
  <c r="BB529" i="2" s="1"/>
  <c r="AN529" i="2"/>
  <c r="BA529" i="2" s="1"/>
  <c r="AM529" i="2"/>
  <c r="AZ529" i="2" s="1"/>
  <c r="AL529" i="2"/>
  <c r="AY529" i="2" s="1"/>
  <c r="AK529" i="2"/>
  <c r="AX529" i="2" s="1"/>
  <c r="AJ529" i="2"/>
  <c r="AW529" i="2" s="1"/>
  <c r="AI529" i="2"/>
  <c r="AV529" i="2" s="1"/>
  <c r="AH529" i="2"/>
  <c r="AU529" i="2" s="1"/>
  <c r="AG529" i="2"/>
  <c r="AT529" i="2" s="1"/>
  <c r="AF529" i="2"/>
  <c r="AS529" i="2" s="1"/>
  <c r="AE529" i="2"/>
  <c r="AR529" i="2" s="1"/>
  <c r="AD529" i="2"/>
  <c r="AQ529" i="2" s="1"/>
  <c r="AA529" i="2"/>
  <c r="Z529" i="2"/>
  <c r="AP529" i="2" s="1"/>
  <c r="D529" i="2"/>
  <c r="A529" i="2"/>
  <c r="BC528" i="2"/>
  <c r="AO528" i="2"/>
  <c r="BB528" i="2" s="1"/>
  <c r="AN528" i="2"/>
  <c r="BA528" i="2" s="1"/>
  <c r="AM528" i="2"/>
  <c r="AZ528" i="2" s="1"/>
  <c r="AL528" i="2"/>
  <c r="AY528" i="2" s="1"/>
  <c r="AK528" i="2"/>
  <c r="AX528" i="2" s="1"/>
  <c r="AJ528" i="2"/>
  <c r="AW528" i="2" s="1"/>
  <c r="AI528" i="2"/>
  <c r="AV528" i="2" s="1"/>
  <c r="AH528" i="2"/>
  <c r="AU528" i="2" s="1"/>
  <c r="AG528" i="2"/>
  <c r="AT528" i="2" s="1"/>
  <c r="AF528" i="2"/>
  <c r="AS528" i="2" s="1"/>
  <c r="AE528" i="2"/>
  <c r="AR528" i="2" s="1"/>
  <c r="AD528" i="2"/>
  <c r="AQ528" i="2" s="1"/>
  <c r="AA528" i="2"/>
  <c r="Z528" i="2"/>
  <c r="AP528" i="2" s="1"/>
  <c r="D528" i="2"/>
  <c r="A528" i="2"/>
  <c r="BC527" i="2"/>
  <c r="AO527" i="2"/>
  <c r="BB527" i="2" s="1"/>
  <c r="AN527" i="2"/>
  <c r="BA527" i="2" s="1"/>
  <c r="AM527" i="2"/>
  <c r="AZ527" i="2" s="1"/>
  <c r="AL527" i="2"/>
  <c r="AY527" i="2" s="1"/>
  <c r="AK527" i="2"/>
  <c r="AX527" i="2" s="1"/>
  <c r="AJ527" i="2"/>
  <c r="AW527" i="2" s="1"/>
  <c r="AI527" i="2"/>
  <c r="AV527" i="2" s="1"/>
  <c r="AH527" i="2"/>
  <c r="AU527" i="2" s="1"/>
  <c r="AG527" i="2"/>
  <c r="AT527" i="2" s="1"/>
  <c r="AF527" i="2"/>
  <c r="AS527" i="2" s="1"/>
  <c r="AE527" i="2"/>
  <c r="AR527" i="2" s="1"/>
  <c r="AD527" i="2"/>
  <c r="AQ527" i="2" s="1"/>
  <c r="AA527" i="2"/>
  <c r="Z527" i="2"/>
  <c r="AP527" i="2" s="1"/>
  <c r="D527" i="2"/>
  <c r="A527" i="2"/>
  <c r="BC526" i="2"/>
  <c r="AO526" i="2"/>
  <c r="BB526" i="2" s="1"/>
  <c r="AN526" i="2"/>
  <c r="BA526" i="2" s="1"/>
  <c r="AM526" i="2"/>
  <c r="AZ526" i="2" s="1"/>
  <c r="AL526" i="2"/>
  <c r="AY526" i="2" s="1"/>
  <c r="AK526" i="2"/>
  <c r="AX526" i="2" s="1"/>
  <c r="AJ526" i="2"/>
  <c r="AW526" i="2" s="1"/>
  <c r="AI526" i="2"/>
  <c r="AV526" i="2" s="1"/>
  <c r="AH526" i="2"/>
  <c r="AU526" i="2" s="1"/>
  <c r="AG526" i="2"/>
  <c r="AT526" i="2" s="1"/>
  <c r="AF526" i="2"/>
  <c r="AS526" i="2" s="1"/>
  <c r="AE526" i="2"/>
  <c r="AR526" i="2" s="1"/>
  <c r="AD526" i="2"/>
  <c r="AQ526" i="2" s="1"/>
  <c r="AA526" i="2"/>
  <c r="Z526" i="2"/>
  <c r="AP526" i="2" s="1"/>
  <c r="D526" i="2"/>
  <c r="A526" i="2"/>
  <c r="BC525" i="2"/>
  <c r="AO525" i="2"/>
  <c r="BB525" i="2" s="1"/>
  <c r="AN525" i="2"/>
  <c r="BA525" i="2" s="1"/>
  <c r="AM525" i="2"/>
  <c r="AZ525" i="2" s="1"/>
  <c r="AL525" i="2"/>
  <c r="AY525" i="2" s="1"/>
  <c r="AK525" i="2"/>
  <c r="AX525" i="2" s="1"/>
  <c r="AJ525" i="2"/>
  <c r="AW525" i="2" s="1"/>
  <c r="AI525" i="2"/>
  <c r="AV525" i="2" s="1"/>
  <c r="AH525" i="2"/>
  <c r="AU525" i="2" s="1"/>
  <c r="AG525" i="2"/>
  <c r="AT525" i="2" s="1"/>
  <c r="AF525" i="2"/>
  <c r="AS525" i="2" s="1"/>
  <c r="AE525" i="2"/>
  <c r="AR525" i="2" s="1"/>
  <c r="AD525" i="2"/>
  <c r="AQ525" i="2" s="1"/>
  <c r="AA525" i="2"/>
  <c r="Z525" i="2"/>
  <c r="AP525" i="2" s="1"/>
  <c r="D525" i="2"/>
  <c r="A525" i="2"/>
  <c r="BC524" i="2"/>
  <c r="AO524" i="2"/>
  <c r="BB524" i="2" s="1"/>
  <c r="AN524" i="2"/>
  <c r="BA524" i="2" s="1"/>
  <c r="AM524" i="2"/>
  <c r="AZ524" i="2" s="1"/>
  <c r="AL524" i="2"/>
  <c r="AY524" i="2" s="1"/>
  <c r="AK524" i="2"/>
  <c r="AX524" i="2" s="1"/>
  <c r="AJ524" i="2"/>
  <c r="AW524" i="2" s="1"/>
  <c r="AI524" i="2"/>
  <c r="AV524" i="2" s="1"/>
  <c r="AH524" i="2"/>
  <c r="AU524" i="2" s="1"/>
  <c r="AG524" i="2"/>
  <c r="AT524" i="2" s="1"/>
  <c r="AF524" i="2"/>
  <c r="AS524" i="2" s="1"/>
  <c r="AE524" i="2"/>
  <c r="AR524" i="2" s="1"/>
  <c r="AD524" i="2"/>
  <c r="AQ524" i="2" s="1"/>
  <c r="AA524" i="2"/>
  <c r="Z524" i="2"/>
  <c r="AP524" i="2" s="1"/>
  <c r="D524" i="2"/>
  <c r="A524" i="2"/>
  <c r="BC523" i="2"/>
  <c r="AO523" i="2"/>
  <c r="BB523" i="2" s="1"/>
  <c r="AN523" i="2"/>
  <c r="BA523" i="2" s="1"/>
  <c r="AM523" i="2"/>
  <c r="AZ523" i="2" s="1"/>
  <c r="AL523" i="2"/>
  <c r="AY523" i="2" s="1"/>
  <c r="AK523" i="2"/>
  <c r="AX523" i="2" s="1"/>
  <c r="AJ523" i="2"/>
  <c r="AW523" i="2" s="1"/>
  <c r="AI523" i="2"/>
  <c r="AV523" i="2" s="1"/>
  <c r="AH523" i="2"/>
  <c r="AU523" i="2" s="1"/>
  <c r="AG523" i="2"/>
  <c r="AT523" i="2" s="1"/>
  <c r="AF523" i="2"/>
  <c r="AS523" i="2" s="1"/>
  <c r="AE523" i="2"/>
  <c r="AR523" i="2" s="1"/>
  <c r="AD523" i="2"/>
  <c r="AQ523" i="2" s="1"/>
  <c r="AA523" i="2"/>
  <c r="Z523" i="2"/>
  <c r="AP523" i="2" s="1"/>
  <c r="D523" i="2"/>
  <c r="A523" i="2"/>
  <c r="BC522" i="2"/>
  <c r="AO522" i="2"/>
  <c r="BB522" i="2" s="1"/>
  <c r="AN522" i="2"/>
  <c r="BA522" i="2" s="1"/>
  <c r="AM522" i="2"/>
  <c r="AZ522" i="2" s="1"/>
  <c r="AL522" i="2"/>
  <c r="AY522" i="2" s="1"/>
  <c r="AK522" i="2"/>
  <c r="AX522" i="2" s="1"/>
  <c r="AJ522" i="2"/>
  <c r="AW522" i="2" s="1"/>
  <c r="AI522" i="2"/>
  <c r="AV522" i="2" s="1"/>
  <c r="AH522" i="2"/>
  <c r="AU522" i="2" s="1"/>
  <c r="AG522" i="2"/>
  <c r="AT522" i="2" s="1"/>
  <c r="AF522" i="2"/>
  <c r="AS522" i="2" s="1"/>
  <c r="AE522" i="2"/>
  <c r="AR522" i="2" s="1"/>
  <c r="AD522" i="2"/>
  <c r="AQ522" i="2" s="1"/>
  <c r="AA522" i="2"/>
  <c r="Z522" i="2"/>
  <c r="AP522" i="2" s="1"/>
  <c r="D522" i="2"/>
  <c r="A522" i="2"/>
  <c r="BC521" i="2"/>
  <c r="AO521" i="2"/>
  <c r="BB521" i="2" s="1"/>
  <c r="AN521" i="2"/>
  <c r="BA521" i="2" s="1"/>
  <c r="AM521" i="2"/>
  <c r="AZ521" i="2" s="1"/>
  <c r="AL521" i="2"/>
  <c r="AY521" i="2" s="1"/>
  <c r="AK521" i="2"/>
  <c r="AX521" i="2" s="1"/>
  <c r="AJ521" i="2"/>
  <c r="AW521" i="2" s="1"/>
  <c r="AI521" i="2"/>
  <c r="AV521" i="2" s="1"/>
  <c r="AH521" i="2"/>
  <c r="AU521" i="2" s="1"/>
  <c r="AG521" i="2"/>
  <c r="AT521" i="2" s="1"/>
  <c r="AF521" i="2"/>
  <c r="AS521" i="2" s="1"/>
  <c r="AE521" i="2"/>
  <c r="AR521" i="2" s="1"/>
  <c r="AD521" i="2"/>
  <c r="AQ521" i="2" s="1"/>
  <c r="AA521" i="2"/>
  <c r="Z521" i="2"/>
  <c r="AP521" i="2" s="1"/>
  <c r="D521" i="2"/>
  <c r="A521" i="2"/>
  <c r="BC520" i="2"/>
  <c r="AT520" i="2"/>
  <c r="AO520" i="2"/>
  <c r="BB520" i="2" s="1"/>
  <c r="AN520" i="2"/>
  <c r="BA520" i="2" s="1"/>
  <c r="AM520" i="2"/>
  <c r="AZ520" i="2" s="1"/>
  <c r="AL520" i="2"/>
  <c r="AY520" i="2" s="1"/>
  <c r="AK520" i="2"/>
  <c r="AX520" i="2" s="1"/>
  <c r="AJ520" i="2"/>
  <c r="AW520" i="2" s="1"/>
  <c r="AI520" i="2"/>
  <c r="AV520" i="2" s="1"/>
  <c r="AH520" i="2"/>
  <c r="AU520" i="2" s="1"/>
  <c r="AG520" i="2"/>
  <c r="AF520" i="2"/>
  <c r="AS520" i="2" s="1"/>
  <c r="AE520" i="2"/>
  <c r="AR520" i="2" s="1"/>
  <c r="AD520" i="2"/>
  <c r="AQ520" i="2" s="1"/>
  <c r="AA520" i="2"/>
  <c r="Z520" i="2"/>
  <c r="AP520" i="2" s="1"/>
  <c r="D520" i="2"/>
  <c r="A520" i="2"/>
  <c r="BC519" i="2"/>
  <c r="AO519" i="2"/>
  <c r="BB519" i="2" s="1"/>
  <c r="AN519" i="2"/>
  <c r="BA519" i="2" s="1"/>
  <c r="AM519" i="2"/>
  <c r="AZ519" i="2" s="1"/>
  <c r="AL519" i="2"/>
  <c r="AY519" i="2" s="1"/>
  <c r="AK519" i="2"/>
  <c r="AX519" i="2" s="1"/>
  <c r="AJ519" i="2"/>
  <c r="AW519" i="2" s="1"/>
  <c r="AI519" i="2"/>
  <c r="AV519" i="2" s="1"/>
  <c r="AH519" i="2"/>
  <c r="AU519" i="2" s="1"/>
  <c r="AG519" i="2"/>
  <c r="AT519" i="2" s="1"/>
  <c r="AF519" i="2"/>
  <c r="AS519" i="2" s="1"/>
  <c r="AE519" i="2"/>
  <c r="AR519" i="2" s="1"/>
  <c r="AD519" i="2"/>
  <c r="AQ519" i="2" s="1"/>
  <c r="AA519" i="2"/>
  <c r="Z519" i="2"/>
  <c r="AP519" i="2" s="1"/>
  <c r="D519" i="2"/>
  <c r="A519" i="2"/>
  <c r="BC518" i="2"/>
  <c r="AO518" i="2"/>
  <c r="BB518" i="2" s="1"/>
  <c r="AN518" i="2"/>
  <c r="BA518" i="2" s="1"/>
  <c r="AM518" i="2"/>
  <c r="AZ518" i="2" s="1"/>
  <c r="AL518" i="2"/>
  <c r="AY518" i="2" s="1"/>
  <c r="AK518" i="2"/>
  <c r="AX518" i="2" s="1"/>
  <c r="AJ518" i="2"/>
  <c r="AW518" i="2" s="1"/>
  <c r="AI518" i="2"/>
  <c r="AV518" i="2" s="1"/>
  <c r="AH518" i="2"/>
  <c r="AU518" i="2" s="1"/>
  <c r="AG518" i="2"/>
  <c r="AT518" i="2" s="1"/>
  <c r="AF518" i="2"/>
  <c r="AS518" i="2" s="1"/>
  <c r="AE518" i="2"/>
  <c r="AR518" i="2" s="1"/>
  <c r="AD518" i="2"/>
  <c r="AQ518" i="2" s="1"/>
  <c r="AA518" i="2"/>
  <c r="Z518" i="2"/>
  <c r="AP518" i="2" s="1"/>
  <c r="D518" i="2"/>
  <c r="A518" i="2"/>
  <c r="BC517" i="2"/>
  <c r="AO517" i="2"/>
  <c r="BB517" i="2" s="1"/>
  <c r="AN517" i="2"/>
  <c r="BA517" i="2" s="1"/>
  <c r="AM517" i="2"/>
  <c r="AZ517" i="2" s="1"/>
  <c r="AL517" i="2"/>
  <c r="AY517" i="2" s="1"/>
  <c r="AK517" i="2"/>
  <c r="AX517" i="2" s="1"/>
  <c r="AJ517" i="2"/>
  <c r="AW517" i="2" s="1"/>
  <c r="AI517" i="2"/>
  <c r="AV517" i="2" s="1"/>
  <c r="AH517" i="2"/>
  <c r="AU517" i="2" s="1"/>
  <c r="AG517" i="2"/>
  <c r="AT517" i="2" s="1"/>
  <c r="AF517" i="2"/>
  <c r="AS517" i="2" s="1"/>
  <c r="AE517" i="2"/>
  <c r="AR517" i="2" s="1"/>
  <c r="AD517" i="2"/>
  <c r="AQ517" i="2" s="1"/>
  <c r="AA517" i="2"/>
  <c r="Z517" i="2"/>
  <c r="AP517" i="2" s="1"/>
  <c r="D517" i="2"/>
  <c r="A517" i="2"/>
  <c r="BC516" i="2"/>
  <c r="AO516" i="2"/>
  <c r="BB516" i="2" s="1"/>
  <c r="AN516" i="2"/>
  <c r="BA516" i="2" s="1"/>
  <c r="AM516" i="2"/>
  <c r="AZ516" i="2" s="1"/>
  <c r="AL516" i="2"/>
  <c r="AY516" i="2" s="1"/>
  <c r="AK516" i="2"/>
  <c r="AX516" i="2" s="1"/>
  <c r="AJ516" i="2"/>
  <c r="AW516" i="2" s="1"/>
  <c r="AI516" i="2"/>
  <c r="AV516" i="2" s="1"/>
  <c r="AH516" i="2"/>
  <c r="AU516" i="2" s="1"/>
  <c r="AG516" i="2"/>
  <c r="AT516" i="2" s="1"/>
  <c r="AF516" i="2"/>
  <c r="AS516" i="2" s="1"/>
  <c r="AE516" i="2"/>
  <c r="AR516" i="2" s="1"/>
  <c r="AD516" i="2"/>
  <c r="AQ516" i="2" s="1"/>
  <c r="AA516" i="2"/>
  <c r="Z516" i="2"/>
  <c r="AP516" i="2" s="1"/>
  <c r="D516" i="2"/>
  <c r="A516" i="2"/>
  <c r="BC515" i="2"/>
  <c r="AO515" i="2"/>
  <c r="BB515" i="2" s="1"/>
  <c r="AN515" i="2"/>
  <c r="BA515" i="2" s="1"/>
  <c r="AM515" i="2"/>
  <c r="AZ515" i="2" s="1"/>
  <c r="AL515" i="2"/>
  <c r="AY515" i="2" s="1"/>
  <c r="AK515" i="2"/>
  <c r="AX515" i="2" s="1"/>
  <c r="AJ515" i="2"/>
  <c r="AW515" i="2" s="1"/>
  <c r="AI515" i="2"/>
  <c r="AV515" i="2" s="1"/>
  <c r="AH515" i="2"/>
  <c r="AU515" i="2" s="1"/>
  <c r="AG515" i="2"/>
  <c r="AT515" i="2" s="1"/>
  <c r="AF515" i="2"/>
  <c r="AS515" i="2" s="1"/>
  <c r="AE515" i="2"/>
  <c r="AR515" i="2" s="1"/>
  <c r="AD515" i="2"/>
  <c r="AQ515" i="2" s="1"/>
  <c r="AA515" i="2"/>
  <c r="Z515" i="2"/>
  <c r="AP515" i="2" s="1"/>
  <c r="D515" i="2"/>
  <c r="A515" i="2"/>
  <c r="BC514" i="2"/>
  <c r="AV514" i="2"/>
  <c r="AO514" i="2"/>
  <c r="BB514" i="2" s="1"/>
  <c r="AN514" i="2"/>
  <c r="BA514" i="2" s="1"/>
  <c r="AM514" i="2"/>
  <c r="AZ514" i="2" s="1"/>
  <c r="AL514" i="2"/>
  <c r="AY514" i="2" s="1"/>
  <c r="AK514" i="2"/>
  <c r="AX514" i="2" s="1"/>
  <c r="AJ514" i="2"/>
  <c r="AW514" i="2" s="1"/>
  <c r="AI514" i="2"/>
  <c r="AH514" i="2"/>
  <c r="AU514" i="2" s="1"/>
  <c r="AG514" i="2"/>
  <c r="AT514" i="2" s="1"/>
  <c r="AF514" i="2"/>
  <c r="AS514" i="2" s="1"/>
  <c r="AE514" i="2"/>
  <c r="AR514" i="2" s="1"/>
  <c r="AD514" i="2"/>
  <c r="AQ514" i="2" s="1"/>
  <c r="AA514" i="2"/>
  <c r="Z514" i="2"/>
  <c r="AP514" i="2" s="1"/>
  <c r="D514" i="2"/>
  <c r="A514" i="2"/>
  <c r="BC513" i="2"/>
  <c r="AO513" i="2"/>
  <c r="BB513" i="2" s="1"/>
  <c r="AN513" i="2"/>
  <c r="BA513" i="2" s="1"/>
  <c r="AM513" i="2"/>
  <c r="AZ513" i="2" s="1"/>
  <c r="AL513" i="2"/>
  <c r="AY513" i="2" s="1"/>
  <c r="AK513" i="2"/>
  <c r="AX513" i="2" s="1"/>
  <c r="AJ513" i="2"/>
  <c r="AW513" i="2" s="1"/>
  <c r="AI513" i="2"/>
  <c r="AV513" i="2" s="1"/>
  <c r="AH513" i="2"/>
  <c r="AU513" i="2" s="1"/>
  <c r="AG513" i="2"/>
  <c r="AT513" i="2" s="1"/>
  <c r="AF513" i="2"/>
  <c r="AS513" i="2" s="1"/>
  <c r="AE513" i="2"/>
  <c r="AR513" i="2" s="1"/>
  <c r="AD513" i="2"/>
  <c r="AQ513" i="2" s="1"/>
  <c r="AA513" i="2"/>
  <c r="Z513" i="2"/>
  <c r="AP513" i="2" s="1"/>
  <c r="D513" i="2"/>
  <c r="A513" i="2"/>
  <c r="BC512" i="2"/>
  <c r="AO512" i="2"/>
  <c r="BB512" i="2" s="1"/>
  <c r="AN512" i="2"/>
  <c r="BA512" i="2" s="1"/>
  <c r="AM512" i="2"/>
  <c r="AZ512" i="2" s="1"/>
  <c r="AL512" i="2"/>
  <c r="AY512" i="2" s="1"/>
  <c r="AK512" i="2"/>
  <c r="AX512" i="2" s="1"/>
  <c r="AJ512" i="2"/>
  <c r="AW512" i="2" s="1"/>
  <c r="AI512" i="2"/>
  <c r="AV512" i="2" s="1"/>
  <c r="AH512" i="2"/>
  <c r="AU512" i="2" s="1"/>
  <c r="AG512" i="2"/>
  <c r="AT512" i="2" s="1"/>
  <c r="AF512" i="2"/>
  <c r="AS512" i="2" s="1"/>
  <c r="AE512" i="2"/>
  <c r="AR512" i="2" s="1"/>
  <c r="AD512" i="2"/>
  <c r="AQ512" i="2" s="1"/>
  <c r="AA512" i="2"/>
  <c r="Z512" i="2"/>
  <c r="AP512" i="2" s="1"/>
  <c r="D512" i="2"/>
  <c r="A512" i="2"/>
  <c r="BC511" i="2"/>
  <c r="AO511" i="2"/>
  <c r="BB511" i="2" s="1"/>
  <c r="AN511" i="2"/>
  <c r="BA511" i="2" s="1"/>
  <c r="AM511" i="2"/>
  <c r="AZ511" i="2" s="1"/>
  <c r="AL511" i="2"/>
  <c r="AY511" i="2" s="1"/>
  <c r="AK511" i="2"/>
  <c r="AX511" i="2" s="1"/>
  <c r="AJ511" i="2"/>
  <c r="AW511" i="2" s="1"/>
  <c r="AI511" i="2"/>
  <c r="AV511" i="2" s="1"/>
  <c r="AH511" i="2"/>
  <c r="AU511" i="2" s="1"/>
  <c r="AG511" i="2"/>
  <c r="AT511" i="2" s="1"/>
  <c r="AF511" i="2"/>
  <c r="AS511" i="2" s="1"/>
  <c r="AE511" i="2"/>
  <c r="AR511" i="2" s="1"/>
  <c r="AD511" i="2"/>
  <c r="AQ511" i="2" s="1"/>
  <c r="AA511" i="2"/>
  <c r="Z511" i="2"/>
  <c r="AP511" i="2" s="1"/>
  <c r="D511" i="2"/>
  <c r="A511" i="2"/>
  <c r="BC510" i="2"/>
  <c r="AO510" i="2"/>
  <c r="BB510" i="2" s="1"/>
  <c r="AN510" i="2"/>
  <c r="BA510" i="2" s="1"/>
  <c r="AM510" i="2"/>
  <c r="AZ510" i="2" s="1"/>
  <c r="AL510" i="2"/>
  <c r="AY510" i="2" s="1"/>
  <c r="AK510" i="2"/>
  <c r="AX510" i="2" s="1"/>
  <c r="AJ510" i="2"/>
  <c r="AW510" i="2" s="1"/>
  <c r="AI510" i="2"/>
  <c r="AV510" i="2" s="1"/>
  <c r="AH510" i="2"/>
  <c r="AU510" i="2" s="1"/>
  <c r="AG510" i="2"/>
  <c r="AT510" i="2" s="1"/>
  <c r="AF510" i="2"/>
  <c r="AS510" i="2" s="1"/>
  <c r="AE510" i="2"/>
  <c r="AR510" i="2" s="1"/>
  <c r="AD510" i="2"/>
  <c r="AQ510" i="2" s="1"/>
  <c r="AA510" i="2"/>
  <c r="Z510" i="2"/>
  <c r="AP510" i="2" s="1"/>
  <c r="D510" i="2"/>
  <c r="A510" i="2"/>
  <c r="BC509" i="2"/>
  <c r="AO509" i="2"/>
  <c r="BB509" i="2" s="1"/>
  <c r="AN509" i="2"/>
  <c r="BA509" i="2" s="1"/>
  <c r="AM509" i="2"/>
  <c r="AZ509" i="2" s="1"/>
  <c r="AL509" i="2"/>
  <c r="AY509" i="2" s="1"/>
  <c r="AK509" i="2"/>
  <c r="AX509" i="2" s="1"/>
  <c r="AJ509" i="2"/>
  <c r="AW509" i="2" s="1"/>
  <c r="AI509" i="2"/>
  <c r="AV509" i="2" s="1"/>
  <c r="AH509" i="2"/>
  <c r="AU509" i="2" s="1"/>
  <c r="AG509" i="2"/>
  <c r="AT509" i="2" s="1"/>
  <c r="AF509" i="2"/>
  <c r="AS509" i="2" s="1"/>
  <c r="AE509" i="2"/>
  <c r="AR509" i="2" s="1"/>
  <c r="AD509" i="2"/>
  <c r="AQ509" i="2" s="1"/>
  <c r="AA509" i="2"/>
  <c r="Z509" i="2"/>
  <c r="AP509" i="2" s="1"/>
  <c r="D509" i="2"/>
  <c r="A509" i="2"/>
  <c r="BC508" i="2"/>
  <c r="AO508" i="2"/>
  <c r="BB508" i="2" s="1"/>
  <c r="AN508" i="2"/>
  <c r="BA508" i="2" s="1"/>
  <c r="AM508" i="2"/>
  <c r="AZ508" i="2" s="1"/>
  <c r="AL508" i="2"/>
  <c r="AY508" i="2" s="1"/>
  <c r="AK508" i="2"/>
  <c r="AX508" i="2" s="1"/>
  <c r="AJ508" i="2"/>
  <c r="AW508" i="2" s="1"/>
  <c r="AI508" i="2"/>
  <c r="AV508" i="2" s="1"/>
  <c r="AH508" i="2"/>
  <c r="AU508" i="2" s="1"/>
  <c r="AG508" i="2"/>
  <c r="AT508" i="2" s="1"/>
  <c r="AF508" i="2"/>
  <c r="AS508" i="2" s="1"/>
  <c r="AE508" i="2"/>
  <c r="AR508" i="2" s="1"/>
  <c r="AD508" i="2"/>
  <c r="AQ508" i="2" s="1"/>
  <c r="AA508" i="2"/>
  <c r="Z508" i="2"/>
  <c r="AP508" i="2" s="1"/>
  <c r="D508" i="2"/>
  <c r="A508" i="2"/>
  <c r="BC507" i="2"/>
  <c r="AO507" i="2"/>
  <c r="BB507" i="2" s="1"/>
  <c r="AN507" i="2"/>
  <c r="BA507" i="2" s="1"/>
  <c r="AM507" i="2"/>
  <c r="AZ507" i="2" s="1"/>
  <c r="AL507" i="2"/>
  <c r="AY507" i="2" s="1"/>
  <c r="AK507" i="2"/>
  <c r="AX507" i="2" s="1"/>
  <c r="AJ507" i="2"/>
  <c r="AW507" i="2" s="1"/>
  <c r="AI507" i="2"/>
  <c r="AV507" i="2" s="1"/>
  <c r="AH507" i="2"/>
  <c r="AU507" i="2" s="1"/>
  <c r="AG507" i="2"/>
  <c r="AT507" i="2" s="1"/>
  <c r="AF507" i="2"/>
  <c r="AS507" i="2" s="1"/>
  <c r="AE507" i="2"/>
  <c r="AR507" i="2" s="1"/>
  <c r="AD507" i="2"/>
  <c r="AQ507" i="2" s="1"/>
  <c r="AA507" i="2"/>
  <c r="Z507" i="2"/>
  <c r="AP507" i="2" s="1"/>
  <c r="D507" i="2"/>
  <c r="A507" i="2"/>
  <c r="BC506" i="2"/>
  <c r="AO506" i="2"/>
  <c r="BB506" i="2" s="1"/>
  <c r="AN506" i="2"/>
  <c r="BA506" i="2" s="1"/>
  <c r="AM506" i="2"/>
  <c r="AZ506" i="2" s="1"/>
  <c r="AL506" i="2"/>
  <c r="AY506" i="2" s="1"/>
  <c r="AK506" i="2"/>
  <c r="AX506" i="2" s="1"/>
  <c r="AJ506" i="2"/>
  <c r="AW506" i="2" s="1"/>
  <c r="AI506" i="2"/>
  <c r="AV506" i="2" s="1"/>
  <c r="AH506" i="2"/>
  <c r="AU506" i="2" s="1"/>
  <c r="AG506" i="2"/>
  <c r="AT506" i="2" s="1"/>
  <c r="AF506" i="2"/>
  <c r="AS506" i="2" s="1"/>
  <c r="AE506" i="2"/>
  <c r="AR506" i="2" s="1"/>
  <c r="AD506" i="2"/>
  <c r="AQ506" i="2" s="1"/>
  <c r="AA506" i="2"/>
  <c r="Z506" i="2"/>
  <c r="AP506" i="2" s="1"/>
  <c r="D506" i="2"/>
  <c r="A506" i="2"/>
  <c r="BC505" i="2"/>
  <c r="AV505" i="2"/>
  <c r="AO505" i="2"/>
  <c r="BB505" i="2" s="1"/>
  <c r="AN505" i="2"/>
  <c r="BA505" i="2" s="1"/>
  <c r="AM505" i="2"/>
  <c r="AZ505" i="2" s="1"/>
  <c r="AL505" i="2"/>
  <c r="AY505" i="2" s="1"/>
  <c r="AK505" i="2"/>
  <c r="AX505" i="2" s="1"/>
  <c r="AJ505" i="2"/>
  <c r="AW505" i="2" s="1"/>
  <c r="AI505" i="2"/>
  <c r="AH505" i="2"/>
  <c r="AU505" i="2" s="1"/>
  <c r="AG505" i="2"/>
  <c r="AT505" i="2" s="1"/>
  <c r="AF505" i="2"/>
  <c r="AS505" i="2" s="1"/>
  <c r="AE505" i="2"/>
  <c r="AR505" i="2" s="1"/>
  <c r="AD505" i="2"/>
  <c r="AQ505" i="2" s="1"/>
  <c r="AA505" i="2"/>
  <c r="Z505" i="2"/>
  <c r="AP505" i="2" s="1"/>
  <c r="D505" i="2"/>
  <c r="A505" i="2"/>
  <c r="BC504" i="2"/>
  <c r="AO504" i="2"/>
  <c r="BB504" i="2" s="1"/>
  <c r="AN504" i="2"/>
  <c r="BA504" i="2" s="1"/>
  <c r="AM504" i="2"/>
  <c r="AZ504" i="2" s="1"/>
  <c r="AL504" i="2"/>
  <c r="AY504" i="2" s="1"/>
  <c r="AK504" i="2"/>
  <c r="AX504" i="2" s="1"/>
  <c r="AJ504" i="2"/>
  <c r="AW504" i="2" s="1"/>
  <c r="AI504" i="2"/>
  <c r="AV504" i="2" s="1"/>
  <c r="AH504" i="2"/>
  <c r="AU504" i="2" s="1"/>
  <c r="AG504" i="2"/>
  <c r="AT504" i="2" s="1"/>
  <c r="AF504" i="2"/>
  <c r="AS504" i="2" s="1"/>
  <c r="AE504" i="2"/>
  <c r="AR504" i="2" s="1"/>
  <c r="AD504" i="2"/>
  <c r="AQ504" i="2" s="1"/>
  <c r="AA504" i="2"/>
  <c r="Z504" i="2"/>
  <c r="AP504" i="2" s="1"/>
  <c r="D504" i="2"/>
  <c r="A504" i="2"/>
  <c r="BC503" i="2"/>
  <c r="AO503" i="2"/>
  <c r="BB503" i="2" s="1"/>
  <c r="AN503" i="2"/>
  <c r="BA503" i="2" s="1"/>
  <c r="AM503" i="2"/>
  <c r="AZ503" i="2" s="1"/>
  <c r="AL503" i="2"/>
  <c r="AY503" i="2" s="1"/>
  <c r="AK503" i="2"/>
  <c r="AX503" i="2" s="1"/>
  <c r="AJ503" i="2"/>
  <c r="AW503" i="2" s="1"/>
  <c r="AI503" i="2"/>
  <c r="AV503" i="2" s="1"/>
  <c r="AH503" i="2"/>
  <c r="AU503" i="2" s="1"/>
  <c r="AG503" i="2"/>
  <c r="AT503" i="2" s="1"/>
  <c r="AF503" i="2"/>
  <c r="AS503" i="2" s="1"/>
  <c r="AE503" i="2"/>
  <c r="AR503" i="2" s="1"/>
  <c r="AD503" i="2"/>
  <c r="AQ503" i="2" s="1"/>
  <c r="AA503" i="2"/>
  <c r="Z503" i="2"/>
  <c r="AP503" i="2" s="1"/>
  <c r="D503" i="2"/>
  <c r="A503" i="2"/>
  <c r="BC502" i="2"/>
  <c r="AO502" i="2"/>
  <c r="BB502" i="2" s="1"/>
  <c r="AN502" i="2"/>
  <c r="BA502" i="2" s="1"/>
  <c r="AM502" i="2"/>
  <c r="AZ502" i="2" s="1"/>
  <c r="AL502" i="2"/>
  <c r="AY502" i="2" s="1"/>
  <c r="AK502" i="2"/>
  <c r="AX502" i="2" s="1"/>
  <c r="AJ502" i="2"/>
  <c r="AW502" i="2" s="1"/>
  <c r="AI502" i="2"/>
  <c r="AV502" i="2" s="1"/>
  <c r="AH502" i="2"/>
  <c r="AU502" i="2" s="1"/>
  <c r="AG502" i="2"/>
  <c r="AT502" i="2" s="1"/>
  <c r="AF502" i="2"/>
  <c r="AS502" i="2" s="1"/>
  <c r="AE502" i="2"/>
  <c r="AR502" i="2" s="1"/>
  <c r="AD502" i="2"/>
  <c r="AQ502" i="2" s="1"/>
  <c r="AA502" i="2"/>
  <c r="Z502" i="2"/>
  <c r="AP502" i="2" s="1"/>
  <c r="D502" i="2"/>
  <c r="A502" i="2"/>
  <c r="BC501" i="2"/>
  <c r="AO501" i="2"/>
  <c r="BB501" i="2" s="1"/>
  <c r="AN501" i="2"/>
  <c r="BA501" i="2" s="1"/>
  <c r="AM501" i="2"/>
  <c r="AZ501" i="2" s="1"/>
  <c r="AL501" i="2"/>
  <c r="AY501" i="2" s="1"/>
  <c r="AK501" i="2"/>
  <c r="AX501" i="2" s="1"/>
  <c r="AJ501" i="2"/>
  <c r="AW501" i="2" s="1"/>
  <c r="AI501" i="2"/>
  <c r="AV501" i="2" s="1"/>
  <c r="AH501" i="2"/>
  <c r="AU501" i="2" s="1"/>
  <c r="AG501" i="2"/>
  <c r="AT501" i="2" s="1"/>
  <c r="AF501" i="2"/>
  <c r="AS501" i="2" s="1"/>
  <c r="AE501" i="2"/>
  <c r="AR501" i="2" s="1"/>
  <c r="AD501" i="2"/>
  <c r="AQ501" i="2" s="1"/>
  <c r="AA501" i="2"/>
  <c r="Z501" i="2"/>
  <c r="AP501" i="2" s="1"/>
  <c r="D501" i="2"/>
  <c r="A501" i="2"/>
  <c r="BC500" i="2"/>
  <c r="BB500" i="2"/>
  <c r="AO500" i="2"/>
  <c r="AN500" i="2"/>
  <c r="BA500" i="2" s="1"/>
  <c r="AM500" i="2"/>
  <c r="AZ500" i="2" s="1"/>
  <c r="AL500" i="2"/>
  <c r="AY500" i="2" s="1"/>
  <c r="AK500" i="2"/>
  <c r="AX500" i="2" s="1"/>
  <c r="AJ500" i="2"/>
  <c r="AW500" i="2" s="1"/>
  <c r="AI500" i="2"/>
  <c r="AV500" i="2" s="1"/>
  <c r="AH500" i="2"/>
  <c r="AU500" i="2" s="1"/>
  <c r="AG500" i="2"/>
  <c r="AT500" i="2" s="1"/>
  <c r="AF500" i="2"/>
  <c r="AS500" i="2" s="1"/>
  <c r="AE500" i="2"/>
  <c r="AR500" i="2" s="1"/>
  <c r="AD500" i="2"/>
  <c r="AQ500" i="2" s="1"/>
  <c r="AA500" i="2"/>
  <c r="Z500" i="2"/>
  <c r="AP500" i="2" s="1"/>
  <c r="D500" i="2"/>
  <c r="A500" i="2"/>
  <c r="BC499" i="2"/>
  <c r="AO499" i="2"/>
  <c r="BB499" i="2" s="1"/>
  <c r="AN499" i="2"/>
  <c r="BA499" i="2" s="1"/>
  <c r="AM499" i="2"/>
  <c r="AZ499" i="2" s="1"/>
  <c r="AL499" i="2"/>
  <c r="AY499" i="2" s="1"/>
  <c r="AK499" i="2"/>
  <c r="AX499" i="2" s="1"/>
  <c r="AJ499" i="2"/>
  <c r="AW499" i="2" s="1"/>
  <c r="AI499" i="2"/>
  <c r="AV499" i="2" s="1"/>
  <c r="AH499" i="2"/>
  <c r="AU499" i="2" s="1"/>
  <c r="AG499" i="2"/>
  <c r="AT499" i="2" s="1"/>
  <c r="AF499" i="2"/>
  <c r="AS499" i="2" s="1"/>
  <c r="AE499" i="2"/>
  <c r="AR499" i="2" s="1"/>
  <c r="AD499" i="2"/>
  <c r="AQ499" i="2" s="1"/>
  <c r="AA499" i="2"/>
  <c r="Z499" i="2"/>
  <c r="AP499" i="2" s="1"/>
  <c r="D499" i="2"/>
  <c r="A499" i="2"/>
  <c r="BC498" i="2"/>
  <c r="AO498" i="2"/>
  <c r="BB498" i="2" s="1"/>
  <c r="AN498" i="2"/>
  <c r="BA498" i="2" s="1"/>
  <c r="AM498" i="2"/>
  <c r="AZ498" i="2" s="1"/>
  <c r="AL498" i="2"/>
  <c r="AY498" i="2" s="1"/>
  <c r="AK498" i="2"/>
  <c r="AX498" i="2" s="1"/>
  <c r="AJ498" i="2"/>
  <c r="AW498" i="2" s="1"/>
  <c r="AI498" i="2"/>
  <c r="AV498" i="2" s="1"/>
  <c r="AH498" i="2"/>
  <c r="AU498" i="2" s="1"/>
  <c r="AG498" i="2"/>
  <c r="AT498" i="2" s="1"/>
  <c r="AF498" i="2"/>
  <c r="AS498" i="2" s="1"/>
  <c r="AE498" i="2"/>
  <c r="AR498" i="2" s="1"/>
  <c r="AD498" i="2"/>
  <c r="AQ498" i="2" s="1"/>
  <c r="AA498" i="2"/>
  <c r="Z498" i="2"/>
  <c r="AP498" i="2" s="1"/>
  <c r="D498" i="2"/>
  <c r="A498" i="2"/>
  <c r="BC497" i="2"/>
  <c r="AT497" i="2"/>
  <c r="AO497" i="2"/>
  <c r="BB497" i="2" s="1"/>
  <c r="AN497" i="2"/>
  <c r="BA497" i="2" s="1"/>
  <c r="AM497" i="2"/>
  <c r="AZ497" i="2" s="1"/>
  <c r="AL497" i="2"/>
  <c r="AY497" i="2" s="1"/>
  <c r="AK497" i="2"/>
  <c r="AX497" i="2" s="1"/>
  <c r="AJ497" i="2"/>
  <c r="AW497" i="2" s="1"/>
  <c r="AI497" i="2"/>
  <c r="AV497" i="2" s="1"/>
  <c r="AH497" i="2"/>
  <c r="AU497" i="2" s="1"/>
  <c r="AG497" i="2"/>
  <c r="AF497" i="2"/>
  <c r="AS497" i="2" s="1"/>
  <c r="AE497" i="2"/>
  <c r="AR497" i="2" s="1"/>
  <c r="AD497" i="2"/>
  <c r="AQ497" i="2" s="1"/>
  <c r="AA497" i="2"/>
  <c r="Z497" i="2"/>
  <c r="AP497" i="2" s="1"/>
  <c r="D497" i="2"/>
  <c r="A497" i="2"/>
  <c r="BC496" i="2"/>
  <c r="AX496" i="2"/>
  <c r="AO496" i="2"/>
  <c r="BB496" i="2" s="1"/>
  <c r="AN496" i="2"/>
  <c r="BA496" i="2" s="1"/>
  <c r="AM496" i="2"/>
  <c r="AZ496" i="2" s="1"/>
  <c r="AL496" i="2"/>
  <c r="AY496" i="2" s="1"/>
  <c r="AK496" i="2"/>
  <c r="AJ496" i="2"/>
  <c r="AW496" i="2" s="1"/>
  <c r="AI496" i="2"/>
  <c r="AV496" i="2" s="1"/>
  <c r="AH496" i="2"/>
  <c r="AU496" i="2" s="1"/>
  <c r="AG496" i="2"/>
  <c r="AT496" i="2" s="1"/>
  <c r="AF496" i="2"/>
  <c r="AS496" i="2" s="1"/>
  <c r="AE496" i="2"/>
  <c r="AR496" i="2" s="1"/>
  <c r="AD496" i="2"/>
  <c r="AQ496" i="2" s="1"/>
  <c r="AA496" i="2"/>
  <c r="Z496" i="2"/>
  <c r="AP496" i="2" s="1"/>
  <c r="D496" i="2"/>
  <c r="A496" i="2"/>
  <c r="BC495" i="2"/>
  <c r="AO495" i="2"/>
  <c r="BB495" i="2" s="1"/>
  <c r="AN495" i="2"/>
  <c r="BA495" i="2" s="1"/>
  <c r="AM495" i="2"/>
  <c r="AZ495" i="2" s="1"/>
  <c r="AL495" i="2"/>
  <c r="AY495" i="2" s="1"/>
  <c r="AK495" i="2"/>
  <c r="AX495" i="2" s="1"/>
  <c r="AJ495" i="2"/>
  <c r="AW495" i="2" s="1"/>
  <c r="AI495" i="2"/>
  <c r="AV495" i="2" s="1"/>
  <c r="AH495" i="2"/>
  <c r="AU495" i="2" s="1"/>
  <c r="AG495" i="2"/>
  <c r="AT495" i="2" s="1"/>
  <c r="AF495" i="2"/>
  <c r="AS495" i="2" s="1"/>
  <c r="AE495" i="2"/>
  <c r="AR495" i="2" s="1"/>
  <c r="AD495" i="2"/>
  <c r="AQ495" i="2" s="1"/>
  <c r="AA495" i="2"/>
  <c r="Z495" i="2"/>
  <c r="AP495" i="2" s="1"/>
  <c r="D495" i="2"/>
  <c r="A495" i="2"/>
  <c r="BC494" i="2"/>
  <c r="AO494" i="2"/>
  <c r="BB494" i="2" s="1"/>
  <c r="AN494" i="2"/>
  <c r="BA494" i="2" s="1"/>
  <c r="AM494" i="2"/>
  <c r="AZ494" i="2" s="1"/>
  <c r="AL494" i="2"/>
  <c r="AY494" i="2" s="1"/>
  <c r="AK494" i="2"/>
  <c r="AX494" i="2" s="1"/>
  <c r="AJ494" i="2"/>
  <c r="AW494" i="2" s="1"/>
  <c r="AI494" i="2"/>
  <c r="AV494" i="2" s="1"/>
  <c r="AH494" i="2"/>
  <c r="AU494" i="2" s="1"/>
  <c r="AG494" i="2"/>
  <c r="AT494" i="2" s="1"/>
  <c r="AF494" i="2"/>
  <c r="AS494" i="2" s="1"/>
  <c r="AE494" i="2"/>
  <c r="AR494" i="2" s="1"/>
  <c r="AD494" i="2"/>
  <c r="AQ494" i="2" s="1"/>
  <c r="AA494" i="2"/>
  <c r="Z494" i="2"/>
  <c r="AP494" i="2" s="1"/>
  <c r="D494" i="2"/>
  <c r="A494" i="2"/>
  <c r="BC493" i="2"/>
  <c r="AO493" i="2"/>
  <c r="BB493" i="2" s="1"/>
  <c r="AN493" i="2"/>
  <c r="BA493" i="2" s="1"/>
  <c r="AM493" i="2"/>
  <c r="AZ493" i="2" s="1"/>
  <c r="AL493" i="2"/>
  <c r="AY493" i="2" s="1"/>
  <c r="AK493" i="2"/>
  <c r="AX493" i="2" s="1"/>
  <c r="AJ493" i="2"/>
  <c r="AW493" i="2" s="1"/>
  <c r="AI493" i="2"/>
  <c r="AV493" i="2" s="1"/>
  <c r="AH493" i="2"/>
  <c r="AU493" i="2" s="1"/>
  <c r="AG493" i="2"/>
  <c r="AT493" i="2" s="1"/>
  <c r="AF493" i="2"/>
  <c r="AS493" i="2" s="1"/>
  <c r="AE493" i="2"/>
  <c r="AR493" i="2" s="1"/>
  <c r="AD493" i="2"/>
  <c r="AQ493" i="2" s="1"/>
  <c r="AA493" i="2"/>
  <c r="Z493" i="2"/>
  <c r="AP493" i="2" s="1"/>
  <c r="D493" i="2"/>
  <c r="A493" i="2"/>
  <c r="BC492" i="2"/>
  <c r="AO492" i="2"/>
  <c r="BB492" i="2" s="1"/>
  <c r="AN492" i="2"/>
  <c r="BA492" i="2" s="1"/>
  <c r="AM492" i="2"/>
  <c r="AZ492" i="2" s="1"/>
  <c r="AL492" i="2"/>
  <c r="AY492" i="2" s="1"/>
  <c r="AK492" i="2"/>
  <c r="AX492" i="2" s="1"/>
  <c r="AJ492" i="2"/>
  <c r="AW492" i="2" s="1"/>
  <c r="AI492" i="2"/>
  <c r="AV492" i="2" s="1"/>
  <c r="AH492" i="2"/>
  <c r="AU492" i="2" s="1"/>
  <c r="AG492" i="2"/>
  <c r="AT492" i="2" s="1"/>
  <c r="AF492" i="2"/>
  <c r="AS492" i="2" s="1"/>
  <c r="AE492" i="2"/>
  <c r="AR492" i="2" s="1"/>
  <c r="AD492" i="2"/>
  <c r="AQ492" i="2" s="1"/>
  <c r="AA492" i="2"/>
  <c r="Z492" i="2"/>
  <c r="AP492" i="2" s="1"/>
  <c r="D492" i="2"/>
  <c r="A492" i="2"/>
  <c r="BC491" i="2"/>
  <c r="AO491" i="2"/>
  <c r="BB491" i="2" s="1"/>
  <c r="AN491" i="2"/>
  <c r="BA491" i="2" s="1"/>
  <c r="AM491" i="2"/>
  <c r="AZ491" i="2" s="1"/>
  <c r="AL491" i="2"/>
  <c r="AY491" i="2" s="1"/>
  <c r="AK491" i="2"/>
  <c r="AX491" i="2" s="1"/>
  <c r="AJ491" i="2"/>
  <c r="AW491" i="2" s="1"/>
  <c r="AI491" i="2"/>
  <c r="AV491" i="2" s="1"/>
  <c r="AH491" i="2"/>
  <c r="AU491" i="2" s="1"/>
  <c r="AG491" i="2"/>
  <c r="AT491" i="2" s="1"/>
  <c r="AF491" i="2"/>
  <c r="AS491" i="2" s="1"/>
  <c r="AE491" i="2"/>
  <c r="AR491" i="2" s="1"/>
  <c r="AD491" i="2"/>
  <c r="AQ491" i="2" s="1"/>
  <c r="AA491" i="2"/>
  <c r="Z491" i="2"/>
  <c r="AP491" i="2" s="1"/>
  <c r="D491" i="2"/>
  <c r="A491" i="2"/>
  <c r="BC490" i="2"/>
  <c r="AO490" i="2"/>
  <c r="BB490" i="2" s="1"/>
  <c r="AN490" i="2"/>
  <c r="BA490" i="2" s="1"/>
  <c r="AM490" i="2"/>
  <c r="AZ490" i="2" s="1"/>
  <c r="AL490" i="2"/>
  <c r="AY490" i="2" s="1"/>
  <c r="AK490" i="2"/>
  <c r="AX490" i="2" s="1"/>
  <c r="AJ490" i="2"/>
  <c r="AW490" i="2" s="1"/>
  <c r="AI490" i="2"/>
  <c r="AV490" i="2" s="1"/>
  <c r="AH490" i="2"/>
  <c r="AU490" i="2" s="1"/>
  <c r="AG490" i="2"/>
  <c r="AT490" i="2" s="1"/>
  <c r="AF490" i="2"/>
  <c r="AS490" i="2" s="1"/>
  <c r="AE490" i="2"/>
  <c r="AR490" i="2" s="1"/>
  <c r="AD490" i="2"/>
  <c r="AQ490" i="2" s="1"/>
  <c r="AA490" i="2"/>
  <c r="Z490" i="2"/>
  <c r="AP490" i="2" s="1"/>
  <c r="D490" i="2"/>
  <c r="A490" i="2"/>
  <c r="BC489" i="2"/>
  <c r="AO489" i="2"/>
  <c r="BB489" i="2" s="1"/>
  <c r="AN489" i="2"/>
  <c r="BA489" i="2" s="1"/>
  <c r="AM489" i="2"/>
  <c r="AZ489" i="2" s="1"/>
  <c r="AL489" i="2"/>
  <c r="AY489" i="2" s="1"/>
  <c r="AK489" i="2"/>
  <c r="AX489" i="2" s="1"/>
  <c r="AJ489" i="2"/>
  <c r="AW489" i="2" s="1"/>
  <c r="AI489" i="2"/>
  <c r="AV489" i="2" s="1"/>
  <c r="AH489" i="2"/>
  <c r="AU489" i="2" s="1"/>
  <c r="AG489" i="2"/>
  <c r="AT489" i="2" s="1"/>
  <c r="AF489" i="2"/>
  <c r="AS489" i="2" s="1"/>
  <c r="AE489" i="2"/>
  <c r="AR489" i="2" s="1"/>
  <c r="AD489" i="2"/>
  <c r="AQ489" i="2" s="1"/>
  <c r="AA489" i="2"/>
  <c r="Z489" i="2"/>
  <c r="AP489" i="2" s="1"/>
  <c r="D489" i="2"/>
  <c r="A489" i="2"/>
  <c r="BC488" i="2"/>
  <c r="AO488" i="2"/>
  <c r="BB488" i="2" s="1"/>
  <c r="AN488" i="2"/>
  <c r="BA488" i="2" s="1"/>
  <c r="AM488" i="2"/>
  <c r="AZ488" i="2" s="1"/>
  <c r="AL488" i="2"/>
  <c r="AY488" i="2" s="1"/>
  <c r="AK488" i="2"/>
  <c r="AX488" i="2" s="1"/>
  <c r="AJ488" i="2"/>
  <c r="AW488" i="2" s="1"/>
  <c r="AI488" i="2"/>
  <c r="AV488" i="2" s="1"/>
  <c r="AH488" i="2"/>
  <c r="AU488" i="2" s="1"/>
  <c r="AG488" i="2"/>
  <c r="AT488" i="2" s="1"/>
  <c r="AF488" i="2"/>
  <c r="AS488" i="2" s="1"/>
  <c r="AE488" i="2"/>
  <c r="AR488" i="2" s="1"/>
  <c r="AD488" i="2"/>
  <c r="AQ488" i="2" s="1"/>
  <c r="AA488" i="2"/>
  <c r="Z488" i="2"/>
  <c r="AP488" i="2" s="1"/>
  <c r="D488" i="2"/>
  <c r="A488" i="2"/>
  <c r="BC487" i="2"/>
  <c r="AO487" i="2"/>
  <c r="BB487" i="2" s="1"/>
  <c r="AN487" i="2"/>
  <c r="BA487" i="2" s="1"/>
  <c r="AM487" i="2"/>
  <c r="AZ487" i="2" s="1"/>
  <c r="AL487" i="2"/>
  <c r="AY487" i="2" s="1"/>
  <c r="AK487" i="2"/>
  <c r="AX487" i="2" s="1"/>
  <c r="AJ487" i="2"/>
  <c r="AW487" i="2" s="1"/>
  <c r="AI487" i="2"/>
  <c r="AV487" i="2" s="1"/>
  <c r="AH487" i="2"/>
  <c r="AU487" i="2" s="1"/>
  <c r="AG487" i="2"/>
  <c r="AT487" i="2" s="1"/>
  <c r="AF487" i="2"/>
  <c r="AS487" i="2" s="1"/>
  <c r="AE487" i="2"/>
  <c r="AR487" i="2" s="1"/>
  <c r="AD487" i="2"/>
  <c r="AQ487" i="2" s="1"/>
  <c r="AA487" i="2"/>
  <c r="Z487" i="2"/>
  <c r="AP487" i="2" s="1"/>
  <c r="D487" i="2"/>
  <c r="A487" i="2"/>
  <c r="BC486" i="2"/>
  <c r="AO486" i="2"/>
  <c r="BB486" i="2" s="1"/>
  <c r="AN486" i="2"/>
  <c r="BA486" i="2" s="1"/>
  <c r="AM486" i="2"/>
  <c r="AZ486" i="2" s="1"/>
  <c r="AL486" i="2"/>
  <c r="AY486" i="2" s="1"/>
  <c r="AK486" i="2"/>
  <c r="AX486" i="2" s="1"/>
  <c r="AJ486" i="2"/>
  <c r="AW486" i="2" s="1"/>
  <c r="AI486" i="2"/>
  <c r="AV486" i="2" s="1"/>
  <c r="AH486" i="2"/>
  <c r="AU486" i="2" s="1"/>
  <c r="AG486" i="2"/>
  <c r="AT486" i="2" s="1"/>
  <c r="AF486" i="2"/>
  <c r="AS486" i="2" s="1"/>
  <c r="AE486" i="2"/>
  <c r="AR486" i="2" s="1"/>
  <c r="AD486" i="2"/>
  <c r="AQ486" i="2" s="1"/>
  <c r="AA486" i="2"/>
  <c r="Z486" i="2"/>
  <c r="AP486" i="2" s="1"/>
  <c r="D486" i="2"/>
  <c r="A486" i="2"/>
  <c r="BC485" i="2"/>
  <c r="AO485" i="2"/>
  <c r="BB485" i="2" s="1"/>
  <c r="AN485" i="2"/>
  <c r="BA485" i="2" s="1"/>
  <c r="AM485" i="2"/>
  <c r="AZ485" i="2" s="1"/>
  <c r="AL485" i="2"/>
  <c r="AY485" i="2" s="1"/>
  <c r="AK485" i="2"/>
  <c r="AX485" i="2" s="1"/>
  <c r="AJ485" i="2"/>
  <c r="AW485" i="2" s="1"/>
  <c r="AI485" i="2"/>
  <c r="AV485" i="2" s="1"/>
  <c r="AH485" i="2"/>
  <c r="AU485" i="2" s="1"/>
  <c r="AG485" i="2"/>
  <c r="AT485" i="2" s="1"/>
  <c r="AF485" i="2"/>
  <c r="AS485" i="2" s="1"/>
  <c r="AE485" i="2"/>
  <c r="AR485" i="2" s="1"/>
  <c r="AD485" i="2"/>
  <c r="AQ485" i="2" s="1"/>
  <c r="AA485" i="2"/>
  <c r="Z485" i="2"/>
  <c r="AP485" i="2" s="1"/>
  <c r="D485" i="2"/>
  <c r="A485" i="2"/>
  <c r="BC484" i="2"/>
  <c r="AO484" i="2"/>
  <c r="BB484" i="2" s="1"/>
  <c r="AN484" i="2"/>
  <c r="BA484" i="2" s="1"/>
  <c r="AM484" i="2"/>
  <c r="AZ484" i="2" s="1"/>
  <c r="AL484" i="2"/>
  <c r="AY484" i="2" s="1"/>
  <c r="AK484" i="2"/>
  <c r="AX484" i="2" s="1"/>
  <c r="AJ484" i="2"/>
  <c r="AW484" i="2" s="1"/>
  <c r="AI484" i="2"/>
  <c r="AV484" i="2" s="1"/>
  <c r="AH484" i="2"/>
  <c r="AU484" i="2" s="1"/>
  <c r="AG484" i="2"/>
  <c r="AT484" i="2" s="1"/>
  <c r="AF484" i="2"/>
  <c r="AS484" i="2" s="1"/>
  <c r="AE484" i="2"/>
  <c r="AR484" i="2" s="1"/>
  <c r="AD484" i="2"/>
  <c r="AQ484" i="2" s="1"/>
  <c r="AA484" i="2"/>
  <c r="Z484" i="2"/>
  <c r="AP484" i="2" s="1"/>
  <c r="A484" i="2"/>
  <c r="BC483" i="2"/>
  <c r="AO483" i="2"/>
  <c r="BB483" i="2" s="1"/>
  <c r="AN483" i="2"/>
  <c r="BA483" i="2" s="1"/>
  <c r="AM483" i="2"/>
  <c r="AZ483" i="2" s="1"/>
  <c r="AL483" i="2"/>
  <c r="AY483" i="2" s="1"/>
  <c r="AK483" i="2"/>
  <c r="AX483" i="2" s="1"/>
  <c r="AJ483" i="2"/>
  <c r="AW483" i="2" s="1"/>
  <c r="AI483" i="2"/>
  <c r="AV483" i="2" s="1"/>
  <c r="AH483" i="2"/>
  <c r="AU483" i="2" s="1"/>
  <c r="AG483" i="2"/>
  <c r="AT483" i="2" s="1"/>
  <c r="AF483" i="2"/>
  <c r="AS483" i="2" s="1"/>
  <c r="AE483" i="2"/>
  <c r="AR483" i="2" s="1"/>
  <c r="AD483" i="2"/>
  <c r="AQ483" i="2" s="1"/>
  <c r="AA483" i="2"/>
  <c r="Z483" i="2"/>
  <c r="AP483" i="2" s="1"/>
  <c r="A483" i="2"/>
  <c r="BC482" i="2"/>
  <c r="AO482" i="2"/>
  <c r="BB482" i="2" s="1"/>
  <c r="AN482" i="2"/>
  <c r="BA482" i="2" s="1"/>
  <c r="AM482" i="2"/>
  <c r="AZ482" i="2" s="1"/>
  <c r="AL482" i="2"/>
  <c r="AY482" i="2" s="1"/>
  <c r="AK482" i="2"/>
  <c r="AX482" i="2" s="1"/>
  <c r="AJ482" i="2"/>
  <c r="AW482" i="2" s="1"/>
  <c r="AI482" i="2"/>
  <c r="AV482" i="2" s="1"/>
  <c r="AH482" i="2"/>
  <c r="AU482" i="2" s="1"/>
  <c r="AG482" i="2"/>
  <c r="AT482" i="2" s="1"/>
  <c r="AF482" i="2"/>
  <c r="AS482" i="2" s="1"/>
  <c r="AE482" i="2"/>
  <c r="AR482" i="2" s="1"/>
  <c r="AD482" i="2"/>
  <c r="AQ482" i="2" s="1"/>
  <c r="AA482" i="2"/>
  <c r="Z482" i="2"/>
  <c r="AP482" i="2" s="1"/>
  <c r="A482" i="2"/>
  <c r="BC481" i="2"/>
  <c r="AO481" i="2"/>
  <c r="BB481" i="2" s="1"/>
  <c r="AN481" i="2"/>
  <c r="BA481" i="2" s="1"/>
  <c r="AM481" i="2"/>
  <c r="AZ481" i="2" s="1"/>
  <c r="AL481" i="2"/>
  <c r="AY481" i="2" s="1"/>
  <c r="AK481" i="2"/>
  <c r="AX481" i="2" s="1"/>
  <c r="AJ481" i="2"/>
  <c r="AW481" i="2" s="1"/>
  <c r="AI481" i="2"/>
  <c r="AV481" i="2" s="1"/>
  <c r="AH481" i="2"/>
  <c r="AU481" i="2" s="1"/>
  <c r="AG481" i="2"/>
  <c r="AT481" i="2" s="1"/>
  <c r="AF481" i="2"/>
  <c r="AS481" i="2" s="1"/>
  <c r="AE481" i="2"/>
  <c r="AR481" i="2" s="1"/>
  <c r="AD481" i="2"/>
  <c r="AQ481" i="2" s="1"/>
  <c r="AA481" i="2"/>
  <c r="Z481" i="2"/>
  <c r="AP481" i="2" s="1"/>
  <c r="A481" i="2"/>
  <c r="BC480" i="2"/>
  <c r="AO480" i="2"/>
  <c r="BB480" i="2" s="1"/>
  <c r="AN480" i="2"/>
  <c r="BA480" i="2" s="1"/>
  <c r="AM480" i="2"/>
  <c r="AZ480" i="2" s="1"/>
  <c r="AL480" i="2"/>
  <c r="AY480" i="2" s="1"/>
  <c r="AK480" i="2"/>
  <c r="AX480" i="2" s="1"/>
  <c r="AJ480" i="2"/>
  <c r="AW480" i="2" s="1"/>
  <c r="AI480" i="2"/>
  <c r="AV480" i="2" s="1"/>
  <c r="AH480" i="2"/>
  <c r="AU480" i="2" s="1"/>
  <c r="AG480" i="2"/>
  <c r="AT480" i="2" s="1"/>
  <c r="AF480" i="2"/>
  <c r="AS480" i="2" s="1"/>
  <c r="AE480" i="2"/>
  <c r="AR480" i="2" s="1"/>
  <c r="AD480" i="2"/>
  <c r="AQ480" i="2" s="1"/>
  <c r="AA480" i="2"/>
  <c r="Z480" i="2"/>
  <c r="AP480" i="2" s="1"/>
  <c r="A480" i="2"/>
  <c r="BC479" i="2"/>
  <c r="AT479" i="2"/>
  <c r="AO479" i="2"/>
  <c r="BB479" i="2" s="1"/>
  <c r="AN479" i="2"/>
  <c r="BA479" i="2" s="1"/>
  <c r="AM479" i="2"/>
  <c r="AZ479" i="2" s="1"/>
  <c r="AL479" i="2"/>
  <c r="AY479" i="2" s="1"/>
  <c r="AK479" i="2"/>
  <c r="AX479" i="2" s="1"/>
  <c r="AJ479" i="2"/>
  <c r="AW479" i="2" s="1"/>
  <c r="AI479" i="2"/>
  <c r="AV479" i="2" s="1"/>
  <c r="AH479" i="2"/>
  <c r="AU479" i="2" s="1"/>
  <c r="AG479" i="2"/>
  <c r="AF479" i="2"/>
  <c r="AS479" i="2" s="1"/>
  <c r="AE479" i="2"/>
  <c r="AR479" i="2" s="1"/>
  <c r="AD479" i="2"/>
  <c r="AQ479" i="2" s="1"/>
  <c r="AA479" i="2"/>
  <c r="Z479" i="2"/>
  <c r="AP479" i="2" s="1"/>
  <c r="D479" i="2"/>
  <c r="A479" i="2"/>
  <c r="BC478" i="2"/>
  <c r="AO478" i="2"/>
  <c r="BB478" i="2" s="1"/>
  <c r="AN478" i="2"/>
  <c r="BA478" i="2" s="1"/>
  <c r="AM478" i="2"/>
  <c r="AZ478" i="2" s="1"/>
  <c r="AL478" i="2"/>
  <c r="AY478" i="2" s="1"/>
  <c r="AK478" i="2"/>
  <c r="AX478" i="2" s="1"/>
  <c r="AJ478" i="2"/>
  <c r="AW478" i="2" s="1"/>
  <c r="AI478" i="2"/>
  <c r="AV478" i="2" s="1"/>
  <c r="AH478" i="2"/>
  <c r="AU478" i="2" s="1"/>
  <c r="AG478" i="2"/>
  <c r="AT478" i="2" s="1"/>
  <c r="AF478" i="2"/>
  <c r="AS478" i="2" s="1"/>
  <c r="AE478" i="2"/>
  <c r="AR478" i="2" s="1"/>
  <c r="AD478" i="2"/>
  <c r="AQ478" i="2" s="1"/>
  <c r="AA478" i="2"/>
  <c r="Z478" i="2"/>
  <c r="AP478" i="2" s="1"/>
  <c r="D478" i="2"/>
  <c r="A478" i="2"/>
  <c r="BC477" i="2"/>
  <c r="AR477" i="2"/>
  <c r="AO477" i="2"/>
  <c r="BB477" i="2" s="1"/>
  <c r="AN477" i="2"/>
  <c r="BA477" i="2" s="1"/>
  <c r="AM477" i="2"/>
  <c r="AZ477" i="2" s="1"/>
  <c r="AL477" i="2"/>
  <c r="AY477" i="2" s="1"/>
  <c r="AK477" i="2"/>
  <c r="AX477" i="2" s="1"/>
  <c r="AJ477" i="2"/>
  <c r="AW477" i="2" s="1"/>
  <c r="AI477" i="2"/>
  <c r="AV477" i="2" s="1"/>
  <c r="AH477" i="2"/>
  <c r="AU477" i="2" s="1"/>
  <c r="AG477" i="2"/>
  <c r="AT477" i="2" s="1"/>
  <c r="AF477" i="2"/>
  <c r="AS477" i="2" s="1"/>
  <c r="AE477" i="2"/>
  <c r="AD477" i="2"/>
  <c r="AQ477" i="2" s="1"/>
  <c r="AA477" i="2"/>
  <c r="Z477" i="2"/>
  <c r="AP477" i="2" s="1"/>
  <c r="D477" i="2"/>
  <c r="A477" i="2"/>
  <c r="BC476" i="2"/>
  <c r="AO476" i="2"/>
  <c r="BB476" i="2" s="1"/>
  <c r="AN476" i="2"/>
  <c r="BA476" i="2" s="1"/>
  <c r="AM476" i="2"/>
  <c r="AZ476" i="2" s="1"/>
  <c r="AL476" i="2"/>
  <c r="AY476" i="2" s="1"/>
  <c r="AK476" i="2"/>
  <c r="AX476" i="2" s="1"/>
  <c r="AJ476" i="2"/>
  <c r="AW476" i="2" s="1"/>
  <c r="AI476" i="2"/>
  <c r="AV476" i="2" s="1"/>
  <c r="AH476" i="2"/>
  <c r="AU476" i="2" s="1"/>
  <c r="AG476" i="2"/>
  <c r="AT476" i="2" s="1"/>
  <c r="AF476" i="2"/>
  <c r="AS476" i="2" s="1"/>
  <c r="AE476" i="2"/>
  <c r="AR476" i="2" s="1"/>
  <c r="AD476" i="2"/>
  <c r="AQ476" i="2" s="1"/>
  <c r="AA476" i="2"/>
  <c r="Z476" i="2"/>
  <c r="AP476" i="2" s="1"/>
  <c r="D476" i="2"/>
  <c r="A476" i="2"/>
  <c r="BC475" i="2"/>
  <c r="AO475" i="2"/>
  <c r="BB475" i="2" s="1"/>
  <c r="AN475" i="2"/>
  <c r="BA475" i="2" s="1"/>
  <c r="AM475" i="2"/>
  <c r="AZ475" i="2" s="1"/>
  <c r="AL475" i="2"/>
  <c r="AY475" i="2" s="1"/>
  <c r="AK475" i="2"/>
  <c r="AX475" i="2" s="1"/>
  <c r="AJ475" i="2"/>
  <c r="AW475" i="2" s="1"/>
  <c r="AI475" i="2"/>
  <c r="AV475" i="2" s="1"/>
  <c r="AH475" i="2"/>
  <c r="AU475" i="2" s="1"/>
  <c r="AG475" i="2"/>
  <c r="AT475" i="2" s="1"/>
  <c r="AF475" i="2"/>
  <c r="AS475" i="2" s="1"/>
  <c r="AE475" i="2"/>
  <c r="AR475" i="2" s="1"/>
  <c r="AD475" i="2"/>
  <c r="AQ475" i="2" s="1"/>
  <c r="AA475" i="2"/>
  <c r="Z475" i="2"/>
  <c r="AP475" i="2" s="1"/>
  <c r="D475" i="2"/>
  <c r="A475" i="2"/>
  <c r="BC474" i="2"/>
  <c r="AO474" i="2"/>
  <c r="BB474" i="2" s="1"/>
  <c r="AN474" i="2"/>
  <c r="BA474" i="2" s="1"/>
  <c r="AM474" i="2"/>
  <c r="AZ474" i="2" s="1"/>
  <c r="AL474" i="2"/>
  <c r="AY474" i="2" s="1"/>
  <c r="AK474" i="2"/>
  <c r="AX474" i="2" s="1"/>
  <c r="AJ474" i="2"/>
  <c r="AW474" i="2" s="1"/>
  <c r="AI474" i="2"/>
  <c r="AV474" i="2" s="1"/>
  <c r="AH474" i="2"/>
  <c r="AU474" i="2" s="1"/>
  <c r="AG474" i="2"/>
  <c r="AT474" i="2" s="1"/>
  <c r="AF474" i="2"/>
  <c r="AS474" i="2" s="1"/>
  <c r="AE474" i="2"/>
  <c r="AR474" i="2" s="1"/>
  <c r="AD474" i="2"/>
  <c r="AQ474" i="2" s="1"/>
  <c r="AA474" i="2"/>
  <c r="Z474" i="2"/>
  <c r="AP474" i="2" s="1"/>
  <c r="D474" i="2"/>
  <c r="A474" i="2"/>
  <c r="BC473" i="2"/>
  <c r="AO473" i="2"/>
  <c r="BB473" i="2" s="1"/>
  <c r="AN473" i="2"/>
  <c r="BA473" i="2" s="1"/>
  <c r="AM473" i="2"/>
  <c r="AZ473" i="2" s="1"/>
  <c r="AL473" i="2"/>
  <c r="AY473" i="2" s="1"/>
  <c r="AK473" i="2"/>
  <c r="AX473" i="2" s="1"/>
  <c r="AJ473" i="2"/>
  <c r="AW473" i="2" s="1"/>
  <c r="AI473" i="2"/>
  <c r="AV473" i="2" s="1"/>
  <c r="AH473" i="2"/>
  <c r="AU473" i="2" s="1"/>
  <c r="AG473" i="2"/>
  <c r="AT473" i="2" s="1"/>
  <c r="AF473" i="2"/>
  <c r="AS473" i="2" s="1"/>
  <c r="AE473" i="2"/>
  <c r="AR473" i="2" s="1"/>
  <c r="AD473" i="2"/>
  <c r="AQ473" i="2" s="1"/>
  <c r="AA473" i="2"/>
  <c r="Z473" i="2"/>
  <c r="AP473" i="2" s="1"/>
  <c r="D473" i="2"/>
  <c r="A473" i="2"/>
  <c r="BC472" i="2"/>
  <c r="AO472" i="2"/>
  <c r="BB472" i="2" s="1"/>
  <c r="AN472" i="2"/>
  <c r="BA472" i="2" s="1"/>
  <c r="AM472" i="2"/>
  <c r="AZ472" i="2" s="1"/>
  <c r="AL472" i="2"/>
  <c r="AY472" i="2" s="1"/>
  <c r="AK472" i="2"/>
  <c r="AX472" i="2" s="1"/>
  <c r="AJ472" i="2"/>
  <c r="AW472" i="2" s="1"/>
  <c r="AI472" i="2"/>
  <c r="AV472" i="2" s="1"/>
  <c r="AH472" i="2"/>
  <c r="AU472" i="2" s="1"/>
  <c r="AG472" i="2"/>
  <c r="AT472" i="2" s="1"/>
  <c r="AF472" i="2"/>
  <c r="AS472" i="2" s="1"/>
  <c r="AE472" i="2"/>
  <c r="AR472" i="2" s="1"/>
  <c r="AD472" i="2"/>
  <c r="AQ472" i="2" s="1"/>
  <c r="AA472" i="2"/>
  <c r="Z472" i="2"/>
  <c r="AP472" i="2" s="1"/>
  <c r="D472" i="2"/>
  <c r="A472" i="2"/>
  <c r="BC471" i="2"/>
  <c r="AO471" i="2"/>
  <c r="BB471" i="2" s="1"/>
  <c r="AN471" i="2"/>
  <c r="BA471" i="2" s="1"/>
  <c r="AM471" i="2"/>
  <c r="AZ471" i="2" s="1"/>
  <c r="AL471" i="2"/>
  <c r="AY471" i="2" s="1"/>
  <c r="AK471" i="2"/>
  <c r="AX471" i="2" s="1"/>
  <c r="AJ471" i="2"/>
  <c r="AW471" i="2" s="1"/>
  <c r="AI471" i="2"/>
  <c r="AV471" i="2" s="1"/>
  <c r="AH471" i="2"/>
  <c r="AU471" i="2" s="1"/>
  <c r="AG471" i="2"/>
  <c r="AT471" i="2" s="1"/>
  <c r="AF471" i="2"/>
  <c r="AS471" i="2" s="1"/>
  <c r="AE471" i="2"/>
  <c r="AR471" i="2" s="1"/>
  <c r="AD471" i="2"/>
  <c r="AQ471" i="2" s="1"/>
  <c r="AA471" i="2"/>
  <c r="Z471" i="2"/>
  <c r="AP471" i="2" s="1"/>
  <c r="D471" i="2"/>
  <c r="A471" i="2"/>
  <c r="BC470" i="2"/>
  <c r="AO470" i="2"/>
  <c r="BB470" i="2" s="1"/>
  <c r="AN470" i="2"/>
  <c r="BA470" i="2" s="1"/>
  <c r="AM470" i="2"/>
  <c r="AZ470" i="2" s="1"/>
  <c r="AL470" i="2"/>
  <c r="AY470" i="2" s="1"/>
  <c r="AK470" i="2"/>
  <c r="AX470" i="2" s="1"/>
  <c r="AJ470" i="2"/>
  <c r="AW470" i="2" s="1"/>
  <c r="AI470" i="2"/>
  <c r="AV470" i="2" s="1"/>
  <c r="AH470" i="2"/>
  <c r="AU470" i="2" s="1"/>
  <c r="AG470" i="2"/>
  <c r="AT470" i="2" s="1"/>
  <c r="AF470" i="2"/>
  <c r="AS470" i="2" s="1"/>
  <c r="AE470" i="2"/>
  <c r="AR470" i="2" s="1"/>
  <c r="AD470" i="2"/>
  <c r="AQ470" i="2" s="1"/>
  <c r="AA470" i="2"/>
  <c r="Z470" i="2"/>
  <c r="AP470" i="2" s="1"/>
  <c r="D470" i="2"/>
  <c r="A470" i="2"/>
  <c r="BC469" i="2"/>
  <c r="AO469" i="2"/>
  <c r="BB469" i="2" s="1"/>
  <c r="AN469" i="2"/>
  <c r="BA469" i="2" s="1"/>
  <c r="AM469" i="2"/>
  <c r="AZ469" i="2" s="1"/>
  <c r="AL469" i="2"/>
  <c r="AY469" i="2" s="1"/>
  <c r="AK469" i="2"/>
  <c r="AX469" i="2" s="1"/>
  <c r="AJ469" i="2"/>
  <c r="AW469" i="2" s="1"/>
  <c r="AI469" i="2"/>
  <c r="AV469" i="2" s="1"/>
  <c r="AH469" i="2"/>
  <c r="AU469" i="2" s="1"/>
  <c r="AG469" i="2"/>
  <c r="AT469" i="2" s="1"/>
  <c r="AF469" i="2"/>
  <c r="AS469" i="2" s="1"/>
  <c r="AE469" i="2"/>
  <c r="AR469" i="2" s="1"/>
  <c r="AD469" i="2"/>
  <c r="AQ469" i="2" s="1"/>
  <c r="AA469" i="2"/>
  <c r="Z469" i="2"/>
  <c r="AP469" i="2" s="1"/>
  <c r="D469" i="2"/>
  <c r="A469" i="2"/>
  <c r="BC468" i="2"/>
  <c r="AO468" i="2"/>
  <c r="BB468" i="2" s="1"/>
  <c r="AN468" i="2"/>
  <c r="BA468" i="2" s="1"/>
  <c r="AM468" i="2"/>
  <c r="AZ468" i="2" s="1"/>
  <c r="AL468" i="2"/>
  <c r="AY468" i="2" s="1"/>
  <c r="AK468" i="2"/>
  <c r="AX468" i="2" s="1"/>
  <c r="AJ468" i="2"/>
  <c r="AW468" i="2" s="1"/>
  <c r="AI468" i="2"/>
  <c r="AV468" i="2" s="1"/>
  <c r="AH468" i="2"/>
  <c r="AU468" i="2" s="1"/>
  <c r="AG468" i="2"/>
  <c r="AT468" i="2" s="1"/>
  <c r="AF468" i="2"/>
  <c r="AS468" i="2" s="1"/>
  <c r="AE468" i="2"/>
  <c r="AR468" i="2" s="1"/>
  <c r="AD468" i="2"/>
  <c r="AQ468" i="2" s="1"/>
  <c r="AA468" i="2"/>
  <c r="Z468" i="2"/>
  <c r="AP468" i="2" s="1"/>
  <c r="D468" i="2"/>
  <c r="A468" i="2"/>
  <c r="BC467" i="2"/>
  <c r="AO467" i="2"/>
  <c r="BB467" i="2" s="1"/>
  <c r="AN467" i="2"/>
  <c r="BA467" i="2" s="1"/>
  <c r="AM467" i="2"/>
  <c r="AZ467" i="2" s="1"/>
  <c r="AL467" i="2"/>
  <c r="AY467" i="2" s="1"/>
  <c r="AK467" i="2"/>
  <c r="AX467" i="2" s="1"/>
  <c r="AJ467" i="2"/>
  <c r="AW467" i="2" s="1"/>
  <c r="AI467" i="2"/>
  <c r="AV467" i="2" s="1"/>
  <c r="AH467" i="2"/>
  <c r="AU467" i="2" s="1"/>
  <c r="AG467" i="2"/>
  <c r="AT467" i="2" s="1"/>
  <c r="AF467" i="2"/>
  <c r="AS467" i="2" s="1"/>
  <c r="AE467" i="2"/>
  <c r="AR467" i="2" s="1"/>
  <c r="AD467" i="2"/>
  <c r="AQ467" i="2" s="1"/>
  <c r="AA467" i="2"/>
  <c r="Z467" i="2"/>
  <c r="AP467" i="2" s="1"/>
  <c r="D467" i="2"/>
  <c r="A467" i="2"/>
  <c r="BC466" i="2"/>
  <c r="AO466" i="2"/>
  <c r="BB466" i="2" s="1"/>
  <c r="AN466" i="2"/>
  <c r="BA466" i="2" s="1"/>
  <c r="AM466" i="2"/>
  <c r="AZ466" i="2" s="1"/>
  <c r="AL466" i="2"/>
  <c r="AY466" i="2" s="1"/>
  <c r="AK466" i="2"/>
  <c r="AX466" i="2" s="1"/>
  <c r="AJ466" i="2"/>
  <c r="AW466" i="2" s="1"/>
  <c r="AI466" i="2"/>
  <c r="AV466" i="2" s="1"/>
  <c r="AH466" i="2"/>
  <c r="AU466" i="2" s="1"/>
  <c r="AG466" i="2"/>
  <c r="AT466" i="2" s="1"/>
  <c r="AF466" i="2"/>
  <c r="AS466" i="2" s="1"/>
  <c r="AE466" i="2"/>
  <c r="AR466" i="2" s="1"/>
  <c r="AD466" i="2"/>
  <c r="AQ466" i="2" s="1"/>
  <c r="AA466" i="2"/>
  <c r="Z466" i="2"/>
  <c r="AP466" i="2" s="1"/>
  <c r="D466" i="2"/>
  <c r="A466" i="2"/>
  <c r="BC465" i="2"/>
  <c r="AO465" i="2"/>
  <c r="BB465" i="2" s="1"/>
  <c r="AN465" i="2"/>
  <c r="BA465" i="2" s="1"/>
  <c r="AM465" i="2"/>
  <c r="AZ465" i="2" s="1"/>
  <c r="AL465" i="2"/>
  <c r="AY465" i="2" s="1"/>
  <c r="AK465" i="2"/>
  <c r="AX465" i="2" s="1"/>
  <c r="AJ465" i="2"/>
  <c r="AW465" i="2" s="1"/>
  <c r="AI465" i="2"/>
  <c r="AV465" i="2" s="1"/>
  <c r="AH465" i="2"/>
  <c r="AU465" i="2" s="1"/>
  <c r="AG465" i="2"/>
  <c r="AT465" i="2" s="1"/>
  <c r="AF465" i="2"/>
  <c r="AS465" i="2" s="1"/>
  <c r="AE465" i="2"/>
  <c r="AR465" i="2" s="1"/>
  <c r="AD465" i="2"/>
  <c r="AQ465" i="2" s="1"/>
  <c r="AA465" i="2"/>
  <c r="Z465" i="2"/>
  <c r="AP465" i="2" s="1"/>
  <c r="D465" i="2"/>
  <c r="A465" i="2"/>
  <c r="BC464" i="2"/>
  <c r="AO464" i="2"/>
  <c r="BB464" i="2" s="1"/>
  <c r="AN464" i="2"/>
  <c r="BA464" i="2" s="1"/>
  <c r="AM464" i="2"/>
  <c r="AZ464" i="2" s="1"/>
  <c r="AL464" i="2"/>
  <c r="AY464" i="2" s="1"/>
  <c r="AK464" i="2"/>
  <c r="AX464" i="2" s="1"/>
  <c r="AJ464" i="2"/>
  <c r="AW464" i="2" s="1"/>
  <c r="AI464" i="2"/>
  <c r="AV464" i="2" s="1"/>
  <c r="AH464" i="2"/>
  <c r="AU464" i="2" s="1"/>
  <c r="AG464" i="2"/>
  <c r="AT464" i="2" s="1"/>
  <c r="AF464" i="2"/>
  <c r="AS464" i="2" s="1"/>
  <c r="AE464" i="2"/>
  <c r="AR464" i="2" s="1"/>
  <c r="AD464" i="2"/>
  <c r="AQ464" i="2" s="1"/>
  <c r="AA464" i="2"/>
  <c r="Z464" i="2"/>
  <c r="AP464" i="2" s="1"/>
  <c r="D464" i="2"/>
  <c r="A464" i="2"/>
  <c r="BC463" i="2"/>
  <c r="AO463" i="2"/>
  <c r="BB463" i="2" s="1"/>
  <c r="AN463" i="2"/>
  <c r="BA463" i="2" s="1"/>
  <c r="AM463" i="2"/>
  <c r="AZ463" i="2" s="1"/>
  <c r="AL463" i="2"/>
  <c r="AY463" i="2" s="1"/>
  <c r="AK463" i="2"/>
  <c r="AX463" i="2" s="1"/>
  <c r="AJ463" i="2"/>
  <c r="AW463" i="2" s="1"/>
  <c r="AI463" i="2"/>
  <c r="AV463" i="2" s="1"/>
  <c r="AH463" i="2"/>
  <c r="AU463" i="2" s="1"/>
  <c r="AG463" i="2"/>
  <c r="AT463" i="2" s="1"/>
  <c r="AF463" i="2"/>
  <c r="AS463" i="2" s="1"/>
  <c r="AE463" i="2"/>
  <c r="AR463" i="2" s="1"/>
  <c r="AD463" i="2"/>
  <c r="AQ463" i="2" s="1"/>
  <c r="AA463" i="2"/>
  <c r="Z463" i="2"/>
  <c r="AP463" i="2" s="1"/>
  <c r="D463" i="2"/>
  <c r="A463" i="2"/>
  <c r="BC462" i="2"/>
  <c r="AO462" i="2"/>
  <c r="BB462" i="2" s="1"/>
  <c r="AN462" i="2"/>
  <c r="BA462" i="2" s="1"/>
  <c r="AM462" i="2"/>
  <c r="AZ462" i="2" s="1"/>
  <c r="AL462" i="2"/>
  <c r="AY462" i="2" s="1"/>
  <c r="AK462" i="2"/>
  <c r="AX462" i="2" s="1"/>
  <c r="AJ462" i="2"/>
  <c r="AW462" i="2" s="1"/>
  <c r="AI462" i="2"/>
  <c r="AV462" i="2" s="1"/>
  <c r="AH462" i="2"/>
  <c r="AU462" i="2" s="1"/>
  <c r="AG462" i="2"/>
  <c r="AT462" i="2" s="1"/>
  <c r="AF462" i="2"/>
  <c r="AS462" i="2" s="1"/>
  <c r="AE462" i="2"/>
  <c r="AR462" i="2" s="1"/>
  <c r="AD462" i="2"/>
  <c r="AQ462" i="2" s="1"/>
  <c r="AA462" i="2"/>
  <c r="Z462" i="2"/>
  <c r="AP462" i="2" s="1"/>
  <c r="D462" i="2"/>
  <c r="A462" i="2"/>
  <c r="BC461" i="2"/>
  <c r="AO461" i="2"/>
  <c r="BB461" i="2" s="1"/>
  <c r="AN461" i="2"/>
  <c r="BA461" i="2" s="1"/>
  <c r="AM461" i="2"/>
  <c r="AZ461" i="2" s="1"/>
  <c r="AL461" i="2"/>
  <c r="AY461" i="2" s="1"/>
  <c r="AK461" i="2"/>
  <c r="AX461" i="2" s="1"/>
  <c r="AJ461" i="2"/>
  <c r="AW461" i="2" s="1"/>
  <c r="AI461" i="2"/>
  <c r="AV461" i="2" s="1"/>
  <c r="AH461" i="2"/>
  <c r="AU461" i="2" s="1"/>
  <c r="AG461" i="2"/>
  <c r="AT461" i="2" s="1"/>
  <c r="AF461" i="2"/>
  <c r="AS461" i="2" s="1"/>
  <c r="AE461" i="2"/>
  <c r="AR461" i="2" s="1"/>
  <c r="AD461" i="2"/>
  <c r="AQ461" i="2" s="1"/>
  <c r="AA461" i="2"/>
  <c r="Z461" i="2"/>
  <c r="AP461" i="2" s="1"/>
  <c r="D461" i="2"/>
  <c r="A461" i="2"/>
  <c r="BC460" i="2"/>
  <c r="AO460" i="2"/>
  <c r="BB460" i="2" s="1"/>
  <c r="AN460" i="2"/>
  <c r="BA460" i="2" s="1"/>
  <c r="AM460" i="2"/>
  <c r="AZ460" i="2" s="1"/>
  <c r="AL460" i="2"/>
  <c r="AY460" i="2" s="1"/>
  <c r="AK460" i="2"/>
  <c r="AX460" i="2" s="1"/>
  <c r="AJ460" i="2"/>
  <c r="AW460" i="2" s="1"/>
  <c r="AI460" i="2"/>
  <c r="AV460" i="2" s="1"/>
  <c r="AH460" i="2"/>
  <c r="AU460" i="2" s="1"/>
  <c r="AG460" i="2"/>
  <c r="AT460" i="2" s="1"/>
  <c r="AF460" i="2"/>
  <c r="AS460" i="2" s="1"/>
  <c r="AE460" i="2"/>
  <c r="AR460" i="2" s="1"/>
  <c r="AD460" i="2"/>
  <c r="AQ460" i="2" s="1"/>
  <c r="AA460" i="2"/>
  <c r="Z460" i="2"/>
  <c r="AP460" i="2" s="1"/>
  <c r="D460" i="2"/>
  <c r="A460" i="2"/>
  <c r="BC459" i="2"/>
  <c r="AO459" i="2"/>
  <c r="BB459" i="2" s="1"/>
  <c r="AN459" i="2"/>
  <c r="BA459" i="2" s="1"/>
  <c r="AM459" i="2"/>
  <c r="AZ459" i="2" s="1"/>
  <c r="AL459" i="2"/>
  <c r="AY459" i="2" s="1"/>
  <c r="AK459" i="2"/>
  <c r="AX459" i="2" s="1"/>
  <c r="AJ459" i="2"/>
  <c r="AW459" i="2" s="1"/>
  <c r="AI459" i="2"/>
  <c r="AV459" i="2" s="1"/>
  <c r="AH459" i="2"/>
  <c r="AU459" i="2" s="1"/>
  <c r="AG459" i="2"/>
  <c r="AT459" i="2" s="1"/>
  <c r="AF459" i="2"/>
  <c r="AS459" i="2" s="1"/>
  <c r="AE459" i="2"/>
  <c r="AR459" i="2" s="1"/>
  <c r="AD459" i="2"/>
  <c r="AQ459" i="2" s="1"/>
  <c r="AA459" i="2"/>
  <c r="Z459" i="2"/>
  <c r="AP459" i="2" s="1"/>
  <c r="D459" i="2"/>
  <c r="A459" i="2"/>
  <c r="BC458" i="2"/>
  <c r="AO458" i="2"/>
  <c r="BB458" i="2" s="1"/>
  <c r="AN458" i="2"/>
  <c r="BA458" i="2" s="1"/>
  <c r="AM458" i="2"/>
  <c r="AZ458" i="2" s="1"/>
  <c r="AL458" i="2"/>
  <c r="AY458" i="2" s="1"/>
  <c r="AK458" i="2"/>
  <c r="AX458" i="2" s="1"/>
  <c r="AJ458" i="2"/>
  <c r="AW458" i="2" s="1"/>
  <c r="AI458" i="2"/>
  <c r="AV458" i="2" s="1"/>
  <c r="AH458" i="2"/>
  <c r="AU458" i="2" s="1"/>
  <c r="AG458" i="2"/>
  <c r="AT458" i="2" s="1"/>
  <c r="AF458" i="2"/>
  <c r="AS458" i="2" s="1"/>
  <c r="AE458" i="2"/>
  <c r="AR458" i="2" s="1"/>
  <c r="AD458" i="2"/>
  <c r="AQ458" i="2" s="1"/>
  <c r="AA458" i="2"/>
  <c r="Z458" i="2"/>
  <c r="AP458" i="2" s="1"/>
  <c r="D458" i="2"/>
  <c r="A458" i="2"/>
  <c r="BC457" i="2"/>
  <c r="AO457" i="2"/>
  <c r="BB457" i="2" s="1"/>
  <c r="AN457" i="2"/>
  <c r="BA457" i="2" s="1"/>
  <c r="AM457" i="2"/>
  <c r="AZ457" i="2" s="1"/>
  <c r="AL457" i="2"/>
  <c r="AY457" i="2" s="1"/>
  <c r="AK457" i="2"/>
  <c r="AX457" i="2" s="1"/>
  <c r="AJ457" i="2"/>
  <c r="AW457" i="2" s="1"/>
  <c r="AI457" i="2"/>
  <c r="AV457" i="2" s="1"/>
  <c r="AH457" i="2"/>
  <c r="AU457" i="2" s="1"/>
  <c r="AG457" i="2"/>
  <c r="AT457" i="2" s="1"/>
  <c r="AF457" i="2"/>
  <c r="AS457" i="2" s="1"/>
  <c r="AE457" i="2"/>
  <c r="AR457" i="2" s="1"/>
  <c r="AD457" i="2"/>
  <c r="AQ457" i="2" s="1"/>
  <c r="AA457" i="2"/>
  <c r="Z457" i="2"/>
  <c r="AP457" i="2" s="1"/>
  <c r="D457" i="2"/>
  <c r="A457" i="2"/>
  <c r="BC456" i="2"/>
  <c r="AO456" i="2"/>
  <c r="BB456" i="2" s="1"/>
  <c r="AN456" i="2"/>
  <c r="BA456" i="2" s="1"/>
  <c r="AM456" i="2"/>
  <c r="AZ456" i="2" s="1"/>
  <c r="AL456" i="2"/>
  <c r="AY456" i="2" s="1"/>
  <c r="AK456" i="2"/>
  <c r="AX456" i="2" s="1"/>
  <c r="AJ456" i="2"/>
  <c r="AW456" i="2" s="1"/>
  <c r="AI456" i="2"/>
  <c r="AV456" i="2" s="1"/>
  <c r="AH456" i="2"/>
  <c r="AU456" i="2" s="1"/>
  <c r="AG456" i="2"/>
  <c r="AT456" i="2" s="1"/>
  <c r="AF456" i="2"/>
  <c r="AS456" i="2" s="1"/>
  <c r="AE456" i="2"/>
  <c r="AR456" i="2" s="1"/>
  <c r="AD456" i="2"/>
  <c r="AQ456" i="2" s="1"/>
  <c r="AA456" i="2"/>
  <c r="Z456" i="2"/>
  <c r="AP456" i="2" s="1"/>
  <c r="D456" i="2"/>
  <c r="A456" i="2"/>
  <c r="BC455" i="2"/>
  <c r="AO455" i="2"/>
  <c r="BB455" i="2" s="1"/>
  <c r="AN455" i="2"/>
  <c r="BA455" i="2" s="1"/>
  <c r="AM455" i="2"/>
  <c r="AZ455" i="2" s="1"/>
  <c r="AL455" i="2"/>
  <c r="AY455" i="2" s="1"/>
  <c r="AK455" i="2"/>
  <c r="AX455" i="2" s="1"/>
  <c r="AJ455" i="2"/>
  <c r="AW455" i="2" s="1"/>
  <c r="AI455" i="2"/>
  <c r="AV455" i="2" s="1"/>
  <c r="AH455" i="2"/>
  <c r="AU455" i="2" s="1"/>
  <c r="AG455" i="2"/>
  <c r="AT455" i="2" s="1"/>
  <c r="AF455" i="2"/>
  <c r="AS455" i="2" s="1"/>
  <c r="AE455" i="2"/>
  <c r="AR455" i="2" s="1"/>
  <c r="AD455" i="2"/>
  <c r="AQ455" i="2" s="1"/>
  <c r="AA455" i="2"/>
  <c r="Z455" i="2"/>
  <c r="AP455" i="2" s="1"/>
  <c r="D455" i="2"/>
  <c r="A455" i="2"/>
  <c r="BC454" i="2"/>
  <c r="AT454" i="2"/>
  <c r="AP454" i="2"/>
  <c r="AO454" i="2"/>
  <c r="BB454" i="2" s="1"/>
  <c r="AN454" i="2"/>
  <c r="BA454" i="2" s="1"/>
  <c r="AM454" i="2"/>
  <c r="AZ454" i="2" s="1"/>
  <c r="AL454" i="2"/>
  <c r="AY454" i="2" s="1"/>
  <c r="AK454" i="2"/>
  <c r="AX454" i="2" s="1"/>
  <c r="AJ454" i="2"/>
  <c r="AW454" i="2" s="1"/>
  <c r="AI454" i="2"/>
  <c r="AV454" i="2" s="1"/>
  <c r="AH454" i="2"/>
  <c r="AU454" i="2" s="1"/>
  <c r="AG454" i="2"/>
  <c r="AF454" i="2"/>
  <c r="AS454" i="2" s="1"/>
  <c r="AE454" i="2"/>
  <c r="AR454" i="2" s="1"/>
  <c r="AD454" i="2"/>
  <c r="AQ454" i="2" s="1"/>
  <c r="AA454" i="2"/>
  <c r="Z454" i="2"/>
  <c r="D454" i="2"/>
  <c r="A454" i="2"/>
  <c r="BC453" i="2"/>
  <c r="AO453" i="2"/>
  <c r="BB453" i="2" s="1"/>
  <c r="AN453" i="2"/>
  <c r="BA453" i="2" s="1"/>
  <c r="AM453" i="2"/>
  <c r="AZ453" i="2" s="1"/>
  <c r="AL453" i="2"/>
  <c r="AY453" i="2" s="1"/>
  <c r="AK453" i="2"/>
  <c r="AX453" i="2" s="1"/>
  <c r="AJ453" i="2"/>
  <c r="AW453" i="2" s="1"/>
  <c r="AI453" i="2"/>
  <c r="AV453" i="2" s="1"/>
  <c r="AH453" i="2"/>
  <c r="AU453" i="2" s="1"/>
  <c r="AG453" i="2"/>
  <c r="AT453" i="2" s="1"/>
  <c r="AF453" i="2"/>
  <c r="AS453" i="2" s="1"/>
  <c r="AE453" i="2"/>
  <c r="AR453" i="2" s="1"/>
  <c r="AD453" i="2"/>
  <c r="AQ453" i="2" s="1"/>
  <c r="AA453" i="2"/>
  <c r="Z453" i="2"/>
  <c r="AP453" i="2" s="1"/>
  <c r="D453" i="2"/>
  <c r="A453" i="2"/>
  <c r="BC452" i="2"/>
  <c r="AP452" i="2"/>
  <c r="AO452" i="2"/>
  <c r="BB452" i="2" s="1"/>
  <c r="AN452" i="2"/>
  <c r="BA452" i="2" s="1"/>
  <c r="AM452" i="2"/>
  <c r="AZ452" i="2" s="1"/>
  <c r="AL452" i="2"/>
  <c r="AY452" i="2" s="1"/>
  <c r="AK452" i="2"/>
  <c r="AX452" i="2" s="1"/>
  <c r="AJ452" i="2"/>
  <c r="AW452" i="2" s="1"/>
  <c r="AI452" i="2"/>
  <c r="AV452" i="2" s="1"/>
  <c r="AH452" i="2"/>
  <c r="AU452" i="2" s="1"/>
  <c r="AG452" i="2"/>
  <c r="AT452" i="2" s="1"/>
  <c r="AF452" i="2"/>
  <c r="AS452" i="2" s="1"/>
  <c r="AE452" i="2"/>
  <c r="AR452" i="2" s="1"/>
  <c r="AD452" i="2"/>
  <c r="AQ452" i="2" s="1"/>
  <c r="AA452" i="2"/>
  <c r="Z452" i="2"/>
  <c r="D452" i="2"/>
  <c r="A452" i="2"/>
  <c r="BC451" i="2"/>
  <c r="AO451" i="2"/>
  <c r="BB451" i="2" s="1"/>
  <c r="AN451" i="2"/>
  <c r="BA451" i="2" s="1"/>
  <c r="AM451" i="2"/>
  <c r="AZ451" i="2" s="1"/>
  <c r="AL451" i="2"/>
  <c r="AY451" i="2" s="1"/>
  <c r="AK451" i="2"/>
  <c r="AX451" i="2" s="1"/>
  <c r="AJ451" i="2"/>
  <c r="AW451" i="2" s="1"/>
  <c r="AI451" i="2"/>
  <c r="AV451" i="2" s="1"/>
  <c r="AH451" i="2"/>
  <c r="AU451" i="2" s="1"/>
  <c r="AG451" i="2"/>
  <c r="AT451" i="2" s="1"/>
  <c r="AF451" i="2"/>
  <c r="AS451" i="2" s="1"/>
  <c r="AE451" i="2"/>
  <c r="AR451" i="2" s="1"/>
  <c r="AD451" i="2"/>
  <c r="AQ451" i="2" s="1"/>
  <c r="AA451" i="2"/>
  <c r="Z451" i="2"/>
  <c r="AP451" i="2" s="1"/>
  <c r="D451" i="2"/>
  <c r="A451" i="2"/>
  <c r="BC450" i="2"/>
  <c r="AO450" i="2"/>
  <c r="BB450" i="2" s="1"/>
  <c r="AN450" i="2"/>
  <c r="BA450" i="2" s="1"/>
  <c r="AM450" i="2"/>
  <c r="AZ450" i="2" s="1"/>
  <c r="AL450" i="2"/>
  <c r="AY450" i="2" s="1"/>
  <c r="AK450" i="2"/>
  <c r="AX450" i="2" s="1"/>
  <c r="AJ450" i="2"/>
  <c r="AW450" i="2" s="1"/>
  <c r="AI450" i="2"/>
  <c r="AV450" i="2" s="1"/>
  <c r="AH450" i="2"/>
  <c r="AU450" i="2" s="1"/>
  <c r="AG450" i="2"/>
  <c r="AT450" i="2" s="1"/>
  <c r="AF450" i="2"/>
  <c r="AS450" i="2" s="1"/>
  <c r="AE450" i="2"/>
  <c r="AR450" i="2" s="1"/>
  <c r="AD450" i="2"/>
  <c r="AQ450" i="2" s="1"/>
  <c r="AA450" i="2"/>
  <c r="Z450" i="2"/>
  <c r="AP450" i="2" s="1"/>
  <c r="D450" i="2"/>
  <c r="A450" i="2"/>
  <c r="BC449" i="2"/>
  <c r="BB449" i="2"/>
  <c r="AO449" i="2"/>
  <c r="AN449" i="2"/>
  <c r="BA449" i="2" s="1"/>
  <c r="AM449" i="2"/>
  <c r="AZ449" i="2" s="1"/>
  <c r="AL449" i="2"/>
  <c r="AY449" i="2" s="1"/>
  <c r="AK449" i="2"/>
  <c r="AX449" i="2" s="1"/>
  <c r="AJ449" i="2"/>
  <c r="AW449" i="2" s="1"/>
  <c r="AI449" i="2"/>
  <c r="AV449" i="2" s="1"/>
  <c r="AH449" i="2"/>
  <c r="AU449" i="2" s="1"/>
  <c r="AG449" i="2"/>
  <c r="AT449" i="2" s="1"/>
  <c r="AF449" i="2"/>
  <c r="AS449" i="2" s="1"/>
  <c r="AE449" i="2"/>
  <c r="AR449" i="2" s="1"/>
  <c r="AD449" i="2"/>
  <c r="AQ449" i="2" s="1"/>
  <c r="AA449" i="2"/>
  <c r="Z449" i="2"/>
  <c r="AP449" i="2" s="1"/>
  <c r="D449" i="2"/>
  <c r="A449" i="2"/>
  <c r="BC448" i="2"/>
  <c r="AO448" i="2"/>
  <c r="BB448" i="2" s="1"/>
  <c r="AN448" i="2"/>
  <c r="BA448" i="2" s="1"/>
  <c r="AM448" i="2"/>
  <c r="AZ448" i="2" s="1"/>
  <c r="AL448" i="2"/>
  <c r="AY448" i="2" s="1"/>
  <c r="AK448" i="2"/>
  <c r="AX448" i="2" s="1"/>
  <c r="AJ448" i="2"/>
  <c r="AW448" i="2" s="1"/>
  <c r="AI448" i="2"/>
  <c r="AV448" i="2" s="1"/>
  <c r="AH448" i="2"/>
  <c r="AU448" i="2" s="1"/>
  <c r="AG448" i="2"/>
  <c r="AT448" i="2" s="1"/>
  <c r="AF448" i="2"/>
  <c r="AS448" i="2" s="1"/>
  <c r="AE448" i="2"/>
  <c r="AR448" i="2" s="1"/>
  <c r="AD448" i="2"/>
  <c r="AQ448" i="2" s="1"/>
  <c r="AA448" i="2"/>
  <c r="Z448" i="2"/>
  <c r="AP448" i="2" s="1"/>
  <c r="D448" i="2"/>
  <c r="A448" i="2"/>
  <c r="BC447" i="2"/>
  <c r="BB447" i="2"/>
  <c r="AR447" i="2"/>
  <c r="AO447" i="2"/>
  <c r="AN447" i="2"/>
  <c r="BA447" i="2" s="1"/>
  <c r="AM447" i="2"/>
  <c r="AZ447" i="2" s="1"/>
  <c r="AL447" i="2"/>
  <c r="AY447" i="2" s="1"/>
  <c r="AK447" i="2"/>
  <c r="AX447" i="2" s="1"/>
  <c r="AJ447" i="2"/>
  <c r="AW447" i="2" s="1"/>
  <c r="AI447" i="2"/>
  <c r="AV447" i="2" s="1"/>
  <c r="AH447" i="2"/>
  <c r="AU447" i="2" s="1"/>
  <c r="AG447" i="2"/>
  <c r="AT447" i="2" s="1"/>
  <c r="AF447" i="2"/>
  <c r="AS447" i="2" s="1"/>
  <c r="AE447" i="2"/>
  <c r="AD447" i="2"/>
  <c r="AQ447" i="2" s="1"/>
  <c r="AA447" i="2"/>
  <c r="Z447" i="2"/>
  <c r="AP447" i="2" s="1"/>
  <c r="D447" i="2"/>
  <c r="A447" i="2"/>
  <c r="BC446" i="2"/>
  <c r="AO446" i="2"/>
  <c r="BB446" i="2" s="1"/>
  <c r="AN446" i="2"/>
  <c r="BA446" i="2" s="1"/>
  <c r="AM446" i="2"/>
  <c r="AZ446" i="2" s="1"/>
  <c r="AL446" i="2"/>
  <c r="AY446" i="2" s="1"/>
  <c r="AK446" i="2"/>
  <c r="AX446" i="2" s="1"/>
  <c r="AJ446" i="2"/>
  <c r="AW446" i="2" s="1"/>
  <c r="AI446" i="2"/>
  <c r="AV446" i="2" s="1"/>
  <c r="AH446" i="2"/>
  <c r="AU446" i="2" s="1"/>
  <c r="AG446" i="2"/>
  <c r="AT446" i="2" s="1"/>
  <c r="AF446" i="2"/>
  <c r="AS446" i="2" s="1"/>
  <c r="AE446" i="2"/>
  <c r="AR446" i="2" s="1"/>
  <c r="AD446" i="2"/>
  <c r="AQ446" i="2" s="1"/>
  <c r="AA446" i="2"/>
  <c r="Z446" i="2"/>
  <c r="AP446" i="2" s="1"/>
  <c r="D446" i="2"/>
  <c r="A446" i="2"/>
  <c r="BC445" i="2"/>
  <c r="AO445" i="2"/>
  <c r="BB445" i="2" s="1"/>
  <c r="AN445" i="2"/>
  <c r="BA445" i="2" s="1"/>
  <c r="AM445" i="2"/>
  <c r="AZ445" i="2" s="1"/>
  <c r="AL445" i="2"/>
  <c r="AY445" i="2" s="1"/>
  <c r="AK445" i="2"/>
  <c r="AX445" i="2" s="1"/>
  <c r="AJ445" i="2"/>
  <c r="AW445" i="2" s="1"/>
  <c r="AI445" i="2"/>
  <c r="AV445" i="2" s="1"/>
  <c r="AH445" i="2"/>
  <c r="AU445" i="2" s="1"/>
  <c r="AG445" i="2"/>
  <c r="AT445" i="2" s="1"/>
  <c r="AF445" i="2"/>
  <c r="AS445" i="2" s="1"/>
  <c r="AE445" i="2"/>
  <c r="AR445" i="2" s="1"/>
  <c r="AD445" i="2"/>
  <c r="AQ445" i="2" s="1"/>
  <c r="AA445" i="2"/>
  <c r="Z445" i="2"/>
  <c r="AP445" i="2" s="1"/>
  <c r="D445" i="2"/>
  <c r="A445" i="2"/>
  <c r="BC444" i="2"/>
  <c r="AO444" i="2"/>
  <c r="BB444" i="2" s="1"/>
  <c r="AN444" i="2"/>
  <c r="BA444" i="2" s="1"/>
  <c r="AM444" i="2"/>
  <c r="AZ444" i="2" s="1"/>
  <c r="AL444" i="2"/>
  <c r="AY444" i="2" s="1"/>
  <c r="AK444" i="2"/>
  <c r="AX444" i="2" s="1"/>
  <c r="AJ444" i="2"/>
  <c r="AW444" i="2" s="1"/>
  <c r="AI444" i="2"/>
  <c r="AV444" i="2" s="1"/>
  <c r="AH444" i="2"/>
  <c r="AU444" i="2" s="1"/>
  <c r="AG444" i="2"/>
  <c r="AT444" i="2" s="1"/>
  <c r="AF444" i="2"/>
  <c r="AS444" i="2" s="1"/>
  <c r="AE444" i="2"/>
  <c r="AR444" i="2" s="1"/>
  <c r="AD444" i="2"/>
  <c r="AQ444" i="2" s="1"/>
  <c r="AA444" i="2"/>
  <c r="Z444" i="2"/>
  <c r="AP444" i="2" s="1"/>
  <c r="D444" i="2"/>
  <c r="A444" i="2"/>
  <c r="BC443" i="2"/>
  <c r="AO443" i="2"/>
  <c r="BB443" i="2" s="1"/>
  <c r="AN443" i="2"/>
  <c r="BA443" i="2" s="1"/>
  <c r="AM443" i="2"/>
  <c r="AZ443" i="2" s="1"/>
  <c r="AL443" i="2"/>
  <c r="AY443" i="2" s="1"/>
  <c r="AK443" i="2"/>
  <c r="AX443" i="2" s="1"/>
  <c r="AJ443" i="2"/>
  <c r="AW443" i="2" s="1"/>
  <c r="AI443" i="2"/>
  <c r="AV443" i="2" s="1"/>
  <c r="AH443" i="2"/>
  <c r="AU443" i="2" s="1"/>
  <c r="AG443" i="2"/>
  <c r="AT443" i="2" s="1"/>
  <c r="AF443" i="2"/>
  <c r="AS443" i="2" s="1"/>
  <c r="AE443" i="2"/>
  <c r="AR443" i="2" s="1"/>
  <c r="AD443" i="2"/>
  <c r="AQ443" i="2" s="1"/>
  <c r="AA443" i="2"/>
  <c r="Z443" i="2"/>
  <c r="AP443" i="2" s="1"/>
  <c r="D443" i="2"/>
  <c r="A443" i="2"/>
  <c r="BC442" i="2"/>
  <c r="AO442" i="2"/>
  <c r="BB442" i="2" s="1"/>
  <c r="AN442" i="2"/>
  <c r="BA442" i="2" s="1"/>
  <c r="AM442" i="2"/>
  <c r="AZ442" i="2" s="1"/>
  <c r="AL442" i="2"/>
  <c r="AY442" i="2" s="1"/>
  <c r="AK442" i="2"/>
  <c r="AX442" i="2" s="1"/>
  <c r="AJ442" i="2"/>
  <c r="AW442" i="2" s="1"/>
  <c r="AI442" i="2"/>
  <c r="AV442" i="2" s="1"/>
  <c r="AH442" i="2"/>
  <c r="AU442" i="2" s="1"/>
  <c r="AG442" i="2"/>
  <c r="AT442" i="2" s="1"/>
  <c r="AF442" i="2"/>
  <c r="AS442" i="2" s="1"/>
  <c r="AE442" i="2"/>
  <c r="AR442" i="2" s="1"/>
  <c r="AD442" i="2"/>
  <c r="AQ442" i="2" s="1"/>
  <c r="AA442" i="2"/>
  <c r="Z442" i="2"/>
  <c r="AP442" i="2" s="1"/>
  <c r="D442" i="2"/>
  <c r="A442" i="2"/>
  <c r="BC441" i="2"/>
  <c r="AO441" i="2"/>
  <c r="BB441" i="2" s="1"/>
  <c r="AN441" i="2"/>
  <c r="BA441" i="2" s="1"/>
  <c r="AM441" i="2"/>
  <c r="AZ441" i="2" s="1"/>
  <c r="AL441" i="2"/>
  <c r="AY441" i="2" s="1"/>
  <c r="AK441" i="2"/>
  <c r="AX441" i="2" s="1"/>
  <c r="AJ441" i="2"/>
  <c r="AW441" i="2" s="1"/>
  <c r="AI441" i="2"/>
  <c r="AV441" i="2" s="1"/>
  <c r="AH441" i="2"/>
  <c r="AU441" i="2" s="1"/>
  <c r="AG441" i="2"/>
  <c r="AT441" i="2" s="1"/>
  <c r="AF441" i="2"/>
  <c r="AS441" i="2" s="1"/>
  <c r="AE441" i="2"/>
  <c r="AR441" i="2" s="1"/>
  <c r="AD441" i="2"/>
  <c r="AQ441" i="2" s="1"/>
  <c r="AA441" i="2"/>
  <c r="Z441" i="2"/>
  <c r="AP441" i="2" s="1"/>
  <c r="D441" i="2"/>
  <c r="A441" i="2"/>
  <c r="BC440" i="2"/>
  <c r="AR440" i="2"/>
  <c r="AO440" i="2"/>
  <c r="BB440" i="2" s="1"/>
  <c r="AN440" i="2"/>
  <c r="BA440" i="2" s="1"/>
  <c r="AM440" i="2"/>
  <c r="AZ440" i="2" s="1"/>
  <c r="AL440" i="2"/>
  <c r="AY440" i="2" s="1"/>
  <c r="AK440" i="2"/>
  <c r="AX440" i="2" s="1"/>
  <c r="AJ440" i="2"/>
  <c r="AW440" i="2" s="1"/>
  <c r="AI440" i="2"/>
  <c r="AV440" i="2" s="1"/>
  <c r="AH440" i="2"/>
  <c r="AU440" i="2" s="1"/>
  <c r="AG440" i="2"/>
  <c r="AT440" i="2" s="1"/>
  <c r="AF440" i="2"/>
  <c r="AS440" i="2" s="1"/>
  <c r="AE440" i="2"/>
  <c r="AD440" i="2"/>
  <c r="AQ440" i="2" s="1"/>
  <c r="AA440" i="2"/>
  <c r="Z440" i="2"/>
  <c r="AP440" i="2" s="1"/>
  <c r="D440" i="2"/>
  <c r="A440" i="2"/>
  <c r="BC439" i="2"/>
  <c r="AO439" i="2"/>
  <c r="BB439" i="2" s="1"/>
  <c r="AN439" i="2"/>
  <c r="BA439" i="2" s="1"/>
  <c r="AM439" i="2"/>
  <c r="AZ439" i="2" s="1"/>
  <c r="AL439" i="2"/>
  <c r="AY439" i="2" s="1"/>
  <c r="AK439" i="2"/>
  <c r="AX439" i="2" s="1"/>
  <c r="AJ439" i="2"/>
  <c r="AW439" i="2" s="1"/>
  <c r="AI439" i="2"/>
  <c r="AV439" i="2" s="1"/>
  <c r="AH439" i="2"/>
  <c r="AU439" i="2" s="1"/>
  <c r="AG439" i="2"/>
  <c r="AT439" i="2" s="1"/>
  <c r="AF439" i="2"/>
  <c r="AS439" i="2" s="1"/>
  <c r="AE439" i="2"/>
  <c r="AR439" i="2" s="1"/>
  <c r="AD439" i="2"/>
  <c r="AQ439" i="2" s="1"/>
  <c r="AA439" i="2"/>
  <c r="Z439" i="2"/>
  <c r="AP439" i="2" s="1"/>
  <c r="D439" i="2"/>
  <c r="A439" i="2"/>
  <c r="BC438" i="2"/>
  <c r="AZ438" i="2"/>
  <c r="AO438" i="2"/>
  <c r="BB438" i="2" s="1"/>
  <c r="AN438" i="2"/>
  <c r="BA438" i="2" s="1"/>
  <c r="AM438" i="2"/>
  <c r="AL438" i="2"/>
  <c r="AY438" i="2" s="1"/>
  <c r="AK438" i="2"/>
  <c r="AX438" i="2" s="1"/>
  <c r="AJ438" i="2"/>
  <c r="AW438" i="2" s="1"/>
  <c r="AI438" i="2"/>
  <c r="AV438" i="2" s="1"/>
  <c r="AH438" i="2"/>
  <c r="AU438" i="2" s="1"/>
  <c r="AG438" i="2"/>
  <c r="AT438" i="2" s="1"/>
  <c r="AF438" i="2"/>
  <c r="AS438" i="2" s="1"/>
  <c r="AE438" i="2"/>
  <c r="AR438" i="2" s="1"/>
  <c r="AD438" i="2"/>
  <c r="AQ438" i="2" s="1"/>
  <c r="AA438" i="2"/>
  <c r="Z438" i="2"/>
  <c r="AP438" i="2" s="1"/>
  <c r="D438" i="2"/>
  <c r="A438" i="2"/>
  <c r="BC437" i="2"/>
  <c r="AO437" i="2"/>
  <c r="BB437" i="2" s="1"/>
  <c r="AN437" i="2"/>
  <c r="BA437" i="2" s="1"/>
  <c r="AM437" i="2"/>
  <c r="AZ437" i="2" s="1"/>
  <c r="AL437" i="2"/>
  <c r="AY437" i="2" s="1"/>
  <c r="AK437" i="2"/>
  <c r="AX437" i="2" s="1"/>
  <c r="AJ437" i="2"/>
  <c r="AW437" i="2" s="1"/>
  <c r="AI437" i="2"/>
  <c r="AV437" i="2" s="1"/>
  <c r="AH437" i="2"/>
  <c r="AU437" i="2" s="1"/>
  <c r="AG437" i="2"/>
  <c r="AT437" i="2" s="1"/>
  <c r="AF437" i="2"/>
  <c r="AS437" i="2" s="1"/>
  <c r="AE437" i="2"/>
  <c r="AR437" i="2" s="1"/>
  <c r="AD437" i="2"/>
  <c r="AQ437" i="2" s="1"/>
  <c r="AA437" i="2"/>
  <c r="Z437" i="2"/>
  <c r="AP437" i="2" s="1"/>
  <c r="D437" i="2"/>
  <c r="A437" i="2"/>
  <c r="BC436" i="2"/>
  <c r="AO436" i="2"/>
  <c r="BB436" i="2" s="1"/>
  <c r="AN436" i="2"/>
  <c r="BA436" i="2" s="1"/>
  <c r="AM436" i="2"/>
  <c r="AZ436" i="2" s="1"/>
  <c r="AL436" i="2"/>
  <c r="AY436" i="2" s="1"/>
  <c r="AK436" i="2"/>
  <c r="AX436" i="2" s="1"/>
  <c r="AJ436" i="2"/>
  <c r="AW436" i="2" s="1"/>
  <c r="AI436" i="2"/>
  <c r="AV436" i="2" s="1"/>
  <c r="AH436" i="2"/>
  <c r="AU436" i="2" s="1"/>
  <c r="AG436" i="2"/>
  <c r="AT436" i="2" s="1"/>
  <c r="AF436" i="2"/>
  <c r="AS436" i="2" s="1"/>
  <c r="AE436" i="2"/>
  <c r="AR436" i="2" s="1"/>
  <c r="AD436" i="2"/>
  <c r="AQ436" i="2" s="1"/>
  <c r="AA436" i="2"/>
  <c r="Z436" i="2"/>
  <c r="AP436" i="2" s="1"/>
  <c r="D436" i="2"/>
  <c r="A436" i="2"/>
  <c r="BC435" i="2"/>
  <c r="AO435" i="2"/>
  <c r="BB435" i="2" s="1"/>
  <c r="AN435" i="2"/>
  <c r="BA435" i="2" s="1"/>
  <c r="AM435" i="2"/>
  <c r="AZ435" i="2" s="1"/>
  <c r="AL435" i="2"/>
  <c r="AY435" i="2" s="1"/>
  <c r="AK435" i="2"/>
  <c r="AX435" i="2" s="1"/>
  <c r="AJ435" i="2"/>
  <c r="AW435" i="2" s="1"/>
  <c r="AI435" i="2"/>
  <c r="AV435" i="2" s="1"/>
  <c r="AH435" i="2"/>
  <c r="AU435" i="2" s="1"/>
  <c r="AG435" i="2"/>
  <c r="AT435" i="2" s="1"/>
  <c r="AF435" i="2"/>
  <c r="AS435" i="2" s="1"/>
  <c r="AE435" i="2"/>
  <c r="AR435" i="2" s="1"/>
  <c r="AD435" i="2"/>
  <c r="AQ435" i="2" s="1"/>
  <c r="AA435" i="2"/>
  <c r="Z435" i="2"/>
  <c r="AP435" i="2" s="1"/>
  <c r="D435" i="2"/>
  <c r="A435" i="2"/>
  <c r="BC434" i="2"/>
  <c r="AO434" i="2"/>
  <c r="BB434" i="2" s="1"/>
  <c r="AN434" i="2"/>
  <c r="BA434" i="2" s="1"/>
  <c r="AM434" i="2"/>
  <c r="AZ434" i="2" s="1"/>
  <c r="AL434" i="2"/>
  <c r="AY434" i="2" s="1"/>
  <c r="AK434" i="2"/>
  <c r="AX434" i="2" s="1"/>
  <c r="AJ434" i="2"/>
  <c r="AW434" i="2" s="1"/>
  <c r="AI434" i="2"/>
  <c r="AV434" i="2" s="1"/>
  <c r="AH434" i="2"/>
  <c r="AU434" i="2" s="1"/>
  <c r="AG434" i="2"/>
  <c r="AT434" i="2" s="1"/>
  <c r="AF434" i="2"/>
  <c r="AS434" i="2" s="1"/>
  <c r="AE434" i="2"/>
  <c r="AR434" i="2" s="1"/>
  <c r="AD434" i="2"/>
  <c r="AQ434" i="2" s="1"/>
  <c r="AA434" i="2"/>
  <c r="Z434" i="2"/>
  <c r="AP434" i="2" s="1"/>
  <c r="D434" i="2"/>
  <c r="A434" i="2"/>
  <c r="BC433" i="2"/>
  <c r="AO433" i="2"/>
  <c r="BB433" i="2" s="1"/>
  <c r="AN433" i="2"/>
  <c r="BA433" i="2" s="1"/>
  <c r="AM433" i="2"/>
  <c r="AZ433" i="2" s="1"/>
  <c r="AL433" i="2"/>
  <c r="AY433" i="2" s="1"/>
  <c r="AK433" i="2"/>
  <c r="AX433" i="2" s="1"/>
  <c r="AJ433" i="2"/>
  <c r="AW433" i="2" s="1"/>
  <c r="AI433" i="2"/>
  <c r="AV433" i="2" s="1"/>
  <c r="AH433" i="2"/>
  <c r="AU433" i="2" s="1"/>
  <c r="AG433" i="2"/>
  <c r="AT433" i="2" s="1"/>
  <c r="AF433" i="2"/>
  <c r="AS433" i="2" s="1"/>
  <c r="AE433" i="2"/>
  <c r="AR433" i="2" s="1"/>
  <c r="AD433" i="2"/>
  <c r="AQ433" i="2" s="1"/>
  <c r="AA433" i="2"/>
  <c r="Z433" i="2"/>
  <c r="AP433" i="2" s="1"/>
  <c r="D433" i="2"/>
  <c r="A433" i="2"/>
  <c r="BC432" i="2"/>
  <c r="AO432" i="2"/>
  <c r="BB432" i="2" s="1"/>
  <c r="AN432" i="2"/>
  <c r="BA432" i="2" s="1"/>
  <c r="AM432" i="2"/>
  <c r="AZ432" i="2" s="1"/>
  <c r="AL432" i="2"/>
  <c r="AY432" i="2" s="1"/>
  <c r="AK432" i="2"/>
  <c r="AX432" i="2" s="1"/>
  <c r="AJ432" i="2"/>
  <c r="AW432" i="2" s="1"/>
  <c r="AI432" i="2"/>
  <c r="AV432" i="2" s="1"/>
  <c r="AH432" i="2"/>
  <c r="AU432" i="2" s="1"/>
  <c r="AG432" i="2"/>
  <c r="AT432" i="2" s="1"/>
  <c r="AF432" i="2"/>
  <c r="AS432" i="2" s="1"/>
  <c r="AE432" i="2"/>
  <c r="AR432" i="2" s="1"/>
  <c r="AD432" i="2"/>
  <c r="AQ432" i="2" s="1"/>
  <c r="AA432" i="2"/>
  <c r="Z432" i="2"/>
  <c r="AP432" i="2" s="1"/>
  <c r="D432" i="2"/>
  <c r="A432" i="2"/>
  <c r="BC431" i="2"/>
  <c r="AO431" i="2"/>
  <c r="BB431" i="2" s="1"/>
  <c r="AN431" i="2"/>
  <c r="BA431" i="2" s="1"/>
  <c r="AM431" i="2"/>
  <c r="AZ431" i="2" s="1"/>
  <c r="AL431" i="2"/>
  <c r="AY431" i="2" s="1"/>
  <c r="AK431" i="2"/>
  <c r="AX431" i="2" s="1"/>
  <c r="AJ431" i="2"/>
  <c r="AW431" i="2" s="1"/>
  <c r="AI431" i="2"/>
  <c r="AV431" i="2" s="1"/>
  <c r="AH431" i="2"/>
  <c r="AU431" i="2" s="1"/>
  <c r="AG431" i="2"/>
  <c r="AT431" i="2" s="1"/>
  <c r="AF431" i="2"/>
  <c r="AS431" i="2" s="1"/>
  <c r="AE431" i="2"/>
  <c r="AR431" i="2" s="1"/>
  <c r="AD431" i="2"/>
  <c r="AQ431" i="2" s="1"/>
  <c r="AA431" i="2"/>
  <c r="Z431" i="2"/>
  <c r="AP431" i="2" s="1"/>
  <c r="D431" i="2"/>
  <c r="A431" i="2"/>
  <c r="BC430" i="2"/>
  <c r="AO430" i="2"/>
  <c r="BB430" i="2" s="1"/>
  <c r="AN430" i="2"/>
  <c r="BA430" i="2" s="1"/>
  <c r="AM430" i="2"/>
  <c r="AZ430" i="2" s="1"/>
  <c r="AL430" i="2"/>
  <c r="AY430" i="2" s="1"/>
  <c r="AK430" i="2"/>
  <c r="AX430" i="2" s="1"/>
  <c r="AJ430" i="2"/>
  <c r="AW430" i="2" s="1"/>
  <c r="AI430" i="2"/>
  <c r="AV430" i="2" s="1"/>
  <c r="AH430" i="2"/>
  <c r="AU430" i="2" s="1"/>
  <c r="AG430" i="2"/>
  <c r="AT430" i="2" s="1"/>
  <c r="AF430" i="2"/>
  <c r="AS430" i="2" s="1"/>
  <c r="AE430" i="2"/>
  <c r="AR430" i="2" s="1"/>
  <c r="AD430" i="2"/>
  <c r="AQ430" i="2" s="1"/>
  <c r="AA430" i="2"/>
  <c r="Z430" i="2"/>
  <c r="AP430" i="2" s="1"/>
  <c r="D430" i="2"/>
  <c r="A430" i="2"/>
  <c r="BC429" i="2"/>
  <c r="AO429" i="2"/>
  <c r="BB429" i="2" s="1"/>
  <c r="AN429" i="2"/>
  <c r="BA429" i="2" s="1"/>
  <c r="AM429" i="2"/>
  <c r="AZ429" i="2" s="1"/>
  <c r="AL429" i="2"/>
  <c r="AY429" i="2" s="1"/>
  <c r="AK429" i="2"/>
  <c r="AX429" i="2" s="1"/>
  <c r="AJ429" i="2"/>
  <c r="AW429" i="2" s="1"/>
  <c r="AI429" i="2"/>
  <c r="AV429" i="2" s="1"/>
  <c r="AH429" i="2"/>
  <c r="AU429" i="2" s="1"/>
  <c r="AG429" i="2"/>
  <c r="AT429" i="2" s="1"/>
  <c r="AF429" i="2"/>
  <c r="AS429" i="2" s="1"/>
  <c r="AE429" i="2"/>
  <c r="AR429" i="2" s="1"/>
  <c r="AD429" i="2"/>
  <c r="AQ429" i="2" s="1"/>
  <c r="AA429" i="2"/>
  <c r="Z429" i="2"/>
  <c r="AP429" i="2" s="1"/>
  <c r="D429" i="2"/>
  <c r="A429" i="2"/>
  <c r="BC428" i="2"/>
  <c r="AO428" i="2"/>
  <c r="BB428" i="2" s="1"/>
  <c r="AN428" i="2"/>
  <c r="BA428" i="2" s="1"/>
  <c r="AM428" i="2"/>
  <c r="AZ428" i="2" s="1"/>
  <c r="AL428" i="2"/>
  <c r="AY428" i="2" s="1"/>
  <c r="AK428" i="2"/>
  <c r="AX428" i="2" s="1"/>
  <c r="AJ428" i="2"/>
  <c r="AW428" i="2" s="1"/>
  <c r="AI428" i="2"/>
  <c r="AV428" i="2" s="1"/>
  <c r="AH428" i="2"/>
  <c r="AU428" i="2" s="1"/>
  <c r="AG428" i="2"/>
  <c r="AT428" i="2" s="1"/>
  <c r="AF428" i="2"/>
  <c r="AS428" i="2" s="1"/>
  <c r="AE428" i="2"/>
  <c r="AR428" i="2" s="1"/>
  <c r="AD428" i="2"/>
  <c r="AQ428" i="2" s="1"/>
  <c r="AA428" i="2"/>
  <c r="Z428" i="2"/>
  <c r="AP428" i="2" s="1"/>
  <c r="D428" i="2"/>
  <c r="A428" i="2"/>
  <c r="BC427" i="2"/>
  <c r="AO427" i="2"/>
  <c r="BB427" i="2" s="1"/>
  <c r="AN427" i="2"/>
  <c r="BA427" i="2" s="1"/>
  <c r="AM427" i="2"/>
  <c r="AZ427" i="2" s="1"/>
  <c r="AL427" i="2"/>
  <c r="AY427" i="2" s="1"/>
  <c r="AK427" i="2"/>
  <c r="AX427" i="2" s="1"/>
  <c r="AJ427" i="2"/>
  <c r="AW427" i="2" s="1"/>
  <c r="AI427" i="2"/>
  <c r="AV427" i="2" s="1"/>
  <c r="AH427" i="2"/>
  <c r="AU427" i="2" s="1"/>
  <c r="AG427" i="2"/>
  <c r="AT427" i="2" s="1"/>
  <c r="AF427" i="2"/>
  <c r="AS427" i="2" s="1"/>
  <c r="AE427" i="2"/>
  <c r="AR427" i="2" s="1"/>
  <c r="AD427" i="2"/>
  <c r="AQ427" i="2" s="1"/>
  <c r="AA427" i="2"/>
  <c r="Z427" i="2"/>
  <c r="AP427" i="2" s="1"/>
  <c r="D427" i="2"/>
  <c r="A427" i="2"/>
  <c r="BC426" i="2"/>
  <c r="AO426" i="2"/>
  <c r="BB426" i="2" s="1"/>
  <c r="AN426" i="2"/>
  <c r="BA426" i="2" s="1"/>
  <c r="AM426" i="2"/>
  <c r="AZ426" i="2" s="1"/>
  <c r="AL426" i="2"/>
  <c r="AY426" i="2" s="1"/>
  <c r="AK426" i="2"/>
  <c r="AX426" i="2" s="1"/>
  <c r="AJ426" i="2"/>
  <c r="AW426" i="2" s="1"/>
  <c r="AI426" i="2"/>
  <c r="AV426" i="2" s="1"/>
  <c r="AH426" i="2"/>
  <c r="AU426" i="2" s="1"/>
  <c r="AG426" i="2"/>
  <c r="AT426" i="2" s="1"/>
  <c r="AF426" i="2"/>
  <c r="AS426" i="2" s="1"/>
  <c r="AE426" i="2"/>
  <c r="AR426" i="2" s="1"/>
  <c r="AD426" i="2"/>
  <c r="AQ426" i="2" s="1"/>
  <c r="AA426" i="2"/>
  <c r="Z426" i="2"/>
  <c r="AP426" i="2" s="1"/>
  <c r="D426" i="2"/>
  <c r="A426" i="2"/>
  <c r="BC425" i="2"/>
  <c r="AO425" i="2"/>
  <c r="BB425" i="2" s="1"/>
  <c r="AN425" i="2"/>
  <c r="BA425" i="2" s="1"/>
  <c r="AM425" i="2"/>
  <c r="AZ425" i="2" s="1"/>
  <c r="AL425" i="2"/>
  <c r="AY425" i="2" s="1"/>
  <c r="AK425" i="2"/>
  <c r="AX425" i="2" s="1"/>
  <c r="AJ425" i="2"/>
  <c r="AW425" i="2" s="1"/>
  <c r="AI425" i="2"/>
  <c r="AV425" i="2" s="1"/>
  <c r="AH425" i="2"/>
  <c r="AU425" i="2" s="1"/>
  <c r="AG425" i="2"/>
  <c r="AT425" i="2" s="1"/>
  <c r="AF425" i="2"/>
  <c r="AS425" i="2" s="1"/>
  <c r="AE425" i="2"/>
  <c r="AR425" i="2" s="1"/>
  <c r="AD425" i="2"/>
  <c r="AQ425" i="2" s="1"/>
  <c r="AA425" i="2"/>
  <c r="Z425" i="2"/>
  <c r="AP425" i="2" s="1"/>
  <c r="D425" i="2"/>
  <c r="A425" i="2"/>
  <c r="BC424" i="2"/>
  <c r="BA424" i="2"/>
  <c r="AS424" i="2"/>
  <c r="AO424" i="2"/>
  <c r="BB424" i="2" s="1"/>
  <c r="AN424" i="2"/>
  <c r="AM424" i="2"/>
  <c r="AZ424" i="2" s="1"/>
  <c r="AL424" i="2"/>
  <c r="AY424" i="2" s="1"/>
  <c r="AK424" i="2"/>
  <c r="AX424" i="2" s="1"/>
  <c r="AJ424" i="2"/>
  <c r="AW424" i="2" s="1"/>
  <c r="AI424" i="2"/>
  <c r="AV424" i="2" s="1"/>
  <c r="AH424" i="2"/>
  <c r="AU424" i="2" s="1"/>
  <c r="AG424" i="2"/>
  <c r="AT424" i="2" s="1"/>
  <c r="AF424" i="2"/>
  <c r="AE424" i="2"/>
  <c r="AR424" i="2" s="1"/>
  <c r="AD424" i="2"/>
  <c r="AQ424" i="2" s="1"/>
  <c r="AA424" i="2"/>
  <c r="Z424" i="2"/>
  <c r="AP424" i="2" s="1"/>
  <c r="D424" i="2"/>
  <c r="A424" i="2"/>
  <c r="BC423" i="2"/>
  <c r="AO423" i="2"/>
  <c r="BB423" i="2" s="1"/>
  <c r="AN423" i="2"/>
  <c r="BA423" i="2" s="1"/>
  <c r="AM423" i="2"/>
  <c r="AZ423" i="2" s="1"/>
  <c r="AL423" i="2"/>
  <c r="AY423" i="2" s="1"/>
  <c r="AK423" i="2"/>
  <c r="AX423" i="2" s="1"/>
  <c r="AJ423" i="2"/>
  <c r="AW423" i="2" s="1"/>
  <c r="AI423" i="2"/>
  <c r="AV423" i="2" s="1"/>
  <c r="AH423" i="2"/>
  <c r="AU423" i="2" s="1"/>
  <c r="AG423" i="2"/>
  <c r="AT423" i="2" s="1"/>
  <c r="AF423" i="2"/>
  <c r="AS423" i="2" s="1"/>
  <c r="AE423" i="2"/>
  <c r="AR423" i="2" s="1"/>
  <c r="AD423" i="2"/>
  <c r="AQ423" i="2" s="1"/>
  <c r="AA423" i="2"/>
  <c r="Z423" i="2"/>
  <c r="AP423" i="2" s="1"/>
  <c r="D423" i="2"/>
  <c r="A423" i="2"/>
  <c r="BC422" i="2"/>
  <c r="AO422" i="2"/>
  <c r="BB422" i="2" s="1"/>
  <c r="AN422" i="2"/>
  <c r="BA422" i="2" s="1"/>
  <c r="AM422" i="2"/>
  <c r="AZ422" i="2" s="1"/>
  <c r="AL422" i="2"/>
  <c r="AY422" i="2" s="1"/>
  <c r="AK422" i="2"/>
  <c r="AX422" i="2" s="1"/>
  <c r="AJ422" i="2"/>
  <c r="AW422" i="2" s="1"/>
  <c r="AI422" i="2"/>
  <c r="AV422" i="2" s="1"/>
  <c r="AH422" i="2"/>
  <c r="AU422" i="2" s="1"/>
  <c r="AG422" i="2"/>
  <c r="AT422" i="2" s="1"/>
  <c r="AF422" i="2"/>
  <c r="AS422" i="2" s="1"/>
  <c r="AE422" i="2"/>
  <c r="AR422" i="2" s="1"/>
  <c r="AD422" i="2"/>
  <c r="AQ422" i="2" s="1"/>
  <c r="AA422" i="2"/>
  <c r="Z422" i="2"/>
  <c r="AP422" i="2" s="1"/>
  <c r="D422" i="2"/>
  <c r="A422" i="2"/>
  <c r="BC421" i="2"/>
  <c r="AO421" i="2"/>
  <c r="BB421" i="2" s="1"/>
  <c r="AN421" i="2"/>
  <c r="BA421" i="2" s="1"/>
  <c r="AM421" i="2"/>
  <c r="AZ421" i="2" s="1"/>
  <c r="AL421" i="2"/>
  <c r="AY421" i="2" s="1"/>
  <c r="AK421" i="2"/>
  <c r="AX421" i="2" s="1"/>
  <c r="AJ421" i="2"/>
  <c r="AW421" i="2" s="1"/>
  <c r="AI421" i="2"/>
  <c r="AV421" i="2" s="1"/>
  <c r="AH421" i="2"/>
  <c r="AU421" i="2" s="1"/>
  <c r="AG421" i="2"/>
  <c r="AT421" i="2" s="1"/>
  <c r="AF421" i="2"/>
  <c r="AS421" i="2" s="1"/>
  <c r="AE421" i="2"/>
  <c r="AR421" i="2" s="1"/>
  <c r="AD421" i="2"/>
  <c r="AQ421" i="2" s="1"/>
  <c r="AA421" i="2"/>
  <c r="Z421" i="2"/>
  <c r="AP421" i="2" s="1"/>
  <c r="D421" i="2"/>
  <c r="A421" i="2"/>
  <c r="BC420" i="2"/>
  <c r="AO420" i="2"/>
  <c r="BB420" i="2" s="1"/>
  <c r="AN420" i="2"/>
  <c r="BA420" i="2" s="1"/>
  <c r="AM420" i="2"/>
  <c r="AZ420" i="2" s="1"/>
  <c r="AL420" i="2"/>
  <c r="AY420" i="2" s="1"/>
  <c r="AK420" i="2"/>
  <c r="AX420" i="2" s="1"/>
  <c r="AJ420" i="2"/>
  <c r="AW420" i="2" s="1"/>
  <c r="AI420" i="2"/>
  <c r="AV420" i="2" s="1"/>
  <c r="AH420" i="2"/>
  <c r="AU420" i="2" s="1"/>
  <c r="AG420" i="2"/>
  <c r="AT420" i="2" s="1"/>
  <c r="AF420" i="2"/>
  <c r="AS420" i="2" s="1"/>
  <c r="AE420" i="2"/>
  <c r="AR420" i="2" s="1"/>
  <c r="AD420" i="2"/>
  <c r="AQ420" i="2" s="1"/>
  <c r="AA420" i="2"/>
  <c r="Z420" i="2"/>
  <c r="AP420" i="2" s="1"/>
  <c r="D420" i="2"/>
  <c r="A420" i="2"/>
  <c r="BC419" i="2"/>
  <c r="AO419" i="2"/>
  <c r="BB419" i="2" s="1"/>
  <c r="AN419" i="2"/>
  <c r="BA419" i="2" s="1"/>
  <c r="AM419" i="2"/>
  <c r="AZ419" i="2" s="1"/>
  <c r="AL419" i="2"/>
  <c r="AY419" i="2" s="1"/>
  <c r="AK419" i="2"/>
  <c r="AX419" i="2" s="1"/>
  <c r="AJ419" i="2"/>
  <c r="AW419" i="2" s="1"/>
  <c r="AI419" i="2"/>
  <c r="AV419" i="2" s="1"/>
  <c r="AH419" i="2"/>
  <c r="AU419" i="2" s="1"/>
  <c r="AG419" i="2"/>
  <c r="AT419" i="2" s="1"/>
  <c r="AF419" i="2"/>
  <c r="AS419" i="2" s="1"/>
  <c r="AE419" i="2"/>
  <c r="AR419" i="2" s="1"/>
  <c r="AD419" i="2"/>
  <c r="AQ419" i="2" s="1"/>
  <c r="AA419" i="2"/>
  <c r="Z419" i="2"/>
  <c r="AP419" i="2" s="1"/>
  <c r="D419" i="2"/>
  <c r="A419" i="2"/>
  <c r="BC418" i="2"/>
  <c r="AO418" i="2"/>
  <c r="BB418" i="2" s="1"/>
  <c r="AN418" i="2"/>
  <c r="BA418" i="2" s="1"/>
  <c r="AM418" i="2"/>
  <c r="AZ418" i="2" s="1"/>
  <c r="AL418" i="2"/>
  <c r="AY418" i="2" s="1"/>
  <c r="AK418" i="2"/>
  <c r="AX418" i="2" s="1"/>
  <c r="AJ418" i="2"/>
  <c r="AW418" i="2" s="1"/>
  <c r="AI418" i="2"/>
  <c r="AV418" i="2" s="1"/>
  <c r="AH418" i="2"/>
  <c r="AU418" i="2" s="1"/>
  <c r="AG418" i="2"/>
  <c r="AT418" i="2" s="1"/>
  <c r="AF418" i="2"/>
  <c r="AS418" i="2" s="1"/>
  <c r="AE418" i="2"/>
  <c r="AR418" i="2" s="1"/>
  <c r="AD418" i="2"/>
  <c r="AQ418" i="2" s="1"/>
  <c r="AA418" i="2"/>
  <c r="Z418" i="2"/>
  <c r="AP418" i="2" s="1"/>
  <c r="D418" i="2"/>
  <c r="A418" i="2"/>
  <c r="BC417" i="2"/>
  <c r="AO417" i="2"/>
  <c r="BB417" i="2" s="1"/>
  <c r="AN417" i="2"/>
  <c r="BA417" i="2" s="1"/>
  <c r="AM417" i="2"/>
  <c r="AZ417" i="2" s="1"/>
  <c r="AL417" i="2"/>
  <c r="AY417" i="2" s="1"/>
  <c r="AK417" i="2"/>
  <c r="AX417" i="2" s="1"/>
  <c r="AJ417" i="2"/>
  <c r="AW417" i="2" s="1"/>
  <c r="AI417" i="2"/>
  <c r="AV417" i="2" s="1"/>
  <c r="AH417" i="2"/>
  <c r="AU417" i="2" s="1"/>
  <c r="AG417" i="2"/>
  <c r="AT417" i="2" s="1"/>
  <c r="AF417" i="2"/>
  <c r="AS417" i="2" s="1"/>
  <c r="AE417" i="2"/>
  <c r="AR417" i="2" s="1"/>
  <c r="AD417" i="2"/>
  <c r="AQ417" i="2" s="1"/>
  <c r="AA417" i="2"/>
  <c r="Z417" i="2"/>
  <c r="AP417" i="2" s="1"/>
  <c r="D417" i="2"/>
  <c r="A417" i="2"/>
  <c r="BC416" i="2"/>
  <c r="AO416" i="2"/>
  <c r="BB416" i="2" s="1"/>
  <c r="AN416" i="2"/>
  <c r="BA416" i="2" s="1"/>
  <c r="AM416" i="2"/>
  <c r="AZ416" i="2" s="1"/>
  <c r="AL416" i="2"/>
  <c r="AY416" i="2" s="1"/>
  <c r="AK416" i="2"/>
  <c r="AX416" i="2" s="1"/>
  <c r="AJ416" i="2"/>
  <c r="AW416" i="2" s="1"/>
  <c r="AI416" i="2"/>
  <c r="AV416" i="2" s="1"/>
  <c r="AH416" i="2"/>
  <c r="AU416" i="2" s="1"/>
  <c r="AG416" i="2"/>
  <c r="AT416" i="2" s="1"/>
  <c r="AF416" i="2"/>
  <c r="AS416" i="2" s="1"/>
  <c r="AE416" i="2"/>
  <c r="AR416" i="2" s="1"/>
  <c r="AD416" i="2"/>
  <c r="AQ416" i="2" s="1"/>
  <c r="AA416" i="2"/>
  <c r="Z416" i="2"/>
  <c r="AP416" i="2" s="1"/>
  <c r="D416" i="2"/>
  <c r="A416" i="2"/>
  <c r="BC415" i="2"/>
  <c r="AO415" i="2"/>
  <c r="BB415" i="2" s="1"/>
  <c r="AN415" i="2"/>
  <c r="BA415" i="2" s="1"/>
  <c r="AM415" i="2"/>
  <c r="AZ415" i="2" s="1"/>
  <c r="AL415" i="2"/>
  <c r="AY415" i="2" s="1"/>
  <c r="AK415" i="2"/>
  <c r="AX415" i="2" s="1"/>
  <c r="AJ415" i="2"/>
  <c r="AW415" i="2" s="1"/>
  <c r="AI415" i="2"/>
  <c r="AV415" i="2" s="1"/>
  <c r="AH415" i="2"/>
  <c r="AU415" i="2" s="1"/>
  <c r="AG415" i="2"/>
  <c r="AT415" i="2" s="1"/>
  <c r="AF415" i="2"/>
  <c r="AS415" i="2" s="1"/>
  <c r="AE415" i="2"/>
  <c r="AR415" i="2" s="1"/>
  <c r="AD415" i="2"/>
  <c r="AQ415" i="2" s="1"/>
  <c r="AA415" i="2"/>
  <c r="Z415" i="2"/>
  <c r="AP415" i="2" s="1"/>
  <c r="D415" i="2"/>
  <c r="A415" i="2"/>
  <c r="BC414" i="2"/>
  <c r="AO414" i="2"/>
  <c r="BB414" i="2" s="1"/>
  <c r="AN414" i="2"/>
  <c r="BA414" i="2" s="1"/>
  <c r="AM414" i="2"/>
  <c r="AZ414" i="2" s="1"/>
  <c r="AL414" i="2"/>
  <c r="AY414" i="2" s="1"/>
  <c r="AK414" i="2"/>
  <c r="AX414" i="2" s="1"/>
  <c r="AJ414" i="2"/>
  <c r="AW414" i="2" s="1"/>
  <c r="AI414" i="2"/>
  <c r="AV414" i="2" s="1"/>
  <c r="AH414" i="2"/>
  <c r="AU414" i="2" s="1"/>
  <c r="AG414" i="2"/>
  <c r="AT414" i="2" s="1"/>
  <c r="AF414" i="2"/>
  <c r="AS414" i="2" s="1"/>
  <c r="AE414" i="2"/>
  <c r="AR414" i="2" s="1"/>
  <c r="AD414" i="2"/>
  <c r="AQ414" i="2" s="1"/>
  <c r="AA414" i="2"/>
  <c r="Z414" i="2"/>
  <c r="AP414" i="2" s="1"/>
  <c r="D414" i="2"/>
  <c r="A414" i="2"/>
  <c r="BC413" i="2"/>
  <c r="AO413" i="2"/>
  <c r="BB413" i="2" s="1"/>
  <c r="AN413" i="2"/>
  <c r="BA413" i="2" s="1"/>
  <c r="AM413" i="2"/>
  <c r="AZ413" i="2" s="1"/>
  <c r="AL413" i="2"/>
  <c r="AY413" i="2" s="1"/>
  <c r="AK413" i="2"/>
  <c r="AX413" i="2" s="1"/>
  <c r="AJ413" i="2"/>
  <c r="AW413" i="2" s="1"/>
  <c r="AI413" i="2"/>
  <c r="AV413" i="2" s="1"/>
  <c r="AH413" i="2"/>
  <c r="AU413" i="2" s="1"/>
  <c r="AG413" i="2"/>
  <c r="AT413" i="2" s="1"/>
  <c r="AF413" i="2"/>
  <c r="AS413" i="2" s="1"/>
  <c r="AE413" i="2"/>
  <c r="AR413" i="2" s="1"/>
  <c r="AD413" i="2"/>
  <c r="AQ413" i="2" s="1"/>
  <c r="AA413" i="2"/>
  <c r="Z413" i="2"/>
  <c r="AP413" i="2" s="1"/>
  <c r="D413" i="2"/>
  <c r="A413" i="2"/>
  <c r="BC412" i="2"/>
  <c r="AO412" i="2"/>
  <c r="BB412" i="2" s="1"/>
  <c r="AN412" i="2"/>
  <c r="BA412" i="2" s="1"/>
  <c r="AM412" i="2"/>
  <c r="AZ412" i="2" s="1"/>
  <c r="AL412" i="2"/>
  <c r="AY412" i="2" s="1"/>
  <c r="AK412" i="2"/>
  <c r="AX412" i="2" s="1"/>
  <c r="AJ412" i="2"/>
  <c r="AW412" i="2" s="1"/>
  <c r="AI412" i="2"/>
  <c r="AV412" i="2" s="1"/>
  <c r="AH412" i="2"/>
  <c r="AU412" i="2" s="1"/>
  <c r="AG412" i="2"/>
  <c r="AT412" i="2" s="1"/>
  <c r="AF412" i="2"/>
  <c r="AS412" i="2" s="1"/>
  <c r="AE412" i="2"/>
  <c r="AR412" i="2" s="1"/>
  <c r="AD412" i="2"/>
  <c r="AQ412" i="2" s="1"/>
  <c r="AA412" i="2"/>
  <c r="Z412" i="2"/>
  <c r="AP412" i="2" s="1"/>
  <c r="D412" i="2"/>
  <c r="A412" i="2"/>
  <c r="BC411" i="2"/>
  <c r="AO411" i="2"/>
  <c r="BB411" i="2" s="1"/>
  <c r="AN411" i="2"/>
  <c r="BA411" i="2" s="1"/>
  <c r="AM411" i="2"/>
  <c r="AZ411" i="2" s="1"/>
  <c r="AL411" i="2"/>
  <c r="AY411" i="2" s="1"/>
  <c r="AK411" i="2"/>
  <c r="AX411" i="2" s="1"/>
  <c r="AJ411" i="2"/>
  <c r="AW411" i="2" s="1"/>
  <c r="AI411" i="2"/>
  <c r="AV411" i="2" s="1"/>
  <c r="AH411" i="2"/>
  <c r="AU411" i="2" s="1"/>
  <c r="AG411" i="2"/>
  <c r="AT411" i="2" s="1"/>
  <c r="AF411" i="2"/>
  <c r="AS411" i="2" s="1"/>
  <c r="AE411" i="2"/>
  <c r="AR411" i="2" s="1"/>
  <c r="AD411" i="2"/>
  <c r="AQ411" i="2" s="1"/>
  <c r="AA411" i="2"/>
  <c r="Z411" i="2"/>
  <c r="AP411" i="2" s="1"/>
  <c r="D411" i="2"/>
  <c r="A411" i="2"/>
  <c r="BC410" i="2"/>
  <c r="AW410" i="2"/>
  <c r="AO410" i="2"/>
  <c r="BB410" i="2" s="1"/>
  <c r="AN410" i="2"/>
  <c r="BA410" i="2" s="1"/>
  <c r="AM410" i="2"/>
  <c r="AZ410" i="2" s="1"/>
  <c r="AL410" i="2"/>
  <c r="AY410" i="2" s="1"/>
  <c r="AK410" i="2"/>
  <c r="AX410" i="2" s="1"/>
  <c r="AJ410" i="2"/>
  <c r="AI410" i="2"/>
  <c r="AV410" i="2" s="1"/>
  <c r="AH410" i="2"/>
  <c r="AU410" i="2" s="1"/>
  <c r="AG410" i="2"/>
  <c r="AT410" i="2" s="1"/>
  <c r="AF410" i="2"/>
  <c r="AS410" i="2" s="1"/>
  <c r="AE410" i="2"/>
  <c r="AR410" i="2" s="1"/>
  <c r="AD410" i="2"/>
  <c r="AQ410" i="2" s="1"/>
  <c r="AA410" i="2"/>
  <c r="Z410" i="2"/>
  <c r="AP410" i="2" s="1"/>
  <c r="D410" i="2"/>
  <c r="A410" i="2"/>
  <c r="BC409" i="2"/>
  <c r="AP409" i="2"/>
  <c r="AO409" i="2"/>
  <c r="BB409" i="2" s="1"/>
  <c r="AN409" i="2"/>
  <c r="BA409" i="2" s="1"/>
  <c r="AM409" i="2"/>
  <c r="AZ409" i="2" s="1"/>
  <c r="AL409" i="2"/>
  <c r="AY409" i="2" s="1"/>
  <c r="AK409" i="2"/>
  <c r="AX409" i="2" s="1"/>
  <c r="AJ409" i="2"/>
  <c r="AW409" i="2" s="1"/>
  <c r="AI409" i="2"/>
  <c r="AV409" i="2" s="1"/>
  <c r="AH409" i="2"/>
  <c r="AU409" i="2" s="1"/>
  <c r="AG409" i="2"/>
  <c r="AT409" i="2" s="1"/>
  <c r="AF409" i="2"/>
  <c r="AS409" i="2" s="1"/>
  <c r="AE409" i="2"/>
  <c r="AR409" i="2" s="1"/>
  <c r="AD409" i="2"/>
  <c r="AQ409" i="2" s="1"/>
  <c r="AA409" i="2"/>
  <c r="Z409" i="2"/>
  <c r="D409" i="2"/>
  <c r="A409" i="2"/>
  <c r="BC408" i="2"/>
  <c r="AO408" i="2"/>
  <c r="BB408" i="2" s="1"/>
  <c r="AN408" i="2"/>
  <c r="BA408" i="2" s="1"/>
  <c r="AM408" i="2"/>
  <c r="AZ408" i="2" s="1"/>
  <c r="AL408" i="2"/>
  <c r="AY408" i="2" s="1"/>
  <c r="AK408" i="2"/>
  <c r="AX408" i="2" s="1"/>
  <c r="AJ408" i="2"/>
  <c r="AW408" i="2" s="1"/>
  <c r="AI408" i="2"/>
  <c r="AV408" i="2" s="1"/>
  <c r="AH408" i="2"/>
  <c r="AU408" i="2" s="1"/>
  <c r="AG408" i="2"/>
  <c r="AT408" i="2" s="1"/>
  <c r="AF408" i="2"/>
  <c r="AS408" i="2" s="1"/>
  <c r="AE408" i="2"/>
  <c r="AR408" i="2" s="1"/>
  <c r="AD408" i="2"/>
  <c r="AQ408" i="2" s="1"/>
  <c r="AA408" i="2"/>
  <c r="Z408" i="2"/>
  <c r="AP408" i="2" s="1"/>
  <c r="D408" i="2"/>
  <c r="A408" i="2"/>
  <c r="BC407" i="2"/>
  <c r="AO407" i="2"/>
  <c r="BB407" i="2" s="1"/>
  <c r="AN407" i="2"/>
  <c r="BA407" i="2" s="1"/>
  <c r="AM407" i="2"/>
  <c r="AZ407" i="2" s="1"/>
  <c r="AL407" i="2"/>
  <c r="AY407" i="2" s="1"/>
  <c r="AK407" i="2"/>
  <c r="AX407" i="2" s="1"/>
  <c r="AJ407" i="2"/>
  <c r="AW407" i="2" s="1"/>
  <c r="AI407" i="2"/>
  <c r="AV407" i="2" s="1"/>
  <c r="AH407" i="2"/>
  <c r="AU407" i="2" s="1"/>
  <c r="AG407" i="2"/>
  <c r="AT407" i="2" s="1"/>
  <c r="AF407" i="2"/>
  <c r="AS407" i="2" s="1"/>
  <c r="AE407" i="2"/>
  <c r="AR407" i="2" s="1"/>
  <c r="AD407" i="2"/>
  <c r="AQ407" i="2" s="1"/>
  <c r="AA407" i="2"/>
  <c r="Z407" i="2"/>
  <c r="AP407" i="2" s="1"/>
  <c r="D407" i="2"/>
  <c r="A407" i="2"/>
  <c r="BC406" i="2"/>
  <c r="AO406" i="2"/>
  <c r="BB406" i="2" s="1"/>
  <c r="AN406" i="2"/>
  <c r="BA406" i="2" s="1"/>
  <c r="AM406" i="2"/>
  <c r="AZ406" i="2" s="1"/>
  <c r="AL406" i="2"/>
  <c r="AY406" i="2" s="1"/>
  <c r="AK406" i="2"/>
  <c r="AX406" i="2" s="1"/>
  <c r="AJ406" i="2"/>
  <c r="AW406" i="2" s="1"/>
  <c r="AI406" i="2"/>
  <c r="AV406" i="2" s="1"/>
  <c r="AH406" i="2"/>
  <c r="AU406" i="2" s="1"/>
  <c r="AG406" i="2"/>
  <c r="AT406" i="2" s="1"/>
  <c r="AF406" i="2"/>
  <c r="AS406" i="2" s="1"/>
  <c r="AE406" i="2"/>
  <c r="AR406" i="2" s="1"/>
  <c r="AD406" i="2"/>
  <c r="AQ406" i="2" s="1"/>
  <c r="AA406" i="2"/>
  <c r="Z406" i="2"/>
  <c r="AP406" i="2" s="1"/>
  <c r="D406" i="2"/>
  <c r="A406" i="2"/>
  <c r="BC405" i="2"/>
  <c r="AO405" i="2"/>
  <c r="BB405" i="2" s="1"/>
  <c r="AN405" i="2"/>
  <c r="BA405" i="2" s="1"/>
  <c r="AM405" i="2"/>
  <c r="AZ405" i="2" s="1"/>
  <c r="AL405" i="2"/>
  <c r="AY405" i="2" s="1"/>
  <c r="AK405" i="2"/>
  <c r="AX405" i="2" s="1"/>
  <c r="AJ405" i="2"/>
  <c r="AW405" i="2" s="1"/>
  <c r="AI405" i="2"/>
  <c r="AV405" i="2" s="1"/>
  <c r="AH405" i="2"/>
  <c r="AU405" i="2" s="1"/>
  <c r="AG405" i="2"/>
  <c r="AT405" i="2" s="1"/>
  <c r="AF405" i="2"/>
  <c r="AS405" i="2" s="1"/>
  <c r="AE405" i="2"/>
  <c r="AR405" i="2" s="1"/>
  <c r="AD405" i="2"/>
  <c r="AQ405" i="2" s="1"/>
  <c r="AA405" i="2"/>
  <c r="Z405" i="2"/>
  <c r="AP405" i="2" s="1"/>
  <c r="D405" i="2"/>
  <c r="A405" i="2"/>
  <c r="BC404" i="2"/>
  <c r="AU404" i="2"/>
  <c r="AO404" i="2"/>
  <c r="BB404" i="2" s="1"/>
  <c r="AN404" i="2"/>
  <c r="BA404" i="2" s="1"/>
  <c r="AM404" i="2"/>
  <c r="AZ404" i="2" s="1"/>
  <c r="AL404" i="2"/>
  <c r="AY404" i="2" s="1"/>
  <c r="AK404" i="2"/>
  <c r="AX404" i="2" s="1"/>
  <c r="AJ404" i="2"/>
  <c r="AW404" i="2" s="1"/>
  <c r="AI404" i="2"/>
  <c r="AV404" i="2" s="1"/>
  <c r="AH404" i="2"/>
  <c r="AG404" i="2"/>
  <c r="AT404" i="2" s="1"/>
  <c r="AF404" i="2"/>
  <c r="AS404" i="2" s="1"/>
  <c r="AE404" i="2"/>
  <c r="AR404" i="2" s="1"/>
  <c r="AD404" i="2"/>
  <c r="AQ404" i="2" s="1"/>
  <c r="AA404" i="2"/>
  <c r="Z404" i="2"/>
  <c r="AP404" i="2" s="1"/>
  <c r="D404" i="2"/>
  <c r="A404" i="2"/>
  <c r="BC403" i="2"/>
  <c r="AO403" i="2"/>
  <c r="BB403" i="2" s="1"/>
  <c r="AN403" i="2"/>
  <c r="BA403" i="2" s="1"/>
  <c r="AM403" i="2"/>
  <c r="AZ403" i="2" s="1"/>
  <c r="AL403" i="2"/>
  <c r="AY403" i="2" s="1"/>
  <c r="AK403" i="2"/>
  <c r="AX403" i="2" s="1"/>
  <c r="AJ403" i="2"/>
  <c r="AW403" i="2" s="1"/>
  <c r="AI403" i="2"/>
  <c r="AV403" i="2" s="1"/>
  <c r="AH403" i="2"/>
  <c r="AU403" i="2" s="1"/>
  <c r="AG403" i="2"/>
  <c r="AT403" i="2" s="1"/>
  <c r="AF403" i="2"/>
  <c r="AS403" i="2" s="1"/>
  <c r="AE403" i="2"/>
  <c r="AR403" i="2" s="1"/>
  <c r="AD403" i="2"/>
  <c r="AQ403" i="2" s="1"/>
  <c r="AA403" i="2"/>
  <c r="Z403" i="2"/>
  <c r="AP403" i="2" s="1"/>
  <c r="D403" i="2"/>
  <c r="A403" i="2"/>
  <c r="BC402" i="2"/>
  <c r="AO402" i="2"/>
  <c r="BB402" i="2" s="1"/>
  <c r="AN402" i="2"/>
  <c r="BA402" i="2" s="1"/>
  <c r="AM402" i="2"/>
  <c r="AZ402" i="2" s="1"/>
  <c r="AL402" i="2"/>
  <c r="AY402" i="2" s="1"/>
  <c r="AK402" i="2"/>
  <c r="AX402" i="2" s="1"/>
  <c r="AJ402" i="2"/>
  <c r="AW402" i="2" s="1"/>
  <c r="AI402" i="2"/>
  <c r="AV402" i="2" s="1"/>
  <c r="AH402" i="2"/>
  <c r="AU402" i="2" s="1"/>
  <c r="AG402" i="2"/>
  <c r="AT402" i="2" s="1"/>
  <c r="AF402" i="2"/>
  <c r="AS402" i="2" s="1"/>
  <c r="AE402" i="2"/>
  <c r="AR402" i="2" s="1"/>
  <c r="AD402" i="2"/>
  <c r="AQ402" i="2" s="1"/>
  <c r="AA402" i="2"/>
  <c r="Z402" i="2"/>
  <c r="AP402" i="2" s="1"/>
  <c r="D402" i="2"/>
  <c r="A402" i="2"/>
  <c r="BC401" i="2"/>
  <c r="AO401" i="2"/>
  <c r="BB401" i="2" s="1"/>
  <c r="AN401" i="2"/>
  <c r="BA401" i="2" s="1"/>
  <c r="AM401" i="2"/>
  <c r="AZ401" i="2" s="1"/>
  <c r="AL401" i="2"/>
  <c r="AY401" i="2" s="1"/>
  <c r="AK401" i="2"/>
  <c r="AX401" i="2" s="1"/>
  <c r="AJ401" i="2"/>
  <c r="AW401" i="2" s="1"/>
  <c r="AI401" i="2"/>
  <c r="AV401" i="2" s="1"/>
  <c r="AH401" i="2"/>
  <c r="AU401" i="2" s="1"/>
  <c r="AG401" i="2"/>
  <c r="AT401" i="2" s="1"/>
  <c r="AF401" i="2"/>
  <c r="AS401" i="2" s="1"/>
  <c r="AE401" i="2"/>
  <c r="AR401" i="2" s="1"/>
  <c r="AD401" i="2"/>
  <c r="AQ401" i="2" s="1"/>
  <c r="AA401" i="2"/>
  <c r="Z401" i="2"/>
  <c r="AP401" i="2" s="1"/>
  <c r="D401" i="2"/>
  <c r="A401" i="2"/>
  <c r="BC400" i="2"/>
  <c r="AO400" i="2"/>
  <c r="BB400" i="2" s="1"/>
  <c r="AN400" i="2"/>
  <c r="BA400" i="2" s="1"/>
  <c r="AM400" i="2"/>
  <c r="AZ400" i="2" s="1"/>
  <c r="AL400" i="2"/>
  <c r="AY400" i="2" s="1"/>
  <c r="AK400" i="2"/>
  <c r="AX400" i="2" s="1"/>
  <c r="AJ400" i="2"/>
  <c r="AW400" i="2" s="1"/>
  <c r="AI400" i="2"/>
  <c r="AV400" i="2" s="1"/>
  <c r="AH400" i="2"/>
  <c r="AU400" i="2" s="1"/>
  <c r="AG400" i="2"/>
  <c r="AT400" i="2" s="1"/>
  <c r="AF400" i="2"/>
  <c r="AS400" i="2" s="1"/>
  <c r="AE400" i="2"/>
  <c r="AR400" i="2" s="1"/>
  <c r="AD400" i="2"/>
  <c r="AQ400" i="2" s="1"/>
  <c r="AA400" i="2"/>
  <c r="Z400" i="2"/>
  <c r="AP400" i="2" s="1"/>
  <c r="D400" i="2"/>
  <c r="A400" i="2"/>
  <c r="BC399" i="2"/>
  <c r="AO399" i="2"/>
  <c r="BB399" i="2" s="1"/>
  <c r="AN399" i="2"/>
  <c r="BA399" i="2" s="1"/>
  <c r="AM399" i="2"/>
  <c r="AZ399" i="2" s="1"/>
  <c r="AL399" i="2"/>
  <c r="AY399" i="2" s="1"/>
  <c r="AK399" i="2"/>
  <c r="AX399" i="2" s="1"/>
  <c r="AJ399" i="2"/>
  <c r="AW399" i="2" s="1"/>
  <c r="AI399" i="2"/>
  <c r="AV399" i="2" s="1"/>
  <c r="AH399" i="2"/>
  <c r="AU399" i="2" s="1"/>
  <c r="AG399" i="2"/>
  <c r="AT399" i="2" s="1"/>
  <c r="AF399" i="2"/>
  <c r="AS399" i="2" s="1"/>
  <c r="AE399" i="2"/>
  <c r="AR399" i="2" s="1"/>
  <c r="AD399" i="2"/>
  <c r="AQ399" i="2" s="1"/>
  <c r="AA399" i="2"/>
  <c r="Z399" i="2"/>
  <c r="AP399" i="2" s="1"/>
  <c r="D399" i="2"/>
  <c r="A399" i="2"/>
  <c r="BC398" i="2"/>
  <c r="AO398" i="2"/>
  <c r="BB398" i="2" s="1"/>
  <c r="AN398" i="2"/>
  <c r="BA398" i="2" s="1"/>
  <c r="AM398" i="2"/>
  <c r="AZ398" i="2" s="1"/>
  <c r="AL398" i="2"/>
  <c r="AY398" i="2" s="1"/>
  <c r="AK398" i="2"/>
  <c r="AX398" i="2" s="1"/>
  <c r="AJ398" i="2"/>
  <c r="AW398" i="2" s="1"/>
  <c r="AI398" i="2"/>
  <c r="AV398" i="2" s="1"/>
  <c r="AH398" i="2"/>
  <c r="AU398" i="2" s="1"/>
  <c r="AG398" i="2"/>
  <c r="AT398" i="2" s="1"/>
  <c r="AF398" i="2"/>
  <c r="AS398" i="2" s="1"/>
  <c r="AE398" i="2"/>
  <c r="AR398" i="2" s="1"/>
  <c r="AD398" i="2"/>
  <c r="AQ398" i="2" s="1"/>
  <c r="AA398" i="2"/>
  <c r="Z398" i="2"/>
  <c r="AP398" i="2" s="1"/>
  <c r="D398" i="2"/>
  <c r="A398" i="2"/>
  <c r="BC397" i="2"/>
  <c r="AO397" i="2"/>
  <c r="BB397" i="2" s="1"/>
  <c r="AN397" i="2"/>
  <c r="BA397" i="2" s="1"/>
  <c r="AM397" i="2"/>
  <c r="AZ397" i="2" s="1"/>
  <c r="AL397" i="2"/>
  <c r="AY397" i="2" s="1"/>
  <c r="AK397" i="2"/>
  <c r="AX397" i="2" s="1"/>
  <c r="AJ397" i="2"/>
  <c r="AW397" i="2" s="1"/>
  <c r="AI397" i="2"/>
  <c r="AV397" i="2" s="1"/>
  <c r="AH397" i="2"/>
  <c r="AU397" i="2" s="1"/>
  <c r="AG397" i="2"/>
  <c r="AT397" i="2" s="1"/>
  <c r="AF397" i="2"/>
  <c r="AS397" i="2" s="1"/>
  <c r="AE397" i="2"/>
  <c r="AR397" i="2" s="1"/>
  <c r="AD397" i="2"/>
  <c r="AQ397" i="2" s="1"/>
  <c r="AA397" i="2"/>
  <c r="Z397" i="2"/>
  <c r="AP397" i="2" s="1"/>
  <c r="D397" i="2"/>
  <c r="A397" i="2"/>
  <c r="BC396" i="2"/>
  <c r="AO396" i="2"/>
  <c r="BB396" i="2" s="1"/>
  <c r="AN396" i="2"/>
  <c r="BA396" i="2" s="1"/>
  <c r="AM396" i="2"/>
  <c r="AZ396" i="2" s="1"/>
  <c r="AL396" i="2"/>
  <c r="AY396" i="2" s="1"/>
  <c r="AK396" i="2"/>
  <c r="AX396" i="2" s="1"/>
  <c r="AJ396" i="2"/>
  <c r="AW396" i="2" s="1"/>
  <c r="AI396" i="2"/>
  <c r="AV396" i="2" s="1"/>
  <c r="AH396" i="2"/>
  <c r="AU396" i="2" s="1"/>
  <c r="AG396" i="2"/>
  <c r="AT396" i="2" s="1"/>
  <c r="AF396" i="2"/>
  <c r="AS396" i="2" s="1"/>
  <c r="AE396" i="2"/>
  <c r="AR396" i="2" s="1"/>
  <c r="AD396" i="2"/>
  <c r="AQ396" i="2" s="1"/>
  <c r="AA396" i="2"/>
  <c r="Z396" i="2"/>
  <c r="AP396" i="2" s="1"/>
  <c r="D396" i="2"/>
  <c r="A396" i="2"/>
  <c r="BC395" i="2"/>
  <c r="AO395" i="2"/>
  <c r="BB395" i="2" s="1"/>
  <c r="AN395" i="2"/>
  <c r="BA395" i="2" s="1"/>
  <c r="AM395" i="2"/>
  <c r="AZ395" i="2" s="1"/>
  <c r="AL395" i="2"/>
  <c r="AY395" i="2" s="1"/>
  <c r="AK395" i="2"/>
  <c r="AX395" i="2" s="1"/>
  <c r="AJ395" i="2"/>
  <c r="AW395" i="2" s="1"/>
  <c r="AI395" i="2"/>
  <c r="AV395" i="2" s="1"/>
  <c r="AH395" i="2"/>
  <c r="AU395" i="2" s="1"/>
  <c r="AG395" i="2"/>
  <c r="AT395" i="2" s="1"/>
  <c r="AF395" i="2"/>
  <c r="AS395" i="2" s="1"/>
  <c r="AE395" i="2"/>
  <c r="AR395" i="2" s="1"/>
  <c r="AD395" i="2"/>
  <c r="AQ395" i="2" s="1"/>
  <c r="AA395" i="2"/>
  <c r="Z395" i="2"/>
  <c r="AP395" i="2" s="1"/>
  <c r="D395" i="2"/>
  <c r="A395" i="2"/>
  <c r="BC394" i="2"/>
  <c r="AO394" i="2"/>
  <c r="BB394" i="2" s="1"/>
  <c r="AN394" i="2"/>
  <c r="BA394" i="2" s="1"/>
  <c r="AM394" i="2"/>
  <c r="AZ394" i="2" s="1"/>
  <c r="AL394" i="2"/>
  <c r="AY394" i="2" s="1"/>
  <c r="AK394" i="2"/>
  <c r="AX394" i="2" s="1"/>
  <c r="AJ394" i="2"/>
  <c r="AW394" i="2" s="1"/>
  <c r="AI394" i="2"/>
  <c r="AV394" i="2" s="1"/>
  <c r="AH394" i="2"/>
  <c r="AU394" i="2" s="1"/>
  <c r="AG394" i="2"/>
  <c r="AT394" i="2" s="1"/>
  <c r="AF394" i="2"/>
  <c r="AS394" i="2" s="1"/>
  <c r="AE394" i="2"/>
  <c r="AR394" i="2" s="1"/>
  <c r="AD394" i="2"/>
  <c r="AQ394" i="2" s="1"/>
  <c r="AA394" i="2"/>
  <c r="Z394" i="2"/>
  <c r="AP394" i="2" s="1"/>
  <c r="D394" i="2"/>
  <c r="A394" i="2"/>
  <c r="BC393" i="2"/>
  <c r="AO393" i="2"/>
  <c r="BB393" i="2" s="1"/>
  <c r="AN393" i="2"/>
  <c r="BA393" i="2" s="1"/>
  <c r="AM393" i="2"/>
  <c r="AZ393" i="2" s="1"/>
  <c r="AL393" i="2"/>
  <c r="AY393" i="2" s="1"/>
  <c r="AK393" i="2"/>
  <c r="AX393" i="2" s="1"/>
  <c r="AJ393" i="2"/>
  <c r="AW393" i="2" s="1"/>
  <c r="AI393" i="2"/>
  <c r="AV393" i="2" s="1"/>
  <c r="AH393" i="2"/>
  <c r="AU393" i="2" s="1"/>
  <c r="AG393" i="2"/>
  <c r="AT393" i="2" s="1"/>
  <c r="AF393" i="2"/>
  <c r="AS393" i="2" s="1"/>
  <c r="AE393" i="2"/>
  <c r="AR393" i="2" s="1"/>
  <c r="AD393" i="2"/>
  <c r="AQ393" i="2" s="1"/>
  <c r="AA393" i="2"/>
  <c r="Z393" i="2"/>
  <c r="AP393" i="2" s="1"/>
  <c r="D393" i="2"/>
  <c r="A393" i="2"/>
  <c r="BC392" i="2"/>
  <c r="BA392" i="2"/>
  <c r="AO392" i="2"/>
  <c r="BB392" i="2" s="1"/>
  <c r="AN392" i="2"/>
  <c r="AM392" i="2"/>
  <c r="AZ392" i="2" s="1"/>
  <c r="AL392" i="2"/>
  <c r="AY392" i="2" s="1"/>
  <c r="AK392" i="2"/>
  <c r="AX392" i="2" s="1"/>
  <c r="AJ392" i="2"/>
  <c r="AW392" i="2" s="1"/>
  <c r="AI392" i="2"/>
  <c r="AV392" i="2" s="1"/>
  <c r="AH392" i="2"/>
  <c r="AU392" i="2" s="1"/>
  <c r="AG392" i="2"/>
  <c r="AT392" i="2" s="1"/>
  <c r="AF392" i="2"/>
  <c r="AS392" i="2" s="1"/>
  <c r="AE392" i="2"/>
  <c r="AR392" i="2" s="1"/>
  <c r="AD392" i="2"/>
  <c r="AQ392" i="2" s="1"/>
  <c r="AA392" i="2"/>
  <c r="Z392" i="2"/>
  <c r="AP392" i="2" s="1"/>
  <c r="D392" i="2"/>
  <c r="A392" i="2"/>
  <c r="BC391" i="2"/>
  <c r="AO391" i="2"/>
  <c r="BB391" i="2" s="1"/>
  <c r="AN391" i="2"/>
  <c r="BA391" i="2" s="1"/>
  <c r="AM391" i="2"/>
  <c r="AZ391" i="2" s="1"/>
  <c r="AL391" i="2"/>
  <c r="AY391" i="2" s="1"/>
  <c r="AK391" i="2"/>
  <c r="AX391" i="2" s="1"/>
  <c r="AJ391" i="2"/>
  <c r="AW391" i="2" s="1"/>
  <c r="AI391" i="2"/>
  <c r="AV391" i="2" s="1"/>
  <c r="AH391" i="2"/>
  <c r="AU391" i="2" s="1"/>
  <c r="AG391" i="2"/>
  <c r="AT391" i="2" s="1"/>
  <c r="AF391" i="2"/>
  <c r="AS391" i="2" s="1"/>
  <c r="AE391" i="2"/>
  <c r="AR391" i="2" s="1"/>
  <c r="AD391" i="2"/>
  <c r="AQ391" i="2" s="1"/>
  <c r="AA391" i="2"/>
  <c r="Z391" i="2"/>
  <c r="AP391" i="2" s="1"/>
  <c r="D391" i="2"/>
  <c r="A391" i="2"/>
  <c r="BC390" i="2"/>
  <c r="AO390" i="2"/>
  <c r="BB390" i="2" s="1"/>
  <c r="AN390" i="2"/>
  <c r="BA390" i="2" s="1"/>
  <c r="AM390" i="2"/>
  <c r="AZ390" i="2" s="1"/>
  <c r="AL390" i="2"/>
  <c r="AY390" i="2" s="1"/>
  <c r="AK390" i="2"/>
  <c r="AX390" i="2" s="1"/>
  <c r="AJ390" i="2"/>
  <c r="AW390" i="2" s="1"/>
  <c r="AI390" i="2"/>
  <c r="AV390" i="2" s="1"/>
  <c r="AH390" i="2"/>
  <c r="AU390" i="2" s="1"/>
  <c r="AG390" i="2"/>
  <c r="AT390" i="2" s="1"/>
  <c r="AF390" i="2"/>
  <c r="AS390" i="2" s="1"/>
  <c r="AE390" i="2"/>
  <c r="AR390" i="2" s="1"/>
  <c r="AD390" i="2"/>
  <c r="AQ390" i="2" s="1"/>
  <c r="AA390" i="2"/>
  <c r="Z390" i="2"/>
  <c r="AP390" i="2" s="1"/>
  <c r="D390" i="2"/>
  <c r="A390" i="2"/>
  <c r="BC389" i="2"/>
  <c r="AO389" i="2"/>
  <c r="BB389" i="2" s="1"/>
  <c r="AN389" i="2"/>
  <c r="BA389" i="2" s="1"/>
  <c r="AM389" i="2"/>
  <c r="AZ389" i="2" s="1"/>
  <c r="AL389" i="2"/>
  <c r="AY389" i="2" s="1"/>
  <c r="AK389" i="2"/>
  <c r="AX389" i="2" s="1"/>
  <c r="AJ389" i="2"/>
  <c r="AW389" i="2" s="1"/>
  <c r="AI389" i="2"/>
  <c r="AV389" i="2" s="1"/>
  <c r="AH389" i="2"/>
  <c r="AU389" i="2" s="1"/>
  <c r="AG389" i="2"/>
  <c r="AT389" i="2" s="1"/>
  <c r="AF389" i="2"/>
  <c r="AS389" i="2" s="1"/>
  <c r="AE389" i="2"/>
  <c r="AR389" i="2" s="1"/>
  <c r="AD389" i="2"/>
  <c r="AQ389" i="2" s="1"/>
  <c r="AA389" i="2"/>
  <c r="Z389" i="2"/>
  <c r="AP389" i="2" s="1"/>
  <c r="D389" i="2"/>
  <c r="A389" i="2"/>
  <c r="BC388" i="2"/>
  <c r="AO388" i="2"/>
  <c r="BB388" i="2" s="1"/>
  <c r="AN388" i="2"/>
  <c r="BA388" i="2" s="1"/>
  <c r="AM388" i="2"/>
  <c r="AZ388" i="2" s="1"/>
  <c r="AL388" i="2"/>
  <c r="AY388" i="2" s="1"/>
  <c r="AK388" i="2"/>
  <c r="AX388" i="2" s="1"/>
  <c r="AJ388" i="2"/>
  <c r="AW388" i="2" s="1"/>
  <c r="AI388" i="2"/>
  <c r="AV388" i="2" s="1"/>
  <c r="AH388" i="2"/>
  <c r="AU388" i="2" s="1"/>
  <c r="AG388" i="2"/>
  <c r="AT388" i="2" s="1"/>
  <c r="AF388" i="2"/>
  <c r="AS388" i="2" s="1"/>
  <c r="AE388" i="2"/>
  <c r="AR388" i="2" s="1"/>
  <c r="AD388" i="2"/>
  <c r="AQ388" i="2" s="1"/>
  <c r="AA388" i="2"/>
  <c r="Z388" i="2"/>
  <c r="AP388" i="2" s="1"/>
  <c r="D388" i="2"/>
  <c r="A388" i="2"/>
  <c r="BC387" i="2"/>
  <c r="AO387" i="2"/>
  <c r="BB387" i="2" s="1"/>
  <c r="AN387" i="2"/>
  <c r="BA387" i="2" s="1"/>
  <c r="AM387" i="2"/>
  <c r="AZ387" i="2" s="1"/>
  <c r="AL387" i="2"/>
  <c r="AY387" i="2" s="1"/>
  <c r="AK387" i="2"/>
  <c r="AX387" i="2" s="1"/>
  <c r="AJ387" i="2"/>
  <c r="AW387" i="2" s="1"/>
  <c r="AI387" i="2"/>
  <c r="AV387" i="2" s="1"/>
  <c r="AH387" i="2"/>
  <c r="AU387" i="2" s="1"/>
  <c r="AG387" i="2"/>
  <c r="AT387" i="2" s="1"/>
  <c r="AF387" i="2"/>
  <c r="AS387" i="2" s="1"/>
  <c r="AE387" i="2"/>
  <c r="AR387" i="2" s="1"/>
  <c r="AD387" i="2"/>
  <c r="AQ387" i="2" s="1"/>
  <c r="AA387" i="2"/>
  <c r="Z387" i="2"/>
  <c r="AP387" i="2" s="1"/>
  <c r="D387" i="2"/>
  <c r="A387" i="2"/>
  <c r="BC386" i="2"/>
  <c r="AO386" i="2"/>
  <c r="BB386" i="2" s="1"/>
  <c r="AN386" i="2"/>
  <c r="BA386" i="2" s="1"/>
  <c r="AM386" i="2"/>
  <c r="AZ386" i="2" s="1"/>
  <c r="AL386" i="2"/>
  <c r="AY386" i="2" s="1"/>
  <c r="AK386" i="2"/>
  <c r="AX386" i="2" s="1"/>
  <c r="AJ386" i="2"/>
  <c r="AW386" i="2" s="1"/>
  <c r="AI386" i="2"/>
  <c r="AV386" i="2" s="1"/>
  <c r="AH386" i="2"/>
  <c r="AU386" i="2" s="1"/>
  <c r="AG386" i="2"/>
  <c r="AT386" i="2" s="1"/>
  <c r="AF386" i="2"/>
  <c r="AS386" i="2" s="1"/>
  <c r="AE386" i="2"/>
  <c r="AR386" i="2" s="1"/>
  <c r="AD386" i="2"/>
  <c r="AQ386" i="2" s="1"/>
  <c r="AA386" i="2"/>
  <c r="Z386" i="2"/>
  <c r="AP386" i="2" s="1"/>
  <c r="D386" i="2"/>
  <c r="A386" i="2"/>
  <c r="BC385" i="2"/>
  <c r="AO385" i="2"/>
  <c r="BB385" i="2" s="1"/>
  <c r="AN385" i="2"/>
  <c r="BA385" i="2" s="1"/>
  <c r="AM385" i="2"/>
  <c r="AZ385" i="2" s="1"/>
  <c r="AL385" i="2"/>
  <c r="AY385" i="2" s="1"/>
  <c r="AK385" i="2"/>
  <c r="AX385" i="2" s="1"/>
  <c r="AJ385" i="2"/>
  <c r="AW385" i="2" s="1"/>
  <c r="AI385" i="2"/>
  <c r="AV385" i="2" s="1"/>
  <c r="AH385" i="2"/>
  <c r="AU385" i="2" s="1"/>
  <c r="AG385" i="2"/>
  <c r="AT385" i="2" s="1"/>
  <c r="AF385" i="2"/>
  <c r="AS385" i="2" s="1"/>
  <c r="AE385" i="2"/>
  <c r="AR385" i="2" s="1"/>
  <c r="AD385" i="2"/>
  <c r="AQ385" i="2" s="1"/>
  <c r="AA385" i="2"/>
  <c r="Z385" i="2"/>
  <c r="AP385" i="2" s="1"/>
  <c r="D385" i="2"/>
  <c r="A385" i="2"/>
  <c r="BC384" i="2"/>
  <c r="BA384" i="2"/>
  <c r="AO384" i="2"/>
  <c r="BB384" i="2" s="1"/>
  <c r="AN384" i="2"/>
  <c r="AM384" i="2"/>
  <c r="AZ384" i="2" s="1"/>
  <c r="AL384" i="2"/>
  <c r="AY384" i="2" s="1"/>
  <c r="AK384" i="2"/>
  <c r="AX384" i="2" s="1"/>
  <c r="AJ384" i="2"/>
  <c r="AW384" i="2" s="1"/>
  <c r="AI384" i="2"/>
  <c r="AV384" i="2" s="1"/>
  <c r="AH384" i="2"/>
  <c r="AU384" i="2" s="1"/>
  <c r="AG384" i="2"/>
  <c r="AT384" i="2" s="1"/>
  <c r="AF384" i="2"/>
  <c r="AS384" i="2" s="1"/>
  <c r="AE384" i="2"/>
  <c r="AR384" i="2" s="1"/>
  <c r="AD384" i="2"/>
  <c r="AQ384" i="2" s="1"/>
  <c r="AA384" i="2"/>
  <c r="Z384" i="2"/>
  <c r="AP384" i="2" s="1"/>
  <c r="D384" i="2"/>
  <c r="A384" i="2"/>
  <c r="BC383" i="2"/>
  <c r="AO383" i="2"/>
  <c r="BB383" i="2" s="1"/>
  <c r="AN383" i="2"/>
  <c r="BA383" i="2" s="1"/>
  <c r="AM383" i="2"/>
  <c r="AZ383" i="2" s="1"/>
  <c r="AL383" i="2"/>
  <c r="AY383" i="2" s="1"/>
  <c r="AK383" i="2"/>
  <c r="AX383" i="2" s="1"/>
  <c r="AJ383" i="2"/>
  <c r="AW383" i="2" s="1"/>
  <c r="AI383" i="2"/>
  <c r="AV383" i="2" s="1"/>
  <c r="AH383" i="2"/>
  <c r="AU383" i="2" s="1"/>
  <c r="AG383" i="2"/>
  <c r="AT383" i="2" s="1"/>
  <c r="AF383" i="2"/>
  <c r="AS383" i="2" s="1"/>
  <c r="AE383" i="2"/>
  <c r="AR383" i="2" s="1"/>
  <c r="AD383" i="2"/>
  <c r="AQ383" i="2" s="1"/>
  <c r="AA383" i="2"/>
  <c r="Z383" i="2"/>
  <c r="AP383" i="2" s="1"/>
  <c r="D383" i="2"/>
  <c r="A383" i="2"/>
  <c r="BC382" i="2"/>
  <c r="AO382" i="2"/>
  <c r="BB382" i="2" s="1"/>
  <c r="AN382" i="2"/>
  <c r="BA382" i="2" s="1"/>
  <c r="AM382" i="2"/>
  <c r="AZ382" i="2" s="1"/>
  <c r="AL382" i="2"/>
  <c r="AY382" i="2" s="1"/>
  <c r="AK382" i="2"/>
  <c r="AX382" i="2" s="1"/>
  <c r="AJ382" i="2"/>
  <c r="AW382" i="2" s="1"/>
  <c r="AI382" i="2"/>
  <c r="AV382" i="2" s="1"/>
  <c r="AH382" i="2"/>
  <c r="AU382" i="2" s="1"/>
  <c r="AG382" i="2"/>
  <c r="AT382" i="2" s="1"/>
  <c r="AF382" i="2"/>
  <c r="AS382" i="2" s="1"/>
  <c r="AE382" i="2"/>
  <c r="AR382" i="2" s="1"/>
  <c r="AD382" i="2"/>
  <c r="AQ382" i="2" s="1"/>
  <c r="AA382" i="2"/>
  <c r="Z382" i="2"/>
  <c r="AP382" i="2" s="1"/>
  <c r="D382" i="2"/>
  <c r="A382" i="2"/>
  <c r="BC381" i="2"/>
  <c r="AO381" i="2"/>
  <c r="BB381" i="2" s="1"/>
  <c r="AN381" i="2"/>
  <c r="BA381" i="2" s="1"/>
  <c r="AM381" i="2"/>
  <c r="AZ381" i="2" s="1"/>
  <c r="AL381" i="2"/>
  <c r="AY381" i="2" s="1"/>
  <c r="AK381" i="2"/>
  <c r="AX381" i="2" s="1"/>
  <c r="AJ381" i="2"/>
  <c r="AW381" i="2" s="1"/>
  <c r="AI381" i="2"/>
  <c r="AV381" i="2" s="1"/>
  <c r="AH381" i="2"/>
  <c r="AU381" i="2" s="1"/>
  <c r="AG381" i="2"/>
  <c r="AT381" i="2" s="1"/>
  <c r="AF381" i="2"/>
  <c r="AS381" i="2" s="1"/>
  <c r="AE381" i="2"/>
  <c r="AR381" i="2" s="1"/>
  <c r="AD381" i="2"/>
  <c r="AQ381" i="2" s="1"/>
  <c r="AA381" i="2"/>
  <c r="Z381" i="2"/>
  <c r="AP381" i="2" s="1"/>
  <c r="D381" i="2"/>
  <c r="A381" i="2"/>
  <c r="BC380" i="2"/>
  <c r="AO380" i="2"/>
  <c r="BB380" i="2" s="1"/>
  <c r="AN380" i="2"/>
  <c r="BA380" i="2" s="1"/>
  <c r="AM380" i="2"/>
  <c r="AZ380" i="2" s="1"/>
  <c r="AL380" i="2"/>
  <c r="AY380" i="2" s="1"/>
  <c r="AK380" i="2"/>
  <c r="AX380" i="2" s="1"/>
  <c r="AJ380" i="2"/>
  <c r="AW380" i="2" s="1"/>
  <c r="AI380" i="2"/>
  <c r="AV380" i="2" s="1"/>
  <c r="AH380" i="2"/>
  <c r="AU380" i="2" s="1"/>
  <c r="AG380" i="2"/>
  <c r="AT380" i="2" s="1"/>
  <c r="AF380" i="2"/>
  <c r="AS380" i="2" s="1"/>
  <c r="AE380" i="2"/>
  <c r="AR380" i="2" s="1"/>
  <c r="AD380" i="2"/>
  <c r="AQ380" i="2" s="1"/>
  <c r="AA380" i="2"/>
  <c r="Z380" i="2"/>
  <c r="AP380" i="2" s="1"/>
  <c r="D380" i="2"/>
  <c r="A380" i="2"/>
  <c r="BC379" i="2"/>
  <c r="AO379" i="2"/>
  <c r="BB379" i="2" s="1"/>
  <c r="AN379" i="2"/>
  <c r="BA379" i="2" s="1"/>
  <c r="AM379" i="2"/>
  <c r="AZ379" i="2" s="1"/>
  <c r="AL379" i="2"/>
  <c r="AY379" i="2" s="1"/>
  <c r="AK379" i="2"/>
  <c r="AX379" i="2" s="1"/>
  <c r="AJ379" i="2"/>
  <c r="AW379" i="2" s="1"/>
  <c r="AI379" i="2"/>
  <c r="AV379" i="2" s="1"/>
  <c r="AH379" i="2"/>
  <c r="AU379" i="2" s="1"/>
  <c r="AG379" i="2"/>
  <c r="AT379" i="2" s="1"/>
  <c r="AF379" i="2"/>
  <c r="AS379" i="2" s="1"/>
  <c r="AE379" i="2"/>
  <c r="AR379" i="2" s="1"/>
  <c r="AD379" i="2"/>
  <c r="AQ379" i="2" s="1"/>
  <c r="AA379" i="2"/>
  <c r="Z379" i="2"/>
  <c r="AP379" i="2" s="1"/>
  <c r="D379" i="2"/>
  <c r="A379" i="2"/>
  <c r="BC378" i="2"/>
  <c r="AO378" i="2"/>
  <c r="BB378" i="2" s="1"/>
  <c r="AN378" i="2"/>
  <c r="BA378" i="2" s="1"/>
  <c r="AM378" i="2"/>
  <c r="AZ378" i="2" s="1"/>
  <c r="AL378" i="2"/>
  <c r="AY378" i="2" s="1"/>
  <c r="AK378" i="2"/>
  <c r="AX378" i="2" s="1"/>
  <c r="AJ378" i="2"/>
  <c r="AW378" i="2" s="1"/>
  <c r="AI378" i="2"/>
  <c r="AV378" i="2" s="1"/>
  <c r="AH378" i="2"/>
  <c r="AU378" i="2" s="1"/>
  <c r="AG378" i="2"/>
  <c r="AT378" i="2" s="1"/>
  <c r="AF378" i="2"/>
  <c r="AS378" i="2" s="1"/>
  <c r="AE378" i="2"/>
  <c r="AR378" i="2" s="1"/>
  <c r="AD378" i="2"/>
  <c r="AQ378" i="2" s="1"/>
  <c r="AA378" i="2"/>
  <c r="Z378" i="2"/>
  <c r="AP378" i="2" s="1"/>
  <c r="D378" i="2"/>
  <c r="A378" i="2"/>
  <c r="BC377" i="2"/>
  <c r="AO377" i="2"/>
  <c r="BB377" i="2" s="1"/>
  <c r="AN377" i="2"/>
  <c r="BA377" i="2" s="1"/>
  <c r="AM377" i="2"/>
  <c r="AZ377" i="2" s="1"/>
  <c r="AL377" i="2"/>
  <c r="AY377" i="2" s="1"/>
  <c r="AK377" i="2"/>
  <c r="AX377" i="2" s="1"/>
  <c r="AJ377" i="2"/>
  <c r="AW377" i="2" s="1"/>
  <c r="AI377" i="2"/>
  <c r="AV377" i="2" s="1"/>
  <c r="AH377" i="2"/>
  <c r="AU377" i="2" s="1"/>
  <c r="AG377" i="2"/>
  <c r="AT377" i="2" s="1"/>
  <c r="AF377" i="2"/>
  <c r="AS377" i="2" s="1"/>
  <c r="AE377" i="2"/>
  <c r="AR377" i="2" s="1"/>
  <c r="AD377" i="2"/>
  <c r="AQ377" i="2" s="1"/>
  <c r="AA377" i="2"/>
  <c r="Z377" i="2"/>
  <c r="AP377" i="2" s="1"/>
  <c r="D377" i="2"/>
  <c r="A377" i="2"/>
  <c r="BC376" i="2"/>
  <c r="AO376" i="2"/>
  <c r="BB376" i="2" s="1"/>
  <c r="AN376" i="2"/>
  <c r="BA376" i="2" s="1"/>
  <c r="AM376" i="2"/>
  <c r="AZ376" i="2" s="1"/>
  <c r="AL376" i="2"/>
  <c r="AY376" i="2" s="1"/>
  <c r="AK376" i="2"/>
  <c r="AX376" i="2" s="1"/>
  <c r="AJ376" i="2"/>
  <c r="AW376" i="2" s="1"/>
  <c r="AI376" i="2"/>
  <c r="AV376" i="2" s="1"/>
  <c r="AH376" i="2"/>
  <c r="AU376" i="2" s="1"/>
  <c r="AG376" i="2"/>
  <c r="AT376" i="2" s="1"/>
  <c r="AF376" i="2"/>
  <c r="AS376" i="2" s="1"/>
  <c r="AE376" i="2"/>
  <c r="AR376" i="2" s="1"/>
  <c r="AD376" i="2"/>
  <c r="AQ376" i="2" s="1"/>
  <c r="AA376" i="2"/>
  <c r="Z376" i="2"/>
  <c r="AP376" i="2" s="1"/>
  <c r="D376" i="2"/>
  <c r="A376" i="2"/>
  <c r="BC375" i="2"/>
  <c r="AO375" i="2"/>
  <c r="BB375" i="2" s="1"/>
  <c r="AN375" i="2"/>
  <c r="BA375" i="2" s="1"/>
  <c r="AM375" i="2"/>
  <c r="AZ375" i="2" s="1"/>
  <c r="AL375" i="2"/>
  <c r="AY375" i="2" s="1"/>
  <c r="AK375" i="2"/>
  <c r="AX375" i="2" s="1"/>
  <c r="AJ375" i="2"/>
  <c r="AW375" i="2" s="1"/>
  <c r="AI375" i="2"/>
  <c r="AV375" i="2" s="1"/>
  <c r="AH375" i="2"/>
  <c r="AU375" i="2" s="1"/>
  <c r="AG375" i="2"/>
  <c r="AT375" i="2" s="1"/>
  <c r="AF375" i="2"/>
  <c r="AS375" i="2" s="1"/>
  <c r="AE375" i="2"/>
  <c r="AR375" i="2" s="1"/>
  <c r="AD375" i="2"/>
  <c r="AQ375" i="2" s="1"/>
  <c r="AA375" i="2"/>
  <c r="Z375" i="2"/>
  <c r="AP375" i="2" s="1"/>
  <c r="D375" i="2"/>
  <c r="A375" i="2"/>
  <c r="BC374" i="2"/>
  <c r="AO374" i="2"/>
  <c r="BB374" i="2" s="1"/>
  <c r="AN374" i="2"/>
  <c r="BA374" i="2" s="1"/>
  <c r="AM374" i="2"/>
  <c r="AZ374" i="2" s="1"/>
  <c r="AL374" i="2"/>
  <c r="AY374" i="2" s="1"/>
  <c r="AK374" i="2"/>
  <c r="AX374" i="2" s="1"/>
  <c r="AJ374" i="2"/>
  <c r="AW374" i="2" s="1"/>
  <c r="AI374" i="2"/>
  <c r="AV374" i="2" s="1"/>
  <c r="AH374" i="2"/>
  <c r="AU374" i="2" s="1"/>
  <c r="AG374" i="2"/>
  <c r="AT374" i="2" s="1"/>
  <c r="AF374" i="2"/>
  <c r="AS374" i="2" s="1"/>
  <c r="AE374" i="2"/>
  <c r="AR374" i="2" s="1"/>
  <c r="AD374" i="2"/>
  <c r="AQ374" i="2" s="1"/>
  <c r="AA374" i="2"/>
  <c r="Z374" i="2"/>
  <c r="AP374" i="2" s="1"/>
  <c r="D374" i="2"/>
  <c r="A374" i="2"/>
  <c r="BC373" i="2"/>
  <c r="AO373" i="2"/>
  <c r="BB373" i="2" s="1"/>
  <c r="AN373" i="2"/>
  <c r="BA373" i="2" s="1"/>
  <c r="AM373" i="2"/>
  <c r="AZ373" i="2" s="1"/>
  <c r="AL373" i="2"/>
  <c r="AY373" i="2" s="1"/>
  <c r="AK373" i="2"/>
  <c r="AX373" i="2" s="1"/>
  <c r="AJ373" i="2"/>
  <c r="AW373" i="2" s="1"/>
  <c r="AI373" i="2"/>
  <c r="AV373" i="2" s="1"/>
  <c r="AH373" i="2"/>
  <c r="AU373" i="2" s="1"/>
  <c r="AG373" i="2"/>
  <c r="AT373" i="2" s="1"/>
  <c r="AF373" i="2"/>
  <c r="AS373" i="2" s="1"/>
  <c r="AE373" i="2"/>
  <c r="AR373" i="2" s="1"/>
  <c r="AD373" i="2"/>
  <c r="AQ373" i="2" s="1"/>
  <c r="AA373" i="2"/>
  <c r="Z373" i="2"/>
  <c r="AP373" i="2" s="1"/>
  <c r="D373" i="2"/>
  <c r="A373" i="2"/>
  <c r="BC372" i="2"/>
  <c r="AW372" i="2"/>
  <c r="AO372" i="2"/>
  <c r="BB372" i="2" s="1"/>
  <c r="AN372" i="2"/>
  <c r="BA372" i="2" s="1"/>
  <c r="AM372" i="2"/>
  <c r="AZ372" i="2" s="1"/>
  <c r="AL372" i="2"/>
  <c r="AY372" i="2" s="1"/>
  <c r="AK372" i="2"/>
  <c r="AX372" i="2" s="1"/>
  <c r="AJ372" i="2"/>
  <c r="AI372" i="2"/>
  <c r="AV372" i="2" s="1"/>
  <c r="AH372" i="2"/>
  <c r="AU372" i="2" s="1"/>
  <c r="AG372" i="2"/>
  <c r="AT372" i="2" s="1"/>
  <c r="AF372" i="2"/>
  <c r="AS372" i="2" s="1"/>
  <c r="AE372" i="2"/>
  <c r="AR372" i="2" s="1"/>
  <c r="AD372" i="2"/>
  <c r="AQ372" i="2" s="1"/>
  <c r="AA372" i="2"/>
  <c r="Z372" i="2"/>
  <c r="AP372" i="2" s="1"/>
  <c r="D372" i="2"/>
  <c r="A372" i="2"/>
  <c r="BC371" i="2"/>
  <c r="AO371" i="2"/>
  <c r="BB371" i="2" s="1"/>
  <c r="AN371" i="2"/>
  <c r="BA371" i="2" s="1"/>
  <c r="AM371" i="2"/>
  <c r="AZ371" i="2" s="1"/>
  <c r="AL371" i="2"/>
  <c r="AY371" i="2" s="1"/>
  <c r="AK371" i="2"/>
  <c r="AX371" i="2" s="1"/>
  <c r="AJ371" i="2"/>
  <c r="AW371" i="2" s="1"/>
  <c r="AI371" i="2"/>
  <c r="AV371" i="2" s="1"/>
  <c r="AH371" i="2"/>
  <c r="AU371" i="2" s="1"/>
  <c r="AG371" i="2"/>
  <c r="AT371" i="2" s="1"/>
  <c r="AF371" i="2"/>
  <c r="AS371" i="2" s="1"/>
  <c r="AE371" i="2"/>
  <c r="AR371" i="2" s="1"/>
  <c r="AD371" i="2"/>
  <c r="AQ371" i="2" s="1"/>
  <c r="AA371" i="2"/>
  <c r="Z371" i="2"/>
  <c r="AP371" i="2" s="1"/>
  <c r="D371" i="2"/>
  <c r="A371" i="2"/>
  <c r="BC370" i="2"/>
  <c r="BA370" i="2"/>
  <c r="AO370" i="2"/>
  <c r="BB370" i="2" s="1"/>
  <c r="AN370" i="2"/>
  <c r="AM370" i="2"/>
  <c r="AZ370" i="2" s="1"/>
  <c r="AL370" i="2"/>
  <c r="AY370" i="2" s="1"/>
  <c r="AK370" i="2"/>
  <c r="AX370" i="2" s="1"/>
  <c r="AJ370" i="2"/>
  <c r="AW370" i="2" s="1"/>
  <c r="AI370" i="2"/>
  <c r="AV370" i="2" s="1"/>
  <c r="AH370" i="2"/>
  <c r="AU370" i="2" s="1"/>
  <c r="AG370" i="2"/>
  <c r="AT370" i="2" s="1"/>
  <c r="AF370" i="2"/>
  <c r="AS370" i="2" s="1"/>
  <c r="AE370" i="2"/>
  <c r="AR370" i="2" s="1"/>
  <c r="AD370" i="2"/>
  <c r="AQ370" i="2" s="1"/>
  <c r="AA370" i="2"/>
  <c r="Z370" i="2"/>
  <c r="AP370" i="2" s="1"/>
  <c r="D370" i="2"/>
  <c r="A370" i="2"/>
  <c r="BC369" i="2"/>
  <c r="AO369" i="2"/>
  <c r="BB369" i="2" s="1"/>
  <c r="AN369" i="2"/>
  <c r="BA369" i="2" s="1"/>
  <c r="AM369" i="2"/>
  <c r="AZ369" i="2" s="1"/>
  <c r="AL369" i="2"/>
  <c r="AY369" i="2" s="1"/>
  <c r="AK369" i="2"/>
  <c r="AX369" i="2" s="1"/>
  <c r="AJ369" i="2"/>
  <c r="AW369" i="2" s="1"/>
  <c r="AI369" i="2"/>
  <c r="AV369" i="2" s="1"/>
  <c r="AH369" i="2"/>
  <c r="AU369" i="2" s="1"/>
  <c r="AG369" i="2"/>
  <c r="AT369" i="2" s="1"/>
  <c r="AF369" i="2"/>
  <c r="AS369" i="2" s="1"/>
  <c r="AE369" i="2"/>
  <c r="AR369" i="2" s="1"/>
  <c r="AD369" i="2"/>
  <c r="AQ369" i="2" s="1"/>
  <c r="AA369" i="2"/>
  <c r="Z369" i="2"/>
  <c r="AP369" i="2" s="1"/>
  <c r="D369" i="2"/>
  <c r="A369" i="2"/>
  <c r="BC368" i="2"/>
  <c r="AO368" i="2"/>
  <c r="BB368" i="2" s="1"/>
  <c r="AN368" i="2"/>
  <c r="BA368" i="2" s="1"/>
  <c r="AM368" i="2"/>
  <c r="AZ368" i="2" s="1"/>
  <c r="AL368" i="2"/>
  <c r="AY368" i="2" s="1"/>
  <c r="AK368" i="2"/>
  <c r="AX368" i="2" s="1"/>
  <c r="AJ368" i="2"/>
  <c r="AW368" i="2" s="1"/>
  <c r="AI368" i="2"/>
  <c r="AV368" i="2" s="1"/>
  <c r="AH368" i="2"/>
  <c r="AU368" i="2" s="1"/>
  <c r="AG368" i="2"/>
  <c r="AT368" i="2" s="1"/>
  <c r="AF368" i="2"/>
  <c r="AS368" i="2" s="1"/>
  <c r="AE368" i="2"/>
  <c r="AR368" i="2" s="1"/>
  <c r="AD368" i="2"/>
  <c r="AQ368" i="2" s="1"/>
  <c r="AA368" i="2"/>
  <c r="Z368" i="2"/>
  <c r="AP368" i="2" s="1"/>
  <c r="D368" i="2"/>
  <c r="A368" i="2"/>
  <c r="BC367" i="2"/>
  <c r="AW367" i="2"/>
  <c r="AO367" i="2"/>
  <c r="BB367" i="2" s="1"/>
  <c r="AN367" i="2"/>
  <c r="BA367" i="2" s="1"/>
  <c r="AM367" i="2"/>
  <c r="AZ367" i="2" s="1"/>
  <c r="AL367" i="2"/>
  <c r="AY367" i="2" s="1"/>
  <c r="AK367" i="2"/>
  <c r="AX367" i="2" s="1"/>
  <c r="AJ367" i="2"/>
  <c r="AI367" i="2"/>
  <c r="AV367" i="2" s="1"/>
  <c r="AH367" i="2"/>
  <c r="AU367" i="2" s="1"/>
  <c r="AG367" i="2"/>
  <c r="AT367" i="2" s="1"/>
  <c r="AF367" i="2"/>
  <c r="AS367" i="2" s="1"/>
  <c r="AE367" i="2"/>
  <c r="AR367" i="2" s="1"/>
  <c r="AD367" i="2"/>
  <c r="AQ367" i="2" s="1"/>
  <c r="AA367" i="2"/>
  <c r="Z367" i="2"/>
  <c r="AP367" i="2" s="1"/>
  <c r="D367" i="2"/>
  <c r="A367" i="2"/>
  <c r="BC366" i="2"/>
  <c r="AO366" i="2"/>
  <c r="BB366" i="2" s="1"/>
  <c r="AN366" i="2"/>
  <c r="BA366" i="2" s="1"/>
  <c r="AM366" i="2"/>
  <c r="AZ366" i="2" s="1"/>
  <c r="AL366" i="2"/>
  <c r="AY366" i="2" s="1"/>
  <c r="AK366" i="2"/>
  <c r="AX366" i="2" s="1"/>
  <c r="AJ366" i="2"/>
  <c r="AW366" i="2" s="1"/>
  <c r="AI366" i="2"/>
  <c r="AV366" i="2" s="1"/>
  <c r="AH366" i="2"/>
  <c r="AU366" i="2" s="1"/>
  <c r="AG366" i="2"/>
  <c r="AT366" i="2" s="1"/>
  <c r="AF366" i="2"/>
  <c r="AS366" i="2" s="1"/>
  <c r="AE366" i="2"/>
  <c r="AR366" i="2" s="1"/>
  <c r="AD366" i="2"/>
  <c r="AQ366" i="2" s="1"/>
  <c r="AA366" i="2"/>
  <c r="Z366" i="2"/>
  <c r="AP366" i="2" s="1"/>
  <c r="D366" i="2"/>
  <c r="A366" i="2"/>
  <c r="BC365" i="2"/>
  <c r="AO365" i="2"/>
  <c r="BB365" i="2" s="1"/>
  <c r="AN365" i="2"/>
  <c r="BA365" i="2" s="1"/>
  <c r="AM365" i="2"/>
  <c r="AZ365" i="2" s="1"/>
  <c r="AL365" i="2"/>
  <c r="AY365" i="2" s="1"/>
  <c r="AK365" i="2"/>
  <c r="AX365" i="2" s="1"/>
  <c r="AJ365" i="2"/>
  <c r="AW365" i="2" s="1"/>
  <c r="AI365" i="2"/>
  <c r="AV365" i="2" s="1"/>
  <c r="AH365" i="2"/>
  <c r="AU365" i="2" s="1"/>
  <c r="AG365" i="2"/>
  <c r="AT365" i="2" s="1"/>
  <c r="AF365" i="2"/>
  <c r="AS365" i="2" s="1"/>
  <c r="AE365" i="2"/>
  <c r="AR365" i="2" s="1"/>
  <c r="AD365" i="2"/>
  <c r="AQ365" i="2" s="1"/>
  <c r="AA365" i="2"/>
  <c r="Z365" i="2"/>
  <c r="AP365" i="2" s="1"/>
  <c r="D365" i="2"/>
  <c r="A365" i="2"/>
  <c r="BC364" i="2"/>
  <c r="AO364" i="2"/>
  <c r="BB364" i="2" s="1"/>
  <c r="AN364" i="2"/>
  <c r="BA364" i="2" s="1"/>
  <c r="AM364" i="2"/>
  <c r="AZ364" i="2" s="1"/>
  <c r="AL364" i="2"/>
  <c r="AY364" i="2" s="1"/>
  <c r="AK364" i="2"/>
  <c r="AX364" i="2" s="1"/>
  <c r="AJ364" i="2"/>
  <c r="AW364" i="2" s="1"/>
  <c r="AI364" i="2"/>
  <c r="AV364" i="2" s="1"/>
  <c r="AH364" i="2"/>
  <c r="AU364" i="2" s="1"/>
  <c r="AG364" i="2"/>
  <c r="AT364" i="2" s="1"/>
  <c r="AF364" i="2"/>
  <c r="AS364" i="2" s="1"/>
  <c r="AE364" i="2"/>
  <c r="AR364" i="2" s="1"/>
  <c r="AD364" i="2"/>
  <c r="AQ364" i="2" s="1"/>
  <c r="AA364" i="2"/>
  <c r="Z364" i="2"/>
  <c r="AP364" i="2" s="1"/>
  <c r="D364" i="2"/>
  <c r="A364" i="2"/>
  <c r="BC363" i="2"/>
  <c r="AO363" i="2"/>
  <c r="BB363" i="2" s="1"/>
  <c r="AN363" i="2"/>
  <c r="BA363" i="2" s="1"/>
  <c r="AM363" i="2"/>
  <c r="AZ363" i="2" s="1"/>
  <c r="AL363" i="2"/>
  <c r="AY363" i="2" s="1"/>
  <c r="AK363" i="2"/>
  <c r="AX363" i="2" s="1"/>
  <c r="AJ363" i="2"/>
  <c r="AW363" i="2" s="1"/>
  <c r="AI363" i="2"/>
  <c r="AV363" i="2" s="1"/>
  <c r="AH363" i="2"/>
  <c r="AU363" i="2" s="1"/>
  <c r="AG363" i="2"/>
  <c r="AT363" i="2" s="1"/>
  <c r="AF363" i="2"/>
  <c r="AS363" i="2" s="1"/>
  <c r="AE363" i="2"/>
  <c r="AR363" i="2" s="1"/>
  <c r="AD363" i="2"/>
  <c r="AQ363" i="2" s="1"/>
  <c r="AA363" i="2"/>
  <c r="Z363" i="2"/>
  <c r="AP363" i="2" s="1"/>
  <c r="D363" i="2"/>
  <c r="A363" i="2"/>
  <c r="BC362" i="2"/>
  <c r="AO362" i="2"/>
  <c r="BB362" i="2" s="1"/>
  <c r="AN362" i="2"/>
  <c r="BA362" i="2" s="1"/>
  <c r="AM362" i="2"/>
  <c r="AZ362" i="2" s="1"/>
  <c r="AL362" i="2"/>
  <c r="AY362" i="2" s="1"/>
  <c r="AK362" i="2"/>
  <c r="AX362" i="2" s="1"/>
  <c r="AJ362" i="2"/>
  <c r="AW362" i="2" s="1"/>
  <c r="AI362" i="2"/>
  <c r="AV362" i="2" s="1"/>
  <c r="AH362" i="2"/>
  <c r="AU362" i="2" s="1"/>
  <c r="AG362" i="2"/>
  <c r="AT362" i="2" s="1"/>
  <c r="AF362" i="2"/>
  <c r="AS362" i="2" s="1"/>
  <c r="AE362" i="2"/>
  <c r="AR362" i="2" s="1"/>
  <c r="AD362" i="2"/>
  <c r="AQ362" i="2" s="1"/>
  <c r="AA362" i="2"/>
  <c r="Z362" i="2"/>
  <c r="AP362" i="2" s="1"/>
  <c r="D362" i="2"/>
  <c r="A362" i="2"/>
  <c r="BC361" i="2"/>
  <c r="AO361" i="2"/>
  <c r="BB361" i="2" s="1"/>
  <c r="AN361" i="2"/>
  <c r="BA361" i="2" s="1"/>
  <c r="AM361" i="2"/>
  <c r="AZ361" i="2" s="1"/>
  <c r="AL361" i="2"/>
  <c r="AY361" i="2" s="1"/>
  <c r="AK361" i="2"/>
  <c r="AX361" i="2" s="1"/>
  <c r="AJ361" i="2"/>
  <c r="AW361" i="2" s="1"/>
  <c r="AI361" i="2"/>
  <c r="AV361" i="2" s="1"/>
  <c r="AH361" i="2"/>
  <c r="AU361" i="2" s="1"/>
  <c r="AG361" i="2"/>
  <c r="AT361" i="2" s="1"/>
  <c r="AF361" i="2"/>
  <c r="AS361" i="2" s="1"/>
  <c r="AE361" i="2"/>
  <c r="AR361" i="2" s="1"/>
  <c r="AD361" i="2"/>
  <c r="AQ361" i="2" s="1"/>
  <c r="AA361" i="2"/>
  <c r="Z361" i="2"/>
  <c r="AP361" i="2" s="1"/>
  <c r="D361" i="2"/>
  <c r="A361" i="2"/>
  <c r="BC360" i="2"/>
  <c r="AO360" i="2"/>
  <c r="BB360" i="2" s="1"/>
  <c r="AN360" i="2"/>
  <c r="BA360" i="2" s="1"/>
  <c r="AM360" i="2"/>
  <c r="AZ360" i="2" s="1"/>
  <c r="AL360" i="2"/>
  <c r="AY360" i="2" s="1"/>
  <c r="AK360" i="2"/>
  <c r="AX360" i="2" s="1"/>
  <c r="AJ360" i="2"/>
  <c r="AW360" i="2" s="1"/>
  <c r="AI360" i="2"/>
  <c r="AV360" i="2" s="1"/>
  <c r="AH360" i="2"/>
  <c r="AU360" i="2" s="1"/>
  <c r="AG360" i="2"/>
  <c r="AT360" i="2" s="1"/>
  <c r="AF360" i="2"/>
  <c r="AS360" i="2" s="1"/>
  <c r="AE360" i="2"/>
  <c r="AR360" i="2" s="1"/>
  <c r="AD360" i="2"/>
  <c r="AQ360" i="2" s="1"/>
  <c r="AA360" i="2"/>
  <c r="Z360" i="2"/>
  <c r="AP360" i="2" s="1"/>
  <c r="D360" i="2"/>
  <c r="A360" i="2"/>
  <c r="BC359" i="2"/>
  <c r="AO359" i="2"/>
  <c r="BB359" i="2" s="1"/>
  <c r="AN359" i="2"/>
  <c r="BA359" i="2" s="1"/>
  <c r="AM359" i="2"/>
  <c r="AZ359" i="2" s="1"/>
  <c r="AL359" i="2"/>
  <c r="AY359" i="2" s="1"/>
  <c r="AK359" i="2"/>
  <c r="AX359" i="2" s="1"/>
  <c r="AJ359" i="2"/>
  <c r="AW359" i="2" s="1"/>
  <c r="AI359" i="2"/>
  <c r="AV359" i="2" s="1"/>
  <c r="AH359" i="2"/>
  <c r="AU359" i="2" s="1"/>
  <c r="AG359" i="2"/>
  <c r="AT359" i="2" s="1"/>
  <c r="AF359" i="2"/>
  <c r="AS359" i="2" s="1"/>
  <c r="AE359" i="2"/>
  <c r="AR359" i="2" s="1"/>
  <c r="AD359" i="2"/>
  <c r="AQ359" i="2" s="1"/>
  <c r="AA359" i="2"/>
  <c r="Z359" i="2"/>
  <c r="AP359" i="2" s="1"/>
  <c r="D359" i="2"/>
  <c r="A359" i="2"/>
  <c r="BC358" i="2"/>
  <c r="AO358" i="2"/>
  <c r="BB358" i="2" s="1"/>
  <c r="AN358" i="2"/>
  <c r="BA358" i="2" s="1"/>
  <c r="AM358" i="2"/>
  <c r="AZ358" i="2" s="1"/>
  <c r="AL358" i="2"/>
  <c r="AY358" i="2" s="1"/>
  <c r="AK358" i="2"/>
  <c r="AX358" i="2" s="1"/>
  <c r="AJ358" i="2"/>
  <c r="AW358" i="2" s="1"/>
  <c r="AI358" i="2"/>
  <c r="AV358" i="2" s="1"/>
  <c r="AH358" i="2"/>
  <c r="AU358" i="2" s="1"/>
  <c r="AG358" i="2"/>
  <c r="AT358" i="2" s="1"/>
  <c r="AF358" i="2"/>
  <c r="AS358" i="2" s="1"/>
  <c r="AE358" i="2"/>
  <c r="AR358" i="2" s="1"/>
  <c r="AD358" i="2"/>
  <c r="AQ358" i="2" s="1"/>
  <c r="AA358" i="2"/>
  <c r="Z358" i="2"/>
  <c r="AP358" i="2" s="1"/>
  <c r="D358" i="2"/>
  <c r="A358" i="2"/>
  <c r="BC357" i="2"/>
  <c r="AO357" i="2"/>
  <c r="BB357" i="2" s="1"/>
  <c r="AN357" i="2"/>
  <c r="BA357" i="2" s="1"/>
  <c r="AM357" i="2"/>
  <c r="AZ357" i="2" s="1"/>
  <c r="AL357" i="2"/>
  <c r="AY357" i="2" s="1"/>
  <c r="AK357" i="2"/>
  <c r="AX357" i="2" s="1"/>
  <c r="AJ357" i="2"/>
  <c r="AW357" i="2" s="1"/>
  <c r="AI357" i="2"/>
  <c r="AV357" i="2" s="1"/>
  <c r="AH357" i="2"/>
  <c r="AU357" i="2" s="1"/>
  <c r="AG357" i="2"/>
  <c r="AT357" i="2" s="1"/>
  <c r="AF357" i="2"/>
  <c r="AS357" i="2" s="1"/>
  <c r="AE357" i="2"/>
  <c r="AR357" i="2" s="1"/>
  <c r="AD357" i="2"/>
  <c r="AQ357" i="2" s="1"/>
  <c r="AA357" i="2"/>
  <c r="Z357" i="2"/>
  <c r="AP357" i="2" s="1"/>
  <c r="D357" i="2"/>
  <c r="A357" i="2"/>
  <c r="BC356" i="2"/>
  <c r="AO356" i="2"/>
  <c r="BB356" i="2" s="1"/>
  <c r="AN356" i="2"/>
  <c r="BA356" i="2" s="1"/>
  <c r="AM356" i="2"/>
  <c r="AZ356" i="2" s="1"/>
  <c r="AL356" i="2"/>
  <c r="AY356" i="2" s="1"/>
  <c r="AK356" i="2"/>
  <c r="AX356" i="2" s="1"/>
  <c r="AJ356" i="2"/>
  <c r="AW356" i="2" s="1"/>
  <c r="AI356" i="2"/>
  <c r="AV356" i="2" s="1"/>
  <c r="AH356" i="2"/>
  <c r="AU356" i="2" s="1"/>
  <c r="AG356" i="2"/>
  <c r="AT356" i="2" s="1"/>
  <c r="AF356" i="2"/>
  <c r="AS356" i="2" s="1"/>
  <c r="AE356" i="2"/>
  <c r="AR356" i="2" s="1"/>
  <c r="AD356" i="2"/>
  <c r="AQ356" i="2" s="1"/>
  <c r="AA356" i="2"/>
  <c r="Z356" i="2"/>
  <c r="AP356" i="2" s="1"/>
  <c r="D356" i="2"/>
  <c r="A356" i="2"/>
  <c r="BC355" i="2"/>
  <c r="AO355" i="2"/>
  <c r="BB355" i="2" s="1"/>
  <c r="AN355" i="2"/>
  <c r="BA355" i="2" s="1"/>
  <c r="AM355" i="2"/>
  <c r="AZ355" i="2" s="1"/>
  <c r="AL355" i="2"/>
  <c r="AY355" i="2" s="1"/>
  <c r="AK355" i="2"/>
  <c r="AX355" i="2" s="1"/>
  <c r="AJ355" i="2"/>
  <c r="AW355" i="2" s="1"/>
  <c r="AI355" i="2"/>
  <c r="AV355" i="2" s="1"/>
  <c r="AH355" i="2"/>
  <c r="AU355" i="2" s="1"/>
  <c r="AG355" i="2"/>
  <c r="AT355" i="2" s="1"/>
  <c r="AF355" i="2"/>
  <c r="AS355" i="2" s="1"/>
  <c r="AE355" i="2"/>
  <c r="AR355" i="2" s="1"/>
  <c r="AD355" i="2"/>
  <c r="AQ355" i="2" s="1"/>
  <c r="AA355" i="2"/>
  <c r="Z355" i="2"/>
  <c r="AP355" i="2" s="1"/>
  <c r="D355" i="2"/>
  <c r="A355" i="2"/>
  <c r="BC354" i="2"/>
  <c r="AO354" i="2"/>
  <c r="BB354" i="2" s="1"/>
  <c r="AN354" i="2"/>
  <c r="BA354" i="2" s="1"/>
  <c r="AM354" i="2"/>
  <c r="AZ354" i="2" s="1"/>
  <c r="AL354" i="2"/>
  <c r="AY354" i="2" s="1"/>
  <c r="AK354" i="2"/>
  <c r="AX354" i="2" s="1"/>
  <c r="AJ354" i="2"/>
  <c r="AW354" i="2" s="1"/>
  <c r="AI354" i="2"/>
  <c r="AV354" i="2" s="1"/>
  <c r="AH354" i="2"/>
  <c r="AU354" i="2" s="1"/>
  <c r="AG354" i="2"/>
  <c r="AT354" i="2" s="1"/>
  <c r="AF354" i="2"/>
  <c r="AS354" i="2" s="1"/>
  <c r="AE354" i="2"/>
  <c r="AR354" i="2" s="1"/>
  <c r="AD354" i="2"/>
  <c r="AQ354" i="2" s="1"/>
  <c r="AA354" i="2"/>
  <c r="Z354" i="2"/>
  <c r="AP354" i="2" s="1"/>
  <c r="D354" i="2"/>
  <c r="A354" i="2"/>
  <c r="BC353" i="2"/>
  <c r="AW353" i="2"/>
  <c r="AO353" i="2"/>
  <c r="BB353" i="2" s="1"/>
  <c r="AN353" i="2"/>
  <c r="BA353" i="2" s="1"/>
  <c r="AM353" i="2"/>
  <c r="AZ353" i="2" s="1"/>
  <c r="AL353" i="2"/>
  <c r="AY353" i="2" s="1"/>
  <c r="AK353" i="2"/>
  <c r="AX353" i="2" s="1"/>
  <c r="AJ353" i="2"/>
  <c r="AI353" i="2"/>
  <c r="AV353" i="2" s="1"/>
  <c r="AH353" i="2"/>
  <c r="AU353" i="2" s="1"/>
  <c r="AG353" i="2"/>
  <c r="AT353" i="2" s="1"/>
  <c r="AF353" i="2"/>
  <c r="AS353" i="2" s="1"/>
  <c r="AE353" i="2"/>
  <c r="AR353" i="2" s="1"/>
  <c r="AD353" i="2"/>
  <c r="AQ353" i="2" s="1"/>
  <c r="AA353" i="2"/>
  <c r="Z353" i="2"/>
  <c r="AP353" i="2" s="1"/>
  <c r="D353" i="2"/>
  <c r="A353" i="2"/>
  <c r="BC352" i="2"/>
  <c r="AO352" i="2"/>
  <c r="BB352" i="2" s="1"/>
  <c r="AN352" i="2"/>
  <c r="BA352" i="2" s="1"/>
  <c r="AM352" i="2"/>
  <c r="AZ352" i="2" s="1"/>
  <c r="AL352" i="2"/>
  <c r="AY352" i="2" s="1"/>
  <c r="AK352" i="2"/>
  <c r="AX352" i="2" s="1"/>
  <c r="AJ352" i="2"/>
  <c r="AW352" i="2" s="1"/>
  <c r="AI352" i="2"/>
  <c r="AV352" i="2" s="1"/>
  <c r="AH352" i="2"/>
  <c r="AU352" i="2" s="1"/>
  <c r="AG352" i="2"/>
  <c r="AT352" i="2" s="1"/>
  <c r="AF352" i="2"/>
  <c r="AS352" i="2" s="1"/>
  <c r="AE352" i="2"/>
  <c r="AR352" i="2" s="1"/>
  <c r="AD352" i="2"/>
  <c r="AQ352" i="2" s="1"/>
  <c r="AA352" i="2"/>
  <c r="Z352" i="2"/>
  <c r="AP352" i="2" s="1"/>
  <c r="D352" i="2"/>
  <c r="A352" i="2"/>
  <c r="BC351" i="2"/>
  <c r="AO351" i="2"/>
  <c r="BB351" i="2" s="1"/>
  <c r="AN351" i="2"/>
  <c r="BA351" i="2" s="1"/>
  <c r="AM351" i="2"/>
  <c r="AZ351" i="2" s="1"/>
  <c r="AL351" i="2"/>
  <c r="AY351" i="2" s="1"/>
  <c r="AK351" i="2"/>
  <c r="AX351" i="2" s="1"/>
  <c r="AJ351" i="2"/>
  <c r="AW351" i="2" s="1"/>
  <c r="AI351" i="2"/>
  <c r="AV351" i="2" s="1"/>
  <c r="AH351" i="2"/>
  <c r="AU351" i="2" s="1"/>
  <c r="AG351" i="2"/>
  <c r="AT351" i="2" s="1"/>
  <c r="AF351" i="2"/>
  <c r="AS351" i="2" s="1"/>
  <c r="AE351" i="2"/>
  <c r="AR351" i="2" s="1"/>
  <c r="AD351" i="2"/>
  <c r="AQ351" i="2" s="1"/>
  <c r="AA351" i="2"/>
  <c r="Z351" i="2"/>
  <c r="AP351" i="2" s="1"/>
  <c r="D351" i="2"/>
  <c r="A351" i="2"/>
  <c r="BC350" i="2"/>
  <c r="AW350" i="2"/>
  <c r="AO350" i="2"/>
  <c r="BB350" i="2" s="1"/>
  <c r="AN350" i="2"/>
  <c r="BA350" i="2" s="1"/>
  <c r="AM350" i="2"/>
  <c r="AZ350" i="2" s="1"/>
  <c r="AL350" i="2"/>
  <c r="AY350" i="2" s="1"/>
  <c r="AK350" i="2"/>
  <c r="AX350" i="2" s="1"/>
  <c r="AJ350" i="2"/>
  <c r="AI350" i="2"/>
  <c r="AV350" i="2" s="1"/>
  <c r="AH350" i="2"/>
  <c r="AU350" i="2" s="1"/>
  <c r="AG350" i="2"/>
  <c r="AT350" i="2" s="1"/>
  <c r="AF350" i="2"/>
  <c r="AS350" i="2" s="1"/>
  <c r="AE350" i="2"/>
  <c r="AR350" i="2" s="1"/>
  <c r="AD350" i="2"/>
  <c r="AQ350" i="2" s="1"/>
  <c r="AA350" i="2"/>
  <c r="Z350" i="2"/>
  <c r="AP350" i="2" s="1"/>
  <c r="D350" i="2"/>
  <c r="A350" i="2"/>
  <c r="BC349" i="2"/>
  <c r="AO349" i="2"/>
  <c r="BB349" i="2" s="1"/>
  <c r="AN349" i="2"/>
  <c r="BA349" i="2" s="1"/>
  <c r="AM349" i="2"/>
  <c r="AZ349" i="2" s="1"/>
  <c r="AL349" i="2"/>
  <c r="AY349" i="2" s="1"/>
  <c r="AK349" i="2"/>
  <c r="AX349" i="2" s="1"/>
  <c r="AJ349" i="2"/>
  <c r="AW349" i="2" s="1"/>
  <c r="AI349" i="2"/>
  <c r="AV349" i="2" s="1"/>
  <c r="AH349" i="2"/>
  <c r="AU349" i="2" s="1"/>
  <c r="AG349" i="2"/>
  <c r="AT349" i="2" s="1"/>
  <c r="AF349" i="2"/>
  <c r="AS349" i="2" s="1"/>
  <c r="AE349" i="2"/>
  <c r="AR349" i="2" s="1"/>
  <c r="AD349" i="2"/>
  <c r="AQ349" i="2" s="1"/>
  <c r="AA349" i="2"/>
  <c r="Z349" i="2"/>
  <c r="AP349" i="2" s="1"/>
  <c r="D349" i="2"/>
  <c r="A349" i="2"/>
  <c r="BC348" i="2"/>
  <c r="AO348" i="2"/>
  <c r="BB348" i="2" s="1"/>
  <c r="AN348" i="2"/>
  <c r="BA348" i="2" s="1"/>
  <c r="AM348" i="2"/>
  <c r="AZ348" i="2" s="1"/>
  <c r="AL348" i="2"/>
  <c r="AY348" i="2" s="1"/>
  <c r="AK348" i="2"/>
  <c r="AX348" i="2" s="1"/>
  <c r="AJ348" i="2"/>
  <c r="AW348" i="2" s="1"/>
  <c r="AI348" i="2"/>
  <c r="AV348" i="2" s="1"/>
  <c r="AH348" i="2"/>
  <c r="AU348" i="2" s="1"/>
  <c r="AG348" i="2"/>
  <c r="AT348" i="2" s="1"/>
  <c r="AF348" i="2"/>
  <c r="AS348" i="2" s="1"/>
  <c r="AE348" i="2"/>
  <c r="AR348" i="2" s="1"/>
  <c r="AD348" i="2"/>
  <c r="AQ348" i="2" s="1"/>
  <c r="AA348" i="2"/>
  <c r="Z348" i="2"/>
  <c r="AP348" i="2" s="1"/>
  <c r="D348" i="2"/>
  <c r="A348" i="2"/>
  <c r="BC347" i="2"/>
  <c r="AO347" i="2"/>
  <c r="BB347" i="2" s="1"/>
  <c r="AN347" i="2"/>
  <c r="BA347" i="2" s="1"/>
  <c r="AM347" i="2"/>
  <c r="AZ347" i="2" s="1"/>
  <c r="AL347" i="2"/>
  <c r="AY347" i="2" s="1"/>
  <c r="AK347" i="2"/>
  <c r="AX347" i="2" s="1"/>
  <c r="AJ347" i="2"/>
  <c r="AW347" i="2" s="1"/>
  <c r="AI347" i="2"/>
  <c r="AV347" i="2" s="1"/>
  <c r="AH347" i="2"/>
  <c r="AU347" i="2" s="1"/>
  <c r="AG347" i="2"/>
  <c r="AT347" i="2" s="1"/>
  <c r="AF347" i="2"/>
  <c r="AS347" i="2" s="1"/>
  <c r="AE347" i="2"/>
  <c r="AR347" i="2" s="1"/>
  <c r="AD347" i="2"/>
  <c r="AQ347" i="2" s="1"/>
  <c r="AA347" i="2"/>
  <c r="Z347" i="2"/>
  <c r="AP347" i="2" s="1"/>
  <c r="D347" i="2"/>
  <c r="A347" i="2"/>
  <c r="BC346" i="2"/>
  <c r="AO346" i="2"/>
  <c r="BB346" i="2" s="1"/>
  <c r="AN346" i="2"/>
  <c r="BA346" i="2" s="1"/>
  <c r="AM346" i="2"/>
  <c r="AZ346" i="2" s="1"/>
  <c r="AL346" i="2"/>
  <c r="AY346" i="2" s="1"/>
  <c r="AK346" i="2"/>
  <c r="AX346" i="2" s="1"/>
  <c r="AJ346" i="2"/>
  <c r="AW346" i="2" s="1"/>
  <c r="AI346" i="2"/>
  <c r="AV346" i="2" s="1"/>
  <c r="AH346" i="2"/>
  <c r="AU346" i="2" s="1"/>
  <c r="AG346" i="2"/>
  <c r="AT346" i="2" s="1"/>
  <c r="AF346" i="2"/>
  <c r="AS346" i="2" s="1"/>
  <c r="AE346" i="2"/>
  <c r="AR346" i="2" s="1"/>
  <c r="AD346" i="2"/>
  <c r="AQ346" i="2" s="1"/>
  <c r="AA346" i="2"/>
  <c r="Z346" i="2"/>
  <c r="AP346" i="2" s="1"/>
  <c r="D346" i="2"/>
  <c r="A346" i="2"/>
  <c r="BC345" i="2"/>
  <c r="AO345" i="2"/>
  <c r="BB345" i="2" s="1"/>
  <c r="AN345" i="2"/>
  <c r="BA345" i="2" s="1"/>
  <c r="AM345" i="2"/>
  <c r="AZ345" i="2" s="1"/>
  <c r="AL345" i="2"/>
  <c r="AY345" i="2" s="1"/>
  <c r="AK345" i="2"/>
  <c r="AX345" i="2" s="1"/>
  <c r="AJ345" i="2"/>
  <c r="AW345" i="2" s="1"/>
  <c r="AI345" i="2"/>
  <c r="AV345" i="2" s="1"/>
  <c r="AH345" i="2"/>
  <c r="AU345" i="2" s="1"/>
  <c r="AG345" i="2"/>
  <c r="AT345" i="2" s="1"/>
  <c r="AF345" i="2"/>
  <c r="AS345" i="2" s="1"/>
  <c r="AE345" i="2"/>
  <c r="AR345" i="2" s="1"/>
  <c r="AD345" i="2"/>
  <c r="AQ345" i="2" s="1"/>
  <c r="AA345" i="2"/>
  <c r="Z345" i="2"/>
  <c r="AP345" i="2" s="1"/>
  <c r="D345" i="2"/>
  <c r="A345" i="2"/>
  <c r="BC344" i="2"/>
  <c r="AO344" i="2"/>
  <c r="BB344" i="2" s="1"/>
  <c r="AN344" i="2"/>
  <c r="BA344" i="2" s="1"/>
  <c r="AM344" i="2"/>
  <c r="AZ344" i="2" s="1"/>
  <c r="AL344" i="2"/>
  <c r="AY344" i="2" s="1"/>
  <c r="AK344" i="2"/>
  <c r="AX344" i="2" s="1"/>
  <c r="AJ344" i="2"/>
  <c r="AW344" i="2" s="1"/>
  <c r="AI344" i="2"/>
  <c r="AV344" i="2" s="1"/>
  <c r="AH344" i="2"/>
  <c r="AU344" i="2" s="1"/>
  <c r="AG344" i="2"/>
  <c r="AT344" i="2" s="1"/>
  <c r="AF344" i="2"/>
  <c r="AS344" i="2" s="1"/>
  <c r="AE344" i="2"/>
  <c r="AR344" i="2" s="1"/>
  <c r="AD344" i="2"/>
  <c r="AQ344" i="2" s="1"/>
  <c r="AA344" i="2"/>
  <c r="Z344" i="2"/>
  <c r="AP344" i="2" s="1"/>
  <c r="D344" i="2"/>
  <c r="A344" i="2"/>
  <c r="BC343" i="2"/>
  <c r="AO343" i="2"/>
  <c r="BB343" i="2" s="1"/>
  <c r="AN343" i="2"/>
  <c r="BA343" i="2" s="1"/>
  <c r="AM343" i="2"/>
  <c r="AZ343" i="2" s="1"/>
  <c r="AL343" i="2"/>
  <c r="AY343" i="2" s="1"/>
  <c r="AK343" i="2"/>
  <c r="AX343" i="2" s="1"/>
  <c r="AJ343" i="2"/>
  <c r="AW343" i="2" s="1"/>
  <c r="AI343" i="2"/>
  <c r="AV343" i="2" s="1"/>
  <c r="AH343" i="2"/>
  <c r="AU343" i="2" s="1"/>
  <c r="AG343" i="2"/>
  <c r="AT343" i="2" s="1"/>
  <c r="AF343" i="2"/>
  <c r="AS343" i="2" s="1"/>
  <c r="AE343" i="2"/>
  <c r="AR343" i="2" s="1"/>
  <c r="AD343" i="2"/>
  <c r="AQ343" i="2" s="1"/>
  <c r="AA343" i="2"/>
  <c r="Z343" i="2"/>
  <c r="AP343" i="2" s="1"/>
  <c r="D343" i="2"/>
  <c r="A343" i="2"/>
  <c r="BC342" i="2"/>
  <c r="AO342" i="2"/>
  <c r="BB342" i="2" s="1"/>
  <c r="AN342" i="2"/>
  <c r="BA342" i="2" s="1"/>
  <c r="AM342" i="2"/>
  <c r="AZ342" i="2" s="1"/>
  <c r="AL342" i="2"/>
  <c r="AY342" i="2" s="1"/>
  <c r="AK342" i="2"/>
  <c r="AX342" i="2" s="1"/>
  <c r="AJ342" i="2"/>
  <c r="AW342" i="2" s="1"/>
  <c r="AI342" i="2"/>
  <c r="AV342" i="2" s="1"/>
  <c r="AH342" i="2"/>
  <c r="AU342" i="2" s="1"/>
  <c r="AG342" i="2"/>
  <c r="AT342" i="2" s="1"/>
  <c r="AF342" i="2"/>
  <c r="AS342" i="2" s="1"/>
  <c r="AE342" i="2"/>
  <c r="AR342" i="2" s="1"/>
  <c r="AD342" i="2"/>
  <c r="AQ342" i="2" s="1"/>
  <c r="AA342" i="2"/>
  <c r="Z342" i="2"/>
  <c r="AP342" i="2" s="1"/>
  <c r="D342" i="2"/>
  <c r="A342" i="2"/>
  <c r="BC341" i="2"/>
  <c r="AO341" i="2"/>
  <c r="BB341" i="2" s="1"/>
  <c r="AN341" i="2"/>
  <c r="BA341" i="2" s="1"/>
  <c r="AM341" i="2"/>
  <c r="AZ341" i="2" s="1"/>
  <c r="AL341" i="2"/>
  <c r="AY341" i="2" s="1"/>
  <c r="AK341" i="2"/>
  <c r="AX341" i="2" s="1"/>
  <c r="AJ341" i="2"/>
  <c r="AW341" i="2" s="1"/>
  <c r="AI341" i="2"/>
  <c r="AV341" i="2" s="1"/>
  <c r="AH341" i="2"/>
  <c r="AU341" i="2" s="1"/>
  <c r="AG341" i="2"/>
  <c r="AT341" i="2" s="1"/>
  <c r="AF341" i="2"/>
  <c r="AS341" i="2" s="1"/>
  <c r="AE341" i="2"/>
  <c r="AR341" i="2" s="1"/>
  <c r="AD341" i="2"/>
  <c r="AQ341" i="2" s="1"/>
  <c r="AA341" i="2"/>
  <c r="Z341" i="2"/>
  <c r="AP341" i="2" s="1"/>
  <c r="D341" i="2"/>
  <c r="A341" i="2"/>
  <c r="BC340" i="2"/>
  <c r="AO340" i="2"/>
  <c r="BB340" i="2" s="1"/>
  <c r="AN340" i="2"/>
  <c r="BA340" i="2" s="1"/>
  <c r="AM340" i="2"/>
  <c r="AZ340" i="2" s="1"/>
  <c r="AL340" i="2"/>
  <c r="AY340" i="2" s="1"/>
  <c r="AK340" i="2"/>
  <c r="AX340" i="2" s="1"/>
  <c r="AJ340" i="2"/>
  <c r="AW340" i="2" s="1"/>
  <c r="AI340" i="2"/>
  <c r="AV340" i="2" s="1"/>
  <c r="AH340" i="2"/>
  <c r="AU340" i="2" s="1"/>
  <c r="AG340" i="2"/>
  <c r="AT340" i="2" s="1"/>
  <c r="AF340" i="2"/>
  <c r="AS340" i="2" s="1"/>
  <c r="AE340" i="2"/>
  <c r="AR340" i="2" s="1"/>
  <c r="AD340" i="2"/>
  <c r="AQ340" i="2" s="1"/>
  <c r="AA340" i="2"/>
  <c r="Z340" i="2"/>
  <c r="AP340" i="2" s="1"/>
  <c r="D340" i="2"/>
  <c r="A340" i="2"/>
  <c r="BC339" i="2"/>
  <c r="AO339" i="2"/>
  <c r="BB339" i="2" s="1"/>
  <c r="AN339" i="2"/>
  <c r="BA339" i="2" s="1"/>
  <c r="AM339" i="2"/>
  <c r="AZ339" i="2" s="1"/>
  <c r="AL339" i="2"/>
  <c r="AY339" i="2" s="1"/>
  <c r="AK339" i="2"/>
  <c r="AX339" i="2" s="1"/>
  <c r="AJ339" i="2"/>
  <c r="AW339" i="2" s="1"/>
  <c r="AI339" i="2"/>
  <c r="AV339" i="2" s="1"/>
  <c r="AH339" i="2"/>
  <c r="AU339" i="2" s="1"/>
  <c r="AG339" i="2"/>
  <c r="AT339" i="2" s="1"/>
  <c r="AF339" i="2"/>
  <c r="AS339" i="2" s="1"/>
  <c r="AE339" i="2"/>
  <c r="AR339" i="2" s="1"/>
  <c r="AD339" i="2"/>
  <c r="AQ339" i="2" s="1"/>
  <c r="AA339" i="2"/>
  <c r="Z339" i="2"/>
  <c r="AP339" i="2" s="1"/>
  <c r="D339" i="2"/>
  <c r="A339" i="2"/>
  <c r="BC338" i="2"/>
  <c r="AO338" i="2"/>
  <c r="BB338" i="2" s="1"/>
  <c r="AN338" i="2"/>
  <c r="BA338" i="2" s="1"/>
  <c r="AM338" i="2"/>
  <c r="AZ338" i="2" s="1"/>
  <c r="AL338" i="2"/>
  <c r="AY338" i="2" s="1"/>
  <c r="AK338" i="2"/>
  <c r="AX338" i="2" s="1"/>
  <c r="AJ338" i="2"/>
  <c r="AW338" i="2" s="1"/>
  <c r="AI338" i="2"/>
  <c r="AV338" i="2" s="1"/>
  <c r="AH338" i="2"/>
  <c r="AU338" i="2" s="1"/>
  <c r="AG338" i="2"/>
  <c r="AT338" i="2" s="1"/>
  <c r="AF338" i="2"/>
  <c r="AS338" i="2" s="1"/>
  <c r="AE338" i="2"/>
  <c r="AR338" i="2" s="1"/>
  <c r="AD338" i="2"/>
  <c r="AQ338" i="2" s="1"/>
  <c r="AA338" i="2"/>
  <c r="Z338" i="2"/>
  <c r="AP338" i="2" s="1"/>
  <c r="D338" i="2"/>
  <c r="A338" i="2"/>
  <c r="BC337" i="2"/>
  <c r="AO337" i="2"/>
  <c r="BB337" i="2" s="1"/>
  <c r="AN337" i="2"/>
  <c r="BA337" i="2" s="1"/>
  <c r="AM337" i="2"/>
  <c r="AZ337" i="2" s="1"/>
  <c r="AL337" i="2"/>
  <c r="AY337" i="2" s="1"/>
  <c r="AK337" i="2"/>
  <c r="AX337" i="2" s="1"/>
  <c r="AJ337" i="2"/>
  <c r="AW337" i="2" s="1"/>
  <c r="AI337" i="2"/>
  <c r="AV337" i="2" s="1"/>
  <c r="AH337" i="2"/>
  <c r="AU337" i="2" s="1"/>
  <c r="AG337" i="2"/>
  <c r="AT337" i="2" s="1"/>
  <c r="AF337" i="2"/>
  <c r="AS337" i="2" s="1"/>
  <c r="AE337" i="2"/>
  <c r="AR337" i="2" s="1"/>
  <c r="AD337" i="2"/>
  <c r="AQ337" i="2" s="1"/>
  <c r="AA337" i="2"/>
  <c r="Z337" i="2"/>
  <c r="AP337" i="2" s="1"/>
  <c r="D337" i="2"/>
  <c r="A337" i="2"/>
  <c r="BC336" i="2"/>
  <c r="AO336" i="2"/>
  <c r="BB336" i="2" s="1"/>
  <c r="AN336" i="2"/>
  <c r="BA336" i="2" s="1"/>
  <c r="AM336" i="2"/>
  <c r="AZ336" i="2" s="1"/>
  <c r="AL336" i="2"/>
  <c r="AY336" i="2" s="1"/>
  <c r="AK336" i="2"/>
  <c r="AX336" i="2" s="1"/>
  <c r="AJ336" i="2"/>
  <c r="AW336" i="2" s="1"/>
  <c r="AI336" i="2"/>
  <c r="AV336" i="2" s="1"/>
  <c r="AH336" i="2"/>
  <c r="AU336" i="2" s="1"/>
  <c r="AG336" i="2"/>
  <c r="AT336" i="2" s="1"/>
  <c r="AF336" i="2"/>
  <c r="AS336" i="2" s="1"/>
  <c r="AE336" i="2"/>
  <c r="AR336" i="2" s="1"/>
  <c r="AD336" i="2"/>
  <c r="AQ336" i="2" s="1"/>
  <c r="AA336" i="2"/>
  <c r="Z336" i="2"/>
  <c r="AP336" i="2" s="1"/>
  <c r="D336" i="2"/>
  <c r="A336" i="2"/>
  <c r="BC335" i="2"/>
  <c r="AO335" i="2"/>
  <c r="BB335" i="2" s="1"/>
  <c r="AN335" i="2"/>
  <c r="BA335" i="2" s="1"/>
  <c r="AM335" i="2"/>
  <c r="AZ335" i="2" s="1"/>
  <c r="AL335" i="2"/>
  <c r="AY335" i="2" s="1"/>
  <c r="AK335" i="2"/>
  <c r="AX335" i="2" s="1"/>
  <c r="AJ335" i="2"/>
  <c r="AW335" i="2" s="1"/>
  <c r="AI335" i="2"/>
  <c r="AV335" i="2" s="1"/>
  <c r="AH335" i="2"/>
  <c r="AU335" i="2" s="1"/>
  <c r="AG335" i="2"/>
  <c r="AT335" i="2" s="1"/>
  <c r="AF335" i="2"/>
  <c r="AS335" i="2" s="1"/>
  <c r="AE335" i="2"/>
  <c r="AR335" i="2" s="1"/>
  <c r="AD335" i="2"/>
  <c r="AQ335" i="2" s="1"/>
  <c r="AA335" i="2"/>
  <c r="Z335" i="2"/>
  <c r="AP335" i="2" s="1"/>
  <c r="D335" i="2"/>
  <c r="A335" i="2"/>
  <c r="BC334" i="2"/>
  <c r="AO334" i="2"/>
  <c r="BB334" i="2" s="1"/>
  <c r="AN334" i="2"/>
  <c r="BA334" i="2" s="1"/>
  <c r="AM334" i="2"/>
  <c r="AZ334" i="2" s="1"/>
  <c r="AL334" i="2"/>
  <c r="AY334" i="2" s="1"/>
  <c r="AK334" i="2"/>
  <c r="AX334" i="2" s="1"/>
  <c r="AJ334" i="2"/>
  <c r="AW334" i="2" s="1"/>
  <c r="AI334" i="2"/>
  <c r="AV334" i="2" s="1"/>
  <c r="AH334" i="2"/>
  <c r="AU334" i="2" s="1"/>
  <c r="AG334" i="2"/>
  <c r="AT334" i="2" s="1"/>
  <c r="AF334" i="2"/>
  <c r="AS334" i="2" s="1"/>
  <c r="AE334" i="2"/>
  <c r="AR334" i="2" s="1"/>
  <c r="AD334" i="2"/>
  <c r="AQ334" i="2" s="1"/>
  <c r="AA334" i="2"/>
  <c r="Z334" i="2"/>
  <c r="AP334" i="2" s="1"/>
  <c r="D334" i="2"/>
  <c r="A334" i="2"/>
  <c r="BC333" i="2"/>
  <c r="AO333" i="2"/>
  <c r="BB333" i="2" s="1"/>
  <c r="AN333" i="2"/>
  <c r="BA333" i="2" s="1"/>
  <c r="AM333" i="2"/>
  <c r="AZ333" i="2" s="1"/>
  <c r="AL333" i="2"/>
  <c r="AY333" i="2" s="1"/>
  <c r="AK333" i="2"/>
  <c r="AX333" i="2" s="1"/>
  <c r="AJ333" i="2"/>
  <c r="AW333" i="2" s="1"/>
  <c r="AI333" i="2"/>
  <c r="AV333" i="2" s="1"/>
  <c r="AH333" i="2"/>
  <c r="AU333" i="2" s="1"/>
  <c r="AG333" i="2"/>
  <c r="AT333" i="2" s="1"/>
  <c r="AF333" i="2"/>
  <c r="AS333" i="2" s="1"/>
  <c r="AE333" i="2"/>
  <c r="AR333" i="2" s="1"/>
  <c r="AD333" i="2"/>
  <c r="AQ333" i="2" s="1"/>
  <c r="AA333" i="2"/>
  <c r="Z333" i="2"/>
  <c r="AP333" i="2" s="1"/>
  <c r="D333" i="2"/>
  <c r="A333" i="2"/>
  <c r="BC332" i="2"/>
  <c r="AO332" i="2"/>
  <c r="BB332" i="2" s="1"/>
  <c r="AN332" i="2"/>
  <c r="BA332" i="2" s="1"/>
  <c r="AM332" i="2"/>
  <c r="AZ332" i="2" s="1"/>
  <c r="AL332" i="2"/>
  <c r="AY332" i="2" s="1"/>
  <c r="AK332" i="2"/>
  <c r="AX332" i="2" s="1"/>
  <c r="AJ332" i="2"/>
  <c r="AW332" i="2" s="1"/>
  <c r="AI332" i="2"/>
  <c r="AV332" i="2" s="1"/>
  <c r="AH332" i="2"/>
  <c r="AU332" i="2" s="1"/>
  <c r="AG332" i="2"/>
  <c r="AT332" i="2" s="1"/>
  <c r="AF332" i="2"/>
  <c r="AS332" i="2" s="1"/>
  <c r="AE332" i="2"/>
  <c r="AR332" i="2" s="1"/>
  <c r="AD332" i="2"/>
  <c r="AQ332" i="2" s="1"/>
  <c r="AA332" i="2"/>
  <c r="Z332" i="2"/>
  <c r="AP332" i="2" s="1"/>
  <c r="D332" i="2"/>
  <c r="A332" i="2"/>
  <c r="BC331" i="2"/>
  <c r="AO331" i="2"/>
  <c r="BB331" i="2" s="1"/>
  <c r="AN331" i="2"/>
  <c r="BA331" i="2" s="1"/>
  <c r="AM331" i="2"/>
  <c r="AZ331" i="2" s="1"/>
  <c r="AL331" i="2"/>
  <c r="AY331" i="2" s="1"/>
  <c r="AK331" i="2"/>
  <c r="AX331" i="2" s="1"/>
  <c r="AJ331" i="2"/>
  <c r="AW331" i="2" s="1"/>
  <c r="AI331" i="2"/>
  <c r="AV331" i="2" s="1"/>
  <c r="AH331" i="2"/>
  <c r="AU331" i="2" s="1"/>
  <c r="AG331" i="2"/>
  <c r="AT331" i="2" s="1"/>
  <c r="AF331" i="2"/>
  <c r="AS331" i="2" s="1"/>
  <c r="AE331" i="2"/>
  <c r="AR331" i="2" s="1"/>
  <c r="AD331" i="2"/>
  <c r="AQ331" i="2" s="1"/>
  <c r="AA331" i="2"/>
  <c r="Z331" i="2"/>
  <c r="AP331" i="2" s="1"/>
  <c r="D331" i="2"/>
  <c r="A331" i="2"/>
  <c r="BC330" i="2"/>
  <c r="AO330" i="2"/>
  <c r="BB330" i="2" s="1"/>
  <c r="AN330" i="2"/>
  <c r="BA330" i="2" s="1"/>
  <c r="AM330" i="2"/>
  <c r="AZ330" i="2" s="1"/>
  <c r="AL330" i="2"/>
  <c r="AY330" i="2" s="1"/>
  <c r="AK330" i="2"/>
  <c r="AX330" i="2" s="1"/>
  <c r="AJ330" i="2"/>
  <c r="AW330" i="2" s="1"/>
  <c r="AI330" i="2"/>
  <c r="AV330" i="2" s="1"/>
  <c r="AH330" i="2"/>
  <c r="AU330" i="2" s="1"/>
  <c r="AG330" i="2"/>
  <c r="AT330" i="2" s="1"/>
  <c r="AF330" i="2"/>
  <c r="AS330" i="2" s="1"/>
  <c r="AE330" i="2"/>
  <c r="AR330" i="2" s="1"/>
  <c r="AD330" i="2"/>
  <c r="AQ330" i="2" s="1"/>
  <c r="AA330" i="2"/>
  <c r="Z330" i="2"/>
  <c r="AP330" i="2" s="1"/>
  <c r="D330" i="2"/>
  <c r="A330" i="2"/>
  <c r="BC329" i="2"/>
  <c r="AO329" i="2"/>
  <c r="BB329" i="2" s="1"/>
  <c r="AN329" i="2"/>
  <c r="BA329" i="2" s="1"/>
  <c r="AM329" i="2"/>
  <c r="AZ329" i="2" s="1"/>
  <c r="AL329" i="2"/>
  <c r="AY329" i="2" s="1"/>
  <c r="AK329" i="2"/>
  <c r="AX329" i="2" s="1"/>
  <c r="AJ329" i="2"/>
  <c r="AW329" i="2" s="1"/>
  <c r="AI329" i="2"/>
  <c r="AV329" i="2" s="1"/>
  <c r="AH329" i="2"/>
  <c r="AU329" i="2" s="1"/>
  <c r="AG329" i="2"/>
  <c r="AT329" i="2" s="1"/>
  <c r="AF329" i="2"/>
  <c r="AS329" i="2" s="1"/>
  <c r="AE329" i="2"/>
  <c r="AR329" i="2" s="1"/>
  <c r="AD329" i="2"/>
  <c r="AQ329" i="2" s="1"/>
  <c r="AA329" i="2"/>
  <c r="Z329" i="2"/>
  <c r="AP329" i="2" s="1"/>
  <c r="D329" i="2"/>
  <c r="A329" i="2"/>
  <c r="BC328" i="2"/>
  <c r="AO328" i="2"/>
  <c r="BB328" i="2" s="1"/>
  <c r="AN328" i="2"/>
  <c r="BA328" i="2" s="1"/>
  <c r="AM328" i="2"/>
  <c r="AZ328" i="2" s="1"/>
  <c r="AL328" i="2"/>
  <c r="AY328" i="2" s="1"/>
  <c r="AK328" i="2"/>
  <c r="AX328" i="2" s="1"/>
  <c r="AJ328" i="2"/>
  <c r="AW328" i="2" s="1"/>
  <c r="AI328" i="2"/>
  <c r="AV328" i="2" s="1"/>
  <c r="AH328" i="2"/>
  <c r="AU328" i="2" s="1"/>
  <c r="AG328" i="2"/>
  <c r="AT328" i="2" s="1"/>
  <c r="AF328" i="2"/>
  <c r="AS328" i="2" s="1"/>
  <c r="AE328" i="2"/>
  <c r="AR328" i="2" s="1"/>
  <c r="AD328" i="2"/>
  <c r="AQ328" i="2" s="1"/>
  <c r="AA328" i="2"/>
  <c r="Z328" i="2"/>
  <c r="AP328" i="2" s="1"/>
  <c r="D328" i="2"/>
  <c r="A328" i="2"/>
  <c r="BC327" i="2"/>
  <c r="AO327" i="2"/>
  <c r="BB327" i="2" s="1"/>
  <c r="AN327" i="2"/>
  <c r="BA327" i="2" s="1"/>
  <c r="AM327" i="2"/>
  <c r="AZ327" i="2" s="1"/>
  <c r="AL327" i="2"/>
  <c r="AY327" i="2" s="1"/>
  <c r="AK327" i="2"/>
  <c r="AX327" i="2" s="1"/>
  <c r="AJ327" i="2"/>
  <c r="AW327" i="2" s="1"/>
  <c r="AI327" i="2"/>
  <c r="AV327" i="2" s="1"/>
  <c r="AH327" i="2"/>
  <c r="AU327" i="2" s="1"/>
  <c r="AG327" i="2"/>
  <c r="AT327" i="2" s="1"/>
  <c r="AF327" i="2"/>
  <c r="AS327" i="2" s="1"/>
  <c r="AE327" i="2"/>
  <c r="AR327" i="2" s="1"/>
  <c r="AD327" i="2"/>
  <c r="AQ327" i="2" s="1"/>
  <c r="AA327" i="2"/>
  <c r="Z327" i="2"/>
  <c r="AP327" i="2" s="1"/>
  <c r="D327" i="2"/>
  <c r="A327" i="2"/>
  <c r="BC326" i="2"/>
  <c r="AO326" i="2"/>
  <c r="BB326" i="2" s="1"/>
  <c r="AN326" i="2"/>
  <c r="BA326" i="2" s="1"/>
  <c r="AM326" i="2"/>
  <c r="AZ326" i="2" s="1"/>
  <c r="AL326" i="2"/>
  <c r="AY326" i="2" s="1"/>
  <c r="AK326" i="2"/>
  <c r="AX326" i="2" s="1"/>
  <c r="AJ326" i="2"/>
  <c r="AW326" i="2" s="1"/>
  <c r="AI326" i="2"/>
  <c r="AV326" i="2" s="1"/>
  <c r="AH326" i="2"/>
  <c r="AU326" i="2" s="1"/>
  <c r="AG326" i="2"/>
  <c r="AT326" i="2" s="1"/>
  <c r="AF326" i="2"/>
  <c r="AS326" i="2" s="1"/>
  <c r="AE326" i="2"/>
  <c r="AR326" i="2" s="1"/>
  <c r="AD326" i="2"/>
  <c r="AQ326" i="2" s="1"/>
  <c r="AA326" i="2"/>
  <c r="Z326" i="2"/>
  <c r="AP326" i="2" s="1"/>
  <c r="D326" i="2"/>
  <c r="A326" i="2"/>
  <c r="BC325" i="2"/>
  <c r="AS325" i="2"/>
  <c r="AO325" i="2"/>
  <c r="BB325" i="2" s="1"/>
  <c r="AN325" i="2"/>
  <c r="BA325" i="2" s="1"/>
  <c r="AM325" i="2"/>
  <c r="AZ325" i="2" s="1"/>
  <c r="AL325" i="2"/>
  <c r="AY325" i="2" s="1"/>
  <c r="AK325" i="2"/>
  <c r="AX325" i="2" s="1"/>
  <c r="AJ325" i="2"/>
  <c r="AW325" i="2" s="1"/>
  <c r="AI325" i="2"/>
  <c r="AV325" i="2" s="1"/>
  <c r="AH325" i="2"/>
  <c r="AU325" i="2" s="1"/>
  <c r="AG325" i="2"/>
  <c r="AT325" i="2" s="1"/>
  <c r="AF325" i="2"/>
  <c r="AE325" i="2"/>
  <c r="AR325" i="2" s="1"/>
  <c r="AD325" i="2"/>
  <c r="AQ325" i="2" s="1"/>
  <c r="AA325" i="2"/>
  <c r="Z325" i="2"/>
  <c r="AP325" i="2" s="1"/>
  <c r="D325" i="2"/>
  <c r="A325" i="2"/>
  <c r="BC324" i="2"/>
  <c r="AO324" i="2"/>
  <c r="BB324" i="2" s="1"/>
  <c r="AN324" i="2"/>
  <c r="BA324" i="2" s="1"/>
  <c r="AM324" i="2"/>
  <c r="AZ324" i="2" s="1"/>
  <c r="AL324" i="2"/>
  <c r="AY324" i="2" s="1"/>
  <c r="AK324" i="2"/>
  <c r="AX324" i="2" s="1"/>
  <c r="AJ324" i="2"/>
  <c r="AW324" i="2" s="1"/>
  <c r="AI324" i="2"/>
  <c r="AV324" i="2" s="1"/>
  <c r="AH324" i="2"/>
  <c r="AU324" i="2" s="1"/>
  <c r="AG324" i="2"/>
  <c r="AT324" i="2" s="1"/>
  <c r="AF324" i="2"/>
  <c r="AS324" i="2" s="1"/>
  <c r="AE324" i="2"/>
  <c r="AR324" i="2" s="1"/>
  <c r="AD324" i="2"/>
  <c r="AQ324" i="2" s="1"/>
  <c r="AA324" i="2"/>
  <c r="Z324" i="2"/>
  <c r="AP324" i="2" s="1"/>
  <c r="D324" i="2"/>
  <c r="A324" i="2"/>
  <c r="BC323" i="2"/>
  <c r="AO323" i="2"/>
  <c r="BB323" i="2" s="1"/>
  <c r="AN323" i="2"/>
  <c r="BA323" i="2" s="1"/>
  <c r="AM323" i="2"/>
  <c r="AZ323" i="2" s="1"/>
  <c r="AL323" i="2"/>
  <c r="AY323" i="2" s="1"/>
  <c r="AK323" i="2"/>
  <c r="AX323" i="2" s="1"/>
  <c r="AJ323" i="2"/>
  <c r="AW323" i="2" s="1"/>
  <c r="AI323" i="2"/>
  <c r="AV323" i="2" s="1"/>
  <c r="AH323" i="2"/>
  <c r="AU323" i="2" s="1"/>
  <c r="AG323" i="2"/>
  <c r="AT323" i="2" s="1"/>
  <c r="AF323" i="2"/>
  <c r="AS323" i="2" s="1"/>
  <c r="AE323" i="2"/>
  <c r="AR323" i="2" s="1"/>
  <c r="AD323" i="2"/>
  <c r="AQ323" i="2" s="1"/>
  <c r="AA323" i="2"/>
  <c r="Z323" i="2"/>
  <c r="AP323" i="2" s="1"/>
  <c r="D323" i="2"/>
  <c r="A323" i="2"/>
  <c r="BC322" i="2"/>
  <c r="AX322" i="2"/>
  <c r="AO322" i="2"/>
  <c r="BB322" i="2" s="1"/>
  <c r="AN322" i="2"/>
  <c r="BA322" i="2" s="1"/>
  <c r="AM322" i="2"/>
  <c r="AZ322" i="2" s="1"/>
  <c r="AL322" i="2"/>
  <c r="AY322" i="2" s="1"/>
  <c r="AK322" i="2"/>
  <c r="AJ322" i="2"/>
  <c r="AW322" i="2" s="1"/>
  <c r="AI322" i="2"/>
  <c r="AV322" i="2" s="1"/>
  <c r="AH322" i="2"/>
  <c r="AU322" i="2" s="1"/>
  <c r="AG322" i="2"/>
  <c r="AT322" i="2" s="1"/>
  <c r="AF322" i="2"/>
  <c r="AS322" i="2" s="1"/>
  <c r="AE322" i="2"/>
  <c r="AR322" i="2" s="1"/>
  <c r="AD322" i="2"/>
  <c r="AQ322" i="2" s="1"/>
  <c r="AA322" i="2"/>
  <c r="Z322" i="2"/>
  <c r="AP322" i="2" s="1"/>
  <c r="D322" i="2"/>
  <c r="A322" i="2"/>
  <c r="BC321" i="2"/>
  <c r="AO321" i="2"/>
  <c r="BB321" i="2" s="1"/>
  <c r="AN321" i="2"/>
  <c r="BA321" i="2" s="1"/>
  <c r="AM321" i="2"/>
  <c r="AZ321" i="2" s="1"/>
  <c r="AL321" i="2"/>
  <c r="AY321" i="2" s="1"/>
  <c r="AK321" i="2"/>
  <c r="AX321" i="2" s="1"/>
  <c r="AJ321" i="2"/>
  <c r="AW321" i="2" s="1"/>
  <c r="AI321" i="2"/>
  <c r="AV321" i="2" s="1"/>
  <c r="AH321" i="2"/>
  <c r="AU321" i="2" s="1"/>
  <c r="AG321" i="2"/>
  <c r="AT321" i="2" s="1"/>
  <c r="AF321" i="2"/>
  <c r="AS321" i="2" s="1"/>
  <c r="AE321" i="2"/>
  <c r="AR321" i="2" s="1"/>
  <c r="AD321" i="2"/>
  <c r="AQ321" i="2" s="1"/>
  <c r="AA321" i="2"/>
  <c r="Z321" i="2"/>
  <c r="AP321" i="2" s="1"/>
  <c r="D321" i="2"/>
  <c r="A321" i="2"/>
  <c r="BC320" i="2"/>
  <c r="AO320" i="2"/>
  <c r="BB320" i="2" s="1"/>
  <c r="AN320" i="2"/>
  <c r="BA320" i="2" s="1"/>
  <c r="AM320" i="2"/>
  <c r="AZ320" i="2" s="1"/>
  <c r="AL320" i="2"/>
  <c r="AY320" i="2" s="1"/>
  <c r="AK320" i="2"/>
  <c r="AX320" i="2" s="1"/>
  <c r="AJ320" i="2"/>
  <c r="AW320" i="2" s="1"/>
  <c r="AI320" i="2"/>
  <c r="AV320" i="2" s="1"/>
  <c r="AH320" i="2"/>
  <c r="AU320" i="2" s="1"/>
  <c r="AG320" i="2"/>
  <c r="AT320" i="2" s="1"/>
  <c r="AF320" i="2"/>
  <c r="AS320" i="2" s="1"/>
  <c r="AE320" i="2"/>
  <c r="AR320" i="2" s="1"/>
  <c r="AD320" i="2"/>
  <c r="AQ320" i="2" s="1"/>
  <c r="AA320" i="2"/>
  <c r="Z320" i="2"/>
  <c r="AP320" i="2" s="1"/>
  <c r="D320" i="2"/>
  <c r="A320" i="2"/>
  <c r="BC319" i="2"/>
  <c r="AO319" i="2"/>
  <c r="BB319" i="2" s="1"/>
  <c r="AN319" i="2"/>
  <c r="BA319" i="2" s="1"/>
  <c r="AM319" i="2"/>
  <c r="AZ319" i="2" s="1"/>
  <c r="AL319" i="2"/>
  <c r="AY319" i="2" s="1"/>
  <c r="AK319" i="2"/>
  <c r="AX319" i="2" s="1"/>
  <c r="AJ319" i="2"/>
  <c r="AW319" i="2" s="1"/>
  <c r="AI319" i="2"/>
  <c r="AV319" i="2" s="1"/>
  <c r="AH319" i="2"/>
  <c r="AU319" i="2" s="1"/>
  <c r="AG319" i="2"/>
  <c r="AT319" i="2" s="1"/>
  <c r="AF319" i="2"/>
  <c r="AS319" i="2" s="1"/>
  <c r="AE319" i="2"/>
  <c r="AR319" i="2" s="1"/>
  <c r="AD319" i="2"/>
  <c r="AQ319" i="2" s="1"/>
  <c r="AA319" i="2"/>
  <c r="Z319" i="2"/>
  <c r="AP319" i="2" s="1"/>
  <c r="D319" i="2"/>
  <c r="A319" i="2"/>
  <c r="BC318" i="2"/>
  <c r="AO318" i="2"/>
  <c r="BB318" i="2" s="1"/>
  <c r="AN318" i="2"/>
  <c r="BA318" i="2" s="1"/>
  <c r="AM318" i="2"/>
  <c r="AZ318" i="2" s="1"/>
  <c r="AL318" i="2"/>
  <c r="AY318" i="2" s="1"/>
  <c r="AK318" i="2"/>
  <c r="AX318" i="2" s="1"/>
  <c r="AJ318" i="2"/>
  <c r="AW318" i="2" s="1"/>
  <c r="AI318" i="2"/>
  <c r="AV318" i="2" s="1"/>
  <c r="AH318" i="2"/>
  <c r="AU318" i="2" s="1"/>
  <c r="AG318" i="2"/>
  <c r="AT318" i="2" s="1"/>
  <c r="AF318" i="2"/>
  <c r="AS318" i="2" s="1"/>
  <c r="AE318" i="2"/>
  <c r="AR318" i="2" s="1"/>
  <c r="AD318" i="2"/>
  <c r="AQ318" i="2" s="1"/>
  <c r="AA318" i="2"/>
  <c r="Z318" i="2"/>
  <c r="AP318" i="2" s="1"/>
  <c r="D318" i="2"/>
  <c r="A318" i="2"/>
  <c r="BC317" i="2"/>
  <c r="AO317" i="2"/>
  <c r="BB317" i="2" s="1"/>
  <c r="AN317" i="2"/>
  <c r="BA317" i="2" s="1"/>
  <c r="AM317" i="2"/>
  <c r="AZ317" i="2" s="1"/>
  <c r="AL317" i="2"/>
  <c r="AY317" i="2" s="1"/>
  <c r="AK317" i="2"/>
  <c r="AX317" i="2" s="1"/>
  <c r="AJ317" i="2"/>
  <c r="AW317" i="2" s="1"/>
  <c r="AI317" i="2"/>
  <c r="AV317" i="2" s="1"/>
  <c r="AH317" i="2"/>
  <c r="AU317" i="2" s="1"/>
  <c r="AG317" i="2"/>
  <c r="AT317" i="2" s="1"/>
  <c r="AF317" i="2"/>
  <c r="AS317" i="2" s="1"/>
  <c r="AE317" i="2"/>
  <c r="AR317" i="2" s="1"/>
  <c r="AD317" i="2"/>
  <c r="AQ317" i="2" s="1"/>
  <c r="AA317" i="2"/>
  <c r="Z317" i="2"/>
  <c r="AP317" i="2" s="1"/>
  <c r="D317" i="2"/>
  <c r="A317" i="2"/>
  <c r="BC316" i="2"/>
  <c r="AX316" i="2"/>
  <c r="AO316" i="2"/>
  <c r="BB316" i="2" s="1"/>
  <c r="AN316" i="2"/>
  <c r="BA316" i="2" s="1"/>
  <c r="AM316" i="2"/>
  <c r="AZ316" i="2" s="1"/>
  <c r="AL316" i="2"/>
  <c r="AY316" i="2" s="1"/>
  <c r="AK316" i="2"/>
  <c r="AJ316" i="2"/>
  <c r="AW316" i="2" s="1"/>
  <c r="AI316" i="2"/>
  <c r="AV316" i="2" s="1"/>
  <c r="AH316" i="2"/>
  <c r="AU316" i="2" s="1"/>
  <c r="AG316" i="2"/>
  <c r="AT316" i="2" s="1"/>
  <c r="AF316" i="2"/>
  <c r="AS316" i="2" s="1"/>
  <c r="AE316" i="2"/>
  <c r="AR316" i="2" s="1"/>
  <c r="AD316" i="2"/>
  <c r="AQ316" i="2" s="1"/>
  <c r="AA316" i="2"/>
  <c r="Z316" i="2"/>
  <c r="AP316" i="2" s="1"/>
  <c r="D316" i="2"/>
  <c r="A316" i="2"/>
  <c r="BC315" i="2"/>
  <c r="AO315" i="2"/>
  <c r="BB315" i="2" s="1"/>
  <c r="AN315" i="2"/>
  <c r="BA315" i="2" s="1"/>
  <c r="AM315" i="2"/>
  <c r="AZ315" i="2" s="1"/>
  <c r="AL315" i="2"/>
  <c r="AY315" i="2" s="1"/>
  <c r="AK315" i="2"/>
  <c r="AX315" i="2" s="1"/>
  <c r="AJ315" i="2"/>
  <c r="AW315" i="2" s="1"/>
  <c r="AI315" i="2"/>
  <c r="AV315" i="2" s="1"/>
  <c r="AH315" i="2"/>
  <c r="AU315" i="2" s="1"/>
  <c r="AG315" i="2"/>
  <c r="AT315" i="2" s="1"/>
  <c r="AF315" i="2"/>
  <c r="AS315" i="2" s="1"/>
  <c r="AE315" i="2"/>
  <c r="AR315" i="2" s="1"/>
  <c r="AD315" i="2"/>
  <c r="AQ315" i="2" s="1"/>
  <c r="AA315" i="2"/>
  <c r="Z315" i="2"/>
  <c r="AP315" i="2" s="1"/>
  <c r="D315" i="2"/>
  <c r="A315" i="2"/>
  <c r="BC314" i="2"/>
  <c r="AO314" i="2"/>
  <c r="BB314" i="2" s="1"/>
  <c r="AN314" i="2"/>
  <c r="BA314" i="2" s="1"/>
  <c r="AM314" i="2"/>
  <c r="AZ314" i="2" s="1"/>
  <c r="AL314" i="2"/>
  <c r="AY314" i="2" s="1"/>
  <c r="AK314" i="2"/>
  <c r="AX314" i="2" s="1"/>
  <c r="AJ314" i="2"/>
  <c r="AW314" i="2" s="1"/>
  <c r="AI314" i="2"/>
  <c r="AV314" i="2" s="1"/>
  <c r="AH314" i="2"/>
  <c r="AU314" i="2" s="1"/>
  <c r="AG314" i="2"/>
  <c r="AT314" i="2" s="1"/>
  <c r="AF314" i="2"/>
  <c r="AS314" i="2" s="1"/>
  <c r="AE314" i="2"/>
  <c r="AR314" i="2" s="1"/>
  <c r="AD314" i="2"/>
  <c r="AQ314" i="2" s="1"/>
  <c r="AA314" i="2"/>
  <c r="Z314" i="2"/>
  <c r="AP314" i="2" s="1"/>
  <c r="D314" i="2"/>
  <c r="A314" i="2"/>
  <c r="BC313" i="2"/>
  <c r="AO313" i="2"/>
  <c r="BB313" i="2" s="1"/>
  <c r="AN313" i="2"/>
  <c r="BA313" i="2" s="1"/>
  <c r="AM313" i="2"/>
  <c r="AZ313" i="2" s="1"/>
  <c r="AL313" i="2"/>
  <c r="AY313" i="2" s="1"/>
  <c r="AK313" i="2"/>
  <c r="AX313" i="2" s="1"/>
  <c r="AJ313" i="2"/>
  <c r="AW313" i="2" s="1"/>
  <c r="AI313" i="2"/>
  <c r="AV313" i="2" s="1"/>
  <c r="AH313" i="2"/>
  <c r="AU313" i="2" s="1"/>
  <c r="AG313" i="2"/>
  <c r="AT313" i="2" s="1"/>
  <c r="AF313" i="2"/>
  <c r="AS313" i="2" s="1"/>
  <c r="AE313" i="2"/>
  <c r="AR313" i="2" s="1"/>
  <c r="AD313" i="2"/>
  <c r="AQ313" i="2" s="1"/>
  <c r="AA313" i="2"/>
  <c r="Z313" i="2"/>
  <c r="AP313" i="2" s="1"/>
  <c r="D313" i="2"/>
  <c r="A313" i="2"/>
  <c r="BC312" i="2"/>
  <c r="AO312" i="2"/>
  <c r="BB312" i="2" s="1"/>
  <c r="AN312" i="2"/>
  <c r="BA312" i="2" s="1"/>
  <c r="AM312" i="2"/>
  <c r="AZ312" i="2" s="1"/>
  <c r="AL312" i="2"/>
  <c r="AY312" i="2" s="1"/>
  <c r="AK312" i="2"/>
  <c r="AX312" i="2" s="1"/>
  <c r="AJ312" i="2"/>
  <c r="AW312" i="2" s="1"/>
  <c r="AI312" i="2"/>
  <c r="AV312" i="2" s="1"/>
  <c r="AH312" i="2"/>
  <c r="AU312" i="2" s="1"/>
  <c r="AG312" i="2"/>
  <c r="AT312" i="2" s="1"/>
  <c r="AF312" i="2"/>
  <c r="AS312" i="2" s="1"/>
  <c r="AE312" i="2"/>
  <c r="AR312" i="2" s="1"/>
  <c r="AD312" i="2"/>
  <c r="AQ312" i="2" s="1"/>
  <c r="AA312" i="2"/>
  <c r="Z312" i="2"/>
  <c r="AP312" i="2" s="1"/>
  <c r="D312" i="2"/>
  <c r="A312" i="2"/>
  <c r="BC311" i="2"/>
  <c r="AO311" i="2"/>
  <c r="BB311" i="2" s="1"/>
  <c r="AN311" i="2"/>
  <c r="BA311" i="2" s="1"/>
  <c r="AM311" i="2"/>
  <c r="AZ311" i="2" s="1"/>
  <c r="AL311" i="2"/>
  <c r="AY311" i="2" s="1"/>
  <c r="AK311" i="2"/>
  <c r="AX311" i="2" s="1"/>
  <c r="AJ311" i="2"/>
  <c r="AW311" i="2" s="1"/>
  <c r="AI311" i="2"/>
  <c r="AV311" i="2" s="1"/>
  <c r="AH311" i="2"/>
  <c r="AU311" i="2" s="1"/>
  <c r="AG311" i="2"/>
  <c r="AT311" i="2" s="1"/>
  <c r="AF311" i="2"/>
  <c r="AS311" i="2" s="1"/>
  <c r="AE311" i="2"/>
  <c r="AR311" i="2" s="1"/>
  <c r="AD311" i="2"/>
  <c r="AQ311" i="2" s="1"/>
  <c r="AA311" i="2"/>
  <c r="Z311" i="2"/>
  <c r="AP311" i="2" s="1"/>
  <c r="D311" i="2"/>
  <c r="A311" i="2"/>
  <c r="BC310" i="2"/>
  <c r="AX310" i="2"/>
  <c r="AO310" i="2"/>
  <c r="BB310" i="2" s="1"/>
  <c r="AN310" i="2"/>
  <c r="BA310" i="2" s="1"/>
  <c r="AM310" i="2"/>
  <c r="AZ310" i="2" s="1"/>
  <c r="AL310" i="2"/>
  <c r="AY310" i="2" s="1"/>
  <c r="AK310" i="2"/>
  <c r="AJ310" i="2"/>
  <c r="AW310" i="2" s="1"/>
  <c r="AI310" i="2"/>
  <c r="AV310" i="2" s="1"/>
  <c r="AH310" i="2"/>
  <c r="AU310" i="2" s="1"/>
  <c r="AG310" i="2"/>
  <c r="AT310" i="2" s="1"/>
  <c r="AF310" i="2"/>
  <c r="AS310" i="2" s="1"/>
  <c r="AE310" i="2"/>
  <c r="AR310" i="2" s="1"/>
  <c r="AD310" i="2"/>
  <c r="AQ310" i="2" s="1"/>
  <c r="AA310" i="2"/>
  <c r="Z310" i="2"/>
  <c r="AP310" i="2" s="1"/>
  <c r="D310" i="2"/>
  <c r="A310" i="2"/>
  <c r="BC309" i="2"/>
  <c r="AO309" i="2"/>
  <c r="BB309" i="2" s="1"/>
  <c r="AN309" i="2"/>
  <c r="BA309" i="2" s="1"/>
  <c r="AM309" i="2"/>
  <c r="AZ309" i="2" s="1"/>
  <c r="AL309" i="2"/>
  <c r="AY309" i="2" s="1"/>
  <c r="AK309" i="2"/>
  <c r="AX309" i="2" s="1"/>
  <c r="AJ309" i="2"/>
  <c r="AW309" i="2" s="1"/>
  <c r="AI309" i="2"/>
  <c r="AV309" i="2" s="1"/>
  <c r="AH309" i="2"/>
  <c r="AU309" i="2" s="1"/>
  <c r="AG309" i="2"/>
  <c r="AT309" i="2" s="1"/>
  <c r="AF309" i="2"/>
  <c r="AS309" i="2" s="1"/>
  <c r="AE309" i="2"/>
  <c r="AR309" i="2" s="1"/>
  <c r="AD309" i="2"/>
  <c r="AQ309" i="2" s="1"/>
  <c r="AA309" i="2"/>
  <c r="Z309" i="2"/>
  <c r="AP309" i="2" s="1"/>
  <c r="D309" i="2"/>
  <c r="A309" i="2"/>
  <c r="BC308" i="2"/>
  <c r="AO308" i="2"/>
  <c r="BB308" i="2" s="1"/>
  <c r="AN308" i="2"/>
  <c r="BA308" i="2" s="1"/>
  <c r="AM308" i="2"/>
  <c r="AZ308" i="2" s="1"/>
  <c r="AL308" i="2"/>
  <c r="AY308" i="2" s="1"/>
  <c r="AK308" i="2"/>
  <c r="AX308" i="2" s="1"/>
  <c r="AJ308" i="2"/>
  <c r="AW308" i="2" s="1"/>
  <c r="AI308" i="2"/>
  <c r="AV308" i="2" s="1"/>
  <c r="AH308" i="2"/>
  <c r="AU308" i="2" s="1"/>
  <c r="AG308" i="2"/>
  <c r="AT308" i="2" s="1"/>
  <c r="AF308" i="2"/>
  <c r="AS308" i="2" s="1"/>
  <c r="AE308" i="2"/>
  <c r="AR308" i="2" s="1"/>
  <c r="AD308" i="2"/>
  <c r="AQ308" i="2" s="1"/>
  <c r="AA308" i="2"/>
  <c r="Z308" i="2"/>
  <c r="AP308" i="2" s="1"/>
  <c r="D308" i="2"/>
  <c r="A308" i="2"/>
  <c r="BC307" i="2"/>
  <c r="AO307" i="2"/>
  <c r="BB307" i="2" s="1"/>
  <c r="AN307" i="2"/>
  <c r="BA307" i="2" s="1"/>
  <c r="AM307" i="2"/>
  <c r="AZ307" i="2" s="1"/>
  <c r="AL307" i="2"/>
  <c r="AY307" i="2" s="1"/>
  <c r="AK307" i="2"/>
  <c r="AX307" i="2" s="1"/>
  <c r="AJ307" i="2"/>
  <c r="AW307" i="2" s="1"/>
  <c r="AI307" i="2"/>
  <c r="AV307" i="2" s="1"/>
  <c r="AH307" i="2"/>
  <c r="AU307" i="2" s="1"/>
  <c r="AG307" i="2"/>
  <c r="AT307" i="2" s="1"/>
  <c r="AF307" i="2"/>
  <c r="AS307" i="2" s="1"/>
  <c r="AE307" i="2"/>
  <c r="AR307" i="2" s="1"/>
  <c r="AD307" i="2"/>
  <c r="AQ307" i="2" s="1"/>
  <c r="AA307" i="2"/>
  <c r="Z307" i="2"/>
  <c r="AP307" i="2" s="1"/>
  <c r="D307" i="2"/>
  <c r="A307" i="2"/>
  <c r="BC306" i="2"/>
  <c r="AX306" i="2"/>
  <c r="AO306" i="2"/>
  <c r="BB306" i="2" s="1"/>
  <c r="AN306" i="2"/>
  <c r="BA306" i="2" s="1"/>
  <c r="AM306" i="2"/>
  <c r="AZ306" i="2" s="1"/>
  <c r="AL306" i="2"/>
  <c r="AY306" i="2" s="1"/>
  <c r="AK306" i="2"/>
  <c r="AJ306" i="2"/>
  <c r="AW306" i="2" s="1"/>
  <c r="AI306" i="2"/>
  <c r="AV306" i="2" s="1"/>
  <c r="AH306" i="2"/>
  <c r="AU306" i="2" s="1"/>
  <c r="AG306" i="2"/>
  <c r="AT306" i="2" s="1"/>
  <c r="AF306" i="2"/>
  <c r="AS306" i="2" s="1"/>
  <c r="AE306" i="2"/>
  <c r="AR306" i="2" s="1"/>
  <c r="AD306" i="2"/>
  <c r="AQ306" i="2" s="1"/>
  <c r="AA306" i="2"/>
  <c r="Z306" i="2"/>
  <c r="AP306" i="2" s="1"/>
  <c r="D306" i="2"/>
  <c r="A306" i="2"/>
  <c r="BC305" i="2"/>
  <c r="AR305" i="2"/>
  <c r="AO305" i="2"/>
  <c r="BB305" i="2" s="1"/>
  <c r="AN305" i="2"/>
  <c r="BA305" i="2" s="1"/>
  <c r="AM305" i="2"/>
  <c r="AZ305" i="2" s="1"/>
  <c r="AL305" i="2"/>
  <c r="AY305" i="2" s="1"/>
  <c r="AK305" i="2"/>
  <c r="AX305" i="2" s="1"/>
  <c r="AJ305" i="2"/>
  <c r="AW305" i="2" s="1"/>
  <c r="AI305" i="2"/>
  <c r="AV305" i="2" s="1"/>
  <c r="AH305" i="2"/>
  <c r="AU305" i="2" s="1"/>
  <c r="AG305" i="2"/>
  <c r="AT305" i="2" s="1"/>
  <c r="AF305" i="2"/>
  <c r="AS305" i="2" s="1"/>
  <c r="AE305" i="2"/>
  <c r="AD305" i="2"/>
  <c r="AQ305" i="2" s="1"/>
  <c r="AA305" i="2"/>
  <c r="Z305" i="2"/>
  <c r="AP305" i="2" s="1"/>
  <c r="D305" i="2"/>
  <c r="A305" i="2"/>
  <c r="BC304" i="2"/>
  <c r="AO304" i="2"/>
  <c r="BB304" i="2" s="1"/>
  <c r="AN304" i="2"/>
  <c r="BA304" i="2" s="1"/>
  <c r="AM304" i="2"/>
  <c r="AZ304" i="2" s="1"/>
  <c r="AL304" i="2"/>
  <c r="AY304" i="2" s="1"/>
  <c r="AK304" i="2"/>
  <c r="AX304" i="2" s="1"/>
  <c r="AJ304" i="2"/>
  <c r="AW304" i="2" s="1"/>
  <c r="AI304" i="2"/>
  <c r="AV304" i="2" s="1"/>
  <c r="AH304" i="2"/>
  <c r="AU304" i="2" s="1"/>
  <c r="AG304" i="2"/>
  <c r="AT304" i="2" s="1"/>
  <c r="AF304" i="2"/>
  <c r="AS304" i="2" s="1"/>
  <c r="AE304" i="2"/>
  <c r="AR304" i="2" s="1"/>
  <c r="AD304" i="2"/>
  <c r="AQ304" i="2" s="1"/>
  <c r="AA304" i="2"/>
  <c r="Z304" i="2"/>
  <c r="AP304" i="2" s="1"/>
  <c r="D304" i="2"/>
  <c r="A304" i="2"/>
  <c r="BC303" i="2"/>
  <c r="AO303" i="2"/>
  <c r="BB303" i="2" s="1"/>
  <c r="AN303" i="2"/>
  <c r="BA303" i="2" s="1"/>
  <c r="AM303" i="2"/>
  <c r="AZ303" i="2" s="1"/>
  <c r="AL303" i="2"/>
  <c r="AY303" i="2" s="1"/>
  <c r="AK303" i="2"/>
  <c r="AX303" i="2" s="1"/>
  <c r="AJ303" i="2"/>
  <c r="AW303" i="2" s="1"/>
  <c r="AI303" i="2"/>
  <c r="AV303" i="2" s="1"/>
  <c r="AH303" i="2"/>
  <c r="AU303" i="2" s="1"/>
  <c r="AG303" i="2"/>
  <c r="AT303" i="2" s="1"/>
  <c r="AF303" i="2"/>
  <c r="AS303" i="2" s="1"/>
  <c r="AE303" i="2"/>
  <c r="AR303" i="2" s="1"/>
  <c r="AD303" i="2"/>
  <c r="AQ303" i="2" s="1"/>
  <c r="AA303" i="2"/>
  <c r="Z303" i="2"/>
  <c r="AP303" i="2" s="1"/>
  <c r="D303" i="2"/>
  <c r="A303" i="2"/>
  <c r="BC302" i="2"/>
  <c r="AO302" i="2"/>
  <c r="BB302" i="2" s="1"/>
  <c r="AN302" i="2"/>
  <c r="BA302" i="2" s="1"/>
  <c r="AM302" i="2"/>
  <c r="AZ302" i="2" s="1"/>
  <c r="AL302" i="2"/>
  <c r="AY302" i="2" s="1"/>
  <c r="AK302" i="2"/>
  <c r="AX302" i="2" s="1"/>
  <c r="AJ302" i="2"/>
  <c r="AW302" i="2" s="1"/>
  <c r="AI302" i="2"/>
  <c r="AV302" i="2" s="1"/>
  <c r="AH302" i="2"/>
  <c r="AU302" i="2" s="1"/>
  <c r="AG302" i="2"/>
  <c r="AT302" i="2" s="1"/>
  <c r="AF302" i="2"/>
  <c r="AS302" i="2" s="1"/>
  <c r="AE302" i="2"/>
  <c r="AR302" i="2" s="1"/>
  <c r="AD302" i="2"/>
  <c r="AQ302" i="2" s="1"/>
  <c r="AA302" i="2"/>
  <c r="Z302" i="2"/>
  <c r="AP302" i="2" s="1"/>
  <c r="D302" i="2"/>
  <c r="A302" i="2"/>
  <c r="BC301" i="2"/>
  <c r="AO301" i="2"/>
  <c r="BB301" i="2" s="1"/>
  <c r="AN301" i="2"/>
  <c r="BA301" i="2" s="1"/>
  <c r="AM301" i="2"/>
  <c r="AZ301" i="2" s="1"/>
  <c r="AL301" i="2"/>
  <c r="AY301" i="2" s="1"/>
  <c r="AK301" i="2"/>
  <c r="AX301" i="2" s="1"/>
  <c r="AJ301" i="2"/>
  <c r="AW301" i="2" s="1"/>
  <c r="AI301" i="2"/>
  <c r="AV301" i="2" s="1"/>
  <c r="AH301" i="2"/>
  <c r="AU301" i="2" s="1"/>
  <c r="AG301" i="2"/>
  <c r="AT301" i="2" s="1"/>
  <c r="AF301" i="2"/>
  <c r="AS301" i="2" s="1"/>
  <c r="AE301" i="2"/>
  <c r="AR301" i="2" s="1"/>
  <c r="AD301" i="2"/>
  <c r="AQ301" i="2" s="1"/>
  <c r="AA301" i="2"/>
  <c r="Z301" i="2"/>
  <c r="AP301" i="2" s="1"/>
  <c r="D301" i="2"/>
  <c r="A301" i="2"/>
  <c r="BC300" i="2"/>
  <c r="AO300" i="2"/>
  <c r="BB300" i="2" s="1"/>
  <c r="AN300" i="2"/>
  <c r="BA300" i="2" s="1"/>
  <c r="AM300" i="2"/>
  <c r="AZ300" i="2" s="1"/>
  <c r="AL300" i="2"/>
  <c r="AY300" i="2" s="1"/>
  <c r="AK300" i="2"/>
  <c r="AX300" i="2" s="1"/>
  <c r="AJ300" i="2"/>
  <c r="AW300" i="2" s="1"/>
  <c r="AI300" i="2"/>
  <c r="AV300" i="2" s="1"/>
  <c r="AH300" i="2"/>
  <c r="AU300" i="2" s="1"/>
  <c r="AG300" i="2"/>
  <c r="AT300" i="2" s="1"/>
  <c r="AF300" i="2"/>
  <c r="AS300" i="2" s="1"/>
  <c r="AE300" i="2"/>
  <c r="AR300" i="2" s="1"/>
  <c r="AD300" i="2"/>
  <c r="AQ300" i="2" s="1"/>
  <c r="AA300" i="2"/>
  <c r="Z300" i="2"/>
  <c r="AP300" i="2" s="1"/>
  <c r="D300" i="2"/>
  <c r="A300" i="2"/>
  <c r="BC299" i="2"/>
  <c r="AO299" i="2"/>
  <c r="BB299" i="2" s="1"/>
  <c r="AN299" i="2"/>
  <c r="BA299" i="2" s="1"/>
  <c r="AM299" i="2"/>
  <c r="AZ299" i="2" s="1"/>
  <c r="AL299" i="2"/>
  <c r="AY299" i="2" s="1"/>
  <c r="AK299" i="2"/>
  <c r="AX299" i="2" s="1"/>
  <c r="AJ299" i="2"/>
  <c r="AW299" i="2" s="1"/>
  <c r="AI299" i="2"/>
  <c r="AV299" i="2" s="1"/>
  <c r="AH299" i="2"/>
  <c r="AU299" i="2" s="1"/>
  <c r="AG299" i="2"/>
  <c r="AT299" i="2" s="1"/>
  <c r="AF299" i="2"/>
  <c r="AS299" i="2" s="1"/>
  <c r="AE299" i="2"/>
  <c r="AR299" i="2" s="1"/>
  <c r="AD299" i="2"/>
  <c r="AQ299" i="2" s="1"/>
  <c r="AA299" i="2"/>
  <c r="Z299" i="2"/>
  <c r="AP299" i="2" s="1"/>
  <c r="D299" i="2"/>
  <c r="A299" i="2"/>
  <c r="BC298" i="2"/>
  <c r="AO298" i="2"/>
  <c r="BB298" i="2" s="1"/>
  <c r="AN298" i="2"/>
  <c r="BA298" i="2" s="1"/>
  <c r="AM298" i="2"/>
  <c r="AZ298" i="2" s="1"/>
  <c r="AL298" i="2"/>
  <c r="AY298" i="2" s="1"/>
  <c r="AK298" i="2"/>
  <c r="AX298" i="2" s="1"/>
  <c r="AJ298" i="2"/>
  <c r="AW298" i="2" s="1"/>
  <c r="AI298" i="2"/>
  <c r="AV298" i="2" s="1"/>
  <c r="AH298" i="2"/>
  <c r="AU298" i="2" s="1"/>
  <c r="AG298" i="2"/>
  <c r="AT298" i="2" s="1"/>
  <c r="AF298" i="2"/>
  <c r="AS298" i="2" s="1"/>
  <c r="AE298" i="2"/>
  <c r="AR298" i="2" s="1"/>
  <c r="AD298" i="2"/>
  <c r="AQ298" i="2" s="1"/>
  <c r="AA298" i="2"/>
  <c r="Z298" i="2"/>
  <c r="AP298" i="2" s="1"/>
  <c r="D298" i="2"/>
  <c r="A298" i="2"/>
  <c r="BC297" i="2"/>
  <c r="AO297" i="2"/>
  <c r="BB297" i="2" s="1"/>
  <c r="AN297" i="2"/>
  <c r="BA297" i="2" s="1"/>
  <c r="AM297" i="2"/>
  <c r="AZ297" i="2" s="1"/>
  <c r="AL297" i="2"/>
  <c r="AY297" i="2" s="1"/>
  <c r="AK297" i="2"/>
  <c r="AX297" i="2" s="1"/>
  <c r="AJ297" i="2"/>
  <c r="AW297" i="2" s="1"/>
  <c r="AI297" i="2"/>
  <c r="AV297" i="2" s="1"/>
  <c r="AH297" i="2"/>
  <c r="AU297" i="2" s="1"/>
  <c r="AG297" i="2"/>
  <c r="AT297" i="2" s="1"/>
  <c r="AF297" i="2"/>
  <c r="AS297" i="2" s="1"/>
  <c r="AE297" i="2"/>
  <c r="AR297" i="2" s="1"/>
  <c r="AD297" i="2"/>
  <c r="AQ297" i="2" s="1"/>
  <c r="AA297" i="2"/>
  <c r="Z297" i="2"/>
  <c r="AP297" i="2" s="1"/>
  <c r="D297" i="2"/>
  <c r="A297" i="2"/>
  <c r="BC296" i="2"/>
  <c r="AO296" i="2"/>
  <c r="BB296" i="2" s="1"/>
  <c r="AN296" i="2"/>
  <c r="BA296" i="2" s="1"/>
  <c r="AM296" i="2"/>
  <c r="AZ296" i="2" s="1"/>
  <c r="AL296" i="2"/>
  <c r="AY296" i="2" s="1"/>
  <c r="AK296" i="2"/>
  <c r="AX296" i="2" s="1"/>
  <c r="AJ296" i="2"/>
  <c r="AW296" i="2" s="1"/>
  <c r="AI296" i="2"/>
  <c r="AV296" i="2" s="1"/>
  <c r="AH296" i="2"/>
  <c r="AU296" i="2" s="1"/>
  <c r="AG296" i="2"/>
  <c r="AT296" i="2" s="1"/>
  <c r="AF296" i="2"/>
  <c r="AS296" i="2" s="1"/>
  <c r="AE296" i="2"/>
  <c r="AR296" i="2" s="1"/>
  <c r="AD296" i="2"/>
  <c r="AQ296" i="2" s="1"/>
  <c r="AA296" i="2"/>
  <c r="Z296" i="2"/>
  <c r="AP296" i="2" s="1"/>
  <c r="D296" i="2"/>
  <c r="A296" i="2"/>
  <c r="BC295" i="2"/>
  <c r="AO295" i="2"/>
  <c r="BB295" i="2" s="1"/>
  <c r="AN295" i="2"/>
  <c r="BA295" i="2" s="1"/>
  <c r="AM295" i="2"/>
  <c r="AZ295" i="2" s="1"/>
  <c r="AL295" i="2"/>
  <c r="AY295" i="2" s="1"/>
  <c r="AK295" i="2"/>
  <c r="AX295" i="2" s="1"/>
  <c r="AJ295" i="2"/>
  <c r="AW295" i="2" s="1"/>
  <c r="AI295" i="2"/>
  <c r="AV295" i="2" s="1"/>
  <c r="AH295" i="2"/>
  <c r="AU295" i="2" s="1"/>
  <c r="AG295" i="2"/>
  <c r="AT295" i="2" s="1"/>
  <c r="AF295" i="2"/>
  <c r="AS295" i="2" s="1"/>
  <c r="AE295" i="2"/>
  <c r="AR295" i="2" s="1"/>
  <c r="AD295" i="2"/>
  <c r="AQ295" i="2" s="1"/>
  <c r="AA295" i="2"/>
  <c r="Z295" i="2"/>
  <c r="AP295" i="2" s="1"/>
  <c r="D295" i="2"/>
  <c r="A295" i="2"/>
  <c r="BC294" i="2"/>
  <c r="AO294" i="2"/>
  <c r="BB294" i="2" s="1"/>
  <c r="AN294" i="2"/>
  <c r="BA294" i="2" s="1"/>
  <c r="AM294" i="2"/>
  <c r="AZ294" i="2" s="1"/>
  <c r="AL294" i="2"/>
  <c r="AY294" i="2" s="1"/>
  <c r="AK294" i="2"/>
  <c r="AX294" i="2" s="1"/>
  <c r="AJ294" i="2"/>
  <c r="AW294" i="2" s="1"/>
  <c r="AI294" i="2"/>
  <c r="AV294" i="2" s="1"/>
  <c r="AH294" i="2"/>
  <c r="AU294" i="2" s="1"/>
  <c r="AG294" i="2"/>
  <c r="AT294" i="2" s="1"/>
  <c r="AF294" i="2"/>
  <c r="AS294" i="2" s="1"/>
  <c r="AE294" i="2"/>
  <c r="AR294" i="2" s="1"/>
  <c r="AD294" i="2"/>
  <c r="AQ294" i="2" s="1"/>
  <c r="AA294" i="2"/>
  <c r="Z294" i="2"/>
  <c r="AP294" i="2" s="1"/>
  <c r="D294" i="2"/>
  <c r="A294" i="2"/>
  <c r="BC293" i="2"/>
  <c r="AR293" i="2"/>
  <c r="AO293" i="2"/>
  <c r="BB293" i="2" s="1"/>
  <c r="AN293" i="2"/>
  <c r="BA293" i="2" s="1"/>
  <c r="AM293" i="2"/>
  <c r="AZ293" i="2" s="1"/>
  <c r="AL293" i="2"/>
  <c r="AY293" i="2" s="1"/>
  <c r="AK293" i="2"/>
  <c r="AX293" i="2" s="1"/>
  <c r="AJ293" i="2"/>
  <c r="AW293" i="2" s="1"/>
  <c r="AI293" i="2"/>
  <c r="AV293" i="2" s="1"/>
  <c r="AH293" i="2"/>
  <c r="AU293" i="2" s="1"/>
  <c r="AG293" i="2"/>
  <c r="AT293" i="2" s="1"/>
  <c r="AF293" i="2"/>
  <c r="AS293" i="2" s="1"/>
  <c r="AE293" i="2"/>
  <c r="AD293" i="2"/>
  <c r="AQ293" i="2" s="1"/>
  <c r="AA293" i="2"/>
  <c r="Z293" i="2"/>
  <c r="AP293" i="2" s="1"/>
  <c r="D293" i="2"/>
  <c r="A293" i="2"/>
  <c r="BC292" i="2"/>
  <c r="AO292" i="2"/>
  <c r="BB292" i="2" s="1"/>
  <c r="AN292" i="2"/>
  <c r="BA292" i="2" s="1"/>
  <c r="AM292" i="2"/>
  <c r="AZ292" i="2" s="1"/>
  <c r="AL292" i="2"/>
  <c r="AY292" i="2" s="1"/>
  <c r="AK292" i="2"/>
  <c r="AX292" i="2" s="1"/>
  <c r="AJ292" i="2"/>
  <c r="AW292" i="2" s="1"/>
  <c r="AI292" i="2"/>
  <c r="AV292" i="2" s="1"/>
  <c r="AH292" i="2"/>
  <c r="AU292" i="2" s="1"/>
  <c r="AG292" i="2"/>
  <c r="AT292" i="2" s="1"/>
  <c r="AF292" i="2"/>
  <c r="AS292" i="2" s="1"/>
  <c r="AE292" i="2"/>
  <c r="AR292" i="2" s="1"/>
  <c r="AD292" i="2"/>
  <c r="AQ292" i="2" s="1"/>
  <c r="AA292" i="2"/>
  <c r="Z292" i="2"/>
  <c r="AP292" i="2" s="1"/>
  <c r="D292" i="2"/>
  <c r="A292" i="2"/>
  <c r="BC291" i="2"/>
  <c r="AO291" i="2"/>
  <c r="BB291" i="2" s="1"/>
  <c r="AN291" i="2"/>
  <c r="BA291" i="2" s="1"/>
  <c r="AM291" i="2"/>
  <c r="AZ291" i="2" s="1"/>
  <c r="AL291" i="2"/>
  <c r="AY291" i="2" s="1"/>
  <c r="AK291" i="2"/>
  <c r="AX291" i="2" s="1"/>
  <c r="AJ291" i="2"/>
  <c r="AW291" i="2" s="1"/>
  <c r="AI291" i="2"/>
  <c r="AV291" i="2" s="1"/>
  <c r="AH291" i="2"/>
  <c r="AU291" i="2" s="1"/>
  <c r="AG291" i="2"/>
  <c r="AT291" i="2" s="1"/>
  <c r="AF291" i="2"/>
  <c r="AS291" i="2" s="1"/>
  <c r="AE291" i="2"/>
  <c r="AR291" i="2" s="1"/>
  <c r="AD291" i="2"/>
  <c r="AQ291" i="2" s="1"/>
  <c r="AA291" i="2"/>
  <c r="Z291" i="2"/>
  <c r="AP291" i="2" s="1"/>
  <c r="D291" i="2"/>
  <c r="A291" i="2"/>
  <c r="BC290" i="2"/>
  <c r="AX290" i="2"/>
  <c r="AO290" i="2"/>
  <c r="BB290" i="2" s="1"/>
  <c r="AN290" i="2"/>
  <c r="BA290" i="2" s="1"/>
  <c r="AM290" i="2"/>
  <c r="AZ290" i="2" s="1"/>
  <c r="AL290" i="2"/>
  <c r="AY290" i="2" s="1"/>
  <c r="AK290" i="2"/>
  <c r="AJ290" i="2"/>
  <c r="AW290" i="2" s="1"/>
  <c r="AI290" i="2"/>
  <c r="AV290" i="2" s="1"/>
  <c r="AH290" i="2"/>
  <c r="AU290" i="2" s="1"/>
  <c r="AG290" i="2"/>
  <c r="AT290" i="2" s="1"/>
  <c r="AF290" i="2"/>
  <c r="AS290" i="2" s="1"/>
  <c r="AE290" i="2"/>
  <c r="AR290" i="2" s="1"/>
  <c r="AD290" i="2"/>
  <c r="AQ290" i="2" s="1"/>
  <c r="AA290" i="2"/>
  <c r="Z290" i="2"/>
  <c r="AP290" i="2" s="1"/>
  <c r="D290" i="2"/>
  <c r="A290" i="2"/>
  <c r="BC289" i="2"/>
  <c r="AO289" i="2"/>
  <c r="BB289" i="2" s="1"/>
  <c r="AN289" i="2"/>
  <c r="BA289" i="2" s="1"/>
  <c r="AM289" i="2"/>
  <c r="AZ289" i="2" s="1"/>
  <c r="AL289" i="2"/>
  <c r="AY289" i="2" s="1"/>
  <c r="AK289" i="2"/>
  <c r="AX289" i="2" s="1"/>
  <c r="AJ289" i="2"/>
  <c r="AW289" i="2" s="1"/>
  <c r="AI289" i="2"/>
  <c r="AV289" i="2" s="1"/>
  <c r="AH289" i="2"/>
  <c r="AU289" i="2" s="1"/>
  <c r="AG289" i="2"/>
  <c r="AT289" i="2" s="1"/>
  <c r="AF289" i="2"/>
  <c r="AS289" i="2" s="1"/>
  <c r="AE289" i="2"/>
  <c r="AR289" i="2" s="1"/>
  <c r="AD289" i="2"/>
  <c r="AQ289" i="2" s="1"/>
  <c r="AA289" i="2"/>
  <c r="Z289" i="2"/>
  <c r="AP289" i="2" s="1"/>
  <c r="D289" i="2"/>
  <c r="A289" i="2"/>
  <c r="BC288" i="2"/>
  <c r="AO288" i="2"/>
  <c r="BB288" i="2" s="1"/>
  <c r="AN288" i="2"/>
  <c r="BA288" i="2" s="1"/>
  <c r="AM288" i="2"/>
  <c r="AZ288" i="2" s="1"/>
  <c r="AL288" i="2"/>
  <c r="AY288" i="2" s="1"/>
  <c r="AK288" i="2"/>
  <c r="AX288" i="2" s="1"/>
  <c r="AJ288" i="2"/>
  <c r="AW288" i="2" s="1"/>
  <c r="AI288" i="2"/>
  <c r="AV288" i="2" s="1"/>
  <c r="AH288" i="2"/>
  <c r="AU288" i="2" s="1"/>
  <c r="AG288" i="2"/>
  <c r="AT288" i="2" s="1"/>
  <c r="AF288" i="2"/>
  <c r="AS288" i="2" s="1"/>
  <c r="AE288" i="2"/>
  <c r="AR288" i="2" s="1"/>
  <c r="AD288" i="2"/>
  <c r="AQ288" i="2" s="1"/>
  <c r="AA288" i="2"/>
  <c r="Z288" i="2"/>
  <c r="AP288" i="2" s="1"/>
  <c r="D288" i="2"/>
  <c r="A288" i="2"/>
  <c r="BC287" i="2"/>
  <c r="AO287" i="2"/>
  <c r="BB287" i="2" s="1"/>
  <c r="AN287" i="2"/>
  <c r="BA287" i="2" s="1"/>
  <c r="AM287" i="2"/>
  <c r="AZ287" i="2" s="1"/>
  <c r="AL287" i="2"/>
  <c r="AY287" i="2" s="1"/>
  <c r="AK287" i="2"/>
  <c r="AX287" i="2" s="1"/>
  <c r="AJ287" i="2"/>
  <c r="AW287" i="2" s="1"/>
  <c r="AI287" i="2"/>
  <c r="AV287" i="2" s="1"/>
  <c r="AH287" i="2"/>
  <c r="AU287" i="2" s="1"/>
  <c r="AG287" i="2"/>
  <c r="AT287" i="2" s="1"/>
  <c r="AF287" i="2"/>
  <c r="AS287" i="2" s="1"/>
  <c r="AE287" i="2"/>
  <c r="AR287" i="2" s="1"/>
  <c r="AD287" i="2"/>
  <c r="AQ287" i="2" s="1"/>
  <c r="AA287" i="2"/>
  <c r="Z287" i="2"/>
  <c r="AP287" i="2" s="1"/>
  <c r="D287" i="2"/>
  <c r="A287" i="2"/>
  <c r="BC286" i="2"/>
  <c r="AP286" i="2"/>
  <c r="AO286" i="2"/>
  <c r="BB286" i="2" s="1"/>
  <c r="AN286" i="2"/>
  <c r="BA286" i="2" s="1"/>
  <c r="AM286" i="2"/>
  <c r="AZ286" i="2" s="1"/>
  <c r="AL286" i="2"/>
  <c r="AY286" i="2" s="1"/>
  <c r="AK286" i="2"/>
  <c r="AX286" i="2" s="1"/>
  <c r="AJ286" i="2"/>
  <c r="AW286" i="2" s="1"/>
  <c r="AI286" i="2"/>
  <c r="AV286" i="2" s="1"/>
  <c r="AH286" i="2"/>
  <c r="AU286" i="2" s="1"/>
  <c r="AG286" i="2"/>
  <c r="AT286" i="2" s="1"/>
  <c r="AF286" i="2"/>
  <c r="AS286" i="2" s="1"/>
  <c r="AE286" i="2"/>
  <c r="AR286" i="2" s="1"/>
  <c r="AD286" i="2"/>
  <c r="AQ286" i="2" s="1"/>
  <c r="AA286" i="2"/>
  <c r="Z286" i="2"/>
  <c r="D286" i="2"/>
  <c r="A286" i="2"/>
  <c r="BC285" i="2"/>
  <c r="AO285" i="2"/>
  <c r="BB285" i="2" s="1"/>
  <c r="AN285" i="2"/>
  <c r="BA285" i="2" s="1"/>
  <c r="AM285" i="2"/>
  <c r="AZ285" i="2" s="1"/>
  <c r="AL285" i="2"/>
  <c r="AY285" i="2" s="1"/>
  <c r="AK285" i="2"/>
  <c r="AX285" i="2" s="1"/>
  <c r="AJ285" i="2"/>
  <c r="AW285" i="2" s="1"/>
  <c r="AI285" i="2"/>
  <c r="AV285" i="2" s="1"/>
  <c r="AH285" i="2"/>
  <c r="AU285" i="2" s="1"/>
  <c r="AG285" i="2"/>
  <c r="AT285" i="2" s="1"/>
  <c r="AF285" i="2"/>
  <c r="AS285" i="2" s="1"/>
  <c r="AE285" i="2"/>
  <c r="AR285" i="2" s="1"/>
  <c r="AD285" i="2"/>
  <c r="AQ285" i="2" s="1"/>
  <c r="AA285" i="2"/>
  <c r="Z285" i="2"/>
  <c r="AP285" i="2" s="1"/>
  <c r="D285" i="2"/>
  <c r="A285" i="2"/>
  <c r="BC284" i="2"/>
  <c r="AO284" i="2"/>
  <c r="BB284" i="2" s="1"/>
  <c r="AN284" i="2"/>
  <c r="BA284" i="2" s="1"/>
  <c r="AM284" i="2"/>
  <c r="AZ284" i="2" s="1"/>
  <c r="AL284" i="2"/>
  <c r="AY284" i="2" s="1"/>
  <c r="AK284" i="2"/>
  <c r="AX284" i="2" s="1"/>
  <c r="AJ284" i="2"/>
  <c r="AW284" i="2" s="1"/>
  <c r="AI284" i="2"/>
  <c r="AV284" i="2" s="1"/>
  <c r="AH284" i="2"/>
  <c r="AU284" i="2" s="1"/>
  <c r="AG284" i="2"/>
  <c r="AT284" i="2" s="1"/>
  <c r="AF284" i="2"/>
  <c r="AS284" i="2" s="1"/>
  <c r="AE284" i="2"/>
  <c r="AR284" i="2" s="1"/>
  <c r="AD284" i="2"/>
  <c r="AQ284" i="2" s="1"/>
  <c r="AA284" i="2"/>
  <c r="Z284" i="2"/>
  <c r="AP284" i="2" s="1"/>
  <c r="D284" i="2"/>
  <c r="A284" i="2"/>
  <c r="BC283" i="2"/>
  <c r="AO283" i="2"/>
  <c r="BB283" i="2" s="1"/>
  <c r="AN283" i="2"/>
  <c r="BA283" i="2" s="1"/>
  <c r="AM283" i="2"/>
  <c r="AZ283" i="2" s="1"/>
  <c r="AL283" i="2"/>
  <c r="AY283" i="2" s="1"/>
  <c r="AK283" i="2"/>
  <c r="AX283" i="2" s="1"/>
  <c r="AJ283" i="2"/>
  <c r="AW283" i="2" s="1"/>
  <c r="AI283" i="2"/>
  <c r="AV283" i="2" s="1"/>
  <c r="AH283" i="2"/>
  <c r="AU283" i="2" s="1"/>
  <c r="AG283" i="2"/>
  <c r="AT283" i="2" s="1"/>
  <c r="AF283" i="2"/>
  <c r="AS283" i="2" s="1"/>
  <c r="AE283" i="2"/>
  <c r="AR283" i="2" s="1"/>
  <c r="AD283" i="2"/>
  <c r="AQ283" i="2" s="1"/>
  <c r="AA283" i="2"/>
  <c r="Z283" i="2"/>
  <c r="AP283" i="2" s="1"/>
  <c r="D283" i="2"/>
  <c r="A283" i="2"/>
  <c r="BC282" i="2"/>
  <c r="AT282" i="2"/>
  <c r="AO282" i="2"/>
  <c r="BB282" i="2" s="1"/>
  <c r="AN282" i="2"/>
  <c r="BA282" i="2" s="1"/>
  <c r="AM282" i="2"/>
  <c r="AZ282" i="2" s="1"/>
  <c r="AL282" i="2"/>
  <c r="AY282" i="2" s="1"/>
  <c r="AK282" i="2"/>
  <c r="AX282" i="2" s="1"/>
  <c r="AJ282" i="2"/>
  <c r="AW282" i="2" s="1"/>
  <c r="AI282" i="2"/>
  <c r="AV282" i="2" s="1"/>
  <c r="AH282" i="2"/>
  <c r="AU282" i="2" s="1"/>
  <c r="AG282" i="2"/>
  <c r="AF282" i="2"/>
  <c r="AS282" i="2" s="1"/>
  <c r="AE282" i="2"/>
  <c r="AR282" i="2" s="1"/>
  <c r="AD282" i="2"/>
  <c r="AQ282" i="2" s="1"/>
  <c r="AA282" i="2"/>
  <c r="Z282" i="2"/>
  <c r="AP282" i="2" s="1"/>
  <c r="D282" i="2"/>
  <c r="A282" i="2"/>
  <c r="BC281" i="2"/>
  <c r="AO281" i="2"/>
  <c r="BB281" i="2" s="1"/>
  <c r="AN281" i="2"/>
  <c r="BA281" i="2" s="1"/>
  <c r="AM281" i="2"/>
  <c r="AZ281" i="2" s="1"/>
  <c r="AL281" i="2"/>
  <c r="AY281" i="2" s="1"/>
  <c r="AK281" i="2"/>
  <c r="AX281" i="2" s="1"/>
  <c r="AJ281" i="2"/>
  <c r="AW281" i="2" s="1"/>
  <c r="AI281" i="2"/>
  <c r="AV281" i="2" s="1"/>
  <c r="AH281" i="2"/>
  <c r="AU281" i="2" s="1"/>
  <c r="AG281" i="2"/>
  <c r="AT281" i="2" s="1"/>
  <c r="AF281" i="2"/>
  <c r="AS281" i="2" s="1"/>
  <c r="AE281" i="2"/>
  <c r="AR281" i="2" s="1"/>
  <c r="AD281" i="2"/>
  <c r="AQ281" i="2" s="1"/>
  <c r="AA281" i="2"/>
  <c r="Z281" i="2"/>
  <c r="AP281" i="2" s="1"/>
  <c r="D281" i="2"/>
  <c r="A281" i="2"/>
  <c r="BC280" i="2"/>
  <c r="AO280" i="2"/>
  <c r="BB280" i="2" s="1"/>
  <c r="AN280" i="2"/>
  <c r="BA280" i="2" s="1"/>
  <c r="AM280" i="2"/>
  <c r="AZ280" i="2" s="1"/>
  <c r="AL280" i="2"/>
  <c r="AY280" i="2" s="1"/>
  <c r="AK280" i="2"/>
  <c r="AX280" i="2" s="1"/>
  <c r="AJ280" i="2"/>
  <c r="AW280" i="2" s="1"/>
  <c r="AI280" i="2"/>
  <c r="AV280" i="2" s="1"/>
  <c r="AH280" i="2"/>
  <c r="AU280" i="2" s="1"/>
  <c r="AG280" i="2"/>
  <c r="AT280" i="2" s="1"/>
  <c r="AF280" i="2"/>
  <c r="AS280" i="2" s="1"/>
  <c r="AE280" i="2"/>
  <c r="AR280" i="2" s="1"/>
  <c r="AD280" i="2"/>
  <c r="AQ280" i="2" s="1"/>
  <c r="AA280" i="2"/>
  <c r="Z280" i="2"/>
  <c r="AP280" i="2" s="1"/>
  <c r="D280" i="2"/>
  <c r="A280" i="2"/>
  <c r="BC279" i="2"/>
  <c r="AO279" i="2"/>
  <c r="BB279" i="2" s="1"/>
  <c r="AN279" i="2"/>
  <c r="BA279" i="2" s="1"/>
  <c r="AM279" i="2"/>
  <c r="AZ279" i="2" s="1"/>
  <c r="AL279" i="2"/>
  <c r="AY279" i="2" s="1"/>
  <c r="AK279" i="2"/>
  <c r="AX279" i="2" s="1"/>
  <c r="AJ279" i="2"/>
  <c r="AW279" i="2" s="1"/>
  <c r="AI279" i="2"/>
  <c r="AV279" i="2" s="1"/>
  <c r="AH279" i="2"/>
  <c r="AU279" i="2" s="1"/>
  <c r="AG279" i="2"/>
  <c r="AT279" i="2" s="1"/>
  <c r="AF279" i="2"/>
  <c r="AS279" i="2" s="1"/>
  <c r="AE279" i="2"/>
  <c r="AR279" i="2" s="1"/>
  <c r="AD279" i="2"/>
  <c r="AQ279" i="2" s="1"/>
  <c r="AA279" i="2"/>
  <c r="Z279" i="2"/>
  <c r="AP279" i="2" s="1"/>
  <c r="D279" i="2"/>
  <c r="A279" i="2"/>
  <c r="BC278" i="2"/>
  <c r="AO278" i="2"/>
  <c r="BB278" i="2" s="1"/>
  <c r="AN278" i="2"/>
  <c r="BA278" i="2" s="1"/>
  <c r="AM278" i="2"/>
  <c r="AZ278" i="2" s="1"/>
  <c r="AL278" i="2"/>
  <c r="AY278" i="2" s="1"/>
  <c r="AK278" i="2"/>
  <c r="AX278" i="2" s="1"/>
  <c r="AJ278" i="2"/>
  <c r="AW278" i="2" s="1"/>
  <c r="AI278" i="2"/>
  <c r="AV278" i="2" s="1"/>
  <c r="AH278" i="2"/>
  <c r="AU278" i="2" s="1"/>
  <c r="AG278" i="2"/>
  <c r="AT278" i="2" s="1"/>
  <c r="AF278" i="2"/>
  <c r="AS278" i="2" s="1"/>
  <c r="AE278" i="2"/>
  <c r="AR278" i="2" s="1"/>
  <c r="AD278" i="2"/>
  <c r="AQ278" i="2" s="1"/>
  <c r="AA278" i="2"/>
  <c r="Z278" i="2"/>
  <c r="AP278" i="2" s="1"/>
  <c r="D278" i="2"/>
  <c r="A278" i="2"/>
  <c r="BC277" i="2"/>
  <c r="AO277" i="2"/>
  <c r="BB277" i="2" s="1"/>
  <c r="AN277" i="2"/>
  <c r="BA277" i="2" s="1"/>
  <c r="AM277" i="2"/>
  <c r="AZ277" i="2" s="1"/>
  <c r="AL277" i="2"/>
  <c r="AY277" i="2" s="1"/>
  <c r="AK277" i="2"/>
  <c r="AX277" i="2" s="1"/>
  <c r="AJ277" i="2"/>
  <c r="AW277" i="2" s="1"/>
  <c r="AI277" i="2"/>
  <c r="AV277" i="2" s="1"/>
  <c r="AH277" i="2"/>
  <c r="AU277" i="2" s="1"/>
  <c r="AG277" i="2"/>
  <c r="AT277" i="2" s="1"/>
  <c r="AF277" i="2"/>
  <c r="AS277" i="2" s="1"/>
  <c r="AE277" i="2"/>
  <c r="AR277" i="2" s="1"/>
  <c r="AD277" i="2"/>
  <c r="AQ277" i="2" s="1"/>
  <c r="AA277" i="2"/>
  <c r="Z277" i="2"/>
  <c r="AP277" i="2" s="1"/>
  <c r="D277" i="2"/>
  <c r="A277" i="2"/>
  <c r="BC276" i="2"/>
  <c r="AO276" i="2"/>
  <c r="BB276" i="2" s="1"/>
  <c r="AN276" i="2"/>
  <c r="BA276" i="2" s="1"/>
  <c r="AM276" i="2"/>
  <c r="AZ276" i="2" s="1"/>
  <c r="AL276" i="2"/>
  <c r="AY276" i="2" s="1"/>
  <c r="AK276" i="2"/>
  <c r="AX276" i="2" s="1"/>
  <c r="AJ276" i="2"/>
  <c r="AW276" i="2" s="1"/>
  <c r="AI276" i="2"/>
  <c r="AV276" i="2" s="1"/>
  <c r="AH276" i="2"/>
  <c r="AU276" i="2" s="1"/>
  <c r="AG276" i="2"/>
  <c r="AT276" i="2" s="1"/>
  <c r="AF276" i="2"/>
  <c r="AS276" i="2" s="1"/>
  <c r="AE276" i="2"/>
  <c r="AR276" i="2" s="1"/>
  <c r="AD276" i="2"/>
  <c r="AQ276" i="2" s="1"/>
  <c r="AA276" i="2"/>
  <c r="Z276" i="2"/>
  <c r="AP276" i="2" s="1"/>
  <c r="D276" i="2"/>
  <c r="A276" i="2"/>
  <c r="BC275" i="2"/>
  <c r="AO275" i="2"/>
  <c r="BB275" i="2" s="1"/>
  <c r="AN275" i="2"/>
  <c r="BA275" i="2" s="1"/>
  <c r="AM275" i="2"/>
  <c r="AZ275" i="2" s="1"/>
  <c r="AL275" i="2"/>
  <c r="AY275" i="2" s="1"/>
  <c r="AK275" i="2"/>
  <c r="AX275" i="2" s="1"/>
  <c r="AJ275" i="2"/>
  <c r="AW275" i="2" s="1"/>
  <c r="AI275" i="2"/>
  <c r="AV275" i="2" s="1"/>
  <c r="AH275" i="2"/>
  <c r="AU275" i="2" s="1"/>
  <c r="AG275" i="2"/>
  <c r="AT275" i="2" s="1"/>
  <c r="AF275" i="2"/>
  <c r="AS275" i="2" s="1"/>
  <c r="AE275" i="2"/>
  <c r="AR275" i="2" s="1"/>
  <c r="AD275" i="2"/>
  <c r="AQ275" i="2" s="1"/>
  <c r="AA275" i="2"/>
  <c r="Z275" i="2"/>
  <c r="AP275" i="2" s="1"/>
  <c r="D275" i="2"/>
  <c r="A275" i="2"/>
  <c r="BC274" i="2"/>
  <c r="AO274" i="2"/>
  <c r="BB274" i="2" s="1"/>
  <c r="AN274" i="2"/>
  <c r="BA274" i="2" s="1"/>
  <c r="AM274" i="2"/>
  <c r="AZ274" i="2" s="1"/>
  <c r="AL274" i="2"/>
  <c r="AY274" i="2" s="1"/>
  <c r="AK274" i="2"/>
  <c r="AX274" i="2" s="1"/>
  <c r="AJ274" i="2"/>
  <c r="AW274" i="2" s="1"/>
  <c r="AI274" i="2"/>
  <c r="AV274" i="2" s="1"/>
  <c r="AH274" i="2"/>
  <c r="AU274" i="2" s="1"/>
  <c r="AG274" i="2"/>
  <c r="AT274" i="2" s="1"/>
  <c r="AF274" i="2"/>
  <c r="AS274" i="2" s="1"/>
  <c r="AE274" i="2"/>
  <c r="AR274" i="2" s="1"/>
  <c r="AD274" i="2"/>
  <c r="AQ274" i="2" s="1"/>
  <c r="AA274" i="2"/>
  <c r="Z274" i="2"/>
  <c r="AP274" i="2" s="1"/>
  <c r="D274" i="2"/>
  <c r="A274" i="2"/>
  <c r="BC273" i="2"/>
  <c r="AO273" i="2"/>
  <c r="BB273" i="2" s="1"/>
  <c r="AN273" i="2"/>
  <c r="BA273" i="2" s="1"/>
  <c r="AM273" i="2"/>
  <c r="AZ273" i="2" s="1"/>
  <c r="AL273" i="2"/>
  <c r="AY273" i="2" s="1"/>
  <c r="AK273" i="2"/>
  <c r="AX273" i="2" s="1"/>
  <c r="AJ273" i="2"/>
  <c r="AW273" i="2" s="1"/>
  <c r="AI273" i="2"/>
  <c r="AV273" i="2" s="1"/>
  <c r="AH273" i="2"/>
  <c r="AU273" i="2" s="1"/>
  <c r="AG273" i="2"/>
  <c r="AT273" i="2" s="1"/>
  <c r="AF273" i="2"/>
  <c r="AS273" i="2" s="1"/>
  <c r="AE273" i="2"/>
  <c r="AR273" i="2" s="1"/>
  <c r="AD273" i="2"/>
  <c r="AQ273" i="2" s="1"/>
  <c r="AA273" i="2"/>
  <c r="Z273" i="2"/>
  <c r="AP273" i="2" s="1"/>
  <c r="D273" i="2"/>
  <c r="A273" i="2"/>
  <c r="BC272" i="2"/>
  <c r="AO272" i="2"/>
  <c r="BB272" i="2" s="1"/>
  <c r="AN272" i="2"/>
  <c r="BA272" i="2" s="1"/>
  <c r="AM272" i="2"/>
  <c r="AZ272" i="2" s="1"/>
  <c r="AL272" i="2"/>
  <c r="AY272" i="2" s="1"/>
  <c r="AK272" i="2"/>
  <c r="AX272" i="2" s="1"/>
  <c r="AJ272" i="2"/>
  <c r="AW272" i="2" s="1"/>
  <c r="AI272" i="2"/>
  <c r="AV272" i="2" s="1"/>
  <c r="AH272" i="2"/>
  <c r="AU272" i="2" s="1"/>
  <c r="AG272" i="2"/>
  <c r="AT272" i="2" s="1"/>
  <c r="AF272" i="2"/>
  <c r="AS272" i="2" s="1"/>
  <c r="AE272" i="2"/>
  <c r="AR272" i="2" s="1"/>
  <c r="AD272" i="2"/>
  <c r="AQ272" i="2" s="1"/>
  <c r="AA272" i="2"/>
  <c r="Z272" i="2"/>
  <c r="AP272" i="2" s="1"/>
  <c r="D272" i="2"/>
  <c r="A272" i="2"/>
  <c r="BC271" i="2"/>
  <c r="AO271" i="2"/>
  <c r="BB271" i="2" s="1"/>
  <c r="AN271" i="2"/>
  <c r="BA271" i="2" s="1"/>
  <c r="AM271" i="2"/>
  <c r="AZ271" i="2" s="1"/>
  <c r="AL271" i="2"/>
  <c r="AY271" i="2" s="1"/>
  <c r="AK271" i="2"/>
  <c r="AX271" i="2" s="1"/>
  <c r="AJ271" i="2"/>
  <c r="AW271" i="2" s="1"/>
  <c r="AI271" i="2"/>
  <c r="AV271" i="2" s="1"/>
  <c r="AH271" i="2"/>
  <c r="AU271" i="2" s="1"/>
  <c r="AG271" i="2"/>
  <c r="AT271" i="2" s="1"/>
  <c r="AF271" i="2"/>
  <c r="AS271" i="2" s="1"/>
  <c r="AE271" i="2"/>
  <c r="AR271" i="2" s="1"/>
  <c r="AD271" i="2"/>
  <c r="AQ271" i="2" s="1"/>
  <c r="AA271" i="2"/>
  <c r="Z271" i="2"/>
  <c r="AP271" i="2" s="1"/>
  <c r="D271" i="2"/>
  <c r="A271" i="2"/>
  <c r="BC270" i="2"/>
  <c r="AO270" i="2"/>
  <c r="BB270" i="2" s="1"/>
  <c r="AN270" i="2"/>
  <c r="BA270" i="2" s="1"/>
  <c r="AM270" i="2"/>
  <c r="AZ270" i="2" s="1"/>
  <c r="AL270" i="2"/>
  <c r="AY270" i="2" s="1"/>
  <c r="AK270" i="2"/>
  <c r="AX270" i="2" s="1"/>
  <c r="AJ270" i="2"/>
  <c r="AW270" i="2" s="1"/>
  <c r="AI270" i="2"/>
  <c r="AV270" i="2" s="1"/>
  <c r="AH270" i="2"/>
  <c r="AU270" i="2" s="1"/>
  <c r="AG270" i="2"/>
  <c r="AT270" i="2" s="1"/>
  <c r="AF270" i="2"/>
  <c r="AS270" i="2" s="1"/>
  <c r="AE270" i="2"/>
  <c r="AR270" i="2" s="1"/>
  <c r="AD270" i="2"/>
  <c r="AQ270" i="2" s="1"/>
  <c r="AA270" i="2"/>
  <c r="Z270" i="2"/>
  <c r="AP270" i="2" s="1"/>
  <c r="D270" i="2"/>
  <c r="A270" i="2"/>
  <c r="BC269" i="2"/>
  <c r="AO269" i="2"/>
  <c r="BB269" i="2" s="1"/>
  <c r="AN269" i="2"/>
  <c r="BA269" i="2" s="1"/>
  <c r="AM269" i="2"/>
  <c r="AZ269" i="2" s="1"/>
  <c r="AL269" i="2"/>
  <c r="AY269" i="2" s="1"/>
  <c r="AK269" i="2"/>
  <c r="AX269" i="2" s="1"/>
  <c r="AJ269" i="2"/>
  <c r="AW269" i="2" s="1"/>
  <c r="AI269" i="2"/>
  <c r="AV269" i="2" s="1"/>
  <c r="AH269" i="2"/>
  <c r="AU269" i="2" s="1"/>
  <c r="AG269" i="2"/>
  <c r="AT269" i="2" s="1"/>
  <c r="AF269" i="2"/>
  <c r="AS269" i="2" s="1"/>
  <c r="AE269" i="2"/>
  <c r="AR269" i="2" s="1"/>
  <c r="AD269" i="2"/>
  <c r="AQ269" i="2" s="1"/>
  <c r="AA269" i="2"/>
  <c r="Z269" i="2"/>
  <c r="AP269" i="2" s="1"/>
  <c r="D269" i="2"/>
  <c r="A269" i="2"/>
  <c r="BC268" i="2"/>
  <c r="AO268" i="2"/>
  <c r="BB268" i="2" s="1"/>
  <c r="AN268" i="2"/>
  <c r="BA268" i="2" s="1"/>
  <c r="AM268" i="2"/>
  <c r="AZ268" i="2" s="1"/>
  <c r="AL268" i="2"/>
  <c r="AY268" i="2" s="1"/>
  <c r="AK268" i="2"/>
  <c r="AX268" i="2" s="1"/>
  <c r="AJ268" i="2"/>
  <c r="AW268" i="2" s="1"/>
  <c r="AI268" i="2"/>
  <c r="AV268" i="2" s="1"/>
  <c r="AH268" i="2"/>
  <c r="AU268" i="2" s="1"/>
  <c r="AG268" i="2"/>
  <c r="AT268" i="2" s="1"/>
  <c r="AF268" i="2"/>
  <c r="AS268" i="2" s="1"/>
  <c r="AE268" i="2"/>
  <c r="AR268" i="2" s="1"/>
  <c r="AD268" i="2"/>
  <c r="AQ268" i="2" s="1"/>
  <c r="AA268" i="2"/>
  <c r="Z268" i="2"/>
  <c r="AP268" i="2" s="1"/>
  <c r="D268" i="2"/>
  <c r="A268" i="2"/>
  <c r="BC267" i="2"/>
  <c r="AO267" i="2"/>
  <c r="BB267" i="2" s="1"/>
  <c r="AN267" i="2"/>
  <c r="BA267" i="2" s="1"/>
  <c r="AM267" i="2"/>
  <c r="AZ267" i="2" s="1"/>
  <c r="AL267" i="2"/>
  <c r="AY267" i="2" s="1"/>
  <c r="AK267" i="2"/>
  <c r="AX267" i="2" s="1"/>
  <c r="AJ267" i="2"/>
  <c r="AW267" i="2" s="1"/>
  <c r="AI267" i="2"/>
  <c r="AV267" i="2" s="1"/>
  <c r="AH267" i="2"/>
  <c r="AU267" i="2" s="1"/>
  <c r="AG267" i="2"/>
  <c r="AT267" i="2" s="1"/>
  <c r="AF267" i="2"/>
  <c r="AS267" i="2" s="1"/>
  <c r="AE267" i="2"/>
  <c r="AR267" i="2" s="1"/>
  <c r="AD267" i="2"/>
  <c r="AQ267" i="2" s="1"/>
  <c r="AA267" i="2"/>
  <c r="Z267" i="2"/>
  <c r="AP267" i="2" s="1"/>
  <c r="D267" i="2"/>
  <c r="A267" i="2"/>
  <c r="BC266" i="2"/>
  <c r="AO266" i="2"/>
  <c r="BB266" i="2" s="1"/>
  <c r="AN266" i="2"/>
  <c r="BA266" i="2" s="1"/>
  <c r="AM266" i="2"/>
  <c r="AZ266" i="2" s="1"/>
  <c r="AL266" i="2"/>
  <c r="AY266" i="2" s="1"/>
  <c r="AK266" i="2"/>
  <c r="AX266" i="2" s="1"/>
  <c r="AJ266" i="2"/>
  <c r="AW266" i="2" s="1"/>
  <c r="AI266" i="2"/>
  <c r="AV266" i="2" s="1"/>
  <c r="AH266" i="2"/>
  <c r="AU266" i="2" s="1"/>
  <c r="AG266" i="2"/>
  <c r="AT266" i="2" s="1"/>
  <c r="AF266" i="2"/>
  <c r="AS266" i="2" s="1"/>
  <c r="AE266" i="2"/>
  <c r="AR266" i="2" s="1"/>
  <c r="AD266" i="2"/>
  <c r="AQ266" i="2" s="1"/>
  <c r="AA266" i="2"/>
  <c r="Z266" i="2"/>
  <c r="AP266" i="2" s="1"/>
  <c r="D266" i="2"/>
  <c r="A266" i="2"/>
  <c r="BC265" i="2"/>
  <c r="AO265" i="2"/>
  <c r="BB265" i="2" s="1"/>
  <c r="AN265" i="2"/>
  <c r="BA265" i="2" s="1"/>
  <c r="AM265" i="2"/>
  <c r="AZ265" i="2" s="1"/>
  <c r="AL265" i="2"/>
  <c r="AY265" i="2" s="1"/>
  <c r="AK265" i="2"/>
  <c r="AX265" i="2" s="1"/>
  <c r="AJ265" i="2"/>
  <c r="AW265" i="2" s="1"/>
  <c r="AI265" i="2"/>
  <c r="AV265" i="2" s="1"/>
  <c r="AH265" i="2"/>
  <c r="AU265" i="2" s="1"/>
  <c r="AG265" i="2"/>
  <c r="AT265" i="2" s="1"/>
  <c r="AF265" i="2"/>
  <c r="AS265" i="2" s="1"/>
  <c r="AE265" i="2"/>
  <c r="AR265" i="2" s="1"/>
  <c r="AD265" i="2"/>
  <c r="AQ265" i="2" s="1"/>
  <c r="AA265" i="2"/>
  <c r="Z265" i="2"/>
  <c r="AP265" i="2" s="1"/>
  <c r="D265" i="2"/>
  <c r="A265" i="2"/>
  <c r="BC264" i="2"/>
  <c r="AO264" i="2"/>
  <c r="BB264" i="2" s="1"/>
  <c r="AN264" i="2"/>
  <c r="BA264" i="2" s="1"/>
  <c r="AM264" i="2"/>
  <c r="AZ264" i="2" s="1"/>
  <c r="AL264" i="2"/>
  <c r="AY264" i="2" s="1"/>
  <c r="AK264" i="2"/>
  <c r="AX264" i="2" s="1"/>
  <c r="AJ264" i="2"/>
  <c r="AW264" i="2" s="1"/>
  <c r="AI264" i="2"/>
  <c r="AV264" i="2" s="1"/>
  <c r="AH264" i="2"/>
  <c r="AU264" i="2" s="1"/>
  <c r="AG264" i="2"/>
  <c r="AT264" i="2" s="1"/>
  <c r="AF264" i="2"/>
  <c r="AS264" i="2" s="1"/>
  <c r="AE264" i="2"/>
  <c r="AR264" i="2" s="1"/>
  <c r="AD264" i="2"/>
  <c r="AQ264" i="2" s="1"/>
  <c r="AA264" i="2"/>
  <c r="Z264" i="2"/>
  <c r="AP264" i="2" s="1"/>
  <c r="D264" i="2"/>
  <c r="A264" i="2"/>
  <c r="BC263" i="2"/>
  <c r="AO263" i="2"/>
  <c r="BB263" i="2" s="1"/>
  <c r="AN263" i="2"/>
  <c r="BA263" i="2" s="1"/>
  <c r="AM263" i="2"/>
  <c r="AZ263" i="2" s="1"/>
  <c r="AL263" i="2"/>
  <c r="AY263" i="2" s="1"/>
  <c r="AK263" i="2"/>
  <c r="AX263" i="2" s="1"/>
  <c r="AJ263" i="2"/>
  <c r="AW263" i="2" s="1"/>
  <c r="AI263" i="2"/>
  <c r="AV263" i="2" s="1"/>
  <c r="AH263" i="2"/>
  <c r="AU263" i="2" s="1"/>
  <c r="AG263" i="2"/>
  <c r="AT263" i="2" s="1"/>
  <c r="AF263" i="2"/>
  <c r="AS263" i="2" s="1"/>
  <c r="AE263" i="2"/>
  <c r="AR263" i="2" s="1"/>
  <c r="AD263" i="2"/>
  <c r="AQ263" i="2" s="1"/>
  <c r="AA263" i="2"/>
  <c r="Z263" i="2"/>
  <c r="AP263" i="2" s="1"/>
  <c r="D263" i="2"/>
  <c r="A263" i="2"/>
  <c r="BC262" i="2"/>
  <c r="AO262" i="2"/>
  <c r="BB262" i="2" s="1"/>
  <c r="AN262" i="2"/>
  <c r="BA262" i="2" s="1"/>
  <c r="AM262" i="2"/>
  <c r="AZ262" i="2" s="1"/>
  <c r="AL262" i="2"/>
  <c r="AY262" i="2" s="1"/>
  <c r="AK262" i="2"/>
  <c r="AX262" i="2" s="1"/>
  <c r="AJ262" i="2"/>
  <c r="AW262" i="2" s="1"/>
  <c r="AI262" i="2"/>
  <c r="AV262" i="2" s="1"/>
  <c r="AH262" i="2"/>
  <c r="AU262" i="2" s="1"/>
  <c r="AG262" i="2"/>
  <c r="AT262" i="2" s="1"/>
  <c r="AF262" i="2"/>
  <c r="AS262" i="2" s="1"/>
  <c r="AE262" i="2"/>
  <c r="AR262" i="2" s="1"/>
  <c r="AD262" i="2"/>
  <c r="AQ262" i="2" s="1"/>
  <c r="AA262" i="2"/>
  <c r="Z262" i="2"/>
  <c r="AP262" i="2" s="1"/>
  <c r="D262" i="2"/>
  <c r="A262" i="2"/>
  <c r="BC261" i="2"/>
  <c r="AO261" i="2"/>
  <c r="BB261" i="2" s="1"/>
  <c r="AN261" i="2"/>
  <c r="BA261" i="2" s="1"/>
  <c r="AM261" i="2"/>
  <c r="AZ261" i="2" s="1"/>
  <c r="AL261" i="2"/>
  <c r="AY261" i="2" s="1"/>
  <c r="AK261" i="2"/>
  <c r="AX261" i="2" s="1"/>
  <c r="AJ261" i="2"/>
  <c r="AW261" i="2" s="1"/>
  <c r="AI261" i="2"/>
  <c r="AV261" i="2" s="1"/>
  <c r="AH261" i="2"/>
  <c r="AU261" i="2" s="1"/>
  <c r="AG261" i="2"/>
  <c r="AT261" i="2" s="1"/>
  <c r="AF261" i="2"/>
  <c r="AS261" i="2" s="1"/>
  <c r="AE261" i="2"/>
  <c r="AR261" i="2" s="1"/>
  <c r="AD261" i="2"/>
  <c r="AQ261" i="2" s="1"/>
  <c r="AA261" i="2"/>
  <c r="Z261" i="2"/>
  <c r="AP261" i="2" s="1"/>
  <c r="D261" i="2"/>
  <c r="A261" i="2"/>
  <c r="BC260" i="2"/>
  <c r="AO260" i="2"/>
  <c r="BB260" i="2" s="1"/>
  <c r="AN260" i="2"/>
  <c r="BA260" i="2" s="1"/>
  <c r="AM260" i="2"/>
  <c r="AZ260" i="2" s="1"/>
  <c r="AL260" i="2"/>
  <c r="AY260" i="2" s="1"/>
  <c r="AK260" i="2"/>
  <c r="AX260" i="2" s="1"/>
  <c r="AJ260" i="2"/>
  <c r="AW260" i="2" s="1"/>
  <c r="AI260" i="2"/>
  <c r="AV260" i="2" s="1"/>
  <c r="AH260" i="2"/>
  <c r="AU260" i="2" s="1"/>
  <c r="AG260" i="2"/>
  <c r="AT260" i="2" s="1"/>
  <c r="AF260" i="2"/>
  <c r="AS260" i="2" s="1"/>
  <c r="AE260" i="2"/>
  <c r="AR260" i="2" s="1"/>
  <c r="AD260" i="2"/>
  <c r="AQ260" i="2" s="1"/>
  <c r="AA260" i="2"/>
  <c r="Z260" i="2"/>
  <c r="AP260" i="2" s="1"/>
  <c r="D260" i="2"/>
  <c r="A260" i="2"/>
  <c r="BC259" i="2"/>
  <c r="AO259" i="2"/>
  <c r="BB259" i="2" s="1"/>
  <c r="AN259" i="2"/>
  <c r="BA259" i="2" s="1"/>
  <c r="AM259" i="2"/>
  <c r="AZ259" i="2" s="1"/>
  <c r="AL259" i="2"/>
  <c r="AY259" i="2" s="1"/>
  <c r="AK259" i="2"/>
  <c r="AX259" i="2" s="1"/>
  <c r="AJ259" i="2"/>
  <c r="AW259" i="2" s="1"/>
  <c r="AI259" i="2"/>
  <c r="AV259" i="2" s="1"/>
  <c r="AH259" i="2"/>
  <c r="AU259" i="2" s="1"/>
  <c r="AG259" i="2"/>
  <c r="AT259" i="2" s="1"/>
  <c r="AF259" i="2"/>
  <c r="AS259" i="2" s="1"/>
  <c r="AE259" i="2"/>
  <c r="AR259" i="2" s="1"/>
  <c r="AD259" i="2"/>
  <c r="AQ259" i="2" s="1"/>
  <c r="AA259" i="2"/>
  <c r="Z259" i="2"/>
  <c r="AP259" i="2" s="1"/>
  <c r="D259" i="2"/>
  <c r="A259" i="2"/>
  <c r="BC258" i="2"/>
  <c r="AO258" i="2"/>
  <c r="BB258" i="2" s="1"/>
  <c r="AN258" i="2"/>
  <c r="BA258" i="2" s="1"/>
  <c r="AM258" i="2"/>
  <c r="AZ258" i="2" s="1"/>
  <c r="AL258" i="2"/>
  <c r="AY258" i="2" s="1"/>
  <c r="AK258" i="2"/>
  <c r="AX258" i="2" s="1"/>
  <c r="AJ258" i="2"/>
  <c r="AW258" i="2" s="1"/>
  <c r="AI258" i="2"/>
  <c r="AV258" i="2" s="1"/>
  <c r="AH258" i="2"/>
  <c r="AU258" i="2" s="1"/>
  <c r="AG258" i="2"/>
  <c r="AT258" i="2" s="1"/>
  <c r="AF258" i="2"/>
  <c r="AS258" i="2" s="1"/>
  <c r="AE258" i="2"/>
  <c r="AR258" i="2" s="1"/>
  <c r="AD258" i="2"/>
  <c r="AQ258" i="2" s="1"/>
  <c r="AA258" i="2"/>
  <c r="Z258" i="2"/>
  <c r="AP258" i="2" s="1"/>
  <c r="D258" i="2"/>
  <c r="A258" i="2"/>
  <c r="BC257" i="2"/>
  <c r="BB257" i="2"/>
  <c r="AO257" i="2"/>
  <c r="AN257" i="2"/>
  <c r="BA257" i="2" s="1"/>
  <c r="AM257" i="2"/>
  <c r="AZ257" i="2" s="1"/>
  <c r="AL257" i="2"/>
  <c r="AY257" i="2" s="1"/>
  <c r="AK257" i="2"/>
  <c r="AX257" i="2" s="1"/>
  <c r="AJ257" i="2"/>
  <c r="AW257" i="2" s="1"/>
  <c r="AI257" i="2"/>
  <c r="AV257" i="2" s="1"/>
  <c r="AH257" i="2"/>
  <c r="AU257" i="2" s="1"/>
  <c r="AG257" i="2"/>
  <c r="AT257" i="2" s="1"/>
  <c r="AF257" i="2"/>
  <c r="AS257" i="2" s="1"/>
  <c r="AE257" i="2"/>
  <c r="AR257" i="2" s="1"/>
  <c r="AD257" i="2"/>
  <c r="AQ257" i="2" s="1"/>
  <c r="AA257" i="2"/>
  <c r="Z257" i="2"/>
  <c r="AP257" i="2" s="1"/>
  <c r="D257" i="2"/>
  <c r="A257" i="2"/>
  <c r="BC256" i="2"/>
  <c r="AO256" i="2"/>
  <c r="BB256" i="2" s="1"/>
  <c r="AN256" i="2"/>
  <c r="BA256" i="2" s="1"/>
  <c r="AM256" i="2"/>
  <c r="AZ256" i="2" s="1"/>
  <c r="AL256" i="2"/>
  <c r="AY256" i="2" s="1"/>
  <c r="AK256" i="2"/>
  <c r="AX256" i="2" s="1"/>
  <c r="AJ256" i="2"/>
  <c r="AW256" i="2" s="1"/>
  <c r="AI256" i="2"/>
  <c r="AV256" i="2" s="1"/>
  <c r="AH256" i="2"/>
  <c r="AU256" i="2" s="1"/>
  <c r="AG256" i="2"/>
  <c r="AT256" i="2" s="1"/>
  <c r="AF256" i="2"/>
  <c r="AS256" i="2" s="1"/>
  <c r="AE256" i="2"/>
  <c r="AR256" i="2" s="1"/>
  <c r="AD256" i="2"/>
  <c r="AQ256" i="2" s="1"/>
  <c r="AA256" i="2"/>
  <c r="Z256" i="2"/>
  <c r="AP256" i="2" s="1"/>
  <c r="D256" i="2"/>
  <c r="A256" i="2"/>
  <c r="BC255" i="2"/>
  <c r="AO255" i="2"/>
  <c r="BB255" i="2" s="1"/>
  <c r="AN255" i="2"/>
  <c r="BA255" i="2" s="1"/>
  <c r="AM255" i="2"/>
  <c r="AZ255" i="2" s="1"/>
  <c r="AL255" i="2"/>
  <c r="AY255" i="2" s="1"/>
  <c r="AK255" i="2"/>
  <c r="AX255" i="2" s="1"/>
  <c r="AJ255" i="2"/>
  <c r="AW255" i="2" s="1"/>
  <c r="AI255" i="2"/>
  <c r="AV255" i="2" s="1"/>
  <c r="AH255" i="2"/>
  <c r="AU255" i="2" s="1"/>
  <c r="AG255" i="2"/>
  <c r="AT255" i="2" s="1"/>
  <c r="AF255" i="2"/>
  <c r="AS255" i="2" s="1"/>
  <c r="AE255" i="2"/>
  <c r="AR255" i="2" s="1"/>
  <c r="AD255" i="2"/>
  <c r="AQ255" i="2" s="1"/>
  <c r="AA255" i="2"/>
  <c r="Z255" i="2"/>
  <c r="AP255" i="2" s="1"/>
  <c r="D255" i="2"/>
  <c r="A255" i="2"/>
  <c r="BC254" i="2"/>
  <c r="AO254" i="2"/>
  <c r="BB254" i="2" s="1"/>
  <c r="AN254" i="2"/>
  <c r="BA254" i="2" s="1"/>
  <c r="AM254" i="2"/>
  <c r="AZ254" i="2" s="1"/>
  <c r="AL254" i="2"/>
  <c r="AY254" i="2" s="1"/>
  <c r="AK254" i="2"/>
  <c r="AX254" i="2" s="1"/>
  <c r="AJ254" i="2"/>
  <c r="AW254" i="2" s="1"/>
  <c r="AI254" i="2"/>
  <c r="AV254" i="2" s="1"/>
  <c r="AH254" i="2"/>
  <c r="AU254" i="2" s="1"/>
  <c r="AG254" i="2"/>
  <c r="AT254" i="2" s="1"/>
  <c r="AF254" i="2"/>
  <c r="AS254" i="2" s="1"/>
  <c r="AE254" i="2"/>
  <c r="AR254" i="2" s="1"/>
  <c r="AD254" i="2"/>
  <c r="AQ254" i="2" s="1"/>
  <c r="AA254" i="2"/>
  <c r="Z254" i="2"/>
  <c r="AP254" i="2" s="1"/>
  <c r="A254" i="2"/>
  <c r="BC253" i="2"/>
  <c r="AO253" i="2"/>
  <c r="BB253" i="2" s="1"/>
  <c r="AN253" i="2"/>
  <c r="BA253" i="2" s="1"/>
  <c r="AM253" i="2"/>
  <c r="AZ253" i="2" s="1"/>
  <c r="AL253" i="2"/>
  <c r="AY253" i="2" s="1"/>
  <c r="AK253" i="2"/>
  <c r="AX253" i="2" s="1"/>
  <c r="AJ253" i="2"/>
  <c r="AW253" i="2" s="1"/>
  <c r="AI253" i="2"/>
  <c r="AV253" i="2" s="1"/>
  <c r="AH253" i="2"/>
  <c r="AU253" i="2" s="1"/>
  <c r="AG253" i="2"/>
  <c r="AT253" i="2" s="1"/>
  <c r="AF253" i="2"/>
  <c r="AS253" i="2" s="1"/>
  <c r="AE253" i="2"/>
  <c r="AR253" i="2" s="1"/>
  <c r="AD253" i="2"/>
  <c r="AQ253" i="2" s="1"/>
  <c r="AA253" i="2"/>
  <c r="Z253" i="2"/>
  <c r="AP253" i="2" s="1"/>
  <c r="D253" i="2"/>
  <c r="A253" i="2"/>
  <c r="BC252" i="2"/>
  <c r="AO252" i="2"/>
  <c r="BB252" i="2" s="1"/>
  <c r="AN252" i="2"/>
  <c r="BA252" i="2" s="1"/>
  <c r="AM252" i="2"/>
  <c r="AZ252" i="2" s="1"/>
  <c r="AL252" i="2"/>
  <c r="AY252" i="2" s="1"/>
  <c r="AK252" i="2"/>
  <c r="AX252" i="2" s="1"/>
  <c r="AJ252" i="2"/>
  <c r="AW252" i="2" s="1"/>
  <c r="AI252" i="2"/>
  <c r="AV252" i="2" s="1"/>
  <c r="AH252" i="2"/>
  <c r="AU252" i="2" s="1"/>
  <c r="AG252" i="2"/>
  <c r="AT252" i="2" s="1"/>
  <c r="AF252" i="2"/>
  <c r="AS252" i="2" s="1"/>
  <c r="AE252" i="2"/>
  <c r="AR252" i="2" s="1"/>
  <c r="AD252" i="2"/>
  <c r="AQ252" i="2" s="1"/>
  <c r="AA252" i="2"/>
  <c r="Z252" i="2"/>
  <c r="AP252" i="2" s="1"/>
  <c r="D252" i="2"/>
  <c r="A252" i="2"/>
  <c r="BC251" i="2"/>
  <c r="AO251" i="2"/>
  <c r="BB251" i="2" s="1"/>
  <c r="AN251" i="2"/>
  <c r="BA251" i="2" s="1"/>
  <c r="AM251" i="2"/>
  <c r="AZ251" i="2" s="1"/>
  <c r="AL251" i="2"/>
  <c r="AY251" i="2" s="1"/>
  <c r="AK251" i="2"/>
  <c r="AX251" i="2" s="1"/>
  <c r="AJ251" i="2"/>
  <c r="AW251" i="2" s="1"/>
  <c r="AI251" i="2"/>
  <c r="AV251" i="2" s="1"/>
  <c r="AH251" i="2"/>
  <c r="AU251" i="2" s="1"/>
  <c r="AG251" i="2"/>
  <c r="AT251" i="2" s="1"/>
  <c r="AF251" i="2"/>
  <c r="AS251" i="2" s="1"/>
  <c r="AE251" i="2"/>
  <c r="AR251" i="2" s="1"/>
  <c r="AD251" i="2"/>
  <c r="AQ251" i="2" s="1"/>
  <c r="AA251" i="2"/>
  <c r="Z251" i="2"/>
  <c r="AP251" i="2" s="1"/>
  <c r="D251" i="2"/>
  <c r="A251" i="2"/>
  <c r="BC250" i="2"/>
  <c r="AO250" i="2"/>
  <c r="BB250" i="2" s="1"/>
  <c r="AN250" i="2"/>
  <c r="BA250" i="2" s="1"/>
  <c r="AM250" i="2"/>
  <c r="AZ250" i="2" s="1"/>
  <c r="AL250" i="2"/>
  <c r="AY250" i="2" s="1"/>
  <c r="AK250" i="2"/>
  <c r="AX250" i="2" s="1"/>
  <c r="AJ250" i="2"/>
  <c r="AW250" i="2" s="1"/>
  <c r="AI250" i="2"/>
  <c r="AV250" i="2" s="1"/>
  <c r="AH250" i="2"/>
  <c r="AU250" i="2" s="1"/>
  <c r="AG250" i="2"/>
  <c r="AT250" i="2" s="1"/>
  <c r="AF250" i="2"/>
  <c r="AS250" i="2" s="1"/>
  <c r="AE250" i="2"/>
  <c r="AR250" i="2" s="1"/>
  <c r="AD250" i="2"/>
  <c r="AQ250" i="2" s="1"/>
  <c r="AA250" i="2"/>
  <c r="Z250" i="2"/>
  <c r="AP250" i="2" s="1"/>
  <c r="D250" i="2"/>
  <c r="A250" i="2"/>
  <c r="BC249" i="2"/>
  <c r="BA249" i="2"/>
  <c r="AO249" i="2"/>
  <c r="BB249" i="2" s="1"/>
  <c r="AN249" i="2"/>
  <c r="AM249" i="2"/>
  <c r="AZ249" i="2" s="1"/>
  <c r="AL249" i="2"/>
  <c r="AY249" i="2" s="1"/>
  <c r="AK249" i="2"/>
  <c r="AX249" i="2" s="1"/>
  <c r="AJ249" i="2"/>
  <c r="AW249" i="2" s="1"/>
  <c r="AI249" i="2"/>
  <c r="AV249" i="2" s="1"/>
  <c r="AH249" i="2"/>
  <c r="AU249" i="2" s="1"/>
  <c r="AG249" i="2"/>
  <c r="AT249" i="2" s="1"/>
  <c r="AF249" i="2"/>
  <c r="AS249" i="2" s="1"/>
  <c r="AE249" i="2"/>
  <c r="AR249" i="2" s="1"/>
  <c r="AD249" i="2"/>
  <c r="AQ249" i="2" s="1"/>
  <c r="AA249" i="2"/>
  <c r="Z249" i="2"/>
  <c r="AP249" i="2" s="1"/>
  <c r="D249" i="2"/>
  <c r="A249" i="2"/>
  <c r="BC248" i="2"/>
  <c r="AO248" i="2"/>
  <c r="BB248" i="2" s="1"/>
  <c r="AN248" i="2"/>
  <c r="BA248" i="2" s="1"/>
  <c r="AM248" i="2"/>
  <c r="AZ248" i="2" s="1"/>
  <c r="AL248" i="2"/>
  <c r="AY248" i="2" s="1"/>
  <c r="AK248" i="2"/>
  <c r="AX248" i="2" s="1"/>
  <c r="AJ248" i="2"/>
  <c r="AW248" i="2" s="1"/>
  <c r="AI248" i="2"/>
  <c r="AV248" i="2" s="1"/>
  <c r="AH248" i="2"/>
  <c r="AU248" i="2" s="1"/>
  <c r="AG248" i="2"/>
  <c r="AT248" i="2" s="1"/>
  <c r="AF248" i="2"/>
  <c r="AS248" i="2" s="1"/>
  <c r="AE248" i="2"/>
  <c r="AR248" i="2" s="1"/>
  <c r="AD248" i="2"/>
  <c r="AQ248" i="2" s="1"/>
  <c r="AA248" i="2"/>
  <c r="Z248" i="2"/>
  <c r="AP248" i="2" s="1"/>
  <c r="D248" i="2"/>
  <c r="A248" i="2"/>
  <c r="BC247" i="2"/>
  <c r="AO247" i="2"/>
  <c r="BB247" i="2" s="1"/>
  <c r="AN247" i="2"/>
  <c r="BA247" i="2" s="1"/>
  <c r="AM247" i="2"/>
  <c r="AZ247" i="2" s="1"/>
  <c r="AL247" i="2"/>
  <c r="AY247" i="2" s="1"/>
  <c r="AK247" i="2"/>
  <c r="AX247" i="2" s="1"/>
  <c r="AJ247" i="2"/>
  <c r="AW247" i="2" s="1"/>
  <c r="AI247" i="2"/>
  <c r="AV247" i="2" s="1"/>
  <c r="AH247" i="2"/>
  <c r="AU247" i="2" s="1"/>
  <c r="AG247" i="2"/>
  <c r="AT247" i="2" s="1"/>
  <c r="AF247" i="2"/>
  <c r="AS247" i="2" s="1"/>
  <c r="AE247" i="2"/>
  <c r="AR247" i="2" s="1"/>
  <c r="AD247" i="2"/>
  <c r="AQ247" i="2" s="1"/>
  <c r="AA247" i="2"/>
  <c r="Z247" i="2"/>
  <c r="AP247" i="2" s="1"/>
  <c r="D247" i="2"/>
  <c r="A247" i="2"/>
  <c r="BC246" i="2"/>
  <c r="AO246" i="2"/>
  <c r="BB246" i="2" s="1"/>
  <c r="AN246" i="2"/>
  <c r="BA246" i="2" s="1"/>
  <c r="AM246" i="2"/>
  <c r="AZ246" i="2" s="1"/>
  <c r="AL246" i="2"/>
  <c r="AY246" i="2" s="1"/>
  <c r="AK246" i="2"/>
  <c r="AX246" i="2" s="1"/>
  <c r="AJ246" i="2"/>
  <c r="AW246" i="2" s="1"/>
  <c r="AI246" i="2"/>
  <c r="AV246" i="2" s="1"/>
  <c r="AH246" i="2"/>
  <c r="AU246" i="2" s="1"/>
  <c r="AG246" i="2"/>
  <c r="AT246" i="2" s="1"/>
  <c r="AF246" i="2"/>
  <c r="AS246" i="2" s="1"/>
  <c r="AE246" i="2"/>
  <c r="AR246" i="2" s="1"/>
  <c r="AD246" i="2"/>
  <c r="AQ246" i="2" s="1"/>
  <c r="AA246" i="2"/>
  <c r="Z246" i="2"/>
  <c r="AP246" i="2" s="1"/>
  <c r="D246" i="2"/>
  <c r="A246" i="2"/>
  <c r="BC245" i="2"/>
  <c r="AO245" i="2"/>
  <c r="BB245" i="2" s="1"/>
  <c r="AN245" i="2"/>
  <c r="BA245" i="2" s="1"/>
  <c r="AM245" i="2"/>
  <c r="AZ245" i="2" s="1"/>
  <c r="AL245" i="2"/>
  <c r="AY245" i="2" s="1"/>
  <c r="AK245" i="2"/>
  <c r="AX245" i="2" s="1"/>
  <c r="AJ245" i="2"/>
  <c r="AW245" i="2" s="1"/>
  <c r="AI245" i="2"/>
  <c r="AV245" i="2" s="1"/>
  <c r="AH245" i="2"/>
  <c r="AU245" i="2" s="1"/>
  <c r="AG245" i="2"/>
  <c r="AT245" i="2" s="1"/>
  <c r="AF245" i="2"/>
  <c r="AS245" i="2" s="1"/>
  <c r="AE245" i="2"/>
  <c r="AR245" i="2" s="1"/>
  <c r="AD245" i="2"/>
  <c r="AQ245" i="2" s="1"/>
  <c r="AA245" i="2"/>
  <c r="Z245" i="2"/>
  <c r="AP245" i="2" s="1"/>
  <c r="D245" i="2"/>
  <c r="A245" i="2"/>
  <c r="BC244" i="2"/>
  <c r="AW244" i="2"/>
  <c r="AO244" i="2"/>
  <c r="BB244" i="2" s="1"/>
  <c r="AN244" i="2"/>
  <c r="BA244" i="2" s="1"/>
  <c r="AM244" i="2"/>
  <c r="AZ244" i="2" s="1"/>
  <c r="AL244" i="2"/>
  <c r="AY244" i="2" s="1"/>
  <c r="AK244" i="2"/>
  <c r="AX244" i="2" s="1"/>
  <c r="AJ244" i="2"/>
  <c r="AI244" i="2"/>
  <c r="AV244" i="2" s="1"/>
  <c r="AH244" i="2"/>
  <c r="AU244" i="2" s="1"/>
  <c r="AG244" i="2"/>
  <c r="AT244" i="2" s="1"/>
  <c r="AF244" i="2"/>
  <c r="AS244" i="2" s="1"/>
  <c r="AE244" i="2"/>
  <c r="AR244" i="2" s="1"/>
  <c r="AD244" i="2"/>
  <c r="AQ244" i="2" s="1"/>
  <c r="AA244" i="2"/>
  <c r="Z244" i="2"/>
  <c r="AP244" i="2" s="1"/>
  <c r="D244" i="2"/>
  <c r="A244" i="2"/>
  <c r="BC243" i="2"/>
  <c r="AO243" i="2"/>
  <c r="BB243" i="2" s="1"/>
  <c r="AN243" i="2"/>
  <c r="BA243" i="2" s="1"/>
  <c r="AM243" i="2"/>
  <c r="AZ243" i="2" s="1"/>
  <c r="AL243" i="2"/>
  <c r="AY243" i="2" s="1"/>
  <c r="AK243" i="2"/>
  <c r="AX243" i="2" s="1"/>
  <c r="AJ243" i="2"/>
  <c r="AW243" i="2" s="1"/>
  <c r="AI243" i="2"/>
  <c r="AV243" i="2" s="1"/>
  <c r="AH243" i="2"/>
  <c r="AU243" i="2" s="1"/>
  <c r="AG243" i="2"/>
  <c r="AT243" i="2" s="1"/>
  <c r="AF243" i="2"/>
  <c r="AS243" i="2" s="1"/>
  <c r="AE243" i="2"/>
  <c r="AR243" i="2" s="1"/>
  <c r="AD243" i="2"/>
  <c r="AQ243" i="2" s="1"/>
  <c r="AA243" i="2"/>
  <c r="Z243" i="2"/>
  <c r="AP243" i="2" s="1"/>
  <c r="D243" i="2"/>
  <c r="A243" i="2"/>
  <c r="BC242" i="2"/>
  <c r="AO242" i="2"/>
  <c r="BB242" i="2" s="1"/>
  <c r="AN242" i="2"/>
  <c r="BA242" i="2" s="1"/>
  <c r="AM242" i="2"/>
  <c r="AZ242" i="2" s="1"/>
  <c r="AL242" i="2"/>
  <c r="AY242" i="2" s="1"/>
  <c r="AK242" i="2"/>
  <c r="AX242" i="2" s="1"/>
  <c r="AJ242" i="2"/>
  <c r="AW242" i="2" s="1"/>
  <c r="AI242" i="2"/>
  <c r="AV242" i="2" s="1"/>
  <c r="AH242" i="2"/>
  <c r="AU242" i="2" s="1"/>
  <c r="AG242" i="2"/>
  <c r="AT242" i="2" s="1"/>
  <c r="AF242" i="2"/>
  <c r="AS242" i="2" s="1"/>
  <c r="AE242" i="2"/>
  <c r="AR242" i="2" s="1"/>
  <c r="AD242" i="2"/>
  <c r="AQ242" i="2" s="1"/>
  <c r="AA242" i="2"/>
  <c r="Z242" i="2"/>
  <c r="AP242" i="2" s="1"/>
  <c r="D242" i="2"/>
  <c r="A242" i="2"/>
  <c r="BC241" i="2"/>
  <c r="AO241" i="2"/>
  <c r="BB241" i="2" s="1"/>
  <c r="AN241" i="2"/>
  <c r="BA241" i="2" s="1"/>
  <c r="AM241" i="2"/>
  <c r="AZ241" i="2" s="1"/>
  <c r="AL241" i="2"/>
  <c r="AY241" i="2" s="1"/>
  <c r="AK241" i="2"/>
  <c r="AX241" i="2" s="1"/>
  <c r="AJ241" i="2"/>
  <c r="AW241" i="2" s="1"/>
  <c r="AI241" i="2"/>
  <c r="AV241" i="2" s="1"/>
  <c r="AH241" i="2"/>
  <c r="AU241" i="2" s="1"/>
  <c r="AG241" i="2"/>
  <c r="AT241" i="2" s="1"/>
  <c r="AF241" i="2"/>
  <c r="AS241" i="2" s="1"/>
  <c r="AE241" i="2"/>
  <c r="AR241" i="2" s="1"/>
  <c r="AD241" i="2"/>
  <c r="AQ241" i="2" s="1"/>
  <c r="AA241" i="2"/>
  <c r="Z241" i="2"/>
  <c r="AP241" i="2" s="1"/>
  <c r="D241" i="2"/>
  <c r="A241" i="2"/>
  <c r="BC240" i="2"/>
  <c r="AO240" i="2"/>
  <c r="BB240" i="2" s="1"/>
  <c r="AN240" i="2"/>
  <c r="BA240" i="2" s="1"/>
  <c r="AM240" i="2"/>
  <c r="AZ240" i="2" s="1"/>
  <c r="AL240" i="2"/>
  <c r="AY240" i="2" s="1"/>
  <c r="AK240" i="2"/>
  <c r="AX240" i="2" s="1"/>
  <c r="AJ240" i="2"/>
  <c r="AW240" i="2" s="1"/>
  <c r="AI240" i="2"/>
  <c r="AV240" i="2" s="1"/>
  <c r="AH240" i="2"/>
  <c r="AU240" i="2" s="1"/>
  <c r="AG240" i="2"/>
  <c r="AT240" i="2" s="1"/>
  <c r="AF240" i="2"/>
  <c r="AS240" i="2" s="1"/>
  <c r="AE240" i="2"/>
  <c r="AR240" i="2" s="1"/>
  <c r="AD240" i="2"/>
  <c r="AQ240" i="2" s="1"/>
  <c r="AA240" i="2"/>
  <c r="Z240" i="2"/>
  <c r="AP240" i="2" s="1"/>
  <c r="D240" i="2"/>
  <c r="A240" i="2"/>
  <c r="BC239" i="2"/>
  <c r="AW239" i="2"/>
  <c r="AO239" i="2"/>
  <c r="BB239" i="2" s="1"/>
  <c r="AN239" i="2"/>
  <c r="BA239" i="2" s="1"/>
  <c r="AM239" i="2"/>
  <c r="AZ239" i="2" s="1"/>
  <c r="AL239" i="2"/>
  <c r="AY239" i="2" s="1"/>
  <c r="AK239" i="2"/>
  <c r="AX239" i="2" s="1"/>
  <c r="AJ239" i="2"/>
  <c r="AI239" i="2"/>
  <c r="AV239" i="2" s="1"/>
  <c r="AH239" i="2"/>
  <c r="AU239" i="2" s="1"/>
  <c r="AG239" i="2"/>
  <c r="AT239" i="2" s="1"/>
  <c r="AF239" i="2"/>
  <c r="AS239" i="2" s="1"/>
  <c r="AE239" i="2"/>
  <c r="AR239" i="2" s="1"/>
  <c r="AD239" i="2"/>
  <c r="AQ239" i="2" s="1"/>
  <c r="AA239" i="2"/>
  <c r="Z239" i="2"/>
  <c r="AP239" i="2" s="1"/>
  <c r="D239" i="2"/>
  <c r="A239" i="2"/>
  <c r="BC238" i="2"/>
  <c r="AO238" i="2"/>
  <c r="BB238" i="2" s="1"/>
  <c r="AN238" i="2"/>
  <c r="BA238" i="2" s="1"/>
  <c r="AM238" i="2"/>
  <c r="AZ238" i="2" s="1"/>
  <c r="AL238" i="2"/>
  <c r="AY238" i="2" s="1"/>
  <c r="AK238" i="2"/>
  <c r="AX238" i="2" s="1"/>
  <c r="AJ238" i="2"/>
  <c r="AW238" i="2" s="1"/>
  <c r="AI238" i="2"/>
  <c r="AV238" i="2" s="1"/>
  <c r="AH238" i="2"/>
  <c r="AU238" i="2" s="1"/>
  <c r="AG238" i="2"/>
  <c r="AT238" i="2" s="1"/>
  <c r="AF238" i="2"/>
  <c r="AS238" i="2" s="1"/>
  <c r="AE238" i="2"/>
  <c r="AR238" i="2" s="1"/>
  <c r="AD238" i="2"/>
  <c r="AQ238" i="2" s="1"/>
  <c r="AA238" i="2"/>
  <c r="Z238" i="2"/>
  <c r="AP238" i="2" s="1"/>
  <c r="D238" i="2"/>
  <c r="A238" i="2"/>
  <c r="BC237" i="2"/>
  <c r="AO237" i="2"/>
  <c r="BB237" i="2" s="1"/>
  <c r="AN237" i="2"/>
  <c r="BA237" i="2" s="1"/>
  <c r="AM237" i="2"/>
  <c r="AZ237" i="2" s="1"/>
  <c r="AL237" i="2"/>
  <c r="AY237" i="2" s="1"/>
  <c r="AK237" i="2"/>
  <c r="AX237" i="2" s="1"/>
  <c r="AJ237" i="2"/>
  <c r="AW237" i="2" s="1"/>
  <c r="AI237" i="2"/>
  <c r="AV237" i="2" s="1"/>
  <c r="AH237" i="2"/>
  <c r="AU237" i="2" s="1"/>
  <c r="AG237" i="2"/>
  <c r="AT237" i="2" s="1"/>
  <c r="AF237" i="2"/>
  <c r="AS237" i="2" s="1"/>
  <c r="AE237" i="2"/>
  <c r="AR237" i="2" s="1"/>
  <c r="AD237" i="2"/>
  <c r="AQ237" i="2" s="1"/>
  <c r="AA237" i="2"/>
  <c r="Z237" i="2"/>
  <c r="AP237" i="2" s="1"/>
  <c r="D237" i="2"/>
  <c r="A237" i="2"/>
  <c r="BC236" i="2"/>
  <c r="AO236" i="2"/>
  <c r="BB236" i="2" s="1"/>
  <c r="AN236" i="2"/>
  <c r="BA236" i="2" s="1"/>
  <c r="AM236" i="2"/>
  <c r="AZ236" i="2" s="1"/>
  <c r="AL236" i="2"/>
  <c r="AY236" i="2" s="1"/>
  <c r="AK236" i="2"/>
  <c r="AX236" i="2" s="1"/>
  <c r="AJ236" i="2"/>
  <c r="AW236" i="2" s="1"/>
  <c r="AI236" i="2"/>
  <c r="AV236" i="2" s="1"/>
  <c r="AH236" i="2"/>
  <c r="AU236" i="2" s="1"/>
  <c r="AG236" i="2"/>
  <c r="AT236" i="2" s="1"/>
  <c r="AF236" i="2"/>
  <c r="AS236" i="2" s="1"/>
  <c r="AE236" i="2"/>
  <c r="AR236" i="2" s="1"/>
  <c r="AD236" i="2"/>
  <c r="AQ236" i="2" s="1"/>
  <c r="AA236" i="2"/>
  <c r="Z236" i="2"/>
  <c r="AP236" i="2" s="1"/>
  <c r="D236" i="2"/>
  <c r="A236" i="2"/>
  <c r="BC235" i="2"/>
  <c r="AO235" i="2"/>
  <c r="BB235" i="2" s="1"/>
  <c r="AN235" i="2"/>
  <c r="BA235" i="2" s="1"/>
  <c r="AM235" i="2"/>
  <c r="AZ235" i="2" s="1"/>
  <c r="AL235" i="2"/>
  <c r="AY235" i="2" s="1"/>
  <c r="AK235" i="2"/>
  <c r="AX235" i="2" s="1"/>
  <c r="AJ235" i="2"/>
  <c r="AW235" i="2" s="1"/>
  <c r="AI235" i="2"/>
  <c r="AV235" i="2" s="1"/>
  <c r="AH235" i="2"/>
  <c r="AU235" i="2" s="1"/>
  <c r="AG235" i="2"/>
  <c r="AT235" i="2" s="1"/>
  <c r="AF235" i="2"/>
  <c r="AS235" i="2" s="1"/>
  <c r="AE235" i="2"/>
  <c r="AR235" i="2" s="1"/>
  <c r="AD235" i="2"/>
  <c r="AQ235" i="2" s="1"/>
  <c r="AA235" i="2"/>
  <c r="Z235" i="2"/>
  <c r="AP235" i="2" s="1"/>
  <c r="D235" i="2"/>
  <c r="A235" i="2"/>
  <c r="BC234" i="2"/>
  <c r="AO234" i="2"/>
  <c r="BB234" i="2" s="1"/>
  <c r="AN234" i="2"/>
  <c r="BA234" i="2" s="1"/>
  <c r="AM234" i="2"/>
  <c r="AZ234" i="2" s="1"/>
  <c r="AL234" i="2"/>
  <c r="AY234" i="2" s="1"/>
  <c r="AK234" i="2"/>
  <c r="AX234" i="2" s="1"/>
  <c r="AJ234" i="2"/>
  <c r="AW234" i="2" s="1"/>
  <c r="AI234" i="2"/>
  <c r="AV234" i="2" s="1"/>
  <c r="AH234" i="2"/>
  <c r="AU234" i="2" s="1"/>
  <c r="AG234" i="2"/>
  <c r="AT234" i="2" s="1"/>
  <c r="AF234" i="2"/>
  <c r="AS234" i="2" s="1"/>
  <c r="AE234" i="2"/>
  <c r="AR234" i="2" s="1"/>
  <c r="AD234" i="2"/>
  <c r="AQ234" i="2" s="1"/>
  <c r="AA234" i="2"/>
  <c r="Z234" i="2"/>
  <c r="AP234" i="2" s="1"/>
  <c r="D234" i="2"/>
  <c r="A234" i="2"/>
  <c r="BC233" i="2"/>
  <c r="AO233" i="2"/>
  <c r="BB233" i="2" s="1"/>
  <c r="AN233" i="2"/>
  <c r="BA233" i="2" s="1"/>
  <c r="AM233" i="2"/>
  <c r="AZ233" i="2" s="1"/>
  <c r="AL233" i="2"/>
  <c r="AY233" i="2" s="1"/>
  <c r="AK233" i="2"/>
  <c r="AX233" i="2" s="1"/>
  <c r="AJ233" i="2"/>
  <c r="AW233" i="2" s="1"/>
  <c r="AI233" i="2"/>
  <c r="AV233" i="2" s="1"/>
  <c r="AH233" i="2"/>
  <c r="AU233" i="2" s="1"/>
  <c r="AG233" i="2"/>
  <c r="AT233" i="2" s="1"/>
  <c r="AF233" i="2"/>
  <c r="AS233" i="2" s="1"/>
  <c r="AE233" i="2"/>
  <c r="AR233" i="2" s="1"/>
  <c r="AD233" i="2"/>
  <c r="AQ233" i="2" s="1"/>
  <c r="AA233" i="2"/>
  <c r="Z233" i="2"/>
  <c r="AP233" i="2" s="1"/>
  <c r="D233" i="2"/>
  <c r="A233" i="2"/>
  <c r="BC232" i="2"/>
  <c r="AO232" i="2"/>
  <c r="BB232" i="2" s="1"/>
  <c r="AN232" i="2"/>
  <c r="BA232" i="2" s="1"/>
  <c r="AM232" i="2"/>
  <c r="AZ232" i="2" s="1"/>
  <c r="AL232" i="2"/>
  <c r="AY232" i="2" s="1"/>
  <c r="AK232" i="2"/>
  <c r="AX232" i="2" s="1"/>
  <c r="AJ232" i="2"/>
  <c r="AW232" i="2" s="1"/>
  <c r="AI232" i="2"/>
  <c r="AV232" i="2" s="1"/>
  <c r="AH232" i="2"/>
  <c r="AU232" i="2" s="1"/>
  <c r="AG232" i="2"/>
  <c r="AT232" i="2" s="1"/>
  <c r="AF232" i="2"/>
  <c r="AS232" i="2" s="1"/>
  <c r="AE232" i="2"/>
  <c r="AR232" i="2" s="1"/>
  <c r="AD232" i="2"/>
  <c r="AQ232" i="2" s="1"/>
  <c r="AA232" i="2"/>
  <c r="Z232" i="2"/>
  <c r="AP232" i="2" s="1"/>
  <c r="D232" i="2"/>
  <c r="A232" i="2"/>
  <c r="BC231" i="2"/>
  <c r="AO231" i="2"/>
  <c r="BB231" i="2" s="1"/>
  <c r="AN231" i="2"/>
  <c r="BA231" i="2" s="1"/>
  <c r="AM231" i="2"/>
  <c r="AZ231" i="2" s="1"/>
  <c r="AL231" i="2"/>
  <c r="AY231" i="2" s="1"/>
  <c r="AK231" i="2"/>
  <c r="AX231" i="2" s="1"/>
  <c r="AJ231" i="2"/>
  <c r="AW231" i="2" s="1"/>
  <c r="AI231" i="2"/>
  <c r="AV231" i="2" s="1"/>
  <c r="AH231" i="2"/>
  <c r="AU231" i="2" s="1"/>
  <c r="AG231" i="2"/>
  <c r="AT231" i="2" s="1"/>
  <c r="AF231" i="2"/>
  <c r="AS231" i="2" s="1"/>
  <c r="AE231" i="2"/>
  <c r="AR231" i="2" s="1"/>
  <c r="AD231" i="2"/>
  <c r="AQ231" i="2" s="1"/>
  <c r="AA231" i="2"/>
  <c r="Z231" i="2"/>
  <c r="AP231" i="2" s="1"/>
  <c r="D231" i="2"/>
  <c r="A231" i="2"/>
  <c r="BC230" i="2"/>
  <c r="AO230" i="2"/>
  <c r="BB230" i="2" s="1"/>
  <c r="AN230" i="2"/>
  <c r="BA230" i="2" s="1"/>
  <c r="AM230" i="2"/>
  <c r="AZ230" i="2" s="1"/>
  <c r="AL230" i="2"/>
  <c r="AY230" i="2" s="1"/>
  <c r="AK230" i="2"/>
  <c r="AX230" i="2" s="1"/>
  <c r="AJ230" i="2"/>
  <c r="AW230" i="2" s="1"/>
  <c r="AI230" i="2"/>
  <c r="AV230" i="2" s="1"/>
  <c r="AH230" i="2"/>
  <c r="AU230" i="2" s="1"/>
  <c r="AG230" i="2"/>
  <c r="AT230" i="2" s="1"/>
  <c r="AF230" i="2"/>
  <c r="AS230" i="2" s="1"/>
  <c r="AE230" i="2"/>
  <c r="AR230" i="2" s="1"/>
  <c r="AD230" i="2"/>
  <c r="AQ230" i="2" s="1"/>
  <c r="AA230" i="2"/>
  <c r="Z230" i="2"/>
  <c r="AP230" i="2" s="1"/>
  <c r="D230" i="2"/>
  <c r="A230" i="2"/>
  <c r="BC229" i="2"/>
  <c r="BA229" i="2"/>
  <c r="AS229" i="2"/>
  <c r="AO229" i="2"/>
  <c r="BB229" i="2" s="1"/>
  <c r="AN229" i="2"/>
  <c r="AM229" i="2"/>
  <c r="AZ229" i="2" s="1"/>
  <c r="AL229" i="2"/>
  <c r="AY229" i="2" s="1"/>
  <c r="AK229" i="2"/>
  <c r="AX229" i="2" s="1"/>
  <c r="AJ229" i="2"/>
  <c r="AW229" i="2" s="1"/>
  <c r="AI229" i="2"/>
  <c r="AV229" i="2" s="1"/>
  <c r="AH229" i="2"/>
  <c r="AU229" i="2" s="1"/>
  <c r="AG229" i="2"/>
  <c r="AT229" i="2" s="1"/>
  <c r="AF229" i="2"/>
  <c r="AE229" i="2"/>
  <c r="AR229" i="2" s="1"/>
  <c r="AD229" i="2"/>
  <c r="AQ229" i="2" s="1"/>
  <c r="AA229" i="2"/>
  <c r="Z229" i="2"/>
  <c r="AP229" i="2" s="1"/>
  <c r="D229" i="2"/>
  <c r="A229" i="2"/>
  <c r="BC228" i="2"/>
  <c r="AO228" i="2"/>
  <c r="BB228" i="2" s="1"/>
  <c r="AN228" i="2"/>
  <c r="BA228" i="2" s="1"/>
  <c r="AM228" i="2"/>
  <c r="AZ228" i="2" s="1"/>
  <c r="AL228" i="2"/>
  <c r="AY228" i="2" s="1"/>
  <c r="AK228" i="2"/>
  <c r="AX228" i="2" s="1"/>
  <c r="AJ228" i="2"/>
  <c r="AW228" i="2" s="1"/>
  <c r="AI228" i="2"/>
  <c r="AV228" i="2" s="1"/>
  <c r="AH228" i="2"/>
  <c r="AU228" i="2" s="1"/>
  <c r="AG228" i="2"/>
  <c r="AT228" i="2" s="1"/>
  <c r="AF228" i="2"/>
  <c r="AS228" i="2" s="1"/>
  <c r="AE228" i="2"/>
  <c r="AR228" i="2" s="1"/>
  <c r="AD228" i="2"/>
  <c r="AQ228" i="2" s="1"/>
  <c r="AA228" i="2"/>
  <c r="Z228" i="2"/>
  <c r="AP228" i="2" s="1"/>
  <c r="D228" i="2"/>
  <c r="A228" i="2"/>
  <c r="BC227" i="2"/>
  <c r="AO227" i="2"/>
  <c r="BB227" i="2" s="1"/>
  <c r="AN227" i="2"/>
  <c r="BA227" i="2" s="1"/>
  <c r="AM227" i="2"/>
  <c r="AZ227" i="2" s="1"/>
  <c r="AL227" i="2"/>
  <c r="AY227" i="2" s="1"/>
  <c r="AK227" i="2"/>
  <c r="AX227" i="2" s="1"/>
  <c r="AJ227" i="2"/>
  <c r="AW227" i="2" s="1"/>
  <c r="AI227" i="2"/>
  <c r="AV227" i="2" s="1"/>
  <c r="AH227" i="2"/>
  <c r="AU227" i="2" s="1"/>
  <c r="AG227" i="2"/>
  <c r="AT227" i="2" s="1"/>
  <c r="AF227" i="2"/>
  <c r="AS227" i="2" s="1"/>
  <c r="AE227" i="2"/>
  <c r="AR227" i="2" s="1"/>
  <c r="AD227" i="2"/>
  <c r="AQ227" i="2" s="1"/>
  <c r="AA227" i="2"/>
  <c r="Z227" i="2"/>
  <c r="AP227" i="2" s="1"/>
  <c r="D227" i="2"/>
  <c r="A227" i="2"/>
  <c r="BC226" i="2"/>
  <c r="AO226" i="2"/>
  <c r="BB226" i="2" s="1"/>
  <c r="AN226" i="2"/>
  <c r="BA226" i="2" s="1"/>
  <c r="AM226" i="2"/>
  <c r="AZ226" i="2" s="1"/>
  <c r="AL226" i="2"/>
  <c r="AY226" i="2" s="1"/>
  <c r="AK226" i="2"/>
  <c r="AX226" i="2" s="1"/>
  <c r="AJ226" i="2"/>
  <c r="AW226" i="2" s="1"/>
  <c r="AI226" i="2"/>
  <c r="AV226" i="2" s="1"/>
  <c r="AH226" i="2"/>
  <c r="AU226" i="2" s="1"/>
  <c r="AG226" i="2"/>
  <c r="AT226" i="2" s="1"/>
  <c r="AF226" i="2"/>
  <c r="AS226" i="2" s="1"/>
  <c r="AE226" i="2"/>
  <c r="AR226" i="2" s="1"/>
  <c r="AD226" i="2"/>
  <c r="AQ226" i="2" s="1"/>
  <c r="AA226" i="2"/>
  <c r="Z226" i="2"/>
  <c r="AP226" i="2" s="1"/>
  <c r="D226" i="2"/>
  <c r="A226" i="2"/>
  <c r="BC225" i="2"/>
  <c r="AO225" i="2"/>
  <c r="BB225" i="2" s="1"/>
  <c r="AN225" i="2"/>
  <c r="BA225" i="2" s="1"/>
  <c r="AM225" i="2"/>
  <c r="AZ225" i="2" s="1"/>
  <c r="AL225" i="2"/>
  <c r="AY225" i="2" s="1"/>
  <c r="AK225" i="2"/>
  <c r="AX225" i="2" s="1"/>
  <c r="AJ225" i="2"/>
  <c r="AW225" i="2" s="1"/>
  <c r="AI225" i="2"/>
  <c r="AV225" i="2" s="1"/>
  <c r="AH225" i="2"/>
  <c r="AU225" i="2" s="1"/>
  <c r="AG225" i="2"/>
  <c r="AT225" i="2" s="1"/>
  <c r="AF225" i="2"/>
  <c r="AS225" i="2" s="1"/>
  <c r="AE225" i="2"/>
  <c r="AR225" i="2" s="1"/>
  <c r="AD225" i="2"/>
  <c r="AQ225" i="2" s="1"/>
  <c r="AA225" i="2"/>
  <c r="Z225" i="2"/>
  <c r="AP225" i="2" s="1"/>
  <c r="D225" i="2"/>
  <c r="A225" i="2"/>
  <c r="BC224" i="2"/>
  <c r="AO224" i="2"/>
  <c r="BB224" i="2" s="1"/>
  <c r="AN224" i="2"/>
  <c r="BA224" i="2" s="1"/>
  <c r="AM224" i="2"/>
  <c r="AZ224" i="2" s="1"/>
  <c r="AL224" i="2"/>
  <c r="AY224" i="2" s="1"/>
  <c r="AK224" i="2"/>
  <c r="AX224" i="2" s="1"/>
  <c r="AJ224" i="2"/>
  <c r="AW224" i="2" s="1"/>
  <c r="AI224" i="2"/>
  <c r="AV224" i="2" s="1"/>
  <c r="AH224" i="2"/>
  <c r="AU224" i="2" s="1"/>
  <c r="AG224" i="2"/>
  <c r="AT224" i="2" s="1"/>
  <c r="AF224" i="2"/>
  <c r="AS224" i="2" s="1"/>
  <c r="AE224" i="2"/>
  <c r="AR224" i="2" s="1"/>
  <c r="AD224" i="2"/>
  <c r="AQ224" i="2" s="1"/>
  <c r="AA224" i="2"/>
  <c r="Z224" i="2"/>
  <c r="AP224" i="2" s="1"/>
  <c r="D224" i="2"/>
  <c r="A224" i="2"/>
  <c r="BC223" i="2"/>
  <c r="AO223" i="2"/>
  <c r="BB223" i="2" s="1"/>
  <c r="AN223" i="2"/>
  <c r="BA223" i="2" s="1"/>
  <c r="AM223" i="2"/>
  <c r="AZ223" i="2" s="1"/>
  <c r="AL223" i="2"/>
  <c r="AY223" i="2" s="1"/>
  <c r="AK223" i="2"/>
  <c r="AX223" i="2" s="1"/>
  <c r="AJ223" i="2"/>
  <c r="AW223" i="2" s="1"/>
  <c r="AI223" i="2"/>
  <c r="AV223" i="2" s="1"/>
  <c r="AH223" i="2"/>
  <c r="AU223" i="2" s="1"/>
  <c r="AG223" i="2"/>
  <c r="AT223" i="2" s="1"/>
  <c r="AF223" i="2"/>
  <c r="AS223" i="2" s="1"/>
  <c r="AE223" i="2"/>
  <c r="AR223" i="2" s="1"/>
  <c r="AD223" i="2"/>
  <c r="AQ223" i="2" s="1"/>
  <c r="AA223" i="2"/>
  <c r="Z223" i="2"/>
  <c r="AP223" i="2" s="1"/>
  <c r="D223" i="2"/>
  <c r="A223" i="2"/>
  <c r="BC222" i="2"/>
  <c r="AO222" i="2"/>
  <c r="BB222" i="2" s="1"/>
  <c r="AN222" i="2"/>
  <c r="BA222" i="2" s="1"/>
  <c r="AM222" i="2"/>
  <c r="AZ222" i="2" s="1"/>
  <c r="AL222" i="2"/>
  <c r="AY222" i="2" s="1"/>
  <c r="AK222" i="2"/>
  <c r="AX222" i="2" s="1"/>
  <c r="AJ222" i="2"/>
  <c r="AW222" i="2" s="1"/>
  <c r="AI222" i="2"/>
  <c r="AV222" i="2" s="1"/>
  <c r="AH222" i="2"/>
  <c r="AU222" i="2" s="1"/>
  <c r="AG222" i="2"/>
  <c r="AT222" i="2" s="1"/>
  <c r="AF222" i="2"/>
  <c r="AS222" i="2" s="1"/>
  <c r="AE222" i="2"/>
  <c r="AR222" i="2" s="1"/>
  <c r="AD222" i="2"/>
  <c r="AQ222" i="2" s="1"/>
  <c r="AA222" i="2"/>
  <c r="Z222" i="2"/>
  <c r="AP222" i="2" s="1"/>
  <c r="D222" i="2"/>
  <c r="A222" i="2"/>
  <c r="BC221" i="2"/>
  <c r="AW221" i="2"/>
  <c r="AO221" i="2"/>
  <c r="BB221" i="2" s="1"/>
  <c r="AN221" i="2"/>
  <c r="BA221" i="2" s="1"/>
  <c r="AM221" i="2"/>
  <c r="AZ221" i="2" s="1"/>
  <c r="AL221" i="2"/>
  <c r="AY221" i="2" s="1"/>
  <c r="AK221" i="2"/>
  <c r="AX221" i="2" s="1"/>
  <c r="AJ221" i="2"/>
  <c r="AI221" i="2"/>
  <c r="AV221" i="2" s="1"/>
  <c r="AH221" i="2"/>
  <c r="AU221" i="2" s="1"/>
  <c r="AG221" i="2"/>
  <c r="AT221" i="2" s="1"/>
  <c r="AF221" i="2"/>
  <c r="AS221" i="2" s="1"/>
  <c r="AE221" i="2"/>
  <c r="AR221" i="2" s="1"/>
  <c r="AD221" i="2"/>
  <c r="AQ221" i="2" s="1"/>
  <c r="AA221" i="2"/>
  <c r="Z221" i="2"/>
  <c r="AP221" i="2" s="1"/>
  <c r="D221" i="2"/>
  <c r="A221" i="2"/>
  <c r="BC220" i="2"/>
  <c r="AO220" i="2"/>
  <c r="BB220" i="2" s="1"/>
  <c r="AN220" i="2"/>
  <c r="BA220" i="2" s="1"/>
  <c r="AM220" i="2"/>
  <c r="AZ220" i="2" s="1"/>
  <c r="AL220" i="2"/>
  <c r="AY220" i="2" s="1"/>
  <c r="AK220" i="2"/>
  <c r="AX220" i="2" s="1"/>
  <c r="AJ220" i="2"/>
  <c r="AW220" i="2" s="1"/>
  <c r="AI220" i="2"/>
  <c r="AV220" i="2" s="1"/>
  <c r="AH220" i="2"/>
  <c r="AU220" i="2" s="1"/>
  <c r="AG220" i="2"/>
  <c r="AT220" i="2" s="1"/>
  <c r="AF220" i="2"/>
  <c r="AS220" i="2" s="1"/>
  <c r="AE220" i="2"/>
  <c r="AR220" i="2" s="1"/>
  <c r="AD220" i="2"/>
  <c r="AQ220" i="2" s="1"/>
  <c r="AA220" i="2"/>
  <c r="Z220" i="2"/>
  <c r="AP220" i="2" s="1"/>
  <c r="D220" i="2"/>
  <c r="A220" i="2"/>
  <c r="BC219" i="2"/>
  <c r="AO219" i="2"/>
  <c r="BB219" i="2" s="1"/>
  <c r="AN219" i="2"/>
  <c r="BA219" i="2" s="1"/>
  <c r="AM219" i="2"/>
  <c r="AZ219" i="2" s="1"/>
  <c r="AL219" i="2"/>
  <c r="AY219" i="2" s="1"/>
  <c r="AK219" i="2"/>
  <c r="AX219" i="2" s="1"/>
  <c r="AJ219" i="2"/>
  <c r="AW219" i="2" s="1"/>
  <c r="AI219" i="2"/>
  <c r="AV219" i="2" s="1"/>
  <c r="AH219" i="2"/>
  <c r="AU219" i="2" s="1"/>
  <c r="AG219" i="2"/>
  <c r="AT219" i="2" s="1"/>
  <c r="AF219" i="2"/>
  <c r="AS219" i="2" s="1"/>
  <c r="AE219" i="2"/>
  <c r="AR219" i="2" s="1"/>
  <c r="AD219" i="2"/>
  <c r="AQ219" i="2" s="1"/>
  <c r="AA219" i="2"/>
  <c r="Z219" i="2"/>
  <c r="AP219" i="2" s="1"/>
  <c r="D219" i="2"/>
  <c r="A219" i="2"/>
  <c r="BC218" i="2"/>
  <c r="AO218" i="2"/>
  <c r="BB218" i="2" s="1"/>
  <c r="AN218" i="2"/>
  <c r="BA218" i="2" s="1"/>
  <c r="AM218" i="2"/>
  <c r="AZ218" i="2" s="1"/>
  <c r="AL218" i="2"/>
  <c r="AY218" i="2" s="1"/>
  <c r="AK218" i="2"/>
  <c r="AX218" i="2" s="1"/>
  <c r="AJ218" i="2"/>
  <c r="AW218" i="2" s="1"/>
  <c r="AI218" i="2"/>
  <c r="AV218" i="2" s="1"/>
  <c r="AH218" i="2"/>
  <c r="AU218" i="2" s="1"/>
  <c r="AG218" i="2"/>
  <c r="AT218" i="2" s="1"/>
  <c r="AF218" i="2"/>
  <c r="AS218" i="2" s="1"/>
  <c r="AE218" i="2"/>
  <c r="AR218" i="2" s="1"/>
  <c r="AD218" i="2"/>
  <c r="AQ218" i="2" s="1"/>
  <c r="AA218" i="2"/>
  <c r="Z218" i="2"/>
  <c r="AP218" i="2" s="1"/>
  <c r="D218" i="2"/>
  <c r="A218" i="2"/>
  <c r="BC217" i="2"/>
  <c r="AO217" i="2"/>
  <c r="BB217" i="2" s="1"/>
  <c r="AN217" i="2"/>
  <c r="BA217" i="2" s="1"/>
  <c r="AM217" i="2"/>
  <c r="AZ217" i="2" s="1"/>
  <c r="AL217" i="2"/>
  <c r="AY217" i="2" s="1"/>
  <c r="AK217" i="2"/>
  <c r="AX217" i="2" s="1"/>
  <c r="AJ217" i="2"/>
  <c r="AW217" i="2" s="1"/>
  <c r="AI217" i="2"/>
  <c r="AV217" i="2" s="1"/>
  <c r="AH217" i="2"/>
  <c r="AU217" i="2" s="1"/>
  <c r="AG217" i="2"/>
  <c r="AT217" i="2" s="1"/>
  <c r="AF217" i="2"/>
  <c r="AS217" i="2" s="1"/>
  <c r="AE217" i="2"/>
  <c r="AR217" i="2" s="1"/>
  <c r="AD217" i="2"/>
  <c r="AQ217" i="2" s="1"/>
  <c r="AA217" i="2"/>
  <c r="Z217" i="2"/>
  <c r="AP217" i="2" s="1"/>
  <c r="D217" i="2"/>
  <c r="A217" i="2"/>
  <c r="BC216" i="2"/>
  <c r="AO216" i="2"/>
  <c r="BB216" i="2" s="1"/>
  <c r="AN216" i="2"/>
  <c r="BA216" i="2" s="1"/>
  <c r="AM216" i="2"/>
  <c r="AZ216" i="2" s="1"/>
  <c r="AL216" i="2"/>
  <c r="AY216" i="2" s="1"/>
  <c r="AK216" i="2"/>
  <c r="AX216" i="2" s="1"/>
  <c r="AJ216" i="2"/>
  <c r="AW216" i="2" s="1"/>
  <c r="AI216" i="2"/>
  <c r="AV216" i="2" s="1"/>
  <c r="AH216" i="2"/>
  <c r="AU216" i="2" s="1"/>
  <c r="AG216" i="2"/>
  <c r="AT216" i="2" s="1"/>
  <c r="AF216" i="2"/>
  <c r="AS216" i="2" s="1"/>
  <c r="AE216" i="2"/>
  <c r="AR216" i="2" s="1"/>
  <c r="AD216" i="2"/>
  <c r="AQ216" i="2" s="1"/>
  <c r="AA216" i="2"/>
  <c r="Z216" i="2"/>
  <c r="AP216" i="2" s="1"/>
  <c r="D216" i="2"/>
  <c r="A216" i="2"/>
  <c r="BC215" i="2"/>
  <c r="AS215" i="2"/>
  <c r="AO215" i="2"/>
  <c r="BB215" i="2" s="1"/>
  <c r="AN215" i="2"/>
  <c r="BA215" i="2" s="1"/>
  <c r="AM215" i="2"/>
  <c r="AZ215" i="2" s="1"/>
  <c r="AL215" i="2"/>
  <c r="AY215" i="2" s="1"/>
  <c r="AK215" i="2"/>
  <c r="AX215" i="2" s="1"/>
  <c r="AJ215" i="2"/>
  <c r="AW215" i="2" s="1"/>
  <c r="AI215" i="2"/>
  <c r="AV215" i="2" s="1"/>
  <c r="AH215" i="2"/>
  <c r="AU215" i="2" s="1"/>
  <c r="AG215" i="2"/>
  <c r="AT215" i="2" s="1"/>
  <c r="AF215" i="2"/>
  <c r="AE215" i="2"/>
  <c r="AR215" i="2" s="1"/>
  <c r="AD215" i="2"/>
  <c r="AQ215" i="2" s="1"/>
  <c r="AA215" i="2"/>
  <c r="Z215" i="2"/>
  <c r="AP215" i="2" s="1"/>
  <c r="D215" i="2"/>
  <c r="A215" i="2"/>
  <c r="BC214" i="2"/>
  <c r="AO214" i="2"/>
  <c r="BB214" i="2" s="1"/>
  <c r="AN214" i="2"/>
  <c r="BA214" i="2" s="1"/>
  <c r="AM214" i="2"/>
  <c r="AZ214" i="2" s="1"/>
  <c r="AL214" i="2"/>
  <c r="AY214" i="2" s="1"/>
  <c r="AK214" i="2"/>
  <c r="AX214" i="2" s="1"/>
  <c r="AJ214" i="2"/>
  <c r="AW214" i="2" s="1"/>
  <c r="AI214" i="2"/>
  <c r="AV214" i="2" s="1"/>
  <c r="AH214" i="2"/>
  <c r="AU214" i="2" s="1"/>
  <c r="AG214" i="2"/>
  <c r="AT214" i="2" s="1"/>
  <c r="AF214" i="2"/>
  <c r="AS214" i="2" s="1"/>
  <c r="AE214" i="2"/>
  <c r="AR214" i="2" s="1"/>
  <c r="AD214" i="2"/>
  <c r="AQ214" i="2" s="1"/>
  <c r="AA214" i="2"/>
  <c r="Z214" i="2"/>
  <c r="AP214" i="2" s="1"/>
  <c r="D214" i="2"/>
  <c r="A214" i="2"/>
  <c r="BC213" i="2"/>
  <c r="AO213" i="2"/>
  <c r="BB213" i="2" s="1"/>
  <c r="AN213" i="2"/>
  <c r="BA213" i="2" s="1"/>
  <c r="AM213" i="2"/>
  <c r="AZ213" i="2" s="1"/>
  <c r="AL213" i="2"/>
  <c r="AY213" i="2" s="1"/>
  <c r="AK213" i="2"/>
  <c r="AX213" i="2" s="1"/>
  <c r="AJ213" i="2"/>
  <c r="AW213" i="2" s="1"/>
  <c r="AI213" i="2"/>
  <c r="AV213" i="2" s="1"/>
  <c r="AH213" i="2"/>
  <c r="AU213" i="2" s="1"/>
  <c r="AG213" i="2"/>
  <c r="AT213" i="2" s="1"/>
  <c r="AF213" i="2"/>
  <c r="AS213" i="2" s="1"/>
  <c r="AE213" i="2"/>
  <c r="AR213" i="2" s="1"/>
  <c r="AD213" i="2"/>
  <c r="AQ213" i="2" s="1"/>
  <c r="AA213" i="2"/>
  <c r="Z213" i="2"/>
  <c r="AP213" i="2" s="1"/>
  <c r="D213" i="2"/>
  <c r="A213" i="2"/>
  <c r="BC212" i="2"/>
  <c r="AO212" i="2"/>
  <c r="BB212" i="2" s="1"/>
  <c r="AN212" i="2"/>
  <c r="BA212" i="2" s="1"/>
  <c r="AM212" i="2"/>
  <c r="AZ212" i="2" s="1"/>
  <c r="AL212" i="2"/>
  <c r="AY212" i="2" s="1"/>
  <c r="AK212" i="2"/>
  <c r="AX212" i="2" s="1"/>
  <c r="AJ212" i="2"/>
  <c r="AW212" i="2" s="1"/>
  <c r="AI212" i="2"/>
  <c r="AV212" i="2" s="1"/>
  <c r="AH212" i="2"/>
  <c r="AU212" i="2" s="1"/>
  <c r="AG212" i="2"/>
  <c r="AT212" i="2" s="1"/>
  <c r="AF212" i="2"/>
  <c r="AS212" i="2" s="1"/>
  <c r="AE212" i="2"/>
  <c r="AR212" i="2" s="1"/>
  <c r="AD212" i="2"/>
  <c r="AQ212" i="2" s="1"/>
  <c r="AA212" i="2"/>
  <c r="Z212" i="2"/>
  <c r="AP212" i="2" s="1"/>
  <c r="D212" i="2"/>
  <c r="A212" i="2"/>
  <c r="BC211" i="2"/>
  <c r="AO211" i="2"/>
  <c r="BB211" i="2" s="1"/>
  <c r="AN211" i="2"/>
  <c r="BA211" i="2" s="1"/>
  <c r="AM211" i="2"/>
  <c r="AZ211" i="2" s="1"/>
  <c r="AL211" i="2"/>
  <c r="AY211" i="2" s="1"/>
  <c r="AK211" i="2"/>
  <c r="AX211" i="2" s="1"/>
  <c r="AJ211" i="2"/>
  <c r="AW211" i="2" s="1"/>
  <c r="AI211" i="2"/>
  <c r="AV211" i="2" s="1"/>
  <c r="AH211" i="2"/>
  <c r="AU211" i="2" s="1"/>
  <c r="AG211" i="2"/>
  <c r="AT211" i="2" s="1"/>
  <c r="AF211" i="2"/>
  <c r="AS211" i="2" s="1"/>
  <c r="AE211" i="2"/>
  <c r="AR211" i="2" s="1"/>
  <c r="AD211" i="2"/>
  <c r="AQ211" i="2" s="1"/>
  <c r="AA211" i="2"/>
  <c r="Z211" i="2"/>
  <c r="AP211" i="2" s="1"/>
  <c r="D211" i="2"/>
  <c r="A211" i="2"/>
  <c r="BC210" i="2"/>
  <c r="AO210" i="2"/>
  <c r="BB210" i="2" s="1"/>
  <c r="AN210" i="2"/>
  <c r="BA210" i="2" s="1"/>
  <c r="AM210" i="2"/>
  <c r="AZ210" i="2" s="1"/>
  <c r="AL210" i="2"/>
  <c r="AY210" i="2" s="1"/>
  <c r="AK210" i="2"/>
  <c r="AX210" i="2" s="1"/>
  <c r="AJ210" i="2"/>
  <c r="AW210" i="2" s="1"/>
  <c r="AI210" i="2"/>
  <c r="AV210" i="2" s="1"/>
  <c r="AH210" i="2"/>
  <c r="AU210" i="2" s="1"/>
  <c r="AG210" i="2"/>
  <c r="AT210" i="2" s="1"/>
  <c r="AF210" i="2"/>
  <c r="AS210" i="2" s="1"/>
  <c r="AE210" i="2"/>
  <c r="AR210" i="2" s="1"/>
  <c r="AD210" i="2"/>
  <c r="AQ210" i="2" s="1"/>
  <c r="AA210" i="2"/>
  <c r="Z210" i="2"/>
  <c r="AP210" i="2" s="1"/>
  <c r="D210" i="2"/>
  <c r="A210" i="2"/>
  <c r="BC209" i="2"/>
  <c r="AO209" i="2"/>
  <c r="BB209" i="2" s="1"/>
  <c r="AN209" i="2"/>
  <c r="BA209" i="2" s="1"/>
  <c r="AM209" i="2"/>
  <c r="AZ209" i="2" s="1"/>
  <c r="AL209" i="2"/>
  <c r="AY209" i="2" s="1"/>
  <c r="AK209" i="2"/>
  <c r="AX209" i="2" s="1"/>
  <c r="AJ209" i="2"/>
  <c r="AW209" i="2" s="1"/>
  <c r="AI209" i="2"/>
  <c r="AV209" i="2" s="1"/>
  <c r="AH209" i="2"/>
  <c r="AU209" i="2" s="1"/>
  <c r="AG209" i="2"/>
  <c r="AT209" i="2" s="1"/>
  <c r="AF209" i="2"/>
  <c r="AS209" i="2" s="1"/>
  <c r="AE209" i="2"/>
  <c r="AR209" i="2" s="1"/>
  <c r="AD209" i="2"/>
  <c r="AQ209" i="2" s="1"/>
  <c r="AA209" i="2"/>
  <c r="Z209" i="2"/>
  <c r="AP209" i="2" s="1"/>
  <c r="D209" i="2"/>
  <c r="A209" i="2"/>
  <c r="BC208" i="2"/>
  <c r="AO208" i="2"/>
  <c r="BB208" i="2" s="1"/>
  <c r="AN208" i="2"/>
  <c r="BA208" i="2" s="1"/>
  <c r="AM208" i="2"/>
  <c r="AZ208" i="2" s="1"/>
  <c r="AL208" i="2"/>
  <c r="AY208" i="2" s="1"/>
  <c r="AK208" i="2"/>
  <c r="AX208" i="2" s="1"/>
  <c r="AJ208" i="2"/>
  <c r="AW208" i="2" s="1"/>
  <c r="AI208" i="2"/>
  <c r="AV208" i="2" s="1"/>
  <c r="AH208" i="2"/>
  <c r="AU208" i="2" s="1"/>
  <c r="AG208" i="2"/>
  <c r="AT208" i="2" s="1"/>
  <c r="AF208" i="2"/>
  <c r="AS208" i="2" s="1"/>
  <c r="AE208" i="2"/>
  <c r="AR208" i="2" s="1"/>
  <c r="AD208" i="2"/>
  <c r="AQ208" i="2" s="1"/>
  <c r="AA208" i="2"/>
  <c r="Z208" i="2"/>
  <c r="AP208" i="2" s="1"/>
  <c r="D208" i="2"/>
  <c r="A208" i="2"/>
  <c r="BC207" i="2"/>
  <c r="AO207" i="2"/>
  <c r="BB207" i="2" s="1"/>
  <c r="AN207" i="2"/>
  <c r="BA207" i="2" s="1"/>
  <c r="AM207" i="2"/>
  <c r="AZ207" i="2" s="1"/>
  <c r="AL207" i="2"/>
  <c r="AY207" i="2" s="1"/>
  <c r="AK207" i="2"/>
  <c r="AX207" i="2" s="1"/>
  <c r="AJ207" i="2"/>
  <c r="AW207" i="2" s="1"/>
  <c r="AI207" i="2"/>
  <c r="AV207" i="2" s="1"/>
  <c r="AH207" i="2"/>
  <c r="AU207" i="2" s="1"/>
  <c r="AG207" i="2"/>
  <c r="AT207" i="2" s="1"/>
  <c r="AF207" i="2"/>
  <c r="AS207" i="2" s="1"/>
  <c r="AE207" i="2"/>
  <c r="AR207" i="2" s="1"/>
  <c r="AD207" i="2"/>
  <c r="AQ207" i="2" s="1"/>
  <c r="AA207" i="2"/>
  <c r="Z207" i="2"/>
  <c r="AP207" i="2" s="1"/>
  <c r="D207" i="2"/>
  <c r="A207" i="2"/>
  <c r="BC206" i="2"/>
  <c r="AO206" i="2"/>
  <c r="BB206" i="2" s="1"/>
  <c r="AN206" i="2"/>
  <c r="BA206" i="2" s="1"/>
  <c r="AM206" i="2"/>
  <c r="AZ206" i="2" s="1"/>
  <c r="AL206" i="2"/>
  <c r="AY206" i="2" s="1"/>
  <c r="AK206" i="2"/>
  <c r="AX206" i="2" s="1"/>
  <c r="AJ206" i="2"/>
  <c r="AW206" i="2" s="1"/>
  <c r="AI206" i="2"/>
  <c r="AV206" i="2" s="1"/>
  <c r="AH206" i="2"/>
  <c r="AU206" i="2" s="1"/>
  <c r="AG206" i="2"/>
  <c r="AT206" i="2" s="1"/>
  <c r="AF206" i="2"/>
  <c r="AS206" i="2" s="1"/>
  <c r="AE206" i="2"/>
  <c r="AR206" i="2" s="1"/>
  <c r="AD206" i="2"/>
  <c r="AQ206" i="2" s="1"/>
  <c r="AA206" i="2"/>
  <c r="Z206" i="2"/>
  <c r="AP206" i="2" s="1"/>
  <c r="D206" i="2"/>
  <c r="A206" i="2"/>
  <c r="BC205" i="2"/>
  <c r="AO205" i="2"/>
  <c r="BB205" i="2" s="1"/>
  <c r="AN205" i="2"/>
  <c r="BA205" i="2" s="1"/>
  <c r="AM205" i="2"/>
  <c r="AZ205" i="2" s="1"/>
  <c r="AL205" i="2"/>
  <c r="AY205" i="2" s="1"/>
  <c r="AK205" i="2"/>
  <c r="AX205" i="2" s="1"/>
  <c r="AJ205" i="2"/>
  <c r="AW205" i="2" s="1"/>
  <c r="AI205" i="2"/>
  <c r="AV205" i="2" s="1"/>
  <c r="AH205" i="2"/>
  <c r="AU205" i="2" s="1"/>
  <c r="AG205" i="2"/>
  <c r="AT205" i="2" s="1"/>
  <c r="AF205" i="2"/>
  <c r="AS205" i="2" s="1"/>
  <c r="AE205" i="2"/>
  <c r="AR205" i="2" s="1"/>
  <c r="AD205" i="2"/>
  <c r="AQ205" i="2" s="1"/>
  <c r="AA205" i="2"/>
  <c r="Z205" i="2"/>
  <c r="AP205" i="2" s="1"/>
  <c r="D205" i="2"/>
  <c r="A205" i="2"/>
  <c r="BC204" i="2"/>
  <c r="AO204" i="2"/>
  <c r="BB204" i="2" s="1"/>
  <c r="AN204" i="2"/>
  <c r="BA204" i="2" s="1"/>
  <c r="AM204" i="2"/>
  <c r="AZ204" i="2" s="1"/>
  <c r="AL204" i="2"/>
  <c r="AY204" i="2" s="1"/>
  <c r="AK204" i="2"/>
  <c r="AX204" i="2" s="1"/>
  <c r="AJ204" i="2"/>
  <c r="AW204" i="2" s="1"/>
  <c r="AI204" i="2"/>
  <c r="AV204" i="2" s="1"/>
  <c r="AH204" i="2"/>
  <c r="AU204" i="2" s="1"/>
  <c r="AG204" i="2"/>
  <c r="AT204" i="2" s="1"/>
  <c r="AF204" i="2"/>
  <c r="AS204" i="2" s="1"/>
  <c r="AE204" i="2"/>
  <c r="AR204" i="2" s="1"/>
  <c r="AD204" i="2"/>
  <c r="AQ204" i="2" s="1"/>
  <c r="AA204" i="2"/>
  <c r="Z204" i="2"/>
  <c r="AP204" i="2" s="1"/>
  <c r="D204" i="2"/>
  <c r="A204" i="2"/>
  <c r="BC203" i="2"/>
  <c r="AO203" i="2"/>
  <c r="BB203" i="2" s="1"/>
  <c r="AN203" i="2"/>
  <c r="BA203" i="2" s="1"/>
  <c r="AM203" i="2"/>
  <c r="AZ203" i="2" s="1"/>
  <c r="AL203" i="2"/>
  <c r="AY203" i="2" s="1"/>
  <c r="AK203" i="2"/>
  <c r="AX203" i="2" s="1"/>
  <c r="AJ203" i="2"/>
  <c r="AW203" i="2" s="1"/>
  <c r="AI203" i="2"/>
  <c r="AV203" i="2" s="1"/>
  <c r="AH203" i="2"/>
  <c r="AU203" i="2" s="1"/>
  <c r="AG203" i="2"/>
  <c r="AT203" i="2" s="1"/>
  <c r="AF203" i="2"/>
  <c r="AS203" i="2" s="1"/>
  <c r="AE203" i="2"/>
  <c r="AR203" i="2" s="1"/>
  <c r="AD203" i="2"/>
  <c r="AQ203" i="2" s="1"/>
  <c r="AA203" i="2"/>
  <c r="Z203" i="2"/>
  <c r="AP203" i="2" s="1"/>
  <c r="D203" i="2"/>
  <c r="A203" i="2"/>
  <c r="BC202" i="2"/>
  <c r="AO202" i="2"/>
  <c r="BB202" i="2" s="1"/>
  <c r="AN202" i="2"/>
  <c r="BA202" i="2" s="1"/>
  <c r="AM202" i="2"/>
  <c r="AZ202" i="2" s="1"/>
  <c r="AL202" i="2"/>
  <c r="AY202" i="2" s="1"/>
  <c r="AK202" i="2"/>
  <c r="AX202" i="2" s="1"/>
  <c r="AJ202" i="2"/>
  <c r="AW202" i="2" s="1"/>
  <c r="AI202" i="2"/>
  <c r="AV202" i="2" s="1"/>
  <c r="AH202" i="2"/>
  <c r="AU202" i="2" s="1"/>
  <c r="AG202" i="2"/>
  <c r="AT202" i="2" s="1"/>
  <c r="AF202" i="2"/>
  <c r="AS202" i="2" s="1"/>
  <c r="AE202" i="2"/>
  <c r="AR202" i="2" s="1"/>
  <c r="AD202" i="2"/>
  <c r="AQ202" i="2" s="1"/>
  <c r="AA202" i="2"/>
  <c r="Z202" i="2"/>
  <c r="AP202" i="2" s="1"/>
  <c r="D202" i="2"/>
  <c r="A202" i="2"/>
  <c r="BC201" i="2"/>
  <c r="AO201" i="2"/>
  <c r="BB201" i="2" s="1"/>
  <c r="AN201" i="2"/>
  <c r="BA201" i="2" s="1"/>
  <c r="AM201" i="2"/>
  <c r="AZ201" i="2" s="1"/>
  <c r="AL201" i="2"/>
  <c r="AY201" i="2" s="1"/>
  <c r="AK201" i="2"/>
  <c r="AX201" i="2" s="1"/>
  <c r="AJ201" i="2"/>
  <c r="AW201" i="2" s="1"/>
  <c r="AI201" i="2"/>
  <c r="AV201" i="2" s="1"/>
  <c r="AH201" i="2"/>
  <c r="AU201" i="2" s="1"/>
  <c r="AG201" i="2"/>
  <c r="AT201" i="2" s="1"/>
  <c r="AF201" i="2"/>
  <c r="AS201" i="2" s="1"/>
  <c r="AE201" i="2"/>
  <c r="AR201" i="2" s="1"/>
  <c r="AD201" i="2"/>
  <c r="AQ201" i="2" s="1"/>
  <c r="AA201" i="2"/>
  <c r="Z201" i="2"/>
  <c r="AP201" i="2" s="1"/>
  <c r="D201" i="2"/>
  <c r="A201" i="2"/>
  <c r="BC200" i="2"/>
  <c r="AO200" i="2"/>
  <c r="BB200" i="2" s="1"/>
  <c r="AN200" i="2"/>
  <c r="BA200" i="2" s="1"/>
  <c r="AM200" i="2"/>
  <c r="AZ200" i="2" s="1"/>
  <c r="AL200" i="2"/>
  <c r="AY200" i="2" s="1"/>
  <c r="AK200" i="2"/>
  <c r="AX200" i="2" s="1"/>
  <c r="AJ200" i="2"/>
  <c r="AW200" i="2" s="1"/>
  <c r="AI200" i="2"/>
  <c r="AV200" i="2" s="1"/>
  <c r="AH200" i="2"/>
  <c r="AU200" i="2" s="1"/>
  <c r="AG200" i="2"/>
  <c r="AT200" i="2" s="1"/>
  <c r="AF200" i="2"/>
  <c r="AS200" i="2" s="1"/>
  <c r="AE200" i="2"/>
  <c r="AR200" i="2" s="1"/>
  <c r="AD200" i="2"/>
  <c r="AQ200" i="2" s="1"/>
  <c r="AA200" i="2"/>
  <c r="Z200" i="2"/>
  <c r="AP200" i="2" s="1"/>
  <c r="D200" i="2"/>
  <c r="A200" i="2"/>
  <c r="BC199" i="2"/>
  <c r="AW199" i="2"/>
  <c r="AO199" i="2"/>
  <c r="BB199" i="2" s="1"/>
  <c r="AN199" i="2"/>
  <c r="BA199" i="2" s="1"/>
  <c r="AM199" i="2"/>
  <c r="AZ199" i="2" s="1"/>
  <c r="AL199" i="2"/>
  <c r="AY199" i="2" s="1"/>
  <c r="AK199" i="2"/>
  <c r="AX199" i="2" s="1"/>
  <c r="AJ199" i="2"/>
  <c r="AI199" i="2"/>
  <c r="AV199" i="2" s="1"/>
  <c r="AH199" i="2"/>
  <c r="AU199" i="2" s="1"/>
  <c r="AG199" i="2"/>
  <c r="AT199" i="2" s="1"/>
  <c r="AF199" i="2"/>
  <c r="AS199" i="2" s="1"/>
  <c r="AE199" i="2"/>
  <c r="AR199" i="2" s="1"/>
  <c r="AD199" i="2"/>
  <c r="AQ199" i="2" s="1"/>
  <c r="AA199" i="2"/>
  <c r="Z199" i="2"/>
  <c r="AP199" i="2" s="1"/>
  <c r="D199" i="2"/>
  <c r="A199" i="2"/>
  <c r="BC198" i="2"/>
  <c r="AO198" i="2"/>
  <c r="BB198" i="2" s="1"/>
  <c r="AN198" i="2"/>
  <c r="BA198" i="2" s="1"/>
  <c r="AM198" i="2"/>
  <c r="AZ198" i="2" s="1"/>
  <c r="AL198" i="2"/>
  <c r="AY198" i="2" s="1"/>
  <c r="AK198" i="2"/>
  <c r="AX198" i="2" s="1"/>
  <c r="AJ198" i="2"/>
  <c r="AW198" i="2" s="1"/>
  <c r="AI198" i="2"/>
  <c r="AV198" i="2" s="1"/>
  <c r="AH198" i="2"/>
  <c r="AU198" i="2" s="1"/>
  <c r="AG198" i="2"/>
  <c r="AT198" i="2" s="1"/>
  <c r="AF198" i="2"/>
  <c r="AS198" i="2" s="1"/>
  <c r="AE198" i="2"/>
  <c r="AR198" i="2" s="1"/>
  <c r="AD198" i="2"/>
  <c r="AQ198" i="2" s="1"/>
  <c r="AA198" i="2"/>
  <c r="Z198" i="2"/>
  <c r="AP198" i="2" s="1"/>
  <c r="D198" i="2"/>
  <c r="A198" i="2"/>
  <c r="BC197" i="2"/>
  <c r="AO197" i="2"/>
  <c r="BB197" i="2" s="1"/>
  <c r="AN197" i="2"/>
  <c r="BA197" i="2" s="1"/>
  <c r="AM197" i="2"/>
  <c r="AZ197" i="2" s="1"/>
  <c r="AL197" i="2"/>
  <c r="AY197" i="2" s="1"/>
  <c r="AK197" i="2"/>
  <c r="AX197" i="2" s="1"/>
  <c r="AJ197" i="2"/>
  <c r="AW197" i="2" s="1"/>
  <c r="AI197" i="2"/>
  <c r="AV197" i="2" s="1"/>
  <c r="AH197" i="2"/>
  <c r="AU197" i="2" s="1"/>
  <c r="AG197" i="2"/>
  <c r="AT197" i="2" s="1"/>
  <c r="AF197" i="2"/>
  <c r="AS197" i="2" s="1"/>
  <c r="AE197" i="2"/>
  <c r="AR197" i="2" s="1"/>
  <c r="AD197" i="2"/>
  <c r="AQ197" i="2" s="1"/>
  <c r="AA197" i="2"/>
  <c r="Z197" i="2"/>
  <c r="AP197" i="2" s="1"/>
  <c r="D197" i="2"/>
  <c r="A197" i="2"/>
  <c r="BC196" i="2"/>
  <c r="AO196" i="2"/>
  <c r="BB196" i="2" s="1"/>
  <c r="AN196" i="2"/>
  <c r="BA196" i="2" s="1"/>
  <c r="AM196" i="2"/>
  <c r="AZ196" i="2" s="1"/>
  <c r="AL196" i="2"/>
  <c r="AY196" i="2" s="1"/>
  <c r="AK196" i="2"/>
  <c r="AX196" i="2" s="1"/>
  <c r="AJ196" i="2"/>
  <c r="AW196" i="2" s="1"/>
  <c r="AI196" i="2"/>
  <c r="AV196" i="2" s="1"/>
  <c r="AH196" i="2"/>
  <c r="AU196" i="2" s="1"/>
  <c r="AG196" i="2"/>
  <c r="AT196" i="2" s="1"/>
  <c r="AF196" i="2"/>
  <c r="AS196" i="2" s="1"/>
  <c r="AE196" i="2"/>
  <c r="AR196" i="2" s="1"/>
  <c r="AD196" i="2"/>
  <c r="AQ196" i="2" s="1"/>
  <c r="AA196" i="2"/>
  <c r="Z196" i="2"/>
  <c r="AP196" i="2" s="1"/>
  <c r="D196" i="2"/>
  <c r="A196" i="2"/>
  <c r="BC195" i="2"/>
  <c r="AO195" i="2"/>
  <c r="BB195" i="2" s="1"/>
  <c r="AN195" i="2"/>
  <c r="BA195" i="2" s="1"/>
  <c r="AM195" i="2"/>
  <c r="AZ195" i="2" s="1"/>
  <c r="AL195" i="2"/>
  <c r="AY195" i="2" s="1"/>
  <c r="AK195" i="2"/>
  <c r="AX195" i="2" s="1"/>
  <c r="AJ195" i="2"/>
  <c r="AW195" i="2" s="1"/>
  <c r="AI195" i="2"/>
  <c r="AV195" i="2" s="1"/>
  <c r="AH195" i="2"/>
  <c r="AU195" i="2" s="1"/>
  <c r="AG195" i="2"/>
  <c r="AT195" i="2" s="1"/>
  <c r="AF195" i="2"/>
  <c r="AS195" i="2" s="1"/>
  <c r="AE195" i="2"/>
  <c r="AR195" i="2" s="1"/>
  <c r="AD195" i="2"/>
  <c r="AQ195" i="2" s="1"/>
  <c r="AA195" i="2"/>
  <c r="Z195" i="2"/>
  <c r="AP195" i="2" s="1"/>
  <c r="D195" i="2"/>
  <c r="A195" i="2"/>
  <c r="BC194" i="2"/>
  <c r="AO194" i="2"/>
  <c r="BB194" i="2" s="1"/>
  <c r="AN194" i="2"/>
  <c r="BA194" i="2" s="1"/>
  <c r="AM194" i="2"/>
  <c r="AZ194" i="2" s="1"/>
  <c r="AL194" i="2"/>
  <c r="AY194" i="2" s="1"/>
  <c r="AK194" i="2"/>
  <c r="AX194" i="2" s="1"/>
  <c r="AJ194" i="2"/>
  <c r="AW194" i="2" s="1"/>
  <c r="AI194" i="2"/>
  <c r="AV194" i="2" s="1"/>
  <c r="AH194" i="2"/>
  <c r="AU194" i="2" s="1"/>
  <c r="AG194" i="2"/>
  <c r="AT194" i="2" s="1"/>
  <c r="AF194" i="2"/>
  <c r="AS194" i="2" s="1"/>
  <c r="AE194" i="2"/>
  <c r="AR194" i="2" s="1"/>
  <c r="AD194" i="2"/>
  <c r="AQ194" i="2" s="1"/>
  <c r="AA194" i="2"/>
  <c r="Z194" i="2"/>
  <c r="AP194" i="2" s="1"/>
  <c r="D194" i="2"/>
  <c r="A194" i="2"/>
  <c r="BC193" i="2"/>
  <c r="AO193" i="2"/>
  <c r="BB193" i="2" s="1"/>
  <c r="AN193" i="2"/>
  <c r="BA193" i="2" s="1"/>
  <c r="AM193" i="2"/>
  <c r="AZ193" i="2" s="1"/>
  <c r="AL193" i="2"/>
  <c r="AY193" i="2" s="1"/>
  <c r="AK193" i="2"/>
  <c r="AX193" i="2" s="1"/>
  <c r="AJ193" i="2"/>
  <c r="AW193" i="2" s="1"/>
  <c r="AI193" i="2"/>
  <c r="AV193" i="2" s="1"/>
  <c r="AH193" i="2"/>
  <c r="AU193" i="2" s="1"/>
  <c r="AG193" i="2"/>
  <c r="AT193" i="2" s="1"/>
  <c r="AF193" i="2"/>
  <c r="AS193" i="2" s="1"/>
  <c r="AE193" i="2"/>
  <c r="AR193" i="2" s="1"/>
  <c r="AD193" i="2"/>
  <c r="AQ193" i="2" s="1"/>
  <c r="AA193" i="2"/>
  <c r="Z193" i="2"/>
  <c r="AP193" i="2" s="1"/>
  <c r="D193" i="2"/>
  <c r="A193" i="2"/>
  <c r="BC192" i="2"/>
  <c r="AO192" i="2"/>
  <c r="BB192" i="2" s="1"/>
  <c r="AN192" i="2"/>
  <c r="BA192" i="2" s="1"/>
  <c r="AM192" i="2"/>
  <c r="AZ192" i="2" s="1"/>
  <c r="AL192" i="2"/>
  <c r="AY192" i="2" s="1"/>
  <c r="AK192" i="2"/>
  <c r="AX192" i="2" s="1"/>
  <c r="AJ192" i="2"/>
  <c r="AW192" i="2" s="1"/>
  <c r="AI192" i="2"/>
  <c r="AV192" i="2" s="1"/>
  <c r="AH192" i="2"/>
  <c r="AU192" i="2" s="1"/>
  <c r="AG192" i="2"/>
  <c r="AT192" i="2" s="1"/>
  <c r="AF192" i="2"/>
  <c r="AS192" i="2" s="1"/>
  <c r="AE192" i="2"/>
  <c r="AR192" i="2" s="1"/>
  <c r="AD192" i="2"/>
  <c r="AQ192" i="2" s="1"/>
  <c r="AA192" i="2"/>
  <c r="Z192" i="2"/>
  <c r="AP192" i="2" s="1"/>
  <c r="D192" i="2"/>
  <c r="A192" i="2"/>
  <c r="BC191" i="2"/>
  <c r="AO191" i="2"/>
  <c r="BB191" i="2" s="1"/>
  <c r="AN191" i="2"/>
  <c r="BA191" i="2" s="1"/>
  <c r="AM191" i="2"/>
  <c r="AZ191" i="2" s="1"/>
  <c r="AL191" i="2"/>
  <c r="AY191" i="2" s="1"/>
  <c r="AK191" i="2"/>
  <c r="AX191" i="2" s="1"/>
  <c r="AJ191" i="2"/>
  <c r="AW191" i="2" s="1"/>
  <c r="AI191" i="2"/>
  <c r="AV191" i="2" s="1"/>
  <c r="AH191" i="2"/>
  <c r="AU191" i="2" s="1"/>
  <c r="AG191" i="2"/>
  <c r="AT191" i="2" s="1"/>
  <c r="AF191" i="2"/>
  <c r="AS191" i="2" s="1"/>
  <c r="AE191" i="2"/>
  <c r="AR191" i="2" s="1"/>
  <c r="AD191" i="2"/>
  <c r="AQ191" i="2" s="1"/>
  <c r="AA191" i="2"/>
  <c r="Z191" i="2"/>
  <c r="AP191" i="2" s="1"/>
  <c r="D191" i="2"/>
  <c r="A191" i="2"/>
  <c r="BC190" i="2"/>
  <c r="AO190" i="2"/>
  <c r="BB190" i="2" s="1"/>
  <c r="AN190" i="2"/>
  <c r="BA190" i="2" s="1"/>
  <c r="AM190" i="2"/>
  <c r="AZ190" i="2" s="1"/>
  <c r="AL190" i="2"/>
  <c r="AY190" i="2" s="1"/>
  <c r="AK190" i="2"/>
  <c r="AX190" i="2" s="1"/>
  <c r="AJ190" i="2"/>
  <c r="AW190" i="2" s="1"/>
  <c r="AI190" i="2"/>
  <c r="AV190" i="2" s="1"/>
  <c r="AH190" i="2"/>
  <c r="AU190" i="2" s="1"/>
  <c r="AG190" i="2"/>
  <c r="AT190" i="2" s="1"/>
  <c r="AF190" i="2"/>
  <c r="AS190" i="2" s="1"/>
  <c r="AE190" i="2"/>
  <c r="AR190" i="2" s="1"/>
  <c r="AD190" i="2"/>
  <c r="AQ190" i="2" s="1"/>
  <c r="AA190" i="2"/>
  <c r="Z190" i="2"/>
  <c r="AP190" i="2" s="1"/>
  <c r="D190" i="2"/>
  <c r="A190" i="2"/>
  <c r="BC189" i="2"/>
  <c r="AS189" i="2"/>
  <c r="AO189" i="2"/>
  <c r="BB189" i="2" s="1"/>
  <c r="AN189" i="2"/>
  <c r="BA189" i="2" s="1"/>
  <c r="AM189" i="2"/>
  <c r="AZ189" i="2" s="1"/>
  <c r="AL189" i="2"/>
  <c r="AY189" i="2" s="1"/>
  <c r="AK189" i="2"/>
  <c r="AX189" i="2" s="1"/>
  <c r="AJ189" i="2"/>
  <c r="AW189" i="2" s="1"/>
  <c r="AI189" i="2"/>
  <c r="AV189" i="2" s="1"/>
  <c r="AH189" i="2"/>
  <c r="AU189" i="2" s="1"/>
  <c r="AG189" i="2"/>
  <c r="AT189" i="2" s="1"/>
  <c r="AF189" i="2"/>
  <c r="AE189" i="2"/>
  <c r="AR189" i="2" s="1"/>
  <c r="AD189" i="2"/>
  <c r="AQ189" i="2" s="1"/>
  <c r="AA189" i="2"/>
  <c r="Z189" i="2"/>
  <c r="AP189" i="2" s="1"/>
  <c r="D189" i="2"/>
  <c r="A189" i="2"/>
  <c r="BC188" i="2"/>
  <c r="AO188" i="2"/>
  <c r="BB188" i="2" s="1"/>
  <c r="AN188" i="2"/>
  <c r="BA188" i="2" s="1"/>
  <c r="AM188" i="2"/>
  <c r="AZ188" i="2" s="1"/>
  <c r="AL188" i="2"/>
  <c r="AY188" i="2" s="1"/>
  <c r="AK188" i="2"/>
  <c r="AX188" i="2" s="1"/>
  <c r="AJ188" i="2"/>
  <c r="AW188" i="2" s="1"/>
  <c r="AI188" i="2"/>
  <c r="AV188" i="2" s="1"/>
  <c r="AH188" i="2"/>
  <c r="AU188" i="2" s="1"/>
  <c r="AG188" i="2"/>
  <c r="AT188" i="2" s="1"/>
  <c r="AF188" i="2"/>
  <c r="AS188" i="2" s="1"/>
  <c r="AE188" i="2"/>
  <c r="AR188" i="2" s="1"/>
  <c r="AD188" i="2"/>
  <c r="AQ188" i="2" s="1"/>
  <c r="AA188" i="2"/>
  <c r="Z188" i="2"/>
  <c r="AP188" i="2" s="1"/>
  <c r="D188" i="2"/>
  <c r="A188" i="2"/>
  <c r="BC187" i="2"/>
  <c r="AO187" i="2"/>
  <c r="BB187" i="2" s="1"/>
  <c r="AN187" i="2"/>
  <c r="BA187" i="2" s="1"/>
  <c r="AM187" i="2"/>
  <c r="AZ187" i="2" s="1"/>
  <c r="AL187" i="2"/>
  <c r="AY187" i="2" s="1"/>
  <c r="AK187" i="2"/>
  <c r="AX187" i="2" s="1"/>
  <c r="AJ187" i="2"/>
  <c r="AW187" i="2" s="1"/>
  <c r="AI187" i="2"/>
  <c r="AV187" i="2" s="1"/>
  <c r="AH187" i="2"/>
  <c r="AU187" i="2" s="1"/>
  <c r="AG187" i="2"/>
  <c r="AT187" i="2" s="1"/>
  <c r="AF187" i="2"/>
  <c r="AS187" i="2" s="1"/>
  <c r="AE187" i="2"/>
  <c r="AR187" i="2" s="1"/>
  <c r="AD187" i="2"/>
  <c r="AQ187" i="2" s="1"/>
  <c r="AA187" i="2"/>
  <c r="Z187" i="2"/>
  <c r="AP187" i="2" s="1"/>
  <c r="D187" i="2"/>
  <c r="A187" i="2"/>
  <c r="BC186" i="2"/>
  <c r="AO186" i="2"/>
  <c r="BB186" i="2" s="1"/>
  <c r="AN186" i="2"/>
  <c r="BA186" i="2" s="1"/>
  <c r="AM186" i="2"/>
  <c r="AZ186" i="2" s="1"/>
  <c r="AL186" i="2"/>
  <c r="AY186" i="2" s="1"/>
  <c r="AK186" i="2"/>
  <c r="AX186" i="2" s="1"/>
  <c r="AJ186" i="2"/>
  <c r="AW186" i="2" s="1"/>
  <c r="AI186" i="2"/>
  <c r="AV186" i="2" s="1"/>
  <c r="AH186" i="2"/>
  <c r="AU186" i="2" s="1"/>
  <c r="AG186" i="2"/>
  <c r="AT186" i="2" s="1"/>
  <c r="AF186" i="2"/>
  <c r="AS186" i="2" s="1"/>
  <c r="AE186" i="2"/>
  <c r="AR186" i="2" s="1"/>
  <c r="AD186" i="2"/>
  <c r="AQ186" i="2" s="1"/>
  <c r="AA186" i="2"/>
  <c r="Z186" i="2"/>
  <c r="AP186" i="2" s="1"/>
  <c r="D186" i="2"/>
  <c r="A186" i="2"/>
  <c r="BC185" i="2"/>
  <c r="AO185" i="2"/>
  <c r="BB185" i="2" s="1"/>
  <c r="AN185" i="2"/>
  <c r="BA185" i="2" s="1"/>
  <c r="AM185" i="2"/>
  <c r="AZ185" i="2" s="1"/>
  <c r="AL185" i="2"/>
  <c r="AY185" i="2" s="1"/>
  <c r="AK185" i="2"/>
  <c r="AX185" i="2" s="1"/>
  <c r="AJ185" i="2"/>
  <c r="AW185" i="2" s="1"/>
  <c r="AI185" i="2"/>
  <c r="AV185" i="2" s="1"/>
  <c r="AH185" i="2"/>
  <c r="AU185" i="2" s="1"/>
  <c r="AG185" i="2"/>
  <c r="AT185" i="2" s="1"/>
  <c r="AF185" i="2"/>
  <c r="AS185" i="2" s="1"/>
  <c r="AE185" i="2"/>
  <c r="AR185" i="2" s="1"/>
  <c r="AD185" i="2"/>
  <c r="AQ185" i="2" s="1"/>
  <c r="AA185" i="2"/>
  <c r="Z185" i="2"/>
  <c r="AP185" i="2" s="1"/>
  <c r="D185" i="2"/>
  <c r="A185" i="2"/>
  <c r="BC184" i="2"/>
  <c r="AO184" i="2"/>
  <c r="BB184" i="2" s="1"/>
  <c r="AN184" i="2"/>
  <c r="BA184" i="2" s="1"/>
  <c r="AM184" i="2"/>
  <c r="AZ184" i="2" s="1"/>
  <c r="AL184" i="2"/>
  <c r="AY184" i="2" s="1"/>
  <c r="AK184" i="2"/>
  <c r="AX184" i="2" s="1"/>
  <c r="AJ184" i="2"/>
  <c r="AW184" i="2" s="1"/>
  <c r="AI184" i="2"/>
  <c r="AV184" i="2" s="1"/>
  <c r="AH184" i="2"/>
  <c r="AU184" i="2" s="1"/>
  <c r="AG184" i="2"/>
  <c r="AT184" i="2" s="1"/>
  <c r="AF184" i="2"/>
  <c r="AS184" i="2" s="1"/>
  <c r="AE184" i="2"/>
  <c r="AR184" i="2" s="1"/>
  <c r="AD184" i="2"/>
  <c r="AQ184" i="2" s="1"/>
  <c r="AA184" i="2"/>
  <c r="Z184" i="2"/>
  <c r="AP184" i="2" s="1"/>
  <c r="D184" i="2"/>
  <c r="A184" i="2"/>
  <c r="BC183" i="2"/>
  <c r="AO183" i="2"/>
  <c r="BB183" i="2" s="1"/>
  <c r="AN183" i="2"/>
  <c r="BA183" i="2" s="1"/>
  <c r="AM183" i="2"/>
  <c r="AZ183" i="2" s="1"/>
  <c r="AL183" i="2"/>
  <c r="AY183" i="2" s="1"/>
  <c r="AK183" i="2"/>
  <c r="AX183" i="2" s="1"/>
  <c r="AJ183" i="2"/>
  <c r="AW183" i="2" s="1"/>
  <c r="AI183" i="2"/>
  <c r="AV183" i="2" s="1"/>
  <c r="AH183" i="2"/>
  <c r="AU183" i="2" s="1"/>
  <c r="AG183" i="2"/>
  <c r="AT183" i="2" s="1"/>
  <c r="AF183" i="2"/>
  <c r="AS183" i="2" s="1"/>
  <c r="AE183" i="2"/>
  <c r="AR183" i="2" s="1"/>
  <c r="AD183" i="2"/>
  <c r="AQ183" i="2" s="1"/>
  <c r="AA183" i="2"/>
  <c r="Z183" i="2"/>
  <c r="AP183" i="2" s="1"/>
  <c r="D183" i="2"/>
  <c r="A183" i="2"/>
  <c r="BC182" i="2"/>
  <c r="AO182" i="2"/>
  <c r="BB182" i="2" s="1"/>
  <c r="AN182" i="2"/>
  <c r="BA182" i="2" s="1"/>
  <c r="AM182" i="2"/>
  <c r="AZ182" i="2" s="1"/>
  <c r="AL182" i="2"/>
  <c r="AY182" i="2" s="1"/>
  <c r="AK182" i="2"/>
  <c r="AX182" i="2" s="1"/>
  <c r="AJ182" i="2"/>
  <c r="AW182" i="2" s="1"/>
  <c r="AI182" i="2"/>
  <c r="AV182" i="2" s="1"/>
  <c r="AH182" i="2"/>
  <c r="AU182" i="2" s="1"/>
  <c r="AG182" i="2"/>
  <c r="AT182" i="2" s="1"/>
  <c r="AF182" i="2"/>
  <c r="AS182" i="2" s="1"/>
  <c r="AE182" i="2"/>
  <c r="AR182" i="2" s="1"/>
  <c r="AD182" i="2"/>
  <c r="AQ182" i="2" s="1"/>
  <c r="AA182" i="2"/>
  <c r="Z182" i="2"/>
  <c r="AP182" i="2" s="1"/>
  <c r="D182" i="2"/>
  <c r="A182" i="2"/>
  <c r="BC181" i="2"/>
  <c r="AO181" i="2"/>
  <c r="BB181" i="2" s="1"/>
  <c r="AN181" i="2"/>
  <c r="BA181" i="2" s="1"/>
  <c r="AM181" i="2"/>
  <c r="AZ181" i="2" s="1"/>
  <c r="AL181" i="2"/>
  <c r="AY181" i="2" s="1"/>
  <c r="AK181" i="2"/>
  <c r="AX181" i="2" s="1"/>
  <c r="AJ181" i="2"/>
  <c r="AW181" i="2" s="1"/>
  <c r="AI181" i="2"/>
  <c r="AV181" i="2" s="1"/>
  <c r="AH181" i="2"/>
  <c r="AU181" i="2" s="1"/>
  <c r="AG181" i="2"/>
  <c r="AT181" i="2" s="1"/>
  <c r="AF181" i="2"/>
  <c r="AS181" i="2" s="1"/>
  <c r="AE181" i="2"/>
  <c r="AR181" i="2" s="1"/>
  <c r="AD181" i="2"/>
  <c r="AQ181" i="2" s="1"/>
  <c r="AA181" i="2"/>
  <c r="Z181" i="2"/>
  <c r="AP181" i="2" s="1"/>
  <c r="D181" i="2"/>
  <c r="A181" i="2"/>
  <c r="BC180" i="2"/>
  <c r="AO180" i="2"/>
  <c r="BB180" i="2" s="1"/>
  <c r="AN180" i="2"/>
  <c r="BA180" i="2" s="1"/>
  <c r="AM180" i="2"/>
  <c r="AZ180" i="2" s="1"/>
  <c r="AL180" i="2"/>
  <c r="AY180" i="2" s="1"/>
  <c r="AK180" i="2"/>
  <c r="AX180" i="2" s="1"/>
  <c r="AJ180" i="2"/>
  <c r="AW180" i="2" s="1"/>
  <c r="AI180" i="2"/>
  <c r="AV180" i="2" s="1"/>
  <c r="AH180" i="2"/>
  <c r="AU180" i="2" s="1"/>
  <c r="AG180" i="2"/>
  <c r="AT180" i="2" s="1"/>
  <c r="AF180" i="2"/>
  <c r="AS180" i="2" s="1"/>
  <c r="AE180" i="2"/>
  <c r="AR180" i="2" s="1"/>
  <c r="AD180" i="2"/>
  <c r="AQ180" i="2" s="1"/>
  <c r="AA180" i="2"/>
  <c r="Z180" i="2"/>
  <c r="AP180" i="2" s="1"/>
  <c r="D180" i="2"/>
  <c r="A180" i="2"/>
  <c r="BC179" i="2"/>
  <c r="AO179" i="2"/>
  <c r="BB179" i="2" s="1"/>
  <c r="AN179" i="2"/>
  <c r="BA179" i="2" s="1"/>
  <c r="AM179" i="2"/>
  <c r="AZ179" i="2" s="1"/>
  <c r="AL179" i="2"/>
  <c r="AY179" i="2" s="1"/>
  <c r="AK179" i="2"/>
  <c r="AX179" i="2" s="1"/>
  <c r="AJ179" i="2"/>
  <c r="AW179" i="2" s="1"/>
  <c r="AI179" i="2"/>
  <c r="AV179" i="2" s="1"/>
  <c r="AH179" i="2"/>
  <c r="AU179" i="2" s="1"/>
  <c r="AG179" i="2"/>
  <c r="AT179" i="2" s="1"/>
  <c r="AF179" i="2"/>
  <c r="AS179" i="2" s="1"/>
  <c r="AE179" i="2"/>
  <c r="AR179" i="2" s="1"/>
  <c r="AD179" i="2"/>
  <c r="AQ179" i="2" s="1"/>
  <c r="AA179" i="2"/>
  <c r="Z179" i="2"/>
  <c r="AP179" i="2" s="1"/>
  <c r="D179" i="2"/>
  <c r="A179" i="2"/>
  <c r="BC178" i="2"/>
  <c r="AO178" i="2"/>
  <c r="BB178" i="2" s="1"/>
  <c r="AN178" i="2"/>
  <c r="BA178" i="2" s="1"/>
  <c r="AM178" i="2"/>
  <c r="AZ178" i="2" s="1"/>
  <c r="AL178" i="2"/>
  <c r="AY178" i="2" s="1"/>
  <c r="AK178" i="2"/>
  <c r="AX178" i="2" s="1"/>
  <c r="AJ178" i="2"/>
  <c r="AW178" i="2" s="1"/>
  <c r="AI178" i="2"/>
  <c r="AV178" i="2" s="1"/>
  <c r="AH178" i="2"/>
  <c r="AU178" i="2" s="1"/>
  <c r="AG178" i="2"/>
  <c r="AT178" i="2" s="1"/>
  <c r="AF178" i="2"/>
  <c r="AS178" i="2" s="1"/>
  <c r="AE178" i="2"/>
  <c r="AR178" i="2" s="1"/>
  <c r="AD178" i="2"/>
  <c r="AQ178" i="2" s="1"/>
  <c r="AA178" i="2"/>
  <c r="Z178" i="2"/>
  <c r="AP178" i="2" s="1"/>
  <c r="D178" i="2"/>
  <c r="A178" i="2"/>
  <c r="BC177" i="2"/>
  <c r="AP177" i="2"/>
  <c r="AO177" i="2"/>
  <c r="BB177" i="2" s="1"/>
  <c r="AN177" i="2"/>
  <c r="BA177" i="2" s="1"/>
  <c r="AM177" i="2"/>
  <c r="AZ177" i="2" s="1"/>
  <c r="AL177" i="2"/>
  <c r="AY177" i="2" s="1"/>
  <c r="AK177" i="2"/>
  <c r="AX177" i="2" s="1"/>
  <c r="AJ177" i="2"/>
  <c r="AW177" i="2" s="1"/>
  <c r="AI177" i="2"/>
  <c r="AV177" i="2" s="1"/>
  <c r="AH177" i="2"/>
  <c r="AU177" i="2" s="1"/>
  <c r="AG177" i="2"/>
  <c r="AT177" i="2" s="1"/>
  <c r="AF177" i="2"/>
  <c r="AS177" i="2" s="1"/>
  <c r="AE177" i="2"/>
  <c r="AR177" i="2" s="1"/>
  <c r="AD177" i="2"/>
  <c r="AQ177" i="2" s="1"/>
  <c r="AA177" i="2"/>
  <c r="Z177" i="2"/>
  <c r="D177" i="2"/>
  <c r="A177" i="2"/>
  <c r="BC176" i="2"/>
  <c r="AO176" i="2"/>
  <c r="BB176" i="2" s="1"/>
  <c r="AN176" i="2"/>
  <c r="BA176" i="2" s="1"/>
  <c r="AM176" i="2"/>
  <c r="AZ176" i="2" s="1"/>
  <c r="AL176" i="2"/>
  <c r="AY176" i="2" s="1"/>
  <c r="AK176" i="2"/>
  <c r="AX176" i="2" s="1"/>
  <c r="AJ176" i="2"/>
  <c r="AW176" i="2" s="1"/>
  <c r="AI176" i="2"/>
  <c r="AV176" i="2" s="1"/>
  <c r="AH176" i="2"/>
  <c r="AU176" i="2" s="1"/>
  <c r="AG176" i="2"/>
  <c r="AT176" i="2" s="1"/>
  <c r="AF176" i="2"/>
  <c r="AS176" i="2" s="1"/>
  <c r="AE176" i="2"/>
  <c r="AR176" i="2" s="1"/>
  <c r="AD176" i="2"/>
  <c r="AQ176" i="2" s="1"/>
  <c r="AA176" i="2"/>
  <c r="Z176" i="2"/>
  <c r="AP176" i="2" s="1"/>
  <c r="D176" i="2"/>
  <c r="A176" i="2"/>
  <c r="BC175" i="2"/>
  <c r="AO175" i="2"/>
  <c r="BB175" i="2" s="1"/>
  <c r="AN175" i="2"/>
  <c r="BA175" i="2" s="1"/>
  <c r="AM175" i="2"/>
  <c r="AZ175" i="2" s="1"/>
  <c r="AL175" i="2"/>
  <c r="AY175" i="2" s="1"/>
  <c r="AK175" i="2"/>
  <c r="AX175" i="2" s="1"/>
  <c r="AJ175" i="2"/>
  <c r="AW175" i="2" s="1"/>
  <c r="AI175" i="2"/>
  <c r="AV175" i="2" s="1"/>
  <c r="AH175" i="2"/>
  <c r="AU175" i="2" s="1"/>
  <c r="AG175" i="2"/>
  <c r="AT175" i="2" s="1"/>
  <c r="AF175" i="2"/>
  <c r="AS175" i="2" s="1"/>
  <c r="AE175" i="2"/>
  <c r="AR175" i="2" s="1"/>
  <c r="AD175" i="2"/>
  <c r="AQ175" i="2" s="1"/>
  <c r="AA175" i="2"/>
  <c r="Z175" i="2"/>
  <c r="AP175" i="2" s="1"/>
  <c r="D175" i="2"/>
  <c r="A175" i="2"/>
  <c r="BC174" i="2"/>
  <c r="AO174" i="2"/>
  <c r="BB174" i="2" s="1"/>
  <c r="AN174" i="2"/>
  <c r="BA174" i="2" s="1"/>
  <c r="AM174" i="2"/>
  <c r="AZ174" i="2" s="1"/>
  <c r="AL174" i="2"/>
  <c r="AY174" i="2" s="1"/>
  <c r="AK174" i="2"/>
  <c r="AX174" i="2" s="1"/>
  <c r="AJ174" i="2"/>
  <c r="AW174" i="2" s="1"/>
  <c r="AI174" i="2"/>
  <c r="AV174" i="2" s="1"/>
  <c r="AH174" i="2"/>
  <c r="AU174" i="2" s="1"/>
  <c r="AG174" i="2"/>
  <c r="AT174" i="2" s="1"/>
  <c r="AF174" i="2"/>
  <c r="AS174" i="2" s="1"/>
  <c r="AE174" i="2"/>
  <c r="AR174" i="2" s="1"/>
  <c r="AD174" i="2"/>
  <c r="AQ174" i="2" s="1"/>
  <c r="AA174" i="2"/>
  <c r="Z174" i="2"/>
  <c r="AP174" i="2" s="1"/>
  <c r="D174" i="2"/>
  <c r="A174" i="2"/>
  <c r="BC173" i="2"/>
  <c r="AO173" i="2"/>
  <c r="BB173" i="2" s="1"/>
  <c r="AN173" i="2"/>
  <c r="BA173" i="2" s="1"/>
  <c r="AM173" i="2"/>
  <c r="AZ173" i="2" s="1"/>
  <c r="AL173" i="2"/>
  <c r="AY173" i="2" s="1"/>
  <c r="AK173" i="2"/>
  <c r="AX173" i="2" s="1"/>
  <c r="AJ173" i="2"/>
  <c r="AW173" i="2" s="1"/>
  <c r="AI173" i="2"/>
  <c r="AV173" i="2" s="1"/>
  <c r="AH173" i="2"/>
  <c r="AU173" i="2" s="1"/>
  <c r="AG173" i="2"/>
  <c r="AT173" i="2" s="1"/>
  <c r="AF173" i="2"/>
  <c r="AS173" i="2" s="1"/>
  <c r="AE173" i="2"/>
  <c r="AR173" i="2" s="1"/>
  <c r="AD173" i="2"/>
  <c r="AQ173" i="2" s="1"/>
  <c r="AA173" i="2"/>
  <c r="Z173" i="2"/>
  <c r="AP173" i="2" s="1"/>
  <c r="D173" i="2"/>
  <c r="A173" i="2"/>
  <c r="BC172" i="2"/>
  <c r="AO172" i="2"/>
  <c r="BB172" i="2" s="1"/>
  <c r="AN172" i="2"/>
  <c r="BA172" i="2" s="1"/>
  <c r="AM172" i="2"/>
  <c r="AZ172" i="2" s="1"/>
  <c r="AL172" i="2"/>
  <c r="AY172" i="2" s="1"/>
  <c r="AK172" i="2"/>
  <c r="AX172" i="2" s="1"/>
  <c r="AJ172" i="2"/>
  <c r="AW172" i="2" s="1"/>
  <c r="AI172" i="2"/>
  <c r="AV172" i="2" s="1"/>
  <c r="AH172" i="2"/>
  <c r="AU172" i="2" s="1"/>
  <c r="AG172" i="2"/>
  <c r="AT172" i="2" s="1"/>
  <c r="AF172" i="2"/>
  <c r="AS172" i="2" s="1"/>
  <c r="AE172" i="2"/>
  <c r="AR172" i="2" s="1"/>
  <c r="AD172" i="2"/>
  <c r="AQ172" i="2" s="1"/>
  <c r="AA172" i="2"/>
  <c r="Z172" i="2"/>
  <c r="AP172" i="2" s="1"/>
  <c r="D172" i="2"/>
  <c r="A172" i="2"/>
  <c r="BC171" i="2"/>
  <c r="AO171" i="2"/>
  <c r="BB171" i="2" s="1"/>
  <c r="AN171" i="2"/>
  <c r="BA171" i="2" s="1"/>
  <c r="AM171" i="2"/>
  <c r="AZ171" i="2" s="1"/>
  <c r="AL171" i="2"/>
  <c r="AY171" i="2" s="1"/>
  <c r="AK171" i="2"/>
  <c r="AX171" i="2" s="1"/>
  <c r="AJ171" i="2"/>
  <c r="AW171" i="2" s="1"/>
  <c r="AI171" i="2"/>
  <c r="AV171" i="2" s="1"/>
  <c r="AH171" i="2"/>
  <c r="AU171" i="2" s="1"/>
  <c r="AG171" i="2"/>
  <c r="AT171" i="2" s="1"/>
  <c r="AF171" i="2"/>
  <c r="AS171" i="2" s="1"/>
  <c r="AE171" i="2"/>
  <c r="AR171" i="2" s="1"/>
  <c r="AD171" i="2"/>
  <c r="AQ171" i="2" s="1"/>
  <c r="AA171" i="2"/>
  <c r="Z171" i="2"/>
  <c r="AP171" i="2" s="1"/>
  <c r="D171" i="2"/>
  <c r="A171" i="2"/>
  <c r="BC170" i="2"/>
  <c r="AO170" i="2"/>
  <c r="BB170" i="2" s="1"/>
  <c r="AN170" i="2"/>
  <c r="BA170" i="2" s="1"/>
  <c r="AM170" i="2"/>
  <c r="AZ170" i="2" s="1"/>
  <c r="AL170" i="2"/>
  <c r="AY170" i="2" s="1"/>
  <c r="AK170" i="2"/>
  <c r="AX170" i="2" s="1"/>
  <c r="AJ170" i="2"/>
  <c r="AW170" i="2" s="1"/>
  <c r="AI170" i="2"/>
  <c r="AV170" i="2" s="1"/>
  <c r="AH170" i="2"/>
  <c r="AU170" i="2" s="1"/>
  <c r="AG170" i="2"/>
  <c r="AT170" i="2" s="1"/>
  <c r="AF170" i="2"/>
  <c r="AS170" i="2" s="1"/>
  <c r="AE170" i="2"/>
  <c r="AR170" i="2" s="1"/>
  <c r="AD170" i="2"/>
  <c r="AQ170" i="2" s="1"/>
  <c r="AA170" i="2"/>
  <c r="Z170" i="2"/>
  <c r="AP170" i="2" s="1"/>
  <c r="D170" i="2"/>
  <c r="A170" i="2"/>
  <c r="BC169" i="2"/>
  <c r="AO169" i="2"/>
  <c r="BB169" i="2" s="1"/>
  <c r="AN169" i="2"/>
  <c r="BA169" i="2" s="1"/>
  <c r="AM169" i="2"/>
  <c r="AZ169" i="2" s="1"/>
  <c r="AL169" i="2"/>
  <c r="AY169" i="2" s="1"/>
  <c r="AK169" i="2"/>
  <c r="AX169" i="2" s="1"/>
  <c r="AJ169" i="2"/>
  <c r="AW169" i="2" s="1"/>
  <c r="AI169" i="2"/>
  <c r="AV169" i="2" s="1"/>
  <c r="AH169" i="2"/>
  <c r="AU169" i="2" s="1"/>
  <c r="AG169" i="2"/>
  <c r="AT169" i="2" s="1"/>
  <c r="AF169" i="2"/>
  <c r="AS169" i="2" s="1"/>
  <c r="AE169" i="2"/>
  <c r="AR169" i="2" s="1"/>
  <c r="AD169" i="2"/>
  <c r="AQ169" i="2" s="1"/>
  <c r="AA169" i="2"/>
  <c r="Z169" i="2"/>
  <c r="AP169" i="2" s="1"/>
  <c r="D169" i="2"/>
  <c r="A169" i="2"/>
  <c r="BC168" i="2"/>
  <c r="AO168" i="2"/>
  <c r="BB168" i="2" s="1"/>
  <c r="AN168" i="2"/>
  <c r="BA168" i="2" s="1"/>
  <c r="AM168" i="2"/>
  <c r="AZ168" i="2" s="1"/>
  <c r="AL168" i="2"/>
  <c r="AY168" i="2" s="1"/>
  <c r="AK168" i="2"/>
  <c r="AX168" i="2" s="1"/>
  <c r="AJ168" i="2"/>
  <c r="AW168" i="2" s="1"/>
  <c r="AI168" i="2"/>
  <c r="AV168" i="2" s="1"/>
  <c r="AH168" i="2"/>
  <c r="AU168" i="2" s="1"/>
  <c r="AG168" i="2"/>
  <c r="AT168" i="2" s="1"/>
  <c r="AF168" i="2"/>
  <c r="AS168" i="2" s="1"/>
  <c r="AE168" i="2"/>
  <c r="AR168" i="2" s="1"/>
  <c r="AD168" i="2"/>
  <c r="AQ168" i="2" s="1"/>
  <c r="AA168" i="2"/>
  <c r="Z168" i="2"/>
  <c r="AP168" i="2" s="1"/>
  <c r="D168" i="2"/>
  <c r="A168" i="2"/>
  <c r="BC167" i="2"/>
  <c r="AO167" i="2"/>
  <c r="BB167" i="2" s="1"/>
  <c r="AN167" i="2"/>
  <c r="BA167" i="2" s="1"/>
  <c r="AM167" i="2"/>
  <c r="AZ167" i="2" s="1"/>
  <c r="AL167" i="2"/>
  <c r="AY167" i="2" s="1"/>
  <c r="AK167" i="2"/>
  <c r="AX167" i="2" s="1"/>
  <c r="AJ167" i="2"/>
  <c r="AW167" i="2" s="1"/>
  <c r="AI167" i="2"/>
  <c r="AV167" i="2" s="1"/>
  <c r="AH167" i="2"/>
  <c r="AU167" i="2" s="1"/>
  <c r="AG167" i="2"/>
  <c r="AT167" i="2" s="1"/>
  <c r="AF167" i="2"/>
  <c r="AS167" i="2" s="1"/>
  <c r="AE167" i="2"/>
  <c r="AR167" i="2" s="1"/>
  <c r="AD167" i="2"/>
  <c r="AQ167" i="2" s="1"/>
  <c r="AA167" i="2"/>
  <c r="Z167" i="2"/>
  <c r="AP167" i="2" s="1"/>
  <c r="D167" i="2"/>
  <c r="A167" i="2"/>
  <c r="BC166" i="2"/>
  <c r="AO166" i="2"/>
  <c r="BB166" i="2" s="1"/>
  <c r="AN166" i="2"/>
  <c r="BA166" i="2" s="1"/>
  <c r="AM166" i="2"/>
  <c r="AZ166" i="2" s="1"/>
  <c r="AL166" i="2"/>
  <c r="AY166" i="2" s="1"/>
  <c r="AK166" i="2"/>
  <c r="AX166" i="2" s="1"/>
  <c r="AJ166" i="2"/>
  <c r="AW166" i="2" s="1"/>
  <c r="AI166" i="2"/>
  <c r="AV166" i="2" s="1"/>
  <c r="AH166" i="2"/>
  <c r="AU166" i="2" s="1"/>
  <c r="AG166" i="2"/>
  <c r="AT166" i="2" s="1"/>
  <c r="AF166" i="2"/>
  <c r="AS166" i="2" s="1"/>
  <c r="AE166" i="2"/>
  <c r="AR166" i="2" s="1"/>
  <c r="AD166" i="2"/>
  <c r="AQ166" i="2" s="1"/>
  <c r="AA166" i="2"/>
  <c r="Z166" i="2"/>
  <c r="AP166" i="2" s="1"/>
  <c r="D166" i="2"/>
  <c r="A166" i="2"/>
  <c r="BC165" i="2"/>
  <c r="AO165" i="2"/>
  <c r="BB165" i="2" s="1"/>
  <c r="AN165" i="2"/>
  <c r="BA165" i="2" s="1"/>
  <c r="AM165" i="2"/>
  <c r="AZ165" i="2" s="1"/>
  <c r="AL165" i="2"/>
  <c r="AY165" i="2" s="1"/>
  <c r="AK165" i="2"/>
  <c r="AX165" i="2" s="1"/>
  <c r="AJ165" i="2"/>
  <c r="AW165" i="2" s="1"/>
  <c r="AI165" i="2"/>
  <c r="AV165" i="2" s="1"/>
  <c r="AH165" i="2"/>
  <c r="AU165" i="2" s="1"/>
  <c r="AG165" i="2"/>
  <c r="AT165" i="2" s="1"/>
  <c r="AF165" i="2"/>
  <c r="AS165" i="2" s="1"/>
  <c r="AE165" i="2"/>
  <c r="AR165" i="2" s="1"/>
  <c r="AD165" i="2"/>
  <c r="AQ165" i="2" s="1"/>
  <c r="AA165" i="2"/>
  <c r="Z165" i="2"/>
  <c r="AP165" i="2" s="1"/>
  <c r="D165" i="2"/>
  <c r="A165" i="2"/>
  <c r="BC164" i="2"/>
  <c r="AO164" i="2"/>
  <c r="BB164" i="2" s="1"/>
  <c r="AN164" i="2"/>
  <c r="BA164" i="2" s="1"/>
  <c r="AM164" i="2"/>
  <c r="AZ164" i="2" s="1"/>
  <c r="AL164" i="2"/>
  <c r="AY164" i="2" s="1"/>
  <c r="AK164" i="2"/>
  <c r="AX164" i="2" s="1"/>
  <c r="AJ164" i="2"/>
  <c r="AW164" i="2" s="1"/>
  <c r="AI164" i="2"/>
  <c r="AV164" i="2" s="1"/>
  <c r="AH164" i="2"/>
  <c r="AU164" i="2" s="1"/>
  <c r="AG164" i="2"/>
  <c r="AT164" i="2" s="1"/>
  <c r="AF164" i="2"/>
  <c r="AS164" i="2" s="1"/>
  <c r="AE164" i="2"/>
  <c r="AR164" i="2" s="1"/>
  <c r="AD164" i="2"/>
  <c r="AQ164" i="2" s="1"/>
  <c r="AA164" i="2"/>
  <c r="Z164" i="2"/>
  <c r="AP164" i="2" s="1"/>
  <c r="D164" i="2"/>
  <c r="A164" i="2"/>
  <c r="BC163" i="2"/>
  <c r="AO163" i="2"/>
  <c r="BB163" i="2" s="1"/>
  <c r="AN163" i="2"/>
  <c r="BA163" i="2" s="1"/>
  <c r="AM163" i="2"/>
  <c r="AZ163" i="2" s="1"/>
  <c r="AL163" i="2"/>
  <c r="AY163" i="2" s="1"/>
  <c r="AK163" i="2"/>
  <c r="AX163" i="2" s="1"/>
  <c r="AJ163" i="2"/>
  <c r="AW163" i="2" s="1"/>
  <c r="AI163" i="2"/>
  <c r="AV163" i="2" s="1"/>
  <c r="AH163" i="2"/>
  <c r="AU163" i="2" s="1"/>
  <c r="AG163" i="2"/>
  <c r="AT163" i="2" s="1"/>
  <c r="AF163" i="2"/>
  <c r="AS163" i="2" s="1"/>
  <c r="AE163" i="2"/>
  <c r="AR163" i="2" s="1"/>
  <c r="AD163" i="2"/>
  <c r="AQ163" i="2" s="1"/>
  <c r="AA163" i="2"/>
  <c r="Z163" i="2"/>
  <c r="AP163" i="2" s="1"/>
  <c r="D163" i="2"/>
  <c r="A163" i="2"/>
  <c r="BC162" i="2"/>
  <c r="AO162" i="2"/>
  <c r="BB162" i="2" s="1"/>
  <c r="AN162" i="2"/>
  <c r="BA162" i="2" s="1"/>
  <c r="AM162" i="2"/>
  <c r="AZ162" i="2" s="1"/>
  <c r="AL162" i="2"/>
  <c r="AY162" i="2" s="1"/>
  <c r="AK162" i="2"/>
  <c r="AX162" i="2" s="1"/>
  <c r="AJ162" i="2"/>
  <c r="AW162" i="2" s="1"/>
  <c r="AI162" i="2"/>
  <c r="AV162" i="2" s="1"/>
  <c r="AH162" i="2"/>
  <c r="AU162" i="2" s="1"/>
  <c r="AG162" i="2"/>
  <c r="AT162" i="2" s="1"/>
  <c r="AF162" i="2"/>
  <c r="AS162" i="2" s="1"/>
  <c r="AE162" i="2"/>
  <c r="AR162" i="2" s="1"/>
  <c r="AD162" i="2"/>
  <c r="AQ162" i="2" s="1"/>
  <c r="AA162" i="2"/>
  <c r="Z162" i="2"/>
  <c r="AP162" i="2" s="1"/>
  <c r="D162" i="2"/>
  <c r="A162" i="2"/>
  <c r="BC161" i="2"/>
  <c r="AO161" i="2"/>
  <c r="BB161" i="2" s="1"/>
  <c r="AN161" i="2"/>
  <c r="BA161" i="2" s="1"/>
  <c r="AM161" i="2"/>
  <c r="AZ161" i="2" s="1"/>
  <c r="AL161" i="2"/>
  <c r="AY161" i="2" s="1"/>
  <c r="AK161" i="2"/>
  <c r="AX161" i="2" s="1"/>
  <c r="AJ161" i="2"/>
  <c r="AW161" i="2" s="1"/>
  <c r="AI161" i="2"/>
  <c r="AV161" i="2" s="1"/>
  <c r="AH161" i="2"/>
  <c r="AU161" i="2" s="1"/>
  <c r="AG161" i="2"/>
  <c r="AT161" i="2" s="1"/>
  <c r="AF161" i="2"/>
  <c r="AS161" i="2" s="1"/>
  <c r="AE161" i="2"/>
  <c r="AR161" i="2" s="1"/>
  <c r="AD161" i="2"/>
  <c r="AQ161" i="2" s="1"/>
  <c r="AA161" i="2"/>
  <c r="Z161" i="2"/>
  <c r="AP161" i="2" s="1"/>
  <c r="D161" i="2"/>
  <c r="A161" i="2"/>
  <c r="BC160" i="2"/>
  <c r="AO160" i="2"/>
  <c r="BB160" i="2" s="1"/>
  <c r="AN160" i="2"/>
  <c r="BA160" i="2" s="1"/>
  <c r="AM160" i="2"/>
  <c r="AZ160" i="2" s="1"/>
  <c r="AL160" i="2"/>
  <c r="AY160" i="2" s="1"/>
  <c r="AK160" i="2"/>
  <c r="AX160" i="2" s="1"/>
  <c r="AJ160" i="2"/>
  <c r="AW160" i="2" s="1"/>
  <c r="AI160" i="2"/>
  <c r="AV160" i="2" s="1"/>
  <c r="AH160" i="2"/>
  <c r="AU160" i="2" s="1"/>
  <c r="AG160" i="2"/>
  <c r="AT160" i="2" s="1"/>
  <c r="AF160" i="2"/>
  <c r="AS160" i="2" s="1"/>
  <c r="AE160" i="2"/>
  <c r="AR160" i="2" s="1"/>
  <c r="AD160" i="2"/>
  <c r="AQ160" i="2" s="1"/>
  <c r="AA160" i="2"/>
  <c r="Z160" i="2"/>
  <c r="AP160" i="2" s="1"/>
  <c r="D160" i="2"/>
  <c r="A160" i="2"/>
  <c r="BC159" i="2"/>
  <c r="AO159" i="2"/>
  <c r="BB159" i="2" s="1"/>
  <c r="AN159" i="2"/>
  <c r="BA159" i="2" s="1"/>
  <c r="AM159" i="2"/>
  <c r="AZ159" i="2" s="1"/>
  <c r="AL159" i="2"/>
  <c r="AY159" i="2" s="1"/>
  <c r="AK159" i="2"/>
  <c r="AX159" i="2" s="1"/>
  <c r="AJ159" i="2"/>
  <c r="AW159" i="2" s="1"/>
  <c r="AI159" i="2"/>
  <c r="AV159" i="2" s="1"/>
  <c r="AH159" i="2"/>
  <c r="AU159" i="2" s="1"/>
  <c r="AG159" i="2"/>
  <c r="AT159" i="2" s="1"/>
  <c r="AF159" i="2"/>
  <c r="AS159" i="2" s="1"/>
  <c r="AE159" i="2"/>
  <c r="AR159" i="2" s="1"/>
  <c r="AD159" i="2"/>
  <c r="AQ159" i="2" s="1"/>
  <c r="AA159" i="2"/>
  <c r="Z159" i="2"/>
  <c r="AP159" i="2" s="1"/>
  <c r="D159" i="2"/>
  <c r="A159" i="2"/>
  <c r="BC158" i="2"/>
  <c r="AO158" i="2"/>
  <c r="BB158" i="2" s="1"/>
  <c r="AN158" i="2"/>
  <c r="BA158" i="2" s="1"/>
  <c r="AM158" i="2"/>
  <c r="AZ158" i="2" s="1"/>
  <c r="AL158" i="2"/>
  <c r="AY158" i="2" s="1"/>
  <c r="AK158" i="2"/>
  <c r="AX158" i="2" s="1"/>
  <c r="AJ158" i="2"/>
  <c r="AW158" i="2" s="1"/>
  <c r="AI158" i="2"/>
  <c r="AV158" i="2" s="1"/>
  <c r="AH158" i="2"/>
  <c r="AU158" i="2" s="1"/>
  <c r="AG158" i="2"/>
  <c r="AT158" i="2" s="1"/>
  <c r="AF158" i="2"/>
  <c r="AS158" i="2" s="1"/>
  <c r="AE158" i="2"/>
  <c r="AR158" i="2" s="1"/>
  <c r="AD158" i="2"/>
  <c r="AQ158" i="2" s="1"/>
  <c r="AA158" i="2"/>
  <c r="Z158" i="2"/>
  <c r="AP158" i="2" s="1"/>
  <c r="D158" i="2"/>
  <c r="A158" i="2"/>
  <c r="BC157" i="2"/>
  <c r="AO157" i="2"/>
  <c r="BB157" i="2" s="1"/>
  <c r="AN157" i="2"/>
  <c r="BA157" i="2" s="1"/>
  <c r="AM157" i="2"/>
  <c r="AZ157" i="2" s="1"/>
  <c r="AL157" i="2"/>
  <c r="AY157" i="2" s="1"/>
  <c r="AK157" i="2"/>
  <c r="AX157" i="2" s="1"/>
  <c r="AJ157" i="2"/>
  <c r="AW157" i="2" s="1"/>
  <c r="AI157" i="2"/>
  <c r="AV157" i="2" s="1"/>
  <c r="AH157" i="2"/>
  <c r="AU157" i="2" s="1"/>
  <c r="AG157" i="2"/>
  <c r="AT157" i="2" s="1"/>
  <c r="AF157" i="2"/>
  <c r="AS157" i="2" s="1"/>
  <c r="AE157" i="2"/>
  <c r="AR157" i="2" s="1"/>
  <c r="AD157" i="2"/>
  <c r="AQ157" i="2" s="1"/>
  <c r="AA157" i="2"/>
  <c r="Z157" i="2"/>
  <c r="AP157" i="2" s="1"/>
  <c r="D157" i="2"/>
  <c r="A157" i="2"/>
  <c r="BC156" i="2"/>
  <c r="AO156" i="2"/>
  <c r="BB156" i="2" s="1"/>
  <c r="AN156" i="2"/>
  <c r="BA156" i="2" s="1"/>
  <c r="AM156" i="2"/>
  <c r="AZ156" i="2" s="1"/>
  <c r="AL156" i="2"/>
  <c r="AY156" i="2" s="1"/>
  <c r="AK156" i="2"/>
  <c r="AX156" i="2" s="1"/>
  <c r="AJ156" i="2"/>
  <c r="AW156" i="2" s="1"/>
  <c r="AI156" i="2"/>
  <c r="AV156" i="2" s="1"/>
  <c r="AH156" i="2"/>
  <c r="AU156" i="2" s="1"/>
  <c r="AG156" i="2"/>
  <c r="AT156" i="2" s="1"/>
  <c r="AF156" i="2"/>
  <c r="AS156" i="2" s="1"/>
  <c r="AE156" i="2"/>
  <c r="AR156" i="2" s="1"/>
  <c r="AD156" i="2"/>
  <c r="AQ156" i="2" s="1"/>
  <c r="AA156" i="2"/>
  <c r="Z156" i="2"/>
  <c r="AP156" i="2" s="1"/>
  <c r="D156" i="2"/>
  <c r="A156" i="2"/>
  <c r="BC155" i="2"/>
  <c r="AO155" i="2"/>
  <c r="BB155" i="2" s="1"/>
  <c r="AN155" i="2"/>
  <c r="BA155" i="2" s="1"/>
  <c r="AM155" i="2"/>
  <c r="AZ155" i="2" s="1"/>
  <c r="AL155" i="2"/>
  <c r="AY155" i="2" s="1"/>
  <c r="AK155" i="2"/>
  <c r="AX155" i="2" s="1"/>
  <c r="AJ155" i="2"/>
  <c r="AW155" i="2" s="1"/>
  <c r="AI155" i="2"/>
  <c r="AV155" i="2" s="1"/>
  <c r="AH155" i="2"/>
  <c r="AU155" i="2" s="1"/>
  <c r="AG155" i="2"/>
  <c r="AT155" i="2" s="1"/>
  <c r="AF155" i="2"/>
  <c r="AS155" i="2" s="1"/>
  <c r="AE155" i="2"/>
  <c r="AR155" i="2" s="1"/>
  <c r="AD155" i="2"/>
  <c r="AQ155" i="2" s="1"/>
  <c r="AA155" i="2"/>
  <c r="Z155" i="2"/>
  <c r="AP155" i="2" s="1"/>
  <c r="D155" i="2"/>
  <c r="A155" i="2"/>
  <c r="BC154" i="2"/>
  <c r="AO154" i="2"/>
  <c r="BB154" i="2" s="1"/>
  <c r="AN154" i="2"/>
  <c r="BA154" i="2" s="1"/>
  <c r="AM154" i="2"/>
  <c r="AZ154" i="2" s="1"/>
  <c r="AL154" i="2"/>
  <c r="AY154" i="2" s="1"/>
  <c r="AK154" i="2"/>
  <c r="AX154" i="2" s="1"/>
  <c r="AJ154" i="2"/>
  <c r="AW154" i="2" s="1"/>
  <c r="AI154" i="2"/>
  <c r="AV154" i="2" s="1"/>
  <c r="AH154" i="2"/>
  <c r="AU154" i="2" s="1"/>
  <c r="AG154" i="2"/>
  <c r="AT154" i="2" s="1"/>
  <c r="AF154" i="2"/>
  <c r="AS154" i="2" s="1"/>
  <c r="AE154" i="2"/>
  <c r="AR154" i="2" s="1"/>
  <c r="AD154" i="2"/>
  <c r="AQ154" i="2" s="1"/>
  <c r="AA154" i="2"/>
  <c r="Z154" i="2"/>
  <c r="AP154" i="2" s="1"/>
  <c r="D154" i="2"/>
  <c r="A154" i="2"/>
  <c r="BC153" i="2"/>
  <c r="AO153" i="2"/>
  <c r="BB153" i="2" s="1"/>
  <c r="AN153" i="2"/>
  <c r="BA153" i="2" s="1"/>
  <c r="AM153" i="2"/>
  <c r="AZ153" i="2" s="1"/>
  <c r="AL153" i="2"/>
  <c r="AY153" i="2" s="1"/>
  <c r="AK153" i="2"/>
  <c r="AX153" i="2" s="1"/>
  <c r="AJ153" i="2"/>
  <c r="AW153" i="2" s="1"/>
  <c r="AI153" i="2"/>
  <c r="AV153" i="2" s="1"/>
  <c r="AH153" i="2"/>
  <c r="AU153" i="2" s="1"/>
  <c r="AG153" i="2"/>
  <c r="AT153" i="2" s="1"/>
  <c r="AF153" i="2"/>
  <c r="AS153" i="2" s="1"/>
  <c r="AE153" i="2"/>
  <c r="AR153" i="2" s="1"/>
  <c r="AD153" i="2"/>
  <c r="AQ153" i="2" s="1"/>
  <c r="AA153" i="2"/>
  <c r="Z153" i="2"/>
  <c r="AP153" i="2" s="1"/>
  <c r="D153" i="2"/>
  <c r="A153" i="2"/>
  <c r="BC152" i="2"/>
  <c r="BA152" i="2"/>
  <c r="AO152" i="2"/>
  <c r="BB152" i="2" s="1"/>
  <c r="AN152" i="2"/>
  <c r="AM152" i="2"/>
  <c r="AZ152" i="2" s="1"/>
  <c r="AL152" i="2"/>
  <c r="AY152" i="2" s="1"/>
  <c r="AK152" i="2"/>
  <c r="AX152" i="2" s="1"/>
  <c r="AJ152" i="2"/>
  <c r="AW152" i="2" s="1"/>
  <c r="AI152" i="2"/>
  <c r="AV152" i="2" s="1"/>
  <c r="AH152" i="2"/>
  <c r="AU152" i="2" s="1"/>
  <c r="AG152" i="2"/>
  <c r="AT152" i="2" s="1"/>
  <c r="AF152" i="2"/>
  <c r="AS152" i="2" s="1"/>
  <c r="AE152" i="2"/>
  <c r="AR152" i="2" s="1"/>
  <c r="AD152" i="2"/>
  <c r="AQ152" i="2" s="1"/>
  <c r="AA152" i="2"/>
  <c r="Z152" i="2"/>
  <c r="AP152" i="2" s="1"/>
  <c r="D152" i="2"/>
  <c r="A152" i="2"/>
  <c r="BC151" i="2"/>
  <c r="AO151" i="2"/>
  <c r="BB151" i="2" s="1"/>
  <c r="AN151" i="2"/>
  <c r="BA151" i="2" s="1"/>
  <c r="AM151" i="2"/>
  <c r="AZ151" i="2" s="1"/>
  <c r="AL151" i="2"/>
  <c r="AY151" i="2" s="1"/>
  <c r="AK151" i="2"/>
  <c r="AX151" i="2" s="1"/>
  <c r="AJ151" i="2"/>
  <c r="AW151" i="2" s="1"/>
  <c r="AI151" i="2"/>
  <c r="AV151" i="2" s="1"/>
  <c r="AH151" i="2"/>
  <c r="AU151" i="2" s="1"/>
  <c r="AG151" i="2"/>
  <c r="AT151" i="2" s="1"/>
  <c r="AF151" i="2"/>
  <c r="AS151" i="2" s="1"/>
  <c r="AE151" i="2"/>
  <c r="AR151" i="2" s="1"/>
  <c r="AD151" i="2"/>
  <c r="AQ151" i="2" s="1"/>
  <c r="AA151" i="2"/>
  <c r="Z151" i="2"/>
  <c r="AP151" i="2" s="1"/>
  <c r="D151" i="2"/>
  <c r="A151" i="2"/>
  <c r="BC150" i="2"/>
  <c r="AO150" i="2"/>
  <c r="BB150" i="2" s="1"/>
  <c r="AN150" i="2"/>
  <c r="BA150" i="2" s="1"/>
  <c r="AM150" i="2"/>
  <c r="AZ150" i="2" s="1"/>
  <c r="AL150" i="2"/>
  <c r="AY150" i="2" s="1"/>
  <c r="AK150" i="2"/>
  <c r="AX150" i="2" s="1"/>
  <c r="AJ150" i="2"/>
  <c r="AW150" i="2" s="1"/>
  <c r="AI150" i="2"/>
  <c r="AV150" i="2" s="1"/>
  <c r="AH150" i="2"/>
  <c r="AU150" i="2" s="1"/>
  <c r="AG150" i="2"/>
  <c r="AT150" i="2" s="1"/>
  <c r="AF150" i="2"/>
  <c r="AS150" i="2" s="1"/>
  <c r="AE150" i="2"/>
  <c r="AR150" i="2" s="1"/>
  <c r="AD150" i="2"/>
  <c r="AQ150" i="2" s="1"/>
  <c r="AA150" i="2"/>
  <c r="Z150" i="2"/>
  <c r="AP150" i="2" s="1"/>
  <c r="D150" i="2"/>
  <c r="A150" i="2"/>
  <c r="BC149" i="2"/>
  <c r="AW149" i="2"/>
  <c r="AO149" i="2"/>
  <c r="BB149" i="2" s="1"/>
  <c r="AN149" i="2"/>
  <c r="BA149" i="2" s="1"/>
  <c r="AM149" i="2"/>
  <c r="AZ149" i="2" s="1"/>
  <c r="AL149" i="2"/>
  <c r="AY149" i="2" s="1"/>
  <c r="AK149" i="2"/>
  <c r="AX149" i="2" s="1"/>
  <c r="AJ149" i="2"/>
  <c r="AI149" i="2"/>
  <c r="AV149" i="2" s="1"/>
  <c r="AH149" i="2"/>
  <c r="AU149" i="2" s="1"/>
  <c r="AG149" i="2"/>
  <c r="AT149" i="2" s="1"/>
  <c r="AF149" i="2"/>
  <c r="AS149" i="2" s="1"/>
  <c r="AE149" i="2"/>
  <c r="AR149" i="2" s="1"/>
  <c r="AD149" i="2"/>
  <c r="AQ149" i="2" s="1"/>
  <c r="AA149" i="2"/>
  <c r="Z149" i="2"/>
  <c r="AP149" i="2" s="1"/>
  <c r="D149" i="2"/>
  <c r="A149" i="2"/>
  <c r="BC148" i="2"/>
  <c r="AO148" i="2"/>
  <c r="BB148" i="2" s="1"/>
  <c r="AN148" i="2"/>
  <c r="BA148" i="2" s="1"/>
  <c r="AM148" i="2"/>
  <c r="AZ148" i="2" s="1"/>
  <c r="AL148" i="2"/>
  <c r="AY148" i="2" s="1"/>
  <c r="AK148" i="2"/>
  <c r="AX148" i="2" s="1"/>
  <c r="AJ148" i="2"/>
  <c r="AW148" i="2" s="1"/>
  <c r="AI148" i="2"/>
  <c r="AV148" i="2" s="1"/>
  <c r="AH148" i="2"/>
  <c r="AU148" i="2" s="1"/>
  <c r="AG148" i="2"/>
  <c r="AT148" i="2" s="1"/>
  <c r="AF148" i="2"/>
  <c r="AS148" i="2" s="1"/>
  <c r="AE148" i="2"/>
  <c r="AR148" i="2" s="1"/>
  <c r="AD148" i="2"/>
  <c r="AQ148" i="2" s="1"/>
  <c r="AA148" i="2"/>
  <c r="Z148" i="2"/>
  <c r="AP148" i="2" s="1"/>
  <c r="D148" i="2"/>
  <c r="A148" i="2"/>
  <c r="BC147" i="2"/>
  <c r="AO147" i="2"/>
  <c r="BB147" i="2" s="1"/>
  <c r="AN147" i="2"/>
  <c r="BA147" i="2" s="1"/>
  <c r="AM147" i="2"/>
  <c r="AZ147" i="2" s="1"/>
  <c r="AL147" i="2"/>
  <c r="AY147" i="2" s="1"/>
  <c r="AK147" i="2"/>
  <c r="AX147" i="2" s="1"/>
  <c r="AJ147" i="2"/>
  <c r="AW147" i="2" s="1"/>
  <c r="AI147" i="2"/>
  <c r="AV147" i="2" s="1"/>
  <c r="AH147" i="2"/>
  <c r="AU147" i="2" s="1"/>
  <c r="AG147" i="2"/>
  <c r="AT147" i="2" s="1"/>
  <c r="AF147" i="2"/>
  <c r="AS147" i="2" s="1"/>
  <c r="AE147" i="2"/>
  <c r="AR147" i="2" s="1"/>
  <c r="AD147" i="2"/>
  <c r="AQ147" i="2" s="1"/>
  <c r="AA147" i="2"/>
  <c r="Z147" i="2"/>
  <c r="AP147" i="2" s="1"/>
  <c r="D147" i="2"/>
  <c r="A147" i="2"/>
  <c r="BC146" i="2"/>
  <c r="AO146" i="2"/>
  <c r="BB146" i="2" s="1"/>
  <c r="AN146" i="2"/>
  <c r="BA146" i="2" s="1"/>
  <c r="AM146" i="2"/>
  <c r="AZ146" i="2" s="1"/>
  <c r="AL146" i="2"/>
  <c r="AY146" i="2" s="1"/>
  <c r="AK146" i="2"/>
  <c r="AX146" i="2" s="1"/>
  <c r="AJ146" i="2"/>
  <c r="AW146" i="2" s="1"/>
  <c r="AI146" i="2"/>
  <c r="AV146" i="2" s="1"/>
  <c r="AH146" i="2"/>
  <c r="AU146" i="2" s="1"/>
  <c r="AG146" i="2"/>
  <c r="AT146" i="2" s="1"/>
  <c r="AF146" i="2"/>
  <c r="AS146" i="2" s="1"/>
  <c r="AE146" i="2"/>
  <c r="AR146" i="2" s="1"/>
  <c r="AD146" i="2"/>
  <c r="AQ146" i="2" s="1"/>
  <c r="AA146" i="2"/>
  <c r="Z146" i="2"/>
  <c r="AP146" i="2" s="1"/>
  <c r="D146" i="2"/>
  <c r="A146" i="2"/>
  <c r="BC145" i="2"/>
  <c r="AO145" i="2"/>
  <c r="BB145" i="2" s="1"/>
  <c r="AN145" i="2"/>
  <c r="BA145" i="2" s="1"/>
  <c r="AM145" i="2"/>
  <c r="AZ145" i="2" s="1"/>
  <c r="AL145" i="2"/>
  <c r="AY145" i="2" s="1"/>
  <c r="AK145" i="2"/>
  <c r="AX145" i="2" s="1"/>
  <c r="AJ145" i="2"/>
  <c r="AW145" i="2" s="1"/>
  <c r="AI145" i="2"/>
  <c r="AV145" i="2" s="1"/>
  <c r="AH145" i="2"/>
  <c r="AU145" i="2" s="1"/>
  <c r="AG145" i="2"/>
  <c r="AT145" i="2" s="1"/>
  <c r="AF145" i="2"/>
  <c r="AS145" i="2" s="1"/>
  <c r="AE145" i="2"/>
  <c r="AR145" i="2" s="1"/>
  <c r="AD145" i="2"/>
  <c r="AQ145" i="2" s="1"/>
  <c r="AA145" i="2"/>
  <c r="Z145" i="2"/>
  <c r="AP145" i="2" s="1"/>
  <c r="D145" i="2"/>
  <c r="A145" i="2"/>
  <c r="BC144" i="2"/>
  <c r="AO144" i="2"/>
  <c r="BB144" i="2" s="1"/>
  <c r="AN144" i="2"/>
  <c r="BA144" i="2" s="1"/>
  <c r="AM144" i="2"/>
  <c r="AZ144" i="2" s="1"/>
  <c r="AL144" i="2"/>
  <c r="AY144" i="2" s="1"/>
  <c r="AK144" i="2"/>
  <c r="AX144" i="2" s="1"/>
  <c r="AJ144" i="2"/>
  <c r="AW144" i="2" s="1"/>
  <c r="AI144" i="2"/>
  <c r="AV144" i="2" s="1"/>
  <c r="AH144" i="2"/>
  <c r="AU144" i="2" s="1"/>
  <c r="AG144" i="2"/>
  <c r="AT144" i="2" s="1"/>
  <c r="AF144" i="2"/>
  <c r="AS144" i="2" s="1"/>
  <c r="AE144" i="2"/>
  <c r="AR144" i="2" s="1"/>
  <c r="AD144" i="2"/>
  <c r="AQ144" i="2" s="1"/>
  <c r="AA144" i="2"/>
  <c r="Z144" i="2"/>
  <c r="AP144" i="2" s="1"/>
  <c r="D144" i="2"/>
  <c r="A144" i="2"/>
  <c r="BC143" i="2"/>
  <c r="AO143" i="2"/>
  <c r="BB143" i="2" s="1"/>
  <c r="AN143" i="2"/>
  <c r="BA143" i="2" s="1"/>
  <c r="AM143" i="2"/>
  <c r="AZ143" i="2" s="1"/>
  <c r="AL143" i="2"/>
  <c r="AY143" i="2" s="1"/>
  <c r="AK143" i="2"/>
  <c r="AX143" i="2" s="1"/>
  <c r="AJ143" i="2"/>
  <c r="AW143" i="2" s="1"/>
  <c r="AI143" i="2"/>
  <c r="AV143" i="2" s="1"/>
  <c r="AH143" i="2"/>
  <c r="AU143" i="2" s="1"/>
  <c r="AG143" i="2"/>
  <c r="AT143" i="2" s="1"/>
  <c r="AF143" i="2"/>
  <c r="AS143" i="2" s="1"/>
  <c r="AE143" i="2"/>
  <c r="AR143" i="2" s="1"/>
  <c r="AD143" i="2"/>
  <c r="AQ143" i="2" s="1"/>
  <c r="AA143" i="2"/>
  <c r="Z143" i="2"/>
  <c r="AP143" i="2" s="1"/>
  <c r="D143" i="2"/>
  <c r="A143" i="2"/>
  <c r="BC142" i="2"/>
  <c r="AW142" i="2"/>
  <c r="AO142" i="2"/>
  <c r="BB142" i="2" s="1"/>
  <c r="AN142" i="2"/>
  <c r="BA142" i="2" s="1"/>
  <c r="AM142" i="2"/>
  <c r="AZ142" i="2" s="1"/>
  <c r="AL142" i="2"/>
  <c r="AY142" i="2" s="1"/>
  <c r="AK142" i="2"/>
  <c r="AX142" i="2" s="1"/>
  <c r="AJ142" i="2"/>
  <c r="AI142" i="2"/>
  <c r="AV142" i="2" s="1"/>
  <c r="AH142" i="2"/>
  <c r="AU142" i="2" s="1"/>
  <c r="AG142" i="2"/>
  <c r="AT142" i="2" s="1"/>
  <c r="AF142" i="2"/>
  <c r="AS142" i="2" s="1"/>
  <c r="AE142" i="2"/>
  <c r="AR142" i="2" s="1"/>
  <c r="AD142" i="2"/>
  <c r="AQ142" i="2" s="1"/>
  <c r="AA142" i="2"/>
  <c r="Z142" i="2"/>
  <c r="AP142" i="2" s="1"/>
  <c r="D142" i="2"/>
  <c r="A142" i="2"/>
  <c r="BC141" i="2"/>
  <c r="AO141" i="2"/>
  <c r="BB141" i="2" s="1"/>
  <c r="AN141" i="2"/>
  <c r="BA141" i="2" s="1"/>
  <c r="AM141" i="2"/>
  <c r="AZ141" i="2" s="1"/>
  <c r="AL141" i="2"/>
  <c r="AY141" i="2" s="1"/>
  <c r="AK141" i="2"/>
  <c r="AX141" i="2" s="1"/>
  <c r="AJ141" i="2"/>
  <c r="AW141" i="2" s="1"/>
  <c r="AI141" i="2"/>
  <c r="AV141" i="2" s="1"/>
  <c r="AH141" i="2"/>
  <c r="AU141" i="2" s="1"/>
  <c r="AG141" i="2"/>
  <c r="AT141" i="2" s="1"/>
  <c r="AF141" i="2"/>
  <c r="AS141" i="2" s="1"/>
  <c r="AE141" i="2"/>
  <c r="AR141" i="2" s="1"/>
  <c r="AD141" i="2"/>
  <c r="AQ141" i="2" s="1"/>
  <c r="AA141" i="2"/>
  <c r="Z141" i="2"/>
  <c r="AP141" i="2" s="1"/>
  <c r="D141" i="2"/>
  <c r="A141" i="2"/>
  <c r="BC140" i="2"/>
  <c r="AS140" i="2"/>
  <c r="AO140" i="2"/>
  <c r="BB140" i="2" s="1"/>
  <c r="AN140" i="2"/>
  <c r="BA140" i="2" s="1"/>
  <c r="AM140" i="2"/>
  <c r="AZ140" i="2" s="1"/>
  <c r="AL140" i="2"/>
  <c r="AY140" i="2" s="1"/>
  <c r="AK140" i="2"/>
  <c r="AX140" i="2" s="1"/>
  <c r="AJ140" i="2"/>
  <c r="AW140" i="2" s="1"/>
  <c r="AI140" i="2"/>
  <c r="AV140" i="2" s="1"/>
  <c r="AH140" i="2"/>
  <c r="AU140" i="2" s="1"/>
  <c r="AG140" i="2"/>
  <c r="AT140" i="2" s="1"/>
  <c r="AF140" i="2"/>
  <c r="AE140" i="2"/>
  <c r="AR140" i="2" s="1"/>
  <c r="AD140" i="2"/>
  <c r="AQ140" i="2" s="1"/>
  <c r="AA140" i="2"/>
  <c r="Z140" i="2"/>
  <c r="AP140" i="2" s="1"/>
  <c r="D140" i="2"/>
  <c r="A140" i="2"/>
  <c r="BC139" i="2"/>
  <c r="AO139" i="2"/>
  <c r="BB139" i="2" s="1"/>
  <c r="AN139" i="2"/>
  <c r="BA139" i="2" s="1"/>
  <c r="AM139" i="2"/>
  <c r="AZ139" i="2" s="1"/>
  <c r="AL139" i="2"/>
  <c r="AY139" i="2" s="1"/>
  <c r="AK139" i="2"/>
  <c r="AX139" i="2" s="1"/>
  <c r="AJ139" i="2"/>
  <c r="AW139" i="2" s="1"/>
  <c r="AI139" i="2"/>
  <c r="AV139" i="2" s="1"/>
  <c r="AH139" i="2"/>
  <c r="AU139" i="2" s="1"/>
  <c r="AG139" i="2"/>
  <c r="AT139" i="2" s="1"/>
  <c r="AF139" i="2"/>
  <c r="AS139" i="2" s="1"/>
  <c r="AE139" i="2"/>
  <c r="AR139" i="2" s="1"/>
  <c r="AD139" i="2"/>
  <c r="AQ139" i="2" s="1"/>
  <c r="AA139" i="2"/>
  <c r="Z139" i="2"/>
  <c r="AP139" i="2" s="1"/>
  <c r="D139" i="2"/>
  <c r="A139" i="2"/>
  <c r="BC138" i="2"/>
  <c r="AW138" i="2"/>
  <c r="AO138" i="2"/>
  <c r="BB138" i="2" s="1"/>
  <c r="AN138" i="2"/>
  <c r="BA138" i="2" s="1"/>
  <c r="AM138" i="2"/>
  <c r="AZ138" i="2" s="1"/>
  <c r="AL138" i="2"/>
  <c r="AY138" i="2" s="1"/>
  <c r="AK138" i="2"/>
  <c r="AX138" i="2" s="1"/>
  <c r="AJ138" i="2"/>
  <c r="AI138" i="2"/>
  <c r="AV138" i="2" s="1"/>
  <c r="AH138" i="2"/>
  <c r="AU138" i="2" s="1"/>
  <c r="AG138" i="2"/>
  <c r="AT138" i="2" s="1"/>
  <c r="AF138" i="2"/>
  <c r="AS138" i="2" s="1"/>
  <c r="AE138" i="2"/>
  <c r="AR138" i="2" s="1"/>
  <c r="AD138" i="2"/>
  <c r="AQ138" i="2" s="1"/>
  <c r="AA138" i="2"/>
  <c r="Z138" i="2"/>
  <c r="AP138" i="2" s="1"/>
  <c r="D138" i="2"/>
  <c r="A138" i="2"/>
  <c r="BC137" i="2"/>
  <c r="AO137" i="2"/>
  <c r="BB137" i="2" s="1"/>
  <c r="AN137" i="2"/>
  <c r="BA137" i="2" s="1"/>
  <c r="AM137" i="2"/>
  <c r="AZ137" i="2" s="1"/>
  <c r="AL137" i="2"/>
  <c r="AY137" i="2" s="1"/>
  <c r="AK137" i="2"/>
  <c r="AX137" i="2" s="1"/>
  <c r="AJ137" i="2"/>
  <c r="AW137" i="2" s="1"/>
  <c r="AI137" i="2"/>
  <c r="AV137" i="2" s="1"/>
  <c r="AH137" i="2"/>
  <c r="AU137" i="2" s="1"/>
  <c r="AG137" i="2"/>
  <c r="AT137" i="2" s="1"/>
  <c r="AF137" i="2"/>
  <c r="AS137" i="2" s="1"/>
  <c r="AE137" i="2"/>
  <c r="AR137" i="2" s="1"/>
  <c r="AD137" i="2"/>
  <c r="AQ137" i="2" s="1"/>
  <c r="AA137" i="2"/>
  <c r="Z137" i="2"/>
  <c r="AP137" i="2" s="1"/>
  <c r="D137" i="2"/>
  <c r="A137" i="2"/>
  <c r="BC136" i="2"/>
  <c r="AO136" i="2"/>
  <c r="BB136" i="2" s="1"/>
  <c r="AN136" i="2"/>
  <c r="BA136" i="2" s="1"/>
  <c r="AM136" i="2"/>
  <c r="AZ136" i="2" s="1"/>
  <c r="AL136" i="2"/>
  <c r="AY136" i="2" s="1"/>
  <c r="AK136" i="2"/>
  <c r="AX136" i="2" s="1"/>
  <c r="AJ136" i="2"/>
  <c r="AW136" i="2" s="1"/>
  <c r="AI136" i="2"/>
  <c r="AV136" i="2" s="1"/>
  <c r="AH136" i="2"/>
  <c r="AU136" i="2" s="1"/>
  <c r="AG136" i="2"/>
  <c r="AT136" i="2" s="1"/>
  <c r="AF136" i="2"/>
  <c r="AS136" i="2" s="1"/>
  <c r="AE136" i="2"/>
  <c r="AR136" i="2" s="1"/>
  <c r="AD136" i="2"/>
  <c r="AQ136" i="2" s="1"/>
  <c r="AA136" i="2"/>
  <c r="Z136" i="2"/>
  <c r="AP136" i="2" s="1"/>
  <c r="D136" i="2"/>
  <c r="A136" i="2"/>
  <c r="BC135" i="2"/>
  <c r="AS135" i="2"/>
  <c r="AO135" i="2"/>
  <c r="BB135" i="2" s="1"/>
  <c r="AN135" i="2"/>
  <c r="BA135" i="2" s="1"/>
  <c r="AM135" i="2"/>
  <c r="AZ135" i="2" s="1"/>
  <c r="AL135" i="2"/>
  <c r="AY135" i="2" s="1"/>
  <c r="AK135" i="2"/>
  <c r="AX135" i="2" s="1"/>
  <c r="AJ135" i="2"/>
  <c r="AW135" i="2" s="1"/>
  <c r="AI135" i="2"/>
  <c r="AV135" i="2" s="1"/>
  <c r="AH135" i="2"/>
  <c r="AU135" i="2" s="1"/>
  <c r="AG135" i="2"/>
  <c r="AT135" i="2" s="1"/>
  <c r="AF135" i="2"/>
  <c r="AE135" i="2"/>
  <c r="AR135" i="2" s="1"/>
  <c r="AD135" i="2"/>
  <c r="AQ135" i="2" s="1"/>
  <c r="AA135" i="2"/>
  <c r="Z135" i="2"/>
  <c r="AP135" i="2" s="1"/>
  <c r="D135" i="2"/>
  <c r="A135" i="2"/>
  <c r="BC134" i="2"/>
  <c r="AO134" i="2"/>
  <c r="BB134" i="2" s="1"/>
  <c r="AN134" i="2"/>
  <c r="BA134" i="2" s="1"/>
  <c r="AM134" i="2"/>
  <c r="AZ134" i="2" s="1"/>
  <c r="AL134" i="2"/>
  <c r="AY134" i="2" s="1"/>
  <c r="AK134" i="2"/>
  <c r="AX134" i="2" s="1"/>
  <c r="AJ134" i="2"/>
  <c r="AW134" i="2" s="1"/>
  <c r="AI134" i="2"/>
  <c r="AV134" i="2" s="1"/>
  <c r="AH134" i="2"/>
  <c r="AU134" i="2" s="1"/>
  <c r="AG134" i="2"/>
  <c r="AT134" i="2" s="1"/>
  <c r="AF134" i="2"/>
  <c r="AS134" i="2" s="1"/>
  <c r="AE134" i="2"/>
  <c r="AR134" i="2" s="1"/>
  <c r="AD134" i="2"/>
  <c r="AQ134" i="2" s="1"/>
  <c r="AA134" i="2"/>
  <c r="Z134" i="2"/>
  <c r="AP134" i="2" s="1"/>
  <c r="D134" i="2"/>
  <c r="A134" i="2"/>
  <c r="BC133" i="2"/>
  <c r="AO133" i="2"/>
  <c r="BB133" i="2" s="1"/>
  <c r="AN133" i="2"/>
  <c r="BA133" i="2" s="1"/>
  <c r="AM133" i="2"/>
  <c r="AZ133" i="2" s="1"/>
  <c r="AL133" i="2"/>
  <c r="AY133" i="2" s="1"/>
  <c r="AK133" i="2"/>
  <c r="AX133" i="2" s="1"/>
  <c r="AJ133" i="2"/>
  <c r="AW133" i="2" s="1"/>
  <c r="AI133" i="2"/>
  <c r="AV133" i="2" s="1"/>
  <c r="AH133" i="2"/>
  <c r="AU133" i="2" s="1"/>
  <c r="AG133" i="2"/>
  <c r="AT133" i="2" s="1"/>
  <c r="AF133" i="2"/>
  <c r="AS133" i="2" s="1"/>
  <c r="AE133" i="2"/>
  <c r="AR133" i="2" s="1"/>
  <c r="AD133" i="2"/>
  <c r="AQ133" i="2" s="1"/>
  <c r="AA133" i="2"/>
  <c r="Z133" i="2"/>
  <c r="AP133" i="2" s="1"/>
  <c r="D133" i="2"/>
  <c r="A133" i="2"/>
  <c r="BC132" i="2"/>
  <c r="AS132" i="2"/>
  <c r="AO132" i="2"/>
  <c r="BB132" i="2" s="1"/>
  <c r="AN132" i="2"/>
  <c r="BA132" i="2" s="1"/>
  <c r="AM132" i="2"/>
  <c r="AZ132" i="2" s="1"/>
  <c r="AL132" i="2"/>
  <c r="AY132" i="2" s="1"/>
  <c r="AK132" i="2"/>
  <c r="AX132" i="2" s="1"/>
  <c r="AJ132" i="2"/>
  <c r="AW132" i="2" s="1"/>
  <c r="AI132" i="2"/>
  <c r="AV132" i="2" s="1"/>
  <c r="AH132" i="2"/>
  <c r="AU132" i="2" s="1"/>
  <c r="AG132" i="2"/>
  <c r="AT132" i="2" s="1"/>
  <c r="AF132" i="2"/>
  <c r="AE132" i="2"/>
  <c r="AR132" i="2" s="1"/>
  <c r="AD132" i="2"/>
  <c r="AQ132" i="2" s="1"/>
  <c r="AA132" i="2"/>
  <c r="Z132" i="2"/>
  <c r="AP132" i="2" s="1"/>
  <c r="D132" i="2"/>
  <c r="A132" i="2"/>
  <c r="BC131" i="2"/>
  <c r="AO131" i="2"/>
  <c r="BB131" i="2" s="1"/>
  <c r="AN131" i="2"/>
  <c r="BA131" i="2" s="1"/>
  <c r="AM131" i="2"/>
  <c r="AZ131" i="2" s="1"/>
  <c r="AL131" i="2"/>
  <c r="AY131" i="2" s="1"/>
  <c r="AK131" i="2"/>
  <c r="AX131" i="2" s="1"/>
  <c r="AJ131" i="2"/>
  <c r="AW131" i="2" s="1"/>
  <c r="AI131" i="2"/>
  <c r="AV131" i="2" s="1"/>
  <c r="AH131" i="2"/>
  <c r="AU131" i="2" s="1"/>
  <c r="AG131" i="2"/>
  <c r="AT131" i="2" s="1"/>
  <c r="AF131" i="2"/>
  <c r="AS131" i="2" s="1"/>
  <c r="AE131" i="2"/>
  <c r="AR131" i="2" s="1"/>
  <c r="AD131" i="2"/>
  <c r="AQ131" i="2" s="1"/>
  <c r="AA131" i="2"/>
  <c r="Z131" i="2"/>
  <c r="AP131" i="2" s="1"/>
  <c r="D131" i="2"/>
  <c r="A131" i="2"/>
  <c r="BC130" i="2"/>
  <c r="AO130" i="2"/>
  <c r="BB130" i="2" s="1"/>
  <c r="AN130" i="2"/>
  <c r="BA130" i="2" s="1"/>
  <c r="AM130" i="2"/>
  <c r="AZ130" i="2" s="1"/>
  <c r="AL130" i="2"/>
  <c r="AY130" i="2" s="1"/>
  <c r="AK130" i="2"/>
  <c r="AX130" i="2" s="1"/>
  <c r="AJ130" i="2"/>
  <c r="AW130" i="2" s="1"/>
  <c r="AI130" i="2"/>
  <c r="AV130" i="2" s="1"/>
  <c r="AH130" i="2"/>
  <c r="AU130" i="2" s="1"/>
  <c r="AG130" i="2"/>
  <c r="AT130" i="2" s="1"/>
  <c r="AF130" i="2"/>
  <c r="AS130" i="2" s="1"/>
  <c r="AE130" i="2"/>
  <c r="AR130" i="2" s="1"/>
  <c r="AD130" i="2"/>
  <c r="AQ130" i="2" s="1"/>
  <c r="AA130" i="2"/>
  <c r="Z130" i="2"/>
  <c r="AP130" i="2" s="1"/>
  <c r="D130" i="2"/>
  <c r="A130" i="2"/>
  <c r="BC129" i="2"/>
  <c r="AO129" i="2"/>
  <c r="BB129" i="2" s="1"/>
  <c r="AN129" i="2"/>
  <c r="BA129" i="2" s="1"/>
  <c r="AM129" i="2"/>
  <c r="AZ129" i="2" s="1"/>
  <c r="AL129" i="2"/>
  <c r="AY129" i="2" s="1"/>
  <c r="AK129" i="2"/>
  <c r="AX129" i="2" s="1"/>
  <c r="AJ129" i="2"/>
  <c r="AW129" i="2" s="1"/>
  <c r="AI129" i="2"/>
  <c r="AV129" i="2" s="1"/>
  <c r="AH129" i="2"/>
  <c r="AU129" i="2" s="1"/>
  <c r="AG129" i="2"/>
  <c r="AT129" i="2" s="1"/>
  <c r="AF129" i="2"/>
  <c r="AS129" i="2" s="1"/>
  <c r="AE129" i="2"/>
  <c r="AR129" i="2" s="1"/>
  <c r="AD129" i="2"/>
  <c r="AQ129" i="2" s="1"/>
  <c r="AA129" i="2"/>
  <c r="Z129" i="2"/>
  <c r="AP129" i="2" s="1"/>
  <c r="D129" i="2"/>
  <c r="A129" i="2"/>
  <c r="BC128" i="2"/>
  <c r="AO128" i="2"/>
  <c r="BB128" i="2" s="1"/>
  <c r="AN128" i="2"/>
  <c r="BA128" i="2" s="1"/>
  <c r="AM128" i="2"/>
  <c r="AZ128" i="2" s="1"/>
  <c r="AL128" i="2"/>
  <c r="AY128" i="2" s="1"/>
  <c r="AK128" i="2"/>
  <c r="AX128" i="2" s="1"/>
  <c r="AJ128" i="2"/>
  <c r="AW128" i="2" s="1"/>
  <c r="AI128" i="2"/>
  <c r="AV128" i="2" s="1"/>
  <c r="AH128" i="2"/>
  <c r="AU128" i="2" s="1"/>
  <c r="AG128" i="2"/>
  <c r="AT128" i="2" s="1"/>
  <c r="AF128" i="2"/>
  <c r="AS128" i="2" s="1"/>
  <c r="AE128" i="2"/>
  <c r="AR128" i="2" s="1"/>
  <c r="AD128" i="2"/>
  <c r="AQ128" i="2" s="1"/>
  <c r="AA128" i="2"/>
  <c r="Z128" i="2"/>
  <c r="AP128" i="2" s="1"/>
  <c r="D128" i="2"/>
  <c r="A128" i="2"/>
  <c r="BC127" i="2"/>
  <c r="AO127" i="2"/>
  <c r="BB127" i="2" s="1"/>
  <c r="AN127" i="2"/>
  <c r="BA127" i="2" s="1"/>
  <c r="AM127" i="2"/>
  <c r="AZ127" i="2" s="1"/>
  <c r="AL127" i="2"/>
  <c r="AY127" i="2" s="1"/>
  <c r="AK127" i="2"/>
  <c r="AX127" i="2" s="1"/>
  <c r="AJ127" i="2"/>
  <c r="AW127" i="2" s="1"/>
  <c r="AI127" i="2"/>
  <c r="AV127" i="2" s="1"/>
  <c r="AH127" i="2"/>
  <c r="AU127" i="2" s="1"/>
  <c r="AG127" i="2"/>
  <c r="AT127" i="2" s="1"/>
  <c r="AF127" i="2"/>
  <c r="AS127" i="2" s="1"/>
  <c r="AE127" i="2"/>
  <c r="AR127" i="2" s="1"/>
  <c r="AD127" i="2"/>
  <c r="AQ127" i="2" s="1"/>
  <c r="AA127" i="2"/>
  <c r="Z127" i="2"/>
  <c r="AP127" i="2" s="1"/>
  <c r="D127" i="2"/>
  <c r="A127" i="2"/>
  <c r="BC126" i="2"/>
  <c r="AO126" i="2"/>
  <c r="BB126" i="2" s="1"/>
  <c r="AN126" i="2"/>
  <c r="BA126" i="2" s="1"/>
  <c r="AM126" i="2"/>
  <c r="AZ126" i="2" s="1"/>
  <c r="AL126" i="2"/>
  <c r="AY126" i="2" s="1"/>
  <c r="AK126" i="2"/>
  <c r="AX126" i="2" s="1"/>
  <c r="AJ126" i="2"/>
  <c r="AW126" i="2" s="1"/>
  <c r="AI126" i="2"/>
  <c r="AV126" i="2" s="1"/>
  <c r="AH126" i="2"/>
  <c r="AU126" i="2" s="1"/>
  <c r="AG126" i="2"/>
  <c r="AT126" i="2" s="1"/>
  <c r="AF126" i="2"/>
  <c r="AS126" i="2" s="1"/>
  <c r="AE126" i="2"/>
  <c r="AR126" i="2" s="1"/>
  <c r="AD126" i="2"/>
  <c r="AQ126" i="2" s="1"/>
  <c r="AA126" i="2"/>
  <c r="Z126" i="2"/>
  <c r="AP126" i="2" s="1"/>
  <c r="D126" i="2"/>
  <c r="A126" i="2"/>
  <c r="BC125" i="2"/>
  <c r="AO125" i="2"/>
  <c r="BB125" i="2" s="1"/>
  <c r="AN125" i="2"/>
  <c r="BA125" i="2" s="1"/>
  <c r="AM125" i="2"/>
  <c r="AZ125" i="2" s="1"/>
  <c r="AL125" i="2"/>
  <c r="AY125" i="2" s="1"/>
  <c r="AK125" i="2"/>
  <c r="AX125" i="2" s="1"/>
  <c r="AJ125" i="2"/>
  <c r="AW125" i="2" s="1"/>
  <c r="AI125" i="2"/>
  <c r="AV125" i="2" s="1"/>
  <c r="AH125" i="2"/>
  <c r="AU125" i="2" s="1"/>
  <c r="AG125" i="2"/>
  <c r="AT125" i="2" s="1"/>
  <c r="AF125" i="2"/>
  <c r="AS125" i="2" s="1"/>
  <c r="AE125" i="2"/>
  <c r="AR125" i="2" s="1"/>
  <c r="AD125" i="2"/>
  <c r="AQ125" i="2" s="1"/>
  <c r="AA125" i="2"/>
  <c r="Z125" i="2"/>
  <c r="AP125" i="2" s="1"/>
  <c r="D125" i="2"/>
  <c r="A125" i="2"/>
  <c r="BC124" i="2"/>
  <c r="AO124" i="2"/>
  <c r="BB124" i="2" s="1"/>
  <c r="AN124" i="2"/>
  <c r="BA124" i="2" s="1"/>
  <c r="AM124" i="2"/>
  <c r="AZ124" i="2" s="1"/>
  <c r="AL124" i="2"/>
  <c r="AY124" i="2" s="1"/>
  <c r="AK124" i="2"/>
  <c r="AX124" i="2" s="1"/>
  <c r="AJ124" i="2"/>
  <c r="AW124" i="2" s="1"/>
  <c r="AI124" i="2"/>
  <c r="AV124" i="2" s="1"/>
  <c r="AH124" i="2"/>
  <c r="AU124" i="2" s="1"/>
  <c r="AG124" i="2"/>
  <c r="AT124" i="2" s="1"/>
  <c r="AF124" i="2"/>
  <c r="AS124" i="2" s="1"/>
  <c r="AE124" i="2"/>
  <c r="AR124" i="2" s="1"/>
  <c r="AD124" i="2"/>
  <c r="AQ124" i="2" s="1"/>
  <c r="AA124" i="2"/>
  <c r="Z124" i="2"/>
  <c r="AP124" i="2" s="1"/>
  <c r="D124" i="2"/>
  <c r="A124" i="2"/>
  <c r="BC123" i="2"/>
  <c r="AO123" i="2"/>
  <c r="BB123" i="2" s="1"/>
  <c r="AN123" i="2"/>
  <c r="BA123" i="2" s="1"/>
  <c r="AM123" i="2"/>
  <c r="AZ123" i="2" s="1"/>
  <c r="AL123" i="2"/>
  <c r="AY123" i="2" s="1"/>
  <c r="AK123" i="2"/>
  <c r="AX123" i="2" s="1"/>
  <c r="AJ123" i="2"/>
  <c r="AW123" i="2" s="1"/>
  <c r="AI123" i="2"/>
  <c r="AV123" i="2" s="1"/>
  <c r="AH123" i="2"/>
  <c r="AU123" i="2" s="1"/>
  <c r="AG123" i="2"/>
  <c r="AT123" i="2" s="1"/>
  <c r="AF123" i="2"/>
  <c r="AS123" i="2" s="1"/>
  <c r="AE123" i="2"/>
  <c r="AR123" i="2" s="1"/>
  <c r="AD123" i="2"/>
  <c r="AQ123" i="2" s="1"/>
  <c r="AA123" i="2"/>
  <c r="Z123" i="2"/>
  <c r="AP123" i="2" s="1"/>
  <c r="D123" i="2"/>
  <c r="A123" i="2"/>
  <c r="BC122" i="2"/>
  <c r="AO122" i="2"/>
  <c r="BB122" i="2" s="1"/>
  <c r="AN122" i="2"/>
  <c r="BA122" i="2" s="1"/>
  <c r="AM122" i="2"/>
  <c r="AZ122" i="2" s="1"/>
  <c r="AL122" i="2"/>
  <c r="AY122" i="2" s="1"/>
  <c r="AK122" i="2"/>
  <c r="AX122" i="2" s="1"/>
  <c r="AJ122" i="2"/>
  <c r="AW122" i="2" s="1"/>
  <c r="AI122" i="2"/>
  <c r="AV122" i="2" s="1"/>
  <c r="AH122" i="2"/>
  <c r="AU122" i="2" s="1"/>
  <c r="AG122" i="2"/>
  <c r="AT122" i="2" s="1"/>
  <c r="AF122" i="2"/>
  <c r="AS122" i="2" s="1"/>
  <c r="AE122" i="2"/>
  <c r="AR122" i="2" s="1"/>
  <c r="AD122" i="2"/>
  <c r="AQ122" i="2" s="1"/>
  <c r="AA122" i="2"/>
  <c r="Z122" i="2"/>
  <c r="AP122" i="2" s="1"/>
  <c r="D122" i="2"/>
  <c r="A122" i="2"/>
  <c r="BC121" i="2"/>
  <c r="AO121" i="2"/>
  <c r="BB121" i="2" s="1"/>
  <c r="AN121" i="2"/>
  <c r="BA121" i="2" s="1"/>
  <c r="AM121" i="2"/>
  <c r="AZ121" i="2" s="1"/>
  <c r="AL121" i="2"/>
  <c r="AY121" i="2" s="1"/>
  <c r="AK121" i="2"/>
  <c r="AX121" i="2" s="1"/>
  <c r="AJ121" i="2"/>
  <c r="AW121" i="2" s="1"/>
  <c r="AI121" i="2"/>
  <c r="AV121" i="2" s="1"/>
  <c r="AH121" i="2"/>
  <c r="AU121" i="2" s="1"/>
  <c r="AG121" i="2"/>
  <c r="AT121" i="2" s="1"/>
  <c r="AF121" i="2"/>
  <c r="AS121" i="2" s="1"/>
  <c r="AE121" i="2"/>
  <c r="AR121" i="2" s="1"/>
  <c r="AD121" i="2"/>
  <c r="AQ121" i="2" s="1"/>
  <c r="AA121" i="2"/>
  <c r="Z121" i="2"/>
  <c r="AP121" i="2" s="1"/>
  <c r="D121" i="2"/>
  <c r="A121" i="2"/>
  <c r="BC120" i="2"/>
  <c r="AO120" i="2"/>
  <c r="BB120" i="2" s="1"/>
  <c r="AN120" i="2"/>
  <c r="BA120" i="2" s="1"/>
  <c r="AM120" i="2"/>
  <c r="AZ120" i="2" s="1"/>
  <c r="AL120" i="2"/>
  <c r="AY120" i="2" s="1"/>
  <c r="AK120" i="2"/>
  <c r="AX120" i="2" s="1"/>
  <c r="AJ120" i="2"/>
  <c r="AW120" i="2" s="1"/>
  <c r="AI120" i="2"/>
  <c r="AV120" i="2" s="1"/>
  <c r="AH120" i="2"/>
  <c r="AU120" i="2" s="1"/>
  <c r="AG120" i="2"/>
  <c r="AT120" i="2" s="1"/>
  <c r="AF120" i="2"/>
  <c r="AS120" i="2" s="1"/>
  <c r="AE120" i="2"/>
  <c r="AR120" i="2" s="1"/>
  <c r="AD120" i="2"/>
  <c r="AQ120" i="2" s="1"/>
  <c r="AA120" i="2"/>
  <c r="Z120" i="2"/>
  <c r="AP120" i="2" s="1"/>
  <c r="D120" i="2"/>
  <c r="A120" i="2"/>
  <c r="BC119" i="2"/>
  <c r="AO119" i="2"/>
  <c r="BB119" i="2" s="1"/>
  <c r="AN119" i="2"/>
  <c r="BA119" i="2" s="1"/>
  <c r="AM119" i="2"/>
  <c r="AZ119" i="2" s="1"/>
  <c r="AL119" i="2"/>
  <c r="AY119" i="2" s="1"/>
  <c r="AK119" i="2"/>
  <c r="AX119" i="2" s="1"/>
  <c r="AJ119" i="2"/>
  <c r="AW119" i="2" s="1"/>
  <c r="AI119" i="2"/>
  <c r="AV119" i="2" s="1"/>
  <c r="AH119" i="2"/>
  <c r="AU119" i="2" s="1"/>
  <c r="AG119" i="2"/>
  <c r="AT119" i="2" s="1"/>
  <c r="AF119" i="2"/>
  <c r="AS119" i="2" s="1"/>
  <c r="AE119" i="2"/>
  <c r="AR119" i="2" s="1"/>
  <c r="AD119" i="2"/>
  <c r="AQ119" i="2" s="1"/>
  <c r="AA119" i="2"/>
  <c r="Z119" i="2"/>
  <c r="AP119" i="2" s="1"/>
  <c r="D119" i="2"/>
  <c r="A119" i="2"/>
  <c r="BC118" i="2"/>
  <c r="AO118" i="2"/>
  <c r="BB118" i="2" s="1"/>
  <c r="AN118" i="2"/>
  <c r="BA118" i="2" s="1"/>
  <c r="AM118" i="2"/>
  <c r="AZ118" i="2" s="1"/>
  <c r="AL118" i="2"/>
  <c r="AY118" i="2" s="1"/>
  <c r="AK118" i="2"/>
  <c r="AX118" i="2" s="1"/>
  <c r="AJ118" i="2"/>
  <c r="AW118" i="2" s="1"/>
  <c r="AI118" i="2"/>
  <c r="AV118" i="2" s="1"/>
  <c r="AH118" i="2"/>
  <c r="AU118" i="2" s="1"/>
  <c r="AG118" i="2"/>
  <c r="AT118" i="2" s="1"/>
  <c r="AF118" i="2"/>
  <c r="AS118" i="2" s="1"/>
  <c r="AE118" i="2"/>
  <c r="AR118" i="2" s="1"/>
  <c r="AD118" i="2"/>
  <c r="AQ118" i="2" s="1"/>
  <c r="AA118" i="2"/>
  <c r="Z118" i="2"/>
  <c r="AP118" i="2" s="1"/>
  <c r="D118" i="2"/>
  <c r="A118" i="2"/>
  <c r="BC117" i="2"/>
  <c r="AO117" i="2"/>
  <c r="BB117" i="2" s="1"/>
  <c r="AN117" i="2"/>
  <c r="BA117" i="2" s="1"/>
  <c r="AM117" i="2"/>
  <c r="AZ117" i="2" s="1"/>
  <c r="AL117" i="2"/>
  <c r="AY117" i="2" s="1"/>
  <c r="AK117" i="2"/>
  <c r="AX117" i="2" s="1"/>
  <c r="AJ117" i="2"/>
  <c r="AW117" i="2" s="1"/>
  <c r="AI117" i="2"/>
  <c r="AV117" i="2" s="1"/>
  <c r="AH117" i="2"/>
  <c r="AU117" i="2" s="1"/>
  <c r="AG117" i="2"/>
  <c r="AT117" i="2" s="1"/>
  <c r="AF117" i="2"/>
  <c r="AS117" i="2" s="1"/>
  <c r="AE117" i="2"/>
  <c r="AR117" i="2" s="1"/>
  <c r="AD117" i="2"/>
  <c r="AQ117" i="2" s="1"/>
  <c r="AA117" i="2"/>
  <c r="Z117" i="2"/>
  <c r="AP117" i="2" s="1"/>
  <c r="D117" i="2"/>
  <c r="A117" i="2"/>
  <c r="BC116" i="2"/>
  <c r="AO116" i="2"/>
  <c r="BB116" i="2" s="1"/>
  <c r="AN116" i="2"/>
  <c r="BA116" i="2" s="1"/>
  <c r="AM116" i="2"/>
  <c r="AZ116" i="2" s="1"/>
  <c r="AL116" i="2"/>
  <c r="AY116" i="2" s="1"/>
  <c r="AK116" i="2"/>
  <c r="AX116" i="2" s="1"/>
  <c r="AJ116" i="2"/>
  <c r="AW116" i="2" s="1"/>
  <c r="AI116" i="2"/>
  <c r="AV116" i="2" s="1"/>
  <c r="AH116" i="2"/>
  <c r="AU116" i="2" s="1"/>
  <c r="AG116" i="2"/>
  <c r="AT116" i="2" s="1"/>
  <c r="AF116" i="2"/>
  <c r="AS116" i="2" s="1"/>
  <c r="AE116" i="2"/>
  <c r="AR116" i="2" s="1"/>
  <c r="AD116" i="2"/>
  <c r="AQ116" i="2" s="1"/>
  <c r="AA116" i="2"/>
  <c r="Z116" i="2"/>
  <c r="AP116" i="2" s="1"/>
  <c r="D116" i="2"/>
  <c r="A116" i="2"/>
  <c r="BC115" i="2"/>
  <c r="AO115" i="2"/>
  <c r="BB115" i="2" s="1"/>
  <c r="AN115" i="2"/>
  <c r="BA115" i="2" s="1"/>
  <c r="AM115" i="2"/>
  <c r="AZ115" i="2" s="1"/>
  <c r="AL115" i="2"/>
  <c r="AY115" i="2" s="1"/>
  <c r="AK115" i="2"/>
  <c r="AX115" i="2" s="1"/>
  <c r="AJ115" i="2"/>
  <c r="AW115" i="2" s="1"/>
  <c r="AI115" i="2"/>
  <c r="AV115" i="2" s="1"/>
  <c r="AH115" i="2"/>
  <c r="AU115" i="2" s="1"/>
  <c r="AG115" i="2"/>
  <c r="AT115" i="2" s="1"/>
  <c r="AF115" i="2"/>
  <c r="AS115" i="2" s="1"/>
  <c r="AE115" i="2"/>
  <c r="AR115" i="2" s="1"/>
  <c r="AD115" i="2"/>
  <c r="AQ115" i="2" s="1"/>
  <c r="AA115" i="2"/>
  <c r="Z115" i="2"/>
  <c r="AP115" i="2" s="1"/>
  <c r="D115" i="2"/>
  <c r="A115" i="2"/>
  <c r="BC114" i="2"/>
  <c r="AO114" i="2"/>
  <c r="BB114" i="2" s="1"/>
  <c r="AN114" i="2"/>
  <c r="BA114" i="2" s="1"/>
  <c r="AM114" i="2"/>
  <c r="AZ114" i="2" s="1"/>
  <c r="AL114" i="2"/>
  <c r="AY114" i="2" s="1"/>
  <c r="AK114" i="2"/>
  <c r="AX114" i="2" s="1"/>
  <c r="AJ114" i="2"/>
  <c r="AW114" i="2" s="1"/>
  <c r="AI114" i="2"/>
  <c r="AV114" i="2" s="1"/>
  <c r="AH114" i="2"/>
  <c r="AU114" i="2" s="1"/>
  <c r="AG114" i="2"/>
  <c r="AT114" i="2" s="1"/>
  <c r="AF114" i="2"/>
  <c r="AS114" i="2" s="1"/>
  <c r="AE114" i="2"/>
  <c r="AR114" i="2" s="1"/>
  <c r="AD114" i="2"/>
  <c r="AQ114" i="2" s="1"/>
  <c r="AA114" i="2"/>
  <c r="Z114" i="2"/>
  <c r="AP114" i="2" s="1"/>
  <c r="D114" i="2"/>
  <c r="A114" i="2"/>
  <c r="BC113" i="2"/>
  <c r="AO113" i="2"/>
  <c r="BB113" i="2" s="1"/>
  <c r="AN113" i="2"/>
  <c r="BA113" i="2" s="1"/>
  <c r="AM113" i="2"/>
  <c r="AZ113" i="2" s="1"/>
  <c r="AL113" i="2"/>
  <c r="AY113" i="2" s="1"/>
  <c r="AK113" i="2"/>
  <c r="AX113" i="2" s="1"/>
  <c r="AJ113" i="2"/>
  <c r="AW113" i="2" s="1"/>
  <c r="AI113" i="2"/>
  <c r="AV113" i="2" s="1"/>
  <c r="AH113" i="2"/>
  <c r="AU113" i="2" s="1"/>
  <c r="AG113" i="2"/>
  <c r="AT113" i="2" s="1"/>
  <c r="AF113" i="2"/>
  <c r="AS113" i="2" s="1"/>
  <c r="AE113" i="2"/>
  <c r="AR113" i="2" s="1"/>
  <c r="AD113" i="2"/>
  <c r="AQ113" i="2" s="1"/>
  <c r="AA113" i="2"/>
  <c r="Z113" i="2"/>
  <c r="AP113" i="2" s="1"/>
  <c r="D113" i="2"/>
  <c r="A113" i="2"/>
  <c r="BC112" i="2"/>
  <c r="AO112" i="2"/>
  <c r="BB112" i="2" s="1"/>
  <c r="AN112" i="2"/>
  <c r="BA112" i="2" s="1"/>
  <c r="AM112" i="2"/>
  <c r="AZ112" i="2" s="1"/>
  <c r="AL112" i="2"/>
  <c r="AY112" i="2" s="1"/>
  <c r="AK112" i="2"/>
  <c r="AX112" i="2" s="1"/>
  <c r="AJ112" i="2"/>
  <c r="AW112" i="2" s="1"/>
  <c r="AI112" i="2"/>
  <c r="AV112" i="2" s="1"/>
  <c r="AH112" i="2"/>
  <c r="AU112" i="2" s="1"/>
  <c r="AG112" i="2"/>
  <c r="AT112" i="2" s="1"/>
  <c r="AF112" i="2"/>
  <c r="AS112" i="2" s="1"/>
  <c r="AE112" i="2"/>
  <c r="AR112" i="2" s="1"/>
  <c r="AD112" i="2"/>
  <c r="AQ112" i="2" s="1"/>
  <c r="AA112" i="2"/>
  <c r="Z112" i="2"/>
  <c r="AP112" i="2" s="1"/>
  <c r="D112" i="2"/>
  <c r="A112" i="2"/>
  <c r="BC111" i="2"/>
  <c r="AO111" i="2"/>
  <c r="BB111" i="2" s="1"/>
  <c r="AN111" i="2"/>
  <c r="BA111" i="2" s="1"/>
  <c r="AM111" i="2"/>
  <c r="AZ111" i="2" s="1"/>
  <c r="AL111" i="2"/>
  <c r="AY111" i="2" s="1"/>
  <c r="AK111" i="2"/>
  <c r="AX111" i="2" s="1"/>
  <c r="AJ111" i="2"/>
  <c r="AW111" i="2" s="1"/>
  <c r="AI111" i="2"/>
  <c r="AV111" i="2" s="1"/>
  <c r="AH111" i="2"/>
  <c r="AU111" i="2" s="1"/>
  <c r="AG111" i="2"/>
  <c r="AT111" i="2" s="1"/>
  <c r="AF111" i="2"/>
  <c r="AS111" i="2" s="1"/>
  <c r="AE111" i="2"/>
  <c r="AR111" i="2" s="1"/>
  <c r="AD111" i="2"/>
  <c r="AQ111" i="2" s="1"/>
  <c r="AA111" i="2"/>
  <c r="Z111" i="2"/>
  <c r="AP111" i="2" s="1"/>
  <c r="D111" i="2"/>
  <c r="A111" i="2"/>
  <c r="BC110" i="2"/>
  <c r="AO110" i="2"/>
  <c r="BB110" i="2" s="1"/>
  <c r="AN110" i="2"/>
  <c r="BA110" i="2" s="1"/>
  <c r="AM110" i="2"/>
  <c r="AZ110" i="2" s="1"/>
  <c r="AL110" i="2"/>
  <c r="AY110" i="2" s="1"/>
  <c r="AK110" i="2"/>
  <c r="AX110" i="2" s="1"/>
  <c r="AJ110" i="2"/>
  <c r="AW110" i="2" s="1"/>
  <c r="AI110" i="2"/>
  <c r="AV110" i="2" s="1"/>
  <c r="AH110" i="2"/>
  <c r="AU110" i="2" s="1"/>
  <c r="AG110" i="2"/>
  <c r="AT110" i="2" s="1"/>
  <c r="AF110" i="2"/>
  <c r="AS110" i="2" s="1"/>
  <c r="AE110" i="2"/>
  <c r="AR110" i="2" s="1"/>
  <c r="AD110" i="2"/>
  <c r="AQ110" i="2" s="1"/>
  <c r="AA110" i="2"/>
  <c r="Z110" i="2"/>
  <c r="AP110" i="2" s="1"/>
  <c r="D110" i="2"/>
  <c r="A110" i="2"/>
  <c r="BC109" i="2"/>
  <c r="AO109" i="2"/>
  <c r="BB109" i="2" s="1"/>
  <c r="AN109" i="2"/>
  <c r="BA109" i="2" s="1"/>
  <c r="AM109" i="2"/>
  <c r="AZ109" i="2" s="1"/>
  <c r="AL109" i="2"/>
  <c r="AY109" i="2" s="1"/>
  <c r="AK109" i="2"/>
  <c r="AX109" i="2" s="1"/>
  <c r="AJ109" i="2"/>
  <c r="AW109" i="2" s="1"/>
  <c r="AI109" i="2"/>
  <c r="AV109" i="2" s="1"/>
  <c r="AH109" i="2"/>
  <c r="AU109" i="2" s="1"/>
  <c r="AG109" i="2"/>
  <c r="AT109" i="2" s="1"/>
  <c r="AF109" i="2"/>
  <c r="AS109" i="2" s="1"/>
  <c r="AE109" i="2"/>
  <c r="AR109" i="2" s="1"/>
  <c r="AD109" i="2"/>
  <c r="AQ109" i="2" s="1"/>
  <c r="AA109" i="2"/>
  <c r="Z109" i="2"/>
  <c r="AP109" i="2" s="1"/>
  <c r="D109" i="2"/>
  <c r="A109" i="2"/>
  <c r="BC108" i="2"/>
  <c r="BA108" i="2"/>
  <c r="AO108" i="2"/>
  <c r="BB108" i="2" s="1"/>
  <c r="AN108" i="2"/>
  <c r="AM108" i="2"/>
  <c r="AZ108" i="2" s="1"/>
  <c r="AL108" i="2"/>
  <c r="AY108" i="2" s="1"/>
  <c r="AK108" i="2"/>
  <c r="AX108" i="2" s="1"/>
  <c r="AJ108" i="2"/>
  <c r="AW108" i="2" s="1"/>
  <c r="AI108" i="2"/>
  <c r="AV108" i="2" s="1"/>
  <c r="AH108" i="2"/>
  <c r="AU108" i="2" s="1"/>
  <c r="AG108" i="2"/>
  <c r="AT108" i="2" s="1"/>
  <c r="AF108" i="2"/>
  <c r="AS108" i="2" s="1"/>
  <c r="AE108" i="2"/>
  <c r="AR108" i="2" s="1"/>
  <c r="AD108" i="2"/>
  <c r="AQ108" i="2" s="1"/>
  <c r="AA108" i="2"/>
  <c r="Z108" i="2"/>
  <c r="AP108" i="2" s="1"/>
  <c r="D108" i="2"/>
  <c r="A108" i="2"/>
  <c r="BC107" i="2"/>
  <c r="AO107" i="2"/>
  <c r="BB107" i="2" s="1"/>
  <c r="AN107" i="2"/>
  <c r="BA107" i="2" s="1"/>
  <c r="AM107" i="2"/>
  <c r="AZ107" i="2" s="1"/>
  <c r="AL107" i="2"/>
  <c r="AY107" i="2" s="1"/>
  <c r="AK107" i="2"/>
  <c r="AX107" i="2" s="1"/>
  <c r="AJ107" i="2"/>
  <c r="AW107" i="2" s="1"/>
  <c r="AI107" i="2"/>
  <c r="AV107" i="2" s="1"/>
  <c r="AH107" i="2"/>
  <c r="AU107" i="2" s="1"/>
  <c r="AG107" i="2"/>
  <c r="AT107" i="2" s="1"/>
  <c r="AF107" i="2"/>
  <c r="AS107" i="2" s="1"/>
  <c r="AE107" i="2"/>
  <c r="AR107" i="2" s="1"/>
  <c r="AD107" i="2"/>
  <c r="AQ107" i="2" s="1"/>
  <c r="AA107" i="2"/>
  <c r="Z107" i="2"/>
  <c r="AP107" i="2" s="1"/>
  <c r="D107" i="2"/>
  <c r="A107" i="2"/>
  <c r="BC106" i="2"/>
  <c r="AO106" i="2"/>
  <c r="BB106" i="2" s="1"/>
  <c r="AN106" i="2"/>
  <c r="BA106" i="2" s="1"/>
  <c r="AM106" i="2"/>
  <c r="AZ106" i="2" s="1"/>
  <c r="AL106" i="2"/>
  <c r="AY106" i="2" s="1"/>
  <c r="AK106" i="2"/>
  <c r="AX106" i="2" s="1"/>
  <c r="AJ106" i="2"/>
  <c r="AW106" i="2" s="1"/>
  <c r="AI106" i="2"/>
  <c r="AV106" i="2" s="1"/>
  <c r="AH106" i="2"/>
  <c r="AU106" i="2" s="1"/>
  <c r="AG106" i="2"/>
  <c r="AT106" i="2" s="1"/>
  <c r="AF106" i="2"/>
  <c r="AS106" i="2" s="1"/>
  <c r="AE106" i="2"/>
  <c r="AR106" i="2" s="1"/>
  <c r="AD106" i="2"/>
  <c r="AQ106" i="2" s="1"/>
  <c r="AA106" i="2"/>
  <c r="Z106" i="2"/>
  <c r="AP106" i="2" s="1"/>
  <c r="D106" i="2"/>
  <c r="A106" i="2"/>
  <c r="BC105" i="2"/>
  <c r="AO105" i="2"/>
  <c r="BB105" i="2" s="1"/>
  <c r="AN105" i="2"/>
  <c r="BA105" i="2" s="1"/>
  <c r="AM105" i="2"/>
  <c r="AZ105" i="2" s="1"/>
  <c r="AL105" i="2"/>
  <c r="AY105" i="2" s="1"/>
  <c r="AK105" i="2"/>
  <c r="AX105" i="2" s="1"/>
  <c r="AJ105" i="2"/>
  <c r="AW105" i="2" s="1"/>
  <c r="AI105" i="2"/>
  <c r="AV105" i="2" s="1"/>
  <c r="AH105" i="2"/>
  <c r="AU105" i="2" s="1"/>
  <c r="AG105" i="2"/>
  <c r="AT105" i="2" s="1"/>
  <c r="AF105" i="2"/>
  <c r="AS105" i="2" s="1"/>
  <c r="AE105" i="2"/>
  <c r="AR105" i="2" s="1"/>
  <c r="AD105" i="2"/>
  <c r="AQ105" i="2" s="1"/>
  <c r="AA105" i="2"/>
  <c r="Z105" i="2"/>
  <c r="AP105" i="2" s="1"/>
  <c r="D105" i="2"/>
  <c r="A105" i="2"/>
  <c r="BC104" i="2"/>
  <c r="AO104" i="2"/>
  <c r="BB104" i="2" s="1"/>
  <c r="AN104" i="2"/>
  <c r="BA104" i="2" s="1"/>
  <c r="AM104" i="2"/>
  <c r="AZ104" i="2" s="1"/>
  <c r="AL104" i="2"/>
  <c r="AY104" i="2" s="1"/>
  <c r="AK104" i="2"/>
  <c r="AX104" i="2" s="1"/>
  <c r="AJ104" i="2"/>
  <c r="AW104" i="2" s="1"/>
  <c r="AI104" i="2"/>
  <c r="AV104" i="2" s="1"/>
  <c r="AH104" i="2"/>
  <c r="AU104" i="2" s="1"/>
  <c r="AG104" i="2"/>
  <c r="AT104" i="2" s="1"/>
  <c r="AF104" i="2"/>
  <c r="AS104" i="2" s="1"/>
  <c r="AE104" i="2"/>
  <c r="AR104" i="2" s="1"/>
  <c r="AD104" i="2"/>
  <c r="AQ104" i="2" s="1"/>
  <c r="AA104" i="2"/>
  <c r="Z104" i="2"/>
  <c r="AP104" i="2" s="1"/>
  <c r="D104" i="2"/>
  <c r="A104" i="2"/>
  <c r="BC103" i="2"/>
  <c r="AO103" i="2"/>
  <c r="BB103" i="2" s="1"/>
  <c r="AN103" i="2"/>
  <c r="BA103" i="2" s="1"/>
  <c r="AM103" i="2"/>
  <c r="AZ103" i="2" s="1"/>
  <c r="AL103" i="2"/>
  <c r="AY103" i="2" s="1"/>
  <c r="AK103" i="2"/>
  <c r="AX103" i="2" s="1"/>
  <c r="AJ103" i="2"/>
  <c r="AW103" i="2" s="1"/>
  <c r="AI103" i="2"/>
  <c r="AV103" i="2" s="1"/>
  <c r="AH103" i="2"/>
  <c r="AU103" i="2" s="1"/>
  <c r="AG103" i="2"/>
  <c r="AT103" i="2" s="1"/>
  <c r="AF103" i="2"/>
  <c r="AS103" i="2" s="1"/>
  <c r="AE103" i="2"/>
  <c r="AR103" i="2" s="1"/>
  <c r="AD103" i="2"/>
  <c r="AQ103" i="2" s="1"/>
  <c r="AA103" i="2"/>
  <c r="Z103" i="2"/>
  <c r="AP103" i="2" s="1"/>
  <c r="D103" i="2"/>
  <c r="A103" i="2"/>
  <c r="BC102" i="2"/>
  <c r="AO102" i="2"/>
  <c r="BB102" i="2" s="1"/>
  <c r="AN102" i="2"/>
  <c r="BA102" i="2" s="1"/>
  <c r="AM102" i="2"/>
  <c r="AZ102" i="2" s="1"/>
  <c r="AL102" i="2"/>
  <c r="AY102" i="2" s="1"/>
  <c r="AK102" i="2"/>
  <c r="AX102" i="2" s="1"/>
  <c r="AJ102" i="2"/>
  <c r="AW102" i="2" s="1"/>
  <c r="AI102" i="2"/>
  <c r="AV102" i="2" s="1"/>
  <c r="AH102" i="2"/>
  <c r="AU102" i="2" s="1"/>
  <c r="AG102" i="2"/>
  <c r="AT102" i="2" s="1"/>
  <c r="AF102" i="2"/>
  <c r="AS102" i="2" s="1"/>
  <c r="AE102" i="2"/>
  <c r="AR102" i="2" s="1"/>
  <c r="AD102" i="2"/>
  <c r="AQ102" i="2" s="1"/>
  <c r="AA102" i="2"/>
  <c r="Z102" i="2"/>
  <c r="AP102" i="2" s="1"/>
  <c r="D102" i="2"/>
  <c r="A102" i="2"/>
  <c r="BC101" i="2"/>
  <c r="AO101" i="2"/>
  <c r="BB101" i="2" s="1"/>
  <c r="AN101" i="2"/>
  <c r="BA101" i="2" s="1"/>
  <c r="AM101" i="2"/>
  <c r="AZ101" i="2" s="1"/>
  <c r="AL101" i="2"/>
  <c r="AY101" i="2" s="1"/>
  <c r="AK101" i="2"/>
  <c r="AX101" i="2" s="1"/>
  <c r="AJ101" i="2"/>
  <c r="AW101" i="2" s="1"/>
  <c r="AI101" i="2"/>
  <c r="AV101" i="2" s="1"/>
  <c r="AH101" i="2"/>
  <c r="AU101" i="2" s="1"/>
  <c r="AG101" i="2"/>
  <c r="AT101" i="2" s="1"/>
  <c r="AF101" i="2"/>
  <c r="AS101" i="2" s="1"/>
  <c r="AE101" i="2"/>
  <c r="AR101" i="2" s="1"/>
  <c r="AD101" i="2"/>
  <c r="AQ101" i="2" s="1"/>
  <c r="AA101" i="2"/>
  <c r="Z101" i="2"/>
  <c r="AP101" i="2" s="1"/>
  <c r="D101" i="2"/>
  <c r="A101" i="2"/>
  <c r="BC100" i="2"/>
  <c r="AO100" i="2"/>
  <c r="BB100" i="2" s="1"/>
  <c r="AN100" i="2"/>
  <c r="BA100" i="2" s="1"/>
  <c r="AM100" i="2"/>
  <c r="AZ100" i="2" s="1"/>
  <c r="AL100" i="2"/>
  <c r="AY100" i="2" s="1"/>
  <c r="AK100" i="2"/>
  <c r="AX100" i="2" s="1"/>
  <c r="AJ100" i="2"/>
  <c r="AW100" i="2" s="1"/>
  <c r="AI100" i="2"/>
  <c r="AV100" i="2" s="1"/>
  <c r="AH100" i="2"/>
  <c r="AU100" i="2" s="1"/>
  <c r="AG100" i="2"/>
  <c r="AT100" i="2" s="1"/>
  <c r="AF100" i="2"/>
  <c r="AS100" i="2" s="1"/>
  <c r="AE100" i="2"/>
  <c r="AR100" i="2" s="1"/>
  <c r="AD100" i="2"/>
  <c r="AQ100" i="2" s="1"/>
  <c r="AA100" i="2"/>
  <c r="Z100" i="2"/>
  <c r="AP100" i="2" s="1"/>
  <c r="D100" i="2"/>
  <c r="A100" i="2"/>
  <c r="BC99" i="2"/>
  <c r="AO99" i="2"/>
  <c r="BB99" i="2" s="1"/>
  <c r="AN99" i="2"/>
  <c r="BA99" i="2" s="1"/>
  <c r="AM99" i="2"/>
  <c r="AZ99" i="2" s="1"/>
  <c r="AL99" i="2"/>
  <c r="AY99" i="2" s="1"/>
  <c r="AK99" i="2"/>
  <c r="AX99" i="2" s="1"/>
  <c r="AJ99" i="2"/>
  <c r="AW99" i="2" s="1"/>
  <c r="AI99" i="2"/>
  <c r="AV99" i="2" s="1"/>
  <c r="AH99" i="2"/>
  <c r="AU99" i="2" s="1"/>
  <c r="AG99" i="2"/>
  <c r="AT99" i="2" s="1"/>
  <c r="AF99" i="2"/>
  <c r="AS99" i="2" s="1"/>
  <c r="AE99" i="2"/>
  <c r="AR99" i="2" s="1"/>
  <c r="AD99" i="2"/>
  <c r="AQ99" i="2" s="1"/>
  <c r="AA99" i="2"/>
  <c r="Z99" i="2"/>
  <c r="AP99" i="2" s="1"/>
  <c r="D99" i="2"/>
  <c r="A99" i="2"/>
  <c r="BC98" i="2"/>
  <c r="AO98" i="2"/>
  <c r="BB98" i="2" s="1"/>
  <c r="AN98" i="2"/>
  <c r="BA98" i="2" s="1"/>
  <c r="AM98" i="2"/>
  <c r="AZ98" i="2" s="1"/>
  <c r="AL98" i="2"/>
  <c r="AY98" i="2" s="1"/>
  <c r="AK98" i="2"/>
  <c r="AX98" i="2" s="1"/>
  <c r="AJ98" i="2"/>
  <c r="AW98" i="2" s="1"/>
  <c r="AI98" i="2"/>
  <c r="AV98" i="2" s="1"/>
  <c r="AH98" i="2"/>
  <c r="AU98" i="2" s="1"/>
  <c r="AG98" i="2"/>
  <c r="AT98" i="2" s="1"/>
  <c r="AF98" i="2"/>
  <c r="AS98" i="2" s="1"/>
  <c r="AE98" i="2"/>
  <c r="AR98" i="2" s="1"/>
  <c r="AD98" i="2"/>
  <c r="AQ98" i="2" s="1"/>
  <c r="AA98" i="2"/>
  <c r="Z98" i="2"/>
  <c r="AP98" i="2" s="1"/>
  <c r="D98" i="2"/>
  <c r="A98" i="2"/>
  <c r="BC97" i="2"/>
  <c r="AO97" i="2"/>
  <c r="BB97" i="2" s="1"/>
  <c r="AN97" i="2"/>
  <c r="BA97" i="2" s="1"/>
  <c r="AM97" i="2"/>
  <c r="AZ97" i="2" s="1"/>
  <c r="AL97" i="2"/>
  <c r="AY97" i="2" s="1"/>
  <c r="AK97" i="2"/>
  <c r="AX97" i="2" s="1"/>
  <c r="AJ97" i="2"/>
  <c r="AW97" i="2" s="1"/>
  <c r="AI97" i="2"/>
  <c r="AV97" i="2" s="1"/>
  <c r="AH97" i="2"/>
  <c r="AU97" i="2" s="1"/>
  <c r="AG97" i="2"/>
  <c r="AT97" i="2" s="1"/>
  <c r="AF97" i="2"/>
  <c r="AS97" i="2" s="1"/>
  <c r="AE97" i="2"/>
  <c r="AR97" i="2" s="1"/>
  <c r="AD97" i="2"/>
  <c r="AQ97" i="2" s="1"/>
  <c r="AA97" i="2"/>
  <c r="Z97" i="2"/>
  <c r="AP97" i="2" s="1"/>
  <c r="D97" i="2"/>
  <c r="A97" i="2"/>
  <c r="BC96" i="2"/>
  <c r="AO96" i="2"/>
  <c r="BB96" i="2" s="1"/>
  <c r="AN96" i="2"/>
  <c r="BA96" i="2" s="1"/>
  <c r="AM96" i="2"/>
  <c r="AZ96" i="2" s="1"/>
  <c r="AL96" i="2"/>
  <c r="AY96" i="2" s="1"/>
  <c r="AK96" i="2"/>
  <c r="AX96" i="2" s="1"/>
  <c r="AJ96" i="2"/>
  <c r="AW96" i="2" s="1"/>
  <c r="AI96" i="2"/>
  <c r="AV96" i="2" s="1"/>
  <c r="AH96" i="2"/>
  <c r="AU96" i="2" s="1"/>
  <c r="AG96" i="2"/>
  <c r="AT96" i="2" s="1"/>
  <c r="AF96" i="2"/>
  <c r="AS96" i="2" s="1"/>
  <c r="AE96" i="2"/>
  <c r="AR96" i="2" s="1"/>
  <c r="AD96" i="2"/>
  <c r="AQ96" i="2" s="1"/>
  <c r="AA96" i="2"/>
  <c r="Z96" i="2"/>
  <c r="AP96" i="2" s="1"/>
  <c r="D96" i="2"/>
  <c r="A96" i="2"/>
  <c r="BC95" i="2"/>
  <c r="AO95" i="2"/>
  <c r="BB95" i="2" s="1"/>
  <c r="AN95" i="2"/>
  <c r="BA95" i="2" s="1"/>
  <c r="AM95" i="2"/>
  <c r="AZ95" i="2" s="1"/>
  <c r="AL95" i="2"/>
  <c r="AY95" i="2" s="1"/>
  <c r="AK95" i="2"/>
  <c r="AX95" i="2" s="1"/>
  <c r="AJ95" i="2"/>
  <c r="AW95" i="2" s="1"/>
  <c r="AI95" i="2"/>
  <c r="AV95" i="2" s="1"/>
  <c r="AH95" i="2"/>
  <c r="AU95" i="2" s="1"/>
  <c r="AG95" i="2"/>
  <c r="AT95" i="2" s="1"/>
  <c r="AF95" i="2"/>
  <c r="AS95" i="2" s="1"/>
  <c r="AE95" i="2"/>
  <c r="AR95" i="2" s="1"/>
  <c r="AD95" i="2"/>
  <c r="AQ95" i="2" s="1"/>
  <c r="AA95" i="2"/>
  <c r="Z95" i="2"/>
  <c r="AP95" i="2" s="1"/>
  <c r="D95" i="2"/>
  <c r="A95" i="2"/>
  <c r="BC94" i="2"/>
  <c r="AO94" i="2"/>
  <c r="BB94" i="2" s="1"/>
  <c r="AN94" i="2"/>
  <c r="BA94" i="2" s="1"/>
  <c r="AM94" i="2"/>
  <c r="AZ94" i="2" s="1"/>
  <c r="AL94" i="2"/>
  <c r="AY94" i="2" s="1"/>
  <c r="AK94" i="2"/>
  <c r="AX94" i="2" s="1"/>
  <c r="AJ94" i="2"/>
  <c r="AW94" i="2" s="1"/>
  <c r="AI94" i="2"/>
  <c r="AV94" i="2" s="1"/>
  <c r="AH94" i="2"/>
  <c r="AU94" i="2" s="1"/>
  <c r="AG94" i="2"/>
  <c r="AT94" i="2" s="1"/>
  <c r="AF94" i="2"/>
  <c r="AS94" i="2" s="1"/>
  <c r="AE94" i="2"/>
  <c r="AR94" i="2" s="1"/>
  <c r="AD94" i="2"/>
  <c r="AQ94" i="2" s="1"/>
  <c r="AA94" i="2"/>
  <c r="Z94" i="2"/>
  <c r="AP94" i="2" s="1"/>
  <c r="D94" i="2"/>
  <c r="A94" i="2"/>
  <c r="BC93" i="2"/>
  <c r="AS93" i="2"/>
  <c r="AO93" i="2"/>
  <c r="BB93" i="2" s="1"/>
  <c r="AN93" i="2"/>
  <c r="BA93" i="2" s="1"/>
  <c r="AM93" i="2"/>
  <c r="AZ93" i="2" s="1"/>
  <c r="AL93" i="2"/>
  <c r="AY93" i="2" s="1"/>
  <c r="AK93" i="2"/>
  <c r="AX93" i="2" s="1"/>
  <c r="AJ93" i="2"/>
  <c r="AW93" i="2" s="1"/>
  <c r="AI93" i="2"/>
  <c r="AV93" i="2" s="1"/>
  <c r="AH93" i="2"/>
  <c r="AU93" i="2" s="1"/>
  <c r="AG93" i="2"/>
  <c r="AT93" i="2" s="1"/>
  <c r="AF93" i="2"/>
  <c r="AE93" i="2"/>
  <c r="AR93" i="2" s="1"/>
  <c r="AD93" i="2"/>
  <c r="AQ93" i="2" s="1"/>
  <c r="AA93" i="2"/>
  <c r="Z93" i="2"/>
  <c r="AP93" i="2" s="1"/>
  <c r="D93" i="2"/>
  <c r="A93" i="2"/>
  <c r="BC92" i="2"/>
  <c r="AO92" i="2"/>
  <c r="BB92" i="2" s="1"/>
  <c r="AN92" i="2"/>
  <c r="BA92" i="2" s="1"/>
  <c r="AM92" i="2"/>
  <c r="AZ92" i="2" s="1"/>
  <c r="AL92" i="2"/>
  <c r="AY92" i="2" s="1"/>
  <c r="AK92" i="2"/>
  <c r="AX92" i="2" s="1"/>
  <c r="AJ92" i="2"/>
  <c r="AW92" i="2" s="1"/>
  <c r="AI92" i="2"/>
  <c r="AV92" i="2" s="1"/>
  <c r="AH92" i="2"/>
  <c r="AU92" i="2" s="1"/>
  <c r="AG92" i="2"/>
  <c r="AT92" i="2" s="1"/>
  <c r="AF92" i="2"/>
  <c r="AS92" i="2" s="1"/>
  <c r="AE92" i="2"/>
  <c r="AR92" i="2" s="1"/>
  <c r="AD92" i="2"/>
  <c r="AQ92" i="2" s="1"/>
  <c r="AA92" i="2"/>
  <c r="Z92" i="2"/>
  <c r="AP92" i="2" s="1"/>
  <c r="D92" i="2"/>
  <c r="A92" i="2"/>
  <c r="BC91" i="2"/>
  <c r="AO91" i="2"/>
  <c r="BB91" i="2" s="1"/>
  <c r="AN91" i="2"/>
  <c r="BA91" i="2" s="1"/>
  <c r="AM91" i="2"/>
  <c r="AZ91" i="2" s="1"/>
  <c r="AL91" i="2"/>
  <c r="AY91" i="2" s="1"/>
  <c r="AK91" i="2"/>
  <c r="AX91" i="2" s="1"/>
  <c r="AJ91" i="2"/>
  <c r="AW91" i="2" s="1"/>
  <c r="AI91" i="2"/>
  <c r="AV91" i="2" s="1"/>
  <c r="AH91" i="2"/>
  <c r="AU91" i="2" s="1"/>
  <c r="AG91" i="2"/>
  <c r="AT91" i="2" s="1"/>
  <c r="AF91" i="2"/>
  <c r="AS91" i="2" s="1"/>
  <c r="AE91" i="2"/>
  <c r="AR91" i="2" s="1"/>
  <c r="AD91" i="2"/>
  <c r="AQ91" i="2" s="1"/>
  <c r="AA91" i="2"/>
  <c r="Z91" i="2"/>
  <c r="AP91" i="2" s="1"/>
  <c r="D91" i="2"/>
  <c r="A91" i="2"/>
  <c r="BC90" i="2"/>
  <c r="AO90" i="2"/>
  <c r="BB90" i="2" s="1"/>
  <c r="AN90" i="2"/>
  <c r="BA90" i="2" s="1"/>
  <c r="AM90" i="2"/>
  <c r="AZ90" i="2" s="1"/>
  <c r="AL90" i="2"/>
  <c r="AY90" i="2" s="1"/>
  <c r="AK90" i="2"/>
  <c r="AX90" i="2" s="1"/>
  <c r="AJ90" i="2"/>
  <c r="AW90" i="2" s="1"/>
  <c r="AI90" i="2"/>
  <c r="AV90" i="2" s="1"/>
  <c r="AH90" i="2"/>
  <c r="AU90" i="2" s="1"/>
  <c r="AG90" i="2"/>
  <c r="AT90" i="2" s="1"/>
  <c r="AF90" i="2"/>
  <c r="AS90" i="2" s="1"/>
  <c r="AE90" i="2"/>
  <c r="AR90" i="2" s="1"/>
  <c r="AD90" i="2"/>
  <c r="AQ90" i="2" s="1"/>
  <c r="AA90" i="2"/>
  <c r="Z90" i="2"/>
  <c r="AP90" i="2" s="1"/>
  <c r="D90" i="2"/>
  <c r="A90" i="2"/>
  <c r="BC89" i="2"/>
  <c r="AS89" i="2"/>
  <c r="AO89" i="2"/>
  <c r="BB89" i="2" s="1"/>
  <c r="AN89" i="2"/>
  <c r="BA89" i="2" s="1"/>
  <c r="AM89" i="2"/>
  <c r="AZ89" i="2" s="1"/>
  <c r="AL89" i="2"/>
  <c r="AY89" i="2" s="1"/>
  <c r="AK89" i="2"/>
  <c r="AX89" i="2" s="1"/>
  <c r="AJ89" i="2"/>
  <c r="AW89" i="2" s="1"/>
  <c r="AI89" i="2"/>
  <c r="AV89" i="2" s="1"/>
  <c r="AH89" i="2"/>
  <c r="AU89" i="2" s="1"/>
  <c r="AG89" i="2"/>
  <c r="AT89" i="2" s="1"/>
  <c r="AF89" i="2"/>
  <c r="AE89" i="2"/>
  <c r="AR89" i="2" s="1"/>
  <c r="AD89" i="2"/>
  <c r="AQ89" i="2" s="1"/>
  <c r="AA89" i="2"/>
  <c r="Z89" i="2"/>
  <c r="AP89" i="2" s="1"/>
  <c r="D89" i="2"/>
  <c r="A89" i="2"/>
  <c r="BC88" i="2"/>
  <c r="AO88" i="2"/>
  <c r="BB88" i="2" s="1"/>
  <c r="AN88" i="2"/>
  <c r="BA88" i="2" s="1"/>
  <c r="AM88" i="2"/>
  <c r="AZ88" i="2" s="1"/>
  <c r="AL88" i="2"/>
  <c r="AY88" i="2" s="1"/>
  <c r="AK88" i="2"/>
  <c r="AX88" i="2" s="1"/>
  <c r="AJ88" i="2"/>
  <c r="AW88" i="2" s="1"/>
  <c r="AI88" i="2"/>
  <c r="AV88" i="2" s="1"/>
  <c r="AH88" i="2"/>
  <c r="AU88" i="2" s="1"/>
  <c r="AG88" i="2"/>
  <c r="AT88" i="2" s="1"/>
  <c r="AF88" i="2"/>
  <c r="AS88" i="2" s="1"/>
  <c r="AE88" i="2"/>
  <c r="AR88" i="2" s="1"/>
  <c r="AD88" i="2"/>
  <c r="AQ88" i="2" s="1"/>
  <c r="AA88" i="2"/>
  <c r="Z88" i="2"/>
  <c r="AP88" i="2" s="1"/>
  <c r="D88" i="2"/>
  <c r="A88" i="2"/>
  <c r="BC87" i="2"/>
  <c r="AO87" i="2"/>
  <c r="BB87" i="2" s="1"/>
  <c r="AN87" i="2"/>
  <c r="BA87" i="2" s="1"/>
  <c r="AM87" i="2"/>
  <c r="AZ87" i="2" s="1"/>
  <c r="AL87" i="2"/>
  <c r="AY87" i="2" s="1"/>
  <c r="AK87" i="2"/>
  <c r="AX87" i="2" s="1"/>
  <c r="AJ87" i="2"/>
  <c r="AW87" i="2" s="1"/>
  <c r="AI87" i="2"/>
  <c r="AV87" i="2" s="1"/>
  <c r="AH87" i="2"/>
  <c r="AU87" i="2" s="1"/>
  <c r="AG87" i="2"/>
  <c r="AT87" i="2" s="1"/>
  <c r="AF87" i="2"/>
  <c r="AS87" i="2" s="1"/>
  <c r="AE87" i="2"/>
  <c r="AR87" i="2" s="1"/>
  <c r="AD87" i="2"/>
  <c r="AQ87" i="2" s="1"/>
  <c r="AA87" i="2"/>
  <c r="Z87" i="2"/>
  <c r="AP87" i="2" s="1"/>
  <c r="D87" i="2"/>
  <c r="A87" i="2"/>
  <c r="BC86" i="2"/>
  <c r="AO86" i="2"/>
  <c r="BB86" i="2" s="1"/>
  <c r="AN86" i="2"/>
  <c r="BA86" i="2" s="1"/>
  <c r="AM86" i="2"/>
  <c r="AZ86" i="2" s="1"/>
  <c r="AL86" i="2"/>
  <c r="AY86" i="2" s="1"/>
  <c r="AK86" i="2"/>
  <c r="AX86" i="2" s="1"/>
  <c r="AJ86" i="2"/>
  <c r="AW86" i="2" s="1"/>
  <c r="AI86" i="2"/>
  <c r="AV86" i="2" s="1"/>
  <c r="AH86" i="2"/>
  <c r="AU86" i="2" s="1"/>
  <c r="AG86" i="2"/>
  <c r="AT86" i="2" s="1"/>
  <c r="AF86" i="2"/>
  <c r="AS86" i="2" s="1"/>
  <c r="AE86" i="2"/>
  <c r="AR86" i="2" s="1"/>
  <c r="AD86" i="2"/>
  <c r="AQ86" i="2" s="1"/>
  <c r="AA86" i="2"/>
  <c r="Z86" i="2"/>
  <c r="AP86" i="2" s="1"/>
  <c r="D86" i="2"/>
  <c r="A86" i="2"/>
  <c r="BC85" i="2"/>
  <c r="AO85" i="2"/>
  <c r="BB85" i="2" s="1"/>
  <c r="AN85" i="2"/>
  <c r="BA85" i="2" s="1"/>
  <c r="AM85" i="2"/>
  <c r="AZ85" i="2" s="1"/>
  <c r="AL85" i="2"/>
  <c r="AY85" i="2" s="1"/>
  <c r="AK85" i="2"/>
  <c r="AX85" i="2" s="1"/>
  <c r="AJ85" i="2"/>
  <c r="AW85" i="2" s="1"/>
  <c r="AI85" i="2"/>
  <c r="AV85" i="2" s="1"/>
  <c r="AH85" i="2"/>
  <c r="AU85" i="2" s="1"/>
  <c r="AG85" i="2"/>
  <c r="AT85" i="2" s="1"/>
  <c r="AF85" i="2"/>
  <c r="AS85" i="2" s="1"/>
  <c r="AE85" i="2"/>
  <c r="AR85" i="2" s="1"/>
  <c r="AD85" i="2"/>
  <c r="AQ85" i="2" s="1"/>
  <c r="AA85" i="2"/>
  <c r="Z85" i="2"/>
  <c r="AP85" i="2" s="1"/>
  <c r="D85" i="2"/>
  <c r="A85" i="2"/>
  <c r="BC84" i="2"/>
  <c r="AO84" i="2"/>
  <c r="BB84" i="2" s="1"/>
  <c r="AN84" i="2"/>
  <c r="BA84" i="2" s="1"/>
  <c r="AM84" i="2"/>
  <c r="AZ84" i="2" s="1"/>
  <c r="AL84" i="2"/>
  <c r="AY84" i="2" s="1"/>
  <c r="AK84" i="2"/>
  <c r="AX84" i="2" s="1"/>
  <c r="AJ84" i="2"/>
  <c r="AW84" i="2" s="1"/>
  <c r="AI84" i="2"/>
  <c r="AV84" i="2" s="1"/>
  <c r="AH84" i="2"/>
  <c r="AU84" i="2" s="1"/>
  <c r="AG84" i="2"/>
  <c r="AT84" i="2" s="1"/>
  <c r="AF84" i="2"/>
  <c r="AS84" i="2" s="1"/>
  <c r="AE84" i="2"/>
  <c r="AR84" i="2" s="1"/>
  <c r="AD84" i="2"/>
  <c r="AQ84" i="2" s="1"/>
  <c r="AA84" i="2"/>
  <c r="Z84" i="2"/>
  <c r="AP84" i="2" s="1"/>
  <c r="D84" i="2"/>
  <c r="A84" i="2"/>
  <c r="BC83" i="2"/>
  <c r="AO83" i="2"/>
  <c r="BB83" i="2" s="1"/>
  <c r="AN83" i="2"/>
  <c r="BA83" i="2" s="1"/>
  <c r="AM83" i="2"/>
  <c r="AZ83" i="2" s="1"/>
  <c r="AL83" i="2"/>
  <c r="AY83" i="2" s="1"/>
  <c r="AK83" i="2"/>
  <c r="AX83" i="2" s="1"/>
  <c r="AJ83" i="2"/>
  <c r="AW83" i="2" s="1"/>
  <c r="AI83" i="2"/>
  <c r="AV83" i="2" s="1"/>
  <c r="AH83" i="2"/>
  <c r="AU83" i="2" s="1"/>
  <c r="AG83" i="2"/>
  <c r="AT83" i="2" s="1"/>
  <c r="AF83" i="2"/>
  <c r="AS83" i="2" s="1"/>
  <c r="AE83" i="2"/>
  <c r="AR83" i="2" s="1"/>
  <c r="AD83" i="2"/>
  <c r="AQ83" i="2" s="1"/>
  <c r="AA83" i="2"/>
  <c r="Z83" i="2"/>
  <c r="AP83" i="2" s="1"/>
  <c r="D83" i="2"/>
  <c r="A83" i="2"/>
  <c r="BC82" i="2"/>
  <c r="AO82" i="2"/>
  <c r="BB82" i="2" s="1"/>
  <c r="AN82" i="2"/>
  <c r="BA82" i="2" s="1"/>
  <c r="AM82" i="2"/>
  <c r="AZ82" i="2" s="1"/>
  <c r="AL82" i="2"/>
  <c r="AY82" i="2" s="1"/>
  <c r="AK82" i="2"/>
  <c r="AX82" i="2" s="1"/>
  <c r="AJ82" i="2"/>
  <c r="AW82" i="2" s="1"/>
  <c r="AI82" i="2"/>
  <c r="AV82" i="2" s="1"/>
  <c r="AH82" i="2"/>
  <c r="AU82" i="2" s="1"/>
  <c r="AG82" i="2"/>
  <c r="AT82" i="2" s="1"/>
  <c r="AF82" i="2"/>
  <c r="AS82" i="2" s="1"/>
  <c r="AE82" i="2"/>
  <c r="AR82" i="2" s="1"/>
  <c r="AD82" i="2"/>
  <c r="AQ82" i="2" s="1"/>
  <c r="AA82" i="2"/>
  <c r="Z82" i="2"/>
  <c r="AP82" i="2" s="1"/>
  <c r="D82" i="2"/>
  <c r="A82" i="2"/>
  <c r="BC81" i="2"/>
  <c r="AO81" i="2"/>
  <c r="BB81" i="2" s="1"/>
  <c r="AN81" i="2"/>
  <c r="BA81" i="2" s="1"/>
  <c r="AM81" i="2"/>
  <c r="AZ81" i="2" s="1"/>
  <c r="AL81" i="2"/>
  <c r="AY81" i="2" s="1"/>
  <c r="AK81" i="2"/>
  <c r="AX81" i="2" s="1"/>
  <c r="AJ81" i="2"/>
  <c r="AW81" i="2" s="1"/>
  <c r="AI81" i="2"/>
  <c r="AV81" i="2" s="1"/>
  <c r="AH81" i="2"/>
  <c r="AU81" i="2" s="1"/>
  <c r="AG81" i="2"/>
  <c r="AT81" i="2" s="1"/>
  <c r="AF81" i="2"/>
  <c r="AS81" i="2" s="1"/>
  <c r="AE81" i="2"/>
  <c r="AR81" i="2" s="1"/>
  <c r="AD81" i="2"/>
  <c r="AQ81" i="2" s="1"/>
  <c r="AA81" i="2"/>
  <c r="Z81" i="2"/>
  <c r="AP81" i="2" s="1"/>
  <c r="D81" i="2"/>
  <c r="A81" i="2"/>
  <c r="BC80" i="2"/>
  <c r="AO80" i="2"/>
  <c r="BB80" i="2" s="1"/>
  <c r="AN80" i="2"/>
  <c r="BA80" i="2" s="1"/>
  <c r="AM80" i="2"/>
  <c r="AZ80" i="2" s="1"/>
  <c r="AL80" i="2"/>
  <c r="AY80" i="2" s="1"/>
  <c r="AK80" i="2"/>
  <c r="AX80" i="2" s="1"/>
  <c r="AJ80" i="2"/>
  <c r="AW80" i="2" s="1"/>
  <c r="AI80" i="2"/>
  <c r="AV80" i="2" s="1"/>
  <c r="AH80" i="2"/>
  <c r="AU80" i="2" s="1"/>
  <c r="AG80" i="2"/>
  <c r="AT80" i="2" s="1"/>
  <c r="AF80" i="2"/>
  <c r="AS80" i="2" s="1"/>
  <c r="AE80" i="2"/>
  <c r="AR80" i="2" s="1"/>
  <c r="AD80" i="2"/>
  <c r="AQ80" i="2" s="1"/>
  <c r="AA80" i="2"/>
  <c r="Z80" i="2"/>
  <c r="AP80" i="2" s="1"/>
  <c r="D80" i="2"/>
  <c r="A80" i="2"/>
  <c r="BC79" i="2"/>
  <c r="AO79" i="2"/>
  <c r="BB79" i="2" s="1"/>
  <c r="AN79" i="2"/>
  <c r="BA79" i="2" s="1"/>
  <c r="AM79" i="2"/>
  <c r="AZ79" i="2" s="1"/>
  <c r="AL79" i="2"/>
  <c r="AY79" i="2" s="1"/>
  <c r="AK79" i="2"/>
  <c r="AX79" i="2" s="1"/>
  <c r="AJ79" i="2"/>
  <c r="AW79" i="2" s="1"/>
  <c r="AI79" i="2"/>
  <c r="AV79" i="2" s="1"/>
  <c r="AH79" i="2"/>
  <c r="AU79" i="2" s="1"/>
  <c r="AG79" i="2"/>
  <c r="AT79" i="2" s="1"/>
  <c r="AF79" i="2"/>
  <c r="AS79" i="2" s="1"/>
  <c r="AE79" i="2"/>
  <c r="AR79" i="2" s="1"/>
  <c r="AD79" i="2"/>
  <c r="AQ79" i="2" s="1"/>
  <c r="AA79" i="2"/>
  <c r="Z79" i="2"/>
  <c r="AP79" i="2" s="1"/>
  <c r="D79" i="2"/>
  <c r="A79" i="2"/>
  <c r="BC78" i="2"/>
  <c r="AO78" i="2"/>
  <c r="BB78" i="2" s="1"/>
  <c r="AN78" i="2"/>
  <c r="BA78" i="2" s="1"/>
  <c r="AM78" i="2"/>
  <c r="AZ78" i="2" s="1"/>
  <c r="AL78" i="2"/>
  <c r="AY78" i="2" s="1"/>
  <c r="AK78" i="2"/>
  <c r="AX78" i="2" s="1"/>
  <c r="AJ78" i="2"/>
  <c r="AW78" i="2" s="1"/>
  <c r="AI78" i="2"/>
  <c r="AV78" i="2" s="1"/>
  <c r="AH78" i="2"/>
  <c r="AU78" i="2" s="1"/>
  <c r="AG78" i="2"/>
  <c r="AT78" i="2" s="1"/>
  <c r="AF78" i="2"/>
  <c r="AS78" i="2" s="1"/>
  <c r="AE78" i="2"/>
  <c r="AR78" i="2" s="1"/>
  <c r="AD78" i="2"/>
  <c r="AQ78" i="2" s="1"/>
  <c r="AA78" i="2"/>
  <c r="Z78" i="2"/>
  <c r="AP78" i="2" s="1"/>
  <c r="D78" i="2"/>
  <c r="A78" i="2"/>
  <c r="BC77" i="2"/>
  <c r="AO77" i="2"/>
  <c r="BB77" i="2" s="1"/>
  <c r="AN77" i="2"/>
  <c r="BA77" i="2" s="1"/>
  <c r="AM77" i="2"/>
  <c r="AZ77" i="2" s="1"/>
  <c r="AL77" i="2"/>
  <c r="AY77" i="2" s="1"/>
  <c r="AK77" i="2"/>
  <c r="AX77" i="2" s="1"/>
  <c r="AJ77" i="2"/>
  <c r="AW77" i="2" s="1"/>
  <c r="AI77" i="2"/>
  <c r="AV77" i="2" s="1"/>
  <c r="AH77" i="2"/>
  <c r="AU77" i="2" s="1"/>
  <c r="AG77" i="2"/>
  <c r="AT77" i="2" s="1"/>
  <c r="AF77" i="2"/>
  <c r="AS77" i="2" s="1"/>
  <c r="AE77" i="2"/>
  <c r="AR77" i="2" s="1"/>
  <c r="AD77" i="2"/>
  <c r="AQ77" i="2" s="1"/>
  <c r="AA77" i="2"/>
  <c r="Z77" i="2"/>
  <c r="AP77" i="2" s="1"/>
  <c r="D77" i="2"/>
  <c r="A77" i="2"/>
  <c r="BC76" i="2"/>
  <c r="AO76" i="2"/>
  <c r="BB76" i="2" s="1"/>
  <c r="AN76" i="2"/>
  <c r="BA76" i="2" s="1"/>
  <c r="AM76" i="2"/>
  <c r="AZ76" i="2" s="1"/>
  <c r="AL76" i="2"/>
  <c r="AY76" i="2" s="1"/>
  <c r="AK76" i="2"/>
  <c r="AX76" i="2" s="1"/>
  <c r="AJ76" i="2"/>
  <c r="AW76" i="2" s="1"/>
  <c r="AI76" i="2"/>
  <c r="AV76" i="2" s="1"/>
  <c r="AH76" i="2"/>
  <c r="AU76" i="2" s="1"/>
  <c r="AG76" i="2"/>
  <c r="AT76" i="2" s="1"/>
  <c r="AF76" i="2"/>
  <c r="AS76" i="2" s="1"/>
  <c r="AE76" i="2"/>
  <c r="AR76" i="2" s="1"/>
  <c r="AD76" i="2"/>
  <c r="AQ76" i="2" s="1"/>
  <c r="AA76" i="2"/>
  <c r="Z76" i="2"/>
  <c r="AP76" i="2" s="1"/>
  <c r="D76" i="2"/>
  <c r="A76" i="2"/>
  <c r="BC75" i="2"/>
  <c r="AO75" i="2"/>
  <c r="BB75" i="2" s="1"/>
  <c r="AN75" i="2"/>
  <c r="BA75" i="2" s="1"/>
  <c r="AM75" i="2"/>
  <c r="AZ75" i="2" s="1"/>
  <c r="AL75" i="2"/>
  <c r="AY75" i="2" s="1"/>
  <c r="AK75" i="2"/>
  <c r="AX75" i="2" s="1"/>
  <c r="AJ75" i="2"/>
  <c r="AW75" i="2" s="1"/>
  <c r="AI75" i="2"/>
  <c r="AV75" i="2" s="1"/>
  <c r="AH75" i="2"/>
  <c r="AU75" i="2" s="1"/>
  <c r="AG75" i="2"/>
  <c r="AT75" i="2" s="1"/>
  <c r="AF75" i="2"/>
  <c r="AS75" i="2" s="1"/>
  <c r="AE75" i="2"/>
  <c r="AR75" i="2" s="1"/>
  <c r="AD75" i="2"/>
  <c r="AQ75" i="2" s="1"/>
  <c r="AA75" i="2"/>
  <c r="Z75" i="2"/>
  <c r="AP75" i="2" s="1"/>
  <c r="D75" i="2"/>
  <c r="A75" i="2"/>
  <c r="BC74" i="2"/>
  <c r="AO74" i="2"/>
  <c r="BB74" i="2" s="1"/>
  <c r="AN74" i="2"/>
  <c r="BA74" i="2" s="1"/>
  <c r="AM74" i="2"/>
  <c r="AZ74" i="2" s="1"/>
  <c r="AL74" i="2"/>
  <c r="AY74" i="2" s="1"/>
  <c r="AK74" i="2"/>
  <c r="AX74" i="2" s="1"/>
  <c r="AJ74" i="2"/>
  <c r="AW74" i="2" s="1"/>
  <c r="AI74" i="2"/>
  <c r="AV74" i="2" s="1"/>
  <c r="AH74" i="2"/>
  <c r="AU74" i="2" s="1"/>
  <c r="AG74" i="2"/>
  <c r="AT74" i="2" s="1"/>
  <c r="AF74" i="2"/>
  <c r="AS74" i="2" s="1"/>
  <c r="AE74" i="2"/>
  <c r="AR74" i="2" s="1"/>
  <c r="AD74" i="2"/>
  <c r="AQ74" i="2" s="1"/>
  <c r="AA74" i="2"/>
  <c r="Z74" i="2"/>
  <c r="AP74" i="2" s="1"/>
  <c r="D74" i="2"/>
  <c r="A74" i="2"/>
  <c r="BC73" i="2"/>
  <c r="AO73" i="2"/>
  <c r="BB73" i="2" s="1"/>
  <c r="AN73" i="2"/>
  <c r="BA73" i="2" s="1"/>
  <c r="AM73" i="2"/>
  <c r="AZ73" i="2" s="1"/>
  <c r="AL73" i="2"/>
  <c r="AY73" i="2" s="1"/>
  <c r="AK73" i="2"/>
  <c r="AX73" i="2" s="1"/>
  <c r="AJ73" i="2"/>
  <c r="AW73" i="2" s="1"/>
  <c r="AI73" i="2"/>
  <c r="AV73" i="2" s="1"/>
  <c r="AH73" i="2"/>
  <c r="AU73" i="2" s="1"/>
  <c r="AG73" i="2"/>
  <c r="AT73" i="2" s="1"/>
  <c r="AF73" i="2"/>
  <c r="AS73" i="2" s="1"/>
  <c r="AE73" i="2"/>
  <c r="AR73" i="2" s="1"/>
  <c r="AD73" i="2"/>
  <c r="AQ73" i="2" s="1"/>
  <c r="AA73" i="2"/>
  <c r="Z73" i="2"/>
  <c r="AP73" i="2" s="1"/>
  <c r="D73" i="2"/>
  <c r="A73" i="2"/>
  <c r="BC72" i="2"/>
  <c r="AO72" i="2"/>
  <c r="BB72" i="2" s="1"/>
  <c r="AN72" i="2"/>
  <c r="BA72" i="2" s="1"/>
  <c r="AM72" i="2"/>
  <c r="AZ72" i="2" s="1"/>
  <c r="AL72" i="2"/>
  <c r="AY72" i="2" s="1"/>
  <c r="AK72" i="2"/>
  <c r="AX72" i="2" s="1"/>
  <c r="AJ72" i="2"/>
  <c r="AW72" i="2" s="1"/>
  <c r="AI72" i="2"/>
  <c r="AV72" i="2" s="1"/>
  <c r="AH72" i="2"/>
  <c r="AU72" i="2" s="1"/>
  <c r="AG72" i="2"/>
  <c r="AT72" i="2" s="1"/>
  <c r="AF72" i="2"/>
  <c r="AS72" i="2" s="1"/>
  <c r="AE72" i="2"/>
  <c r="AR72" i="2" s="1"/>
  <c r="AD72" i="2"/>
  <c r="AQ72" i="2" s="1"/>
  <c r="AA72" i="2"/>
  <c r="Z72" i="2"/>
  <c r="AP72" i="2" s="1"/>
  <c r="D72" i="2"/>
  <c r="A72" i="2"/>
  <c r="BC71" i="2"/>
  <c r="AO71" i="2"/>
  <c r="BB71" i="2" s="1"/>
  <c r="AN71" i="2"/>
  <c r="BA71" i="2" s="1"/>
  <c r="AM71" i="2"/>
  <c r="AZ71" i="2" s="1"/>
  <c r="AL71" i="2"/>
  <c r="AY71" i="2" s="1"/>
  <c r="AK71" i="2"/>
  <c r="AX71" i="2" s="1"/>
  <c r="AJ71" i="2"/>
  <c r="AW71" i="2" s="1"/>
  <c r="AI71" i="2"/>
  <c r="AV71" i="2" s="1"/>
  <c r="AH71" i="2"/>
  <c r="AU71" i="2" s="1"/>
  <c r="AG71" i="2"/>
  <c r="AT71" i="2" s="1"/>
  <c r="AF71" i="2"/>
  <c r="AS71" i="2" s="1"/>
  <c r="AE71" i="2"/>
  <c r="AR71" i="2" s="1"/>
  <c r="AD71" i="2"/>
  <c r="AQ71" i="2" s="1"/>
  <c r="AA71" i="2"/>
  <c r="Z71" i="2"/>
  <c r="AP71" i="2" s="1"/>
  <c r="D71" i="2"/>
  <c r="A71" i="2"/>
  <c r="BC70" i="2"/>
  <c r="AO70" i="2"/>
  <c r="BB70" i="2" s="1"/>
  <c r="AN70" i="2"/>
  <c r="BA70" i="2" s="1"/>
  <c r="AM70" i="2"/>
  <c r="AZ70" i="2" s="1"/>
  <c r="AL70" i="2"/>
  <c r="AY70" i="2" s="1"/>
  <c r="AK70" i="2"/>
  <c r="AX70" i="2" s="1"/>
  <c r="AJ70" i="2"/>
  <c r="AW70" i="2" s="1"/>
  <c r="AI70" i="2"/>
  <c r="AV70" i="2" s="1"/>
  <c r="AH70" i="2"/>
  <c r="AU70" i="2" s="1"/>
  <c r="AG70" i="2"/>
  <c r="AT70" i="2" s="1"/>
  <c r="AF70" i="2"/>
  <c r="AS70" i="2" s="1"/>
  <c r="AE70" i="2"/>
  <c r="AR70" i="2" s="1"/>
  <c r="AD70" i="2"/>
  <c r="AQ70" i="2" s="1"/>
  <c r="AA70" i="2"/>
  <c r="Z70" i="2"/>
  <c r="AP70" i="2" s="1"/>
  <c r="D70" i="2"/>
  <c r="A70" i="2"/>
  <c r="BC69" i="2"/>
  <c r="BA69" i="2"/>
  <c r="AO69" i="2"/>
  <c r="BB69" i="2" s="1"/>
  <c r="AN69" i="2"/>
  <c r="AM69" i="2"/>
  <c r="AZ69" i="2" s="1"/>
  <c r="AL69" i="2"/>
  <c r="AY69" i="2" s="1"/>
  <c r="AK69" i="2"/>
  <c r="AX69" i="2" s="1"/>
  <c r="AJ69" i="2"/>
  <c r="AW69" i="2" s="1"/>
  <c r="AI69" i="2"/>
  <c r="AV69" i="2" s="1"/>
  <c r="AH69" i="2"/>
  <c r="AU69" i="2" s="1"/>
  <c r="AG69" i="2"/>
  <c r="AT69" i="2" s="1"/>
  <c r="AF69" i="2"/>
  <c r="AS69" i="2" s="1"/>
  <c r="AE69" i="2"/>
  <c r="AR69" i="2" s="1"/>
  <c r="AD69" i="2"/>
  <c r="AQ69" i="2" s="1"/>
  <c r="AA69" i="2"/>
  <c r="Z69" i="2"/>
  <c r="AP69" i="2" s="1"/>
  <c r="D69" i="2"/>
  <c r="A69" i="2"/>
  <c r="BC68" i="2"/>
  <c r="AO68" i="2"/>
  <c r="BB68" i="2" s="1"/>
  <c r="AN68" i="2"/>
  <c r="BA68" i="2" s="1"/>
  <c r="AM68" i="2"/>
  <c r="AZ68" i="2" s="1"/>
  <c r="AL68" i="2"/>
  <c r="AY68" i="2" s="1"/>
  <c r="AK68" i="2"/>
  <c r="AX68" i="2" s="1"/>
  <c r="AJ68" i="2"/>
  <c r="AW68" i="2" s="1"/>
  <c r="AI68" i="2"/>
  <c r="AV68" i="2" s="1"/>
  <c r="AH68" i="2"/>
  <c r="AU68" i="2" s="1"/>
  <c r="AG68" i="2"/>
  <c r="AT68" i="2" s="1"/>
  <c r="AF68" i="2"/>
  <c r="AS68" i="2" s="1"/>
  <c r="AE68" i="2"/>
  <c r="AR68" i="2" s="1"/>
  <c r="AD68" i="2"/>
  <c r="AQ68" i="2" s="1"/>
  <c r="AA68" i="2"/>
  <c r="Z68" i="2"/>
  <c r="AP68" i="2" s="1"/>
  <c r="D68" i="2"/>
  <c r="A68" i="2"/>
  <c r="BC67" i="2"/>
  <c r="AO67" i="2"/>
  <c r="BB67" i="2" s="1"/>
  <c r="AN67" i="2"/>
  <c r="BA67" i="2" s="1"/>
  <c r="AM67" i="2"/>
  <c r="AZ67" i="2" s="1"/>
  <c r="AL67" i="2"/>
  <c r="AY67" i="2" s="1"/>
  <c r="AK67" i="2"/>
  <c r="AX67" i="2" s="1"/>
  <c r="AJ67" i="2"/>
  <c r="AW67" i="2" s="1"/>
  <c r="AI67" i="2"/>
  <c r="AV67" i="2" s="1"/>
  <c r="AH67" i="2"/>
  <c r="AU67" i="2" s="1"/>
  <c r="AG67" i="2"/>
  <c r="AT67" i="2" s="1"/>
  <c r="AF67" i="2"/>
  <c r="AS67" i="2" s="1"/>
  <c r="AE67" i="2"/>
  <c r="AR67" i="2" s="1"/>
  <c r="AD67" i="2"/>
  <c r="AQ67" i="2" s="1"/>
  <c r="AA67" i="2"/>
  <c r="Z67" i="2"/>
  <c r="AP67" i="2" s="1"/>
  <c r="D67" i="2"/>
  <c r="A67" i="2"/>
  <c r="BC66" i="2"/>
  <c r="AO66" i="2"/>
  <c r="BB66" i="2" s="1"/>
  <c r="AN66" i="2"/>
  <c r="BA66" i="2" s="1"/>
  <c r="AM66" i="2"/>
  <c r="AZ66" i="2" s="1"/>
  <c r="AL66" i="2"/>
  <c r="AY66" i="2" s="1"/>
  <c r="AK66" i="2"/>
  <c r="AX66" i="2" s="1"/>
  <c r="AJ66" i="2"/>
  <c r="AW66" i="2" s="1"/>
  <c r="AI66" i="2"/>
  <c r="AV66" i="2" s="1"/>
  <c r="AH66" i="2"/>
  <c r="AU66" i="2" s="1"/>
  <c r="AG66" i="2"/>
  <c r="AT66" i="2" s="1"/>
  <c r="AF66" i="2"/>
  <c r="AS66" i="2" s="1"/>
  <c r="AE66" i="2"/>
  <c r="AR66" i="2" s="1"/>
  <c r="AD66" i="2"/>
  <c r="AQ66" i="2" s="1"/>
  <c r="AA66" i="2"/>
  <c r="Z66" i="2"/>
  <c r="AP66" i="2" s="1"/>
  <c r="D66" i="2"/>
  <c r="A66" i="2"/>
  <c r="BC65" i="2"/>
  <c r="AO65" i="2"/>
  <c r="BB65" i="2" s="1"/>
  <c r="AN65" i="2"/>
  <c r="BA65" i="2" s="1"/>
  <c r="AM65" i="2"/>
  <c r="AZ65" i="2" s="1"/>
  <c r="AL65" i="2"/>
  <c r="AY65" i="2" s="1"/>
  <c r="AK65" i="2"/>
  <c r="AX65" i="2" s="1"/>
  <c r="AJ65" i="2"/>
  <c r="AW65" i="2" s="1"/>
  <c r="AI65" i="2"/>
  <c r="AV65" i="2" s="1"/>
  <c r="AH65" i="2"/>
  <c r="AU65" i="2" s="1"/>
  <c r="AG65" i="2"/>
  <c r="AT65" i="2" s="1"/>
  <c r="AF65" i="2"/>
  <c r="AS65" i="2" s="1"/>
  <c r="AE65" i="2"/>
  <c r="AR65" i="2" s="1"/>
  <c r="AD65" i="2"/>
  <c r="AQ65" i="2" s="1"/>
  <c r="AA65" i="2"/>
  <c r="Z65" i="2"/>
  <c r="AP65" i="2" s="1"/>
  <c r="D65" i="2"/>
  <c r="A65" i="2"/>
  <c r="BC64" i="2"/>
  <c r="AO64" i="2"/>
  <c r="BB64" i="2" s="1"/>
  <c r="AN64" i="2"/>
  <c r="BA64" i="2" s="1"/>
  <c r="AM64" i="2"/>
  <c r="AZ64" i="2" s="1"/>
  <c r="AL64" i="2"/>
  <c r="AY64" i="2" s="1"/>
  <c r="AK64" i="2"/>
  <c r="AX64" i="2" s="1"/>
  <c r="AJ64" i="2"/>
  <c r="AW64" i="2" s="1"/>
  <c r="AI64" i="2"/>
  <c r="AV64" i="2" s="1"/>
  <c r="AH64" i="2"/>
  <c r="AU64" i="2" s="1"/>
  <c r="AG64" i="2"/>
  <c r="AT64" i="2" s="1"/>
  <c r="AF64" i="2"/>
  <c r="AS64" i="2" s="1"/>
  <c r="AE64" i="2"/>
  <c r="AR64" i="2" s="1"/>
  <c r="AD64" i="2"/>
  <c r="AQ64" i="2" s="1"/>
  <c r="AA64" i="2"/>
  <c r="Z64" i="2"/>
  <c r="AP64" i="2" s="1"/>
  <c r="D64" i="2"/>
  <c r="A64" i="2"/>
  <c r="BC63" i="2"/>
  <c r="AO63" i="2"/>
  <c r="BB63" i="2" s="1"/>
  <c r="AN63" i="2"/>
  <c r="BA63" i="2" s="1"/>
  <c r="AM63" i="2"/>
  <c r="AZ63" i="2" s="1"/>
  <c r="AL63" i="2"/>
  <c r="AY63" i="2" s="1"/>
  <c r="AK63" i="2"/>
  <c r="AX63" i="2" s="1"/>
  <c r="AJ63" i="2"/>
  <c r="AW63" i="2" s="1"/>
  <c r="AI63" i="2"/>
  <c r="AV63" i="2" s="1"/>
  <c r="AH63" i="2"/>
  <c r="AU63" i="2" s="1"/>
  <c r="AG63" i="2"/>
  <c r="AT63" i="2" s="1"/>
  <c r="AF63" i="2"/>
  <c r="AS63" i="2" s="1"/>
  <c r="AE63" i="2"/>
  <c r="AR63" i="2" s="1"/>
  <c r="AD63" i="2"/>
  <c r="AQ63" i="2" s="1"/>
  <c r="AA63" i="2"/>
  <c r="Z63" i="2"/>
  <c r="AP63" i="2" s="1"/>
  <c r="D63" i="2"/>
  <c r="A63" i="2"/>
  <c r="BC62" i="2"/>
  <c r="AR62" i="2"/>
  <c r="AO62" i="2"/>
  <c r="BB62" i="2" s="1"/>
  <c r="AN62" i="2"/>
  <c r="BA62" i="2" s="1"/>
  <c r="AM62" i="2"/>
  <c r="AZ62" i="2" s="1"/>
  <c r="AL62" i="2"/>
  <c r="AY62" i="2" s="1"/>
  <c r="AK62" i="2"/>
  <c r="AX62" i="2" s="1"/>
  <c r="AJ62" i="2"/>
  <c r="AW62" i="2" s="1"/>
  <c r="AI62" i="2"/>
  <c r="AV62" i="2" s="1"/>
  <c r="AH62" i="2"/>
  <c r="AU62" i="2" s="1"/>
  <c r="AG62" i="2"/>
  <c r="AT62" i="2" s="1"/>
  <c r="AF62" i="2"/>
  <c r="AS62" i="2" s="1"/>
  <c r="AE62" i="2"/>
  <c r="AD62" i="2"/>
  <c r="AQ62" i="2" s="1"/>
  <c r="AA62" i="2"/>
  <c r="Z62" i="2"/>
  <c r="AP62" i="2" s="1"/>
  <c r="D62" i="2"/>
  <c r="A62" i="2"/>
  <c r="BC61" i="2"/>
  <c r="AO61" i="2"/>
  <c r="BB61" i="2" s="1"/>
  <c r="AN61" i="2"/>
  <c r="BA61" i="2" s="1"/>
  <c r="AM61" i="2"/>
  <c r="AZ61" i="2" s="1"/>
  <c r="AL61" i="2"/>
  <c r="AY61" i="2" s="1"/>
  <c r="AK61" i="2"/>
  <c r="AX61" i="2" s="1"/>
  <c r="AJ61" i="2"/>
  <c r="AW61" i="2" s="1"/>
  <c r="AI61" i="2"/>
  <c r="AV61" i="2" s="1"/>
  <c r="AH61" i="2"/>
  <c r="AU61" i="2" s="1"/>
  <c r="AG61" i="2"/>
  <c r="AT61" i="2" s="1"/>
  <c r="AF61" i="2"/>
  <c r="AS61" i="2" s="1"/>
  <c r="AE61" i="2"/>
  <c r="AR61" i="2" s="1"/>
  <c r="AD61" i="2"/>
  <c r="AQ61" i="2" s="1"/>
  <c r="AA61" i="2"/>
  <c r="Z61" i="2"/>
  <c r="AP61" i="2" s="1"/>
  <c r="D61" i="2"/>
  <c r="A61" i="2"/>
  <c r="BC60" i="2"/>
  <c r="AO60" i="2"/>
  <c r="BB60" i="2" s="1"/>
  <c r="AN60" i="2"/>
  <c r="BA60" i="2" s="1"/>
  <c r="AM60" i="2"/>
  <c r="AZ60" i="2" s="1"/>
  <c r="AL60" i="2"/>
  <c r="AY60" i="2" s="1"/>
  <c r="AK60" i="2"/>
  <c r="AX60" i="2" s="1"/>
  <c r="AJ60" i="2"/>
  <c r="AW60" i="2" s="1"/>
  <c r="AI60" i="2"/>
  <c r="AV60" i="2" s="1"/>
  <c r="AH60" i="2"/>
  <c r="AU60" i="2" s="1"/>
  <c r="AG60" i="2"/>
  <c r="AT60" i="2" s="1"/>
  <c r="AF60" i="2"/>
  <c r="AS60" i="2" s="1"/>
  <c r="AE60" i="2"/>
  <c r="AR60" i="2" s="1"/>
  <c r="AD60" i="2"/>
  <c r="AQ60" i="2" s="1"/>
  <c r="AA60" i="2"/>
  <c r="Z60" i="2"/>
  <c r="AP60" i="2" s="1"/>
  <c r="D60" i="2"/>
  <c r="A60" i="2"/>
  <c r="BC59" i="2"/>
  <c r="AO59" i="2"/>
  <c r="BB59" i="2" s="1"/>
  <c r="AN59" i="2"/>
  <c r="BA59" i="2" s="1"/>
  <c r="AM59" i="2"/>
  <c r="AZ59" i="2" s="1"/>
  <c r="AL59" i="2"/>
  <c r="AY59" i="2" s="1"/>
  <c r="AK59" i="2"/>
  <c r="AX59" i="2" s="1"/>
  <c r="AJ59" i="2"/>
  <c r="AW59" i="2" s="1"/>
  <c r="AI59" i="2"/>
  <c r="AV59" i="2" s="1"/>
  <c r="AH59" i="2"/>
  <c r="AU59" i="2" s="1"/>
  <c r="AG59" i="2"/>
  <c r="AT59" i="2" s="1"/>
  <c r="AF59" i="2"/>
  <c r="AS59" i="2" s="1"/>
  <c r="AE59" i="2"/>
  <c r="AR59" i="2" s="1"/>
  <c r="AD59" i="2"/>
  <c r="AQ59" i="2" s="1"/>
  <c r="AA59" i="2"/>
  <c r="Z59" i="2"/>
  <c r="AP59" i="2" s="1"/>
  <c r="D59" i="2"/>
  <c r="A59" i="2"/>
  <c r="BC58" i="2"/>
  <c r="AO58" i="2"/>
  <c r="BB58" i="2" s="1"/>
  <c r="AN58" i="2"/>
  <c r="BA58" i="2" s="1"/>
  <c r="AM58" i="2"/>
  <c r="AZ58" i="2" s="1"/>
  <c r="AL58" i="2"/>
  <c r="AY58" i="2" s="1"/>
  <c r="AK58" i="2"/>
  <c r="AX58" i="2" s="1"/>
  <c r="AJ58" i="2"/>
  <c r="AW58" i="2" s="1"/>
  <c r="AI58" i="2"/>
  <c r="AV58" i="2" s="1"/>
  <c r="AH58" i="2"/>
  <c r="AU58" i="2" s="1"/>
  <c r="AG58" i="2"/>
  <c r="AT58" i="2" s="1"/>
  <c r="AF58" i="2"/>
  <c r="AS58" i="2" s="1"/>
  <c r="AE58" i="2"/>
  <c r="AR58" i="2" s="1"/>
  <c r="AD58" i="2"/>
  <c r="AQ58" i="2" s="1"/>
  <c r="AA58" i="2"/>
  <c r="Z58" i="2"/>
  <c r="AP58" i="2" s="1"/>
  <c r="D58" i="2"/>
  <c r="A58" i="2"/>
  <c r="BC57" i="2"/>
  <c r="AO57" i="2"/>
  <c r="BB57" i="2" s="1"/>
  <c r="AN57" i="2"/>
  <c r="BA57" i="2" s="1"/>
  <c r="AM57" i="2"/>
  <c r="AZ57" i="2" s="1"/>
  <c r="AL57" i="2"/>
  <c r="AY57" i="2" s="1"/>
  <c r="AK57" i="2"/>
  <c r="AX57" i="2" s="1"/>
  <c r="AJ57" i="2"/>
  <c r="AW57" i="2" s="1"/>
  <c r="AI57" i="2"/>
  <c r="AV57" i="2" s="1"/>
  <c r="AH57" i="2"/>
  <c r="AU57" i="2" s="1"/>
  <c r="AG57" i="2"/>
  <c r="AT57" i="2" s="1"/>
  <c r="AF57" i="2"/>
  <c r="AS57" i="2" s="1"/>
  <c r="AE57" i="2"/>
  <c r="AR57" i="2" s="1"/>
  <c r="AD57" i="2"/>
  <c r="AQ57" i="2" s="1"/>
  <c r="AA57" i="2"/>
  <c r="Z57" i="2"/>
  <c r="AP57" i="2" s="1"/>
  <c r="D57" i="2"/>
  <c r="A57" i="2"/>
  <c r="BC56" i="2"/>
  <c r="AO56" i="2"/>
  <c r="BB56" i="2" s="1"/>
  <c r="AN56" i="2"/>
  <c r="BA56" i="2" s="1"/>
  <c r="AM56" i="2"/>
  <c r="AZ56" i="2" s="1"/>
  <c r="AL56" i="2"/>
  <c r="AY56" i="2" s="1"/>
  <c r="AK56" i="2"/>
  <c r="AX56" i="2" s="1"/>
  <c r="AJ56" i="2"/>
  <c r="AW56" i="2" s="1"/>
  <c r="AI56" i="2"/>
  <c r="AV56" i="2" s="1"/>
  <c r="AH56" i="2"/>
  <c r="AU56" i="2" s="1"/>
  <c r="AG56" i="2"/>
  <c r="AT56" i="2" s="1"/>
  <c r="AF56" i="2"/>
  <c r="AS56" i="2" s="1"/>
  <c r="AE56" i="2"/>
  <c r="AR56" i="2" s="1"/>
  <c r="AD56" i="2"/>
  <c r="AQ56" i="2" s="1"/>
  <c r="AA56" i="2"/>
  <c r="Z56" i="2"/>
  <c r="AP56" i="2" s="1"/>
  <c r="D56" i="2"/>
  <c r="A56" i="2"/>
  <c r="BC55" i="2"/>
  <c r="AO55" i="2"/>
  <c r="BB55" i="2" s="1"/>
  <c r="AN55" i="2"/>
  <c r="BA55" i="2" s="1"/>
  <c r="AM55" i="2"/>
  <c r="AZ55" i="2" s="1"/>
  <c r="AL55" i="2"/>
  <c r="AY55" i="2" s="1"/>
  <c r="AK55" i="2"/>
  <c r="AX55" i="2" s="1"/>
  <c r="AJ55" i="2"/>
  <c r="AW55" i="2" s="1"/>
  <c r="AI55" i="2"/>
  <c r="AV55" i="2" s="1"/>
  <c r="AH55" i="2"/>
  <c r="AU55" i="2" s="1"/>
  <c r="AG55" i="2"/>
  <c r="AT55" i="2" s="1"/>
  <c r="AF55" i="2"/>
  <c r="AS55" i="2" s="1"/>
  <c r="AE55" i="2"/>
  <c r="AR55" i="2" s="1"/>
  <c r="AD55" i="2"/>
  <c r="AQ55" i="2" s="1"/>
  <c r="AA55" i="2"/>
  <c r="Z55" i="2"/>
  <c r="AP55" i="2" s="1"/>
  <c r="D55" i="2"/>
  <c r="A55" i="2"/>
  <c r="BC54" i="2"/>
  <c r="AO54" i="2"/>
  <c r="BB54" i="2" s="1"/>
  <c r="AN54" i="2"/>
  <c r="BA54" i="2" s="1"/>
  <c r="AM54" i="2"/>
  <c r="AZ54" i="2" s="1"/>
  <c r="AL54" i="2"/>
  <c r="AY54" i="2" s="1"/>
  <c r="AK54" i="2"/>
  <c r="AX54" i="2" s="1"/>
  <c r="AJ54" i="2"/>
  <c r="AW54" i="2" s="1"/>
  <c r="AI54" i="2"/>
  <c r="AV54" i="2" s="1"/>
  <c r="AH54" i="2"/>
  <c r="AU54" i="2" s="1"/>
  <c r="AG54" i="2"/>
  <c r="AT54" i="2" s="1"/>
  <c r="AF54" i="2"/>
  <c r="AS54" i="2" s="1"/>
  <c r="AE54" i="2"/>
  <c r="AR54" i="2" s="1"/>
  <c r="AD54" i="2"/>
  <c r="AQ54" i="2" s="1"/>
  <c r="AA54" i="2"/>
  <c r="Z54" i="2"/>
  <c r="AP54" i="2" s="1"/>
  <c r="D54" i="2"/>
  <c r="A54" i="2"/>
  <c r="BC53" i="2"/>
  <c r="AO53" i="2"/>
  <c r="BB53" i="2" s="1"/>
  <c r="AN53" i="2"/>
  <c r="BA53" i="2" s="1"/>
  <c r="AM53" i="2"/>
  <c r="AZ53" i="2" s="1"/>
  <c r="AL53" i="2"/>
  <c r="AY53" i="2" s="1"/>
  <c r="AK53" i="2"/>
  <c r="AX53" i="2" s="1"/>
  <c r="AJ53" i="2"/>
  <c r="AW53" i="2" s="1"/>
  <c r="AI53" i="2"/>
  <c r="AV53" i="2" s="1"/>
  <c r="AH53" i="2"/>
  <c r="AU53" i="2" s="1"/>
  <c r="AG53" i="2"/>
  <c r="AT53" i="2" s="1"/>
  <c r="AF53" i="2"/>
  <c r="AS53" i="2" s="1"/>
  <c r="AE53" i="2"/>
  <c r="AR53" i="2" s="1"/>
  <c r="AD53" i="2"/>
  <c r="AQ53" i="2" s="1"/>
  <c r="AA53" i="2"/>
  <c r="Z53" i="2"/>
  <c r="AP53" i="2" s="1"/>
  <c r="D53" i="2"/>
  <c r="A53" i="2"/>
  <c r="BC52" i="2"/>
  <c r="AO52" i="2"/>
  <c r="BB52" i="2" s="1"/>
  <c r="AN52" i="2"/>
  <c r="BA52" i="2" s="1"/>
  <c r="AM52" i="2"/>
  <c r="AZ52" i="2" s="1"/>
  <c r="AL52" i="2"/>
  <c r="AY52" i="2" s="1"/>
  <c r="AK52" i="2"/>
  <c r="AX52" i="2" s="1"/>
  <c r="AJ52" i="2"/>
  <c r="AW52" i="2" s="1"/>
  <c r="AI52" i="2"/>
  <c r="AV52" i="2" s="1"/>
  <c r="AH52" i="2"/>
  <c r="AU52" i="2" s="1"/>
  <c r="AG52" i="2"/>
  <c r="AT52" i="2" s="1"/>
  <c r="AF52" i="2"/>
  <c r="AS52" i="2" s="1"/>
  <c r="AE52" i="2"/>
  <c r="AR52" i="2" s="1"/>
  <c r="AD52" i="2"/>
  <c r="AQ52" i="2" s="1"/>
  <c r="AA52" i="2"/>
  <c r="Z52" i="2"/>
  <c r="AP52" i="2" s="1"/>
  <c r="D52" i="2"/>
  <c r="A52" i="2"/>
  <c r="BC51" i="2"/>
  <c r="AO51" i="2"/>
  <c r="BB51" i="2" s="1"/>
  <c r="AN51" i="2"/>
  <c r="BA51" i="2" s="1"/>
  <c r="AM51" i="2"/>
  <c r="AZ51" i="2" s="1"/>
  <c r="AL51" i="2"/>
  <c r="AY51" i="2" s="1"/>
  <c r="AK51" i="2"/>
  <c r="AX51" i="2" s="1"/>
  <c r="AJ51" i="2"/>
  <c r="AW51" i="2" s="1"/>
  <c r="AI51" i="2"/>
  <c r="AV51" i="2" s="1"/>
  <c r="AH51" i="2"/>
  <c r="AU51" i="2" s="1"/>
  <c r="AG51" i="2"/>
  <c r="AT51" i="2" s="1"/>
  <c r="AF51" i="2"/>
  <c r="AS51" i="2" s="1"/>
  <c r="AE51" i="2"/>
  <c r="AR51" i="2" s="1"/>
  <c r="AD51" i="2"/>
  <c r="AQ51" i="2" s="1"/>
  <c r="AA51" i="2"/>
  <c r="Z51" i="2"/>
  <c r="AP51" i="2" s="1"/>
  <c r="D51" i="2"/>
  <c r="A51" i="2"/>
  <c r="BC50" i="2"/>
  <c r="AO50" i="2"/>
  <c r="BB50" i="2" s="1"/>
  <c r="AN50" i="2"/>
  <c r="BA50" i="2" s="1"/>
  <c r="AM50" i="2"/>
  <c r="AZ50" i="2" s="1"/>
  <c r="AL50" i="2"/>
  <c r="AY50" i="2" s="1"/>
  <c r="AK50" i="2"/>
  <c r="AX50" i="2" s="1"/>
  <c r="AJ50" i="2"/>
  <c r="AW50" i="2" s="1"/>
  <c r="AI50" i="2"/>
  <c r="AV50" i="2" s="1"/>
  <c r="AH50" i="2"/>
  <c r="AU50" i="2" s="1"/>
  <c r="AG50" i="2"/>
  <c r="AT50" i="2" s="1"/>
  <c r="AF50" i="2"/>
  <c r="AS50" i="2" s="1"/>
  <c r="AE50" i="2"/>
  <c r="AR50" i="2" s="1"/>
  <c r="AD50" i="2"/>
  <c r="AQ50" i="2" s="1"/>
  <c r="AA50" i="2"/>
  <c r="Z50" i="2"/>
  <c r="AP50" i="2" s="1"/>
  <c r="D50" i="2"/>
  <c r="A50" i="2"/>
  <c r="BC49" i="2"/>
  <c r="AO49" i="2"/>
  <c r="BB49" i="2" s="1"/>
  <c r="AN49" i="2"/>
  <c r="BA49" i="2" s="1"/>
  <c r="AM49" i="2"/>
  <c r="AZ49" i="2" s="1"/>
  <c r="AL49" i="2"/>
  <c r="AY49" i="2" s="1"/>
  <c r="AK49" i="2"/>
  <c r="AX49" i="2" s="1"/>
  <c r="AJ49" i="2"/>
  <c r="AW49" i="2" s="1"/>
  <c r="AI49" i="2"/>
  <c r="AV49" i="2" s="1"/>
  <c r="AH49" i="2"/>
  <c r="AU49" i="2" s="1"/>
  <c r="AG49" i="2"/>
  <c r="AT49" i="2" s="1"/>
  <c r="AF49" i="2"/>
  <c r="AS49" i="2" s="1"/>
  <c r="AE49" i="2"/>
  <c r="AR49" i="2" s="1"/>
  <c r="AD49" i="2"/>
  <c r="AQ49" i="2" s="1"/>
  <c r="AA49" i="2"/>
  <c r="Z49" i="2"/>
  <c r="AP49" i="2" s="1"/>
  <c r="D49" i="2"/>
  <c r="A49" i="2"/>
  <c r="BC48" i="2"/>
  <c r="AO48" i="2"/>
  <c r="BB48" i="2" s="1"/>
  <c r="AN48" i="2"/>
  <c r="BA48" i="2" s="1"/>
  <c r="AM48" i="2"/>
  <c r="AZ48" i="2" s="1"/>
  <c r="AL48" i="2"/>
  <c r="AY48" i="2" s="1"/>
  <c r="AK48" i="2"/>
  <c r="AX48" i="2" s="1"/>
  <c r="AJ48" i="2"/>
  <c r="AW48" i="2" s="1"/>
  <c r="AI48" i="2"/>
  <c r="AV48" i="2" s="1"/>
  <c r="AH48" i="2"/>
  <c r="AU48" i="2" s="1"/>
  <c r="AG48" i="2"/>
  <c r="AT48" i="2" s="1"/>
  <c r="AF48" i="2"/>
  <c r="AS48" i="2" s="1"/>
  <c r="AE48" i="2"/>
  <c r="AR48" i="2" s="1"/>
  <c r="AD48" i="2"/>
  <c r="AQ48" i="2" s="1"/>
  <c r="AA48" i="2"/>
  <c r="Z48" i="2"/>
  <c r="AP48" i="2" s="1"/>
  <c r="D48" i="2"/>
  <c r="A48" i="2"/>
  <c r="BC47" i="2"/>
  <c r="AO47" i="2"/>
  <c r="BB47" i="2" s="1"/>
  <c r="AN47" i="2"/>
  <c r="BA47" i="2" s="1"/>
  <c r="AM47" i="2"/>
  <c r="AZ47" i="2" s="1"/>
  <c r="AL47" i="2"/>
  <c r="AY47" i="2" s="1"/>
  <c r="AK47" i="2"/>
  <c r="AX47" i="2" s="1"/>
  <c r="AJ47" i="2"/>
  <c r="AW47" i="2" s="1"/>
  <c r="AI47" i="2"/>
  <c r="AV47" i="2" s="1"/>
  <c r="AH47" i="2"/>
  <c r="AU47" i="2" s="1"/>
  <c r="AG47" i="2"/>
  <c r="AT47" i="2" s="1"/>
  <c r="AF47" i="2"/>
  <c r="AS47" i="2" s="1"/>
  <c r="AE47" i="2"/>
  <c r="AR47" i="2" s="1"/>
  <c r="AD47" i="2"/>
  <c r="AQ47" i="2" s="1"/>
  <c r="AA47" i="2"/>
  <c r="Z47" i="2"/>
  <c r="AP47" i="2" s="1"/>
  <c r="D47" i="2"/>
  <c r="A47" i="2"/>
  <c r="BC46" i="2"/>
  <c r="AO46" i="2"/>
  <c r="BB46" i="2" s="1"/>
  <c r="AN46" i="2"/>
  <c r="BA46" i="2" s="1"/>
  <c r="AM46" i="2"/>
  <c r="AZ46" i="2" s="1"/>
  <c r="AL46" i="2"/>
  <c r="AY46" i="2" s="1"/>
  <c r="AK46" i="2"/>
  <c r="AX46" i="2" s="1"/>
  <c r="AJ46" i="2"/>
  <c r="AW46" i="2" s="1"/>
  <c r="AI46" i="2"/>
  <c r="AV46" i="2" s="1"/>
  <c r="AH46" i="2"/>
  <c r="AU46" i="2" s="1"/>
  <c r="AG46" i="2"/>
  <c r="AT46" i="2" s="1"/>
  <c r="AF46" i="2"/>
  <c r="AS46" i="2" s="1"/>
  <c r="AE46" i="2"/>
  <c r="AR46" i="2" s="1"/>
  <c r="AD46" i="2"/>
  <c r="AQ46" i="2" s="1"/>
  <c r="AA46" i="2"/>
  <c r="Z46" i="2"/>
  <c r="AP46" i="2" s="1"/>
  <c r="D46" i="2"/>
  <c r="A46" i="2"/>
  <c r="BC45" i="2"/>
  <c r="AO45" i="2"/>
  <c r="BB45" i="2" s="1"/>
  <c r="AN45" i="2"/>
  <c r="BA45" i="2" s="1"/>
  <c r="AM45" i="2"/>
  <c r="AZ45" i="2" s="1"/>
  <c r="AL45" i="2"/>
  <c r="AY45" i="2" s="1"/>
  <c r="AK45" i="2"/>
  <c r="AX45" i="2" s="1"/>
  <c r="AJ45" i="2"/>
  <c r="AW45" i="2" s="1"/>
  <c r="AI45" i="2"/>
  <c r="AV45" i="2" s="1"/>
  <c r="AH45" i="2"/>
  <c r="AU45" i="2" s="1"/>
  <c r="AG45" i="2"/>
  <c r="AT45" i="2" s="1"/>
  <c r="AF45" i="2"/>
  <c r="AS45" i="2" s="1"/>
  <c r="AE45" i="2"/>
  <c r="AR45" i="2" s="1"/>
  <c r="AD45" i="2"/>
  <c r="AQ45" i="2" s="1"/>
  <c r="AA45" i="2"/>
  <c r="Z45" i="2"/>
  <c r="AP45" i="2" s="1"/>
  <c r="D45" i="2"/>
  <c r="A45" i="2"/>
  <c r="BC44" i="2"/>
  <c r="AO44" i="2"/>
  <c r="BB44" i="2" s="1"/>
  <c r="AN44" i="2"/>
  <c r="BA44" i="2" s="1"/>
  <c r="AM44" i="2"/>
  <c r="AZ44" i="2" s="1"/>
  <c r="AL44" i="2"/>
  <c r="AY44" i="2" s="1"/>
  <c r="AK44" i="2"/>
  <c r="AX44" i="2" s="1"/>
  <c r="AJ44" i="2"/>
  <c r="AW44" i="2" s="1"/>
  <c r="AI44" i="2"/>
  <c r="AV44" i="2" s="1"/>
  <c r="AH44" i="2"/>
  <c r="AU44" i="2" s="1"/>
  <c r="AG44" i="2"/>
  <c r="AT44" i="2" s="1"/>
  <c r="AF44" i="2"/>
  <c r="AS44" i="2" s="1"/>
  <c r="AE44" i="2"/>
  <c r="AR44" i="2" s="1"/>
  <c r="AD44" i="2"/>
  <c r="AQ44" i="2" s="1"/>
  <c r="AA44" i="2"/>
  <c r="Z44" i="2"/>
  <c r="AP44" i="2" s="1"/>
  <c r="D44" i="2"/>
  <c r="A44" i="2"/>
  <c r="BC43" i="2"/>
  <c r="AO43" i="2"/>
  <c r="BB43" i="2" s="1"/>
  <c r="AN43" i="2"/>
  <c r="BA43" i="2" s="1"/>
  <c r="AM43" i="2"/>
  <c r="AZ43" i="2" s="1"/>
  <c r="AL43" i="2"/>
  <c r="AY43" i="2" s="1"/>
  <c r="AK43" i="2"/>
  <c r="AX43" i="2" s="1"/>
  <c r="AJ43" i="2"/>
  <c r="AW43" i="2" s="1"/>
  <c r="AI43" i="2"/>
  <c r="AV43" i="2" s="1"/>
  <c r="AH43" i="2"/>
  <c r="AU43" i="2" s="1"/>
  <c r="AG43" i="2"/>
  <c r="AT43" i="2" s="1"/>
  <c r="AF43" i="2"/>
  <c r="AS43" i="2" s="1"/>
  <c r="AE43" i="2"/>
  <c r="AR43" i="2" s="1"/>
  <c r="AD43" i="2"/>
  <c r="AQ43" i="2" s="1"/>
  <c r="AA43" i="2"/>
  <c r="Z43" i="2"/>
  <c r="AP43" i="2" s="1"/>
  <c r="D43" i="2"/>
  <c r="A43" i="2"/>
  <c r="BC42" i="2"/>
  <c r="AO42" i="2"/>
  <c r="BB42" i="2" s="1"/>
  <c r="AN42" i="2"/>
  <c r="BA42" i="2" s="1"/>
  <c r="AM42" i="2"/>
  <c r="AZ42" i="2" s="1"/>
  <c r="AL42" i="2"/>
  <c r="AY42" i="2" s="1"/>
  <c r="AK42" i="2"/>
  <c r="AX42" i="2" s="1"/>
  <c r="AJ42" i="2"/>
  <c r="AW42" i="2" s="1"/>
  <c r="AI42" i="2"/>
  <c r="AV42" i="2" s="1"/>
  <c r="AH42" i="2"/>
  <c r="AU42" i="2" s="1"/>
  <c r="AG42" i="2"/>
  <c r="AT42" i="2" s="1"/>
  <c r="AF42" i="2"/>
  <c r="AS42" i="2" s="1"/>
  <c r="AE42" i="2"/>
  <c r="AR42" i="2" s="1"/>
  <c r="AD42" i="2"/>
  <c r="AQ42" i="2" s="1"/>
  <c r="AA42" i="2"/>
  <c r="Z42" i="2"/>
  <c r="AP42" i="2" s="1"/>
  <c r="D42" i="2"/>
  <c r="A42" i="2"/>
  <c r="BC41" i="2"/>
  <c r="AO41" i="2"/>
  <c r="BB41" i="2" s="1"/>
  <c r="AN41" i="2"/>
  <c r="BA41" i="2" s="1"/>
  <c r="AM41" i="2"/>
  <c r="AZ41" i="2" s="1"/>
  <c r="AL41" i="2"/>
  <c r="AY41" i="2" s="1"/>
  <c r="AK41" i="2"/>
  <c r="AX41" i="2" s="1"/>
  <c r="AJ41" i="2"/>
  <c r="AW41" i="2" s="1"/>
  <c r="AI41" i="2"/>
  <c r="AV41" i="2" s="1"/>
  <c r="AH41" i="2"/>
  <c r="AU41" i="2" s="1"/>
  <c r="AG41" i="2"/>
  <c r="AT41" i="2" s="1"/>
  <c r="AF41" i="2"/>
  <c r="AS41" i="2" s="1"/>
  <c r="AE41" i="2"/>
  <c r="AR41" i="2" s="1"/>
  <c r="AD41" i="2"/>
  <c r="AQ41" i="2" s="1"/>
  <c r="AA41" i="2"/>
  <c r="Z41" i="2"/>
  <c r="AP41" i="2" s="1"/>
  <c r="D41" i="2"/>
  <c r="A41" i="2"/>
  <c r="BC40" i="2"/>
  <c r="AO40" i="2"/>
  <c r="BB40" i="2" s="1"/>
  <c r="AN40" i="2"/>
  <c r="BA40" i="2" s="1"/>
  <c r="AM40" i="2"/>
  <c r="AZ40" i="2" s="1"/>
  <c r="AL40" i="2"/>
  <c r="AY40" i="2" s="1"/>
  <c r="AK40" i="2"/>
  <c r="AX40" i="2" s="1"/>
  <c r="AJ40" i="2"/>
  <c r="AW40" i="2" s="1"/>
  <c r="AI40" i="2"/>
  <c r="AV40" i="2" s="1"/>
  <c r="AH40" i="2"/>
  <c r="AU40" i="2" s="1"/>
  <c r="AG40" i="2"/>
  <c r="AT40" i="2" s="1"/>
  <c r="AF40" i="2"/>
  <c r="AS40" i="2" s="1"/>
  <c r="AE40" i="2"/>
  <c r="AR40" i="2" s="1"/>
  <c r="AD40" i="2"/>
  <c r="AQ40" i="2" s="1"/>
  <c r="AA40" i="2"/>
  <c r="Z40" i="2"/>
  <c r="AP40" i="2" s="1"/>
  <c r="D40" i="2"/>
  <c r="A40" i="2"/>
  <c r="BC39" i="2"/>
  <c r="AO39" i="2"/>
  <c r="BB39" i="2" s="1"/>
  <c r="AN39" i="2"/>
  <c r="BA39" i="2" s="1"/>
  <c r="AM39" i="2"/>
  <c r="AZ39" i="2" s="1"/>
  <c r="AL39" i="2"/>
  <c r="AY39" i="2" s="1"/>
  <c r="AK39" i="2"/>
  <c r="AX39" i="2" s="1"/>
  <c r="AJ39" i="2"/>
  <c r="AW39" i="2" s="1"/>
  <c r="AI39" i="2"/>
  <c r="AV39" i="2" s="1"/>
  <c r="AH39" i="2"/>
  <c r="AU39" i="2" s="1"/>
  <c r="AG39" i="2"/>
  <c r="AT39" i="2" s="1"/>
  <c r="AF39" i="2"/>
  <c r="AS39" i="2" s="1"/>
  <c r="AE39" i="2"/>
  <c r="AR39" i="2" s="1"/>
  <c r="AD39" i="2"/>
  <c r="AQ39" i="2" s="1"/>
  <c r="AA39" i="2"/>
  <c r="Z39" i="2"/>
  <c r="AP39" i="2" s="1"/>
  <c r="D39" i="2"/>
  <c r="A39" i="2"/>
  <c r="BC38" i="2"/>
  <c r="AO38" i="2"/>
  <c r="BB38" i="2" s="1"/>
  <c r="AN38" i="2"/>
  <c r="BA38" i="2" s="1"/>
  <c r="AM38" i="2"/>
  <c r="AZ38" i="2" s="1"/>
  <c r="AL38" i="2"/>
  <c r="AY38" i="2" s="1"/>
  <c r="AK38" i="2"/>
  <c r="AX38" i="2" s="1"/>
  <c r="AJ38" i="2"/>
  <c r="AW38" i="2" s="1"/>
  <c r="AI38" i="2"/>
  <c r="AV38" i="2" s="1"/>
  <c r="AH38" i="2"/>
  <c r="AU38" i="2" s="1"/>
  <c r="AG38" i="2"/>
  <c r="AT38" i="2" s="1"/>
  <c r="AF38" i="2"/>
  <c r="AS38" i="2" s="1"/>
  <c r="AE38" i="2"/>
  <c r="AR38" i="2" s="1"/>
  <c r="AD38" i="2"/>
  <c r="AQ38" i="2" s="1"/>
  <c r="AA38" i="2"/>
  <c r="Z38" i="2"/>
  <c r="AP38" i="2" s="1"/>
  <c r="D38" i="2"/>
  <c r="A38" i="2"/>
  <c r="BC37" i="2"/>
  <c r="BB37" i="2"/>
  <c r="AO37" i="2"/>
  <c r="AN37" i="2"/>
  <c r="BA37" i="2" s="1"/>
  <c r="AM37" i="2"/>
  <c r="AZ37" i="2" s="1"/>
  <c r="AL37" i="2"/>
  <c r="AY37" i="2" s="1"/>
  <c r="AK37" i="2"/>
  <c r="AX37" i="2" s="1"/>
  <c r="AJ37" i="2"/>
  <c r="AW37" i="2" s="1"/>
  <c r="AI37" i="2"/>
  <c r="AV37" i="2" s="1"/>
  <c r="AH37" i="2"/>
  <c r="AU37" i="2" s="1"/>
  <c r="AG37" i="2"/>
  <c r="AT37" i="2" s="1"/>
  <c r="AF37" i="2"/>
  <c r="AS37" i="2" s="1"/>
  <c r="AE37" i="2"/>
  <c r="AR37" i="2" s="1"/>
  <c r="AD37" i="2"/>
  <c r="AQ37" i="2" s="1"/>
  <c r="AA37" i="2"/>
  <c r="Z37" i="2"/>
  <c r="AP37" i="2" s="1"/>
  <c r="D37" i="2"/>
  <c r="A37" i="2"/>
  <c r="BC36" i="2"/>
  <c r="AO36" i="2"/>
  <c r="BB36" i="2" s="1"/>
  <c r="AN36" i="2"/>
  <c r="BA36" i="2" s="1"/>
  <c r="AM36" i="2"/>
  <c r="AZ36" i="2" s="1"/>
  <c r="AL36" i="2"/>
  <c r="AY36" i="2" s="1"/>
  <c r="AK36" i="2"/>
  <c r="AX36" i="2" s="1"/>
  <c r="AJ36" i="2"/>
  <c r="AW36" i="2" s="1"/>
  <c r="AI36" i="2"/>
  <c r="AV36" i="2" s="1"/>
  <c r="AH36" i="2"/>
  <c r="AU36" i="2" s="1"/>
  <c r="AG36" i="2"/>
  <c r="AT36" i="2" s="1"/>
  <c r="AF36" i="2"/>
  <c r="AS36" i="2" s="1"/>
  <c r="AE36" i="2"/>
  <c r="AR36" i="2" s="1"/>
  <c r="AD36" i="2"/>
  <c r="AQ36" i="2" s="1"/>
  <c r="AA36" i="2"/>
  <c r="Z36" i="2"/>
  <c r="AP36" i="2" s="1"/>
  <c r="D36" i="2"/>
  <c r="A36" i="2"/>
  <c r="BC35" i="2"/>
  <c r="AO35" i="2"/>
  <c r="BB35" i="2" s="1"/>
  <c r="AN35" i="2"/>
  <c r="BA35" i="2" s="1"/>
  <c r="AM35" i="2"/>
  <c r="AZ35" i="2" s="1"/>
  <c r="AL35" i="2"/>
  <c r="AY35" i="2" s="1"/>
  <c r="AK35" i="2"/>
  <c r="AX35" i="2" s="1"/>
  <c r="AJ35" i="2"/>
  <c r="AW35" i="2" s="1"/>
  <c r="AI35" i="2"/>
  <c r="AV35" i="2" s="1"/>
  <c r="AH35" i="2"/>
  <c r="AU35" i="2" s="1"/>
  <c r="AG35" i="2"/>
  <c r="AT35" i="2" s="1"/>
  <c r="AF35" i="2"/>
  <c r="AS35" i="2" s="1"/>
  <c r="AE35" i="2"/>
  <c r="AR35" i="2" s="1"/>
  <c r="AD35" i="2"/>
  <c r="AQ35" i="2" s="1"/>
  <c r="AA35" i="2"/>
  <c r="Z35" i="2"/>
  <c r="AP35" i="2" s="1"/>
  <c r="D35" i="2"/>
  <c r="A35" i="2"/>
  <c r="BC34" i="2"/>
  <c r="AO34" i="2"/>
  <c r="BB34" i="2" s="1"/>
  <c r="AN34" i="2"/>
  <c r="BA34" i="2" s="1"/>
  <c r="AM34" i="2"/>
  <c r="AZ34" i="2" s="1"/>
  <c r="AL34" i="2"/>
  <c r="AY34" i="2" s="1"/>
  <c r="AK34" i="2"/>
  <c r="AX34" i="2" s="1"/>
  <c r="AJ34" i="2"/>
  <c r="AW34" i="2" s="1"/>
  <c r="AI34" i="2"/>
  <c r="AV34" i="2" s="1"/>
  <c r="AH34" i="2"/>
  <c r="AU34" i="2" s="1"/>
  <c r="AG34" i="2"/>
  <c r="AT34" i="2" s="1"/>
  <c r="AF34" i="2"/>
  <c r="AS34" i="2" s="1"/>
  <c r="AE34" i="2"/>
  <c r="AR34" i="2" s="1"/>
  <c r="AD34" i="2"/>
  <c r="AQ34" i="2" s="1"/>
  <c r="AA34" i="2"/>
  <c r="Z34" i="2"/>
  <c r="AP34" i="2" s="1"/>
  <c r="D34" i="2"/>
  <c r="A34" i="2"/>
  <c r="BC33" i="2"/>
  <c r="AT33" i="2"/>
  <c r="AO33" i="2"/>
  <c r="BB33" i="2" s="1"/>
  <c r="AN33" i="2"/>
  <c r="BA33" i="2" s="1"/>
  <c r="AM33" i="2"/>
  <c r="AZ33" i="2" s="1"/>
  <c r="AL33" i="2"/>
  <c r="AY33" i="2" s="1"/>
  <c r="AK33" i="2"/>
  <c r="AX33" i="2" s="1"/>
  <c r="AJ33" i="2"/>
  <c r="AW33" i="2" s="1"/>
  <c r="AI33" i="2"/>
  <c r="AV33" i="2" s="1"/>
  <c r="AH33" i="2"/>
  <c r="AU33" i="2" s="1"/>
  <c r="AG33" i="2"/>
  <c r="AF33" i="2"/>
  <c r="AS33" i="2" s="1"/>
  <c r="AE33" i="2"/>
  <c r="AR33" i="2" s="1"/>
  <c r="AD33" i="2"/>
  <c r="AQ33" i="2" s="1"/>
  <c r="AA33" i="2"/>
  <c r="Z33" i="2"/>
  <c r="AP33" i="2" s="1"/>
  <c r="D33" i="2"/>
  <c r="A33" i="2"/>
  <c r="BC32" i="2"/>
  <c r="AO32" i="2"/>
  <c r="BB32" i="2" s="1"/>
  <c r="AN32" i="2"/>
  <c r="BA32" i="2" s="1"/>
  <c r="AM32" i="2"/>
  <c r="AZ32" i="2" s="1"/>
  <c r="AL32" i="2"/>
  <c r="AY32" i="2" s="1"/>
  <c r="AK32" i="2"/>
  <c r="AX32" i="2" s="1"/>
  <c r="AJ32" i="2"/>
  <c r="AW32" i="2" s="1"/>
  <c r="AI32" i="2"/>
  <c r="AV32" i="2" s="1"/>
  <c r="AH32" i="2"/>
  <c r="AU32" i="2" s="1"/>
  <c r="AG32" i="2"/>
  <c r="AT32" i="2" s="1"/>
  <c r="AF32" i="2"/>
  <c r="AS32" i="2" s="1"/>
  <c r="AE32" i="2"/>
  <c r="AR32" i="2" s="1"/>
  <c r="AD32" i="2"/>
  <c r="AQ32" i="2" s="1"/>
  <c r="AA32" i="2"/>
  <c r="Z32" i="2"/>
  <c r="AP32" i="2" s="1"/>
  <c r="D32" i="2"/>
  <c r="A32" i="2"/>
  <c r="BC31" i="2"/>
  <c r="AO31" i="2"/>
  <c r="BB31" i="2" s="1"/>
  <c r="AN31" i="2"/>
  <c r="BA31" i="2" s="1"/>
  <c r="AM31" i="2"/>
  <c r="AZ31" i="2" s="1"/>
  <c r="AL31" i="2"/>
  <c r="AY31" i="2" s="1"/>
  <c r="AK31" i="2"/>
  <c r="AX31" i="2" s="1"/>
  <c r="AJ31" i="2"/>
  <c r="AW31" i="2" s="1"/>
  <c r="AI31" i="2"/>
  <c r="AV31" i="2" s="1"/>
  <c r="AH31" i="2"/>
  <c r="AU31" i="2" s="1"/>
  <c r="AG31" i="2"/>
  <c r="AT31" i="2" s="1"/>
  <c r="AF31" i="2"/>
  <c r="AS31" i="2" s="1"/>
  <c r="AE31" i="2"/>
  <c r="AR31" i="2" s="1"/>
  <c r="AD31" i="2"/>
  <c r="AQ31" i="2" s="1"/>
  <c r="AA31" i="2"/>
  <c r="Z31" i="2"/>
  <c r="AP31" i="2" s="1"/>
  <c r="D31" i="2"/>
  <c r="A31" i="2"/>
  <c r="BC30" i="2"/>
  <c r="AT30" i="2"/>
  <c r="AO30" i="2"/>
  <c r="BB30" i="2" s="1"/>
  <c r="AN30" i="2"/>
  <c r="BA30" i="2" s="1"/>
  <c r="AM30" i="2"/>
  <c r="AZ30" i="2" s="1"/>
  <c r="AL30" i="2"/>
  <c r="AY30" i="2" s="1"/>
  <c r="AK30" i="2"/>
  <c r="AX30" i="2" s="1"/>
  <c r="AJ30" i="2"/>
  <c r="AW30" i="2" s="1"/>
  <c r="AI30" i="2"/>
  <c r="AV30" i="2" s="1"/>
  <c r="AH30" i="2"/>
  <c r="AU30" i="2" s="1"/>
  <c r="AG30" i="2"/>
  <c r="AF30" i="2"/>
  <c r="AS30" i="2" s="1"/>
  <c r="AE30" i="2"/>
  <c r="AR30" i="2" s="1"/>
  <c r="AD30" i="2"/>
  <c r="AQ30" i="2" s="1"/>
  <c r="AA30" i="2"/>
  <c r="Z30" i="2"/>
  <c r="AP30" i="2" s="1"/>
  <c r="D30" i="2"/>
  <c r="A30" i="2"/>
  <c r="BC29" i="2"/>
  <c r="AO29" i="2"/>
  <c r="BB29" i="2" s="1"/>
  <c r="AN29" i="2"/>
  <c r="BA29" i="2" s="1"/>
  <c r="AM29" i="2"/>
  <c r="AZ29" i="2" s="1"/>
  <c r="AL29" i="2"/>
  <c r="AY29" i="2" s="1"/>
  <c r="AK29" i="2"/>
  <c r="AX29" i="2" s="1"/>
  <c r="AJ29" i="2"/>
  <c r="AW29" i="2" s="1"/>
  <c r="AI29" i="2"/>
  <c r="AV29" i="2" s="1"/>
  <c r="AH29" i="2"/>
  <c r="AU29" i="2" s="1"/>
  <c r="AG29" i="2"/>
  <c r="AT29" i="2" s="1"/>
  <c r="AF29" i="2"/>
  <c r="AS29" i="2" s="1"/>
  <c r="AE29" i="2"/>
  <c r="AR29" i="2" s="1"/>
  <c r="AD29" i="2"/>
  <c r="AQ29" i="2" s="1"/>
  <c r="AA29" i="2"/>
  <c r="Z29" i="2"/>
  <c r="AP29" i="2" s="1"/>
  <c r="D29" i="2"/>
  <c r="A29" i="2"/>
  <c r="BC28" i="2"/>
  <c r="AO28" i="2"/>
  <c r="BB28" i="2" s="1"/>
  <c r="AN28" i="2"/>
  <c r="BA28" i="2" s="1"/>
  <c r="AM28" i="2"/>
  <c r="AZ28" i="2" s="1"/>
  <c r="AL28" i="2"/>
  <c r="AY28" i="2" s="1"/>
  <c r="AK28" i="2"/>
  <c r="AX28" i="2" s="1"/>
  <c r="AJ28" i="2"/>
  <c r="AW28" i="2" s="1"/>
  <c r="AI28" i="2"/>
  <c r="AV28" i="2" s="1"/>
  <c r="AH28" i="2"/>
  <c r="AU28" i="2" s="1"/>
  <c r="AG28" i="2"/>
  <c r="AT28" i="2" s="1"/>
  <c r="AF28" i="2"/>
  <c r="AS28" i="2" s="1"/>
  <c r="AE28" i="2"/>
  <c r="AR28" i="2" s="1"/>
  <c r="AD28" i="2"/>
  <c r="AQ28" i="2" s="1"/>
  <c r="AA28" i="2"/>
  <c r="Z28" i="2"/>
  <c r="AP28" i="2" s="1"/>
  <c r="D28" i="2"/>
  <c r="A28" i="2"/>
  <c r="BC27" i="2"/>
  <c r="AO27" i="2"/>
  <c r="BB27" i="2" s="1"/>
  <c r="AN27" i="2"/>
  <c r="BA27" i="2" s="1"/>
  <c r="AM27" i="2"/>
  <c r="AZ27" i="2" s="1"/>
  <c r="AL27" i="2"/>
  <c r="AY27" i="2" s="1"/>
  <c r="AK27" i="2"/>
  <c r="AX27" i="2" s="1"/>
  <c r="AJ27" i="2"/>
  <c r="AW27" i="2" s="1"/>
  <c r="AI27" i="2"/>
  <c r="AV27" i="2" s="1"/>
  <c r="AH27" i="2"/>
  <c r="AU27" i="2" s="1"/>
  <c r="AG27" i="2"/>
  <c r="AT27" i="2" s="1"/>
  <c r="AF27" i="2"/>
  <c r="AS27" i="2" s="1"/>
  <c r="AE27" i="2"/>
  <c r="AR27" i="2" s="1"/>
  <c r="AD27" i="2"/>
  <c r="AQ27" i="2" s="1"/>
  <c r="AA27" i="2"/>
  <c r="Z27" i="2"/>
  <c r="AP27" i="2" s="1"/>
  <c r="D27" i="2"/>
  <c r="A27" i="2"/>
  <c r="BC26" i="2"/>
  <c r="AO26" i="2"/>
  <c r="BB26" i="2" s="1"/>
  <c r="AN26" i="2"/>
  <c r="BA26" i="2" s="1"/>
  <c r="AM26" i="2"/>
  <c r="AZ26" i="2" s="1"/>
  <c r="AL26" i="2"/>
  <c r="AY26" i="2" s="1"/>
  <c r="AK26" i="2"/>
  <c r="AX26" i="2" s="1"/>
  <c r="AJ26" i="2"/>
  <c r="AW26" i="2" s="1"/>
  <c r="AI26" i="2"/>
  <c r="AV26" i="2" s="1"/>
  <c r="AH26" i="2"/>
  <c r="AU26" i="2" s="1"/>
  <c r="AG26" i="2"/>
  <c r="AT26" i="2" s="1"/>
  <c r="AF26" i="2"/>
  <c r="AS26" i="2" s="1"/>
  <c r="AE26" i="2"/>
  <c r="AR26" i="2" s="1"/>
  <c r="AD26" i="2"/>
  <c r="AQ26" i="2" s="1"/>
  <c r="AA26" i="2"/>
  <c r="Z26" i="2"/>
  <c r="AP26" i="2" s="1"/>
  <c r="D26" i="2"/>
  <c r="A26" i="2"/>
  <c r="BC25" i="2"/>
  <c r="AO25" i="2"/>
  <c r="BB25" i="2" s="1"/>
  <c r="AN25" i="2"/>
  <c r="BA25" i="2" s="1"/>
  <c r="AM25" i="2"/>
  <c r="AZ25" i="2" s="1"/>
  <c r="AL25" i="2"/>
  <c r="AY25" i="2" s="1"/>
  <c r="AK25" i="2"/>
  <c r="AX25" i="2" s="1"/>
  <c r="AJ25" i="2"/>
  <c r="AW25" i="2" s="1"/>
  <c r="AI25" i="2"/>
  <c r="AV25" i="2" s="1"/>
  <c r="AH25" i="2"/>
  <c r="AU25" i="2" s="1"/>
  <c r="AG25" i="2"/>
  <c r="AT25" i="2" s="1"/>
  <c r="AF25" i="2"/>
  <c r="AS25" i="2" s="1"/>
  <c r="AE25" i="2"/>
  <c r="AR25" i="2" s="1"/>
  <c r="AD25" i="2"/>
  <c r="AQ25" i="2" s="1"/>
  <c r="AA25" i="2"/>
  <c r="Z25" i="2"/>
  <c r="AP25" i="2" s="1"/>
  <c r="D25" i="2"/>
  <c r="A25" i="2"/>
  <c r="BC24" i="2"/>
  <c r="AO24" i="2"/>
  <c r="BB24" i="2" s="1"/>
  <c r="AN24" i="2"/>
  <c r="BA24" i="2" s="1"/>
  <c r="AM24" i="2"/>
  <c r="AZ24" i="2" s="1"/>
  <c r="AL24" i="2"/>
  <c r="AY24" i="2" s="1"/>
  <c r="AK24" i="2"/>
  <c r="AX24" i="2" s="1"/>
  <c r="AJ24" i="2"/>
  <c r="AW24" i="2" s="1"/>
  <c r="AI24" i="2"/>
  <c r="AV24" i="2" s="1"/>
  <c r="AH24" i="2"/>
  <c r="AU24" i="2" s="1"/>
  <c r="AG24" i="2"/>
  <c r="AT24" i="2" s="1"/>
  <c r="AF24" i="2"/>
  <c r="AS24" i="2" s="1"/>
  <c r="AE24" i="2"/>
  <c r="AR24" i="2" s="1"/>
  <c r="AD24" i="2"/>
  <c r="AQ24" i="2" s="1"/>
  <c r="AA24" i="2"/>
  <c r="Z24" i="2"/>
  <c r="AP24" i="2" s="1"/>
  <c r="D24" i="2"/>
  <c r="A24" i="2"/>
  <c r="BC23" i="2"/>
  <c r="AO23" i="2"/>
  <c r="BB23" i="2" s="1"/>
  <c r="AN23" i="2"/>
  <c r="BA23" i="2" s="1"/>
  <c r="AM23" i="2"/>
  <c r="AZ23" i="2" s="1"/>
  <c r="AL23" i="2"/>
  <c r="AY23" i="2" s="1"/>
  <c r="AK23" i="2"/>
  <c r="AX23" i="2" s="1"/>
  <c r="AJ23" i="2"/>
  <c r="AW23" i="2" s="1"/>
  <c r="AI23" i="2"/>
  <c r="AV23" i="2" s="1"/>
  <c r="AH23" i="2"/>
  <c r="AU23" i="2" s="1"/>
  <c r="AG23" i="2"/>
  <c r="AT23" i="2" s="1"/>
  <c r="AF23" i="2"/>
  <c r="AS23" i="2" s="1"/>
  <c r="AE23" i="2"/>
  <c r="AR23" i="2" s="1"/>
  <c r="AD23" i="2"/>
  <c r="AQ23" i="2" s="1"/>
  <c r="AA23" i="2"/>
  <c r="Z23" i="2"/>
  <c r="AP23" i="2" s="1"/>
  <c r="D23" i="2"/>
  <c r="A23" i="2"/>
  <c r="BC22" i="2"/>
  <c r="AV22" i="2"/>
  <c r="AO22" i="2"/>
  <c r="BB22" i="2" s="1"/>
  <c r="AN22" i="2"/>
  <c r="BA22" i="2" s="1"/>
  <c r="AM22" i="2"/>
  <c r="AZ22" i="2" s="1"/>
  <c r="AL22" i="2"/>
  <c r="AY22" i="2" s="1"/>
  <c r="AK22" i="2"/>
  <c r="AX22" i="2" s="1"/>
  <c r="AJ22" i="2"/>
  <c r="AW22" i="2" s="1"/>
  <c r="AI22" i="2"/>
  <c r="AH22" i="2"/>
  <c r="AU22" i="2" s="1"/>
  <c r="AG22" i="2"/>
  <c r="AT22" i="2" s="1"/>
  <c r="AF22" i="2"/>
  <c r="AS22" i="2" s="1"/>
  <c r="AE22" i="2"/>
  <c r="AR22" i="2" s="1"/>
  <c r="AD22" i="2"/>
  <c r="AQ22" i="2" s="1"/>
  <c r="AA22" i="2"/>
  <c r="Z22" i="2"/>
  <c r="AP22" i="2" s="1"/>
  <c r="D22" i="2"/>
  <c r="A22" i="2"/>
  <c r="BC21" i="2"/>
  <c r="AO21" i="2"/>
  <c r="BB21" i="2" s="1"/>
  <c r="AN21" i="2"/>
  <c r="BA21" i="2" s="1"/>
  <c r="AM21" i="2"/>
  <c r="AZ21" i="2" s="1"/>
  <c r="AL21" i="2"/>
  <c r="AY21" i="2" s="1"/>
  <c r="AK21" i="2"/>
  <c r="AX21" i="2" s="1"/>
  <c r="AJ21" i="2"/>
  <c r="AW21" i="2" s="1"/>
  <c r="AI21" i="2"/>
  <c r="AV21" i="2" s="1"/>
  <c r="AH21" i="2"/>
  <c r="AU21" i="2" s="1"/>
  <c r="AG21" i="2"/>
  <c r="AT21" i="2" s="1"/>
  <c r="AF21" i="2"/>
  <c r="AS21" i="2" s="1"/>
  <c r="AE21" i="2"/>
  <c r="AR21" i="2" s="1"/>
  <c r="AD21" i="2"/>
  <c r="AQ21" i="2" s="1"/>
  <c r="AA21" i="2"/>
  <c r="Z21" i="2"/>
  <c r="AP21" i="2" s="1"/>
  <c r="D21" i="2"/>
  <c r="A21" i="2"/>
  <c r="BC20" i="2"/>
  <c r="AO20" i="2"/>
  <c r="BB20" i="2" s="1"/>
  <c r="AN20" i="2"/>
  <c r="BA20" i="2" s="1"/>
  <c r="AM20" i="2"/>
  <c r="AZ20" i="2" s="1"/>
  <c r="AL20" i="2"/>
  <c r="AY20" i="2" s="1"/>
  <c r="AK20" i="2"/>
  <c r="AX20" i="2" s="1"/>
  <c r="AJ20" i="2"/>
  <c r="AW20" i="2" s="1"/>
  <c r="AI20" i="2"/>
  <c r="AV20" i="2" s="1"/>
  <c r="AH20" i="2"/>
  <c r="AU20" i="2" s="1"/>
  <c r="AG20" i="2"/>
  <c r="AT20" i="2" s="1"/>
  <c r="AF20" i="2"/>
  <c r="AS20" i="2" s="1"/>
  <c r="AE20" i="2"/>
  <c r="AR20" i="2" s="1"/>
  <c r="AD20" i="2"/>
  <c r="AQ20" i="2" s="1"/>
  <c r="AA20" i="2"/>
  <c r="Z20" i="2"/>
  <c r="AP20" i="2" s="1"/>
  <c r="D20" i="2"/>
  <c r="A20" i="2"/>
  <c r="BC19" i="2"/>
  <c r="AO19" i="2"/>
  <c r="BB19" i="2" s="1"/>
  <c r="AN19" i="2"/>
  <c r="BA19" i="2" s="1"/>
  <c r="AM19" i="2"/>
  <c r="AZ19" i="2" s="1"/>
  <c r="AL19" i="2"/>
  <c r="AY19" i="2" s="1"/>
  <c r="AK19" i="2"/>
  <c r="AX19" i="2" s="1"/>
  <c r="AJ19" i="2"/>
  <c r="AW19" i="2" s="1"/>
  <c r="AI19" i="2"/>
  <c r="AV19" i="2" s="1"/>
  <c r="AH19" i="2"/>
  <c r="AU19" i="2" s="1"/>
  <c r="AG19" i="2"/>
  <c r="AT19" i="2" s="1"/>
  <c r="AF19" i="2"/>
  <c r="AS19" i="2" s="1"/>
  <c r="AE19" i="2"/>
  <c r="AR19" i="2" s="1"/>
  <c r="AD19" i="2"/>
  <c r="AQ19" i="2" s="1"/>
  <c r="AA19" i="2"/>
  <c r="Z19" i="2"/>
  <c r="AP19" i="2" s="1"/>
  <c r="D19" i="2"/>
  <c r="A19" i="2"/>
  <c r="BC18" i="2"/>
  <c r="AO18" i="2"/>
  <c r="BB18" i="2" s="1"/>
  <c r="AN18" i="2"/>
  <c r="BA18" i="2" s="1"/>
  <c r="AM18" i="2"/>
  <c r="AZ18" i="2" s="1"/>
  <c r="AL18" i="2"/>
  <c r="AY18" i="2" s="1"/>
  <c r="AK18" i="2"/>
  <c r="AX18" i="2" s="1"/>
  <c r="AJ18" i="2"/>
  <c r="AW18" i="2" s="1"/>
  <c r="AI18" i="2"/>
  <c r="AV18" i="2" s="1"/>
  <c r="AH18" i="2"/>
  <c r="AU18" i="2" s="1"/>
  <c r="AG18" i="2"/>
  <c r="AT18" i="2" s="1"/>
  <c r="AF18" i="2"/>
  <c r="AS18" i="2" s="1"/>
  <c r="AE18" i="2"/>
  <c r="AR18" i="2" s="1"/>
  <c r="AD18" i="2"/>
  <c r="AQ18" i="2" s="1"/>
  <c r="AA18" i="2"/>
  <c r="Z18" i="2"/>
  <c r="AP18" i="2" s="1"/>
  <c r="D18" i="2"/>
  <c r="A18" i="2"/>
  <c r="BC17" i="2"/>
  <c r="AO17" i="2"/>
  <c r="BB17" i="2" s="1"/>
  <c r="AN17" i="2"/>
  <c r="BA17" i="2" s="1"/>
  <c r="AM17" i="2"/>
  <c r="AZ17" i="2" s="1"/>
  <c r="AL17" i="2"/>
  <c r="AY17" i="2" s="1"/>
  <c r="AK17" i="2"/>
  <c r="AX17" i="2" s="1"/>
  <c r="AJ17" i="2"/>
  <c r="AW17" i="2" s="1"/>
  <c r="AI17" i="2"/>
  <c r="AV17" i="2" s="1"/>
  <c r="AH17" i="2"/>
  <c r="AU17" i="2" s="1"/>
  <c r="AG17" i="2"/>
  <c r="AT17" i="2" s="1"/>
  <c r="AF17" i="2"/>
  <c r="AS17" i="2" s="1"/>
  <c r="AE17" i="2"/>
  <c r="AR17" i="2" s="1"/>
  <c r="AD17" i="2"/>
  <c r="AQ17" i="2" s="1"/>
  <c r="AA17" i="2"/>
  <c r="Z17" i="2"/>
  <c r="AP17" i="2" s="1"/>
  <c r="D17" i="2"/>
  <c r="A17" i="2"/>
  <c r="BC16" i="2"/>
  <c r="AO16" i="2"/>
  <c r="BB16" i="2" s="1"/>
  <c r="AN16" i="2"/>
  <c r="BA16" i="2" s="1"/>
  <c r="AM16" i="2"/>
  <c r="AZ16" i="2" s="1"/>
  <c r="AL16" i="2"/>
  <c r="AY16" i="2" s="1"/>
  <c r="AK16" i="2"/>
  <c r="AX16" i="2" s="1"/>
  <c r="AJ16" i="2"/>
  <c r="AW16" i="2" s="1"/>
  <c r="AI16" i="2"/>
  <c r="AV16" i="2" s="1"/>
  <c r="AH16" i="2"/>
  <c r="AU16" i="2" s="1"/>
  <c r="AG16" i="2"/>
  <c r="AT16" i="2" s="1"/>
  <c r="AF16" i="2"/>
  <c r="AS16" i="2" s="1"/>
  <c r="AE16" i="2"/>
  <c r="AR16" i="2" s="1"/>
  <c r="AD16" i="2"/>
  <c r="AQ16" i="2" s="1"/>
  <c r="AA16" i="2"/>
  <c r="Z16" i="2"/>
  <c r="AP16" i="2" s="1"/>
  <c r="D16" i="2"/>
  <c r="A16" i="2"/>
  <c r="BC15" i="2"/>
  <c r="AO15" i="2"/>
  <c r="BB15" i="2" s="1"/>
  <c r="AN15" i="2"/>
  <c r="BA15" i="2" s="1"/>
  <c r="AM15" i="2"/>
  <c r="AZ15" i="2" s="1"/>
  <c r="AL15" i="2"/>
  <c r="AY15" i="2" s="1"/>
  <c r="AK15" i="2"/>
  <c r="AX15" i="2" s="1"/>
  <c r="AJ15" i="2"/>
  <c r="AW15" i="2" s="1"/>
  <c r="AI15" i="2"/>
  <c r="AV15" i="2" s="1"/>
  <c r="AH15" i="2"/>
  <c r="AU15" i="2" s="1"/>
  <c r="AG15" i="2"/>
  <c r="AT15" i="2" s="1"/>
  <c r="AF15" i="2"/>
  <c r="AS15" i="2" s="1"/>
  <c r="AE15" i="2"/>
  <c r="AR15" i="2" s="1"/>
  <c r="AD15" i="2"/>
  <c r="AQ15" i="2" s="1"/>
  <c r="AA15" i="2"/>
  <c r="Z15" i="2"/>
  <c r="AP15" i="2" s="1"/>
  <c r="D15" i="2"/>
  <c r="A15" i="2"/>
  <c r="BC14" i="2"/>
  <c r="AO14" i="2"/>
  <c r="BB14" i="2" s="1"/>
  <c r="AN14" i="2"/>
  <c r="BA14" i="2" s="1"/>
  <c r="AM14" i="2"/>
  <c r="AZ14" i="2" s="1"/>
  <c r="AL14" i="2"/>
  <c r="AY14" i="2" s="1"/>
  <c r="AK14" i="2"/>
  <c r="AX14" i="2" s="1"/>
  <c r="AJ14" i="2"/>
  <c r="AW14" i="2" s="1"/>
  <c r="AI14" i="2"/>
  <c r="AV14" i="2" s="1"/>
  <c r="AH14" i="2"/>
  <c r="AU14" i="2" s="1"/>
  <c r="AG14" i="2"/>
  <c r="AT14" i="2" s="1"/>
  <c r="AF14" i="2"/>
  <c r="AS14" i="2" s="1"/>
  <c r="AE14" i="2"/>
  <c r="AR14" i="2" s="1"/>
  <c r="AD14" i="2"/>
  <c r="AQ14" i="2" s="1"/>
  <c r="AA14" i="2"/>
  <c r="Z14" i="2"/>
  <c r="AP14" i="2" s="1"/>
  <c r="D14" i="2"/>
  <c r="A14" i="2"/>
  <c r="BC13" i="2"/>
  <c r="AO13" i="2"/>
  <c r="BB13" i="2" s="1"/>
  <c r="AN13" i="2"/>
  <c r="BA13" i="2" s="1"/>
  <c r="AM13" i="2"/>
  <c r="AZ13" i="2" s="1"/>
  <c r="AL13" i="2"/>
  <c r="AY13" i="2" s="1"/>
  <c r="AK13" i="2"/>
  <c r="AX13" i="2" s="1"/>
  <c r="AJ13" i="2"/>
  <c r="AW13" i="2" s="1"/>
  <c r="AI13" i="2"/>
  <c r="AV13" i="2" s="1"/>
  <c r="AH13" i="2"/>
  <c r="AU13" i="2" s="1"/>
  <c r="AG13" i="2"/>
  <c r="AT13" i="2" s="1"/>
  <c r="AF13" i="2"/>
  <c r="AS13" i="2" s="1"/>
  <c r="AE13" i="2"/>
  <c r="AR13" i="2" s="1"/>
  <c r="AD13" i="2"/>
  <c r="AQ13" i="2" s="1"/>
  <c r="AA13" i="2"/>
  <c r="Z13" i="2"/>
  <c r="AP13" i="2" s="1"/>
  <c r="D13" i="2"/>
  <c r="A13" i="2"/>
  <c r="BC12" i="2"/>
  <c r="AO12" i="2"/>
  <c r="BB12" i="2" s="1"/>
  <c r="AN12" i="2"/>
  <c r="BA12" i="2" s="1"/>
  <c r="AM12" i="2"/>
  <c r="AZ12" i="2" s="1"/>
  <c r="AL12" i="2"/>
  <c r="AY12" i="2" s="1"/>
  <c r="AK12" i="2"/>
  <c r="AX12" i="2" s="1"/>
  <c r="AJ12" i="2"/>
  <c r="AW12" i="2" s="1"/>
  <c r="AI12" i="2"/>
  <c r="AV12" i="2" s="1"/>
  <c r="AH12" i="2"/>
  <c r="AU12" i="2" s="1"/>
  <c r="AG12" i="2"/>
  <c r="AT12" i="2" s="1"/>
  <c r="AF12" i="2"/>
  <c r="AS12" i="2" s="1"/>
  <c r="AE12" i="2"/>
  <c r="AR12" i="2" s="1"/>
  <c r="AD12" i="2"/>
  <c r="AQ12" i="2" s="1"/>
  <c r="AA12" i="2"/>
  <c r="Z12" i="2"/>
  <c r="AP12" i="2" s="1"/>
  <c r="D12" i="2"/>
  <c r="A12" i="2"/>
  <c r="BC11" i="2"/>
  <c r="AV11" i="2"/>
  <c r="AO11" i="2"/>
  <c r="BB11" i="2" s="1"/>
  <c r="AN11" i="2"/>
  <c r="BA11" i="2" s="1"/>
  <c r="AM11" i="2"/>
  <c r="AZ11" i="2" s="1"/>
  <c r="AL11" i="2"/>
  <c r="AY11" i="2" s="1"/>
  <c r="AK11" i="2"/>
  <c r="AX11" i="2" s="1"/>
  <c r="AJ11" i="2"/>
  <c r="AW11" i="2" s="1"/>
  <c r="AI11" i="2"/>
  <c r="AH11" i="2"/>
  <c r="AU11" i="2" s="1"/>
  <c r="AG11" i="2"/>
  <c r="AT11" i="2" s="1"/>
  <c r="AF11" i="2"/>
  <c r="AS11" i="2" s="1"/>
  <c r="AE11" i="2"/>
  <c r="AR11" i="2" s="1"/>
  <c r="AD11" i="2"/>
  <c r="AQ11" i="2" s="1"/>
  <c r="AA11" i="2"/>
  <c r="Z11" i="2"/>
  <c r="AP11" i="2" s="1"/>
  <c r="D11" i="2"/>
  <c r="A11" i="2"/>
  <c r="BC10" i="2"/>
  <c r="AO10" i="2"/>
  <c r="BB10" i="2" s="1"/>
  <c r="AN10" i="2"/>
  <c r="BA10" i="2" s="1"/>
  <c r="AM10" i="2"/>
  <c r="AZ10" i="2" s="1"/>
  <c r="AL10" i="2"/>
  <c r="AY10" i="2" s="1"/>
  <c r="AK10" i="2"/>
  <c r="AX10" i="2" s="1"/>
  <c r="AJ10" i="2"/>
  <c r="AW10" i="2" s="1"/>
  <c r="AI10" i="2"/>
  <c r="AV10" i="2" s="1"/>
  <c r="AH10" i="2"/>
  <c r="AU10" i="2" s="1"/>
  <c r="AG10" i="2"/>
  <c r="AT10" i="2" s="1"/>
  <c r="AF10" i="2"/>
  <c r="AS10" i="2" s="1"/>
  <c r="AE10" i="2"/>
  <c r="AR10" i="2" s="1"/>
  <c r="AD10" i="2"/>
  <c r="AQ10" i="2" s="1"/>
  <c r="AA10" i="2"/>
  <c r="Z10" i="2"/>
  <c r="AP10" i="2" s="1"/>
  <c r="D10" i="2"/>
  <c r="A10" i="2"/>
  <c r="BC9" i="2"/>
  <c r="AO9" i="2"/>
  <c r="BB9" i="2" s="1"/>
  <c r="AN9" i="2"/>
  <c r="BA9" i="2" s="1"/>
  <c r="AM9" i="2"/>
  <c r="AZ9" i="2" s="1"/>
  <c r="AL9" i="2"/>
  <c r="AY9" i="2" s="1"/>
  <c r="AK9" i="2"/>
  <c r="AX9" i="2" s="1"/>
  <c r="AJ9" i="2"/>
  <c r="AW9" i="2" s="1"/>
  <c r="AI9" i="2"/>
  <c r="AV9" i="2" s="1"/>
  <c r="AH9" i="2"/>
  <c r="AU9" i="2" s="1"/>
  <c r="AG9" i="2"/>
  <c r="AT9" i="2" s="1"/>
  <c r="AF9" i="2"/>
  <c r="AS9" i="2" s="1"/>
  <c r="AE9" i="2"/>
  <c r="AR9" i="2" s="1"/>
  <c r="AD9" i="2"/>
  <c r="AQ9" i="2" s="1"/>
  <c r="AA9" i="2"/>
  <c r="Z9" i="2"/>
  <c r="AP9" i="2" s="1"/>
  <c r="D9" i="2"/>
  <c r="A9" i="2"/>
  <c r="BC8" i="2"/>
  <c r="AO8" i="2"/>
  <c r="BB8" i="2" s="1"/>
  <c r="AN8" i="2"/>
  <c r="BA8" i="2" s="1"/>
  <c r="AM8" i="2"/>
  <c r="AZ8" i="2" s="1"/>
  <c r="AL8" i="2"/>
  <c r="AY8" i="2" s="1"/>
  <c r="AK8" i="2"/>
  <c r="AX8" i="2" s="1"/>
  <c r="AJ8" i="2"/>
  <c r="AW8" i="2" s="1"/>
  <c r="AI8" i="2"/>
  <c r="AV8" i="2" s="1"/>
  <c r="AH8" i="2"/>
  <c r="AG8" i="2"/>
  <c r="AT8" i="2" s="1"/>
  <c r="AF8" i="2"/>
  <c r="AS8" i="2" s="1"/>
  <c r="AE8" i="2"/>
  <c r="AR8" i="2" s="1"/>
  <c r="AD8" i="2"/>
  <c r="AQ8" i="2" s="1"/>
  <c r="AA8" i="2"/>
  <c r="Z8" i="2"/>
  <c r="AP8" i="2" s="1"/>
  <c r="D8" i="2"/>
  <c r="A8" i="2"/>
  <c r="BC7" i="2"/>
  <c r="AO7" i="2"/>
  <c r="BB7" i="2" s="1"/>
  <c r="AN7" i="2"/>
  <c r="BA7" i="2" s="1"/>
  <c r="AM7" i="2"/>
  <c r="AZ7" i="2" s="1"/>
  <c r="AL7" i="2"/>
  <c r="AY7" i="2" s="1"/>
  <c r="AK7" i="2"/>
  <c r="AX7" i="2" s="1"/>
  <c r="AJ7" i="2"/>
  <c r="AW7" i="2" s="1"/>
  <c r="AI7" i="2"/>
  <c r="AV7" i="2" s="1"/>
  <c r="AH7" i="2"/>
  <c r="AU7" i="2" s="1"/>
  <c r="AG7" i="2"/>
  <c r="AT7" i="2" s="1"/>
  <c r="AF7" i="2"/>
  <c r="AS7" i="2" s="1"/>
  <c r="AE7" i="2"/>
  <c r="AR7" i="2" s="1"/>
  <c r="AD7" i="2"/>
  <c r="AQ7" i="2" s="1"/>
  <c r="AA7" i="2"/>
  <c r="Z7" i="2"/>
  <c r="AP7" i="2" s="1"/>
  <c r="D7" i="2"/>
  <c r="A7" i="2"/>
  <c r="BC6" i="2"/>
  <c r="AO6" i="2"/>
  <c r="BB6" i="2" s="1"/>
  <c r="AN6" i="2"/>
  <c r="BA6" i="2" s="1"/>
  <c r="AM6" i="2"/>
  <c r="AZ6" i="2" s="1"/>
  <c r="AL6" i="2"/>
  <c r="AK6" i="2"/>
  <c r="AX6" i="2" s="1"/>
  <c r="AJ6" i="2"/>
  <c r="AW6" i="2" s="1"/>
  <c r="AI6" i="2"/>
  <c r="AV6" i="2" s="1"/>
  <c r="AH6" i="2"/>
  <c r="AU6" i="2" s="1"/>
  <c r="AG6" i="2"/>
  <c r="AT6" i="2" s="1"/>
  <c r="AF6" i="2"/>
  <c r="AS6" i="2" s="1"/>
  <c r="AE6" i="2"/>
  <c r="AR6" i="2" s="1"/>
  <c r="AD6" i="2"/>
  <c r="AQ6" i="2" s="1"/>
  <c r="AA6" i="2"/>
  <c r="Z6" i="2"/>
  <c r="AP6" i="2" s="1"/>
  <c r="D6" i="2"/>
  <c r="A6" i="2"/>
  <c r="BC5" i="2"/>
  <c r="AO5" i="2"/>
  <c r="BB5" i="2" s="1"/>
  <c r="AN5" i="2"/>
  <c r="BA5" i="2" s="1"/>
  <c r="AM5" i="2"/>
  <c r="AZ5" i="2" s="1"/>
  <c r="AL5" i="2"/>
  <c r="AY5" i="2" s="1"/>
  <c r="AK5" i="2"/>
  <c r="AX5" i="2" s="1"/>
  <c r="AJ5" i="2"/>
  <c r="AW5" i="2" s="1"/>
  <c r="AI5" i="2"/>
  <c r="AV5" i="2" s="1"/>
  <c r="AH5" i="2"/>
  <c r="AU5" i="2" s="1"/>
  <c r="AG5" i="2"/>
  <c r="AT5" i="2" s="1"/>
  <c r="AF5" i="2"/>
  <c r="AS5" i="2" s="1"/>
  <c r="AE5" i="2"/>
  <c r="AR5" i="2" s="1"/>
  <c r="AD5" i="2"/>
  <c r="AQ5" i="2" s="1"/>
  <c r="AA5" i="2"/>
  <c r="Z5" i="2"/>
  <c r="AP5" i="2" s="1"/>
  <c r="D5" i="2"/>
  <c r="A5" i="2"/>
  <c r="BC4" i="2"/>
  <c r="AO4" i="2"/>
  <c r="BB4" i="2" s="1"/>
  <c r="AN4" i="2"/>
  <c r="AM4" i="2"/>
  <c r="AZ4" i="2" s="1"/>
  <c r="AL4" i="2"/>
  <c r="AY4" i="2" s="1"/>
  <c r="AK4" i="2"/>
  <c r="AX4" i="2" s="1"/>
  <c r="AJ4" i="2"/>
  <c r="AW4" i="2" s="1"/>
  <c r="AI4" i="2"/>
  <c r="AV4" i="2" s="1"/>
  <c r="AH4" i="2"/>
  <c r="AU4" i="2" s="1"/>
  <c r="AG4" i="2"/>
  <c r="AT4" i="2" s="1"/>
  <c r="AF4" i="2"/>
  <c r="AS4" i="2" s="1"/>
  <c r="AE4" i="2"/>
  <c r="AR4" i="2" s="1"/>
  <c r="AD4" i="2"/>
  <c r="AQ4" i="2" s="1"/>
  <c r="AA4" i="2"/>
  <c r="Z4" i="2"/>
  <c r="AP4" i="2" s="1"/>
  <c r="D4" i="2"/>
  <c r="A4" i="2"/>
  <c r="BC3" i="2"/>
  <c r="AO3" i="2"/>
  <c r="BB3" i="2" s="1"/>
  <c r="AN3" i="2"/>
  <c r="AM3" i="2"/>
  <c r="AZ3" i="2" s="1"/>
  <c r="AL3" i="2"/>
  <c r="AK3" i="2"/>
  <c r="AX3" i="2" s="1"/>
  <c r="AJ3" i="2"/>
  <c r="AI3" i="2"/>
  <c r="AV3" i="2" s="1"/>
  <c r="AH3" i="2"/>
  <c r="AU3" i="2" s="1"/>
  <c r="AG3" i="2"/>
  <c r="AT3" i="2" s="1"/>
  <c r="AF3" i="2"/>
  <c r="AE3" i="2"/>
  <c r="AR3" i="2" s="1"/>
  <c r="AD3" i="2"/>
  <c r="AQ3" i="2" s="1"/>
  <c r="AA3" i="2"/>
  <c r="Z3" i="2"/>
  <c r="AP3" i="2" s="1"/>
  <c r="D3" i="2"/>
  <c r="A3" i="2"/>
  <c r="C118" i="3" l="1"/>
  <c r="K95" i="3"/>
  <c r="D118" i="3"/>
  <c r="I118" i="3"/>
  <c r="K118" i="3"/>
  <c r="D98" i="3"/>
  <c r="D92" i="3"/>
  <c r="D94" i="3"/>
  <c r="D40" i="3"/>
  <c r="D34" i="3"/>
  <c r="E4" i="4"/>
  <c r="F32" i="3"/>
  <c r="Q59" i="3"/>
  <c r="F14" i="4"/>
  <c r="Q63" i="3"/>
  <c r="C17" i="4"/>
  <c r="F7" i="4"/>
  <c r="G17" i="4"/>
  <c r="B14" i="4"/>
  <c r="C22" i="4"/>
  <c r="C133" i="3"/>
  <c r="C121" i="3"/>
  <c r="C117" i="3"/>
  <c r="C115" i="3"/>
  <c r="C116" i="3"/>
  <c r="C114" i="3"/>
  <c r="D50" i="3"/>
  <c r="E50" i="3" s="1"/>
  <c r="E38" i="3"/>
  <c r="D110" i="3"/>
  <c r="D93" i="3"/>
  <c r="D91" i="3"/>
  <c r="B9" i="3"/>
  <c r="D46" i="3"/>
  <c r="E46" i="3" s="1"/>
  <c r="E34" i="3"/>
  <c r="AY3" i="2"/>
  <c r="H118" i="3" s="1"/>
  <c r="K91" i="3"/>
  <c r="K110" i="3"/>
  <c r="K98" i="3"/>
  <c r="K94" i="3"/>
  <c r="K93" i="3"/>
  <c r="K92" i="3"/>
  <c r="BA4" i="2"/>
  <c r="E33" i="3"/>
  <c r="F33" i="3" s="1"/>
  <c r="D45" i="3"/>
  <c r="E45" i="3" s="1"/>
  <c r="I116" i="3"/>
  <c r="I114" i="3"/>
  <c r="I133" i="3"/>
  <c r="I121" i="3"/>
  <c r="I117" i="3"/>
  <c r="I115" i="3"/>
  <c r="K133" i="3"/>
  <c r="K121" i="3"/>
  <c r="K117" i="3"/>
  <c r="K115" i="3"/>
  <c r="K116" i="3"/>
  <c r="K114" i="3"/>
  <c r="F50" i="3"/>
  <c r="F46" i="3"/>
  <c r="F53" i="3"/>
  <c r="F49" i="3"/>
  <c r="F45" i="3"/>
  <c r="E27" i="3"/>
  <c r="D26" i="3"/>
  <c r="O26" i="3" s="1"/>
  <c r="E23" i="3"/>
  <c r="F52" i="3"/>
  <c r="F48" i="3"/>
  <c r="D27" i="3"/>
  <c r="O27" i="3" s="1"/>
  <c r="E24" i="3"/>
  <c r="D23" i="3"/>
  <c r="O23" i="3" s="1"/>
  <c r="E20" i="3"/>
  <c r="D19" i="3"/>
  <c r="O19" i="3" s="1"/>
  <c r="E16" i="3"/>
  <c r="D15" i="3"/>
  <c r="G9" i="3"/>
  <c r="C8" i="3"/>
  <c r="F47" i="3"/>
  <c r="D25" i="3"/>
  <c r="O25" i="3" s="1"/>
  <c r="E22" i="3"/>
  <c r="D17" i="3"/>
  <c r="O17" i="3" s="1"/>
  <c r="E15" i="3"/>
  <c r="D24" i="3"/>
  <c r="O24" i="3" s="1"/>
  <c r="D22" i="3"/>
  <c r="O22" i="3" s="1"/>
  <c r="D20" i="3"/>
  <c r="O20" i="3" s="1"/>
  <c r="E18" i="3"/>
  <c r="E26" i="3"/>
  <c r="E21" i="3"/>
  <c r="D18" i="3"/>
  <c r="O18" i="3" s="1"/>
  <c r="D16" i="3"/>
  <c r="O16" i="3" s="1"/>
  <c r="E25" i="3"/>
  <c r="E17" i="3"/>
  <c r="C9" i="3"/>
  <c r="F51" i="3"/>
  <c r="D21" i="3"/>
  <c r="O21" i="3" s="1"/>
  <c r="I8" i="3"/>
  <c r="E19" i="3"/>
  <c r="E37" i="3"/>
  <c r="D37" i="3"/>
  <c r="D49" i="3"/>
  <c r="E49" i="3" s="1"/>
  <c r="D133" i="3"/>
  <c r="D121" i="3"/>
  <c r="D117" i="3"/>
  <c r="D115" i="3"/>
  <c r="D116" i="3"/>
  <c r="D114" i="3"/>
  <c r="D36" i="3"/>
  <c r="D48" i="3"/>
  <c r="E48" i="3" s="1"/>
  <c r="E36" i="3"/>
  <c r="D35" i="3"/>
  <c r="D47" i="3"/>
  <c r="E47" i="3" s="1"/>
  <c r="E35" i="3"/>
  <c r="D52" i="3"/>
  <c r="E52" i="3" s="1"/>
  <c r="E40" i="3"/>
  <c r="D38" i="3"/>
  <c r="K8" i="3"/>
  <c r="D39" i="3"/>
  <c r="D51" i="3"/>
  <c r="E51" i="3" s="1"/>
  <c r="E39" i="3"/>
  <c r="E41" i="3"/>
  <c r="F41" i="3" s="1"/>
  <c r="D53" i="3"/>
  <c r="E53" i="3" s="1"/>
  <c r="AS3" i="2"/>
  <c r="E118" i="3" s="1"/>
  <c r="AW3" i="2"/>
  <c r="G118" i="3" s="1"/>
  <c r="BA3" i="2"/>
  <c r="J118" i="3" s="1"/>
  <c r="AY6" i="2"/>
  <c r="AU8" i="2"/>
  <c r="F133" i="3" s="1"/>
  <c r="F92" i="3"/>
  <c r="F110" i="3"/>
  <c r="F93" i="3"/>
  <c r="P64" i="3"/>
  <c r="E64" i="3"/>
  <c r="Q64" i="3" s="1"/>
  <c r="D64" i="3"/>
  <c r="P60" i="3"/>
  <c r="E60" i="3"/>
  <c r="Q60" i="3" s="1"/>
  <c r="D60" i="3"/>
  <c r="P68" i="3"/>
  <c r="E68" i="3"/>
  <c r="D68" i="3"/>
  <c r="Q57" i="3"/>
  <c r="Q61" i="3"/>
  <c r="Q65" i="3"/>
  <c r="C8" i="4"/>
  <c r="C14" i="4"/>
  <c r="G14" i="4"/>
  <c r="D17" i="4"/>
  <c r="H17" i="4"/>
  <c r="F22" i="4"/>
  <c r="D57" i="3"/>
  <c r="Q58" i="3"/>
  <c r="D61" i="3"/>
  <c r="Q62" i="3"/>
  <c r="D65" i="3"/>
  <c r="Q66" i="3"/>
  <c r="C6" i="4"/>
  <c r="F8" i="4"/>
  <c r="D14" i="4"/>
  <c r="H14" i="4"/>
  <c r="E17" i="4"/>
  <c r="C21" i="4"/>
  <c r="C23" i="4"/>
  <c r="C7" i="4"/>
  <c r="B10" i="4"/>
  <c r="E14" i="4"/>
  <c r="B17" i="4"/>
  <c r="F17" i="4"/>
  <c r="F21" i="4"/>
  <c r="H95" i="3" l="1"/>
  <c r="S94" i="3" s="1"/>
  <c r="F118" i="3"/>
  <c r="L118" i="3" s="1"/>
  <c r="F40" i="3"/>
  <c r="F34" i="3"/>
  <c r="H93" i="3"/>
  <c r="F38" i="3"/>
  <c r="F37" i="3"/>
  <c r="G8" i="3"/>
  <c r="F39" i="3"/>
  <c r="F36" i="3"/>
  <c r="O15" i="3"/>
  <c r="D28" i="3"/>
  <c r="H52" i="3"/>
  <c r="G52" i="3"/>
  <c r="G45" i="3"/>
  <c r="H45" i="3"/>
  <c r="H50" i="3"/>
  <c r="G50" i="3"/>
  <c r="F115" i="3"/>
  <c r="F114" i="3"/>
  <c r="G133" i="3"/>
  <c r="G121" i="3"/>
  <c r="G117" i="3"/>
  <c r="G115" i="3"/>
  <c r="G114" i="3"/>
  <c r="G116" i="3"/>
  <c r="D69" i="3"/>
  <c r="E116" i="3"/>
  <c r="E114" i="3"/>
  <c r="E133" i="3"/>
  <c r="E121" i="3"/>
  <c r="E117" i="3"/>
  <c r="E115" i="3"/>
  <c r="F35" i="3"/>
  <c r="H51" i="3"/>
  <c r="G51" i="3"/>
  <c r="E28" i="3"/>
  <c r="H47" i="3"/>
  <c r="G47" i="3"/>
  <c r="G49" i="3"/>
  <c r="H49" i="3"/>
  <c r="F117" i="3"/>
  <c r="F116" i="3"/>
  <c r="E9" i="3"/>
  <c r="H94" i="3"/>
  <c r="S93" i="3" s="1"/>
  <c r="G53" i="3"/>
  <c r="H53" i="3"/>
  <c r="H133" i="3"/>
  <c r="H121" i="3"/>
  <c r="H117" i="3"/>
  <c r="H115" i="3"/>
  <c r="H116" i="3"/>
  <c r="H114" i="3"/>
  <c r="F121" i="3"/>
  <c r="E8" i="3"/>
  <c r="H98" i="3"/>
  <c r="E69" i="3"/>
  <c r="J116" i="3"/>
  <c r="J114" i="3"/>
  <c r="J133" i="3"/>
  <c r="J121" i="3"/>
  <c r="J117" i="3"/>
  <c r="J115" i="3"/>
  <c r="H48" i="3"/>
  <c r="G48" i="3"/>
  <c r="H46" i="3"/>
  <c r="G46" i="3"/>
  <c r="H91" i="3"/>
  <c r="S91" i="3" s="1"/>
  <c r="H92" i="3"/>
  <c r="S92" i="3" s="1"/>
  <c r="H110" i="3"/>
  <c r="L114" i="3" l="1"/>
  <c r="L115" i="3"/>
  <c r="L116" i="3"/>
  <c r="L121" i="3"/>
  <c r="L117" i="3"/>
  <c r="L133" i="3"/>
</calcChain>
</file>

<file path=xl/sharedStrings.xml><?xml version="1.0" encoding="utf-8"?>
<sst xmlns="http://schemas.openxmlformats.org/spreadsheetml/2006/main" count="1967" uniqueCount="994">
  <si>
    <t>İŞ EMRİ BİLGİLERİ</t>
  </si>
  <si>
    <t>ÜRETİM AŞAMALARI  —  Tarih girin.  Her birim: parça sonraki aşamaya geçince KAPANDI.  İş emri: SEVK edilince ya da KAPANIŞ tarihi girilince kapanır.</t>
  </si>
  <si>
    <t>REWORK</t>
  </si>
  <si>
    <t>ANLIK TAKİP</t>
  </si>
  <si>
    <t>Notlar</t>
  </si>
  <si>
    <t>YARDIMCI SÜTUNLAR (rapor için, silmeyin)</t>
  </si>
  <si>
    <t>NO</t>
  </si>
  <si>
    <t>İş Emri No</t>
  </si>
  <si>
    <t>Parça / İş Adı</t>
  </si>
  <si>
    <t>Adet</t>
  </si>
  <si>
    <t>Sorumlu Kişi</t>
  </si>
  <si>
    <t>İş Emri Tarihi</t>
  </si>
  <si>
    <t>Tasarım</t>
  </si>
  <si>
    <t>Ply Cutter</t>
  </si>
  <si>
    <t>Üretim</t>
  </si>
  <si>
    <t>Kalite
(Üretim sonrası)</t>
  </si>
  <si>
    <t>Talaşlı</t>
  </si>
  <si>
    <t>Kalite
(Talaşlı sonrası)</t>
  </si>
  <si>
    <t>Montaj</t>
  </si>
  <si>
    <t>Kalite
(Montaj sonrası)</t>
  </si>
  <si>
    <t>Boya</t>
  </si>
  <si>
    <t>Kalite
(Boya sonrası)</t>
  </si>
  <si>
    <t>Yarı Mamül</t>
  </si>
  <si>
    <t>KM</t>
  </si>
  <si>
    <t>Sevk</t>
  </si>
  <si>
    <t>KAPANIŞ
(iş bitti)</t>
  </si>
  <si>
    <t>Rework
Adedi</t>
  </si>
  <si>
    <t>Rework
Nedeni</t>
  </si>
  <si>
    <t>Rework
Açıklaması</t>
  </si>
  <si>
    <t>Rework
Açılış Tarihi</t>
  </si>
  <si>
    <t>Rework
Bitiş Tarihi</t>
  </si>
  <si>
    <t>Güncel Durum</t>
  </si>
  <si>
    <t>Geçen Süre (gün)</t>
  </si>
  <si>
    <t>Süre: Tasarım</t>
  </si>
  <si>
    <t>Süre: Ply Cutter</t>
  </si>
  <si>
    <t>Süre: Üretim</t>
  </si>
  <si>
    <t>Süre: Kalite (Üretim sonrası)</t>
  </si>
  <si>
    <t>Süre: Talaşlı</t>
  </si>
  <si>
    <t>Süre: Kalite (Talaşlı sonrası)</t>
  </si>
  <si>
    <t>Süre: Montaj</t>
  </si>
  <si>
    <t>Süre: Kalite (Montaj sonrası)</t>
  </si>
  <si>
    <t>Süre: Boya</t>
  </si>
  <si>
    <t>Süre: Kalite (Boya sonrası)</t>
  </si>
  <si>
    <t>Süre: Yarı Mamül</t>
  </si>
  <si>
    <t>Süre: KM</t>
  </si>
  <si>
    <t>Son aşamada bekleme</t>
  </si>
  <si>
    <t>Kapanış: Tasarım</t>
  </si>
  <si>
    <t>Kapanış: Ply Cutter</t>
  </si>
  <si>
    <t>Kapanış: Üretim</t>
  </si>
  <si>
    <t>Kapanış: Kalite (Üretim sonrası)</t>
  </si>
  <si>
    <t>Kapanış: Talaşlı</t>
  </si>
  <si>
    <t>Kapanış: Kalite (Talaşlı sonrası)</t>
  </si>
  <si>
    <t>Kapanış: Montaj</t>
  </si>
  <si>
    <t>Kapanış: Kalite (Montaj sonrası)</t>
  </si>
  <si>
    <t>Kapanış: Boya</t>
  </si>
  <si>
    <t>Kapanış: Kalite (Boya sonrası)</t>
  </si>
  <si>
    <t>Kapanış: Yarı Mamül</t>
  </si>
  <si>
    <t>Kapanış: KM</t>
  </si>
  <si>
    <t>Bitiş (sevk/kapanış)</t>
  </si>
  <si>
    <t>M42986</t>
  </si>
  <si>
    <t>SOM0010-B - 1 - SOM SOL KANAT LAY-UP</t>
  </si>
  <si>
    <t>AYÇA GÖK</t>
  </si>
  <si>
    <t>Örnek satırdır, silinebilir.</t>
  </si>
  <si>
    <t>M42987</t>
  </si>
  <si>
    <t>2020-007-B - 1 - HF AYAK SERIM</t>
  </si>
  <si>
    <t>M42988</t>
  </si>
  <si>
    <t>M42989</t>
  </si>
  <si>
    <t>MN-0000-4163-B - 5 - BORU KMPZT YILDIRIM KORUMA GU</t>
  </si>
  <si>
    <t>18 ADETTEN 7 ADET MONTAJDA</t>
  </si>
  <si>
    <t>M42990</t>
  </si>
  <si>
    <t>9 ADET YÜZEY İŞLEMİNDE</t>
  </si>
  <si>
    <t>M42992</t>
  </si>
  <si>
    <t>MN-7516-0002-B - 1 - RADOM ANTEN YASSI KUCUK PGR S</t>
  </si>
  <si>
    <t>M42993</t>
  </si>
  <si>
    <t>00191416-B - 1 - YAN KAPAK, MG SERIM</t>
  </si>
  <si>
    <t>M42994</t>
  </si>
  <si>
    <t>MN-7750-0043-B - 1 - REFLEKTOR DONER ANTEN EDELINT</t>
  </si>
  <si>
    <t>M42995</t>
  </si>
  <si>
    <t>MN-7637-0011-B - 1 - RADOM KOMPOZIT BANT 7 SERIM</t>
  </si>
  <si>
    <t>M42985</t>
  </si>
  <si>
    <t>SOM0007-B - 1 - SOM-SAG KANAT LAY UP</t>
  </si>
  <si>
    <t>M42996</t>
  </si>
  <si>
    <t>00190331-B - 1 - HAVA ALIGI KAPAGI SERIM</t>
  </si>
  <si>
    <t>M42997</t>
  </si>
  <si>
    <t>SOM0007-D - 1 - SOM SAG KANAT MONTAJ</t>
  </si>
  <si>
    <t>M42998</t>
  </si>
  <si>
    <t>SOM0010-D - 1 - SOM SOL KANAT MONTAJ</t>
  </si>
  <si>
    <t>M42999</t>
  </si>
  <si>
    <t>00043946-B - 1 - RAMPA-HA -LAY UP</t>
  </si>
  <si>
    <t>M43000</t>
  </si>
  <si>
    <t>00043948-B - 1 - KAPORTA-HA  LAY UP</t>
  </si>
  <si>
    <t>M43001</t>
  </si>
  <si>
    <t>SOM0001-B - 2 - SOM-KANATCIK ARTI EKSI LAY-UP</t>
  </si>
  <si>
    <t>M43002</t>
  </si>
  <si>
    <t>MN-7914-0023-B - 1 - ACAR RADOM SERIM</t>
  </si>
  <si>
    <t>M43003</t>
  </si>
  <si>
    <t>M43004</t>
  </si>
  <si>
    <t>MN-7914-0023-A - 24 - ACAR RADOM KESIM</t>
  </si>
  <si>
    <t>M43005</t>
  </si>
  <si>
    <t>MN-0000-3414-A - 180 - KAMCI ANTEN KILIF KESIM</t>
  </si>
  <si>
    <t>ÖMER ÖZCAN</t>
  </si>
  <si>
    <t>M43006</t>
  </si>
  <si>
    <t>MN-7623-0011-C - 3 - RADOM KOMPOZIT OMNI ANTEN KAT</t>
  </si>
  <si>
    <t>SIZDIRMAZLIK AŞAMASI BEKLENİYOR</t>
  </si>
  <si>
    <t>M43007</t>
  </si>
  <si>
    <t>MN-9840-0079-B - 1 - PARCA CTP HALKA PRJKTR SERIM</t>
  </si>
  <si>
    <t>M43008</t>
  </si>
  <si>
    <t>MN-0000-3297-B - 1 - RADOM KOMPOZIT ANT. YASSI ALT</t>
  </si>
  <si>
    <t>M43009</t>
  </si>
  <si>
    <t>M43010</t>
  </si>
  <si>
    <t>M43011</t>
  </si>
  <si>
    <t>M43012</t>
  </si>
  <si>
    <t>M43013</t>
  </si>
  <si>
    <t>GN-7936-0004-B - 1 - RADOM CTP ANTEN KAL SERIM</t>
  </si>
  <si>
    <t>M43014</t>
  </si>
  <si>
    <t>M43015</t>
  </si>
  <si>
    <t>M43016</t>
  </si>
  <si>
    <t>M43017</t>
  </si>
  <si>
    <t>M43018</t>
  </si>
  <si>
    <t>SOM0003-B - 1 - SOM-KAPAK 2 LAY UP</t>
  </si>
  <si>
    <t>M43019</t>
  </si>
  <si>
    <t>SOM0005-B - 1 - SOM- SIRTLIK ARKA UST ALT LAY UP</t>
  </si>
  <si>
    <t>M43020</t>
  </si>
  <si>
    <t>MN-0000-5133-KNM2-B - 9 - RADOM ANTEN KOPUK SILIND</t>
  </si>
  <si>
    <t>M43021</t>
  </si>
  <si>
    <t>YAPILMADI</t>
  </si>
  <si>
    <t>M43022</t>
  </si>
  <si>
    <t>10117526 - 10 - AVCI KOMPOZIT IC PLASTIK PLAKASI P</t>
  </si>
  <si>
    <t>M43023</t>
  </si>
  <si>
    <t>00043941-C - 5 - GOVDE,HA BOYA</t>
  </si>
  <si>
    <t>M43024</t>
  </si>
  <si>
    <t>GN-7743-0001-C - 5 - RADOM KOMPOZIT BANT3/BANT4 MO</t>
  </si>
  <si>
    <t>M43025</t>
  </si>
  <si>
    <t>MN-0000-3297-D - 3 - RADOM KOMPOZIT ANT. YASSI ALT</t>
  </si>
  <si>
    <t>M43026</t>
  </si>
  <si>
    <t>M43027</t>
  </si>
  <si>
    <t>M43028</t>
  </si>
  <si>
    <t>SOM0001-B - 1 - SOM-KANATCIK ARTI EKSI LAY-UP</t>
  </si>
  <si>
    <t>M43029</t>
  </si>
  <si>
    <t>M43030</t>
  </si>
  <si>
    <t>M43031</t>
  </si>
  <si>
    <t>M43032</t>
  </si>
  <si>
    <t>M43033</t>
  </si>
  <si>
    <t>M43034</t>
  </si>
  <si>
    <t>M43035</t>
  </si>
  <si>
    <t>M43036</t>
  </si>
  <si>
    <t>M43037</t>
  </si>
  <si>
    <t>MN-0000-3297-C - 7 - RADOM KOMPOZIT ANTEN YASSI AL</t>
  </si>
  <si>
    <t>M43038</t>
  </si>
  <si>
    <t>M43039</t>
  </si>
  <si>
    <t>M43040</t>
  </si>
  <si>
    <t>MN-0000-3297-D - 4 - RADOM KOMPOZIT ANT. YASSI ALT</t>
  </si>
  <si>
    <t>M43041</t>
  </si>
  <si>
    <t>M43042</t>
  </si>
  <si>
    <t>M43043</t>
  </si>
  <si>
    <t>M43044</t>
  </si>
  <si>
    <t>M43045</t>
  </si>
  <si>
    <t>M43046</t>
  </si>
  <si>
    <t>SOM0004-D - 6 - SOM - SIRTLIK ON TRIM</t>
  </si>
  <si>
    <t>M43047</t>
  </si>
  <si>
    <t>SOM0001-CC - 5 - SOM-ARTI EKSI KANATCIK CNC TRIM</t>
  </si>
  <si>
    <t>M43048</t>
  </si>
  <si>
    <t>M43049</t>
  </si>
  <si>
    <t>MN-0000-5134-BB - 1 - RADOM ANTEN BIKONIK SLNT ET</t>
  </si>
  <si>
    <t>M43050</t>
  </si>
  <si>
    <t>MN-7914-0023-E - 9 - ACAR RADOM BOYA</t>
  </si>
  <si>
    <t>M43051</t>
  </si>
  <si>
    <t>M43052</t>
  </si>
  <si>
    <t>M43053</t>
  </si>
  <si>
    <t>M43054</t>
  </si>
  <si>
    <t>M43055</t>
  </si>
  <si>
    <t>M43056</t>
  </si>
  <si>
    <t>MN-7799-0027-A - 5 - KOPUK PMI POLARIZOR UST BANT</t>
  </si>
  <si>
    <t>M43057</t>
  </si>
  <si>
    <t>M43058</t>
  </si>
  <si>
    <t>M43059</t>
  </si>
  <si>
    <t>M43060</t>
  </si>
  <si>
    <t>M43061</t>
  </si>
  <si>
    <t>M43062</t>
  </si>
  <si>
    <t>M43063</t>
  </si>
  <si>
    <t>10117459-B - 1 - AVCI UST GOVDE SERIM</t>
  </si>
  <si>
    <t>M43064</t>
  </si>
  <si>
    <t>M43065</t>
  </si>
  <si>
    <t>M43066</t>
  </si>
  <si>
    <t>M43067</t>
  </si>
  <si>
    <t>M43068</t>
  </si>
  <si>
    <t>SOM0004-B - 1 - SOM- SIRTLIK ON LAY UP</t>
  </si>
  <si>
    <t>29.09.2026 tarihinde verildi.</t>
  </si>
  <si>
    <t>M43069</t>
  </si>
  <si>
    <t>M43070</t>
  </si>
  <si>
    <t>M43073</t>
  </si>
  <si>
    <t>SOM0007-C - 4 - SOM-SAG KANAT TRIM</t>
  </si>
  <si>
    <t>M43074</t>
  </si>
  <si>
    <t>SOM0010-C - 4 - SOM SOL KANAT TRIM</t>
  </si>
  <si>
    <t>M43075</t>
  </si>
  <si>
    <t>M43076</t>
  </si>
  <si>
    <t>SOM0007-E - 1 - SOM SAG KANAT BOYA</t>
  </si>
  <si>
    <t>M43077</t>
  </si>
  <si>
    <t>M43078</t>
  </si>
  <si>
    <t>MN-7981-0031-A - 2 - MUHAFAZA CTP RFLKTR DAKR KESI</t>
  </si>
  <si>
    <t>M43080</t>
  </si>
  <si>
    <t>MN-7986-0008-A - 8 - RADOM ON CTP SANDVIC CENK S K</t>
  </si>
  <si>
    <t>M43081</t>
  </si>
  <si>
    <t>MN-7605-0002-A - 4 - RADOM KOMPOZIT BD ANTEN GRI B</t>
  </si>
  <si>
    <t>M43082</t>
  </si>
  <si>
    <t>00043946-D - 1 - RAMPA HA MONTAJ</t>
  </si>
  <si>
    <t>M43083</t>
  </si>
  <si>
    <t>M43084</t>
  </si>
  <si>
    <t>M43085</t>
  </si>
  <si>
    <t>M43086</t>
  </si>
  <si>
    <t>M43087</t>
  </si>
  <si>
    <t>M43088</t>
  </si>
  <si>
    <t>M43089</t>
  </si>
  <si>
    <t>M43090</t>
  </si>
  <si>
    <t>M43091</t>
  </si>
  <si>
    <t>M43092</t>
  </si>
  <si>
    <t>M43093</t>
  </si>
  <si>
    <t>MN-0000-3297-C - 15 - RADOM KOMPOZIT ANTEN YASSI A</t>
  </si>
  <si>
    <t>M43094</t>
  </si>
  <si>
    <t>M43095</t>
  </si>
  <si>
    <t>M43096</t>
  </si>
  <si>
    <t>M43097</t>
  </si>
  <si>
    <t>M43098</t>
  </si>
  <si>
    <t>M43099</t>
  </si>
  <si>
    <t>MN-0000-5134-B - 1 - RADOM ANTEN BIKONIK SLNT ET B</t>
  </si>
  <si>
    <t>Flanşı eksik vakumda bekliyor</t>
  </si>
  <si>
    <t>M43100</t>
  </si>
  <si>
    <t>SOM0001-F - 1 - SOM-KANATCIK ARTI MONTAJ</t>
  </si>
  <si>
    <t>M43101</t>
  </si>
  <si>
    <t>SOM0001-G - 1 - SOM-KANATCIK EKSI MONTAJ</t>
  </si>
  <si>
    <t>M43102</t>
  </si>
  <si>
    <t>M43103</t>
  </si>
  <si>
    <t>M43104</t>
  </si>
  <si>
    <t>M43105</t>
  </si>
  <si>
    <t>M43106</t>
  </si>
  <si>
    <t>M43107</t>
  </si>
  <si>
    <t>M43108</t>
  </si>
  <si>
    <t>M43109</t>
  </si>
  <si>
    <t>MONTAJ BEKLİYOR PARÇA EKSİK</t>
  </si>
  <si>
    <t>M43110</t>
  </si>
  <si>
    <t>M43111</t>
  </si>
  <si>
    <t>M43112</t>
  </si>
  <si>
    <t>GN-7748-0001-A - 2 - RADOM MONTAJ KESTIRME ANTENI</t>
  </si>
  <si>
    <t>M43114</t>
  </si>
  <si>
    <t>MN-7936-0014-A - 15 - RADOM SANDVIC CTP KABUK OMNI</t>
  </si>
  <si>
    <t>M43115</t>
  </si>
  <si>
    <t>00170835-A - 30 - YUVA KAPAGI, YS, P03 KESIM</t>
  </si>
  <si>
    <t>M43116</t>
  </si>
  <si>
    <t>MN-7984-0010-B - 1 - RADOM CTP SANDVIC KABUK LAY U</t>
  </si>
  <si>
    <t>M43117</t>
  </si>
  <si>
    <t>MN-0000-5134-A - 7 - RADOM ANTEN BIKONIK SLNT ET B</t>
  </si>
  <si>
    <t>M43119</t>
  </si>
  <si>
    <t>MN-7986-0008-B - 2 - RADOM ON CTP SANDVIC CENK S L</t>
  </si>
  <si>
    <t>M43120</t>
  </si>
  <si>
    <t>M43121</t>
  </si>
  <si>
    <t>M43122</t>
  </si>
  <si>
    <t>M43123</t>
  </si>
  <si>
    <t>MN-0000-3299-D - 3 - RADOM KOMPOZIT ANTEN YASSI US</t>
  </si>
  <si>
    <t>M43124</t>
  </si>
  <si>
    <t>M43125</t>
  </si>
  <si>
    <t>M43129</t>
  </si>
  <si>
    <t xml:space="preserve">KİT YOK </t>
  </si>
  <si>
    <t>M43130</t>
  </si>
  <si>
    <t>M43131</t>
  </si>
  <si>
    <t>M43132</t>
  </si>
  <si>
    <t>M43133</t>
  </si>
  <si>
    <t>M43134</t>
  </si>
  <si>
    <t>MN-7914-0023-C - 12 - ACAR RADOM TRIM</t>
  </si>
  <si>
    <t>M43135</t>
  </si>
  <si>
    <t>M43136</t>
  </si>
  <si>
    <t>M43137</t>
  </si>
  <si>
    <t>00187109-C - 1 - DIS GOVDE HARB BASLIGI, CAKIR MON</t>
  </si>
  <si>
    <t>M43138</t>
  </si>
  <si>
    <t>M43139</t>
  </si>
  <si>
    <t>715Z3212-5##ALT5 - 10 - BWC NC CNC KESIM ALT5</t>
  </si>
  <si>
    <t>M43140</t>
  </si>
  <si>
    <t>715Z3212-5##ALT4 - 4 - BWC NC CNC KESIM ALT4</t>
  </si>
  <si>
    <t>M43141</t>
  </si>
  <si>
    <t>715Z3212-5##ALT6 - 10 - BWC NC CNC KESIM ALT6</t>
  </si>
  <si>
    <t>M43142</t>
  </si>
  <si>
    <t>M43143</t>
  </si>
  <si>
    <t>M43144</t>
  </si>
  <si>
    <t>M43145</t>
  </si>
  <si>
    <t>M43146</t>
  </si>
  <si>
    <t>M43147</t>
  </si>
  <si>
    <t>00170835-B - 1 - YUVA KAPAGI, YS, P03 SERM</t>
  </si>
  <si>
    <t>M43148</t>
  </si>
  <si>
    <t>M43149</t>
  </si>
  <si>
    <t>M43150</t>
  </si>
  <si>
    <t>M43151</t>
  </si>
  <si>
    <t>M43152</t>
  </si>
  <si>
    <t>M43153</t>
  </si>
  <si>
    <t>M43154</t>
  </si>
  <si>
    <t>M43156</t>
  </si>
  <si>
    <t>GN-7936-0004-C - 12 - RADOM CTP ANTEN KAL TRIM</t>
  </si>
  <si>
    <t>M43157</t>
  </si>
  <si>
    <t>MN-7516-0002-C - 7 - RADOM ANTEN YASSI KUCUK PGR T</t>
  </si>
  <si>
    <t>M43158</t>
  </si>
  <si>
    <t>M43159</t>
  </si>
  <si>
    <t>M42914</t>
  </si>
  <si>
    <t xml:space="preserve">00190331-B - 1 - HAVA ALIĞI KAPAĞI SERİM </t>
  </si>
  <si>
    <t>M43161</t>
  </si>
  <si>
    <t>00043948-C - 28 - KAPORTA -HA CNC TRIM</t>
  </si>
  <si>
    <t>M43162</t>
  </si>
  <si>
    <t>00187109-AA - 5 - DIS GOVDE HARB BASLIGI ARALAYICI</t>
  </si>
  <si>
    <t>M43163</t>
  </si>
  <si>
    <t>GN-0000-0195-A - 5 - RADOM ARKA CTP SANDVIC KESIM</t>
  </si>
  <si>
    <t>M43164</t>
  </si>
  <si>
    <t>M43165</t>
  </si>
  <si>
    <t>M43166</t>
  </si>
  <si>
    <t>M43167</t>
  </si>
  <si>
    <t>M43168</t>
  </si>
  <si>
    <t>M43169</t>
  </si>
  <si>
    <t>M43170</t>
  </si>
  <si>
    <t>M43171</t>
  </si>
  <si>
    <t>M43172</t>
  </si>
  <si>
    <t>00085472-P03 - 100 - TUP ON KAPAK MONTAJ</t>
  </si>
  <si>
    <t>M43173</t>
  </si>
  <si>
    <t>00187109-B - 1 - DIS GOVDE HARB BASLIGI, CAKIR LAY</t>
  </si>
  <si>
    <t>M43174</t>
  </si>
  <si>
    <t>M43175</t>
  </si>
  <si>
    <t>GN-7748-0001-A - 1 - RADOM MONTAJ KESTIRME ANTENI</t>
  </si>
  <si>
    <t>M43176</t>
  </si>
  <si>
    <t>GN-7755-0011-C - 2 - AYAK KOMPOZIT DF ANTEN-MAST M</t>
  </si>
  <si>
    <t>M43177</t>
  </si>
  <si>
    <t>M43178</t>
  </si>
  <si>
    <t>AKŞAM VARDİYASI KARIŞTIRMIŞ</t>
  </si>
  <si>
    <t>M43179</t>
  </si>
  <si>
    <t>M43181</t>
  </si>
  <si>
    <t>MN-7750-0043-A - 11 - REFLEKTOR DONER ANTEN EDELIN</t>
  </si>
  <si>
    <t>M43182</t>
  </si>
  <si>
    <t>MN-0000-5134-CC - 1 - RADOM ANTEN BIKONIK SLNT ET</t>
  </si>
  <si>
    <t>M43183</t>
  </si>
  <si>
    <t>MN-7936-0014-D - 1 - RADOM SANDVIC CTP KABUK OMNI</t>
  </si>
  <si>
    <t>M43184</t>
  </si>
  <si>
    <t>M43185</t>
  </si>
  <si>
    <t>AC-0000-0066-C - 10 - TAKIM SBTLM BRS BSLM ANTN SE</t>
  </si>
  <si>
    <t>TRİM BEKLİYOR</t>
  </si>
  <si>
    <t>M43186</t>
  </si>
  <si>
    <t>M43187</t>
  </si>
  <si>
    <t>M43188</t>
  </si>
  <si>
    <t>M43189</t>
  </si>
  <si>
    <t>M43190</t>
  </si>
  <si>
    <t>M43191</t>
  </si>
  <si>
    <t>M43192</t>
  </si>
  <si>
    <t>MN-0000-5133-B - 1 - RADOM ANTEN SERIM</t>
  </si>
  <si>
    <t>M43193</t>
  </si>
  <si>
    <t>M43194</t>
  </si>
  <si>
    <t>M43195</t>
  </si>
  <si>
    <t>M43197</t>
  </si>
  <si>
    <t>M43198</t>
  </si>
  <si>
    <t>M43199</t>
  </si>
  <si>
    <t>M43200</t>
  </si>
  <si>
    <t>00264188-A - 1 - YO-YALITILMIS GOVDE KOMPLESI KABA</t>
  </si>
  <si>
    <t>M43201</t>
  </si>
  <si>
    <t>MN-0000-3299-B - 1 - RADOM KOMPOZIT ANTEN YASSI US</t>
  </si>
  <si>
    <t>M43202</t>
  </si>
  <si>
    <t>M43203</t>
  </si>
  <si>
    <t>00225600-C - 50 - KOMPOZIT SABIT KANAT, LOM TRIM+M</t>
  </si>
  <si>
    <t>M43204</t>
  </si>
  <si>
    <t>00225600-C - 8 - KOMPOZIT SABIT KANAT, LOM TRIM+MO</t>
  </si>
  <si>
    <t>M43205</t>
  </si>
  <si>
    <t>GN-7783-0001-C - 59 - RADOM UHMWPE MONTAJ</t>
  </si>
  <si>
    <t>M43206</t>
  </si>
  <si>
    <t>GN-7783-0001-C - 8 - RADOM UHMWPE MONTAJ</t>
  </si>
  <si>
    <t>M43207</t>
  </si>
  <si>
    <t>M43208</t>
  </si>
  <si>
    <t>00187109-BB - 1 - DIS GOVDE HARB BASLIGI ARALAYICI</t>
  </si>
  <si>
    <t>M43209</t>
  </si>
  <si>
    <t>00187109-D - 1 - DIS GOVDE HARB BASLIGI, CAKIR BOY</t>
  </si>
  <si>
    <t>M43210</t>
  </si>
  <si>
    <t>MN-7743-0020-A - 5 - RADOM KOMPOZIT BANT3/BANT4 AY</t>
  </si>
  <si>
    <t>M43211</t>
  </si>
  <si>
    <t>M43212</t>
  </si>
  <si>
    <t>SOM0010-E - 1 - SOM SOL KANAT BOYA</t>
  </si>
  <si>
    <t>M43213</t>
  </si>
  <si>
    <t>SOM0001-J - 2 - SOM KANATCIK EKSI BOYA</t>
  </si>
  <si>
    <t>M43214</t>
  </si>
  <si>
    <t>SOM0001-H - 2 - SOM-KANATCIK ARTI BOYA</t>
  </si>
  <si>
    <t>M43215</t>
  </si>
  <si>
    <t>00170835-D - 11 - YUVA KAPAGI, YS, P03 BOYA</t>
  </si>
  <si>
    <t>M43216</t>
  </si>
  <si>
    <t>10117461 - 50 - AVCI T YAPI TUTUCU BLANK V3 PEEK10</t>
  </si>
  <si>
    <t>M43217</t>
  </si>
  <si>
    <t>MN-0000-3774-E - 6 - RADOM KOMPOZIT ANT.YASSI ALT</t>
  </si>
  <si>
    <t>M43218</t>
  </si>
  <si>
    <t>M43219</t>
  </si>
  <si>
    <t>M43220</t>
  </si>
  <si>
    <t>M43221</t>
  </si>
  <si>
    <t>M43223</t>
  </si>
  <si>
    <t>00234018-B - 1 - KAMERALI ALT KAPAK, MG SERIM</t>
  </si>
  <si>
    <t>M43224</t>
  </si>
  <si>
    <t>BOYADA İŞ EMRİ KAPANDI</t>
  </si>
  <si>
    <t>M43225</t>
  </si>
  <si>
    <t>M43226</t>
  </si>
  <si>
    <t>M43227</t>
  </si>
  <si>
    <t>M43228</t>
  </si>
  <si>
    <t>M43229</t>
  </si>
  <si>
    <t>M43230</t>
  </si>
  <si>
    <t>M43231</t>
  </si>
  <si>
    <t>M43232</t>
  </si>
  <si>
    <t>M43233</t>
  </si>
  <si>
    <t>M43234</t>
  </si>
  <si>
    <t>M43235</t>
  </si>
  <si>
    <t>M43236</t>
  </si>
  <si>
    <t>M43237</t>
  </si>
  <si>
    <t>M43238</t>
  </si>
  <si>
    <t>M43239</t>
  </si>
  <si>
    <t>M43240</t>
  </si>
  <si>
    <t>M43241</t>
  </si>
  <si>
    <t>M43242</t>
  </si>
  <si>
    <t>M43243</t>
  </si>
  <si>
    <t>M43244</t>
  </si>
  <si>
    <t>MN-7981-0030-C - 1 - MUHAFAZA CTP R5-R1 RFLKTR DAK</t>
  </si>
  <si>
    <t>M43245</t>
  </si>
  <si>
    <t>MN-7981-0029-C - 1 - MUHAFAZA CTP L11-L7 RFLKTR DA</t>
  </si>
  <si>
    <t>M43246</t>
  </si>
  <si>
    <t>GN-0000-0195-B - 5 - RADOM ARKA CTP SANDVIC SERIM</t>
  </si>
  <si>
    <t>M43247</t>
  </si>
  <si>
    <t>MN-7936-0014-A - 2 - RADOM SANDVIC CTP KABUK OMNI</t>
  </si>
  <si>
    <t>M43248</t>
  </si>
  <si>
    <t>00178322-A - 5 - HAVA ALIGI BUTUNU KESIM</t>
  </si>
  <si>
    <t>M42885</t>
  </si>
  <si>
    <t>00178322-B - 1 - HAVA ALIGI BUTUNU SERIM</t>
  </si>
  <si>
    <t>M42849</t>
  </si>
  <si>
    <t>M43249</t>
  </si>
  <si>
    <t>MN-0000-5133-A - 15 - RADOM ANTEN KESIM</t>
  </si>
  <si>
    <t>M43250</t>
  </si>
  <si>
    <t>MN-7516-0002-D - 7 - RADOM ANTEN YASSI KUCUK PGR B</t>
  </si>
  <si>
    <t>M43251</t>
  </si>
  <si>
    <t>M43252</t>
  </si>
  <si>
    <t>M43253</t>
  </si>
  <si>
    <t>M43254</t>
  </si>
  <si>
    <t>M43255</t>
  </si>
  <si>
    <t>M43256</t>
  </si>
  <si>
    <t>M43257</t>
  </si>
  <si>
    <t>M43258</t>
  </si>
  <si>
    <t>00191456-B - 1 - ALT KAPAK, MG SERIM</t>
  </si>
  <si>
    <t>M43261</t>
  </si>
  <si>
    <t>MN-0000-3297-C - 11 - RADOM KOMPOZIT ANTEN YASSI A</t>
  </si>
  <si>
    <t>M43262</t>
  </si>
  <si>
    <t>M43263</t>
  </si>
  <si>
    <t>M43264</t>
  </si>
  <si>
    <t>M43265</t>
  </si>
  <si>
    <t>M43266</t>
  </si>
  <si>
    <t>M43267</t>
  </si>
  <si>
    <t>M43268</t>
  </si>
  <si>
    <t>M43269</t>
  </si>
  <si>
    <t>M43270</t>
  </si>
  <si>
    <t>M43271</t>
  </si>
  <si>
    <t>M43272</t>
  </si>
  <si>
    <t>M43273</t>
  </si>
  <si>
    <t>M43274</t>
  </si>
  <si>
    <t>M43275</t>
  </si>
  <si>
    <t>00191416-A - 6 - YAN KAPAK, MG KESIM</t>
  </si>
  <si>
    <t>M43276</t>
  </si>
  <si>
    <t>00191853-A - 15 - YAN KAPAK, YS KESIM</t>
  </si>
  <si>
    <t>M43277</t>
  </si>
  <si>
    <t>2020-007-A - 4 - HF AYAK KESIM</t>
  </si>
  <si>
    <t>M43278</t>
  </si>
  <si>
    <t>SOM0004-C - 6 - SOM - SIRTLIK ON BOYA</t>
  </si>
  <si>
    <t>M43279</t>
  </si>
  <si>
    <t>M43280</t>
  </si>
  <si>
    <t>M43281</t>
  </si>
  <si>
    <t>SOM0003-D - 6 - SOM-KAPAK 2 BOYA</t>
  </si>
  <si>
    <t>M43282</t>
  </si>
  <si>
    <t>10117268-B - 2 - AVCI UST KAPAK LAY UP</t>
  </si>
  <si>
    <t>M43283</t>
  </si>
  <si>
    <t>MN-9840-0079-A - 11 - PARCA CTP HALKA PRJKTR KESIM</t>
  </si>
  <si>
    <t>M43284</t>
  </si>
  <si>
    <t>GN-7748-0001-B - 1 - RADOM MONTAJ KESTIRME ANTENI</t>
  </si>
  <si>
    <t>M43285</t>
  </si>
  <si>
    <t>M43286</t>
  </si>
  <si>
    <t>M43287</t>
  </si>
  <si>
    <t>M43288</t>
  </si>
  <si>
    <t>M43289</t>
  </si>
  <si>
    <t>M43290</t>
  </si>
  <si>
    <t>M43291</t>
  </si>
  <si>
    <t>10117460-B - 1 - AVCI ALT GOVDE SERIM</t>
  </si>
  <si>
    <t>M43292</t>
  </si>
  <si>
    <t>M43293</t>
  </si>
  <si>
    <t>M43294</t>
  </si>
  <si>
    <t>M43295</t>
  </si>
  <si>
    <t>M43296</t>
  </si>
  <si>
    <t>M43298</t>
  </si>
  <si>
    <t>M43299</t>
  </si>
  <si>
    <t>M43300</t>
  </si>
  <si>
    <t>M43301</t>
  </si>
  <si>
    <t>M43302</t>
  </si>
  <si>
    <t>M43303</t>
  </si>
  <si>
    <t>M43304</t>
  </si>
  <si>
    <t>M43305</t>
  </si>
  <si>
    <t>M43306</t>
  </si>
  <si>
    <t>KUMAŞI YOK</t>
  </si>
  <si>
    <t>M43307</t>
  </si>
  <si>
    <t>M43308</t>
  </si>
  <si>
    <t>M43309</t>
  </si>
  <si>
    <t>00191853-B - 4 - YAN KAPAK, YS SERIM</t>
  </si>
  <si>
    <t>M43310</t>
  </si>
  <si>
    <t>M43311</t>
  </si>
  <si>
    <t>M43312</t>
  </si>
  <si>
    <t>M43313</t>
  </si>
  <si>
    <t>00191853-A - 3 - YAN KAPAK, YS KESIM</t>
  </si>
  <si>
    <t>M43314</t>
  </si>
  <si>
    <t>MN-9840-0079-A - 1 - PARCA CTP HALKA PRJKTR KESIM</t>
  </si>
  <si>
    <t>M43315</t>
  </si>
  <si>
    <t>M43316</t>
  </si>
  <si>
    <t>M43317</t>
  </si>
  <si>
    <t>MN-7914-0023-C - 11 - ACAR RADOM TRIM</t>
  </si>
  <si>
    <t>M43318</t>
  </si>
  <si>
    <t>00043941-A - 6 - GOVDE,HA KESIM</t>
  </si>
  <si>
    <t>M43319</t>
  </si>
  <si>
    <t>SOM0005-C - 10 - SOM- SIRTLIK ARKA UST TRIM</t>
  </si>
  <si>
    <t>M43320</t>
  </si>
  <si>
    <t>SOM0001-CC - 8 - SOM-ARTI EKSI KANATCIK CNC TRIM</t>
  </si>
  <si>
    <t>M43321</t>
  </si>
  <si>
    <t>M43322</t>
  </si>
  <si>
    <t>M43323</t>
  </si>
  <si>
    <t>SOM0005-CC - 12 - SOM- SIRTLIK ARKA ALT TRIM</t>
  </si>
  <si>
    <t>M43324</t>
  </si>
  <si>
    <t>M43325</t>
  </si>
  <si>
    <t>M43326</t>
  </si>
  <si>
    <t>M43327</t>
  </si>
  <si>
    <t>M43328</t>
  </si>
  <si>
    <t>M43329</t>
  </si>
  <si>
    <t>10117265-66-81-B - 4 - AVCI AYNA 1 TUTUCU SAG-SOL</t>
  </si>
  <si>
    <t>M43330</t>
  </si>
  <si>
    <t>M43331</t>
  </si>
  <si>
    <t>10117279-80-B - 1 - AVCI YAN KAPAK LAY UP</t>
  </si>
  <si>
    <t>M43332</t>
  </si>
  <si>
    <t>M43333</t>
  </si>
  <si>
    <t>M43334</t>
  </si>
  <si>
    <t>M43335</t>
  </si>
  <si>
    <t>M43336</t>
  </si>
  <si>
    <t>M43337</t>
  </si>
  <si>
    <t xml:space="preserve">00191853-B - 3 - YAN KAPAK , YS SERIM </t>
  </si>
  <si>
    <t>M43338</t>
  </si>
  <si>
    <t>MN-7914-0023-D - 18 - ACAR RADOM MONTAJ</t>
  </si>
  <si>
    <t>M43339</t>
  </si>
  <si>
    <t>2020-007-A - 20 - HF AYAK KESIM</t>
  </si>
  <si>
    <t>M43340</t>
  </si>
  <si>
    <t>MN-0000-3299-C - 10 - RADOM KOMPOZIT ANTEN YASSI U</t>
  </si>
  <si>
    <t>M43341</t>
  </si>
  <si>
    <t>M43342</t>
  </si>
  <si>
    <t>M43343</t>
  </si>
  <si>
    <t>M43344</t>
  </si>
  <si>
    <t>M43345</t>
  </si>
  <si>
    <t>M43346</t>
  </si>
  <si>
    <t>2020-007-D - 20 - HF AYAK TRIM</t>
  </si>
  <si>
    <t>M43347</t>
  </si>
  <si>
    <t>M43348</t>
  </si>
  <si>
    <t>M43349</t>
  </si>
  <si>
    <t>M43350</t>
  </si>
  <si>
    <t>M43351</t>
  </si>
  <si>
    <t>M43352</t>
  </si>
  <si>
    <t>M43353</t>
  </si>
  <si>
    <t>MN-0000-5134-CC - 2 - RADOM ANTEN BIKONIK SLNT ET</t>
  </si>
  <si>
    <t>M43354</t>
  </si>
  <si>
    <t>SOM0007-BB - 1 - SOM KANAT_KIRIS LAY-UP</t>
  </si>
  <si>
    <t>M43355</t>
  </si>
  <si>
    <t>M43356</t>
  </si>
  <si>
    <t>M43357</t>
  </si>
  <si>
    <t>M43358</t>
  </si>
  <si>
    <t>M43359</t>
  </si>
  <si>
    <t>M43360</t>
  </si>
  <si>
    <t>00170835-B - 3 - YUVA KAPAGI, YS, P03 SERM</t>
  </si>
  <si>
    <t>M43361</t>
  </si>
  <si>
    <t>M43362</t>
  </si>
  <si>
    <t>M43363</t>
  </si>
  <si>
    <t>MN-0000-3414-B - 21 - KAMCI ANTEN KILIF SERIM</t>
  </si>
  <si>
    <t>M43364</t>
  </si>
  <si>
    <t>00181571-A - 50 - IRAKSATICI INSERT CNC ISLEME</t>
  </si>
  <si>
    <t>M43366</t>
  </si>
  <si>
    <t>GN-0000-0195-C - 5 - RADOM ARKA CTP SANDVIC TRIM</t>
  </si>
  <si>
    <t>M43367</t>
  </si>
  <si>
    <t>GN-7743-0001-C - 10 - RADOM KOMPOZIT BANT3/BANT4 M</t>
  </si>
  <si>
    <t>M43368</t>
  </si>
  <si>
    <t>00043944 - 28 - RAMPA-HA-INSERT</t>
  </si>
  <si>
    <t>M43369</t>
  </si>
  <si>
    <t>M43370</t>
  </si>
  <si>
    <t>00225600-C - 52 - KOMPOZIT SABIT KANAT, LOM TRIM+M</t>
  </si>
  <si>
    <t>M43371</t>
  </si>
  <si>
    <t>M43372</t>
  </si>
  <si>
    <t>00191416-A - 9 - YAN KAPAK, MG KESIM</t>
  </si>
  <si>
    <t>M43373</t>
  </si>
  <si>
    <t>10117268-B - 1 - AVCI UST KAPAK LAY UP</t>
  </si>
  <si>
    <t>M43374</t>
  </si>
  <si>
    <t>M43375</t>
  </si>
  <si>
    <t>M43376</t>
  </si>
  <si>
    <t>00170835-A - 20 - YUVA KAPAGI, YS, P03 KESIM</t>
  </si>
  <si>
    <t>M43377</t>
  </si>
  <si>
    <t>M43378</t>
  </si>
  <si>
    <t>00043941-B - 1 - GOVDE,HA SERIM</t>
  </si>
  <si>
    <t>M43379</t>
  </si>
  <si>
    <t>M43380</t>
  </si>
  <si>
    <t>MN-7914-0023-D - 21 - ACAR RADOM MONTAJ</t>
  </si>
  <si>
    <t>M43381</t>
  </si>
  <si>
    <t>00181561-A - 50 - EKU INSERT CNC ISLEME</t>
  </si>
  <si>
    <t>M43382</t>
  </si>
  <si>
    <t>M43383</t>
  </si>
  <si>
    <t>M43384</t>
  </si>
  <si>
    <t>10117538-B - 1 - AVCI KORUYUCU UST KAPAK SERIM</t>
  </si>
  <si>
    <t>KALIBA YAPIŞTI YENİDEN YAPILACAK</t>
  </si>
  <si>
    <t>M43385</t>
  </si>
  <si>
    <t>M43386</t>
  </si>
  <si>
    <t>M43388</t>
  </si>
  <si>
    <t>M43389</t>
  </si>
  <si>
    <t>M43390</t>
  </si>
  <si>
    <t>M43391</t>
  </si>
  <si>
    <t>M43392</t>
  </si>
  <si>
    <t>M43393</t>
  </si>
  <si>
    <t>M43394</t>
  </si>
  <si>
    <t>SOM0007-AA - 2 - SOM KANAT_KIRIS KESIM</t>
  </si>
  <si>
    <t>M43395</t>
  </si>
  <si>
    <t>M43396</t>
  </si>
  <si>
    <t>M43397</t>
  </si>
  <si>
    <t>M43398</t>
  </si>
  <si>
    <t>M43399</t>
  </si>
  <si>
    <t>M43400</t>
  </si>
  <si>
    <t>M43401</t>
  </si>
  <si>
    <t>M43402</t>
  </si>
  <si>
    <t>M43403</t>
  </si>
  <si>
    <t>M43404</t>
  </si>
  <si>
    <t>M43405</t>
  </si>
  <si>
    <t>MN-7936-0017-E - 1 - RADOM SANDVIC CTP KABUK OMNI</t>
  </si>
  <si>
    <t>M43406</t>
  </si>
  <si>
    <t>M43407</t>
  </si>
  <si>
    <t>M43408</t>
  </si>
  <si>
    <t>MN-7936-0015-E - 2 - RADOM SANDVIC CTP KABUK OMNI</t>
  </si>
  <si>
    <t>M43409</t>
  </si>
  <si>
    <t>MN-0000-7658-A - 31 - RADOM KOMPOZIT DLA B4 ALT KE</t>
  </si>
  <si>
    <t>M43410</t>
  </si>
  <si>
    <t>MN-0000-7235-A - 31 - RADOM KOMPOZIT VBA B4 UST KE</t>
  </si>
  <si>
    <t>M43411</t>
  </si>
  <si>
    <t>TARİHİNDEN 2 HAFTA ÖNCE ÜRETİLMİŞ</t>
  </si>
  <si>
    <t>M43412</t>
  </si>
  <si>
    <t>M43413</t>
  </si>
  <si>
    <t>M43414</t>
  </si>
  <si>
    <t>M43415</t>
  </si>
  <si>
    <t>M43416</t>
  </si>
  <si>
    <t>M43417</t>
  </si>
  <si>
    <t>M43418</t>
  </si>
  <si>
    <t>MN-0000-7658-B - 1 - RADOM KOMPOZIT DLA B4 ALT SER</t>
  </si>
  <si>
    <t>M43419</t>
  </si>
  <si>
    <t>MN-0000-7235-B - 1 - RADOM KOMPOZIT VBA B4 UST SER</t>
  </si>
  <si>
    <t>M43420</t>
  </si>
  <si>
    <t>M43421</t>
  </si>
  <si>
    <t>M43422</t>
  </si>
  <si>
    <t>M43423</t>
  </si>
  <si>
    <t>M43424</t>
  </si>
  <si>
    <t>M43425</t>
  </si>
  <si>
    <t>M43426</t>
  </si>
  <si>
    <t>M43427</t>
  </si>
  <si>
    <t>M43428</t>
  </si>
  <si>
    <t>M43429</t>
  </si>
  <si>
    <t>M43430</t>
  </si>
  <si>
    <t>M43431</t>
  </si>
  <si>
    <t>M43432</t>
  </si>
  <si>
    <t>M43433</t>
  </si>
  <si>
    <t>M43434</t>
  </si>
  <si>
    <t>M43435</t>
  </si>
  <si>
    <t>M43436</t>
  </si>
  <si>
    <t>M43437</t>
  </si>
  <si>
    <t>M43438</t>
  </si>
  <si>
    <t>M43439</t>
  </si>
  <si>
    <t>M43440</t>
  </si>
  <si>
    <t>M43441</t>
  </si>
  <si>
    <t>M43442</t>
  </si>
  <si>
    <t>MN-0000-8039-B - 1 - RADOM KOMPOZIT IFFTA-PT5 SERI</t>
  </si>
  <si>
    <t>M43443</t>
  </si>
  <si>
    <t>M43445</t>
  </si>
  <si>
    <t>SOM0007-AA - 1 - SOM KANAT_KIRIS KESIM</t>
  </si>
  <si>
    <t>M43446</t>
  </si>
  <si>
    <t>M43448</t>
  </si>
  <si>
    <t>M43449</t>
  </si>
  <si>
    <t>M43450</t>
  </si>
  <si>
    <t>MN-7955-0013-KNM1 - 262 - EMICI SI PLAKA RF ALMAC</t>
  </si>
  <si>
    <t>M43451</t>
  </si>
  <si>
    <t>MN-7955-0012-KNM2 - 180 - EMICI SI PLAKA RF ALMAC</t>
  </si>
  <si>
    <t>M43452</t>
  </si>
  <si>
    <t>MN-7955-0012-KNM3 - 270 - EMICI SI PLAKA RF ALMAC</t>
  </si>
  <si>
    <t>M43453</t>
  </si>
  <si>
    <t>MN-7955-0013-KNM4 - 122 - EMICI SI PLAKA RF ALMAC</t>
  </si>
  <si>
    <t>M43454</t>
  </si>
  <si>
    <t>MN-7955-0013-KNM5 - 130 - EMICI SI PLAKA RF ALMAC</t>
  </si>
  <si>
    <t>M43455</t>
  </si>
  <si>
    <t>MN-0000-5134-C - 1 - RADOM ANTEN BIKONIK SLNT ET B</t>
  </si>
  <si>
    <t>M43456</t>
  </si>
  <si>
    <t>M43457</t>
  </si>
  <si>
    <t>M43458</t>
  </si>
  <si>
    <t>M43459</t>
  </si>
  <si>
    <t>00191853-B - 2 - YAN KAPAK, YS SERIM</t>
  </si>
  <si>
    <t>M43460</t>
  </si>
  <si>
    <t>M43461</t>
  </si>
  <si>
    <t>M43462</t>
  </si>
  <si>
    <t>M43463</t>
  </si>
  <si>
    <t>M43464</t>
  </si>
  <si>
    <t>M43465</t>
  </si>
  <si>
    <t>M43466</t>
  </si>
  <si>
    <t>SOM0008-A - 28 - SOM KANAT CAP KESIM</t>
  </si>
  <si>
    <t>M43467</t>
  </si>
  <si>
    <t>M43468</t>
  </si>
  <si>
    <t>M43469</t>
  </si>
  <si>
    <t>MN-0000-7235-A - 20 - RADOM KOMPOZIT VBA B4 UST KE</t>
  </si>
  <si>
    <t>M43470</t>
  </si>
  <si>
    <t>M43471</t>
  </si>
  <si>
    <t>MN-0000-8039-A - 5 - RADOM KOMPOZIT IFFTA-PT5 KESI</t>
  </si>
  <si>
    <t>M43472</t>
  </si>
  <si>
    <t>MN-0000-7658-A - 8 - RADOM KOMPOZIT DLA B4 ALT KES</t>
  </si>
  <si>
    <t>M43473</t>
  </si>
  <si>
    <t>M43474</t>
  </si>
  <si>
    <t>M43476</t>
  </si>
  <si>
    <t>M43477</t>
  </si>
  <si>
    <t>AB-0000-4700-B - 1 - TAKIM ANTEN BOYNUZ YUKSEK KAZ</t>
  </si>
  <si>
    <t>M43478</t>
  </si>
  <si>
    <t>M43479</t>
  </si>
  <si>
    <t>M43480</t>
  </si>
  <si>
    <t>Yapılacak İş</t>
  </si>
  <si>
    <t>ODAK Numarası</t>
  </si>
  <si>
    <t>Müşteri Numarası</t>
  </si>
  <si>
    <t>Klasör</t>
  </si>
  <si>
    <t>Referans İşlerin Klasör Numaraları</t>
  </si>
  <si>
    <t>Yapacak / Yapan Kişi</t>
  </si>
  <si>
    <t>Tasarım Termin Tarihi</t>
  </si>
  <si>
    <t>Proje Termin Tarihi</t>
  </si>
  <si>
    <t>Durumu</t>
  </si>
  <si>
    <t>MN-7955-0013 EMİCİ SI PLAKA(KÖPÜK)</t>
  </si>
  <si>
    <t>Mustafa Altay</t>
  </si>
  <si>
    <t>Devam Ediyor</t>
  </si>
  <si>
    <t>90/130 SET HAZIR MALZEME BEKLENİYOR</t>
  </si>
  <si>
    <t>Yan kapak MG trim fikstürü</t>
  </si>
  <si>
    <t>Ahmet Emin Gezer</t>
  </si>
  <si>
    <t>Tamamlandı</t>
  </si>
  <si>
    <t>Yan kapak YS trim fikstürü</t>
  </si>
  <si>
    <t>RAM kanat analiz</t>
  </si>
  <si>
    <t>Alt kapak MG trim fikstürü</t>
  </si>
  <si>
    <t>Yıldırım çubuğu fikstür</t>
  </si>
  <si>
    <t>Blade fikstür</t>
  </si>
  <si>
    <t>Sismik fiyat teklifi çalışma</t>
  </si>
  <si>
    <t>F104 formları</t>
  </si>
  <si>
    <t>Proje Ortak</t>
  </si>
  <si>
    <t>F115 konfigürasyon formları</t>
  </si>
  <si>
    <t>FMEA yapılması</t>
  </si>
  <si>
    <t>KANATCIK BOYA FIKSTUR</t>
  </si>
  <si>
    <t>Durum Renk Kodları:</t>
  </si>
  <si>
    <t>Beklemede</t>
  </si>
  <si>
    <t>Atanmadı</t>
  </si>
  <si>
    <t>İptal Edildi</t>
  </si>
  <si>
    <t>ÜRETİM TAKİP RAPORU</t>
  </si>
  <si>
    <t>21 Eylül – 31 Aralık 2026  •  Haftalık ve aylık üretim özeti</t>
  </si>
  <si>
    <t>1  GENEL ÖZET</t>
  </si>
  <si>
    <t>bugün itibarıyla</t>
  </si>
  <si>
    <t>TOPLAM İŞ EMRİ</t>
  </si>
  <si>
    <t>KAPANAN İŞ EMRİ</t>
  </si>
  <si>
    <t>TAMAMLANAN İŞ</t>
  </si>
  <si>
    <t>DEVAM EDEN</t>
  </si>
  <si>
    <t>BAŞLAMADI</t>
  </si>
  <si>
    <t>15+ GÜN GECİKEN</t>
  </si>
  <si>
    <t>2  İŞLER ŞU AN HANGİ AŞAMADA</t>
  </si>
  <si>
    <t>her iş emri en son girilen tarihin aşamasında sayılır</t>
  </si>
  <si>
    <t>Aşama</t>
  </si>
  <si>
    <t>İş Emri</t>
  </si>
  <si>
    <t>●  Başlamadı</t>
  </si>
  <si>
    <t>Başlamadı</t>
  </si>
  <si>
    <t>●  Tasarım</t>
  </si>
  <si>
    <t>●  Ply Cutter</t>
  </si>
  <si>
    <t>●  Üretim</t>
  </si>
  <si>
    <t>●  Talaşlı</t>
  </si>
  <si>
    <t>●  Montaj</t>
  </si>
  <si>
    <t>●  Boya</t>
  </si>
  <si>
    <t>●  Kalite</t>
  </si>
  <si>
    <t>Kalite</t>
  </si>
  <si>
    <t>●  Yarı Mamül</t>
  </si>
  <si>
    <t>●  KM</t>
  </si>
  <si>
    <t>●  Rework</t>
  </si>
  <si>
    <t>Rework</t>
  </si>
  <si>
    <t>●  Kapandı</t>
  </si>
  <si>
    <t>Kapandı</t>
  </si>
  <si>
    <t>●  Sevk Edildi</t>
  </si>
  <si>
    <t>Sevk Edildi</t>
  </si>
  <si>
    <t>Toplam</t>
  </si>
  <si>
    <t>3  BİRİM İŞ EMİRLERİ</t>
  </si>
  <si>
    <t>birim: sonraki aşamaya geçince kapanır · ana iş emri: sevkte kapanır</t>
  </si>
  <si>
    <t>Birim</t>
  </si>
  <si>
    <t>Açık</t>
  </si>
  <si>
    <t>Kapanan</t>
  </si>
  <si>
    <t>Nasıl okunur?
• Ana iş emri (sevk): her satır bir iş emridir; sevk tarihi girilene kadar AÇIK sayılır, sevk edilince o iş emri koduyla kapanır.
• Birimler (Üretim dahil): birimin tarihi girilince AÇIK olur; parça bir sonraki aşamaya geçince (sonraki bir tarih girilince) o birimin işi biter, KAPANIR.
• İş Emri Takip sayfasında hücrede "Açık 28.09" / "Kapandı 25.09" olarak görünür.</t>
  </si>
  <si>
    <t>Ana iş emri (sevk/kapanış)</t>
  </si>
  <si>
    <t>4  AŞAMALARDA GEÇEN SÜRE</t>
  </si>
  <si>
    <t>kırmızı = darboğaz (en uzun süren aşama)</t>
  </si>
  <si>
    <t>Tamamlanan
Geçiş</t>
  </si>
  <si>
    <t>Ort. Süre
(gün)</t>
  </si>
  <si>
    <t>Şu An
Bekleyen</t>
  </si>
  <si>
    <t>Ort. Bekleme
(gün)</t>
  </si>
  <si>
    <t>En Uzun
Bekleme</t>
  </si>
  <si>
    <t>Nasıl okunur?
• Tamamlanan Geçiş / Ort. Süre: aşamayı bitirip sonraki aşamaya geçmiş işlerin o aşamada ortalama kaç gün kaldığı.
• Şu An Bekleyen / Ort. Bekleme: hâlâ o aşamada olan işlerin kaç gündür beklediği.
• Kırmızı = en uzun süren aşama (darboğaz).</t>
  </si>
  <si>
    <t>5  REWORK NEDENLERİ</t>
  </si>
  <si>
    <t>nedeni Listeler sayfasından seçilir</t>
  </si>
  <si>
    <t>Neden</t>
  </si>
  <si>
    <t>6  HAFTALIK TREND</t>
  </si>
  <si>
    <t>dağıtılan iş emri, sevk edilen iş emri ve tamamlanan iş sayısı</t>
  </si>
  <si>
    <t>7  HAFTALIK VE AYLIK ÖZET</t>
  </si>
  <si>
    <t>her ayın sonunda ay toplamı · sarı satır = bu hafta</t>
  </si>
  <si>
    <t>DÖNEM</t>
  </si>
  <si>
    <t>DAĞITILAN</t>
  </si>
  <si>
    <t>SEVK EDİLEN</t>
  </si>
  <si>
    <t>REWORK (adet)</t>
  </si>
  <si>
    <t>DÖNEM SONU AÇIK</t>
  </si>
  <si>
    <t>İş</t>
  </si>
  <si>
    <t>Açılan</t>
  </si>
  <si>
    <t>Biten</t>
  </si>
  <si>
    <t>Dağıtılan</t>
  </si>
  <si>
    <t>Sevk Edilen</t>
  </si>
  <si>
    <t>Tamamlanan İş</t>
  </si>
  <si>
    <t>39. Hafta   ·   21.09–27.09</t>
  </si>
  <si>
    <t>21.09</t>
  </si>
  <si>
    <t>40. Hafta   ·   28.09–04.10</t>
  </si>
  <si>
    <t>28.09</t>
  </si>
  <si>
    <t>EYLÜL TOPLAMI</t>
  </si>
  <si>
    <t>05.10</t>
  </si>
  <si>
    <t>41. Hafta   ·   05.10–11.10</t>
  </si>
  <si>
    <t>12.10</t>
  </si>
  <si>
    <t>42. Hafta   ·   12.10–18.10</t>
  </si>
  <si>
    <t>19.10</t>
  </si>
  <si>
    <t>43. Hafta   ·   19.10–25.10</t>
  </si>
  <si>
    <t>26.10</t>
  </si>
  <si>
    <t>44. Hafta   ·   26.10–01.11</t>
  </si>
  <si>
    <t>02.11</t>
  </si>
  <si>
    <t>EKİM TOPLAMI</t>
  </si>
  <si>
    <t>09.11</t>
  </si>
  <si>
    <t>45. Hafta   ·   02.11–08.11</t>
  </si>
  <si>
    <t>16.11</t>
  </si>
  <si>
    <t>46. Hafta   ·   09.11–15.11</t>
  </si>
  <si>
    <t>23.11</t>
  </si>
  <si>
    <t>47. Hafta   ·   16.11–22.11</t>
  </si>
  <si>
    <t>30.11</t>
  </si>
  <si>
    <t>48. Hafta   ·   23.11–29.11</t>
  </si>
  <si>
    <t>07.12</t>
  </si>
  <si>
    <t>49. Hafta   ·   30.11–06.12</t>
  </si>
  <si>
    <t>14.12</t>
  </si>
  <si>
    <t>KASIM TOPLAMI</t>
  </si>
  <si>
    <t>21.12</t>
  </si>
  <si>
    <t>50. Hafta   ·   07.12–13.12</t>
  </si>
  <si>
    <t>28.12</t>
  </si>
  <si>
    <t>51. Hafta   ·   14.12–20.12</t>
  </si>
  <si>
    <t>52. Hafta   ·   21.12–27.12</t>
  </si>
  <si>
    <t>53. Hafta   ·   28.12–31.12</t>
  </si>
  <si>
    <t>ARALIK TOPLAMI</t>
  </si>
  <si>
    <t>GENEL TOPLAM   ·   21.09–31.12</t>
  </si>
  <si>
    <t>8  HAFTALIK BİRİM KAPANIŞLARI</t>
  </si>
  <si>
    <t>o dönemde sonraki aşamaya geçerek işi biten iş emri sayısı (Üretim dahil)</t>
  </si>
  <si>
    <t>Dönem</t>
  </si>
  <si>
    <t>TOPLAM</t>
  </si>
  <si>
    <t>39. Hafta   21.09–27.09</t>
  </si>
  <si>
    <t>40. Hafta   28.09–04.10</t>
  </si>
  <si>
    <t>41. Hafta   05.10–11.10</t>
  </si>
  <si>
    <t>42. Hafta   12.10–18.10</t>
  </si>
  <si>
    <t>43. Hafta   19.10–25.10</t>
  </si>
  <si>
    <t>44. Hafta   26.10–01.11</t>
  </si>
  <si>
    <t>45. Hafta   02.11–08.11</t>
  </si>
  <si>
    <t>46. Hafta   09.11–15.11</t>
  </si>
  <si>
    <t>47. Hafta   16.11–22.11</t>
  </si>
  <si>
    <t>48. Hafta   23.11–29.11</t>
  </si>
  <si>
    <t>49. Hafta   30.11–06.12</t>
  </si>
  <si>
    <t>50. Hafta   07.12–13.12</t>
  </si>
  <si>
    <t>51. Hafta   14.12–20.12</t>
  </si>
  <si>
    <t>52. Hafta   21.12–27.12</t>
  </si>
  <si>
    <t>53. Hafta   28.12–31.12</t>
  </si>
  <si>
    <t>GENEL TOPLAM</t>
  </si>
  <si>
    <t>Sarı satır = içinde bulunulan hafta. Gelecek haftalar tarihi gelince kendiliğinden dolar.</t>
  </si>
  <si>
    <t>Kapanan İş Emri = o dönemde KAPANIŞ tarihi girilen iş emirleri. Tamamlanan İş = o dönemde bir birimden (Üretim dahil) sonraki aşamaya geçen iş sayısı. Dönem Sonu Açık = o tarihe kadar dağıtılıp henüz sevk edilmemiş ve kapanmamış iş emri ile bitmemiş rework adedi.</t>
  </si>
  <si>
    <t>Bu sayfadaki tüm rakamlar İş Emri Takip sayfasından otomatik hesaplanır; bu sayfaya bir şey yazmanıza gerek yoktur.</t>
  </si>
  <si>
    <t>İŞ EMRİ SORGULA</t>
  </si>
  <si>
    <t>Sarı kutuya İş Emri No yazın veya listeden seçin; tüm bilgiler otomatik gelir.</t>
  </si>
  <si>
    <t>İŞ EMRİ NO  ▶</t>
  </si>
  <si>
    <t>Geçen Süre</t>
  </si>
  <si>
    <t>AŞAMA TARİHLERİ</t>
  </si>
  <si>
    <t>Kalite (Üretim sonrası)</t>
  </si>
  <si>
    <t>Kalite (Talaşlı sonrası)</t>
  </si>
  <si>
    <t>Kalite (Montaj sonrası)</t>
  </si>
  <si>
    <t>Kalite (Boya sonrası)</t>
  </si>
  <si>
    <t>Kapanış (iş bitti)</t>
  </si>
  <si>
    <t>Rework Adedi</t>
  </si>
  <si>
    <t>Rework Nedeni</t>
  </si>
  <si>
    <t>Açılış Tarihi</t>
  </si>
  <si>
    <t>Bitiş Tarihi</t>
  </si>
  <si>
    <t>Açıklama</t>
  </si>
  <si>
    <t>NOTLAR</t>
  </si>
  <si>
    <t>LİSTELER</t>
  </si>
  <si>
    <t>Rework Nedenleri</t>
  </si>
  <si>
    <t>Nasıl kullanılır</t>
  </si>
  <si>
    <t>Ölçü hatası</t>
  </si>
  <si>
    <t>• Bu listedeki nedenler İş Emri Takip sayfasındaki "Rework Nedeni" açılır listesinde görünür.</t>
  </si>
  <si>
    <t>Yüzey hatası (çizik, ezik, pürüz)</t>
  </si>
  <si>
    <t>• Yeni neden eklemek için listenin altındaki ilk boş satıra yazmanız yeterli.</t>
  </si>
  <si>
    <t>Boya hatası</t>
  </si>
  <si>
    <t>• Bir nedenin adını değiştirirseniz, eski kayıtlardaki yazıyı da aynı şekilde güncelleyin.</t>
  </si>
  <si>
    <t>Delaminasyon / hava boşluğu</t>
  </si>
  <si>
    <t>• Raporda nedenlere göre dağılım bu listenin sırasıyla gösterilir (ilk 12 neden).</t>
  </si>
  <si>
    <t>Talaşlı işleme hatası</t>
  </si>
  <si>
    <t>Montaj hatası</t>
  </si>
  <si>
    <t>Malzeme hatası</t>
  </si>
  <si>
    <t>Müşteri iadesi</t>
  </si>
  <si>
    <t>Diğer</t>
  </si>
  <si>
    <t>NASIL KULLANILIR</t>
  </si>
  <si>
    <t>İŞ EMRİ TAKİP SAYFASI</t>
  </si>
  <si>
    <t>• Yeni iş emrini ilk boş satıra yazın: İş Emri No, Parça / İş Adı, Sorumlu Kişi, İş Emri Tarihi. NO ve Adet otomatik dolar (Adet, parça adındaki "KOD - ADET - AD" kısmından alınır).</t>
  </si>
  <si>
    <t>• KAPANIŞ: İş dışarıya sevk edilmeden içeride bittiyse (ör. montaj işi kalitede bitti) KAPANIŞ sütununa tarih girin. Son aşama "Kapandı" olur, Güncel Durum "Kapandı – Kalite (Montaj sonrası)" gibi işin nerede bittiğini yazar.</t>
  </si>
  <si>
    <t>• Her satır bir iş emridir ve sevk edilince o iş emri koduyla tamamen kapanır. Birimler (Üretim, Talaşlı, Montaj, Boya, Ply Cutter, Kalite, Yarı Mamül, KM) parça bir sonraki aşamaya geçince otomatik kapanır. Hücrede "Açık 28.09" veya "Kapandı 25.09" yazar.</t>
  </si>
  <si>
    <t>• Parça bir aşamaya girdiğinde o aşamanın sütununa tarihi yazın. Sıra önemli değil; en son yazılan tarih Güncel Durum olur ve o aşamanın rengini alır.</t>
  </si>
  <si>
    <t>• Kalite: Parça hangi aşamadan sonra kaliteye girdiyse, o aşamanın hemen sağındaki mor KALİTE sütununa tarihi yazın.</t>
  </si>
  <si>
    <t>• Rework: Rework çıkınca adedini, nedenini (açılır listeden), açıklamasını ve açılış tarihini yazın (durum 'Reworkte' olur). Rework bitince bitiş tarihini yazın.</t>
  </si>
  <si>
    <t>• Yeni rework nedeni eklemek için Listeler sayfasındaki listenin altına yazın; açılır listeye ve rapora kendiliğinden gelir.</t>
  </si>
  <si>
    <t>• Sevk tarihi girilince durum "Sevk Edildi" olur ve Geçen Süre sabitlenir. 15 günü geçen, sevk edilmemiş işler kırmızı görünür.</t>
  </si>
  <si>
    <t>DİKKAT EDİLECEKLER</t>
  </si>
  <si>
    <t>• Tarihleri 26.09.2026 şeklinde yazın. Başka yerden kopyalanan tarih metin olarak gelirse hücre KIRMIZI yanar; tarihi elle yeniden yazın.</t>
  </si>
  <si>
    <t>• Aynı İş Emri No iki kez girilirse KIRMIZI yanar. İş Emri Tarihi boş bırakılırsa pembe görünür (haftalık rapora giremez).</t>
  </si>
  <si>
    <t>• Satırları silmek / araya satır eklemek / sıralamak / filtrelemek serbesttir; rapor bozulmaz. Sistem 998 iş emrine kadar çalışır.</t>
  </si>
  <si>
    <t>• Güncel Durum, Geçen Süre, NO ve Adet sütunlarındaki formülleri silmeyin. Kopyalarken tüm satırı kopyalayın.</t>
  </si>
  <si>
    <t>HAFTALIK RAPOR SAYFASI</t>
  </si>
  <si>
    <t>• Tamamen otomatiktir, hiçbir şey yazmanıza gerek yok. En üstteki "Veri Kontrolü" satırı yeşilse tüm veriler doğru sayılıyor demektir.</t>
  </si>
  <si>
    <t>• "Aşamalarda Geçen Süre" tablosu her aşamada ortalama kaç gün geçtiğini gösterir; kırmızı olan aşama darboğazdır.</t>
  </si>
  <si>
    <t>İŞ EMRİ SORGULA SAYFASI</t>
  </si>
  <si>
    <t>• Sarı kutuya İş Emri No yazın ya da açılır listeden seçin. Parçanın tüm bilgileri, aşama tarihleri, rework ve notları tek ekranda görünür.</t>
  </si>
  <si>
    <t>• Bu sayfa sadece gösterir; bir şeyi değiştirmek için İş Emri Takip sayfasında düzeltin.</t>
  </si>
  <si>
    <t>M43481</t>
  </si>
  <si>
    <t>SOM0008-B - 1 - SOM SAG KANAT CAP LAY UP</t>
  </si>
  <si>
    <t>M43482</t>
  </si>
  <si>
    <t>SOM0009-B - 1 - SOM SOL KANAT CAP LAY-UP</t>
  </si>
  <si>
    <t>M43483</t>
  </si>
  <si>
    <t>M43484</t>
  </si>
  <si>
    <t>M43485</t>
  </si>
  <si>
    <t>M43486</t>
  </si>
  <si>
    <t>M43487</t>
  </si>
  <si>
    <t>M43488</t>
  </si>
  <si>
    <t>M43489</t>
  </si>
  <si>
    <t>M43490</t>
  </si>
  <si>
    <t>MN-0000-7232-B - 5 - RADOM KOMPOZIT VBA B3 ALT SER</t>
  </si>
  <si>
    <t>M43491</t>
  </si>
  <si>
    <t>MN-0000-8039-A - 9 - RADOM KOMPOZIT IFFTA-PT5 KESI</t>
  </si>
  <si>
    <t>M43492</t>
  </si>
  <si>
    <t>M43493</t>
  </si>
  <si>
    <t>MN-0000-7232-A - 5 - RADOM KOMPOZIT VBA B3 ALT KES</t>
  </si>
  <si>
    <t>M43494</t>
  </si>
  <si>
    <t>SOM0001-A - 25 - SOM-KANATCIK ARTI EKSI KESIM</t>
  </si>
  <si>
    <t>M43495</t>
  </si>
  <si>
    <t>M43496</t>
  </si>
  <si>
    <t>M43497</t>
  </si>
  <si>
    <t>M43498</t>
  </si>
  <si>
    <t>M43499</t>
  </si>
  <si>
    <t>M43500</t>
  </si>
  <si>
    <t>M43501</t>
  </si>
  <si>
    <t>M43502</t>
  </si>
  <si>
    <t>M43503</t>
  </si>
  <si>
    <t>M43504</t>
  </si>
  <si>
    <t>M43505</t>
  </si>
  <si>
    <t>M43506</t>
  </si>
  <si>
    <t>M43507</t>
  </si>
  <si>
    <t>M43508</t>
  </si>
  <si>
    <t>00170835-B - 2 - YUVA KAPAGI, YS, P03 SERM</t>
  </si>
  <si>
    <t>M43509</t>
  </si>
  <si>
    <t>M43510</t>
  </si>
  <si>
    <t>GN-7936-0004-C - 8 - RADOM CTP ANTEN KAL TRIM</t>
  </si>
  <si>
    <t>M43511</t>
  </si>
  <si>
    <t>M43512</t>
  </si>
  <si>
    <t>M43513</t>
  </si>
  <si>
    <t>M43514</t>
  </si>
  <si>
    <t>M43515</t>
  </si>
  <si>
    <t>GN-7605-0001-D - 1 - RADOM KOMPOZIT BD ANTEN MONTA</t>
  </si>
  <si>
    <t>M43516</t>
  </si>
  <si>
    <t>M43517</t>
  </si>
  <si>
    <t>M43518</t>
  </si>
  <si>
    <t>M43519</t>
  </si>
  <si>
    <t>MN-0000-3297-D - 2 - RADOM KOMPOZIT ANT. YASSI ALT</t>
  </si>
  <si>
    <t xml:space="preserve">TRİM BEKLİYOR </t>
  </si>
  <si>
    <t>İNSERT YOK</t>
  </si>
  <si>
    <t>TALAŞLIDA BEKLİYOR</t>
  </si>
  <si>
    <t>MONTAJ BEKLİYOR</t>
  </si>
  <si>
    <t>M43521</t>
  </si>
  <si>
    <t>M43522</t>
  </si>
  <si>
    <t>M43525</t>
  </si>
  <si>
    <t>M43526</t>
  </si>
  <si>
    <t>M43527</t>
  </si>
  <si>
    <t>M43530</t>
  </si>
  <si>
    <t>M43531</t>
  </si>
  <si>
    <t>M43532</t>
  </si>
  <si>
    <t>M43533</t>
  </si>
  <si>
    <t>M43534</t>
  </si>
  <si>
    <t>M43535</t>
  </si>
  <si>
    <t>M43536</t>
  </si>
  <si>
    <t>M43537</t>
  </si>
  <si>
    <t>M43538</t>
  </si>
  <si>
    <t>M43539</t>
  </si>
  <si>
    <t>SOM0001-A - 18 - SOM-KANATCIK ARTI EKSI KESIM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</si>
</sst>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.mm\.yyyy"/>
    <numFmt numFmtId="165" formatCode="0;\-0;&quot;–&quot;"/>
    <numFmt numFmtId="166" formatCode="0;\-0;;"/>
    <numFmt numFmtId="167" formatCode="0.0"/>
    <numFmt numFmtId="168" formatCode="0;\-0;&quot;·&quot;"/>
    <numFmt numFmtId="169" formatCode="yyyy\-mm\-dd\ h:mm:ss"/>
    <numFmt numFmtId="170" formatCode="0&quot; gün&quot;"/>
  </numFmts>
  <fonts count="76" x14ac:knownFonts="1">
    <font>
      <sz val="11"/>
      <color theme="1"/>
      <name val="Calibri"/>
      <family val="2"/>
      <charset val="1"/>
    </font>
    <font>
      <b/>
      <i/>
      <sz val="10"/>
      <name val="Calibri"/>
      <family val="2"/>
      <charset val="162"/>
    </font>
    <font>
      <i/>
      <sz val="10"/>
      <name val="Calibri"/>
      <family val="2"/>
      <charset val="162"/>
    </font>
    <font>
      <sz val="11"/>
      <name val="Calibri"/>
      <family val="2"/>
      <charset val="162"/>
    </font>
    <font>
      <b/>
      <sz val="13"/>
      <color rgb="FFFFFFFF"/>
      <name val="Calibri"/>
      <family val="2"/>
      <charset val="162"/>
    </font>
    <font>
      <sz val="10"/>
      <name val="Arial"/>
      <family val="2"/>
      <charset val="162"/>
    </font>
    <font>
      <sz val="10"/>
      <name val="Arial"/>
      <charset val="162"/>
    </font>
    <font>
      <sz val="10"/>
      <color rgb="FF262626"/>
      <name val="Calibri"/>
    </font>
    <font>
      <b/>
      <sz val="10"/>
      <name val="Calibri"/>
    </font>
    <font>
      <b/>
      <sz val="11"/>
      <color rgb="FFFFFFFF"/>
      <name val="Calibri"/>
    </font>
    <font>
      <b/>
      <sz val="9"/>
      <color rgb="FF7F7F7F"/>
      <name val="Calibri"/>
    </font>
    <font>
      <b/>
      <sz val="14"/>
      <color rgb="FF1F4E78"/>
      <name val="Calibri"/>
    </font>
    <font>
      <b/>
      <sz val="10"/>
      <color rgb="FF595959"/>
      <name val="Calibri"/>
    </font>
    <font>
      <sz val="10"/>
      <name val="Calibri"/>
    </font>
    <font>
      <sz val="10"/>
      <color rgb="FF595959"/>
      <name val="Calibri"/>
    </font>
    <font>
      <b/>
      <sz val="20"/>
      <color rgb="FFFFFFFF"/>
      <name val="Calibri"/>
    </font>
    <font>
      <sz val="10"/>
      <color rgb="FFBDD7EE"/>
      <name val="Calibri"/>
    </font>
    <font>
      <b/>
      <sz val="13"/>
      <color rgb="FF1F4E78"/>
      <name val="Calibri"/>
    </font>
    <font>
      <i/>
      <sz val="9"/>
      <color rgb="FF7F7F7F"/>
      <name val="Calibri"/>
    </font>
    <font>
      <b/>
      <sz val="26"/>
      <color rgb="FF404040"/>
      <name val="Calibri"/>
    </font>
    <font>
      <sz val="9"/>
      <color rgb="FF7F7F7F"/>
      <name val="Calibri"/>
    </font>
    <font>
      <b/>
      <sz val="26"/>
      <color rgb="FF1F4E78"/>
      <name val="Calibri"/>
    </font>
    <font>
      <b/>
      <sz val="26"/>
      <color rgb="FF2E7D32"/>
      <name val="Calibri"/>
    </font>
    <font>
      <b/>
      <sz val="26"/>
      <color rgb="FFBF8F00"/>
      <name val="Calibri"/>
    </font>
    <font>
      <b/>
      <sz val="26"/>
      <color rgb="FF595959"/>
      <name val="Calibri"/>
    </font>
    <font>
      <b/>
      <sz val="26"/>
      <color rgb="FFC00000"/>
      <name val="Calibri"/>
    </font>
    <font>
      <b/>
      <sz val="10"/>
      <color rgb="FF262626"/>
      <name val="Calibri"/>
    </font>
    <font>
      <b/>
      <sz val="10"/>
      <color rgb="FF808080"/>
      <name val="Calibri"/>
    </font>
    <font>
      <b/>
      <sz val="11"/>
      <color rgb="FF262626"/>
      <name val="Calibri"/>
    </font>
    <font>
      <sz val="10"/>
      <color rgb="FF7F7F7F"/>
      <name val="Calibri"/>
    </font>
    <font>
      <b/>
      <sz val="10"/>
      <color rgb="FF2E75B6"/>
      <name val="Calibri"/>
    </font>
    <font>
      <b/>
      <sz val="10"/>
      <color rgb="FF44546A"/>
      <name val="Calibri"/>
    </font>
    <font>
      <b/>
      <sz val="10"/>
      <color rgb="FFBF8F00"/>
      <name val="Calibri"/>
    </font>
    <font>
      <b/>
      <sz val="10"/>
      <color rgb="FFED7D31"/>
      <name val="Calibri"/>
    </font>
    <font>
      <b/>
      <sz val="10"/>
      <color rgb="FF548235"/>
      <name val="Calibri"/>
    </font>
    <font>
      <b/>
      <sz val="10"/>
      <color rgb="FFC00000"/>
      <name val="Calibri"/>
    </font>
    <font>
      <b/>
      <sz val="10"/>
      <color rgb="FF7030A0"/>
      <name val="Calibri"/>
    </font>
    <font>
      <b/>
      <sz val="10"/>
      <color rgb="FF0E7C86"/>
      <name val="Calibri"/>
    </font>
    <font>
      <b/>
      <sz val="10"/>
      <color rgb="FF833C0B"/>
      <name val="Calibri"/>
    </font>
    <font>
      <b/>
      <sz val="10"/>
      <color rgb="FFC71585"/>
      <name val="Calibri"/>
    </font>
    <font>
      <b/>
      <sz val="10"/>
      <color rgb="FF2E7D32"/>
      <name val="Calibri"/>
    </font>
    <font>
      <b/>
      <sz val="10"/>
      <color rgb="FF1F4E78"/>
      <name val="Calibri"/>
    </font>
    <font>
      <b/>
      <sz val="11"/>
      <color rgb="FF1F4E78"/>
      <name val="Calibri"/>
    </font>
    <font>
      <b/>
      <sz val="11"/>
      <color rgb="FF2E75B6"/>
      <name val="Calibri"/>
    </font>
    <font>
      <b/>
      <sz val="11"/>
      <color rgb="FF44546A"/>
      <name val="Calibri"/>
    </font>
    <font>
      <b/>
      <sz val="11"/>
      <color rgb="FFBF8F00"/>
      <name val="Calibri"/>
    </font>
    <font>
      <b/>
      <sz val="11"/>
      <color rgb="FFED7D31"/>
      <name val="Calibri"/>
    </font>
    <font>
      <b/>
      <sz val="11"/>
      <color rgb="FF548235"/>
      <name val="Calibri"/>
    </font>
    <font>
      <b/>
      <sz val="11"/>
      <color rgb="FFC00000"/>
      <name val="Calibri"/>
    </font>
    <font>
      <b/>
      <sz val="11"/>
      <color rgb="FF7030A0"/>
      <name val="Calibri"/>
    </font>
    <font>
      <b/>
      <sz val="11"/>
      <color rgb="FF0E7C86"/>
      <name val="Calibri"/>
    </font>
    <font>
      <b/>
      <sz val="11"/>
      <color rgb="FF833C0B"/>
      <name val="Calibri"/>
    </font>
    <font>
      <sz val="9"/>
      <color rgb="FF595959"/>
      <name val="Calibri"/>
    </font>
    <font>
      <sz val="10"/>
      <color rgb="FFC71585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595959"/>
      <name val="Calibri"/>
    </font>
    <font>
      <b/>
      <sz val="9"/>
      <color rgb="FF1F4E78"/>
      <name val="Calibri"/>
    </font>
    <font>
      <b/>
      <sz val="9"/>
      <color rgb="FF1B5E20"/>
      <name val="Calibri"/>
    </font>
    <font>
      <b/>
      <sz val="9"/>
      <color rgb="FF2E7D32"/>
      <name val="Calibri"/>
    </font>
    <font>
      <b/>
      <sz val="9"/>
      <color rgb="FFC71585"/>
      <name val="Calibri"/>
    </font>
    <font>
      <b/>
      <sz val="9"/>
      <color rgb="FFBF8F00"/>
      <name val="Calibri"/>
    </font>
    <font>
      <b/>
      <sz val="12"/>
      <color rgb="FF1F4E78"/>
      <name val="Calibri"/>
    </font>
    <font>
      <b/>
      <sz val="16"/>
      <name val="Calibri"/>
    </font>
    <font>
      <b/>
      <sz val="11"/>
      <color rgb="FF9C0006"/>
      <name val="Calibri"/>
    </font>
    <font>
      <b/>
      <sz val="10"/>
      <color rgb="FF7F7F7F"/>
      <name val="Calibri"/>
    </font>
    <font>
      <b/>
      <sz val="16"/>
      <color rgb="FFFFFFFF"/>
      <name val="Calibri"/>
    </font>
    <font>
      <b/>
      <sz val="11"/>
      <color rgb="FFC71585"/>
      <name val="Calibri"/>
    </font>
    <font>
      <b/>
      <sz val="11"/>
      <color rgb="FF404040"/>
      <name val="Calibri"/>
    </font>
    <font>
      <sz val="10"/>
      <name val="Calibri"/>
      <family val="2"/>
      <charset val="162"/>
    </font>
    <font>
      <sz val="8"/>
      <name val="Arial"/>
      <family val="2"/>
      <charset val="162"/>
    </font>
    <font>
      <sz val="8"/>
      <color theme="1"/>
      <name val="Arial"/>
      <family val="2"/>
      <charset val="162"/>
    </font>
    <font>
      <sz val="10"/>
      <color rgb="FF262626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CE6F1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D7DA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04040"/>
      </patternFill>
    </fill>
    <fill>
      <patternFill patternType="solid">
        <fgColor rgb="FF1F4E78"/>
      </patternFill>
    </fill>
    <fill>
      <patternFill patternType="solid">
        <fgColor rgb="FFC71585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44546A"/>
      </patternFill>
    </fill>
    <fill>
      <patternFill patternType="solid">
        <fgColor rgb="FFBF8F00"/>
      </patternFill>
    </fill>
    <fill>
      <patternFill patternType="solid">
        <fgColor rgb="FF7030A0"/>
      </patternFill>
    </fill>
    <fill>
      <patternFill patternType="solid">
        <fgColor rgb="FFED7D31"/>
      </patternFill>
    </fill>
    <fill>
      <patternFill patternType="solid">
        <fgColor rgb="FF548235"/>
      </patternFill>
    </fill>
    <fill>
      <patternFill patternType="solid">
        <fgColor rgb="FFC00000"/>
      </patternFill>
    </fill>
    <fill>
      <patternFill patternType="solid">
        <fgColor rgb="FF0E7C86"/>
      </patternFill>
    </fill>
    <fill>
      <patternFill patternType="solid">
        <fgColor rgb="FF833C0B"/>
      </patternFill>
    </fill>
    <fill>
      <patternFill patternType="solid">
        <fgColor rgb="FF2E7D32"/>
      </patternFill>
    </fill>
    <fill>
      <patternFill patternType="solid">
        <fgColor rgb="FFF7F9FC"/>
      </patternFill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374151"/>
      </patternFill>
    </fill>
    <fill>
      <patternFill patternType="solid">
        <fgColor rgb="FF595959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1B5E20"/>
      </patternFill>
    </fill>
    <fill>
      <patternFill patternType="solid">
        <fgColor rgb="FFD7ECD9"/>
      </patternFill>
    </fill>
    <fill>
      <patternFill patternType="solid">
        <fgColor rgb="FFE2F0D9"/>
      </patternFill>
    </fill>
    <fill>
      <patternFill patternType="solid">
        <fgColor rgb="FFFBE0E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AF2FB"/>
      </patternFill>
    </fill>
    <fill>
      <patternFill patternType="solid">
        <fgColor rgb="FFBFBFBF"/>
      </patternFill>
    </fill>
    <fill>
      <patternFill patternType="solid">
        <fgColor theme="6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E3E6EA"/>
      </bottom>
      <diagonal/>
    </border>
    <border>
      <left/>
      <right/>
      <top/>
      <bottom style="medium">
        <color rgb="FF1F4E78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595959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5E7EB"/>
      </bottom>
      <diagonal/>
    </border>
    <border>
      <left style="thin">
        <color rgb="FFCBD5E1"/>
      </left>
      <right/>
      <top/>
      <bottom style="thin">
        <color rgb="FFE5E7EB"/>
      </bottom>
      <diagonal/>
    </border>
    <border>
      <left/>
      <right/>
      <top style="medium">
        <color rgb="FF1F4E78"/>
      </top>
      <bottom style="thin">
        <color rgb="FF9DC3E6"/>
      </bottom>
      <diagonal/>
    </border>
    <border>
      <left style="thin">
        <color rgb="FFCBD5E1"/>
      </left>
      <right/>
      <top style="medium">
        <color rgb="FF1F4E78"/>
      </top>
      <bottom style="thin">
        <color rgb="FF9DC3E6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E3E6EA"/>
      </left>
      <right style="thin">
        <color rgb="FFE3E6EA"/>
      </right>
      <top/>
      <bottom style="thin">
        <color rgb="FF2E75B6"/>
      </bottom>
      <diagonal/>
    </border>
    <border>
      <left style="thin">
        <color rgb="FFE3E6EA"/>
      </left>
      <right style="thin">
        <color rgb="FFE3E6EA"/>
      </right>
      <top/>
      <bottom style="thin">
        <color rgb="FF44546A"/>
      </bottom>
      <diagonal/>
    </border>
    <border>
      <left style="thin">
        <color rgb="FFE3E6EA"/>
      </left>
      <right style="thin">
        <color rgb="FFE3E6EA"/>
      </right>
      <top/>
      <bottom style="thin">
        <color rgb="FFBF8F00"/>
      </bottom>
      <diagonal/>
    </border>
    <border>
      <left style="thin">
        <color rgb="FFE3E6EA"/>
      </left>
      <right style="thin">
        <color rgb="FFE3E6EA"/>
      </right>
      <top/>
      <bottom style="thin">
        <color rgb="FF7030A0"/>
      </bottom>
      <diagonal/>
    </border>
    <border>
      <left style="thin">
        <color rgb="FFE3E6EA"/>
      </left>
      <right style="thin">
        <color rgb="FFE3E6EA"/>
      </right>
      <top/>
      <bottom style="thin">
        <color rgb="FFED7D31"/>
      </bottom>
      <diagonal/>
    </border>
    <border>
      <left style="thin">
        <color rgb="FFE3E6EA"/>
      </left>
      <right style="thin">
        <color rgb="FFE3E6EA"/>
      </right>
      <top/>
      <bottom style="thin">
        <color rgb="FF548235"/>
      </bottom>
      <diagonal/>
    </border>
    <border>
      <left style="thin">
        <color rgb="FFE3E6EA"/>
      </left>
      <right style="thin">
        <color rgb="FFE3E6EA"/>
      </right>
      <top/>
      <bottom style="thin">
        <color rgb="FFC00000"/>
      </bottom>
      <diagonal/>
    </border>
    <border>
      <left style="thin">
        <color rgb="FFE3E6EA"/>
      </left>
      <right style="thin">
        <color rgb="FFE3E6EA"/>
      </right>
      <top/>
      <bottom style="thin">
        <color rgb="FF0E7C86"/>
      </bottom>
      <diagonal/>
    </border>
    <border>
      <left style="thin">
        <color rgb="FFE3E6EA"/>
      </left>
      <right style="thin">
        <color rgb="FFE3E6EA"/>
      </right>
      <top/>
      <bottom style="thin">
        <color rgb="FF833C0B"/>
      </bottom>
      <diagonal/>
    </border>
    <border>
      <left style="thin">
        <color rgb="FFE3E6EA"/>
      </left>
      <right style="thin">
        <color rgb="FFE3E6EA"/>
      </right>
      <top/>
      <bottom style="thin">
        <color rgb="FF1F4E78"/>
      </bottom>
      <diagonal/>
    </border>
    <border>
      <left style="thin">
        <color rgb="FFE3E6EA"/>
      </left>
      <right style="thin">
        <color rgb="FFE3E6EA"/>
      </right>
      <top/>
      <bottom style="thin">
        <color rgb="FF2E7D32"/>
      </bottom>
      <diagonal/>
    </border>
    <border>
      <left/>
      <right/>
      <top/>
      <bottom style="medium">
        <color rgb="FFC71585"/>
      </bottom>
      <diagonal/>
    </border>
    <border>
      <left/>
      <right/>
      <top/>
      <bottom style="medium">
        <color rgb="FF404040"/>
      </bottom>
      <diagonal/>
    </border>
    <border>
      <left/>
      <right style="medium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3E6EA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595959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BF8F00"/>
      </left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/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25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2" fillId="3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4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64" fontId="0" fillId="0" borderId="0" xfId="0" applyNumberFormat="1"/>
    <xf numFmtId="0" fontId="0" fillId="13" borderId="0" xfId="0" applyFill="1"/>
    <xf numFmtId="0" fontId="15" fillId="13" borderId="0" xfId="0" applyFont="1" applyFill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0" fillId="0" borderId="20" xfId="0" applyBorder="1"/>
    <xf numFmtId="0" fontId="0" fillId="12" borderId="21" xfId="0" applyFill="1" applyBorder="1"/>
    <xf numFmtId="0" fontId="10" fillId="26" borderId="21" xfId="0" applyFont="1" applyFill="1" applyBorder="1" applyAlignment="1">
      <alignment horizontal="center" vertical="center"/>
    </xf>
    <xf numFmtId="1" fontId="19" fillId="26" borderId="21" xfId="0" applyNumberFormat="1" applyFont="1" applyFill="1" applyBorder="1" applyAlignment="1">
      <alignment horizontal="center" vertical="center"/>
    </xf>
    <xf numFmtId="0" fontId="20" fillId="26" borderId="21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5" fontId="28" fillId="0" borderId="19" xfId="0" applyNumberFormat="1" applyFont="1" applyBorder="1" applyAlignment="1">
      <alignment horizontal="center" vertical="center"/>
    </xf>
    <xf numFmtId="165" fontId="29" fillId="0" borderId="19" xfId="0" applyNumberFormat="1" applyFont="1" applyBorder="1" applyAlignment="1">
      <alignment horizontal="center" vertical="center"/>
    </xf>
    <xf numFmtId="166" fontId="0" fillId="0" borderId="0" xfId="0" applyNumberFormat="1"/>
    <xf numFmtId="1" fontId="28" fillId="0" borderId="23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65" fontId="42" fillId="0" borderId="19" xfId="0" applyNumberFormat="1" applyFont="1" applyBorder="1" applyAlignment="1">
      <alignment horizontal="center" vertical="center"/>
    </xf>
    <xf numFmtId="165" fontId="43" fillId="0" borderId="19" xfId="0" applyNumberFormat="1" applyFont="1" applyBorder="1" applyAlignment="1">
      <alignment horizontal="center" vertical="center"/>
    </xf>
    <xf numFmtId="165" fontId="44" fillId="0" borderId="19" xfId="0" applyNumberFormat="1" applyFont="1" applyBorder="1" applyAlignment="1">
      <alignment horizontal="center" vertical="center"/>
    </xf>
    <xf numFmtId="165" fontId="45" fillId="0" borderId="19" xfId="0" applyNumberFormat="1" applyFont="1" applyBorder="1" applyAlignment="1">
      <alignment horizontal="center" vertical="center"/>
    </xf>
    <xf numFmtId="165" fontId="46" fillId="0" borderId="19" xfId="0" applyNumberFormat="1" applyFont="1" applyBorder="1" applyAlignment="1">
      <alignment horizontal="center" vertical="center"/>
    </xf>
    <xf numFmtId="165" fontId="47" fillId="0" borderId="19" xfId="0" applyNumberFormat="1" applyFont="1" applyBorder="1" applyAlignment="1">
      <alignment horizontal="center" vertical="center"/>
    </xf>
    <xf numFmtId="165" fontId="48" fillId="0" borderId="19" xfId="0" applyNumberFormat="1" applyFont="1" applyBorder="1" applyAlignment="1">
      <alignment horizontal="center" vertical="center"/>
    </xf>
    <xf numFmtId="165" fontId="49" fillId="0" borderId="19" xfId="0" applyNumberFormat="1" applyFont="1" applyBorder="1" applyAlignment="1">
      <alignment horizontal="center" vertical="center"/>
    </xf>
    <xf numFmtId="165" fontId="50" fillId="0" borderId="19" xfId="0" applyNumberFormat="1" applyFont="1" applyBorder="1" applyAlignment="1">
      <alignment horizontal="center" vertical="center"/>
    </xf>
    <xf numFmtId="165" fontId="51" fillId="0" borderId="19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167" fontId="28" fillId="0" borderId="19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165" fontId="53" fillId="0" borderId="19" xfId="0" applyNumberFormat="1" applyFont="1" applyBorder="1" applyAlignment="1">
      <alignment horizontal="center" vertical="center"/>
    </xf>
    <xf numFmtId="1" fontId="39" fillId="0" borderId="23" xfId="0" applyNumberFormat="1" applyFont="1" applyBorder="1" applyAlignment="1">
      <alignment horizontal="center" vertical="center"/>
    </xf>
    <xf numFmtId="0" fontId="55" fillId="33" borderId="24" xfId="0" applyFont="1" applyFill="1" applyBorder="1" applyAlignment="1">
      <alignment horizontal="center" vertical="center" wrapText="1"/>
    </xf>
    <xf numFmtId="0" fontId="55" fillId="25" borderId="24" xfId="0" applyFont="1" applyFill="1" applyBorder="1" applyAlignment="1">
      <alignment horizontal="center" vertical="center" wrapText="1"/>
    </xf>
    <xf numFmtId="0" fontId="55" fillId="18" borderId="24" xfId="0" applyFont="1" applyFill="1" applyBorder="1" applyAlignment="1">
      <alignment horizontal="center" vertical="center" wrapText="1"/>
    </xf>
    <xf numFmtId="0" fontId="56" fillId="31" borderId="24" xfId="0" applyFont="1" applyFill="1" applyBorder="1" applyAlignment="1">
      <alignment horizontal="center" vertical="center"/>
    </xf>
    <xf numFmtId="0" fontId="57" fillId="32" borderId="24" xfId="0" applyFont="1" applyFill="1" applyBorder="1" applyAlignment="1">
      <alignment horizontal="center" vertical="center"/>
    </xf>
    <xf numFmtId="0" fontId="58" fillId="34" borderId="24" xfId="0" applyFont="1" applyFill="1" applyBorder="1" applyAlignment="1">
      <alignment horizontal="center" vertical="center"/>
    </xf>
    <xf numFmtId="0" fontId="59" fillId="35" borderId="24" xfId="0" applyFont="1" applyFill="1" applyBorder="1" applyAlignment="1">
      <alignment horizontal="center" vertical="center"/>
    </xf>
    <xf numFmtId="0" fontId="60" fillId="36" borderId="24" xfId="0" applyFont="1" applyFill="1" applyBorder="1" applyAlignment="1">
      <alignment horizontal="center" vertical="center"/>
    </xf>
    <xf numFmtId="0" fontId="61" fillId="37" borderId="24" xfId="0" applyFont="1" applyFill="1" applyBorder="1" applyAlignment="1">
      <alignment horizontal="center" vertical="center"/>
    </xf>
    <xf numFmtId="168" fontId="7" fillId="38" borderId="25" xfId="0" applyNumberFormat="1" applyFont="1" applyFill="1" applyBorder="1" applyAlignment="1">
      <alignment horizontal="left" vertical="center" indent="1"/>
    </xf>
    <xf numFmtId="168" fontId="7" fillId="38" borderId="26" xfId="0" applyNumberFormat="1" applyFont="1" applyFill="1" applyBorder="1" applyAlignment="1">
      <alignment horizontal="center" vertical="center"/>
    </xf>
    <xf numFmtId="168" fontId="7" fillId="38" borderId="25" xfId="0" applyNumberFormat="1" applyFont="1" applyFill="1" applyBorder="1" applyAlignment="1">
      <alignment horizontal="center" vertical="center"/>
    </xf>
    <xf numFmtId="168" fontId="40" fillId="38" borderId="26" xfId="0" applyNumberFormat="1" applyFont="1" applyFill="1" applyBorder="1" applyAlignment="1">
      <alignment horizontal="center" vertical="center"/>
    </xf>
    <xf numFmtId="169" fontId="0" fillId="0" borderId="0" xfId="0" applyNumberFormat="1"/>
    <xf numFmtId="168" fontId="7" fillId="39" borderId="25" xfId="0" applyNumberFormat="1" applyFont="1" applyFill="1" applyBorder="1" applyAlignment="1">
      <alignment horizontal="left" vertical="center" indent="1"/>
    </xf>
    <xf numFmtId="168" fontId="7" fillId="39" borderId="26" xfId="0" applyNumberFormat="1" applyFont="1" applyFill="1" applyBorder="1" applyAlignment="1">
      <alignment horizontal="center" vertical="center"/>
    </xf>
    <xf numFmtId="168" fontId="7" fillId="39" borderId="25" xfId="0" applyNumberFormat="1" applyFont="1" applyFill="1" applyBorder="1" applyAlignment="1">
      <alignment horizontal="center" vertical="center"/>
    </xf>
    <xf numFmtId="168" fontId="40" fillId="39" borderId="26" xfId="0" applyNumberFormat="1" applyFont="1" applyFill="1" applyBorder="1" applyAlignment="1">
      <alignment horizontal="center" vertical="center"/>
    </xf>
    <xf numFmtId="168" fontId="41" fillId="40" borderId="27" xfId="0" applyNumberFormat="1" applyFont="1" applyFill="1" applyBorder="1" applyAlignment="1">
      <alignment horizontal="left" vertical="center" indent="1"/>
    </xf>
    <xf numFmtId="168" fontId="41" fillId="40" borderId="28" xfId="0" applyNumberFormat="1" applyFont="1" applyFill="1" applyBorder="1" applyAlignment="1">
      <alignment horizontal="center" vertical="center"/>
    </xf>
    <xf numFmtId="168" fontId="41" fillId="40" borderId="27" xfId="0" applyNumberFormat="1" applyFont="1" applyFill="1" applyBorder="1" applyAlignment="1">
      <alignment horizontal="center" vertical="center"/>
    </xf>
    <xf numFmtId="168" fontId="40" fillId="40" borderId="28" xfId="0" applyNumberFormat="1" applyFont="1" applyFill="1" applyBorder="1" applyAlignment="1">
      <alignment horizontal="center" vertical="center"/>
    </xf>
    <xf numFmtId="168" fontId="9" fillId="13" borderId="0" xfId="0" applyNumberFormat="1" applyFont="1" applyFill="1" applyAlignment="1">
      <alignment horizontal="left" vertical="center" indent="1"/>
    </xf>
    <xf numFmtId="168" fontId="9" fillId="13" borderId="0" xfId="0" applyNumberFormat="1" applyFont="1" applyFill="1" applyAlignment="1">
      <alignment horizontal="center" vertical="center"/>
    </xf>
    <xf numFmtId="0" fontId="54" fillId="12" borderId="24" xfId="0" applyFont="1" applyFill="1" applyBorder="1" applyAlignment="1">
      <alignment horizontal="center" vertical="center"/>
    </xf>
    <xf numFmtId="0" fontId="55" fillId="16" borderId="24" xfId="0" applyFont="1" applyFill="1" applyBorder="1" applyAlignment="1">
      <alignment horizontal="center" vertical="center" wrapText="1"/>
    </xf>
    <xf numFmtId="0" fontId="55" fillId="17" borderId="24" xfId="0" applyFont="1" applyFill="1" applyBorder="1" applyAlignment="1">
      <alignment horizontal="center" vertical="center" wrapText="1"/>
    </xf>
    <xf numFmtId="0" fontId="55" fillId="20" borderId="24" xfId="0" applyFont="1" applyFill="1" applyBorder="1" applyAlignment="1">
      <alignment horizontal="center" vertical="center" wrapText="1"/>
    </xf>
    <xf numFmtId="0" fontId="55" fillId="21" borderId="24" xfId="0" applyFont="1" applyFill="1" applyBorder="1" applyAlignment="1">
      <alignment horizontal="center" vertical="center" wrapText="1"/>
    </xf>
    <xf numFmtId="0" fontId="55" fillId="22" borderId="24" xfId="0" applyFont="1" applyFill="1" applyBorder="1" applyAlignment="1">
      <alignment horizontal="center" vertical="center" wrapText="1"/>
    </xf>
    <xf numFmtId="0" fontId="55" fillId="19" borderId="24" xfId="0" applyFont="1" applyFill="1" applyBorder="1" applyAlignment="1">
      <alignment horizontal="center" vertical="center" wrapText="1"/>
    </xf>
    <xf numFmtId="0" fontId="55" fillId="23" borderId="24" xfId="0" applyFont="1" applyFill="1" applyBorder="1" applyAlignment="1">
      <alignment horizontal="center" vertical="center" wrapText="1"/>
    </xf>
    <xf numFmtId="0" fontId="55" fillId="24" borderId="24" xfId="0" applyFont="1" applyFill="1" applyBorder="1" applyAlignment="1">
      <alignment horizontal="center" vertical="center" wrapText="1"/>
    </xf>
    <xf numFmtId="168" fontId="7" fillId="38" borderId="19" xfId="0" applyNumberFormat="1" applyFont="1" applyFill="1" applyBorder="1" applyAlignment="1">
      <alignment horizontal="left" vertical="center"/>
    </xf>
    <xf numFmtId="168" fontId="7" fillId="38" borderId="19" xfId="0" applyNumberFormat="1" applyFont="1" applyFill="1" applyBorder="1" applyAlignment="1">
      <alignment horizontal="center" vertical="center"/>
    </xf>
    <xf numFmtId="168" fontId="26" fillId="38" borderId="19" xfId="0" applyNumberFormat="1" applyFont="1" applyFill="1" applyBorder="1" applyAlignment="1">
      <alignment horizontal="center" vertical="center"/>
    </xf>
    <xf numFmtId="168" fontId="7" fillId="39" borderId="19" xfId="0" applyNumberFormat="1" applyFont="1" applyFill="1" applyBorder="1" applyAlignment="1">
      <alignment horizontal="left" vertical="center"/>
    </xf>
    <xf numFmtId="168" fontId="7" fillId="39" borderId="19" xfId="0" applyNumberFormat="1" applyFont="1" applyFill="1" applyBorder="1" applyAlignment="1">
      <alignment horizontal="center" vertical="center"/>
    </xf>
    <xf numFmtId="168" fontId="26" fillId="39" borderId="19" xfId="0" applyNumberFormat="1" applyFont="1" applyFill="1" applyBorder="1" applyAlignment="1">
      <alignment horizontal="center" vertical="center"/>
    </xf>
    <xf numFmtId="168" fontId="41" fillId="40" borderId="27" xfId="0" applyNumberFormat="1" applyFont="1" applyFill="1" applyBorder="1" applyAlignment="1">
      <alignment horizontal="left" vertical="center"/>
    </xf>
    <xf numFmtId="168" fontId="9" fillId="13" borderId="0" xfId="0" applyNumberFormat="1" applyFont="1" applyFill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5" fillId="28" borderId="19" xfId="0" applyFont="1" applyFill="1" applyBorder="1" applyAlignment="1">
      <alignment horizontal="left" vertical="center"/>
    </xf>
    <xf numFmtId="0" fontId="42" fillId="0" borderId="20" xfId="0" applyFont="1" applyBorder="1" applyAlignment="1">
      <alignment horizontal="left" vertical="center"/>
    </xf>
    <xf numFmtId="0" fontId="55" fillId="16" borderId="29" xfId="0" applyFont="1" applyFill="1" applyBorder="1" applyAlignment="1">
      <alignment horizontal="center" vertical="center" wrapText="1"/>
    </xf>
    <xf numFmtId="0" fontId="55" fillId="17" borderId="29" xfId="0" applyFont="1" applyFill="1" applyBorder="1" applyAlignment="1">
      <alignment horizontal="center" vertical="center" wrapText="1"/>
    </xf>
    <xf numFmtId="0" fontId="55" fillId="18" borderId="29" xfId="0" applyFont="1" applyFill="1" applyBorder="1" applyAlignment="1">
      <alignment horizontal="center" vertical="center" wrapText="1"/>
    </xf>
    <xf numFmtId="0" fontId="55" fillId="19" borderId="29" xfId="0" applyFont="1" applyFill="1" applyBorder="1" applyAlignment="1">
      <alignment horizontal="center" vertical="center" wrapText="1"/>
    </xf>
    <xf numFmtId="0" fontId="55" fillId="20" borderId="29" xfId="0" applyFont="1" applyFill="1" applyBorder="1" applyAlignment="1">
      <alignment horizontal="center" vertical="center" wrapText="1"/>
    </xf>
    <xf numFmtId="0" fontId="55" fillId="21" borderId="29" xfId="0" applyFont="1" applyFill="1" applyBorder="1" applyAlignment="1">
      <alignment horizontal="center" vertical="center" wrapText="1"/>
    </xf>
    <xf numFmtId="164" fontId="28" fillId="0" borderId="30" xfId="0" applyNumberFormat="1" applyFont="1" applyBorder="1" applyAlignment="1">
      <alignment horizontal="center" vertical="center"/>
    </xf>
    <xf numFmtId="164" fontId="28" fillId="0" borderId="31" xfId="0" applyNumberFormat="1" applyFont="1" applyBorder="1" applyAlignment="1">
      <alignment horizontal="center" vertical="center"/>
    </xf>
    <xf numFmtId="164" fontId="28" fillId="0" borderId="32" xfId="0" applyNumberFormat="1" applyFont="1" applyBorder="1" applyAlignment="1">
      <alignment horizontal="center" vertical="center"/>
    </xf>
    <xf numFmtId="164" fontId="28" fillId="0" borderId="33" xfId="0" applyNumberFormat="1" applyFont="1" applyBorder="1" applyAlignment="1">
      <alignment horizontal="center" vertical="center"/>
    </xf>
    <xf numFmtId="164" fontId="28" fillId="0" borderId="34" xfId="0" applyNumberFormat="1" applyFont="1" applyBorder="1" applyAlignment="1">
      <alignment horizontal="center" vertical="center"/>
    </xf>
    <xf numFmtId="164" fontId="28" fillId="0" borderId="35" xfId="0" applyNumberFormat="1" applyFont="1" applyBorder="1" applyAlignment="1">
      <alignment horizontal="center" vertical="center"/>
    </xf>
    <xf numFmtId="0" fontId="55" fillId="22" borderId="29" xfId="0" applyFont="1" applyFill="1" applyBorder="1" applyAlignment="1">
      <alignment horizontal="center" vertical="center" wrapText="1"/>
    </xf>
    <xf numFmtId="0" fontId="55" fillId="23" borderId="29" xfId="0" applyFont="1" applyFill="1" applyBorder="1" applyAlignment="1">
      <alignment horizontal="center" vertical="center" wrapText="1"/>
    </xf>
    <xf numFmtId="0" fontId="55" fillId="24" borderId="29" xfId="0" applyFont="1" applyFill="1" applyBorder="1" applyAlignment="1">
      <alignment horizontal="center" vertical="center" wrapText="1"/>
    </xf>
    <xf numFmtId="0" fontId="55" fillId="13" borderId="29" xfId="0" applyFont="1" applyFill="1" applyBorder="1" applyAlignment="1">
      <alignment horizontal="center" vertical="center" wrapText="1"/>
    </xf>
    <xf numFmtId="0" fontId="55" fillId="25" borderId="29" xfId="0" applyFont="1" applyFill="1" applyBorder="1" applyAlignment="1">
      <alignment horizontal="center" vertical="center" wrapText="1"/>
    </xf>
    <xf numFmtId="164" fontId="28" fillId="0" borderId="36" xfId="0" applyNumberFormat="1" applyFont="1" applyBorder="1" applyAlignment="1">
      <alignment horizontal="center" vertical="center"/>
    </xf>
    <xf numFmtId="164" fontId="28" fillId="0" borderId="37" xfId="0" applyNumberFormat="1" applyFont="1" applyBorder="1" applyAlignment="1">
      <alignment horizontal="center" vertical="center"/>
    </xf>
    <xf numFmtId="164" fontId="28" fillId="0" borderId="38" xfId="0" applyNumberFormat="1" applyFont="1" applyBorder="1" applyAlignment="1">
      <alignment horizontal="center" vertical="center"/>
    </xf>
    <xf numFmtId="164" fontId="28" fillId="0" borderId="39" xfId="0" applyNumberFormat="1" applyFont="1" applyBorder="1" applyAlignment="1">
      <alignment horizontal="center" vertical="center"/>
    </xf>
    <xf numFmtId="164" fontId="28" fillId="0" borderId="40" xfId="0" applyNumberFormat="1" applyFont="1" applyBorder="1" applyAlignment="1">
      <alignment horizontal="center" vertical="center"/>
    </xf>
    <xf numFmtId="0" fontId="67" fillId="0" borderId="41" xfId="0" applyFont="1" applyBorder="1" applyAlignment="1">
      <alignment horizontal="left" vertical="center"/>
    </xf>
    <xf numFmtId="0" fontId="0" fillId="0" borderId="41" xfId="0" applyBorder="1"/>
    <xf numFmtId="0" fontId="68" fillId="0" borderId="42" xfId="0" applyFont="1" applyBorder="1" applyAlignment="1">
      <alignment horizontal="left" vertical="center"/>
    </xf>
    <xf numFmtId="0" fontId="0" fillId="0" borderId="42" xfId="0" applyBorder="1"/>
    <xf numFmtId="0" fontId="11" fillId="0" borderId="0" xfId="0" applyFont="1"/>
    <xf numFmtId="0" fontId="9" fillId="14" borderId="0" xfId="0" applyFont="1" applyFill="1" applyAlignment="1">
      <alignment horizontal="center" vertical="center" wrapText="1"/>
    </xf>
    <xf numFmtId="0" fontId="12" fillId="0" borderId="0" xfId="0" applyFont="1"/>
    <xf numFmtId="0" fontId="13" fillId="0" borderId="19" xfId="0" applyFont="1" applyBorder="1"/>
    <xf numFmtId="0" fontId="14" fillId="0" borderId="0" xfId="0" applyFont="1" applyAlignment="1">
      <alignment vertical="top" wrapText="1"/>
    </xf>
    <xf numFmtId="0" fontId="6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14" fontId="3" fillId="10" borderId="1" xfId="0" applyNumberFormat="1" applyFont="1" applyFill="1" applyBorder="1" applyAlignment="1">
      <alignment horizontal="center" vertical="center" wrapText="1"/>
    </xf>
    <xf numFmtId="0" fontId="69" fillId="10" borderId="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3" fillId="11" borderId="1" xfId="0" applyNumberFormat="1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0" fillId="42" borderId="0" xfId="0" applyFill="1"/>
    <xf numFmtId="164" fontId="0" fillId="42" borderId="0" xfId="0" applyNumberFormat="1" applyFill="1"/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0" fillId="0" borderId="1" xfId="2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9" fillId="12" borderId="52" xfId="0" applyFont="1" applyFill="1" applyBorder="1" applyAlignment="1">
      <alignment horizontal="center" vertical="center" wrapText="1"/>
    </xf>
    <xf numFmtId="0" fontId="9" fillId="16" borderId="52" xfId="0" applyFont="1" applyFill="1" applyBorder="1" applyAlignment="1">
      <alignment horizontal="center" vertical="center" wrapText="1"/>
    </xf>
    <xf numFmtId="0" fontId="9" fillId="17" borderId="52" xfId="0" applyFont="1" applyFill="1" applyBorder="1" applyAlignment="1">
      <alignment horizontal="center" vertical="center" wrapText="1"/>
    </xf>
    <xf numFmtId="0" fontId="9" fillId="18" borderId="52" xfId="0" applyFont="1" applyFill="1" applyBorder="1" applyAlignment="1">
      <alignment horizontal="center" vertical="center" wrapText="1"/>
    </xf>
    <xf numFmtId="0" fontId="9" fillId="19" borderId="52" xfId="0" applyFont="1" applyFill="1" applyBorder="1" applyAlignment="1">
      <alignment horizontal="center" vertical="center" wrapText="1"/>
    </xf>
    <xf numFmtId="0" fontId="9" fillId="20" borderId="52" xfId="0" applyFont="1" applyFill="1" applyBorder="1" applyAlignment="1">
      <alignment horizontal="center" vertical="center" wrapText="1"/>
    </xf>
    <xf numFmtId="0" fontId="9" fillId="21" borderId="52" xfId="0" applyFont="1" applyFill="1" applyBorder="1" applyAlignment="1">
      <alignment horizontal="center" vertical="center" wrapText="1"/>
    </xf>
    <xf numFmtId="0" fontId="9" fillId="22" borderId="52" xfId="0" applyFont="1" applyFill="1" applyBorder="1" applyAlignment="1">
      <alignment horizontal="center" vertical="center" wrapText="1"/>
    </xf>
    <xf numFmtId="0" fontId="9" fillId="23" borderId="52" xfId="0" applyFont="1" applyFill="1" applyBorder="1" applyAlignment="1">
      <alignment horizontal="center" vertical="center" wrapText="1"/>
    </xf>
    <xf numFmtId="0" fontId="9" fillId="24" borderId="52" xfId="0" applyFont="1" applyFill="1" applyBorder="1" applyAlignment="1">
      <alignment horizontal="center" vertical="center" wrapText="1"/>
    </xf>
    <xf numFmtId="0" fontId="9" fillId="13" borderId="52" xfId="0" applyFont="1" applyFill="1" applyBorder="1" applyAlignment="1">
      <alignment horizontal="center" vertical="center" wrapText="1"/>
    </xf>
    <xf numFmtId="0" fontId="9" fillId="25" borderId="52" xfId="0" applyFont="1" applyFill="1" applyBorder="1" applyAlignment="1">
      <alignment horizontal="center" vertical="center" wrapText="1"/>
    </xf>
    <xf numFmtId="0" fontId="9" fillId="14" borderId="52" xfId="0" applyFont="1" applyFill="1" applyBorder="1" applyAlignment="1">
      <alignment horizontal="center" vertical="center" wrapText="1"/>
    </xf>
    <xf numFmtId="0" fontId="9" fillId="15" borderId="52" xfId="0" applyFont="1" applyFill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left" vertical="center"/>
    </xf>
    <xf numFmtId="164" fontId="7" fillId="42" borderId="1" xfId="0" applyNumberFormat="1" applyFont="1" applyFill="1" applyBorder="1" applyAlignment="1">
      <alignment horizontal="center" vertical="center"/>
    </xf>
    <xf numFmtId="16" fontId="7" fillId="42" borderId="1" xfId="0" applyNumberFormat="1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left" vertical="center" wrapText="1"/>
    </xf>
    <xf numFmtId="0" fontId="8" fillId="42" borderId="1" xfId="0" applyFont="1" applyFill="1" applyBorder="1" applyAlignment="1">
      <alignment horizontal="center" vertical="center"/>
    </xf>
    <xf numFmtId="1" fontId="7" fillId="42" borderId="1" xfId="0" applyNumberFormat="1" applyFont="1" applyFill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0" fillId="0" borderId="54" xfId="2" applyFont="1" applyBorder="1" applyAlignment="1">
      <alignment horizontal="left"/>
    </xf>
    <xf numFmtId="164" fontId="73" fillId="0" borderId="1" xfId="0" applyNumberFormat="1" applyFont="1" applyBorder="1" applyAlignment="1">
      <alignment horizontal="center" vertical="center"/>
    </xf>
    <xf numFmtId="0" fontId="74" fillId="0" borderId="1" xfId="2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4" fillId="0" borderId="54" xfId="2" applyFont="1" applyBorder="1" applyAlignment="1">
      <alignment horizontal="center"/>
    </xf>
    <xf numFmtId="0" fontId="9" fillId="12" borderId="18" xfId="0" applyFont="1" applyFill="1" applyBorder="1" applyAlignment="1">
      <alignment horizontal="center" vertical="center" wrapText="1"/>
    </xf>
    <xf numFmtId="0" fontId="0" fillId="0" borderId="53" xfId="0" applyBorder="1"/>
    <xf numFmtId="0" fontId="0" fillId="0" borderId="15" xfId="0" applyBorder="1"/>
    <xf numFmtId="0" fontId="0" fillId="0" borderId="16" xfId="0" applyBorder="1"/>
    <xf numFmtId="0" fontId="9" fillId="15" borderId="18" xfId="0" applyFont="1" applyFill="1" applyBorder="1" applyAlignment="1">
      <alignment horizontal="center" vertical="center" wrapText="1"/>
    </xf>
    <xf numFmtId="0" fontId="9" fillId="14" borderId="18" xfId="0" applyFont="1" applyFill="1" applyBorder="1" applyAlignment="1">
      <alignment horizontal="center" vertical="center" wrapText="1"/>
    </xf>
    <xf numFmtId="0" fontId="9" fillId="13" borderId="18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right" vertical="center"/>
    </xf>
    <xf numFmtId="0" fontId="0" fillId="0" borderId="0" xfId="0"/>
    <xf numFmtId="0" fontId="16" fillId="13" borderId="0" xfId="0" applyFont="1" applyFill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0" fillId="0" borderId="45" xfId="0" applyBorder="1"/>
    <xf numFmtId="0" fontId="7" fillId="0" borderId="19" xfId="0" applyFont="1" applyBorder="1" applyAlignment="1">
      <alignment horizontal="left" vertical="center"/>
    </xf>
    <xf numFmtId="0" fontId="52" fillId="26" borderId="0" xfId="0" applyFont="1" applyFill="1" applyAlignment="1">
      <alignment horizontal="left" vertical="top" wrapText="1" indent="1"/>
    </xf>
    <xf numFmtId="0" fontId="31" fillId="0" borderId="19" xfId="0" applyFont="1" applyBorder="1" applyAlignment="1">
      <alignment horizontal="left" vertical="center"/>
    </xf>
    <xf numFmtId="1" fontId="23" fillId="26" borderId="21" xfId="0" applyNumberFormat="1" applyFont="1" applyFill="1" applyBorder="1" applyAlignment="1">
      <alignment horizontal="center" vertical="center"/>
    </xf>
    <xf numFmtId="0" fontId="0" fillId="0" borderId="43" xfId="0" applyBorder="1"/>
    <xf numFmtId="0" fontId="36" fillId="0" borderId="19" xfId="0" applyFont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7" fillId="0" borderId="19" xfId="0" applyFont="1" applyBorder="1" applyAlignment="1">
      <alignment horizontal="left" vertical="center"/>
    </xf>
    <xf numFmtId="0" fontId="0" fillId="18" borderId="21" xfId="0" applyFill="1" applyBorder="1"/>
    <xf numFmtId="0" fontId="20" fillId="26" borderId="21" xfId="0" applyFont="1" applyFill="1" applyBorder="1" applyAlignment="1">
      <alignment horizontal="center" vertical="center"/>
    </xf>
    <xf numFmtId="0" fontId="26" fillId="28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0" fillId="0" borderId="46" xfId="0" applyBorder="1"/>
    <xf numFmtId="0" fontId="18" fillId="0" borderId="20" xfId="0" applyFont="1" applyBorder="1" applyAlignment="1">
      <alignment horizontal="right" vertical="center"/>
    </xf>
    <xf numFmtId="0" fontId="0" fillId="0" borderId="47" xfId="0" applyBorder="1"/>
    <xf numFmtId="0" fontId="10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/>
    </xf>
    <xf numFmtId="0" fontId="0" fillId="0" borderId="48" xfId="0" applyBorder="1"/>
    <xf numFmtId="0" fontId="55" fillId="13" borderId="24" xfId="0" applyFont="1" applyFill="1" applyBorder="1" applyAlignment="1">
      <alignment horizontal="center" vertical="center" wrapText="1"/>
    </xf>
    <xf numFmtId="0" fontId="0" fillId="0" borderId="44" xfId="0" applyBorder="1"/>
    <xf numFmtId="0" fontId="27" fillId="0" borderId="19" xfId="0" applyFont="1" applyBorder="1" applyAlignment="1">
      <alignment horizontal="left" vertical="center"/>
    </xf>
    <xf numFmtId="0" fontId="0" fillId="22" borderId="21" xfId="0" applyFill="1" applyBorder="1"/>
    <xf numFmtId="0" fontId="0" fillId="25" borderId="21" xfId="0" applyFill="1" applyBorder="1"/>
    <xf numFmtId="1" fontId="25" fillId="26" borderId="21" xfId="0" applyNumberFormat="1" applyFont="1" applyFill="1" applyBorder="1" applyAlignment="1">
      <alignment horizontal="center" vertical="center"/>
    </xf>
    <xf numFmtId="0" fontId="10" fillId="26" borderId="21" xfId="0" applyFont="1" applyFill="1" applyBorder="1" applyAlignment="1">
      <alignment horizontal="center" vertical="center"/>
    </xf>
    <xf numFmtId="0" fontId="34" fillId="0" borderId="19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54" fillId="29" borderId="24" xfId="0" applyFont="1" applyFill="1" applyBorder="1" applyAlignment="1">
      <alignment horizontal="left" vertical="center" indent="1"/>
    </xf>
    <xf numFmtId="0" fontId="0" fillId="0" borderId="49" xfId="0" applyBorder="1"/>
    <xf numFmtId="0" fontId="38" fillId="0" borderId="19" xfId="0" applyFont="1" applyBorder="1" applyAlignment="1">
      <alignment horizontal="left" vertical="center"/>
    </xf>
    <xf numFmtId="0" fontId="41" fillId="0" borderId="19" xfId="0" applyFont="1" applyBorder="1" applyAlignment="1">
      <alignment horizontal="left" vertical="center"/>
    </xf>
    <xf numFmtId="0" fontId="40" fillId="0" borderId="19" xfId="0" applyFont="1" applyBorder="1" applyAlignment="1">
      <alignment horizontal="left" vertical="center"/>
    </xf>
    <xf numFmtId="0" fontId="0" fillId="27" borderId="21" xfId="0" applyFill="1" applyBorder="1"/>
    <xf numFmtId="0" fontId="39" fillId="0" borderId="19" xfId="0" applyFont="1" applyBorder="1" applyAlignment="1">
      <alignment horizontal="left" vertical="center"/>
    </xf>
    <xf numFmtId="0" fontId="35" fillId="0" borderId="19" xfId="0" applyFont="1" applyBorder="1" applyAlignment="1">
      <alignment horizontal="left" vertical="center"/>
    </xf>
    <xf numFmtId="0" fontId="0" fillId="13" borderId="21" xfId="0" applyFill="1" applyBorder="1"/>
    <xf numFmtId="0" fontId="55" fillId="14" borderId="24" xfId="0" applyFont="1" applyFill="1" applyBorder="1" applyAlignment="1">
      <alignment horizontal="center" vertical="center" wrapText="1"/>
    </xf>
    <xf numFmtId="0" fontId="55" fillId="18" borderId="24" xfId="0" applyFont="1" applyFill="1" applyBorder="1" applyAlignment="1">
      <alignment horizontal="center" vertical="center" wrapText="1"/>
    </xf>
    <xf numFmtId="0" fontId="55" fillId="30" borderId="24" xfId="0" applyFont="1" applyFill="1" applyBorder="1" applyAlignment="1">
      <alignment horizontal="center" vertical="center" wrapText="1"/>
    </xf>
    <xf numFmtId="1" fontId="22" fillId="26" borderId="21" xfId="0" applyNumberFormat="1" applyFont="1" applyFill="1" applyBorder="1" applyAlignment="1">
      <alignment horizontal="center" vertical="center"/>
    </xf>
    <xf numFmtId="1" fontId="24" fillId="26" borderId="21" xfId="0" applyNumberFormat="1" applyFont="1" applyFill="1" applyBorder="1" applyAlignment="1">
      <alignment horizontal="center" vertical="center"/>
    </xf>
    <xf numFmtId="1" fontId="21" fillId="26" borderId="2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64" fillId="0" borderId="0" xfId="0" applyFont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170" fontId="28" fillId="0" borderId="19" xfId="0" applyNumberFormat="1" applyFont="1" applyBorder="1" applyAlignment="1">
      <alignment horizontal="left" vertical="center"/>
    </xf>
    <xf numFmtId="164" fontId="28" fillId="0" borderId="19" xfId="0" applyNumberFormat="1" applyFont="1" applyBorder="1" applyAlignment="1">
      <alignment horizontal="left" vertical="center"/>
    </xf>
    <xf numFmtId="0" fontId="66" fillId="41" borderId="0" xfId="0" applyFont="1" applyFill="1" applyAlignment="1">
      <alignment horizontal="center" vertical="center"/>
    </xf>
    <xf numFmtId="0" fontId="63" fillId="37" borderId="50" xfId="0" applyFont="1" applyFill="1" applyBorder="1" applyAlignment="1">
      <alignment horizontal="center" vertical="center"/>
    </xf>
    <xf numFmtId="0" fontId="0" fillId="0" borderId="51" xfId="0" applyBorder="1"/>
    <xf numFmtId="0" fontId="70" fillId="0" borderId="54" xfId="2" applyFont="1" applyFill="1" applyBorder="1" applyAlignment="1">
      <alignment horizontal="left"/>
    </xf>
    <xf numFmtId="0" fontId="70" fillId="0" borderId="54" xfId="2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4">
    <dxf>
      <fill>
        <patternFill>
          <bgColor rgb="FFFFC7CE"/>
        </patternFill>
      </fill>
    </dxf>
    <dxf>
      <fill>
        <patternFill>
          <bgColor rgb="FFE2F0D9"/>
        </patternFill>
      </fill>
    </dxf>
    <dxf>
      <fill>
        <patternFill>
          <bgColor rgb="FFE2EFDA"/>
        </patternFill>
      </fill>
    </dxf>
    <dxf>
      <font>
        <b/>
        <color rgb="FFFFFFFF"/>
      </font>
      <numFmt numFmtId="171" formatCode="&quot;Açık &quot;dd\.mm"/>
      <fill>
        <patternFill>
          <bgColor rgb="FF548235"/>
        </patternFill>
      </fill>
    </dxf>
    <dxf>
      <font>
        <color rgb="FF595959"/>
      </font>
      <numFmt numFmtId="172" formatCode="&quot;Kapandı &quot;dd\.mm"/>
      <fill>
        <patternFill>
          <bgColor rgb="FFE2EFDA"/>
        </patternFill>
      </fill>
    </dxf>
    <dxf>
      <fill>
        <patternFill>
          <bgColor rgb="FFD9E1F2"/>
        </patternFill>
      </fill>
    </dxf>
    <dxf>
      <fill>
        <patternFill>
          <bgColor rgb="FFE4DFEC"/>
        </patternFill>
      </fill>
    </dxf>
    <dxf>
      <font>
        <b/>
        <color rgb="FFFFFFFF"/>
      </font>
      <numFmt numFmtId="171" formatCode="&quot;Açık &quot;dd\.mm"/>
      <fill>
        <patternFill>
          <bgColor rgb="FF7030A0"/>
        </patternFill>
      </fill>
    </dxf>
    <dxf>
      <font>
        <color rgb="FF595959"/>
      </font>
      <numFmt numFmtId="172" formatCode="&quot;Kapandı &quot;dd\.mm"/>
      <fill>
        <patternFill>
          <bgColor rgb="FFE4DFEC"/>
        </patternFill>
      </fill>
    </dxf>
    <dxf>
      <fill>
        <patternFill>
          <bgColor rgb="FFF4E1D2"/>
        </patternFill>
      </fill>
    </dxf>
    <dxf>
      <font>
        <b/>
        <color rgb="FFFFFFFF"/>
      </font>
      <numFmt numFmtId="171" formatCode="&quot;Açık &quot;dd\.mm"/>
      <fill>
        <patternFill>
          <bgColor rgb="FF833C0B"/>
        </patternFill>
      </fill>
    </dxf>
    <dxf>
      <font>
        <color rgb="FF595959"/>
      </font>
      <numFmt numFmtId="172" formatCode="&quot;Kapandı &quot;dd\.mm"/>
      <fill>
        <patternFill>
          <bgColor rgb="FFF4E1D2"/>
        </patternFill>
      </fill>
    </dxf>
    <dxf>
      <fill>
        <patternFill>
          <bgColor rgb="FFFCE4D6"/>
        </patternFill>
      </fill>
    </dxf>
    <dxf>
      <font>
        <b/>
        <color rgb="FFFFFFFF"/>
      </font>
      <numFmt numFmtId="171" formatCode="&quot;Açık &quot;dd\.mm"/>
      <fill>
        <patternFill>
          <bgColor rgb="FFED7D31"/>
        </patternFill>
      </fill>
    </dxf>
    <dxf>
      <font>
        <color rgb="FF595959"/>
      </font>
      <numFmt numFmtId="172" formatCode="&quot;Kapandı &quot;dd\.mm"/>
      <fill>
        <patternFill>
          <bgColor rgb="FFFCE4D6"/>
        </patternFill>
      </fill>
    </dxf>
    <dxf>
      <fill>
        <patternFill>
          <bgColor rgb="FFD5EEF0"/>
        </patternFill>
      </fill>
    </dxf>
    <dxf>
      <font>
        <b/>
        <color rgb="FFFFFFFF"/>
      </font>
      <numFmt numFmtId="171" formatCode="&quot;Açık &quot;dd\.mm"/>
      <fill>
        <patternFill>
          <bgColor rgb="FF0E7C86"/>
        </patternFill>
      </fill>
    </dxf>
    <dxf>
      <font>
        <color rgb="FF595959"/>
      </font>
      <numFmt numFmtId="172" formatCode="&quot;Kapandı &quot;dd\.mm"/>
      <fill>
        <patternFill>
          <bgColor rgb="FFD5EEF0"/>
        </patternFill>
      </fill>
    </dxf>
    <dxf>
      <fill>
        <patternFill>
          <bgColor rgb="FFE4DFEC"/>
        </patternFill>
      </fill>
    </dxf>
    <dxf>
      <font>
        <b/>
        <color rgb="FFFFFFFF"/>
      </font>
      <numFmt numFmtId="171" formatCode="&quot;Açık &quot;dd\.mm"/>
      <fill>
        <patternFill>
          <bgColor rgb="FF7030A0"/>
        </patternFill>
      </fill>
    </dxf>
    <dxf>
      <font>
        <color rgb="FF595959"/>
      </font>
      <numFmt numFmtId="172" formatCode="&quot;Kapandı &quot;dd\.mm"/>
      <fill>
        <patternFill>
          <bgColor rgb="FFE4DFEC"/>
        </patternFill>
      </fill>
    </dxf>
    <dxf>
      <fill>
        <patternFill>
          <bgColor rgb="FFE4DFEC"/>
        </patternFill>
      </fill>
    </dxf>
    <dxf>
      <font>
        <b/>
        <color rgb="FFFFFFFF"/>
      </font>
      <numFmt numFmtId="171" formatCode="&quot;Açık &quot;dd\.mm"/>
      <fill>
        <patternFill>
          <bgColor rgb="FF7030A0"/>
        </patternFill>
      </fill>
    </dxf>
    <dxf>
      <font>
        <color rgb="FF595959"/>
      </font>
      <numFmt numFmtId="172" formatCode="&quot;Kapandı &quot;dd\.mm"/>
      <fill>
        <patternFill>
          <bgColor rgb="FFE4DFEC"/>
        </patternFill>
      </fill>
    </dxf>
    <dxf>
      <fill>
        <patternFill>
          <bgColor rgb="FFFFF2CC"/>
        </patternFill>
      </fill>
    </dxf>
    <dxf>
      <font>
        <b/>
        <color rgb="FFFFFFFF"/>
      </font>
      <numFmt numFmtId="171" formatCode="&quot;Açık &quot;dd\.mm"/>
      <fill>
        <patternFill>
          <bgColor rgb="FFBF8F00"/>
        </patternFill>
      </fill>
    </dxf>
    <dxf>
      <font>
        <color rgb="FF595959"/>
      </font>
      <numFmt numFmtId="172" formatCode="&quot;Kapandı &quot;dd\.mm"/>
      <fill>
        <patternFill>
          <bgColor rgb="FFFFF2CC"/>
        </patternFill>
      </fill>
    </dxf>
    <dxf>
      <fill>
        <patternFill>
          <bgColor rgb="FFF8D7DA"/>
        </patternFill>
      </fill>
    </dxf>
    <dxf>
      <font>
        <b/>
        <color rgb="FFFFFFFF"/>
      </font>
      <numFmt numFmtId="171" formatCode="&quot;Açık &quot;dd\.mm"/>
      <fill>
        <patternFill>
          <bgColor rgb="FFC00000"/>
        </patternFill>
      </fill>
    </dxf>
    <dxf>
      <font>
        <color rgb="FF595959"/>
      </font>
      <numFmt numFmtId="172" formatCode="&quot;Kapandı &quot;dd\.mm"/>
      <fill>
        <patternFill>
          <bgColor rgb="FFF8D7DA"/>
        </patternFill>
      </fill>
    </dxf>
    <dxf>
      <fill>
        <patternFill>
          <bgColor rgb="FFD6DCE4"/>
        </patternFill>
      </fill>
    </dxf>
    <dxf>
      <font>
        <b/>
        <color rgb="FFFFFFFF"/>
      </font>
      <numFmt numFmtId="171" formatCode="&quot;Açık &quot;dd\.mm"/>
      <fill>
        <patternFill>
          <bgColor rgb="FF44546A"/>
        </patternFill>
      </fill>
    </dxf>
    <dxf>
      <font>
        <color rgb="FF595959"/>
      </font>
      <numFmt numFmtId="172" formatCode="&quot;Kapandı &quot;dd\.mm"/>
      <fill>
        <patternFill>
          <bgColor rgb="FFD6DCE4"/>
        </patternFill>
      </fill>
    </dxf>
    <dxf>
      <font>
        <b/>
        <color rgb="FFFFFFFF"/>
      </font>
      <fill>
        <patternFill>
          <bgColor rgb="FF833C0B"/>
        </patternFill>
      </fill>
    </dxf>
    <dxf>
      <font>
        <b/>
        <color rgb="FFFFFFFF"/>
      </font>
      <fill>
        <patternFill>
          <bgColor rgb="FF0E7C86"/>
        </patternFill>
      </fill>
    </dxf>
    <dxf>
      <font>
        <b/>
        <color rgb="FFFFFFFF"/>
      </font>
      <fill>
        <patternFill>
          <bgColor rgb="FFBF8F00"/>
        </patternFill>
      </fill>
    </dxf>
    <dxf>
      <font>
        <b/>
        <color rgb="FFFFFFFF"/>
      </font>
      <fill>
        <patternFill>
          <bgColor rgb="FF44546A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548235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2E75B6"/>
        </patternFill>
      </fill>
    </dxf>
    <dxf>
      <font>
        <b/>
        <color rgb="FFFFFFFF"/>
      </font>
      <fill>
        <patternFill>
          <bgColor rgb="FF808080"/>
        </patternFill>
      </fill>
    </dxf>
    <dxf>
      <font>
        <b/>
        <color rgb="FFFFFFFF"/>
      </font>
      <fill>
        <patternFill>
          <bgColor rgb="FF7030A0"/>
        </patternFill>
      </fill>
    </dxf>
    <dxf>
      <font>
        <b/>
        <color rgb="FFFFFFFF"/>
      </font>
      <fill>
        <patternFill>
          <bgColor rgb="FFC71585"/>
        </patternFill>
      </fill>
    </dxf>
    <dxf>
      <font>
        <b/>
        <color rgb="FFFFFFFF"/>
      </font>
      <fill>
        <patternFill>
          <bgColor rgb="FF2E7D32"/>
        </patternFill>
      </fill>
    </dxf>
    <dxf>
      <font>
        <b/>
        <color rgb="FFFFFFFF"/>
      </font>
      <fill>
        <patternFill>
          <bgColor rgb="FF1F4E78"/>
        </patternFill>
      </fill>
    </dxf>
    <dxf>
      <fill>
        <patternFill>
          <bgColor rgb="FFFFFFFF"/>
        </patternFill>
      </fill>
    </dxf>
    <dxf>
      <fill>
        <patternFill>
          <bgColor rgb="FFE4DFEC"/>
        </patternFill>
      </fill>
    </dxf>
    <dxf>
      <font>
        <b/>
        <color rgb="FFFFFFFF"/>
      </font>
      <numFmt numFmtId="171" formatCode="&quot;Açık &quot;dd\.mm"/>
      <fill>
        <patternFill>
          <bgColor rgb="FF7030A0"/>
        </patternFill>
      </fill>
    </dxf>
    <dxf>
      <font>
        <color rgb="FF595959"/>
      </font>
      <numFmt numFmtId="172" formatCode="&quot;Kapandı &quot;dd\.mm"/>
      <fill>
        <patternFill>
          <bgColor rgb="FFE4DFEC"/>
        </patternFill>
      </fill>
    </dxf>
    <dxf>
      <fill>
        <patternFill>
          <bgColor rgb="FFDCE6F1"/>
        </patternFill>
      </fill>
    </dxf>
    <dxf>
      <font>
        <b/>
        <color rgb="FFFFFFFF"/>
      </font>
      <numFmt numFmtId="171" formatCode="&quot;Açık &quot;dd\.mm"/>
      <fill>
        <patternFill>
          <bgColor rgb="FF2E75B6"/>
        </patternFill>
      </fill>
    </dxf>
    <dxf>
      <font>
        <color rgb="FF595959"/>
      </font>
      <numFmt numFmtId="172" formatCode="&quot;Kapandı &quot;dd\.mm"/>
      <fill>
        <patternFill>
          <bgColor rgb="FFDCE6F1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4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833C0B"/>
        </patternFill>
      </fill>
    </dxf>
    <dxf>
      <font>
        <b/>
        <color rgb="FFFFFFFF"/>
      </font>
      <fill>
        <patternFill>
          <bgColor rgb="FF0E7C86"/>
        </patternFill>
      </fill>
    </dxf>
    <dxf>
      <font>
        <b/>
        <color rgb="FFFFFFFF"/>
      </font>
      <fill>
        <patternFill>
          <bgColor rgb="FFBF8F00"/>
        </patternFill>
      </fill>
    </dxf>
    <dxf>
      <font>
        <b/>
        <color rgb="FFFFFFFF"/>
      </font>
      <fill>
        <patternFill>
          <bgColor rgb="FF44546A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548235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2E75B6"/>
        </patternFill>
      </fill>
    </dxf>
    <dxf>
      <font>
        <b/>
        <color rgb="FFFFFFFF"/>
      </font>
      <fill>
        <patternFill>
          <bgColor rgb="FF7030A0"/>
        </patternFill>
      </fill>
    </dxf>
    <dxf>
      <font>
        <b/>
        <color rgb="FF808080"/>
      </font>
      <fill>
        <patternFill>
          <bgColor rgb="FFF2F2F2"/>
        </patternFill>
      </fill>
    </dxf>
    <dxf>
      <font>
        <b/>
        <color rgb="FFFFFFFF"/>
      </font>
      <fill>
        <patternFill>
          <bgColor rgb="FFC71585"/>
        </patternFill>
      </fill>
    </dxf>
    <dxf>
      <font>
        <b/>
        <color rgb="FFFFFFFF"/>
      </font>
      <fill>
        <patternFill>
          <bgColor rgb="FF2E7D32"/>
        </patternFill>
      </fill>
    </dxf>
    <dxf>
      <font>
        <b/>
        <color rgb="FFFFFFFF"/>
      </font>
      <fill>
        <patternFill>
          <bgColor rgb="FF1F4E78"/>
        </patternFill>
      </fill>
    </dxf>
    <dxf>
      <font>
        <b/>
        <color rgb="FF9C0006"/>
      </font>
      <fill>
        <patternFill>
          <bgColor rgb="FFFF7C80"/>
        </patternFill>
      </fill>
    </dxf>
    <dxf>
      <font>
        <b/>
        <color rgb="FF9C0006"/>
      </font>
      <fill>
        <patternFill>
          <bgColor rgb="FFFF7C80"/>
        </patternFill>
      </fill>
    </dxf>
    <dxf>
      <fill>
        <patternFill>
          <bgColor rgb="FFFBE0EF"/>
        </patternFill>
      </fill>
    </dxf>
    <dxf>
      <fill>
        <patternFill>
          <bgColor rgb="FFFFC7CE"/>
        </patternFill>
      </fill>
    </dxf>
    <dxf>
      <font>
        <b/>
        <color rgb="FFFFFFFF"/>
      </font>
      <numFmt numFmtId="173" formatCode="&quot;Bitti &quot;dd\.mm"/>
      <fill>
        <patternFill>
          <bgColor rgb="FF2E7D32"/>
        </patternFill>
      </fill>
    </dxf>
    <dxf>
      <fill>
        <patternFill>
          <bgColor rgb="FFD9E1F2"/>
        </patternFill>
      </fill>
    </dxf>
    <dxf>
      <fill>
        <patternFill>
          <bgColor rgb="FFF4E1D2"/>
        </patternFill>
      </fill>
    </dxf>
    <dxf>
      <font>
        <b/>
        <color rgb="FFFFFFFF"/>
      </font>
      <numFmt numFmtId="171" formatCode="&quot;Açık &quot;dd\.mm"/>
      <fill>
        <patternFill>
          <bgColor rgb="FF833C0B"/>
        </patternFill>
      </fill>
    </dxf>
    <dxf>
      <font>
        <color rgb="FF595959"/>
      </font>
      <numFmt numFmtId="172" formatCode="&quot;Kapandı &quot;dd\.mm"/>
      <fill>
        <patternFill>
          <bgColor rgb="FFF4E1D2"/>
        </patternFill>
      </fill>
    </dxf>
    <dxf>
      <fill>
        <patternFill>
          <bgColor rgb="FFD5EEF0"/>
        </patternFill>
      </fill>
    </dxf>
    <dxf>
      <font>
        <b/>
        <color rgb="FFFFFFFF"/>
      </font>
      <numFmt numFmtId="171" formatCode="&quot;Açık &quot;dd\.mm"/>
      <fill>
        <patternFill>
          <bgColor rgb="FF0E7C86"/>
        </patternFill>
      </fill>
    </dxf>
    <dxf>
      <font>
        <color rgb="FF595959"/>
      </font>
      <numFmt numFmtId="172" formatCode="&quot;Kapandı &quot;dd\.mm"/>
      <fill>
        <patternFill>
          <bgColor rgb="FFD5EEF0"/>
        </patternFill>
      </fill>
    </dxf>
    <dxf>
      <fill>
        <patternFill>
          <bgColor rgb="FFE4DFEC"/>
        </patternFill>
      </fill>
    </dxf>
    <dxf>
      <font>
        <b/>
        <color rgb="FFFFFFFF"/>
      </font>
      <numFmt numFmtId="171" formatCode="&quot;Açık &quot;dd\.mm"/>
      <fill>
        <patternFill>
          <bgColor rgb="FF7030A0"/>
        </patternFill>
      </fill>
    </dxf>
    <dxf>
      <font>
        <color rgb="FF595959"/>
      </font>
      <numFmt numFmtId="172" formatCode="&quot;Kapandı &quot;dd\.mm"/>
      <fill>
        <patternFill>
          <bgColor rgb="FFE4DFEC"/>
        </patternFill>
      </fill>
    </dxf>
    <dxf>
      <fill>
        <patternFill>
          <bgColor rgb="FFF8D7DA"/>
        </patternFill>
      </fill>
    </dxf>
    <dxf>
      <font>
        <b/>
        <color rgb="FFFFFFFF"/>
      </font>
      <numFmt numFmtId="171" formatCode="&quot;Açık &quot;dd\.mm"/>
      <fill>
        <patternFill>
          <bgColor rgb="FFC00000"/>
        </patternFill>
      </fill>
    </dxf>
    <dxf>
      <font>
        <color rgb="FF595959"/>
      </font>
      <numFmt numFmtId="172" formatCode="&quot;Kapandı &quot;dd\.mm"/>
      <fill>
        <patternFill>
          <bgColor rgb="FFF8D7DA"/>
        </patternFill>
      </fill>
    </dxf>
    <dxf>
      <fill>
        <patternFill>
          <bgColor rgb="FFE4DFEC"/>
        </patternFill>
      </fill>
    </dxf>
    <dxf>
      <font>
        <b/>
        <color rgb="FFFFFFFF"/>
      </font>
      <numFmt numFmtId="171" formatCode="&quot;Açık &quot;dd\.mm"/>
      <fill>
        <patternFill>
          <bgColor rgb="FF7030A0"/>
        </patternFill>
      </fill>
    </dxf>
    <dxf>
      <font>
        <color rgb="FF595959"/>
      </font>
      <numFmt numFmtId="172" formatCode="&quot;Kapandı &quot;dd\.mm"/>
      <fill>
        <patternFill>
          <bgColor rgb="FFE4DFEC"/>
        </patternFill>
      </fill>
    </dxf>
    <dxf>
      <fill>
        <patternFill>
          <bgColor rgb="FFE4DFEC"/>
        </patternFill>
      </fill>
    </dxf>
    <dxf>
      <font>
        <b/>
        <color rgb="FFFFFFFF"/>
      </font>
      <numFmt numFmtId="171" formatCode="&quot;Açık &quot;dd\.mm"/>
      <fill>
        <patternFill>
          <bgColor rgb="FF7030A0"/>
        </patternFill>
      </fill>
    </dxf>
    <dxf>
      <font>
        <color rgb="FF595959"/>
      </font>
      <numFmt numFmtId="172" formatCode="&quot;Kapandı &quot;dd\.mm"/>
      <fill>
        <patternFill>
          <bgColor rgb="FFE4DFEC"/>
        </patternFill>
      </fill>
    </dxf>
    <dxf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b/>
        <color rgb="FFFFFFFF"/>
      </font>
      <numFmt numFmtId="171" formatCode="&quot;Açık &quot;dd\.mm"/>
      <fill>
        <patternFill>
          <bgColor rgb="FF548235"/>
        </patternFill>
      </fill>
    </dxf>
    <dxf>
      <font>
        <color rgb="FF595959"/>
      </font>
      <numFmt numFmtId="172" formatCode="&quot;Kapandı &quot;dd\.mm"/>
      <fill>
        <patternFill>
          <bgColor rgb="FFE2EFDA"/>
        </patternFill>
      </fill>
    </dxf>
    <dxf>
      <fill>
        <patternFill>
          <bgColor rgb="FFE4DFEC"/>
        </patternFill>
      </fill>
    </dxf>
    <dxf>
      <font>
        <b/>
        <color rgb="FFFFFFFF"/>
      </font>
      <numFmt numFmtId="171" formatCode="&quot;Açık &quot;dd\.mm"/>
      <fill>
        <patternFill>
          <bgColor rgb="FF7030A0"/>
        </patternFill>
      </fill>
    </dxf>
    <dxf>
      <font>
        <color rgb="FF595959"/>
      </font>
      <numFmt numFmtId="172" formatCode="&quot;Kapandı &quot;dd\.mm"/>
      <fill>
        <patternFill>
          <bgColor rgb="FFE4DFEC"/>
        </patternFill>
      </fill>
    </dxf>
    <dxf>
      <fill>
        <patternFill>
          <bgColor rgb="FFFCE4D6"/>
        </patternFill>
      </fill>
    </dxf>
    <dxf>
      <font>
        <b/>
        <color rgb="FFFFFFFF"/>
      </font>
      <numFmt numFmtId="171" formatCode="&quot;Açık &quot;dd\.mm"/>
      <fill>
        <patternFill>
          <bgColor rgb="FFED7D31"/>
        </patternFill>
      </fill>
    </dxf>
    <dxf>
      <font>
        <color rgb="FF595959"/>
      </font>
      <numFmt numFmtId="172" formatCode="&quot;Kapandı &quot;dd\.mm"/>
      <fill>
        <patternFill>
          <bgColor rgb="FFFCE4D6"/>
        </patternFill>
      </fill>
    </dxf>
    <dxf>
      <fill>
        <patternFill>
          <bgColor rgb="FFF5E4D6"/>
        </patternFill>
      </fill>
    </dxf>
    <dxf>
      <fill>
        <patternFill>
          <bgColor rgb="FFD9F0F2"/>
        </patternFill>
      </fill>
    </dxf>
    <dxf>
      <fill>
        <patternFill>
          <bgColor rgb="FFFFF3D1"/>
        </patternFill>
      </fill>
    </dxf>
    <dxf>
      <fill>
        <patternFill>
          <bgColor rgb="FFDAE0E7"/>
        </patternFill>
      </fill>
    </dxf>
    <dxf>
      <fill>
        <patternFill>
          <bgColor rgb="FFF9DBDE"/>
        </patternFill>
      </fill>
    </dxf>
    <dxf>
      <fill>
        <patternFill>
          <bgColor rgb="FFE5F1DE"/>
        </patternFill>
      </fill>
    </dxf>
    <dxf>
      <fill>
        <patternFill>
          <bgColor rgb="FFFCE7DA"/>
        </patternFill>
      </fill>
    </dxf>
    <dxf>
      <fill>
        <patternFill>
          <bgColor rgb="FFE0E8F2"/>
        </patternFill>
      </fill>
    </dxf>
    <dxf>
      <fill>
        <patternFill>
          <bgColor rgb="FFE7E2EE"/>
        </patternFill>
      </fill>
    </dxf>
    <dxf>
      <fill>
        <patternFill>
          <bgColor rgb="FFFBE3F1"/>
        </patternFill>
      </fill>
    </dxf>
    <dxf>
      <fill>
        <patternFill>
          <bgColor rgb="FFE5F2DD"/>
        </patternFill>
      </fill>
    </dxf>
    <dxf>
      <fill>
        <patternFill>
          <bgColor rgb="FFDDE4F3"/>
        </patternFill>
      </fill>
    </dxf>
    <dxf>
      <fill>
        <patternFill>
          <bgColor rgb="FFFCE4D6"/>
        </patternFill>
      </fill>
    </dxf>
    <dxf>
      <font>
        <b/>
        <color rgb="FFFFFFFF"/>
      </font>
      <numFmt numFmtId="171" formatCode="&quot;Açık &quot;dd\.mm"/>
      <fill>
        <patternFill>
          <bgColor rgb="FFED7D31"/>
        </patternFill>
      </fill>
    </dxf>
    <dxf>
      <font>
        <color rgb="FF595959"/>
      </font>
      <numFmt numFmtId="172" formatCode="&quot;Kapandı &quot;dd\.mm"/>
      <fill>
        <patternFill>
          <bgColor rgb="FFFCE4D6"/>
        </patternFill>
      </fill>
    </dxf>
    <dxf>
      <fill>
        <patternFill>
          <bgColor rgb="FFE4DFEC"/>
        </patternFill>
      </fill>
    </dxf>
    <dxf>
      <font>
        <b/>
        <color rgb="FFFFFFFF"/>
      </font>
      <numFmt numFmtId="171" formatCode="&quot;Açık &quot;dd\.mm"/>
      <fill>
        <patternFill>
          <bgColor rgb="FF7030A0"/>
        </patternFill>
      </fill>
    </dxf>
    <dxf>
      <font>
        <color rgb="FF595959"/>
      </font>
      <numFmt numFmtId="172" formatCode="&quot;Kapandı &quot;dd\.mm"/>
      <fill>
        <patternFill>
          <bgColor rgb="FFE4DFEC"/>
        </patternFill>
      </fill>
    </dxf>
    <dxf>
      <fill>
        <patternFill>
          <bgColor rgb="FFF5E4D6"/>
        </patternFill>
      </fill>
    </dxf>
    <dxf>
      <fill>
        <patternFill>
          <bgColor rgb="FFD9F0F2"/>
        </patternFill>
      </fill>
    </dxf>
    <dxf>
      <fill>
        <patternFill>
          <bgColor rgb="FFFFF3D1"/>
        </patternFill>
      </fill>
    </dxf>
    <dxf>
      <fill>
        <patternFill>
          <bgColor rgb="FFDAE0E7"/>
        </patternFill>
      </fill>
    </dxf>
    <dxf>
      <fill>
        <patternFill>
          <bgColor rgb="FFF9DBDE"/>
        </patternFill>
      </fill>
    </dxf>
    <dxf>
      <fill>
        <patternFill>
          <bgColor rgb="FFE5F1DE"/>
        </patternFill>
      </fill>
    </dxf>
    <dxf>
      <fill>
        <patternFill>
          <bgColor rgb="FFFCE7DA"/>
        </patternFill>
      </fill>
    </dxf>
    <dxf>
      <fill>
        <patternFill>
          <bgColor rgb="FFE0E8F2"/>
        </patternFill>
      </fill>
    </dxf>
    <dxf>
      <fill>
        <patternFill>
          <bgColor rgb="FFE7E2EE"/>
        </patternFill>
      </fill>
    </dxf>
    <dxf>
      <fill>
        <patternFill>
          <bgColor rgb="FFFBE3F1"/>
        </patternFill>
      </fill>
    </dxf>
    <dxf>
      <fill>
        <patternFill>
          <bgColor rgb="FFE5F2DD"/>
        </patternFill>
      </fill>
    </dxf>
    <dxf>
      <fill>
        <patternFill>
          <bgColor rgb="FFDDE4F3"/>
        </patternFill>
      </fill>
    </dxf>
    <dxf>
      <fill>
        <patternFill>
          <bgColor rgb="FFE4DFEC"/>
        </patternFill>
      </fill>
    </dxf>
    <dxf>
      <font>
        <b/>
        <color rgb="FFFFFFFF"/>
      </font>
      <numFmt numFmtId="171" formatCode="&quot;Açık &quot;dd\.mm"/>
      <fill>
        <patternFill>
          <bgColor rgb="FF7030A0"/>
        </patternFill>
      </fill>
    </dxf>
    <dxf>
      <font>
        <color rgb="FF595959"/>
      </font>
      <numFmt numFmtId="172" formatCode="&quot;Kapandı &quot;dd\.mm"/>
      <fill>
        <patternFill>
          <bgColor rgb="FFE4DFEC"/>
        </patternFill>
      </fill>
    </dxf>
    <dxf>
      <fill>
        <patternFill>
          <bgColor rgb="FFFFF2CC"/>
        </patternFill>
      </fill>
    </dxf>
    <dxf>
      <font>
        <b/>
        <color rgb="FFFFFFFF"/>
      </font>
      <numFmt numFmtId="171" formatCode="&quot;Açık &quot;dd\.mm"/>
      <fill>
        <patternFill>
          <bgColor rgb="FFBF8F00"/>
        </patternFill>
      </fill>
    </dxf>
    <dxf>
      <font>
        <color rgb="FF595959"/>
      </font>
      <numFmt numFmtId="172" formatCode="&quot;Kapandı &quot;dd\.mm"/>
      <fill>
        <patternFill>
          <bgColor rgb="FFFFF2CC"/>
        </patternFill>
      </fill>
    </dxf>
    <dxf>
      <fill>
        <patternFill>
          <bgColor rgb="FFF5E4D6"/>
        </patternFill>
      </fill>
    </dxf>
    <dxf>
      <fill>
        <patternFill>
          <bgColor rgb="FFD9F0F2"/>
        </patternFill>
      </fill>
    </dxf>
    <dxf>
      <fill>
        <patternFill>
          <bgColor rgb="FFFFF3D1"/>
        </patternFill>
      </fill>
    </dxf>
    <dxf>
      <fill>
        <patternFill>
          <bgColor rgb="FFDAE0E7"/>
        </patternFill>
      </fill>
    </dxf>
    <dxf>
      <fill>
        <patternFill>
          <bgColor rgb="FFF9DBDE"/>
        </patternFill>
      </fill>
    </dxf>
    <dxf>
      <fill>
        <patternFill>
          <bgColor rgb="FFE5F1DE"/>
        </patternFill>
      </fill>
    </dxf>
    <dxf>
      <fill>
        <patternFill>
          <bgColor rgb="FFFCE7DA"/>
        </patternFill>
      </fill>
    </dxf>
    <dxf>
      <fill>
        <patternFill>
          <bgColor rgb="FFE0E8F2"/>
        </patternFill>
      </fill>
    </dxf>
    <dxf>
      <fill>
        <patternFill>
          <bgColor rgb="FFE7E2EE"/>
        </patternFill>
      </fill>
    </dxf>
    <dxf>
      <fill>
        <patternFill>
          <bgColor rgb="FFFBE3F1"/>
        </patternFill>
      </fill>
    </dxf>
    <dxf>
      <fill>
        <patternFill>
          <bgColor rgb="FFE5F2DD"/>
        </patternFill>
      </fill>
    </dxf>
    <dxf>
      <fill>
        <patternFill>
          <bgColor rgb="FFDDE4F3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b/>
        <color rgb="FFFFFFFF"/>
      </font>
      <numFmt numFmtId="171" formatCode="&quot;Açık &quot;dd\.mm"/>
      <fill>
        <patternFill>
          <bgColor rgb="FFBF8F00"/>
        </patternFill>
      </fill>
    </dxf>
    <dxf>
      <font>
        <color rgb="FF595959"/>
      </font>
      <numFmt numFmtId="172" formatCode="&quot;Kapandı &quot;dd\.mm"/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D6DCE4"/>
        </patternFill>
      </fill>
    </dxf>
    <dxf>
      <font>
        <b/>
        <color rgb="FFFFFFFF"/>
      </font>
      <numFmt numFmtId="171" formatCode="&quot;Açık &quot;dd\.mm"/>
      <fill>
        <patternFill>
          <bgColor rgb="FF44546A"/>
        </patternFill>
      </fill>
    </dxf>
    <dxf>
      <font>
        <color rgb="FF595959"/>
      </font>
      <numFmt numFmtId="172" formatCode="&quot;Kapandı &quot;dd\.mm"/>
      <fill>
        <patternFill>
          <bgColor rgb="FFD6DCE4"/>
        </patternFill>
      </fill>
    </dxf>
    <dxf>
      <fill>
        <patternFill>
          <bgColor rgb="FFDCE6F1"/>
        </patternFill>
      </fill>
    </dxf>
    <dxf>
      <font>
        <b/>
        <color rgb="FFFFFFFF"/>
      </font>
      <numFmt numFmtId="171" formatCode="&quot;Açık &quot;dd\.mm"/>
      <fill>
        <patternFill>
          <bgColor rgb="FF2E75B6"/>
        </patternFill>
      </fill>
    </dxf>
    <dxf>
      <font>
        <color rgb="FF595959"/>
      </font>
      <numFmt numFmtId="172" formatCode="&quot;Kapandı &quot;dd\.mm"/>
      <fill>
        <patternFill>
          <bgColor rgb="FFDCE6F1"/>
        </patternFill>
      </fill>
    </dxf>
    <dxf>
      <font>
        <b/>
        <color rgb="FF9C0006"/>
      </font>
      <fill>
        <patternFill>
          <bgColor rgb="FFFF7C80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>
          <bgColor rgb="FFFF7C80"/>
        </patternFill>
      </fill>
    </dxf>
    <dxf>
      <fill>
        <patternFill>
          <bgColor rgb="FFF5E4D6"/>
        </patternFill>
      </fill>
    </dxf>
    <dxf>
      <fill>
        <patternFill>
          <bgColor rgb="FFD9F0F2"/>
        </patternFill>
      </fill>
    </dxf>
    <dxf>
      <fill>
        <patternFill>
          <bgColor rgb="FFFFF3D1"/>
        </patternFill>
      </fill>
    </dxf>
    <dxf>
      <fill>
        <patternFill>
          <bgColor rgb="FFDAE0E7"/>
        </patternFill>
      </fill>
    </dxf>
    <dxf>
      <fill>
        <patternFill>
          <bgColor rgb="FFF9DBDE"/>
        </patternFill>
      </fill>
    </dxf>
    <dxf>
      <fill>
        <patternFill>
          <bgColor rgb="FFE5F1DE"/>
        </patternFill>
      </fill>
    </dxf>
    <dxf>
      <fill>
        <patternFill>
          <bgColor rgb="FFFCE7DA"/>
        </patternFill>
      </fill>
    </dxf>
    <dxf>
      <fill>
        <patternFill>
          <bgColor rgb="FFE0E8F2"/>
        </patternFill>
      </fill>
    </dxf>
    <dxf>
      <fill>
        <patternFill>
          <bgColor rgb="FFE7E2EE"/>
        </patternFill>
      </fill>
    </dxf>
    <dxf>
      <fill>
        <patternFill>
          <bgColor rgb="FFFBE3F1"/>
        </patternFill>
      </fill>
    </dxf>
    <dxf>
      <fill>
        <patternFill>
          <bgColor rgb="FFE5F2DD"/>
        </patternFill>
      </fill>
    </dxf>
    <dxf>
      <fill>
        <patternFill>
          <bgColor rgb="FFDDE4F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CE6F1"/>
      <rgbColor rgb="FFF8D7DA"/>
      <rgbColor rgb="FFE4DFEC"/>
      <rgbColor rgb="FFFFC7CE"/>
      <rgbColor rgb="FF2E75B6"/>
      <rgbColor rgb="FF33CCCC"/>
      <rgbColor rgb="FF99CC00"/>
      <rgbColor rgb="FFFCE4D6"/>
      <rgbColor rgb="FFBF8F00"/>
      <rgbColor rgb="FFED7D31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A6A6A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C06-43A8-8D0A-2DC916BCB51D}"/>
              </c:ext>
            </c:extLst>
          </c:dPt>
          <c:dPt>
            <c:idx val="1"/>
            <c:invertIfNegative val="1"/>
            <c:bubble3D val="0"/>
            <c:spPr>
              <a:solidFill>
                <a:srgbClr val="2E75B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C06-43A8-8D0A-2DC916BCB51D}"/>
              </c:ext>
            </c:extLst>
          </c:dPt>
          <c:dPt>
            <c:idx val="2"/>
            <c:invertIfNegative val="1"/>
            <c:bubble3D val="0"/>
            <c:spPr>
              <a:solidFill>
                <a:srgbClr val="44546A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C06-43A8-8D0A-2DC916BCB51D}"/>
              </c:ext>
            </c:extLst>
          </c:dPt>
          <c:dPt>
            <c:idx val="3"/>
            <c:invertIfNegative val="1"/>
            <c:bubble3D val="0"/>
            <c:spPr>
              <a:solidFill>
                <a:srgbClr val="BF8F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C06-43A8-8D0A-2DC916BCB51D}"/>
              </c:ext>
            </c:extLst>
          </c:dPt>
          <c:dPt>
            <c:idx val="4"/>
            <c:invertIfNegative val="1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C06-43A8-8D0A-2DC916BCB51D}"/>
              </c:ext>
            </c:extLst>
          </c:dPt>
          <c:dPt>
            <c:idx val="5"/>
            <c:invertIfNegative val="1"/>
            <c:bubble3D val="0"/>
            <c:spPr>
              <a:solidFill>
                <a:srgbClr val="54823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C06-43A8-8D0A-2DC916BCB51D}"/>
              </c:ext>
            </c:extLst>
          </c:dPt>
          <c:dPt>
            <c:idx val="6"/>
            <c:invertIfNegative val="1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C06-43A8-8D0A-2DC916BCB51D}"/>
              </c:ext>
            </c:extLst>
          </c:dPt>
          <c:dPt>
            <c:idx val="7"/>
            <c:invertIfNegative val="1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C06-43A8-8D0A-2DC916BCB51D}"/>
              </c:ext>
            </c:extLst>
          </c:dPt>
          <c:dPt>
            <c:idx val="8"/>
            <c:invertIfNegative val="1"/>
            <c:bubble3D val="0"/>
            <c:spPr>
              <a:solidFill>
                <a:srgbClr val="0E7C8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C06-43A8-8D0A-2DC916BCB51D}"/>
              </c:ext>
            </c:extLst>
          </c:dPt>
          <c:dPt>
            <c:idx val="9"/>
            <c:invertIfNegative val="1"/>
            <c:bubble3D val="0"/>
            <c:spPr>
              <a:solidFill>
                <a:srgbClr val="833C0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C06-43A8-8D0A-2DC916BCB51D}"/>
              </c:ext>
            </c:extLst>
          </c:dPt>
          <c:dPt>
            <c:idx val="10"/>
            <c:invertIfNegative val="1"/>
            <c:bubble3D val="0"/>
            <c:spPr>
              <a:solidFill>
                <a:srgbClr val="C7158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C06-43A8-8D0A-2DC916BCB51D}"/>
              </c:ext>
            </c:extLst>
          </c:dPt>
          <c:dPt>
            <c:idx val="11"/>
            <c:invertIfNegative val="1"/>
            <c:bubble3D val="0"/>
            <c:spPr>
              <a:solidFill>
                <a:srgbClr val="2E7D3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1C06-43A8-8D0A-2DC916BCB51D}"/>
              </c:ext>
            </c:extLst>
          </c:dPt>
          <c:dPt>
            <c:idx val="12"/>
            <c:invertIfNegative val="1"/>
            <c:bubble3D val="0"/>
            <c:spPr>
              <a:solidFill>
                <a:srgbClr val="1F4E7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1C06-43A8-8D0A-2DC916BCB51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'Haftalık Rapor'!$N$15:$N$27</c:f>
              <c:strCache>
                <c:ptCount val="13"/>
                <c:pt idx="0">
                  <c:v>Başlamadı</c:v>
                </c:pt>
                <c:pt idx="1">
                  <c:v>Tasarım</c:v>
                </c:pt>
                <c:pt idx="2">
                  <c:v>Ply Cutter</c:v>
                </c:pt>
                <c:pt idx="3">
                  <c:v>Üretim</c:v>
                </c:pt>
                <c:pt idx="4">
                  <c:v>Talaşlı</c:v>
                </c:pt>
                <c:pt idx="5">
                  <c:v>Montaj</c:v>
                </c:pt>
                <c:pt idx="6">
                  <c:v>Boya</c:v>
                </c:pt>
                <c:pt idx="7">
                  <c:v>Kalite</c:v>
                </c:pt>
                <c:pt idx="8">
                  <c:v>Yarı Mamül</c:v>
                </c:pt>
                <c:pt idx="9">
                  <c:v>KM</c:v>
                </c:pt>
                <c:pt idx="10">
                  <c:v>Rework</c:v>
                </c:pt>
                <c:pt idx="11">
                  <c:v>Kapandı</c:v>
                </c:pt>
                <c:pt idx="12">
                  <c:v>Sevk Edildi</c:v>
                </c:pt>
              </c:strCache>
            </c:strRef>
          </c:cat>
          <c:val>
            <c:numRef>
              <c:f>'Haftalık Rapor'!$O$15:$O$27</c:f>
              <c:numCache>
                <c:formatCode>0;\-0;;</c:formatCode>
                <c:ptCount val="13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22</c:v>
                </c:pt>
                <c:pt idx="4">
                  <c:v>3</c:v>
                </c:pt>
                <c:pt idx="5">
                  <c:v>16</c:v>
                </c:pt>
                <c:pt idx="6">
                  <c:v>7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439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C06-43A8-8D0A-2DC916BCB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tr-T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0;\-0;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7158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'Haftalık Rapor'!$P$57:$P$68</c:f>
              <c:strCache>
                <c:ptCount val="9"/>
                <c:pt idx="0">
                  <c:v>Ölçü hatası</c:v>
                </c:pt>
                <c:pt idx="1">
                  <c:v>Yüzey hatası (çizik, ezik, pürüz)</c:v>
                </c:pt>
                <c:pt idx="2">
                  <c:v>Boya hatası</c:v>
                </c:pt>
                <c:pt idx="3">
                  <c:v>Delaminasyon / hava boşluğu</c:v>
                </c:pt>
                <c:pt idx="4">
                  <c:v>Talaşlı işleme hatası</c:v>
                </c:pt>
                <c:pt idx="5">
                  <c:v>Montaj hatası</c:v>
                </c:pt>
                <c:pt idx="6">
                  <c:v>Malzeme hatası</c:v>
                </c:pt>
                <c:pt idx="7">
                  <c:v>Müşteri iadesi</c:v>
                </c:pt>
                <c:pt idx="8">
                  <c:v>Diğer</c:v>
                </c:pt>
              </c:strCache>
            </c:strRef>
          </c:cat>
          <c:val>
            <c:numRef>
              <c:f>'Haftalık Rapor'!$Q$57:$Q$68</c:f>
              <c:numCache>
                <c:formatCode>0;\-0;;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41-4B7F-9444-C458C0135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tr-T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0;\-0;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'Haftalık Rapor'!$Q$90</c:f>
              <c:strCache>
                <c:ptCount val="1"/>
                <c:pt idx="0">
                  <c:v>Dağıtılan</c:v>
                </c:pt>
              </c:strCache>
            </c:strRef>
          </c:tx>
          <c:spPr>
            <a:solidFill>
              <a:srgbClr val="9DC3E6"/>
            </a:solidFill>
            <a:ln>
              <a:noFill/>
              <a:prstDash val="solid"/>
            </a:ln>
          </c:spPr>
          <c:invertIfNegative val="1"/>
          <c:cat>
            <c:strRef>
              <c:f>'Haftalık Rapor'!$P$91:$P$105</c:f>
              <c:strCache>
                <c:ptCount val="15"/>
                <c:pt idx="0">
                  <c:v>21.09</c:v>
                </c:pt>
                <c:pt idx="1">
                  <c:v>28.09</c:v>
                </c:pt>
                <c:pt idx="2">
                  <c:v>05.10</c:v>
                </c:pt>
                <c:pt idx="3">
                  <c:v>12.10</c:v>
                </c:pt>
                <c:pt idx="4">
                  <c:v>19.10</c:v>
                </c:pt>
                <c:pt idx="5">
                  <c:v>26.10</c:v>
                </c:pt>
                <c:pt idx="6">
                  <c:v>02.11</c:v>
                </c:pt>
                <c:pt idx="7">
                  <c:v>09.11</c:v>
                </c:pt>
                <c:pt idx="8">
                  <c:v>16.11</c:v>
                </c:pt>
                <c:pt idx="9">
                  <c:v>23.11</c:v>
                </c:pt>
                <c:pt idx="10">
                  <c:v>30.11</c:v>
                </c:pt>
                <c:pt idx="11">
                  <c:v>07.12</c:v>
                </c:pt>
                <c:pt idx="12">
                  <c:v>14.12</c:v>
                </c:pt>
                <c:pt idx="13">
                  <c:v>21.12</c:v>
                </c:pt>
                <c:pt idx="14">
                  <c:v>28.12</c:v>
                </c:pt>
              </c:strCache>
            </c:strRef>
          </c:cat>
          <c:val>
            <c:numRef>
              <c:f>'Haftalık Rapor'!$Q$91:$Q$105</c:f>
              <c:numCache>
                <c:formatCode>General</c:formatCode>
                <c:ptCount val="15"/>
                <c:pt idx="0">
                  <c:v>103</c:v>
                </c:pt>
                <c:pt idx="1">
                  <c:v>217</c:v>
                </c:pt>
                <c:pt idx="2">
                  <c:v>208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16-4534-B945-ECBEA1B611F8}"/>
            </c:ext>
          </c:extLst>
        </c:ser>
        <c:ser>
          <c:idx val="1"/>
          <c:order val="1"/>
          <c:tx>
            <c:strRef>
              <c:f>'Haftalık Rapor'!$R$90</c:f>
              <c:strCache>
                <c:ptCount val="1"/>
                <c:pt idx="0">
                  <c:v>Sevk Edilen</c:v>
                </c:pt>
              </c:strCache>
            </c:strRef>
          </c:tx>
          <c:spPr>
            <a:solidFill>
              <a:srgbClr val="1F4E78"/>
            </a:solidFill>
            <a:ln>
              <a:noFill/>
              <a:prstDash val="solid"/>
            </a:ln>
          </c:spPr>
          <c:invertIfNegative val="1"/>
          <c:cat>
            <c:strRef>
              <c:f>'Haftalık Rapor'!$P$91:$P$105</c:f>
              <c:strCache>
                <c:ptCount val="15"/>
                <c:pt idx="0">
                  <c:v>21.09</c:v>
                </c:pt>
                <c:pt idx="1">
                  <c:v>28.09</c:v>
                </c:pt>
                <c:pt idx="2">
                  <c:v>05.10</c:v>
                </c:pt>
                <c:pt idx="3">
                  <c:v>12.10</c:v>
                </c:pt>
                <c:pt idx="4">
                  <c:v>19.10</c:v>
                </c:pt>
                <c:pt idx="5">
                  <c:v>26.10</c:v>
                </c:pt>
                <c:pt idx="6">
                  <c:v>02.11</c:v>
                </c:pt>
                <c:pt idx="7">
                  <c:v>09.11</c:v>
                </c:pt>
                <c:pt idx="8">
                  <c:v>16.11</c:v>
                </c:pt>
                <c:pt idx="9">
                  <c:v>23.11</c:v>
                </c:pt>
                <c:pt idx="10">
                  <c:v>30.11</c:v>
                </c:pt>
                <c:pt idx="11">
                  <c:v>07.12</c:v>
                </c:pt>
                <c:pt idx="12">
                  <c:v>14.12</c:v>
                </c:pt>
                <c:pt idx="13">
                  <c:v>21.12</c:v>
                </c:pt>
                <c:pt idx="14">
                  <c:v>28.12</c:v>
                </c:pt>
              </c:strCache>
            </c:strRef>
          </c:cat>
          <c:val>
            <c:numRef>
              <c:f>'Haftalık Rapor'!$R$91:$R$105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A16-4534-B945-ECBEA1B611F8}"/>
            </c:ext>
          </c:extLst>
        </c:ser>
        <c:ser>
          <c:idx val="2"/>
          <c:order val="2"/>
          <c:tx>
            <c:strRef>
              <c:f>'Haftalık Rapor'!$S$90</c:f>
              <c:strCache>
                <c:ptCount val="1"/>
                <c:pt idx="0">
                  <c:v>Tamamlanan İş</c:v>
                </c:pt>
              </c:strCache>
            </c:strRef>
          </c:tx>
          <c:spPr>
            <a:solidFill>
              <a:srgbClr val="2E7D32"/>
            </a:solidFill>
            <a:ln>
              <a:noFill/>
              <a:prstDash val="solid"/>
            </a:ln>
          </c:spPr>
          <c:invertIfNegative val="1"/>
          <c:cat>
            <c:strRef>
              <c:f>'Haftalık Rapor'!$P$91:$P$105</c:f>
              <c:strCache>
                <c:ptCount val="15"/>
                <c:pt idx="0">
                  <c:v>21.09</c:v>
                </c:pt>
                <c:pt idx="1">
                  <c:v>28.09</c:v>
                </c:pt>
                <c:pt idx="2">
                  <c:v>05.10</c:v>
                </c:pt>
                <c:pt idx="3">
                  <c:v>12.10</c:v>
                </c:pt>
                <c:pt idx="4">
                  <c:v>19.10</c:v>
                </c:pt>
                <c:pt idx="5">
                  <c:v>26.10</c:v>
                </c:pt>
                <c:pt idx="6">
                  <c:v>02.11</c:v>
                </c:pt>
                <c:pt idx="7">
                  <c:v>09.11</c:v>
                </c:pt>
                <c:pt idx="8">
                  <c:v>16.11</c:v>
                </c:pt>
                <c:pt idx="9">
                  <c:v>23.11</c:v>
                </c:pt>
                <c:pt idx="10">
                  <c:v>30.11</c:v>
                </c:pt>
                <c:pt idx="11">
                  <c:v>07.12</c:v>
                </c:pt>
                <c:pt idx="12">
                  <c:v>14.12</c:v>
                </c:pt>
                <c:pt idx="13">
                  <c:v>21.12</c:v>
                </c:pt>
                <c:pt idx="14">
                  <c:v>28.12</c:v>
                </c:pt>
              </c:strCache>
            </c:strRef>
          </c:cat>
          <c:val>
            <c:numRef>
              <c:f>'Haftalık Rapor'!$S$91:$S$105</c:f>
              <c:numCache>
                <c:formatCode>General</c:formatCode>
                <c:ptCount val="15"/>
                <c:pt idx="0">
                  <c:v>122</c:v>
                </c:pt>
                <c:pt idx="1">
                  <c:v>435</c:v>
                </c:pt>
                <c:pt idx="2">
                  <c:v>463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A16-4534-B945-ECBEA1B61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tr-T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3E6EA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tr-TR"/>
          </a:p>
        </c:txPr>
        <c:crossAx val="10"/>
        <c:crosses val="autoZero"/>
        <c:crossBetween val="between"/>
      </c:valAx>
    </c:plotArea>
    <c:legend>
      <c:legendPos val="t"/>
      <c:overlay val="1"/>
    </c:legend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0</xdr:rowOff>
    </xdr:from>
    <xdr:ext cx="4977714" cy="35809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55</xdr:row>
      <xdr:rowOff>0</xdr:rowOff>
    </xdr:from>
    <xdr:ext cx="4977714" cy="333968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71</xdr:row>
      <xdr:rowOff>0</xdr:rowOff>
    </xdr:from>
    <xdr:ext cx="10318476" cy="2821142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B1:L23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.140625" customWidth="1"/>
    <col min="2" max="2" width="17.85546875" customWidth="1"/>
    <col min="3" max="3" width="37" customWidth="1"/>
    <col min="4" max="4" width="16" customWidth="1"/>
    <col min="5" max="5" width="20" customWidth="1"/>
    <col min="7" max="7" width="15" customWidth="1"/>
    <col min="8" max="8" width="22" customWidth="1"/>
    <col min="9" max="9" width="16" customWidth="1"/>
    <col min="11" max="11" width="14" customWidth="1"/>
    <col min="12" max="12" width="32" customWidth="1"/>
  </cols>
  <sheetData>
    <row r="1" spans="2:12" ht="10.5" customHeight="1" x14ac:dyDescent="0.25"/>
    <row r="2" spans="2:12" ht="60" customHeight="1" x14ac:dyDescent="0.25">
      <c r="B2" s="11" t="s">
        <v>6</v>
      </c>
      <c r="C2" s="12" t="s">
        <v>717</v>
      </c>
      <c r="D2" s="12" t="s">
        <v>718</v>
      </c>
      <c r="E2" s="12" t="s">
        <v>719</v>
      </c>
      <c r="F2" s="12" t="s">
        <v>720</v>
      </c>
      <c r="G2" s="12" t="s">
        <v>721</v>
      </c>
      <c r="H2" s="12" t="s">
        <v>722</v>
      </c>
      <c r="I2" s="12" t="s">
        <v>723</v>
      </c>
      <c r="J2" s="12" t="s">
        <v>724</v>
      </c>
      <c r="K2" s="12" t="s">
        <v>725</v>
      </c>
      <c r="L2" s="13" t="s">
        <v>4</v>
      </c>
    </row>
    <row r="3" spans="2:12" ht="18.75" customHeight="1" x14ac:dyDescent="0.25">
      <c r="B3" s="132">
        <v>1</v>
      </c>
      <c r="C3" s="133" t="s">
        <v>726</v>
      </c>
      <c r="D3" s="134"/>
      <c r="E3" s="134"/>
      <c r="F3" s="134"/>
      <c r="G3" s="134"/>
      <c r="H3" s="134" t="s">
        <v>727</v>
      </c>
      <c r="I3" s="135">
        <v>46297</v>
      </c>
      <c r="J3" s="134"/>
      <c r="K3" s="134" t="s">
        <v>728</v>
      </c>
      <c r="L3" s="136" t="s">
        <v>729</v>
      </c>
    </row>
    <row r="4" spans="2:12" ht="17.25" customHeight="1" x14ac:dyDescent="0.25">
      <c r="B4" s="137">
        <v>2</v>
      </c>
      <c r="C4" s="138" t="s">
        <v>730</v>
      </c>
      <c r="D4" s="139"/>
      <c r="E4" s="139"/>
      <c r="F4" s="139"/>
      <c r="G4" s="139"/>
      <c r="H4" s="139" t="s">
        <v>731</v>
      </c>
      <c r="I4" s="139"/>
      <c r="J4" s="139"/>
      <c r="K4" s="139" t="s">
        <v>732</v>
      </c>
      <c r="L4" s="140"/>
    </row>
    <row r="5" spans="2:12" ht="16.5" customHeight="1" x14ac:dyDescent="0.25">
      <c r="B5" s="137">
        <v>3</v>
      </c>
      <c r="C5" s="138" t="s">
        <v>733</v>
      </c>
      <c r="D5" s="139"/>
      <c r="E5" s="139"/>
      <c r="F5" s="139"/>
      <c r="G5" s="139"/>
      <c r="H5" s="139" t="s">
        <v>727</v>
      </c>
      <c r="I5" s="139"/>
      <c r="J5" s="139"/>
      <c r="K5" s="139" t="s">
        <v>732</v>
      </c>
      <c r="L5" s="140"/>
    </row>
    <row r="6" spans="2:12" ht="16.5" customHeight="1" x14ac:dyDescent="0.25">
      <c r="B6" s="141">
        <v>4</v>
      </c>
      <c r="C6" s="16" t="s">
        <v>734</v>
      </c>
      <c r="D6" s="142"/>
      <c r="E6" s="142"/>
      <c r="F6" s="142"/>
      <c r="G6" s="14"/>
      <c r="H6" s="14" t="s">
        <v>731</v>
      </c>
      <c r="I6" s="143">
        <v>46295</v>
      </c>
      <c r="J6" s="14"/>
      <c r="K6" s="14"/>
      <c r="L6" s="15"/>
    </row>
    <row r="7" spans="2:12" ht="15" customHeight="1" x14ac:dyDescent="0.25">
      <c r="B7" s="137">
        <v>5</v>
      </c>
      <c r="C7" s="138" t="s">
        <v>735</v>
      </c>
      <c r="D7" s="139"/>
      <c r="E7" s="139"/>
      <c r="F7" s="139"/>
      <c r="G7" s="139"/>
      <c r="H7" s="139" t="s">
        <v>727</v>
      </c>
      <c r="I7" s="144">
        <v>46295</v>
      </c>
      <c r="J7" s="139"/>
      <c r="K7" s="139" t="s">
        <v>732</v>
      </c>
      <c r="L7" s="140"/>
    </row>
    <row r="8" spans="2:12" ht="16.5" customHeight="1" x14ac:dyDescent="0.25">
      <c r="B8" s="137">
        <v>6</v>
      </c>
      <c r="C8" s="138" t="s">
        <v>736</v>
      </c>
      <c r="D8" s="139"/>
      <c r="E8" s="139"/>
      <c r="F8" s="139"/>
      <c r="G8" s="139"/>
      <c r="H8" s="139" t="s">
        <v>731</v>
      </c>
      <c r="I8" s="144">
        <v>46292</v>
      </c>
      <c r="J8" s="139"/>
      <c r="K8" s="139" t="s">
        <v>732</v>
      </c>
      <c r="L8" s="140"/>
    </row>
    <row r="9" spans="2:12" ht="16.5" customHeight="1" x14ac:dyDescent="0.25">
      <c r="B9" s="137">
        <v>7</v>
      </c>
      <c r="C9" s="138" t="s">
        <v>737</v>
      </c>
      <c r="D9" s="139"/>
      <c r="E9" s="139"/>
      <c r="F9" s="139"/>
      <c r="G9" s="139"/>
      <c r="H9" s="139" t="s">
        <v>731</v>
      </c>
      <c r="I9" s="144">
        <v>46292</v>
      </c>
      <c r="J9" s="139"/>
      <c r="K9" s="139" t="s">
        <v>732</v>
      </c>
      <c r="L9" s="140"/>
    </row>
    <row r="10" spans="2:12" ht="16.5" customHeight="1" x14ac:dyDescent="0.25">
      <c r="B10" s="137">
        <v>8</v>
      </c>
      <c r="C10" s="138" t="s">
        <v>738</v>
      </c>
      <c r="D10" s="139"/>
      <c r="E10" s="139"/>
      <c r="F10" s="139"/>
      <c r="G10" s="139"/>
      <c r="H10" s="139" t="s">
        <v>727</v>
      </c>
      <c r="I10" s="144">
        <v>46291</v>
      </c>
      <c r="J10" s="139"/>
      <c r="K10" s="139" t="s">
        <v>732</v>
      </c>
      <c r="L10" s="140"/>
    </row>
    <row r="11" spans="2:12" ht="15" customHeight="1" x14ac:dyDescent="0.25">
      <c r="B11" s="145">
        <v>9</v>
      </c>
      <c r="C11" s="146" t="s">
        <v>739</v>
      </c>
      <c r="D11" s="14"/>
      <c r="E11" s="14"/>
      <c r="F11" s="14"/>
      <c r="G11" s="14"/>
      <c r="H11" s="14" t="s">
        <v>740</v>
      </c>
      <c r="I11" s="14"/>
      <c r="J11" s="14"/>
      <c r="K11" s="14"/>
      <c r="L11" s="15"/>
    </row>
    <row r="12" spans="2:12" ht="15" customHeight="1" x14ac:dyDescent="0.25">
      <c r="B12" s="145">
        <v>10</v>
      </c>
      <c r="C12" s="146" t="s">
        <v>741</v>
      </c>
      <c r="D12" s="14"/>
      <c r="E12" s="14"/>
      <c r="F12" s="14"/>
      <c r="G12" s="14"/>
      <c r="H12" s="14" t="s">
        <v>740</v>
      </c>
      <c r="I12" s="14"/>
      <c r="J12" s="14"/>
      <c r="K12" s="14"/>
      <c r="L12" s="15"/>
    </row>
    <row r="13" spans="2:12" ht="15" customHeight="1" x14ac:dyDescent="0.25">
      <c r="B13" s="132">
        <v>11</v>
      </c>
      <c r="C13" s="133" t="s">
        <v>742</v>
      </c>
      <c r="D13" s="134"/>
      <c r="E13" s="134"/>
      <c r="F13" s="134"/>
      <c r="G13" s="134"/>
      <c r="H13" s="134" t="s">
        <v>740</v>
      </c>
      <c r="I13" s="135"/>
      <c r="J13" s="134"/>
      <c r="K13" s="134"/>
      <c r="L13" s="134"/>
    </row>
    <row r="14" spans="2:12" ht="16.5" customHeight="1" x14ac:dyDescent="0.25">
      <c r="B14" s="137">
        <v>12</v>
      </c>
      <c r="C14" s="138" t="s">
        <v>743</v>
      </c>
      <c r="D14" s="139"/>
      <c r="E14" s="139"/>
      <c r="F14" s="139"/>
      <c r="G14" s="139"/>
      <c r="H14" s="139" t="s">
        <v>731</v>
      </c>
      <c r="I14" s="144"/>
      <c r="J14" s="139"/>
      <c r="K14" s="139" t="s">
        <v>732</v>
      </c>
      <c r="L14" s="140"/>
    </row>
    <row r="15" spans="2:12" ht="15" customHeight="1" x14ac:dyDescent="0.25">
      <c r="B15" s="1"/>
      <c r="L15" s="2"/>
    </row>
    <row r="16" spans="2:12" ht="26.25" customHeight="1" x14ac:dyDescent="0.25">
      <c r="B16" s="5" t="s">
        <v>744</v>
      </c>
      <c r="C16" s="6" t="s">
        <v>732</v>
      </c>
      <c r="D16" s="7" t="s">
        <v>728</v>
      </c>
      <c r="E16" s="8" t="s">
        <v>745</v>
      </c>
      <c r="F16" s="9" t="s">
        <v>746</v>
      </c>
      <c r="G16" s="10" t="s">
        <v>747</v>
      </c>
      <c r="H16" s="3"/>
      <c r="I16" s="3"/>
      <c r="J16" s="3"/>
      <c r="K16" s="3"/>
      <c r="L16" s="4"/>
    </row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3" ht="15" customHeight="1" x14ac:dyDescent="0.25"/>
  </sheetData>
  <dataValidations count="2">
    <dataValidation type="list" allowBlank="1" sqref="H3:H15" xr:uid="{00000000-0002-0000-0000-000000000000}">
      <formula1>"Alihan Köse,Ahmet Emin Gezer,Remzi Alperen Çalışkan,Diğer"</formula1>
      <formula2>0</formula2>
    </dataValidation>
    <dataValidation type="list" allowBlank="1" sqref="K3:K15" xr:uid="{00000000-0002-0000-0000-000001000000}">
      <formula1>"Tamamlandı,Devam Ediyor,Beklemede,Atanmadı,İptal Edildi"</formula1>
      <formula2>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1000"/>
  <sheetViews>
    <sheetView showGridLines="0" tabSelected="1" zoomScaleNormal="100" workbookViewId="0">
      <pane xSplit="3" ySplit="2" topLeftCell="E508" activePane="bottomRight" state="frozen"/>
      <selection pane="topRight"/>
      <selection pane="bottomLeft"/>
      <selection pane="bottomRight" activeCell="H533" sqref="H533"/>
    </sheetView>
  </sheetViews>
  <sheetFormatPr defaultRowHeight="15" x14ac:dyDescent="0.25"/>
  <cols>
    <col min="1" max="1" width="5" customWidth="1"/>
    <col min="2" max="2" width="12" customWidth="1"/>
    <col min="3" max="3" width="48.42578125" customWidth="1"/>
    <col min="4" max="4" width="7" customWidth="1"/>
    <col min="5" max="5" width="16" customWidth="1"/>
    <col min="6" max="6" width="13" customWidth="1"/>
    <col min="7" max="9" width="13.42578125" customWidth="1"/>
    <col min="10" max="10" width="14.42578125" customWidth="1"/>
    <col min="11" max="11" width="13.42578125" customWidth="1"/>
    <col min="12" max="12" width="14.42578125" customWidth="1"/>
    <col min="13" max="13" width="13.42578125" customWidth="1"/>
    <col min="14" max="14" width="14.42578125" customWidth="1"/>
    <col min="15" max="15" width="13.42578125" customWidth="1"/>
    <col min="16" max="16" width="14.42578125" customWidth="1"/>
    <col min="17" max="17" width="13.42578125" customWidth="1"/>
    <col min="18" max="19" width="13.42578125" hidden="1" customWidth="1"/>
    <col min="20" max="20" width="13" customWidth="1"/>
    <col min="21" max="21" width="9" customWidth="1"/>
    <col min="22" max="22" width="22" customWidth="1"/>
    <col min="23" max="23" width="32" customWidth="1"/>
    <col min="24" max="25" width="12" customWidth="1"/>
    <col min="26" max="26" width="27" customWidth="1"/>
    <col min="27" max="27" width="11" customWidth="1"/>
    <col min="28" max="28" width="40" customWidth="1"/>
    <col min="30" max="55" width="10" hidden="1" customWidth="1"/>
  </cols>
  <sheetData>
    <row r="1" spans="1:55" ht="24" customHeight="1" x14ac:dyDescent="0.25">
      <c r="A1" s="191" t="s">
        <v>0</v>
      </c>
      <c r="B1" s="193"/>
      <c r="C1" s="193"/>
      <c r="D1" s="193"/>
      <c r="E1" s="193"/>
      <c r="F1" s="194"/>
      <c r="G1" s="197" t="s">
        <v>1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4"/>
      <c r="U1" s="196" t="s">
        <v>2</v>
      </c>
      <c r="V1" s="193"/>
      <c r="W1" s="193"/>
      <c r="X1" s="193"/>
      <c r="Y1" s="194"/>
      <c r="Z1" s="195" t="s">
        <v>3</v>
      </c>
      <c r="AA1" s="194"/>
      <c r="AB1" s="191" t="s">
        <v>4</v>
      </c>
      <c r="AD1" s="17" t="s">
        <v>5</v>
      </c>
    </row>
    <row r="2" spans="1:55" ht="33.950000000000003" customHeight="1" x14ac:dyDescent="0.25">
      <c r="A2" s="155" t="s">
        <v>6</v>
      </c>
      <c r="B2" s="155" t="s">
        <v>7</v>
      </c>
      <c r="C2" s="155" t="s">
        <v>8</v>
      </c>
      <c r="D2" s="155" t="s">
        <v>9</v>
      </c>
      <c r="E2" s="155" t="s">
        <v>10</v>
      </c>
      <c r="F2" s="155" t="s">
        <v>11</v>
      </c>
      <c r="G2" s="156" t="s">
        <v>12</v>
      </c>
      <c r="H2" s="157" t="s">
        <v>13</v>
      </c>
      <c r="I2" s="158" t="s">
        <v>14</v>
      </c>
      <c r="J2" s="159" t="s">
        <v>15</v>
      </c>
      <c r="K2" s="160" t="s">
        <v>16</v>
      </c>
      <c r="L2" s="159" t="s">
        <v>17</v>
      </c>
      <c r="M2" s="161" t="s">
        <v>18</v>
      </c>
      <c r="N2" s="159" t="s">
        <v>19</v>
      </c>
      <c r="O2" s="162" t="s">
        <v>20</v>
      </c>
      <c r="P2" s="159" t="s">
        <v>21</v>
      </c>
      <c r="Q2" s="163" t="s">
        <v>22</v>
      </c>
      <c r="R2" s="164" t="s">
        <v>23</v>
      </c>
      <c r="S2" s="165" t="s">
        <v>24</v>
      </c>
      <c r="T2" s="166" t="s">
        <v>25</v>
      </c>
      <c r="U2" s="167" t="s">
        <v>26</v>
      </c>
      <c r="V2" s="167" t="s">
        <v>27</v>
      </c>
      <c r="W2" s="167" t="s">
        <v>28</v>
      </c>
      <c r="X2" s="167" t="s">
        <v>29</v>
      </c>
      <c r="Y2" s="167" t="s">
        <v>30</v>
      </c>
      <c r="Z2" s="168" t="s">
        <v>31</v>
      </c>
      <c r="AA2" s="168" t="s">
        <v>32</v>
      </c>
      <c r="AB2" s="192"/>
      <c r="AD2" s="18" t="s">
        <v>33</v>
      </c>
      <c r="AE2" s="18" t="s">
        <v>34</v>
      </c>
      <c r="AF2" s="18" t="s">
        <v>35</v>
      </c>
      <c r="AG2" s="18" t="s">
        <v>36</v>
      </c>
      <c r="AH2" s="18" t="s">
        <v>37</v>
      </c>
      <c r="AI2" s="18" t="s">
        <v>38</v>
      </c>
      <c r="AJ2" s="18" t="s">
        <v>39</v>
      </c>
      <c r="AK2" s="18" t="s">
        <v>40</v>
      </c>
      <c r="AL2" s="18" t="s">
        <v>41</v>
      </c>
      <c r="AM2" s="18" t="s">
        <v>42</v>
      </c>
      <c r="AN2" s="18" t="s">
        <v>43</v>
      </c>
      <c r="AO2" s="18" t="s">
        <v>44</v>
      </c>
      <c r="AP2" s="18" t="s">
        <v>45</v>
      </c>
      <c r="AQ2" s="18" t="s">
        <v>46</v>
      </c>
      <c r="AR2" s="18" t="s">
        <v>47</v>
      </c>
      <c r="AS2" s="18" t="s">
        <v>48</v>
      </c>
      <c r="AT2" s="18" t="s">
        <v>49</v>
      </c>
      <c r="AU2" s="18" t="s">
        <v>50</v>
      </c>
      <c r="AV2" s="18" t="s">
        <v>51</v>
      </c>
      <c r="AW2" s="18" t="s">
        <v>52</v>
      </c>
      <c r="AX2" s="18" t="s">
        <v>53</v>
      </c>
      <c r="AY2" s="18" t="s">
        <v>54</v>
      </c>
      <c r="AZ2" s="18" t="s">
        <v>55</v>
      </c>
      <c r="BA2" s="18" t="s">
        <v>56</v>
      </c>
      <c r="BB2" s="18" t="s">
        <v>57</v>
      </c>
      <c r="BC2" s="18" t="s">
        <v>58</v>
      </c>
    </row>
    <row r="3" spans="1:55" ht="15" customHeight="1" x14ac:dyDescent="0.25">
      <c r="A3" s="151">
        <f t="shared" ref="A3:A66" si="0">IF(B3="","",ROW()-2)</f>
        <v>1</v>
      </c>
      <c r="B3" s="151" t="s">
        <v>59</v>
      </c>
      <c r="C3" s="152" t="s">
        <v>60</v>
      </c>
      <c r="D3" s="151">
        <f t="shared" ref="D3:D66" si="1">IFERROR(VALUE(TRIM(MID(C3,FIND(" - ",C3)+3,FIND(" - ",C3,FIND(" - ",C3)+3)-FIND(" - ",C3)-3))),"")</f>
        <v>1</v>
      </c>
      <c r="E3" s="151" t="s">
        <v>61</v>
      </c>
      <c r="F3" s="173">
        <v>46288</v>
      </c>
      <c r="G3" s="173"/>
      <c r="H3" s="173"/>
      <c r="I3" s="173">
        <v>46288</v>
      </c>
      <c r="J3" s="173">
        <v>46290</v>
      </c>
      <c r="K3" s="173"/>
      <c r="L3" s="173"/>
      <c r="M3" s="173"/>
      <c r="N3" s="173"/>
      <c r="O3" s="173"/>
      <c r="P3" s="173"/>
      <c r="Q3" s="173"/>
      <c r="R3" s="173"/>
      <c r="S3" s="173"/>
      <c r="T3" s="174">
        <v>46291</v>
      </c>
      <c r="U3" s="151"/>
      <c r="V3" s="152"/>
      <c r="W3" s="175"/>
      <c r="X3" s="173"/>
      <c r="Y3" s="173"/>
      <c r="Z3" s="176" t="str">
        <f>IF(B3="","",IF(S3&lt;&gt;"","Sevk Edildi",IF(AND(X3&lt;&gt;"",Y3=""),"Reworkte",IF(T3&lt;&gt;"","Kapandı"&amp;IF(COUNT(G3:R3)=0,""," – "&amp;LOOKUP(2,1/(G3:R3=MAX(G3:R3)),{"Tasarım","Ply Cutter","Üretim","Kalite (Üretim sonrası)","Talaşlı","Kalite (Talaşlı sonrası)","Montaj","Kalite (Montaj sonrası)","Boya","Kalite (Boya sonrası)","Yarı Mamül","KM"})),IF(COUNT(G3:R3)=0,"Başlamadı",LOOKUP(2,1/(G3:R3=MAX(G3:R3)),{"Tasarımda","Ply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" s="177">
        <f t="shared" ref="AA3:AA66" ca="1" si="2">IF(OR(B3="",F3=""),"",IFERROR(IF(S3&lt;&gt;"",S3-F3,IF(T3&lt;&gt;"",T3-F3,TODAY()-F3)),""))</f>
        <v>3</v>
      </c>
      <c r="AB3" s="175" t="s">
        <v>62</v>
      </c>
      <c r="AD3" t="str">
        <f>IF(OR($B3="",NOT(ISNUMBER(G3))),"",IF(COUNTIF(H3:$T3,G3)&gt;0,0,IF(COUNTIF($G3:$T3,"&gt;"&amp;G3)=0,"",SMALL($G3:$T3,COUNTIF($G3:$T3,"&lt;="&amp;G3)+1)-G3)))</f>
        <v/>
      </c>
      <c r="AE3" t="str">
        <f>IF(OR($B3="",NOT(ISNUMBER(H3))),"",IF(COUNTIF(I3:$T3,H3)&gt;0,0,IF(COUNTIF($G3:$T3,"&gt;"&amp;H3)=0,"",SMALL($G3:$T3,COUNTIF($G3:$T3,"&lt;="&amp;H3)+1)-H3)))</f>
        <v/>
      </c>
      <c r="AF3">
        <f>IF(OR($B3="",NOT(ISNUMBER(I3))),"",IF(COUNTIF(J3:$T3,I3)&gt;0,0,IF(COUNTIF($G3:$T3,"&gt;"&amp;I3)=0,"",SMALL($G3:$T3,COUNTIF($G3:$T3,"&lt;="&amp;I3)+1)-I3)))</f>
        <v>2</v>
      </c>
      <c r="AG3">
        <f>IF(OR($B3="",NOT(ISNUMBER(J3))),"",IF(COUNTIF(K3:$T3,J3)&gt;0,0,IF(COUNTIF($G3:$T3,"&gt;"&amp;J3)=0,"",SMALL($G3:$T3,COUNTIF($G3:$T3,"&lt;="&amp;J3)+1)-J3)))</f>
        <v>1</v>
      </c>
      <c r="AH3" t="str">
        <f>IF(OR($B3="",NOT(ISNUMBER(K3))),"",IF(COUNTIF(L3:$T3,K3)&gt;0,0,IF(COUNTIF($G3:$T3,"&gt;"&amp;K3)=0,"",SMALL($G3:$T3,COUNTIF($G3:$T3,"&lt;="&amp;K3)+1)-K3)))</f>
        <v/>
      </c>
      <c r="AI3" t="str">
        <f>IF(OR($B3="",NOT(ISNUMBER(L3))),"",IF(COUNTIF(M3:$T3,L3)&gt;0,0,IF(COUNTIF($G3:$T3,"&gt;"&amp;L3)=0,"",SMALL($G3:$T3,COUNTIF($G3:$T3,"&lt;="&amp;L3)+1)-L3)))</f>
        <v/>
      </c>
      <c r="AJ3" t="str">
        <f>IF(OR($B3="",NOT(ISNUMBER(M3))),"",IF(COUNTIF(N3:$T3,M3)&gt;0,0,IF(COUNTIF($G3:$T3,"&gt;"&amp;M3)=0,"",SMALL($G3:$T3,COUNTIF($G3:$T3,"&lt;="&amp;M3)+1)-M3)))</f>
        <v/>
      </c>
      <c r="AK3" t="str">
        <f>IF(OR($B3="",NOT(ISNUMBER(N3))),"",IF(COUNTIF(O3:$T3,N3)&gt;0,0,IF(COUNTIF($G3:$T3,"&gt;"&amp;N3)=0,"",SMALL($G3:$T3,COUNTIF($G3:$T3,"&lt;="&amp;N3)+1)-N3)))</f>
        <v/>
      </c>
      <c r="AL3" t="str">
        <f>IF(OR($B3="",NOT(ISNUMBER(O3))),"",IF(COUNTIF(P3:$T3,O3)&gt;0,0,IF(COUNTIF($G3:$T3,"&gt;"&amp;O3)=0,"",SMALL($G3:$T3,COUNTIF($G3:$T3,"&lt;="&amp;O3)+1)-O3)))</f>
        <v/>
      </c>
      <c r="AM3" t="str">
        <f>IF(OR($B3="",NOT(ISNUMBER(P3))),"",IF(COUNTIF(Q3:$T3,P3)&gt;0,0,IF(COUNTIF($G3:$T3,"&gt;"&amp;P3)=0,"",SMALL($G3:$T3,COUNTIF($G3:$T3,"&lt;="&amp;P3)+1)-P3)))</f>
        <v/>
      </c>
      <c r="AN3" t="str">
        <f>IF(OR($B3="",NOT(ISNUMBER(Q3))),"",IF(COUNTIF(R3:$T3,Q3)&gt;0,0,IF(COUNTIF($G3:$T3,"&gt;"&amp;Q3)=0,"",SMALL($G3:$T3,COUNTIF($G3:$T3,"&lt;="&amp;Q3)+1)-Q3)))</f>
        <v/>
      </c>
      <c r="AO3" t="str">
        <f>IF(OR($B3="",NOT(ISNUMBER(R3))),"",IF(COUNTIF(S3:$T3,R3)&gt;0,0,IF(COUNTIF($G3:$T3,"&gt;"&amp;R3)=0,"",SMALL($G3:$T3,COUNTIF($G3:$T3,"&lt;="&amp;R3)+1)-R3)))</f>
        <v/>
      </c>
      <c r="AP3">
        <f t="shared" ref="AP3:AP66" ca="1" si="3">IF(OR($B3="",Z3="",Z3="Başlamadı",Z3="Sevk Edildi",Z3="Reworkte",LEFT(Z3,7)="Kapandı"),0,TODAY()-MAX($G3:$R3))</f>
        <v>0</v>
      </c>
      <c r="AQ3" s="25" t="str">
        <f t="shared" ref="AQ3:AQ66" si="4">IF(AND(ISNUMBER(G3),ISNUMBER(AD3)),G3+AD3,"")</f>
        <v/>
      </c>
      <c r="AR3" s="25" t="str">
        <f t="shared" ref="AR3:AR66" si="5">IF(AND(ISNUMBER(H3),ISNUMBER(AE3)),H3+AE3,"")</f>
        <v/>
      </c>
      <c r="AS3" s="25">
        <f t="shared" ref="AS3:AS66" si="6">IF(AND(ISNUMBER(I3),ISNUMBER(AF3)),I3+AF3,"")</f>
        <v>46290</v>
      </c>
      <c r="AT3" s="25">
        <f t="shared" ref="AT3:AT66" si="7">IF(AND(ISNUMBER(J3),ISNUMBER(AG3)),J3+AG3,"")</f>
        <v>46291</v>
      </c>
      <c r="AU3" s="25" t="str">
        <f t="shared" ref="AU3:AU66" si="8">IF(AND(ISNUMBER(K3),ISNUMBER(AH3)),K3+AH3,"")</f>
        <v/>
      </c>
      <c r="AV3" s="25" t="str">
        <f t="shared" ref="AV3:AV66" si="9">IF(AND(ISNUMBER(L3),ISNUMBER(AI3)),L3+AI3,"")</f>
        <v/>
      </c>
      <c r="AW3" s="25" t="str">
        <f t="shared" ref="AW3:AW66" si="10">IF(AND(ISNUMBER(M3),ISNUMBER(AJ3)),M3+AJ3,"")</f>
        <v/>
      </c>
      <c r="AX3" s="25" t="str">
        <f t="shared" ref="AX3:AX66" si="11">IF(AND(ISNUMBER(N3),ISNUMBER(AK3)),N3+AK3,"")</f>
        <v/>
      </c>
      <c r="AY3" s="25" t="str">
        <f t="shared" ref="AY3:AY66" si="12">IF(AND(ISNUMBER(O3),ISNUMBER(AL3)),O3+AL3,"")</f>
        <v/>
      </c>
      <c r="AZ3" s="25" t="str">
        <f t="shared" ref="AZ3:AZ66" si="13">IF(AND(ISNUMBER(P3),ISNUMBER(AM3)),P3+AM3,"")</f>
        <v/>
      </c>
      <c r="BA3" s="25" t="str">
        <f t="shared" ref="BA3:BA66" si="14">IF(AND(ISNUMBER(Q3),ISNUMBER(AN3)),Q3+AN3,"")</f>
        <v/>
      </c>
      <c r="BB3" s="25" t="str">
        <f t="shared" ref="BB3:BB66" si="15">IF(AND(ISNUMBER(R3),ISNUMBER(AO3)),R3+AO3,"")</f>
        <v/>
      </c>
      <c r="BC3" s="25">
        <f t="shared" ref="BC3:BC66" si="16">IF(AND(S3="",T3=""),"",MIN(S3,T3))</f>
        <v>46291</v>
      </c>
    </row>
    <row r="4" spans="1:55" ht="15" customHeight="1" x14ac:dyDescent="0.25">
      <c r="A4" s="151">
        <f t="shared" si="0"/>
        <v>2</v>
      </c>
      <c r="B4" s="151" t="s">
        <v>63</v>
      </c>
      <c r="C4" s="152" t="s">
        <v>64</v>
      </c>
      <c r="D4" s="151">
        <f t="shared" si="1"/>
        <v>1</v>
      </c>
      <c r="E4" s="151" t="s">
        <v>61</v>
      </c>
      <c r="F4" s="173">
        <v>46288</v>
      </c>
      <c r="G4" s="173"/>
      <c r="H4" s="173"/>
      <c r="I4" s="173">
        <v>46288</v>
      </c>
      <c r="J4" s="173">
        <v>46290</v>
      </c>
      <c r="K4" s="173"/>
      <c r="L4" s="173"/>
      <c r="M4" s="173"/>
      <c r="N4" s="173"/>
      <c r="O4" s="173"/>
      <c r="P4" s="173"/>
      <c r="Q4" s="173">
        <v>46291</v>
      </c>
      <c r="R4" s="173"/>
      <c r="S4" s="173"/>
      <c r="T4" s="174">
        <v>46291</v>
      </c>
      <c r="U4" s="151"/>
      <c r="V4" s="152"/>
      <c r="W4" s="175"/>
      <c r="X4" s="173"/>
      <c r="Y4" s="173"/>
      <c r="Z4" s="176" t="str">
        <f>IF(B4="","",IF(S4&lt;&gt;"","Sevk Edildi",IF(AND(X4&lt;&gt;"",Y4=""),"Reworkte",IF(T4&lt;&gt;"","Kapandı"&amp;IF(COUNT(G4:R4)=0,""," – "&amp;LOOKUP(2,1/(G4:R4=MAX(G4:R4)),{"Tasarım","Ply Cutter","Üretim","Kalite (Üretim sonrası)","Talaşlı","Kalite (Talaşlı sonrası)","Montaj","Kalite (Montaj sonrası)","Boya","Kalite (Boya sonrası)","Yarı Mamül","KM"})),IF(COUNT(G4:R4)=0,"Başlamadı",LOOKUP(2,1/(G4:R4=MAX(G4:R4)),{"Tasarımda","Ply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" s="177">
        <f t="shared" ca="1" si="2"/>
        <v>3</v>
      </c>
      <c r="AB4" s="175"/>
      <c r="AD4" t="str">
        <f>IF(OR($B4="",NOT(ISNUMBER(G4))),"",IF(COUNTIF(H4:$T4,G4)&gt;0,0,IF(COUNTIF($G4:$T4,"&gt;"&amp;G4)=0,"",SMALL($G4:$T4,COUNTIF($G4:$T4,"&lt;="&amp;G4)+1)-G4)))</f>
        <v/>
      </c>
      <c r="AE4" t="str">
        <f>IF(OR($B4="",NOT(ISNUMBER(H4))),"",IF(COUNTIF(I4:$T4,H4)&gt;0,0,IF(COUNTIF($G4:$T4,"&gt;"&amp;H4)=0,"",SMALL($G4:$T4,COUNTIF($G4:$T4,"&lt;="&amp;H4)+1)-H4)))</f>
        <v/>
      </c>
      <c r="AF4">
        <f>IF(OR($B4="",NOT(ISNUMBER(I4))),"",IF(COUNTIF(J4:$T4,I4)&gt;0,0,IF(COUNTIF($G4:$T4,"&gt;"&amp;I4)=0,"",SMALL($G4:$T4,COUNTIF($G4:$T4,"&lt;="&amp;I4)+1)-I4)))</f>
        <v>2</v>
      </c>
      <c r="AG4">
        <f>IF(OR($B4="",NOT(ISNUMBER(J4))),"",IF(COUNTIF(K4:$T4,J4)&gt;0,0,IF(COUNTIF($G4:$T4,"&gt;"&amp;J4)=0,"",SMALL($G4:$T4,COUNTIF($G4:$T4,"&lt;="&amp;J4)+1)-J4)))</f>
        <v>1</v>
      </c>
      <c r="AH4" t="str">
        <f>IF(OR($B4="",NOT(ISNUMBER(K4))),"",IF(COUNTIF(L4:$T4,K4)&gt;0,0,IF(COUNTIF($G4:$T4,"&gt;"&amp;K4)=0,"",SMALL($G4:$T4,COUNTIF($G4:$T4,"&lt;="&amp;K4)+1)-K4)))</f>
        <v/>
      </c>
      <c r="AI4" t="str">
        <f>IF(OR($B4="",NOT(ISNUMBER(L4))),"",IF(COUNTIF(M4:$T4,L4)&gt;0,0,IF(COUNTIF($G4:$T4,"&gt;"&amp;L4)=0,"",SMALL($G4:$T4,COUNTIF($G4:$T4,"&lt;="&amp;L4)+1)-L4)))</f>
        <v/>
      </c>
      <c r="AJ4" t="str">
        <f>IF(OR($B4="",NOT(ISNUMBER(M4))),"",IF(COUNTIF(N4:$T4,M4)&gt;0,0,IF(COUNTIF($G4:$T4,"&gt;"&amp;M4)=0,"",SMALL($G4:$T4,COUNTIF($G4:$T4,"&lt;="&amp;M4)+1)-M4)))</f>
        <v/>
      </c>
      <c r="AK4" t="str">
        <f>IF(OR($B4="",NOT(ISNUMBER(N4))),"",IF(COUNTIF(O4:$T4,N4)&gt;0,0,IF(COUNTIF($G4:$T4,"&gt;"&amp;N4)=0,"",SMALL($G4:$T4,COUNTIF($G4:$T4,"&lt;="&amp;N4)+1)-N4)))</f>
        <v/>
      </c>
      <c r="AL4" t="str">
        <f>IF(OR($B4="",NOT(ISNUMBER(O4))),"",IF(COUNTIF(P4:$T4,O4)&gt;0,0,IF(COUNTIF($G4:$T4,"&gt;"&amp;O4)=0,"",SMALL($G4:$T4,COUNTIF($G4:$T4,"&lt;="&amp;O4)+1)-O4)))</f>
        <v/>
      </c>
      <c r="AM4" t="str">
        <f>IF(OR($B4="",NOT(ISNUMBER(P4))),"",IF(COUNTIF(Q4:$T4,P4)&gt;0,0,IF(COUNTIF($G4:$T4,"&gt;"&amp;P4)=0,"",SMALL($G4:$T4,COUNTIF($G4:$T4,"&lt;="&amp;P4)+1)-P4)))</f>
        <v/>
      </c>
      <c r="AN4">
        <f>IF(OR($B4="",NOT(ISNUMBER(Q4))),"",IF(COUNTIF(R4:$T4,Q4)&gt;0,0,IF(COUNTIF($G4:$T4,"&gt;"&amp;Q4)=0,"",SMALL($G4:$T4,COUNTIF($G4:$T4,"&lt;="&amp;Q4)+1)-Q4)))</f>
        <v>0</v>
      </c>
      <c r="AO4" t="str">
        <f>IF(OR($B4="",NOT(ISNUMBER(R4))),"",IF(COUNTIF(S4:$T4,R4)&gt;0,0,IF(COUNTIF($G4:$T4,"&gt;"&amp;R4)=0,"",SMALL($G4:$T4,COUNTIF($G4:$T4,"&lt;="&amp;R4)+1)-R4)))</f>
        <v/>
      </c>
      <c r="AP4">
        <f t="shared" ca="1" si="3"/>
        <v>0</v>
      </c>
      <c r="AQ4" s="25" t="str">
        <f t="shared" si="4"/>
        <v/>
      </c>
      <c r="AR4" s="25" t="str">
        <f t="shared" si="5"/>
        <v/>
      </c>
      <c r="AS4" s="25">
        <f t="shared" si="6"/>
        <v>46290</v>
      </c>
      <c r="AT4" s="25">
        <f t="shared" si="7"/>
        <v>46291</v>
      </c>
      <c r="AU4" s="25" t="str">
        <f t="shared" si="8"/>
        <v/>
      </c>
      <c r="AV4" s="25" t="str">
        <f t="shared" si="9"/>
        <v/>
      </c>
      <c r="AW4" s="25" t="str">
        <f t="shared" si="10"/>
        <v/>
      </c>
      <c r="AX4" s="25" t="str">
        <f t="shared" si="11"/>
        <v/>
      </c>
      <c r="AY4" s="25" t="str">
        <f t="shared" si="12"/>
        <v/>
      </c>
      <c r="AZ4" s="25" t="str">
        <f t="shared" si="13"/>
        <v/>
      </c>
      <c r="BA4" s="25">
        <f t="shared" si="14"/>
        <v>46291</v>
      </c>
      <c r="BB4" s="25" t="str">
        <f t="shared" si="15"/>
        <v/>
      </c>
      <c r="BC4" s="25">
        <f t="shared" si="16"/>
        <v>46291</v>
      </c>
    </row>
    <row r="5" spans="1:55" ht="15" customHeight="1" x14ac:dyDescent="0.25">
      <c r="A5" s="151">
        <f t="shared" si="0"/>
        <v>3</v>
      </c>
      <c r="B5" s="151" t="s">
        <v>65</v>
      </c>
      <c r="C5" s="152" t="s">
        <v>64</v>
      </c>
      <c r="D5" s="151">
        <f t="shared" si="1"/>
        <v>1</v>
      </c>
      <c r="E5" s="151" t="s">
        <v>61</v>
      </c>
      <c r="F5" s="173">
        <v>46288</v>
      </c>
      <c r="G5" s="173"/>
      <c r="H5" s="173"/>
      <c r="I5" s="173">
        <v>46288</v>
      </c>
      <c r="J5" s="173">
        <v>46290</v>
      </c>
      <c r="K5" s="173"/>
      <c r="L5" s="173"/>
      <c r="M5" s="173"/>
      <c r="N5" s="173"/>
      <c r="O5" s="173"/>
      <c r="P5" s="173"/>
      <c r="Q5" s="173">
        <v>46291</v>
      </c>
      <c r="R5" s="173"/>
      <c r="S5" s="173"/>
      <c r="T5" s="174">
        <v>46291</v>
      </c>
      <c r="U5" s="151"/>
      <c r="V5" s="152"/>
      <c r="W5" s="175"/>
      <c r="X5" s="173"/>
      <c r="Y5" s="173"/>
      <c r="Z5" s="176" t="str">
        <f>IF(B5="","",IF(S5&lt;&gt;"","Sevk Edildi",IF(AND(X5&lt;&gt;"",Y5=""),"Reworkte",IF(T5&lt;&gt;"","Kapandı"&amp;IF(COUNT(G5:R5)=0,""," – "&amp;LOOKUP(2,1/(G5:R5=MAX(G5:R5)),{"Tasarım","Ply Cutter","Üretim","Kalite (Üretim sonrası)","Talaşlı","Kalite (Talaşlı sonrası)","Montaj","Kalite (Montaj sonrası)","Boya","Kalite (Boya sonrası)","Yarı Mamül","KM"})),IF(COUNT(G5:R5)=0,"Başlamadı",LOOKUP(2,1/(G5:R5=MAX(G5:R5)),{"Tasarımda","Ply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5" s="177">
        <f t="shared" ca="1" si="2"/>
        <v>3</v>
      </c>
      <c r="AB5" s="175"/>
      <c r="AD5" t="str">
        <f>IF(OR($B5="",NOT(ISNUMBER(G5))),"",IF(COUNTIF(H5:$T5,G5)&gt;0,0,IF(COUNTIF($G5:$T5,"&gt;"&amp;G5)=0,"",SMALL($G5:$T5,COUNTIF($G5:$T5,"&lt;="&amp;G5)+1)-G5)))</f>
        <v/>
      </c>
      <c r="AE5" t="str">
        <f>IF(OR($B5="",NOT(ISNUMBER(H5))),"",IF(COUNTIF(I5:$T5,H5)&gt;0,0,IF(COUNTIF($G5:$T5,"&gt;"&amp;H5)=0,"",SMALL($G5:$T5,COUNTIF($G5:$T5,"&lt;="&amp;H5)+1)-H5)))</f>
        <v/>
      </c>
      <c r="AF5">
        <f>IF(OR($B5="",NOT(ISNUMBER(I5))),"",IF(COUNTIF(J5:$T5,I5)&gt;0,0,IF(COUNTIF($G5:$T5,"&gt;"&amp;I5)=0,"",SMALL($G5:$T5,COUNTIF($G5:$T5,"&lt;="&amp;I5)+1)-I5)))</f>
        <v>2</v>
      </c>
      <c r="AG5">
        <f>IF(OR($B5="",NOT(ISNUMBER(J5))),"",IF(COUNTIF(K5:$T5,J5)&gt;0,0,IF(COUNTIF($G5:$T5,"&gt;"&amp;J5)=0,"",SMALL($G5:$T5,COUNTIF($G5:$T5,"&lt;="&amp;J5)+1)-J5)))</f>
        <v>1</v>
      </c>
      <c r="AH5" t="str">
        <f>IF(OR($B5="",NOT(ISNUMBER(K5))),"",IF(COUNTIF(L5:$T5,K5)&gt;0,0,IF(COUNTIF($G5:$T5,"&gt;"&amp;K5)=0,"",SMALL($G5:$T5,COUNTIF($G5:$T5,"&lt;="&amp;K5)+1)-K5)))</f>
        <v/>
      </c>
      <c r="AI5" t="str">
        <f>IF(OR($B5="",NOT(ISNUMBER(L5))),"",IF(COUNTIF(M5:$T5,L5)&gt;0,0,IF(COUNTIF($G5:$T5,"&gt;"&amp;L5)=0,"",SMALL($G5:$T5,COUNTIF($G5:$T5,"&lt;="&amp;L5)+1)-L5)))</f>
        <v/>
      </c>
      <c r="AJ5" t="str">
        <f>IF(OR($B5="",NOT(ISNUMBER(M5))),"",IF(COUNTIF(N5:$T5,M5)&gt;0,0,IF(COUNTIF($G5:$T5,"&gt;"&amp;M5)=0,"",SMALL($G5:$T5,COUNTIF($G5:$T5,"&lt;="&amp;M5)+1)-M5)))</f>
        <v/>
      </c>
      <c r="AK5" t="str">
        <f>IF(OR($B5="",NOT(ISNUMBER(N5))),"",IF(COUNTIF(O5:$T5,N5)&gt;0,0,IF(COUNTIF($G5:$T5,"&gt;"&amp;N5)=0,"",SMALL($G5:$T5,COUNTIF($G5:$T5,"&lt;="&amp;N5)+1)-N5)))</f>
        <v/>
      </c>
      <c r="AL5" t="str">
        <f>IF(OR($B5="",NOT(ISNUMBER(O5))),"",IF(COUNTIF(P5:$T5,O5)&gt;0,0,IF(COUNTIF($G5:$T5,"&gt;"&amp;O5)=0,"",SMALL($G5:$T5,COUNTIF($G5:$T5,"&lt;="&amp;O5)+1)-O5)))</f>
        <v/>
      </c>
      <c r="AM5" t="str">
        <f>IF(OR($B5="",NOT(ISNUMBER(P5))),"",IF(COUNTIF(Q5:$T5,P5)&gt;0,0,IF(COUNTIF($G5:$T5,"&gt;"&amp;P5)=0,"",SMALL($G5:$T5,COUNTIF($G5:$T5,"&lt;="&amp;P5)+1)-P5)))</f>
        <v/>
      </c>
      <c r="AN5">
        <f>IF(OR($B5="",NOT(ISNUMBER(Q5))),"",IF(COUNTIF(R5:$T5,Q5)&gt;0,0,IF(COUNTIF($G5:$T5,"&gt;"&amp;Q5)=0,"",SMALL($G5:$T5,COUNTIF($G5:$T5,"&lt;="&amp;Q5)+1)-Q5)))</f>
        <v>0</v>
      </c>
      <c r="AO5" t="str">
        <f>IF(OR($B5="",NOT(ISNUMBER(R5))),"",IF(COUNTIF(S5:$T5,R5)&gt;0,0,IF(COUNTIF($G5:$T5,"&gt;"&amp;R5)=0,"",SMALL($G5:$T5,COUNTIF($G5:$T5,"&lt;="&amp;R5)+1)-R5)))</f>
        <v/>
      </c>
      <c r="AP5">
        <f t="shared" ca="1" si="3"/>
        <v>0</v>
      </c>
      <c r="AQ5" s="25" t="str">
        <f t="shared" si="4"/>
        <v/>
      </c>
      <c r="AR5" s="25" t="str">
        <f t="shared" si="5"/>
        <v/>
      </c>
      <c r="AS5" s="25">
        <f t="shared" si="6"/>
        <v>46290</v>
      </c>
      <c r="AT5" s="25">
        <f t="shared" si="7"/>
        <v>46291</v>
      </c>
      <c r="AU5" s="25" t="str">
        <f t="shared" si="8"/>
        <v/>
      </c>
      <c r="AV5" s="25" t="str">
        <f t="shared" si="9"/>
        <v/>
      </c>
      <c r="AW5" s="25" t="str">
        <f t="shared" si="10"/>
        <v/>
      </c>
      <c r="AX5" s="25" t="str">
        <f t="shared" si="11"/>
        <v/>
      </c>
      <c r="AY5" s="25" t="str">
        <f t="shared" si="12"/>
        <v/>
      </c>
      <c r="AZ5" s="25" t="str">
        <f t="shared" si="13"/>
        <v/>
      </c>
      <c r="BA5" s="25">
        <f t="shared" si="14"/>
        <v>46291</v>
      </c>
      <c r="BB5" s="25" t="str">
        <f t="shared" si="15"/>
        <v/>
      </c>
      <c r="BC5" s="25">
        <f t="shared" si="16"/>
        <v>46291</v>
      </c>
    </row>
    <row r="6" spans="1:55" ht="15" customHeight="1" x14ac:dyDescent="0.25">
      <c r="A6" s="151">
        <f t="shared" si="0"/>
        <v>4</v>
      </c>
      <c r="B6" s="151" t="s">
        <v>66</v>
      </c>
      <c r="C6" s="152" t="s">
        <v>67</v>
      </c>
      <c r="D6" s="151">
        <f t="shared" si="1"/>
        <v>5</v>
      </c>
      <c r="E6" s="151" t="s">
        <v>61</v>
      </c>
      <c r="F6" s="173">
        <v>46288</v>
      </c>
      <c r="G6" s="173"/>
      <c r="H6" s="173"/>
      <c r="I6" s="173">
        <v>46288</v>
      </c>
      <c r="J6" s="173">
        <v>46291</v>
      </c>
      <c r="K6" s="173"/>
      <c r="L6" s="173"/>
      <c r="M6" s="173"/>
      <c r="N6" s="173"/>
      <c r="O6" s="173"/>
      <c r="P6" s="173"/>
      <c r="Q6" s="173"/>
      <c r="R6" s="173"/>
      <c r="S6" s="173"/>
      <c r="T6" s="174">
        <v>46291</v>
      </c>
      <c r="U6" s="151"/>
      <c r="V6" s="152"/>
      <c r="W6" s="175"/>
      <c r="X6" s="173"/>
      <c r="Y6" s="173"/>
      <c r="Z6" s="176" t="str">
        <f>IF(B6="","",IF(S6&lt;&gt;"","Sevk Edildi",IF(AND(X6&lt;&gt;"",Y6=""),"Reworkte",IF(T6&lt;&gt;"","Kapandı"&amp;IF(COUNT(G6:R6)=0,""," – "&amp;LOOKUP(2,1/(G6:R6=MAX(G6:R6)),{"Tasarım","Ply Cutter","Üretim","Kalite (Üretim sonrası)","Talaşlı","Kalite (Talaşlı sonrası)","Montaj","Kalite (Montaj sonrası)","Boya","Kalite (Boya sonrası)","Yarı Mamül","KM"})),IF(COUNT(G6:R6)=0,"Başlamadı",LOOKUP(2,1/(G6:R6=MAX(G6:R6)),{"Tasarımda","Ply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6" s="177">
        <f t="shared" ca="1" si="2"/>
        <v>3</v>
      </c>
      <c r="AB6" s="175" t="s">
        <v>68</v>
      </c>
      <c r="AD6" t="str">
        <f>IF(OR($B6="",NOT(ISNUMBER(G6))),"",IF(COUNTIF(H6:$T6,G6)&gt;0,0,IF(COUNTIF($G6:$T6,"&gt;"&amp;G6)=0,"",SMALL($G6:$T6,COUNTIF($G6:$T6,"&lt;="&amp;G6)+1)-G6)))</f>
        <v/>
      </c>
      <c r="AE6" t="str">
        <f>IF(OR($B6="",NOT(ISNUMBER(H6))),"",IF(COUNTIF(I6:$T6,H6)&gt;0,0,IF(COUNTIF($G6:$T6,"&gt;"&amp;H6)=0,"",SMALL($G6:$T6,COUNTIF($G6:$T6,"&lt;="&amp;H6)+1)-H6)))</f>
        <v/>
      </c>
      <c r="AF6">
        <f>IF(OR($B6="",NOT(ISNUMBER(I6))),"",IF(COUNTIF(J6:$T6,I6)&gt;0,0,IF(COUNTIF($G6:$T6,"&gt;"&amp;I6)=0,"",SMALL($G6:$T6,COUNTIF($G6:$T6,"&lt;="&amp;I6)+1)-I6)))</f>
        <v>3</v>
      </c>
      <c r="AG6">
        <f>IF(OR($B6="",NOT(ISNUMBER(J6))),"",IF(COUNTIF(K6:$T6,J6)&gt;0,0,IF(COUNTIF($G6:$T6,"&gt;"&amp;J6)=0,"",SMALL($G6:$T6,COUNTIF($G6:$T6,"&lt;="&amp;J6)+1)-J6)))</f>
        <v>0</v>
      </c>
      <c r="AH6" t="str">
        <f>IF(OR($B6="",NOT(ISNUMBER(K6))),"",IF(COUNTIF(L6:$T6,K6)&gt;0,0,IF(COUNTIF($G6:$T6,"&gt;"&amp;K6)=0,"",SMALL($G6:$T6,COUNTIF($G6:$T6,"&lt;="&amp;K6)+1)-K6)))</f>
        <v/>
      </c>
      <c r="AI6" t="str">
        <f>IF(OR($B6="",NOT(ISNUMBER(L6))),"",IF(COUNTIF(M6:$T6,L6)&gt;0,0,IF(COUNTIF($G6:$T6,"&gt;"&amp;L6)=0,"",SMALL($G6:$T6,COUNTIF($G6:$T6,"&lt;="&amp;L6)+1)-L6)))</f>
        <v/>
      </c>
      <c r="AJ6" t="str">
        <f>IF(OR($B6="",NOT(ISNUMBER(M6))),"",IF(COUNTIF(N6:$T6,M6)&gt;0,0,IF(COUNTIF($G6:$T6,"&gt;"&amp;M6)=0,"",SMALL($G6:$T6,COUNTIF($G6:$T6,"&lt;="&amp;M6)+1)-M6)))</f>
        <v/>
      </c>
      <c r="AK6" t="str">
        <f>IF(OR($B6="",NOT(ISNUMBER(N6))),"",IF(COUNTIF(O6:$T6,N6)&gt;0,0,IF(COUNTIF($G6:$T6,"&gt;"&amp;N6)=0,"",SMALL($G6:$T6,COUNTIF($G6:$T6,"&lt;="&amp;N6)+1)-N6)))</f>
        <v/>
      </c>
      <c r="AL6" t="str">
        <f>IF(OR($B6="",NOT(ISNUMBER(O6))),"",IF(COUNTIF(P6:$T6,O6)&gt;0,0,IF(COUNTIF($G6:$T6,"&gt;"&amp;O6)=0,"",SMALL($G6:$T6,COUNTIF($G6:$T6,"&lt;="&amp;O6)+1)-O6)))</f>
        <v/>
      </c>
      <c r="AM6" t="str">
        <f>IF(OR($B6="",NOT(ISNUMBER(P6))),"",IF(COUNTIF(Q6:$T6,P6)&gt;0,0,IF(COUNTIF($G6:$T6,"&gt;"&amp;P6)=0,"",SMALL($G6:$T6,COUNTIF($G6:$T6,"&lt;="&amp;P6)+1)-P6)))</f>
        <v/>
      </c>
      <c r="AN6" t="str">
        <f>IF(OR($B6="",NOT(ISNUMBER(Q6))),"",IF(COUNTIF(R6:$T6,Q6)&gt;0,0,IF(COUNTIF($G6:$T6,"&gt;"&amp;Q6)=0,"",SMALL($G6:$T6,COUNTIF($G6:$T6,"&lt;="&amp;Q6)+1)-Q6)))</f>
        <v/>
      </c>
      <c r="AO6" t="str">
        <f>IF(OR($B6="",NOT(ISNUMBER(R6))),"",IF(COUNTIF(S6:$T6,R6)&gt;0,0,IF(COUNTIF($G6:$T6,"&gt;"&amp;R6)=0,"",SMALL($G6:$T6,COUNTIF($G6:$T6,"&lt;="&amp;R6)+1)-R6)))</f>
        <v/>
      </c>
      <c r="AP6">
        <f t="shared" ca="1" si="3"/>
        <v>0</v>
      </c>
      <c r="AQ6" s="25" t="str">
        <f t="shared" si="4"/>
        <v/>
      </c>
      <c r="AR6" s="25" t="str">
        <f t="shared" si="5"/>
        <v/>
      </c>
      <c r="AS6" s="25">
        <f t="shared" si="6"/>
        <v>46291</v>
      </c>
      <c r="AT6" s="25">
        <f t="shared" si="7"/>
        <v>46291</v>
      </c>
      <c r="AU6" s="25" t="str">
        <f t="shared" si="8"/>
        <v/>
      </c>
      <c r="AV6" s="25" t="str">
        <f t="shared" si="9"/>
        <v/>
      </c>
      <c r="AW6" s="25" t="str">
        <f t="shared" si="10"/>
        <v/>
      </c>
      <c r="AX6" s="25" t="str">
        <f t="shared" si="11"/>
        <v/>
      </c>
      <c r="AY6" s="25" t="str">
        <f t="shared" si="12"/>
        <v/>
      </c>
      <c r="AZ6" s="25" t="str">
        <f t="shared" si="13"/>
        <v/>
      </c>
      <c r="BA6" s="25" t="str">
        <f t="shared" si="14"/>
        <v/>
      </c>
      <c r="BB6" s="25" t="str">
        <f t="shared" si="15"/>
        <v/>
      </c>
      <c r="BC6" s="25">
        <f t="shared" si="16"/>
        <v>46291</v>
      </c>
    </row>
    <row r="7" spans="1:55" ht="15" customHeight="1" x14ac:dyDescent="0.25">
      <c r="A7" s="151">
        <f t="shared" si="0"/>
        <v>5</v>
      </c>
      <c r="B7" s="151" t="s">
        <v>69</v>
      </c>
      <c r="C7" s="152" t="s">
        <v>67</v>
      </c>
      <c r="D7" s="151">
        <f t="shared" si="1"/>
        <v>5</v>
      </c>
      <c r="E7" s="151" t="s">
        <v>61</v>
      </c>
      <c r="F7" s="173">
        <v>46288</v>
      </c>
      <c r="G7" s="173"/>
      <c r="H7" s="173"/>
      <c r="I7" s="173">
        <v>46288</v>
      </c>
      <c r="J7" s="173">
        <v>46291</v>
      </c>
      <c r="K7" s="173"/>
      <c r="L7" s="173"/>
      <c r="M7" s="173"/>
      <c r="N7" s="173"/>
      <c r="O7" s="173"/>
      <c r="P7" s="173"/>
      <c r="Q7" s="173"/>
      <c r="R7" s="173"/>
      <c r="S7" s="173"/>
      <c r="T7" s="174">
        <v>46291</v>
      </c>
      <c r="U7" s="151"/>
      <c r="V7" s="152"/>
      <c r="W7" s="175"/>
      <c r="X7" s="173"/>
      <c r="Y7" s="173"/>
      <c r="Z7" s="176" t="str">
        <f>IF(B7="","",IF(S7&lt;&gt;"","Sevk Edildi",IF(AND(X7&lt;&gt;"",Y7=""),"Reworkte",IF(T7&lt;&gt;"","Kapandı"&amp;IF(COUNT(G7:R7)=0,""," – "&amp;LOOKUP(2,1/(G7:R7=MAX(G7:R7)),{"Tasarım","Ply Cutter","Üretim","Kalite (Üretim sonrası)","Talaşlı","Kalite (Talaşlı sonrası)","Montaj","Kalite (Montaj sonrası)","Boya","Kalite (Boya sonrası)","Yarı Mamül","KM"})),IF(COUNT(G7:R7)=0,"Başlamadı",LOOKUP(2,1/(G7:R7=MAX(G7:R7)),{"Tasarımda","Ply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7" s="177">
        <f t="shared" ca="1" si="2"/>
        <v>3</v>
      </c>
      <c r="AB7" s="175" t="s">
        <v>70</v>
      </c>
      <c r="AD7" t="str">
        <f>IF(OR($B7="",NOT(ISNUMBER(G7))),"",IF(COUNTIF(H7:$T7,G7)&gt;0,0,IF(COUNTIF($G7:$T7,"&gt;"&amp;G7)=0,"",SMALL($G7:$T7,COUNTIF($G7:$T7,"&lt;="&amp;G7)+1)-G7)))</f>
        <v/>
      </c>
      <c r="AE7" t="str">
        <f>IF(OR($B7="",NOT(ISNUMBER(H7))),"",IF(COUNTIF(I7:$T7,H7)&gt;0,0,IF(COUNTIF($G7:$T7,"&gt;"&amp;H7)=0,"",SMALL($G7:$T7,COUNTIF($G7:$T7,"&lt;="&amp;H7)+1)-H7)))</f>
        <v/>
      </c>
      <c r="AF7">
        <f>IF(OR($B7="",NOT(ISNUMBER(I7))),"",IF(COUNTIF(J7:$T7,I7)&gt;0,0,IF(COUNTIF($G7:$T7,"&gt;"&amp;I7)=0,"",SMALL($G7:$T7,COUNTIF($G7:$T7,"&lt;="&amp;I7)+1)-I7)))</f>
        <v>3</v>
      </c>
      <c r="AG7">
        <f>IF(OR($B7="",NOT(ISNUMBER(J7))),"",IF(COUNTIF(K7:$T7,J7)&gt;0,0,IF(COUNTIF($G7:$T7,"&gt;"&amp;J7)=0,"",SMALL($G7:$T7,COUNTIF($G7:$T7,"&lt;="&amp;J7)+1)-J7)))</f>
        <v>0</v>
      </c>
      <c r="AH7" t="str">
        <f>IF(OR($B7="",NOT(ISNUMBER(K7))),"",IF(COUNTIF(L7:$T7,K7)&gt;0,0,IF(COUNTIF($G7:$T7,"&gt;"&amp;K7)=0,"",SMALL($G7:$T7,COUNTIF($G7:$T7,"&lt;="&amp;K7)+1)-K7)))</f>
        <v/>
      </c>
      <c r="AI7" t="str">
        <f>IF(OR($B7="",NOT(ISNUMBER(L7))),"",IF(COUNTIF(M7:$T7,L7)&gt;0,0,IF(COUNTIF($G7:$T7,"&gt;"&amp;L7)=0,"",SMALL($G7:$T7,COUNTIF($G7:$T7,"&lt;="&amp;L7)+1)-L7)))</f>
        <v/>
      </c>
      <c r="AJ7" t="str">
        <f>IF(OR($B7="",NOT(ISNUMBER(M7))),"",IF(COUNTIF(N7:$T7,M7)&gt;0,0,IF(COUNTIF($G7:$T7,"&gt;"&amp;M7)=0,"",SMALL($G7:$T7,COUNTIF($G7:$T7,"&lt;="&amp;M7)+1)-M7)))</f>
        <v/>
      </c>
      <c r="AK7" t="str">
        <f>IF(OR($B7="",NOT(ISNUMBER(N7))),"",IF(COUNTIF(O7:$T7,N7)&gt;0,0,IF(COUNTIF($G7:$T7,"&gt;"&amp;N7)=0,"",SMALL($G7:$T7,COUNTIF($G7:$T7,"&lt;="&amp;N7)+1)-N7)))</f>
        <v/>
      </c>
      <c r="AL7" t="str">
        <f>IF(OR($B7="",NOT(ISNUMBER(O7))),"",IF(COUNTIF(P7:$T7,O7)&gt;0,0,IF(COUNTIF($G7:$T7,"&gt;"&amp;O7)=0,"",SMALL($G7:$T7,COUNTIF($G7:$T7,"&lt;="&amp;O7)+1)-O7)))</f>
        <v/>
      </c>
      <c r="AM7" t="str">
        <f>IF(OR($B7="",NOT(ISNUMBER(P7))),"",IF(COUNTIF(Q7:$T7,P7)&gt;0,0,IF(COUNTIF($G7:$T7,"&gt;"&amp;P7)=0,"",SMALL($G7:$T7,COUNTIF($G7:$T7,"&lt;="&amp;P7)+1)-P7)))</f>
        <v/>
      </c>
      <c r="AN7" t="str">
        <f>IF(OR($B7="",NOT(ISNUMBER(Q7))),"",IF(COUNTIF(R7:$T7,Q7)&gt;0,0,IF(COUNTIF($G7:$T7,"&gt;"&amp;Q7)=0,"",SMALL($G7:$T7,COUNTIF($G7:$T7,"&lt;="&amp;Q7)+1)-Q7)))</f>
        <v/>
      </c>
      <c r="AO7" t="str">
        <f>IF(OR($B7="",NOT(ISNUMBER(R7))),"",IF(COUNTIF(S7:$T7,R7)&gt;0,0,IF(COUNTIF($G7:$T7,"&gt;"&amp;R7)=0,"",SMALL($G7:$T7,COUNTIF($G7:$T7,"&lt;="&amp;R7)+1)-R7)))</f>
        <v/>
      </c>
      <c r="AP7">
        <f t="shared" ca="1" si="3"/>
        <v>0</v>
      </c>
      <c r="AQ7" s="25" t="str">
        <f t="shared" si="4"/>
        <v/>
      </c>
      <c r="AR7" s="25" t="str">
        <f t="shared" si="5"/>
        <v/>
      </c>
      <c r="AS7" s="25">
        <f t="shared" si="6"/>
        <v>46291</v>
      </c>
      <c r="AT7" s="25">
        <f t="shared" si="7"/>
        <v>46291</v>
      </c>
      <c r="AU7" s="25" t="str">
        <f t="shared" si="8"/>
        <v/>
      </c>
      <c r="AV7" s="25" t="str">
        <f t="shared" si="9"/>
        <v/>
      </c>
      <c r="AW7" s="25" t="str">
        <f t="shared" si="10"/>
        <v/>
      </c>
      <c r="AX7" s="25" t="str">
        <f t="shared" si="11"/>
        <v/>
      </c>
      <c r="AY7" s="25" t="str">
        <f t="shared" si="12"/>
        <v/>
      </c>
      <c r="AZ7" s="25" t="str">
        <f t="shared" si="13"/>
        <v/>
      </c>
      <c r="BA7" s="25" t="str">
        <f t="shared" si="14"/>
        <v/>
      </c>
      <c r="BB7" s="25" t="str">
        <f t="shared" si="15"/>
        <v/>
      </c>
      <c r="BC7" s="25">
        <f t="shared" si="16"/>
        <v>46291</v>
      </c>
    </row>
    <row r="8" spans="1:55" ht="15" customHeight="1" x14ac:dyDescent="0.25">
      <c r="A8" s="151">
        <f t="shared" si="0"/>
        <v>6</v>
      </c>
      <c r="B8" s="151" t="s">
        <v>71</v>
      </c>
      <c r="C8" s="152" t="s">
        <v>72</v>
      </c>
      <c r="D8" s="151">
        <f t="shared" si="1"/>
        <v>1</v>
      </c>
      <c r="E8" s="151" t="s">
        <v>61</v>
      </c>
      <c r="F8" s="173">
        <v>46288</v>
      </c>
      <c r="G8" s="173"/>
      <c r="H8" s="173"/>
      <c r="I8" s="173">
        <v>46288</v>
      </c>
      <c r="J8" s="173">
        <v>46290</v>
      </c>
      <c r="K8" s="173"/>
      <c r="L8" s="173"/>
      <c r="M8" s="173"/>
      <c r="N8" s="173"/>
      <c r="O8" s="173"/>
      <c r="P8" s="173"/>
      <c r="Q8" s="173">
        <v>46291</v>
      </c>
      <c r="R8" s="173"/>
      <c r="S8" s="173"/>
      <c r="T8" s="174">
        <v>46291</v>
      </c>
      <c r="U8" s="151"/>
      <c r="V8" s="152"/>
      <c r="W8" s="175"/>
      <c r="X8" s="173"/>
      <c r="Y8" s="173"/>
      <c r="Z8" s="176" t="str">
        <f>IF(B8="","",IF(S8&lt;&gt;"","Sevk Edildi",IF(AND(X8&lt;&gt;"",Y8=""),"Reworkte",IF(T8&lt;&gt;"","Kapandı"&amp;IF(COUNT(G8:R8)=0,""," – "&amp;LOOKUP(2,1/(G8:R8=MAX(G8:R8)),{"Tasarım","Ply Cutter","Üretim","Kalite (Üretim sonrası)","Talaşlı","Kalite (Talaşlı sonrası)","Montaj","Kalite (Montaj sonrası)","Boya","Kalite (Boya sonrası)","Yarı Mamül","KM"})),IF(COUNT(G8:R8)=0,"Başlamadı",LOOKUP(2,1/(G8:R8=MAX(G8:R8)),{"Tasarımda","Ply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8" s="177">
        <f t="shared" ca="1" si="2"/>
        <v>3</v>
      </c>
      <c r="AB8" s="175"/>
      <c r="AD8" t="str">
        <f>IF(OR($B8="",NOT(ISNUMBER(G8))),"",IF(COUNTIF(H8:$T8,G8)&gt;0,0,IF(COUNTIF($G8:$T8,"&gt;"&amp;G8)=0,"",SMALL($G8:$T8,COUNTIF($G8:$T8,"&lt;="&amp;G8)+1)-G8)))</f>
        <v/>
      </c>
      <c r="AE8" t="str">
        <f>IF(OR($B8="",NOT(ISNUMBER(H8))),"",IF(COUNTIF(I8:$T8,H8)&gt;0,0,IF(COUNTIF($G8:$T8,"&gt;"&amp;H8)=0,"",SMALL($G8:$T8,COUNTIF($G8:$T8,"&lt;="&amp;H8)+1)-H8)))</f>
        <v/>
      </c>
      <c r="AF8">
        <f>IF(OR($B8="",NOT(ISNUMBER(I8))),"",IF(COUNTIF(J8:$T8,I8)&gt;0,0,IF(COUNTIF($G8:$T8,"&gt;"&amp;I8)=0,"",SMALL($G8:$T8,COUNTIF($G8:$T8,"&lt;="&amp;I8)+1)-I8)))</f>
        <v>2</v>
      </c>
      <c r="AG8">
        <f>IF(OR($B8="",NOT(ISNUMBER(J8))),"",IF(COUNTIF(K8:$T8,J8)&gt;0,0,IF(COUNTIF($G8:$T8,"&gt;"&amp;J8)=0,"",SMALL($G8:$T8,COUNTIF($G8:$T8,"&lt;="&amp;J8)+1)-J8)))</f>
        <v>1</v>
      </c>
      <c r="AH8" t="str">
        <f>IF(OR($B8="",NOT(ISNUMBER(K8))),"",IF(COUNTIF(L8:$T8,K8)&gt;0,0,IF(COUNTIF($G8:$T8,"&gt;"&amp;K8)=0,"",SMALL($G8:$T8,COUNTIF($G8:$T8,"&lt;="&amp;K8)+1)-K8)))</f>
        <v/>
      </c>
      <c r="AI8" t="str">
        <f>IF(OR($B8="",NOT(ISNUMBER(L8))),"",IF(COUNTIF(M8:$T8,L8)&gt;0,0,IF(COUNTIF($G8:$T8,"&gt;"&amp;L8)=0,"",SMALL($G8:$T8,COUNTIF($G8:$T8,"&lt;="&amp;L8)+1)-L8)))</f>
        <v/>
      </c>
      <c r="AJ8" t="str">
        <f>IF(OR($B8="",NOT(ISNUMBER(M8))),"",IF(COUNTIF(N8:$T8,M8)&gt;0,0,IF(COUNTIF($G8:$T8,"&gt;"&amp;M8)=0,"",SMALL($G8:$T8,COUNTIF($G8:$T8,"&lt;="&amp;M8)+1)-M8)))</f>
        <v/>
      </c>
      <c r="AK8" t="str">
        <f>IF(OR($B8="",NOT(ISNUMBER(N8))),"",IF(COUNTIF(O8:$T8,N8)&gt;0,0,IF(COUNTIF($G8:$T8,"&gt;"&amp;N8)=0,"",SMALL($G8:$T8,COUNTIF($G8:$T8,"&lt;="&amp;N8)+1)-N8)))</f>
        <v/>
      </c>
      <c r="AL8" t="str">
        <f>IF(OR($B8="",NOT(ISNUMBER(O8))),"",IF(COUNTIF(P8:$T8,O8)&gt;0,0,IF(COUNTIF($G8:$T8,"&gt;"&amp;O8)=0,"",SMALL($G8:$T8,COUNTIF($G8:$T8,"&lt;="&amp;O8)+1)-O8)))</f>
        <v/>
      </c>
      <c r="AM8" t="str">
        <f>IF(OR($B8="",NOT(ISNUMBER(P8))),"",IF(COUNTIF(Q8:$T8,P8)&gt;0,0,IF(COUNTIF($G8:$T8,"&gt;"&amp;P8)=0,"",SMALL($G8:$T8,COUNTIF($G8:$T8,"&lt;="&amp;P8)+1)-P8)))</f>
        <v/>
      </c>
      <c r="AN8">
        <f>IF(OR($B8="",NOT(ISNUMBER(Q8))),"",IF(COUNTIF(R8:$T8,Q8)&gt;0,0,IF(COUNTIF($G8:$T8,"&gt;"&amp;Q8)=0,"",SMALL($G8:$T8,COUNTIF($G8:$T8,"&lt;="&amp;Q8)+1)-Q8)))</f>
        <v>0</v>
      </c>
      <c r="AO8" t="str">
        <f>IF(OR($B8="",NOT(ISNUMBER(R8))),"",IF(COUNTIF(S8:$T8,R8)&gt;0,0,IF(COUNTIF($G8:$T8,"&gt;"&amp;R8)=0,"",SMALL($G8:$T8,COUNTIF($G8:$T8,"&lt;="&amp;R8)+1)-R8)))</f>
        <v/>
      </c>
      <c r="AP8">
        <f t="shared" ca="1" si="3"/>
        <v>0</v>
      </c>
      <c r="AQ8" s="25" t="str">
        <f t="shared" si="4"/>
        <v/>
      </c>
      <c r="AR8" s="25" t="str">
        <f t="shared" si="5"/>
        <v/>
      </c>
      <c r="AS8" s="25">
        <f t="shared" si="6"/>
        <v>46290</v>
      </c>
      <c r="AT8" s="25">
        <f t="shared" si="7"/>
        <v>46291</v>
      </c>
      <c r="AU8" s="25" t="str">
        <f t="shared" si="8"/>
        <v/>
      </c>
      <c r="AV8" s="25" t="str">
        <f t="shared" si="9"/>
        <v/>
      </c>
      <c r="AW8" s="25" t="str">
        <f t="shared" si="10"/>
        <v/>
      </c>
      <c r="AX8" s="25" t="str">
        <f t="shared" si="11"/>
        <v/>
      </c>
      <c r="AY8" s="25" t="str">
        <f t="shared" si="12"/>
        <v/>
      </c>
      <c r="AZ8" s="25" t="str">
        <f t="shared" si="13"/>
        <v/>
      </c>
      <c r="BA8" s="25">
        <f t="shared" si="14"/>
        <v>46291</v>
      </c>
      <c r="BB8" s="25" t="str">
        <f t="shared" si="15"/>
        <v/>
      </c>
      <c r="BC8" s="25">
        <f t="shared" si="16"/>
        <v>46291</v>
      </c>
    </row>
    <row r="9" spans="1:55" ht="15" customHeight="1" x14ac:dyDescent="0.25">
      <c r="A9" s="151">
        <f t="shared" si="0"/>
        <v>7</v>
      </c>
      <c r="B9" s="151" t="s">
        <v>73</v>
      </c>
      <c r="C9" s="152" t="s">
        <v>74</v>
      </c>
      <c r="D9" s="151">
        <f t="shared" si="1"/>
        <v>1</v>
      </c>
      <c r="E9" s="151" t="s">
        <v>61</v>
      </c>
      <c r="F9" s="173">
        <v>46288</v>
      </c>
      <c r="G9" s="173"/>
      <c r="H9" s="173"/>
      <c r="I9" s="173">
        <v>46288</v>
      </c>
      <c r="J9" s="173">
        <v>46290</v>
      </c>
      <c r="K9" s="173"/>
      <c r="L9" s="173"/>
      <c r="M9" s="173"/>
      <c r="N9" s="173"/>
      <c r="O9" s="173"/>
      <c r="P9" s="173"/>
      <c r="Q9" s="173">
        <v>46291</v>
      </c>
      <c r="R9" s="173"/>
      <c r="S9" s="173"/>
      <c r="T9" s="174">
        <v>46291</v>
      </c>
      <c r="U9" s="151"/>
      <c r="V9" s="152"/>
      <c r="W9" s="175"/>
      <c r="X9" s="173"/>
      <c r="Y9" s="173"/>
      <c r="Z9" s="176" t="str">
        <f>IF(B9="","",IF(S9&lt;&gt;"","Sevk Edildi",IF(AND(X9&lt;&gt;"",Y9=""),"Reworkte",IF(T9&lt;&gt;"","Kapandı"&amp;IF(COUNT(G9:R9)=0,""," – "&amp;LOOKUP(2,1/(G9:R9=MAX(G9:R9)),{"Tasarım","Ply Cutter","Üretim","Kalite (Üretim sonrası)","Talaşlı","Kalite (Talaşlı sonrası)","Montaj","Kalite (Montaj sonrası)","Boya","Kalite (Boya sonrası)","Yarı Mamül","KM"})),IF(COUNT(G9:R9)=0,"Başlamadı",LOOKUP(2,1/(G9:R9=MAX(G9:R9)),{"Tasarımda","Ply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9" s="177">
        <f t="shared" ca="1" si="2"/>
        <v>3</v>
      </c>
      <c r="AB9" s="175"/>
      <c r="AD9" t="str">
        <f>IF(OR($B9="",NOT(ISNUMBER(G9))),"",IF(COUNTIF(H9:$T9,G9)&gt;0,0,IF(COUNTIF($G9:$T9,"&gt;"&amp;G9)=0,"",SMALL($G9:$T9,COUNTIF($G9:$T9,"&lt;="&amp;G9)+1)-G9)))</f>
        <v/>
      </c>
      <c r="AE9" t="str">
        <f>IF(OR($B9="",NOT(ISNUMBER(H9))),"",IF(COUNTIF(I9:$T9,H9)&gt;0,0,IF(COUNTIF($G9:$T9,"&gt;"&amp;H9)=0,"",SMALL($G9:$T9,COUNTIF($G9:$T9,"&lt;="&amp;H9)+1)-H9)))</f>
        <v/>
      </c>
      <c r="AF9">
        <f>IF(OR($B9="",NOT(ISNUMBER(I9))),"",IF(COUNTIF(J9:$T9,I9)&gt;0,0,IF(COUNTIF($G9:$T9,"&gt;"&amp;I9)=0,"",SMALL($G9:$T9,COUNTIF($G9:$T9,"&lt;="&amp;I9)+1)-I9)))</f>
        <v>2</v>
      </c>
      <c r="AG9">
        <f>IF(OR($B9="",NOT(ISNUMBER(J9))),"",IF(COUNTIF(K9:$T9,J9)&gt;0,0,IF(COUNTIF($G9:$T9,"&gt;"&amp;J9)=0,"",SMALL($G9:$T9,COUNTIF($G9:$T9,"&lt;="&amp;J9)+1)-J9)))</f>
        <v>1</v>
      </c>
      <c r="AH9" t="str">
        <f>IF(OR($B9="",NOT(ISNUMBER(K9))),"",IF(COUNTIF(L9:$T9,K9)&gt;0,0,IF(COUNTIF($G9:$T9,"&gt;"&amp;K9)=0,"",SMALL($G9:$T9,COUNTIF($G9:$T9,"&lt;="&amp;K9)+1)-K9)))</f>
        <v/>
      </c>
      <c r="AI9" t="str">
        <f>IF(OR($B9="",NOT(ISNUMBER(L9))),"",IF(COUNTIF(M9:$T9,L9)&gt;0,0,IF(COUNTIF($G9:$T9,"&gt;"&amp;L9)=0,"",SMALL($G9:$T9,COUNTIF($G9:$T9,"&lt;="&amp;L9)+1)-L9)))</f>
        <v/>
      </c>
      <c r="AJ9" t="str">
        <f>IF(OR($B9="",NOT(ISNUMBER(M9))),"",IF(COUNTIF(N9:$T9,M9)&gt;0,0,IF(COUNTIF($G9:$T9,"&gt;"&amp;M9)=0,"",SMALL($G9:$T9,COUNTIF($G9:$T9,"&lt;="&amp;M9)+1)-M9)))</f>
        <v/>
      </c>
      <c r="AK9" t="str">
        <f>IF(OR($B9="",NOT(ISNUMBER(N9))),"",IF(COUNTIF(O9:$T9,N9)&gt;0,0,IF(COUNTIF($G9:$T9,"&gt;"&amp;N9)=0,"",SMALL($G9:$T9,COUNTIF($G9:$T9,"&lt;="&amp;N9)+1)-N9)))</f>
        <v/>
      </c>
      <c r="AL9" t="str">
        <f>IF(OR($B9="",NOT(ISNUMBER(O9))),"",IF(COUNTIF(P9:$T9,O9)&gt;0,0,IF(COUNTIF($G9:$T9,"&gt;"&amp;O9)=0,"",SMALL($G9:$T9,COUNTIF($G9:$T9,"&lt;="&amp;O9)+1)-O9)))</f>
        <v/>
      </c>
      <c r="AM9" t="str">
        <f>IF(OR($B9="",NOT(ISNUMBER(P9))),"",IF(COUNTIF(Q9:$T9,P9)&gt;0,0,IF(COUNTIF($G9:$T9,"&gt;"&amp;P9)=0,"",SMALL($G9:$T9,COUNTIF($G9:$T9,"&lt;="&amp;P9)+1)-P9)))</f>
        <v/>
      </c>
      <c r="AN9">
        <f>IF(OR($B9="",NOT(ISNUMBER(Q9))),"",IF(COUNTIF(R9:$T9,Q9)&gt;0,0,IF(COUNTIF($G9:$T9,"&gt;"&amp;Q9)=0,"",SMALL($G9:$T9,COUNTIF($G9:$T9,"&lt;="&amp;Q9)+1)-Q9)))</f>
        <v>0</v>
      </c>
      <c r="AO9" t="str">
        <f>IF(OR($B9="",NOT(ISNUMBER(R9))),"",IF(COUNTIF(S9:$T9,R9)&gt;0,0,IF(COUNTIF($G9:$T9,"&gt;"&amp;R9)=0,"",SMALL($G9:$T9,COUNTIF($G9:$T9,"&lt;="&amp;R9)+1)-R9)))</f>
        <v/>
      </c>
      <c r="AP9">
        <f t="shared" ca="1" si="3"/>
        <v>0</v>
      </c>
      <c r="AQ9" s="25" t="str">
        <f t="shared" si="4"/>
        <v/>
      </c>
      <c r="AR9" s="25" t="str">
        <f t="shared" si="5"/>
        <v/>
      </c>
      <c r="AS9" s="25">
        <f t="shared" si="6"/>
        <v>46290</v>
      </c>
      <c r="AT9" s="25">
        <f t="shared" si="7"/>
        <v>46291</v>
      </c>
      <c r="AU9" s="25" t="str">
        <f t="shared" si="8"/>
        <v/>
      </c>
      <c r="AV9" s="25" t="str">
        <f t="shared" si="9"/>
        <v/>
      </c>
      <c r="AW9" s="25" t="str">
        <f t="shared" si="10"/>
        <v/>
      </c>
      <c r="AX9" s="25" t="str">
        <f t="shared" si="11"/>
        <v/>
      </c>
      <c r="AY9" s="25" t="str">
        <f t="shared" si="12"/>
        <v/>
      </c>
      <c r="AZ9" s="25" t="str">
        <f t="shared" si="13"/>
        <v/>
      </c>
      <c r="BA9" s="25">
        <f t="shared" si="14"/>
        <v>46291</v>
      </c>
      <c r="BB9" s="25" t="str">
        <f t="shared" si="15"/>
        <v/>
      </c>
      <c r="BC9" s="25">
        <f t="shared" si="16"/>
        <v>46291</v>
      </c>
    </row>
    <row r="10" spans="1:55" ht="15" customHeight="1" x14ac:dyDescent="0.25">
      <c r="A10" s="151">
        <f t="shared" si="0"/>
        <v>8</v>
      </c>
      <c r="B10" s="151" t="s">
        <v>75</v>
      </c>
      <c r="C10" s="152" t="s">
        <v>76</v>
      </c>
      <c r="D10" s="151">
        <f t="shared" si="1"/>
        <v>1</v>
      </c>
      <c r="E10" s="151" t="s">
        <v>61</v>
      </c>
      <c r="F10" s="173">
        <v>46288</v>
      </c>
      <c r="G10" s="173"/>
      <c r="H10" s="173"/>
      <c r="I10" s="173">
        <v>46288</v>
      </c>
      <c r="J10" s="173">
        <v>46290</v>
      </c>
      <c r="K10" s="173"/>
      <c r="L10" s="173"/>
      <c r="M10" s="173"/>
      <c r="N10" s="173"/>
      <c r="O10" s="173"/>
      <c r="P10" s="173"/>
      <c r="Q10" s="173">
        <v>46291</v>
      </c>
      <c r="R10" s="173"/>
      <c r="S10" s="173"/>
      <c r="T10" s="174">
        <v>46291</v>
      </c>
      <c r="U10" s="151"/>
      <c r="V10" s="152"/>
      <c r="W10" s="175"/>
      <c r="X10" s="173"/>
      <c r="Y10" s="173"/>
      <c r="Z10" s="176" t="str">
        <f>IF(B10="","",IF(S10&lt;&gt;"","Sevk Edildi",IF(AND(X10&lt;&gt;"",Y10=""),"Reworkte",IF(T10&lt;&gt;"","Kapandı"&amp;IF(COUNT(G10:R10)=0,""," – "&amp;LOOKUP(2,1/(G10:R10=MAX(G10:R10)),{"Tasarım","Ply Cutter","Üretim","Kalite (Üretim sonrası)","Talaşlı","Kalite (Talaşlı sonrası)","Montaj","Kalite (Montaj sonrası)","Boya","Kalite (Boya sonrası)","Yarı Mamül","KM"})),IF(COUNT(G10:R10)=0,"Başlamadı",LOOKUP(2,1/(G10:R10=MAX(G10:R10)),{"Tasarımda","Ply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0" s="177">
        <f t="shared" ca="1" si="2"/>
        <v>3</v>
      </c>
      <c r="AB10" s="175"/>
      <c r="AD10" t="str">
        <f>IF(OR($B10="",NOT(ISNUMBER(G10))),"",IF(COUNTIF(H10:$T10,G10)&gt;0,0,IF(COUNTIF($G10:$T10,"&gt;"&amp;G10)=0,"",SMALL($G10:$T10,COUNTIF($G10:$T10,"&lt;="&amp;G10)+1)-G10)))</f>
        <v/>
      </c>
      <c r="AE10" t="str">
        <f>IF(OR($B10="",NOT(ISNUMBER(H10))),"",IF(COUNTIF(I10:$T10,H10)&gt;0,0,IF(COUNTIF($G10:$T10,"&gt;"&amp;H10)=0,"",SMALL($G10:$T10,COUNTIF($G10:$T10,"&lt;="&amp;H10)+1)-H10)))</f>
        <v/>
      </c>
      <c r="AF10">
        <f>IF(OR($B10="",NOT(ISNUMBER(I10))),"",IF(COUNTIF(J10:$T10,I10)&gt;0,0,IF(COUNTIF($G10:$T10,"&gt;"&amp;I10)=0,"",SMALL($G10:$T10,COUNTIF($G10:$T10,"&lt;="&amp;I10)+1)-I10)))</f>
        <v>2</v>
      </c>
      <c r="AG10">
        <f>IF(OR($B10="",NOT(ISNUMBER(J10))),"",IF(COUNTIF(K10:$T10,J10)&gt;0,0,IF(COUNTIF($G10:$T10,"&gt;"&amp;J10)=0,"",SMALL($G10:$T10,COUNTIF($G10:$T10,"&lt;="&amp;J10)+1)-J10)))</f>
        <v>1</v>
      </c>
      <c r="AH10" t="str">
        <f>IF(OR($B10="",NOT(ISNUMBER(K10))),"",IF(COUNTIF(L10:$T10,K10)&gt;0,0,IF(COUNTIF($G10:$T10,"&gt;"&amp;K10)=0,"",SMALL($G10:$T10,COUNTIF($G10:$T10,"&lt;="&amp;K10)+1)-K10)))</f>
        <v/>
      </c>
      <c r="AI10" t="str">
        <f>IF(OR($B10="",NOT(ISNUMBER(L10))),"",IF(COUNTIF(M10:$T10,L10)&gt;0,0,IF(COUNTIF($G10:$T10,"&gt;"&amp;L10)=0,"",SMALL($G10:$T10,COUNTIF($G10:$T10,"&lt;="&amp;L10)+1)-L10)))</f>
        <v/>
      </c>
      <c r="AJ10" t="str">
        <f>IF(OR($B10="",NOT(ISNUMBER(M10))),"",IF(COUNTIF(N10:$T10,M10)&gt;0,0,IF(COUNTIF($G10:$T10,"&gt;"&amp;M10)=0,"",SMALL($G10:$T10,COUNTIF($G10:$T10,"&lt;="&amp;M10)+1)-M10)))</f>
        <v/>
      </c>
      <c r="AK10" t="str">
        <f>IF(OR($B10="",NOT(ISNUMBER(N10))),"",IF(COUNTIF(O10:$T10,N10)&gt;0,0,IF(COUNTIF($G10:$T10,"&gt;"&amp;N10)=0,"",SMALL($G10:$T10,COUNTIF($G10:$T10,"&lt;="&amp;N10)+1)-N10)))</f>
        <v/>
      </c>
      <c r="AL10" t="str">
        <f>IF(OR($B10="",NOT(ISNUMBER(O10))),"",IF(COUNTIF(P10:$T10,O10)&gt;0,0,IF(COUNTIF($G10:$T10,"&gt;"&amp;O10)=0,"",SMALL($G10:$T10,COUNTIF($G10:$T10,"&lt;="&amp;O10)+1)-O10)))</f>
        <v/>
      </c>
      <c r="AM10" t="str">
        <f>IF(OR($B10="",NOT(ISNUMBER(P10))),"",IF(COUNTIF(Q10:$T10,P10)&gt;0,0,IF(COUNTIF($G10:$T10,"&gt;"&amp;P10)=0,"",SMALL($G10:$T10,COUNTIF($G10:$T10,"&lt;="&amp;P10)+1)-P10)))</f>
        <v/>
      </c>
      <c r="AN10">
        <f>IF(OR($B10="",NOT(ISNUMBER(Q10))),"",IF(COUNTIF(R10:$T10,Q10)&gt;0,0,IF(COUNTIF($G10:$T10,"&gt;"&amp;Q10)=0,"",SMALL($G10:$T10,COUNTIF($G10:$T10,"&lt;="&amp;Q10)+1)-Q10)))</f>
        <v>0</v>
      </c>
      <c r="AO10" t="str">
        <f>IF(OR($B10="",NOT(ISNUMBER(R10))),"",IF(COUNTIF(S10:$T10,R10)&gt;0,0,IF(COUNTIF($G10:$T10,"&gt;"&amp;R10)=0,"",SMALL($G10:$T10,COUNTIF($G10:$T10,"&lt;="&amp;R10)+1)-R10)))</f>
        <v/>
      </c>
      <c r="AP10">
        <f t="shared" ca="1" si="3"/>
        <v>0</v>
      </c>
      <c r="AQ10" s="25" t="str">
        <f t="shared" si="4"/>
        <v/>
      </c>
      <c r="AR10" s="25" t="str">
        <f t="shared" si="5"/>
        <v/>
      </c>
      <c r="AS10" s="25">
        <f t="shared" si="6"/>
        <v>46290</v>
      </c>
      <c r="AT10" s="25">
        <f t="shared" si="7"/>
        <v>46291</v>
      </c>
      <c r="AU10" s="25" t="str">
        <f t="shared" si="8"/>
        <v/>
      </c>
      <c r="AV10" s="25" t="str">
        <f t="shared" si="9"/>
        <v/>
      </c>
      <c r="AW10" s="25" t="str">
        <f t="shared" si="10"/>
        <v/>
      </c>
      <c r="AX10" s="25" t="str">
        <f t="shared" si="11"/>
        <v/>
      </c>
      <c r="AY10" s="25" t="str">
        <f t="shared" si="12"/>
        <v/>
      </c>
      <c r="AZ10" s="25" t="str">
        <f t="shared" si="13"/>
        <v/>
      </c>
      <c r="BA10" s="25">
        <f t="shared" si="14"/>
        <v>46291</v>
      </c>
      <c r="BB10" s="25" t="str">
        <f t="shared" si="15"/>
        <v/>
      </c>
      <c r="BC10" s="25">
        <f t="shared" si="16"/>
        <v>46291</v>
      </c>
    </row>
    <row r="11" spans="1:55" ht="15" customHeight="1" x14ac:dyDescent="0.25">
      <c r="A11" s="151">
        <f t="shared" si="0"/>
        <v>9</v>
      </c>
      <c r="B11" s="151" t="s">
        <v>77</v>
      </c>
      <c r="C11" s="152" t="s">
        <v>78</v>
      </c>
      <c r="D11" s="151">
        <f t="shared" si="1"/>
        <v>1</v>
      </c>
      <c r="E11" s="151" t="s">
        <v>61</v>
      </c>
      <c r="F11" s="173">
        <v>46288</v>
      </c>
      <c r="G11" s="173"/>
      <c r="H11" s="173"/>
      <c r="I11" s="173">
        <v>46289</v>
      </c>
      <c r="J11" s="173">
        <v>46290</v>
      </c>
      <c r="K11" s="173"/>
      <c r="L11" s="173"/>
      <c r="M11" s="173"/>
      <c r="N11" s="173"/>
      <c r="O11" s="173"/>
      <c r="P11" s="173"/>
      <c r="Q11" s="173">
        <v>46291</v>
      </c>
      <c r="R11" s="173"/>
      <c r="S11" s="173"/>
      <c r="T11" s="174">
        <v>46291</v>
      </c>
      <c r="U11" s="151"/>
      <c r="V11" s="152"/>
      <c r="W11" s="175"/>
      <c r="X11" s="173"/>
      <c r="Y11" s="173"/>
      <c r="Z11" s="176" t="str">
        <f>IF(B11="","",IF(S11&lt;&gt;"","Sevk Edildi",IF(AND(X11&lt;&gt;"",Y11=""),"Reworkte",IF(T11&lt;&gt;"","Kapandı"&amp;IF(COUNT(G11:R11)=0,""," – "&amp;LOOKUP(2,1/(G11:R11=MAX(G11:R11)),{"Tasarım","Ply Cutter","Üretim","Kalite (Üretim sonrası)","Talaşlı","Kalite (Talaşlı sonrası)","Montaj","Kalite (Montaj sonrası)","Boya","Kalite (Boya sonrası)","Yarı Mamül","KM"})),IF(COUNT(G11:R11)=0,"Başlamadı",LOOKUP(2,1/(G11:R11=MAX(G11:R11)),{"Tasarımda","Ply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1" s="177">
        <f t="shared" ca="1" si="2"/>
        <v>3</v>
      </c>
      <c r="AB11" s="175"/>
      <c r="AD11" t="str">
        <f>IF(OR($B11="",NOT(ISNUMBER(G11))),"",IF(COUNTIF(H11:$T11,G11)&gt;0,0,IF(COUNTIF($G11:$T11,"&gt;"&amp;G11)=0,"",SMALL($G11:$T11,COUNTIF($G11:$T11,"&lt;="&amp;G11)+1)-G11)))</f>
        <v/>
      </c>
      <c r="AE11" t="str">
        <f>IF(OR($B11="",NOT(ISNUMBER(H11))),"",IF(COUNTIF(I11:$T11,H11)&gt;0,0,IF(COUNTIF($G11:$T11,"&gt;"&amp;H11)=0,"",SMALL($G11:$T11,COUNTIF($G11:$T11,"&lt;="&amp;H11)+1)-H11)))</f>
        <v/>
      </c>
      <c r="AF11">
        <f>IF(OR($B11="",NOT(ISNUMBER(I11))),"",IF(COUNTIF(J11:$T11,I11)&gt;0,0,IF(COUNTIF($G11:$T11,"&gt;"&amp;I11)=0,"",SMALL($G11:$T11,COUNTIF($G11:$T11,"&lt;="&amp;I11)+1)-I11)))</f>
        <v>1</v>
      </c>
      <c r="AG11">
        <f>IF(OR($B11="",NOT(ISNUMBER(J11))),"",IF(COUNTIF(K11:$T11,J11)&gt;0,0,IF(COUNTIF($G11:$T11,"&gt;"&amp;J11)=0,"",SMALL($G11:$T11,COUNTIF($G11:$T11,"&lt;="&amp;J11)+1)-J11)))</f>
        <v>1</v>
      </c>
      <c r="AH11" t="str">
        <f>IF(OR($B11="",NOT(ISNUMBER(K11))),"",IF(COUNTIF(L11:$T11,K11)&gt;0,0,IF(COUNTIF($G11:$T11,"&gt;"&amp;K11)=0,"",SMALL($G11:$T11,COUNTIF($G11:$T11,"&lt;="&amp;K11)+1)-K11)))</f>
        <v/>
      </c>
      <c r="AI11" t="str">
        <f>IF(OR($B11="",NOT(ISNUMBER(L11))),"",IF(COUNTIF(M11:$T11,L11)&gt;0,0,IF(COUNTIF($G11:$T11,"&gt;"&amp;L11)=0,"",SMALL($G11:$T11,COUNTIF($G11:$T11,"&lt;="&amp;L11)+1)-L11)))</f>
        <v/>
      </c>
      <c r="AJ11" t="str">
        <f>IF(OR($B11="",NOT(ISNUMBER(M11))),"",IF(COUNTIF(N11:$T11,M11)&gt;0,0,IF(COUNTIF($G11:$T11,"&gt;"&amp;M11)=0,"",SMALL($G11:$T11,COUNTIF($G11:$T11,"&lt;="&amp;M11)+1)-M11)))</f>
        <v/>
      </c>
      <c r="AK11" t="str">
        <f>IF(OR($B11="",NOT(ISNUMBER(N11))),"",IF(COUNTIF(O11:$T11,N11)&gt;0,0,IF(COUNTIF($G11:$T11,"&gt;"&amp;N11)=0,"",SMALL($G11:$T11,COUNTIF($G11:$T11,"&lt;="&amp;N11)+1)-N11)))</f>
        <v/>
      </c>
      <c r="AL11" t="str">
        <f>IF(OR($B11="",NOT(ISNUMBER(O11))),"",IF(COUNTIF(P11:$T11,O11)&gt;0,0,IF(COUNTIF($G11:$T11,"&gt;"&amp;O11)=0,"",SMALL($G11:$T11,COUNTIF($G11:$T11,"&lt;="&amp;O11)+1)-O11)))</f>
        <v/>
      </c>
      <c r="AM11" t="str">
        <f>IF(OR($B11="",NOT(ISNUMBER(P11))),"",IF(COUNTIF(Q11:$T11,P11)&gt;0,0,IF(COUNTIF($G11:$T11,"&gt;"&amp;P11)=0,"",SMALL($G11:$T11,COUNTIF($G11:$T11,"&lt;="&amp;P11)+1)-P11)))</f>
        <v/>
      </c>
      <c r="AN11">
        <f>IF(OR($B11="",NOT(ISNUMBER(Q11))),"",IF(COUNTIF(R11:$T11,Q11)&gt;0,0,IF(COUNTIF($G11:$T11,"&gt;"&amp;Q11)=0,"",SMALL($G11:$T11,COUNTIF($G11:$T11,"&lt;="&amp;Q11)+1)-Q11)))</f>
        <v>0</v>
      </c>
      <c r="AO11" t="str">
        <f>IF(OR($B11="",NOT(ISNUMBER(R11))),"",IF(COUNTIF(S11:$T11,R11)&gt;0,0,IF(COUNTIF($G11:$T11,"&gt;"&amp;R11)=0,"",SMALL($G11:$T11,COUNTIF($G11:$T11,"&lt;="&amp;R11)+1)-R11)))</f>
        <v/>
      </c>
      <c r="AP11">
        <f t="shared" ca="1" si="3"/>
        <v>0</v>
      </c>
      <c r="AQ11" s="25" t="str">
        <f t="shared" si="4"/>
        <v/>
      </c>
      <c r="AR11" s="25" t="str">
        <f t="shared" si="5"/>
        <v/>
      </c>
      <c r="AS11" s="25">
        <f t="shared" si="6"/>
        <v>46290</v>
      </c>
      <c r="AT11" s="25">
        <f t="shared" si="7"/>
        <v>46291</v>
      </c>
      <c r="AU11" s="25" t="str">
        <f t="shared" si="8"/>
        <v/>
      </c>
      <c r="AV11" s="25" t="str">
        <f t="shared" si="9"/>
        <v/>
      </c>
      <c r="AW11" s="25" t="str">
        <f t="shared" si="10"/>
        <v/>
      </c>
      <c r="AX11" s="25" t="str">
        <f t="shared" si="11"/>
        <v/>
      </c>
      <c r="AY11" s="25" t="str">
        <f t="shared" si="12"/>
        <v/>
      </c>
      <c r="AZ11" s="25" t="str">
        <f t="shared" si="13"/>
        <v/>
      </c>
      <c r="BA11" s="25">
        <f t="shared" si="14"/>
        <v>46291</v>
      </c>
      <c r="BB11" s="25" t="str">
        <f t="shared" si="15"/>
        <v/>
      </c>
      <c r="BC11" s="25">
        <f t="shared" si="16"/>
        <v>46291</v>
      </c>
    </row>
    <row r="12" spans="1:55" ht="15" customHeight="1" x14ac:dyDescent="0.25">
      <c r="A12" s="151">
        <f t="shared" si="0"/>
        <v>10</v>
      </c>
      <c r="B12" s="151" t="s">
        <v>79</v>
      </c>
      <c r="C12" s="152" t="s">
        <v>80</v>
      </c>
      <c r="D12" s="151">
        <f t="shared" si="1"/>
        <v>1</v>
      </c>
      <c r="E12" s="151" t="s">
        <v>61</v>
      </c>
      <c r="F12" s="173">
        <v>46288</v>
      </c>
      <c r="G12" s="173"/>
      <c r="H12" s="173"/>
      <c r="I12" s="173">
        <v>46288</v>
      </c>
      <c r="J12" s="173">
        <v>46290</v>
      </c>
      <c r="K12" s="173"/>
      <c r="L12" s="173"/>
      <c r="M12" s="173"/>
      <c r="N12" s="173"/>
      <c r="O12" s="173"/>
      <c r="P12" s="173"/>
      <c r="Q12" s="173"/>
      <c r="R12" s="173"/>
      <c r="S12" s="173"/>
      <c r="T12" s="174">
        <v>46290</v>
      </c>
      <c r="U12" s="151"/>
      <c r="V12" s="152"/>
      <c r="W12" s="175"/>
      <c r="X12" s="173"/>
      <c r="Y12" s="173"/>
      <c r="Z12" s="176" t="str">
        <f>IF(B12="","",IF(S12&lt;&gt;"","Sevk Edildi",IF(AND(X12&lt;&gt;"",Y12=""),"Reworkte",IF(T12&lt;&gt;"","Kapandı"&amp;IF(COUNT(G12:R12)=0,""," – "&amp;LOOKUP(2,1/(G12:R12=MAX(G12:R12)),{"Tasarım","Ply Cutter","Üretim","Kalite (Üretim sonrası)","Talaşlı","Kalite (Talaşlı sonrası)","Montaj","Kalite (Montaj sonrası)","Boya","Kalite (Boya sonrası)","Yarı Mamül","KM"})),IF(COUNT(G12:R12)=0,"Başlamadı",LOOKUP(2,1/(G12:R12=MAX(G12:R12)),{"Tasarımda","Ply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2" s="177">
        <f t="shared" ca="1" si="2"/>
        <v>2</v>
      </c>
      <c r="AB12" s="175"/>
      <c r="AD12" t="str">
        <f>IF(OR($B12="",NOT(ISNUMBER(G12))),"",IF(COUNTIF(H12:$T12,G12)&gt;0,0,IF(COUNTIF($G12:$T12,"&gt;"&amp;G12)=0,"",SMALL($G12:$T12,COUNTIF($G12:$T12,"&lt;="&amp;G12)+1)-G12)))</f>
        <v/>
      </c>
      <c r="AE12" t="str">
        <f>IF(OR($B12="",NOT(ISNUMBER(H12))),"",IF(COUNTIF(I12:$T12,H12)&gt;0,0,IF(COUNTIF($G12:$T12,"&gt;"&amp;H12)=0,"",SMALL($G12:$T12,COUNTIF($G12:$T12,"&lt;="&amp;H12)+1)-H12)))</f>
        <v/>
      </c>
      <c r="AF12">
        <f>IF(OR($B12="",NOT(ISNUMBER(I12))),"",IF(COUNTIF(J12:$T12,I12)&gt;0,0,IF(COUNTIF($G12:$T12,"&gt;"&amp;I12)=0,"",SMALL($G12:$T12,COUNTIF($G12:$T12,"&lt;="&amp;I12)+1)-I12)))</f>
        <v>2</v>
      </c>
      <c r="AG12">
        <f>IF(OR($B12="",NOT(ISNUMBER(J12))),"",IF(COUNTIF(K12:$T12,J12)&gt;0,0,IF(COUNTIF($G12:$T12,"&gt;"&amp;J12)=0,"",SMALL($G12:$T12,COUNTIF($G12:$T12,"&lt;="&amp;J12)+1)-J12)))</f>
        <v>0</v>
      </c>
      <c r="AH12" t="str">
        <f>IF(OR($B12="",NOT(ISNUMBER(K12))),"",IF(COUNTIF(L12:$T12,K12)&gt;0,0,IF(COUNTIF($G12:$T12,"&gt;"&amp;K12)=0,"",SMALL($G12:$T12,COUNTIF($G12:$T12,"&lt;="&amp;K12)+1)-K12)))</f>
        <v/>
      </c>
      <c r="AI12" t="str">
        <f>IF(OR($B12="",NOT(ISNUMBER(L12))),"",IF(COUNTIF(M12:$T12,L12)&gt;0,0,IF(COUNTIF($G12:$T12,"&gt;"&amp;L12)=0,"",SMALL($G12:$T12,COUNTIF($G12:$T12,"&lt;="&amp;L12)+1)-L12)))</f>
        <v/>
      </c>
      <c r="AJ12" t="str">
        <f>IF(OR($B12="",NOT(ISNUMBER(M12))),"",IF(COUNTIF(N12:$T12,M12)&gt;0,0,IF(COUNTIF($G12:$T12,"&gt;"&amp;M12)=0,"",SMALL($G12:$T12,COUNTIF($G12:$T12,"&lt;="&amp;M12)+1)-M12)))</f>
        <v/>
      </c>
      <c r="AK12" t="str">
        <f>IF(OR($B12="",NOT(ISNUMBER(N12))),"",IF(COUNTIF(O12:$T12,N12)&gt;0,0,IF(COUNTIF($G12:$T12,"&gt;"&amp;N12)=0,"",SMALL($G12:$T12,COUNTIF($G12:$T12,"&lt;="&amp;N12)+1)-N12)))</f>
        <v/>
      </c>
      <c r="AL12" t="str">
        <f>IF(OR($B12="",NOT(ISNUMBER(O12))),"",IF(COUNTIF(P12:$T12,O12)&gt;0,0,IF(COUNTIF($G12:$T12,"&gt;"&amp;O12)=0,"",SMALL($G12:$T12,COUNTIF($G12:$T12,"&lt;="&amp;O12)+1)-O12)))</f>
        <v/>
      </c>
      <c r="AM12" t="str">
        <f>IF(OR($B12="",NOT(ISNUMBER(P12))),"",IF(COUNTIF(Q12:$T12,P12)&gt;0,0,IF(COUNTIF($G12:$T12,"&gt;"&amp;P12)=0,"",SMALL($G12:$T12,COUNTIF($G12:$T12,"&lt;="&amp;P12)+1)-P12)))</f>
        <v/>
      </c>
      <c r="AN12" t="str">
        <f>IF(OR($B12="",NOT(ISNUMBER(Q12))),"",IF(COUNTIF(R12:$T12,Q12)&gt;0,0,IF(COUNTIF($G12:$T12,"&gt;"&amp;Q12)=0,"",SMALL($G12:$T12,COUNTIF($G12:$T12,"&lt;="&amp;Q12)+1)-Q12)))</f>
        <v/>
      </c>
      <c r="AO12" t="str">
        <f>IF(OR($B12="",NOT(ISNUMBER(R12))),"",IF(COUNTIF(S12:$T12,R12)&gt;0,0,IF(COUNTIF($G12:$T12,"&gt;"&amp;R12)=0,"",SMALL($G12:$T12,COUNTIF($G12:$T12,"&lt;="&amp;R12)+1)-R12)))</f>
        <v/>
      </c>
      <c r="AP12">
        <f t="shared" ca="1" si="3"/>
        <v>0</v>
      </c>
      <c r="AQ12" s="25" t="str">
        <f t="shared" si="4"/>
        <v/>
      </c>
      <c r="AR12" s="25" t="str">
        <f t="shared" si="5"/>
        <v/>
      </c>
      <c r="AS12" s="25">
        <f t="shared" si="6"/>
        <v>46290</v>
      </c>
      <c r="AT12" s="25">
        <f t="shared" si="7"/>
        <v>46290</v>
      </c>
      <c r="AU12" s="25" t="str">
        <f t="shared" si="8"/>
        <v/>
      </c>
      <c r="AV12" s="25" t="str">
        <f t="shared" si="9"/>
        <v/>
      </c>
      <c r="AW12" s="25" t="str">
        <f t="shared" si="10"/>
        <v/>
      </c>
      <c r="AX12" s="25" t="str">
        <f t="shared" si="11"/>
        <v/>
      </c>
      <c r="AY12" s="25" t="str">
        <f t="shared" si="12"/>
        <v/>
      </c>
      <c r="AZ12" s="25" t="str">
        <f t="shared" si="13"/>
        <v/>
      </c>
      <c r="BA12" s="25" t="str">
        <f t="shared" si="14"/>
        <v/>
      </c>
      <c r="BB12" s="25" t="str">
        <f t="shared" si="15"/>
        <v/>
      </c>
      <c r="BC12" s="25">
        <f t="shared" si="16"/>
        <v>46290</v>
      </c>
    </row>
    <row r="13" spans="1:55" ht="15" customHeight="1" x14ac:dyDescent="0.25">
      <c r="A13" s="151">
        <f t="shared" si="0"/>
        <v>11</v>
      </c>
      <c r="B13" s="151" t="s">
        <v>81</v>
      </c>
      <c r="C13" s="152" t="s">
        <v>82</v>
      </c>
      <c r="D13" s="151">
        <f t="shared" si="1"/>
        <v>1</v>
      </c>
      <c r="E13" s="151" t="s">
        <v>61</v>
      </c>
      <c r="F13" s="173">
        <v>46288</v>
      </c>
      <c r="G13" s="173"/>
      <c r="H13" s="173"/>
      <c r="I13" s="173">
        <v>46288</v>
      </c>
      <c r="J13" s="173">
        <v>46290</v>
      </c>
      <c r="K13" s="173"/>
      <c r="L13" s="173"/>
      <c r="M13" s="173"/>
      <c r="N13" s="173"/>
      <c r="O13" s="173"/>
      <c r="P13" s="173"/>
      <c r="Q13" s="173">
        <v>46296</v>
      </c>
      <c r="R13" s="173"/>
      <c r="S13" s="173"/>
      <c r="T13" s="174">
        <v>46296</v>
      </c>
      <c r="U13" s="151"/>
      <c r="V13" s="152"/>
      <c r="W13" s="175"/>
      <c r="X13" s="173"/>
      <c r="Y13" s="173"/>
      <c r="Z13" s="176" t="str">
        <f>IF(B13="","",IF(S13&lt;&gt;"","Sevk Edildi",IF(AND(X13&lt;&gt;"",Y13=""),"Reworkte",IF(T13&lt;&gt;"","Kapandı"&amp;IF(COUNT(G13:R13)=0,""," – "&amp;LOOKUP(2,1/(G13:R13=MAX(G13:R13)),{"Tasarım","Ply Cutter","Üretim","Kalite (Üretim sonrası)","Talaşlı","Kalite (Talaşlı sonrası)","Montaj","Kalite (Montaj sonrası)","Boya","Kalite (Boya sonrası)","Yarı Mamül","KM"})),IF(COUNT(G13:R13)=0,"Başlamadı",LOOKUP(2,1/(G13:R13=MAX(G13:R13)),{"Tasarımda","Ply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3" s="177">
        <f t="shared" ca="1" si="2"/>
        <v>8</v>
      </c>
      <c r="AB13" s="175"/>
      <c r="AD13" t="str">
        <f>IF(OR($B13="",NOT(ISNUMBER(G13))),"",IF(COUNTIF(H13:$T13,G13)&gt;0,0,IF(COUNTIF($G13:$T13,"&gt;"&amp;G13)=0,"",SMALL($G13:$T13,COUNTIF($G13:$T13,"&lt;="&amp;G13)+1)-G13)))</f>
        <v/>
      </c>
      <c r="AE13" t="str">
        <f>IF(OR($B13="",NOT(ISNUMBER(H13))),"",IF(COUNTIF(I13:$T13,H13)&gt;0,0,IF(COUNTIF($G13:$T13,"&gt;"&amp;H13)=0,"",SMALL($G13:$T13,COUNTIF($G13:$T13,"&lt;="&amp;H13)+1)-H13)))</f>
        <v/>
      </c>
      <c r="AF13">
        <f>IF(OR($B13="",NOT(ISNUMBER(I13))),"",IF(COUNTIF(J13:$T13,I13)&gt;0,0,IF(COUNTIF($G13:$T13,"&gt;"&amp;I13)=0,"",SMALL($G13:$T13,COUNTIF($G13:$T13,"&lt;="&amp;I13)+1)-I13)))</f>
        <v>2</v>
      </c>
      <c r="AG13">
        <f>IF(OR($B13="",NOT(ISNUMBER(J13))),"",IF(COUNTIF(K13:$T13,J13)&gt;0,0,IF(COUNTIF($G13:$T13,"&gt;"&amp;J13)=0,"",SMALL($G13:$T13,COUNTIF($G13:$T13,"&lt;="&amp;J13)+1)-J13)))</f>
        <v>6</v>
      </c>
      <c r="AH13" t="str">
        <f>IF(OR($B13="",NOT(ISNUMBER(K13))),"",IF(COUNTIF(L13:$T13,K13)&gt;0,0,IF(COUNTIF($G13:$T13,"&gt;"&amp;K13)=0,"",SMALL($G13:$T13,COUNTIF($G13:$T13,"&lt;="&amp;K13)+1)-K13)))</f>
        <v/>
      </c>
      <c r="AI13" t="str">
        <f>IF(OR($B13="",NOT(ISNUMBER(L13))),"",IF(COUNTIF(M13:$T13,L13)&gt;0,0,IF(COUNTIF($G13:$T13,"&gt;"&amp;L13)=0,"",SMALL($G13:$T13,COUNTIF($G13:$T13,"&lt;="&amp;L13)+1)-L13)))</f>
        <v/>
      </c>
      <c r="AJ13" t="str">
        <f>IF(OR($B13="",NOT(ISNUMBER(M13))),"",IF(COUNTIF(N13:$T13,M13)&gt;0,0,IF(COUNTIF($G13:$T13,"&gt;"&amp;M13)=0,"",SMALL($G13:$T13,COUNTIF($G13:$T13,"&lt;="&amp;M13)+1)-M13)))</f>
        <v/>
      </c>
      <c r="AK13" t="str">
        <f>IF(OR($B13="",NOT(ISNUMBER(N13))),"",IF(COUNTIF(O13:$T13,N13)&gt;0,0,IF(COUNTIF($G13:$T13,"&gt;"&amp;N13)=0,"",SMALL($G13:$T13,COUNTIF($G13:$T13,"&lt;="&amp;N13)+1)-N13)))</f>
        <v/>
      </c>
      <c r="AL13" t="str">
        <f>IF(OR($B13="",NOT(ISNUMBER(O13))),"",IF(COUNTIF(P13:$T13,O13)&gt;0,0,IF(COUNTIF($G13:$T13,"&gt;"&amp;O13)=0,"",SMALL($G13:$T13,COUNTIF($G13:$T13,"&lt;="&amp;O13)+1)-O13)))</f>
        <v/>
      </c>
      <c r="AM13" t="str">
        <f>IF(OR($B13="",NOT(ISNUMBER(P13))),"",IF(COUNTIF(Q13:$T13,P13)&gt;0,0,IF(COUNTIF($G13:$T13,"&gt;"&amp;P13)=0,"",SMALL($G13:$T13,COUNTIF($G13:$T13,"&lt;="&amp;P13)+1)-P13)))</f>
        <v/>
      </c>
      <c r="AN13">
        <f>IF(OR($B13="",NOT(ISNUMBER(Q13))),"",IF(COUNTIF(R13:$T13,Q13)&gt;0,0,IF(COUNTIF($G13:$T13,"&gt;"&amp;Q13)=0,"",SMALL($G13:$T13,COUNTIF($G13:$T13,"&lt;="&amp;Q13)+1)-Q13)))</f>
        <v>0</v>
      </c>
      <c r="AO13" t="str">
        <f>IF(OR($B13="",NOT(ISNUMBER(R13))),"",IF(COUNTIF(S13:$T13,R13)&gt;0,0,IF(COUNTIF($G13:$T13,"&gt;"&amp;R13)=0,"",SMALL($G13:$T13,COUNTIF($G13:$T13,"&lt;="&amp;R13)+1)-R13)))</f>
        <v/>
      </c>
      <c r="AP13">
        <f t="shared" ca="1" si="3"/>
        <v>0</v>
      </c>
      <c r="AQ13" s="25" t="str">
        <f t="shared" si="4"/>
        <v/>
      </c>
      <c r="AR13" s="25" t="str">
        <f t="shared" si="5"/>
        <v/>
      </c>
      <c r="AS13" s="25">
        <f t="shared" si="6"/>
        <v>46290</v>
      </c>
      <c r="AT13" s="25">
        <f t="shared" si="7"/>
        <v>46296</v>
      </c>
      <c r="AU13" s="25" t="str">
        <f t="shared" si="8"/>
        <v/>
      </c>
      <c r="AV13" s="25" t="str">
        <f t="shared" si="9"/>
        <v/>
      </c>
      <c r="AW13" s="25" t="str">
        <f t="shared" si="10"/>
        <v/>
      </c>
      <c r="AX13" s="25" t="str">
        <f t="shared" si="11"/>
        <v/>
      </c>
      <c r="AY13" s="25" t="str">
        <f t="shared" si="12"/>
        <v/>
      </c>
      <c r="AZ13" s="25" t="str">
        <f t="shared" si="13"/>
        <v/>
      </c>
      <c r="BA13" s="25">
        <f t="shared" si="14"/>
        <v>46296</v>
      </c>
      <c r="BB13" s="25" t="str">
        <f t="shared" si="15"/>
        <v/>
      </c>
      <c r="BC13" s="25">
        <f t="shared" si="16"/>
        <v>46296</v>
      </c>
    </row>
    <row r="14" spans="1:55" ht="15" customHeight="1" x14ac:dyDescent="0.25">
      <c r="A14" s="151">
        <f t="shared" si="0"/>
        <v>12</v>
      </c>
      <c r="B14" s="151" t="s">
        <v>83</v>
      </c>
      <c r="C14" s="152" t="s">
        <v>84</v>
      </c>
      <c r="D14" s="151">
        <f t="shared" si="1"/>
        <v>1</v>
      </c>
      <c r="E14" s="151" t="s">
        <v>61</v>
      </c>
      <c r="F14" s="173">
        <v>46288</v>
      </c>
      <c r="G14" s="173"/>
      <c r="H14" s="173"/>
      <c r="I14" s="173"/>
      <c r="J14" s="173"/>
      <c r="K14" s="173"/>
      <c r="L14" s="173"/>
      <c r="M14" s="173">
        <v>46288</v>
      </c>
      <c r="N14" s="173">
        <v>46291</v>
      </c>
      <c r="O14" s="173"/>
      <c r="P14" s="173"/>
      <c r="Q14" s="173"/>
      <c r="R14" s="173"/>
      <c r="S14" s="173"/>
      <c r="T14" s="174">
        <v>46291</v>
      </c>
      <c r="U14" s="151"/>
      <c r="V14" s="152"/>
      <c r="W14" s="175"/>
      <c r="X14" s="173"/>
      <c r="Y14" s="173"/>
      <c r="Z14" s="176" t="str">
        <f>IF(B14="","",IF(S14&lt;&gt;"","Sevk Edildi",IF(AND(X14&lt;&gt;"",Y14=""),"Reworkte",IF(T14&lt;&gt;"","Kapandı"&amp;IF(COUNT(G14:R14)=0,""," – "&amp;LOOKUP(2,1/(G14:R14=MAX(G14:R14)),{"Tasarım","Ply Cutter","Üretim","Kalite (Üretim sonrası)","Talaşlı","Kalite (Talaşlı sonrası)","Montaj","Kalite (Montaj sonrası)","Boya","Kalite (Boya sonrası)","Yarı Mamül","KM"})),IF(COUNT(G14:R14)=0,"Başlamadı",LOOKUP(2,1/(G14:R14=MAX(G14:R14)),{"Tasarımda","Ply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4" s="177">
        <f t="shared" ca="1" si="2"/>
        <v>3</v>
      </c>
      <c r="AB14" s="175"/>
      <c r="AD14" t="str">
        <f>IF(OR($B14="",NOT(ISNUMBER(G14))),"",IF(COUNTIF(H14:$T14,G14)&gt;0,0,IF(COUNTIF($G14:$T14,"&gt;"&amp;G14)=0,"",SMALL($G14:$T14,COUNTIF($G14:$T14,"&lt;="&amp;G14)+1)-G14)))</f>
        <v/>
      </c>
      <c r="AE14" t="str">
        <f>IF(OR($B14="",NOT(ISNUMBER(H14))),"",IF(COUNTIF(I14:$T14,H14)&gt;0,0,IF(COUNTIF($G14:$T14,"&gt;"&amp;H14)=0,"",SMALL($G14:$T14,COUNTIF($G14:$T14,"&lt;="&amp;H14)+1)-H14)))</f>
        <v/>
      </c>
      <c r="AF14" t="str">
        <f>IF(OR($B14="",NOT(ISNUMBER(I14))),"",IF(COUNTIF(J14:$T14,I14)&gt;0,0,IF(COUNTIF($G14:$T14,"&gt;"&amp;I14)=0,"",SMALL($G14:$T14,COUNTIF($G14:$T14,"&lt;="&amp;I14)+1)-I14)))</f>
        <v/>
      </c>
      <c r="AG14" t="str">
        <f>IF(OR($B14="",NOT(ISNUMBER(J14))),"",IF(COUNTIF(K14:$T14,J14)&gt;0,0,IF(COUNTIF($G14:$T14,"&gt;"&amp;J14)=0,"",SMALL($G14:$T14,COUNTIF($G14:$T14,"&lt;="&amp;J14)+1)-J14)))</f>
        <v/>
      </c>
      <c r="AH14" t="str">
        <f>IF(OR($B14="",NOT(ISNUMBER(K14))),"",IF(COUNTIF(L14:$T14,K14)&gt;0,0,IF(COUNTIF($G14:$T14,"&gt;"&amp;K14)=0,"",SMALL($G14:$T14,COUNTIF($G14:$T14,"&lt;="&amp;K14)+1)-K14)))</f>
        <v/>
      </c>
      <c r="AI14" t="str">
        <f>IF(OR($B14="",NOT(ISNUMBER(L14))),"",IF(COUNTIF(M14:$T14,L14)&gt;0,0,IF(COUNTIF($G14:$T14,"&gt;"&amp;L14)=0,"",SMALL($G14:$T14,COUNTIF($G14:$T14,"&lt;="&amp;L14)+1)-L14)))</f>
        <v/>
      </c>
      <c r="AJ14">
        <f>IF(OR($B14="",NOT(ISNUMBER(M14))),"",IF(COUNTIF(N14:$T14,M14)&gt;0,0,IF(COUNTIF($G14:$T14,"&gt;"&amp;M14)=0,"",SMALL($G14:$T14,COUNTIF($G14:$T14,"&lt;="&amp;M14)+1)-M14)))</f>
        <v>3</v>
      </c>
      <c r="AK14">
        <f>IF(OR($B14="",NOT(ISNUMBER(N14))),"",IF(COUNTIF(O14:$T14,N14)&gt;0,0,IF(COUNTIF($G14:$T14,"&gt;"&amp;N14)=0,"",SMALL($G14:$T14,COUNTIF($G14:$T14,"&lt;="&amp;N14)+1)-N14)))</f>
        <v>0</v>
      </c>
      <c r="AL14" t="str">
        <f>IF(OR($B14="",NOT(ISNUMBER(O14))),"",IF(COUNTIF(P14:$T14,O14)&gt;0,0,IF(COUNTIF($G14:$T14,"&gt;"&amp;O14)=0,"",SMALL($G14:$T14,COUNTIF($G14:$T14,"&lt;="&amp;O14)+1)-O14)))</f>
        <v/>
      </c>
      <c r="AM14" t="str">
        <f>IF(OR($B14="",NOT(ISNUMBER(P14))),"",IF(COUNTIF(Q14:$T14,P14)&gt;0,0,IF(COUNTIF($G14:$T14,"&gt;"&amp;P14)=0,"",SMALL($G14:$T14,COUNTIF($G14:$T14,"&lt;="&amp;P14)+1)-P14)))</f>
        <v/>
      </c>
      <c r="AN14" t="str">
        <f>IF(OR($B14="",NOT(ISNUMBER(Q14))),"",IF(COUNTIF(R14:$T14,Q14)&gt;0,0,IF(COUNTIF($G14:$T14,"&gt;"&amp;Q14)=0,"",SMALL($G14:$T14,COUNTIF($G14:$T14,"&lt;="&amp;Q14)+1)-Q14)))</f>
        <v/>
      </c>
      <c r="AO14" t="str">
        <f>IF(OR($B14="",NOT(ISNUMBER(R14))),"",IF(COUNTIF(S14:$T14,R14)&gt;0,0,IF(COUNTIF($G14:$T14,"&gt;"&amp;R14)=0,"",SMALL($G14:$T14,COUNTIF($G14:$T14,"&lt;="&amp;R14)+1)-R14)))</f>
        <v/>
      </c>
      <c r="AP14">
        <f t="shared" ca="1" si="3"/>
        <v>0</v>
      </c>
      <c r="AQ14" s="25" t="str">
        <f t="shared" si="4"/>
        <v/>
      </c>
      <c r="AR14" s="25" t="str">
        <f t="shared" si="5"/>
        <v/>
      </c>
      <c r="AS14" s="25" t="str">
        <f t="shared" si="6"/>
        <v/>
      </c>
      <c r="AT14" s="25" t="str">
        <f t="shared" si="7"/>
        <v/>
      </c>
      <c r="AU14" s="25" t="str">
        <f t="shared" si="8"/>
        <v/>
      </c>
      <c r="AV14" s="25" t="str">
        <f t="shared" si="9"/>
        <v/>
      </c>
      <c r="AW14" s="25">
        <f t="shared" si="10"/>
        <v>46291</v>
      </c>
      <c r="AX14" s="25">
        <f t="shared" si="11"/>
        <v>46291</v>
      </c>
      <c r="AY14" s="25" t="str">
        <f t="shared" si="12"/>
        <v/>
      </c>
      <c r="AZ14" s="25" t="str">
        <f t="shared" si="13"/>
        <v/>
      </c>
      <c r="BA14" s="25" t="str">
        <f t="shared" si="14"/>
        <v/>
      </c>
      <c r="BB14" s="25" t="str">
        <f t="shared" si="15"/>
        <v/>
      </c>
      <c r="BC14" s="25">
        <f t="shared" si="16"/>
        <v>46291</v>
      </c>
    </row>
    <row r="15" spans="1:55" ht="15" customHeight="1" x14ac:dyDescent="0.25">
      <c r="A15" s="151">
        <f t="shared" si="0"/>
        <v>13</v>
      </c>
      <c r="B15" s="151" t="s">
        <v>85</v>
      </c>
      <c r="C15" s="152" t="s">
        <v>86</v>
      </c>
      <c r="D15" s="151">
        <f t="shared" si="1"/>
        <v>1</v>
      </c>
      <c r="E15" s="151" t="s">
        <v>61</v>
      </c>
      <c r="F15" s="173">
        <v>46288</v>
      </c>
      <c r="G15" s="173"/>
      <c r="H15" s="173"/>
      <c r="I15" s="173"/>
      <c r="J15" s="173"/>
      <c r="K15" s="173"/>
      <c r="L15" s="173"/>
      <c r="M15" s="173">
        <v>46288</v>
      </c>
      <c r="N15" s="173">
        <v>46291</v>
      </c>
      <c r="O15" s="173"/>
      <c r="P15" s="173"/>
      <c r="Q15" s="173"/>
      <c r="R15" s="173"/>
      <c r="S15" s="173"/>
      <c r="T15" s="174">
        <v>46291</v>
      </c>
      <c r="U15" s="151"/>
      <c r="V15" s="152"/>
      <c r="W15" s="175"/>
      <c r="X15" s="173"/>
      <c r="Y15" s="173"/>
      <c r="Z15" s="176" t="str">
        <f>IF(B15="","",IF(S15&lt;&gt;"","Sevk Edildi",IF(AND(X15&lt;&gt;"",Y15=""),"Reworkte",IF(T15&lt;&gt;"","Kapandı"&amp;IF(COUNT(G15:R15)=0,""," – "&amp;LOOKUP(2,1/(G15:R15=MAX(G15:R15)),{"Tasarım","Ply Cutter","Üretim","Kalite (Üretim sonrası)","Talaşlı","Kalite (Talaşlı sonrası)","Montaj","Kalite (Montaj sonrası)","Boya","Kalite (Boya sonrası)","Yarı Mamül","KM"})),IF(COUNT(G15:R15)=0,"Başlamadı",LOOKUP(2,1/(G15:R15=MAX(G15:R15)),{"Tasarımda","Ply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5" s="177">
        <f t="shared" ca="1" si="2"/>
        <v>3</v>
      </c>
      <c r="AB15" s="175"/>
      <c r="AD15" t="str">
        <f>IF(OR($B15="",NOT(ISNUMBER(G15))),"",IF(COUNTIF(H15:$T15,G15)&gt;0,0,IF(COUNTIF($G15:$T15,"&gt;"&amp;G15)=0,"",SMALL($G15:$T15,COUNTIF($G15:$T15,"&lt;="&amp;G15)+1)-G15)))</f>
        <v/>
      </c>
      <c r="AE15" t="str">
        <f>IF(OR($B15="",NOT(ISNUMBER(H15))),"",IF(COUNTIF(I15:$T15,H15)&gt;0,0,IF(COUNTIF($G15:$T15,"&gt;"&amp;H15)=0,"",SMALL($G15:$T15,COUNTIF($G15:$T15,"&lt;="&amp;H15)+1)-H15)))</f>
        <v/>
      </c>
      <c r="AF15" t="str">
        <f>IF(OR($B15="",NOT(ISNUMBER(I15))),"",IF(COUNTIF(J15:$T15,I15)&gt;0,0,IF(COUNTIF($G15:$T15,"&gt;"&amp;I15)=0,"",SMALL($G15:$T15,COUNTIF($G15:$T15,"&lt;="&amp;I15)+1)-I15)))</f>
        <v/>
      </c>
      <c r="AG15" t="str">
        <f>IF(OR($B15="",NOT(ISNUMBER(J15))),"",IF(COUNTIF(K15:$T15,J15)&gt;0,0,IF(COUNTIF($G15:$T15,"&gt;"&amp;J15)=0,"",SMALL($G15:$T15,COUNTIF($G15:$T15,"&lt;="&amp;J15)+1)-J15)))</f>
        <v/>
      </c>
      <c r="AH15" t="str">
        <f>IF(OR($B15="",NOT(ISNUMBER(K15))),"",IF(COUNTIF(L15:$T15,K15)&gt;0,0,IF(COUNTIF($G15:$T15,"&gt;"&amp;K15)=0,"",SMALL($G15:$T15,COUNTIF($G15:$T15,"&lt;="&amp;K15)+1)-K15)))</f>
        <v/>
      </c>
      <c r="AI15" t="str">
        <f>IF(OR($B15="",NOT(ISNUMBER(L15))),"",IF(COUNTIF(M15:$T15,L15)&gt;0,0,IF(COUNTIF($G15:$T15,"&gt;"&amp;L15)=0,"",SMALL($G15:$T15,COUNTIF($G15:$T15,"&lt;="&amp;L15)+1)-L15)))</f>
        <v/>
      </c>
      <c r="AJ15">
        <f>IF(OR($B15="",NOT(ISNUMBER(M15))),"",IF(COUNTIF(N15:$T15,M15)&gt;0,0,IF(COUNTIF($G15:$T15,"&gt;"&amp;M15)=0,"",SMALL($G15:$T15,COUNTIF($G15:$T15,"&lt;="&amp;M15)+1)-M15)))</f>
        <v>3</v>
      </c>
      <c r="AK15">
        <f>IF(OR($B15="",NOT(ISNUMBER(N15))),"",IF(COUNTIF(O15:$T15,N15)&gt;0,0,IF(COUNTIF($G15:$T15,"&gt;"&amp;N15)=0,"",SMALL($G15:$T15,COUNTIF($G15:$T15,"&lt;="&amp;N15)+1)-N15)))</f>
        <v>0</v>
      </c>
      <c r="AL15" t="str">
        <f>IF(OR($B15="",NOT(ISNUMBER(O15))),"",IF(COUNTIF(P15:$T15,O15)&gt;0,0,IF(COUNTIF($G15:$T15,"&gt;"&amp;O15)=0,"",SMALL($G15:$T15,COUNTIF($G15:$T15,"&lt;="&amp;O15)+1)-O15)))</f>
        <v/>
      </c>
      <c r="AM15" t="str">
        <f>IF(OR($B15="",NOT(ISNUMBER(P15))),"",IF(COUNTIF(Q15:$T15,P15)&gt;0,0,IF(COUNTIF($G15:$T15,"&gt;"&amp;P15)=0,"",SMALL($G15:$T15,COUNTIF($G15:$T15,"&lt;="&amp;P15)+1)-P15)))</f>
        <v/>
      </c>
      <c r="AN15" t="str">
        <f>IF(OR($B15="",NOT(ISNUMBER(Q15))),"",IF(COUNTIF(R15:$T15,Q15)&gt;0,0,IF(COUNTIF($G15:$T15,"&gt;"&amp;Q15)=0,"",SMALL($G15:$T15,COUNTIF($G15:$T15,"&lt;="&amp;Q15)+1)-Q15)))</f>
        <v/>
      </c>
      <c r="AO15" t="str">
        <f>IF(OR($B15="",NOT(ISNUMBER(R15))),"",IF(COUNTIF(S15:$T15,R15)&gt;0,0,IF(COUNTIF($G15:$T15,"&gt;"&amp;R15)=0,"",SMALL($G15:$T15,COUNTIF($G15:$T15,"&lt;="&amp;R15)+1)-R15)))</f>
        <v/>
      </c>
      <c r="AP15">
        <f t="shared" ca="1" si="3"/>
        <v>0</v>
      </c>
      <c r="AQ15" s="25" t="str">
        <f t="shared" si="4"/>
        <v/>
      </c>
      <c r="AR15" s="25" t="str">
        <f t="shared" si="5"/>
        <v/>
      </c>
      <c r="AS15" s="25" t="str">
        <f t="shared" si="6"/>
        <v/>
      </c>
      <c r="AT15" s="25" t="str">
        <f t="shared" si="7"/>
        <v/>
      </c>
      <c r="AU15" s="25" t="str">
        <f t="shared" si="8"/>
        <v/>
      </c>
      <c r="AV15" s="25" t="str">
        <f t="shared" si="9"/>
        <v/>
      </c>
      <c r="AW15" s="25">
        <f t="shared" si="10"/>
        <v>46291</v>
      </c>
      <c r="AX15" s="25">
        <f t="shared" si="11"/>
        <v>46291</v>
      </c>
      <c r="AY15" s="25" t="str">
        <f t="shared" si="12"/>
        <v/>
      </c>
      <c r="AZ15" s="25" t="str">
        <f t="shared" si="13"/>
        <v/>
      </c>
      <c r="BA15" s="25" t="str">
        <f t="shared" si="14"/>
        <v/>
      </c>
      <c r="BB15" s="25" t="str">
        <f t="shared" si="15"/>
        <v/>
      </c>
      <c r="BC15" s="25">
        <f t="shared" si="16"/>
        <v>46291</v>
      </c>
    </row>
    <row r="16" spans="1:55" ht="15" customHeight="1" x14ac:dyDescent="0.25">
      <c r="A16" s="151">
        <f t="shared" si="0"/>
        <v>14</v>
      </c>
      <c r="B16" s="151" t="s">
        <v>87</v>
      </c>
      <c r="C16" s="152" t="s">
        <v>88</v>
      </c>
      <c r="D16" s="151">
        <f t="shared" si="1"/>
        <v>1</v>
      </c>
      <c r="E16" s="151" t="s">
        <v>61</v>
      </c>
      <c r="F16" s="173">
        <v>46288</v>
      </c>
      <c r="G16" s="173"/>
      <c r="H16" s="173"/>
      <c r="I16" s="173">
        <v>46288</v>
      </c>
      <c r="J16" s="173">
        <v>46290</v>
      </c>
      <c r="K16" s="173"/>
      <c r="L16" s="173"/>
      <c r="M16" s="173"/>
      <c r="N16" s="173"/>
      <c r="O16" s="173"/>
      <c r="P16" s="173"/>
      <c r="Q16" s="173">
        <v>46291</v>
      </c>
      <c r="R16" s="173"/>
      <c r="S16" s="173"/>
      <c r="T16" s="174">
        <v>46291</v>
      </c>
      <c r="U16" s="151"/>
      <c r="V16" s="152"/>
      <c r="W16" s="175"/>
      <c r="X16" s="173"/>
      <c r="Y16" s="173"/>
      <c r="Z16" s="176" t="str">
        <f>IF(B16="","",IF(S16&lt;&gt;"","Sevk Edildi",IF(AND(X16&lt;&gt;"",Y16=""),"Reworkte",IF(T16&lt;&gt;"","Kapandı"&amp;IF(COUNT(G16:R16)=0,""," – "&amp;LOOKUP(2,1/(G16:R16=MAX(G16:R16)),{"Tasarım","Ply Cutter","Üretim","Kalite (Üretim sonrası)","Talaşlı","Kalite (Talaşlı sonrası)","Montaj","Kalite (Montaj sonrası)","Boya","Kalite (Boya sonrası)","Yarı Mamül","KM"})),IF(COUNT(G16:R16)=0,"Başlamadı",LOOKUP(2,1/(G16:R16=MAX(G16:R16)),{"Tasarımda","Ply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6" s="177">
        <f t="shared" ca="1" si="2"/>
        <v>3</v>
      </c>
      <c r="AB16" s="175"/>
      <c r="AD16" t="str">
        <f>IF(OR($B16="",NOT(ISNUMBER(G16))),"",IF(COUNTIF(H16:$T16,G16)&gt;0,0,IF(COUNTIF($G16:$T16,"&gt;"&amp;G16)=0,"",SMALL($G16:$T16,COUNTIF($G16:$T16,"&lt;="&amp;G16)+1)-G16)))</f>
        <v/>
      </c>
      <c r="AE16" t="str">
        <f>IF(OR($B16="",NOT(ISNUMBER(H16))),"",IF(COUNTIF(I16:$T16,H16)&gt;0,0,IF(COUNTIF($G16:$T16,"&gt;"&amp;H16)=0,"",SMALL($G16:$T16,COUNTIF($G16:$T16,"&lt;="&amp;H16)+1)-H16)))</f>
        <v/>
      </c>
      <c r="AF16">
        <f>IF(OR($B16="",NOT(ISNUMBER(I16))),"",IF(COUNTIF(J16:$T16,I16)&gt;0,0,IF(COUNTIF($G16:$T16,"&gt;"&amp;I16)=0,"",SMALL($G16:$T16,COUNTIF($G16:$T16,"&lt;="&amp;I16)+1)-I16)))</f>
        <v>2</v>
      </c>
      <c r="AG16">
        <f>IF(OR($B16="",NOT(ISNUMBER(J16))),"",IF(COUNTIF(K16:$T16,J16)&gt;0,0,IF(COUNTIF($G16:$T16,"&gt;"&amp;J16)=0,"",SMALL($G16:$T16,COUNTIF($G16:$T16,"&lt;="&amp;J16)+1)-J16)))</f>
        <v>1</v>
      </c>
      <c r="AH16" t="str">
        <f>IF(OR($B16="",NOT(ISNUMBER(K16))),"",IF(COUNTIF(L16:$T16,K16)&gt;0,0,IF(COUNTIF($G16:$T16,"&gt;"&amp;K16)=0,"",SMALL($G16:$T16,COUNTIF($G16:$T16,"&lt;="&amp;K16)+1)-K16)))</f>
        <v/>
      </c>
      <c r="AI16" t="str">
        <f>IF(OR($B16="",NOT(ISNUMBER(L16))),"",IF(COUNTIF(M16:$T16,L16)&gt;0,0,IF(COUNTIF($G16:$T16,"&gt;"&amp;L16)=0,"",SMALL($G16:$T16,COUNTIF($G16:$T16,"&lt;="&amp;L16)+1)-L16)))</f>
        <v/>
      </c>
      <c r="AJ16" t="str">
        <f>IF(OR($B16="",NOT(ISNUMBER(M16))),"",IF(COUNTIF(N16:$T16,M16)&gt;0,0,IF(COUNTIF($G16:$T16,"&gt;"&amp;M16)=0,"",SMALL($G16:$T16,COUNTIF($G16:$T16,"&lt;="&amp;M16)+1)-M16)))</f>
        <v/>
      </c>
      <c r="AK16" t="str">
        <f>IF(OR($B16="",NOT(ISNUMBER(N16))),"",IF(COUNTIF(O16:$T16,N16)&gt;0,0,IF(COUNTIF($G16:$T16,"&gt;"&amp;N16)=0,"",SMALL($G16:$T16,COUNTIF($G16:$T16,"&lt;="&amp;N16)+1)-N16)))</f>
        <v/>
      </c>
      <c r="AL16" t="str">
        <f>IF(OR($B16="",NOT(ISNUMBER(O16))),"",IF(COUNTIF(P16:$T16,O16)&gt;0,0,IF(COUNTIF($G16:$T16,"&gt;"&amp;O16)=0,"",SMALL($G16:$T16,COUNTIF($G16:$T16,"&lt;="&amp;O16)+1)-O16)))</f>
        <v/>
      </c>
      <c r="AM16" t="str">
        <f>IF(OR($B16="",NOT(ISNUMBER(P16))),"",IF(COUNTIF(Q16:$T16,P16)&gt;0,0,IF(COUNTIF($G16:$T16,"&gt;"&amp;P16)=0,"",SMALL($G16:$T16,COUNTIF($G16:$T16,"&lt;="&amp;P16)+1)-P16)))</f>
        <v/>
      </c>
      <c r="AN16">
        <f>IF(OR($B16="",NOT(ISNUMBER(Q16))),"",IF(COUNTIF(R16:$T16,Q16)&gt;0,0,IF(COUNTIF($G16:$T16,"&gt;"&amp;Q16)=0,"",SMALL($G16:$T16,COUNTIF($G16:$T16,"&lt;="&amp;Q16)+1)-Q16)))</f>
        <v>0</v>
      </c>
      <c r="AO16" t="str">
        <f>IF(OR($B16="",NOT(ISNUMBER(R16))),"",IF(COUNTIF(S16:$T16,R16)&gt;0,0,IF(COUNTIF($G16:$T16,"&gt;"&amp;R16)=0,"",SMALL($G16:$T16,COUNTIF($G16:$T16,"&lt;="&amp;R16)+1)-R16)))</f>
        <v/>
      </c>
      <c r="AP16">
        <f t="shared" ca="1" si="3"/>
        <v>0</v>
      </c>
      <c r="AQ16" s="25" t="str">
        <f t="shared" si="4"/>
        <v/>
      </c>
      <c r="AR16" s="25" t="str">
        <f t="shared" si="5"/>
        <v/>
      </c>
      <c r="AS16" s="25">
        <f t="shared" si="6"/>
        <v>46290</v>
      </c>
      <c r="AT16" s="25">
        <f t="shared" si="7"/>
        <v>46291</v>
      </c>
      <c r="AU16" s="25" t="str">
        <f t="shared" si="8"/>
        <v/>
      </c>
      <c r="AV16" s="25" t="str">
        <f t="shared" si="9"/>
        <v/>
      </c>
      <c r="AW16" s="25" t="str">
        <f t="shared" si="10"/>
        <v/>
      </c>
      <c r="AX16" s="25" t="str">
        <f t="shared" si="11"/>
        <v/>
      </c>
      <c r="AY16" s="25" t="str">
        <f t="shared" si="12"/>
        <v/>
      </c>
      <c r="AZ16" s="25" t="str">
        <f t="shared" si="13"/>
        <v/>
      </c>
      <c r="BA16" s="25">
        <f t="shared" si="14"/>
        <v>46291</v>
      </c>
      <c r="BB16" s="25" t="str">
        <f t="shared" si="15"/>
        <v/>
      </c>
      <c r="BC16" s="25">
        <f t="shared" si="16"/>
        <v>46291</v>
      </c>
    </row>
    <row r="17" spans="1:55" ht="15" customHeight="1" x14ac:dyDescent="0.25">
      <c r="A17" s="151">
        <f t="shared" si="0"/>
        <v>15</v>
      </c>
      <c r="B17" s="151" t="s">
        <v>89</v>
      </c>
      <c r="C17" s="152" t="s">
        <v>90</v>
      </c>
      <c r="D17" s="151">
        <f t="shared" si="1"/>
        <v>1</v>
      </c>
      <c r="E17" s="151" t="s">
        <v>61</v>
      </c>
      <c r="F17" s="173">
        <v>46288</v>
      </c>
      <c r="G17" s="173"/>
      <c r="H17" s="173"/>
      <c r="I17" s="173">
        <v>46288</v>
      </c>
      <c r="J17" s="173">
        <v>46290</v>
      </c>
      <c r="K17" s="173"/>
      <c r="L17" s="173"/>
      <c r="M17" s="173"/>
      <c r="N17" s="173"/>
      <c r="O17" s="173"/>
      <c r="P17" s="173"/>
      <c r="Q17" s="173">
        <v>46291</v>
      </c>
      <c r="R17" s="173"/>
      <c r="S17" s="173"/>
      <c r="T17" s="174">
        <v>46291</v>
      </c>
      <c r="U17" s="151"/>
      <c r="V17" s="152"/>
      <c r="W17" s="175"/>
      <c r="X17" s="173"/>
      <c r="Y17" s="173"/>
      <c r="Z17" s="176" t="str">
        <f>IF(B17="","",IF(S17&lt;&gt;"","Sevk Edildi",IF(AND(X17&lt;&gt;"",Y17=""),"Reworkte",IF(T17&lt;&gt;"","Kapandı"&amp;IF(COUNT(G17:R17)=0,""," – "&amp;LOOKUP(2,1/(G17:R17=MAX(G17:R17)),{"Tasarım","Ply Cutter","Üretim","Kalite (Üretim sonrası)","Talaşlı","Kalite (Talaşlı sonrası)","Montaj","Kalite (Montaj sonrası)","Boya","Kalite (Boya sonrası)","Yarı Mamül","KM"})),IF(COUNT(G17:R17)=0,"Başlamadı",LOOKUP(2,1/(G17:R17=MAX(G17:R17)),{"Tasarımda","Ply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7" s="177">
        <f t="shared" ca="1" si="2"/>
        <v>3</v>
      </c>
      <c r="AB17" s="175"/>
      <c r="AD17" t="str">
        <f>IF(OR($B17="",NOT(ISNUMBER(G17))),"",IF(COUNTIF(H17:$T17,G17)&gt;0,0,IF(COUNTIF($G17:$T17,"&gt;"&amp;G17)=0,"",SMALL($G17:$T17,COUNTIF($G17:$T17,"&lt;="&amp;G17)+1)-G17)))</f>
        <v/>
      </c>
      <c r="AE17" t="str">
        <f>IF(OR($B17="",NOT(ISNUMBER(H17))),"",IF(COUNTIF(I17:$T17,H17)&gt;0,0,IF(COUNTIF($G17:$T17,"&gt;"&amp;H17)=0,"",SMALL($G17:$T17,COUNTIF($G17:$T17,"&lt;="&amp;H17)+1)-H17)))</f>
        <v/>
      </c>
      <c r="AF17">
        <f>IF(OR($B17="",NOT(ISNUMBER(I17))),"",IF(COUNTIF(J17:$T17,I17)&gt;0,0,IF(COUNTIF($G17:$T17,"&gt;"&amp;I17)=0,"",SMALL($G17:$T17,COUNTIF($G17:$T17,"&lt;="&amp;I17)+1)-I17)))</f>
        <v>2</v>
      </c>
      <c r="AG17">
        <f>IF(OR($B17="",NOT(ISNUMBER(J17))),"",IF(COUNTIF(K17:$T17,J17)&gt;0,0,IF(COUNTIF($G17:$T17,"&gt;"&amp;J17)=0,"",SMALL($G17:$T17,COUNTIF($G17:$T17,"&lt;="&amp;J17)+1)-J17)))</f>
        <v>1</v>
      </c>
      <c r="AH17" t="str">
        <f>IF(OR($B17="",NOT(ISNUMBER(K17))),"",IF(COUNTIF(L17:$T17,K17)&gt;0,0,IF(COUNTIF($G17:$T17,"&gt;"&amp;K17)=0,"",SMALL($G17:$T17,COUNTIF($G17:$T17,"&lt;="&amp;K17)+1)-K17)))</f>
        <v/>
      </c>
      <c r="AI17" t="str">
        <f>IF(OR($B17="",NOT(ISNUMBER(L17))),"",IF(COUNTIF(M17:$T17,L17)&gt;0,0,IF(COUNTIF($G17:$T17,"&gt;"&amp;L17)=0,"",SMALL($G17:$T17,COUNTIF($G17:$T17,"&lt;="&amp;L17)+1)-L17)))</f>
        <v/>
      </c>
      <c r="AJ17" t="str">
        <f>IF(OR($B17="",NOT(ISNUMBER(M17))),"",IF(COUNTIF(N17:$T17,M17)&gt;0,0,IF(COUNTIF($G17:$T17,"&gt;"&amp;M17)=0,"",SMALL($G17:$T17,COUNTIF($G17:$T17,"&lt;="&amp;M17)+1)-M17)))</f>
        <v/>
      </c>
      <c r="AK17" t="str">
        <f>IF(OR($B17="",NOT(ISNUMBER(N17))),"",IF(COUNTIF(O17:$T17,N17)&gt;0,0,IF(COUNTIF($G17:$T17,"&gt;"&amp;N17)=0,"",SMALL($G17:$T17,COUNTIF($G17:$T17,"&lt;="&amp;N17)+1)-N17)))</f>
        <v/>
      </c>
      <c r="AL17" t="str">
        <f>IF(OR($B17="",NOT(ISNUMBER(O17))),"",IF(COUNTIF(P17:$T17,O17)&gt;0,0,IF(COUNTIF($G17:$T17,"&gt;"&amp;O17)=0,"",SMALL($G17:$T17,COUNTIF($G17:$T17,"&lt;="&amp;O17)+1)-O17)))</f>
        <v/>
      </c>
      <c r="AM17" t="str">
        <f>IF(OR($B17="",NOT(ISNUMBER(P17))),"",IF(COUNTIF(Q17:$T17,P17)&gt;0,0,IF(COUNTIF($G17:$T17,"&gt;"&amp;P17)=0,"",SMALL($G17:$T17,COUNTIF($G17:$T17,"&lt;="&amp;P17)+1)-P17)))</f>
        <v/>
      </c>
      <c r="AN17">
        <f>IF(OR($B17="",NOT(ISNUMBER(Q17))),"",IF(COUNTIF(R17:$T17,Q17)&gt;0,0,IF(COUNTIF($G17:$T17,"&gt;"&amp;Q17)=0,"",SMALL($G17:$T17,COUNTIF($G17:$T17,"&lt;="&amp;Q17)+1)-Q17)))</f>
        <v>0</v>
      </c>
      <c r="AO17" t="str">
        <f>IF(OR($B17="",NOT(ISNUMBER(R17))),"",IF(COUNTIF(S17:$T17,R17)&gt;0,0,IF(COUNTIF($G17:$T17,"&gt;"&amp;R17)=0,"",SMALL($G17:$T17,COUNTIF($G17:$T17,"&lt;="&amp;R17)+1)-R17)))</f>
        <v/>
      </c>
      <c r="AP17">
        <f t="shared" ca="1" si="3"/>
        <v>0</v>
      </c>
      <c r="AQ17" s="25" t="str">
        <f t="shared" si="4"/>
        <v/>
      </c>
      <c r="AR17" s="25" t="str">
        <f t="shared" si="5"/>
        <v/>
      </c>
      <c r="AS17" s="25">
        <f t="shared" si="6"/>
        <v>46290</v>
      </c>
      <c r="AT17" s="25">
        <f t="shared" si="7"/>
        <v>46291</v>
      </c>
      <c r="AU17" s="25" t="str">
        <f t="shared" si="8"/>
        <v/>
      </c>
      <c r="AV17" s="25" t="str">
        <f t="shared" si="9"/>
        <v/>
      </c>
      <c r="AW17" s="25" t="str">
        <f t="shared" si="10"/>
        <v/>
      </c>
      <c r="AX17" s="25" t="str">
        <f t="shared" si="11"/>
        <v/>
      </c>
      <c r="AY17" s="25" t="str">
        <f t="shared" si="12"/>
        <v/>
      </c>
      <c r="AZ17" s="25" t="str">
        <f t="shared" si="13"/>
        <v/>
      </c>
      <c r="BA17" s="25">
        <f t="shared" si="14"/>
        <v>46291</v>
      </c>
      <c r="BB17" s="25" t="str">
        <f t="shared" si="15"/>
        <v/>
      </c>
      <c r="BC17" s="25">
        <f t="shared" si="16"/>
        <v>46291</v>
      </c>
    </row>
    <row r="18" spans="1:55" ht="15" customHeight="1" x14ac:dyDescent="0.25">
      <c r="A18" s="151">
        <f t="shared" si="0"/>
        <v>16</v>
      </c>
      <c r="B18" s="151" t="s">
        <v>91</v>
      </c>
      <c r="C18" s="152" t="s">
        <v>92</v>
      </c>
      <c r="D18" s="151">
        <f t="shared" si="1"/>
        <v>2</v>
      </c>
      <c r="E18" s="151" t="s">
        <v>61</v>
      </c>
      <c r="F18" s="173">
        <v>46288</v>
      </c>
      <c r="G18" s="173"/>
      <c r="H18" s="173"/>
      <c r="I18" s="173">
        <v>46288</v>
      </c>
      <c r="J18" s="173">
        <v>46291</v>
      </c>
      <c r="K18" s="173"/>
      <c r="L18" s="173"/>
      <c r="M18" s="173"/>
      <c r="N18" s="173"/>
      <c r="O18" s="173"/>
      <c r="P18" s="173"/>
      <c r="Q18" s="173"/>
      <c r="R18" s="173"/>
      <c r="S18" s="173"/>
      <c r="T18" s="174">
        <v>46291</v>
      </c>
      <c r="U18" s="151"/>
      <c r="V18" s="152"/>
      <c r="W18" s="175"/>
      <c r="X18" s="173"/>
      <c r="Y18" s="173"/>
      <c r="Z18" s="176" t="str">
        <f>IF(B18="","",IF(S18&lt;&gt;"","Sevk Edildi",IF(AND(X18&lt;&gt;"",Y18=""),"Reworkte",IF(T18&lt;&gt;"","Kapandı"&amp;IF(COUNT(G18:R18)=0,""," – "&amp;LOOKUP(2,1/(G18:R18=MAX(G18:R18)),{"Tasarım","Ply Cutter","Üretim","Kalite (Üretim sonrası)","Talaşlı","Kalite (Talaşlı sonrası)","Montaj","Kalite (Montaj sonrası)","Boya","Kalite (Boya sonrası)","Yarı Mamül","KM"})),IF(COUNT(G18:R18)=0,"Başlamadı",LOOKUP(2,1/(G18:R18=MAX(G18:R18)),{"Tasarımda","Ply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8" s="177">
        <f t="shared" ca="1" si="2"/>
        <v>3</v>
      </c>
      <c r="AB18" s="175"/>
      <c r="AD18" t="str">
        <f>IF(OR($B18="",NOT(ISNUMBER(G18))),"",IF(COUNTIF(H18:$T18,G18)&gt;0,0,IF(COUNTIF($G18:$T18,"&gt;"&amp;G18)=0,"",SMALL($G18:$T18,COUNTIF($G18:$T18,"&lt;="&amp;G18)+1)-G18)))</f>
        <v/>
      </c>
      <c r="AE18" t="str">
        <f>IF(OR($B18="",NOT(ISNUMBER(H18))),"",IF(COUNTIF(I18:$T18,H18)&gt;0,0,IF(COUNTIF($G18:$T18,"&gt;"&amp;H18)=0,"",SMALL($G18:$T18,COUNTIF($G18:$T18,"&lt;="&amp;H18)+1)-H18)))</f>
        <v/>
      </c>
      <c r="AF18">
        <f>IF(OR($B18="",NOT(ISNUMBER(I18))),"",IF(COUNTIF(J18:$T18,I18)&gt;0,0,IF(COUNTIF($G18:$T18,"&gt;"&amp;I18)=0,"",SMALL($G18:$T18,COUNTIF($G18:$T18,"&lt;="&amp;I18)+1)-I18)))</f>
        <v>3</v>
      </c>
      <c r="AG18">
        <f>IF(OR($B18="",NOT(ISNUMBER(J18))),"",IF(COUNTIF(K18:$T18,J18)&gt;0,0,IF(COUNTIF($G18:$T18,"&gt;"&amp;J18)=0,"",SMALL($G18:$T18,COUNTIF($G18:$T18,"&lt;="&amp;J18)+1)-J18)))</f>
        <v>0</v>
      </c>
      <c r="AH18" t="str">
        <f>IF(OR($B18="",NOT(ISNUMBER(K18))),"",IF(COUNTIF(L18:$T18,K18)&gt;0,0,IF(COUNTIF($G18:$T18,"&gt;"&amp;K18)=0,"",SMALL($G18:$T18,COUNTIF($G18:$T18,"&lt;="&amp;K18)+1)-K18)))</f>
        <v/>
      </c>
      <c r="AI18" t="str">
        <f>IF(OR($B18="",NOT(ISNUMBER(L18))),"",IF(COUNTIF(M18:$T18,L18)&gt;0,0,IF(COUNTIF($G18:$T18,"&gt;"&amp;L18)=0,"",SMALL($G18:$T18,COUNTIF($G18:$T18,"&lt;="&amp;L18)+1)-L18)))</f>
        <v/>
      </c>
      <c r="AJ18" t="str">
        <f>IF(OR($B18="",NOT(ISNUMBER(M18))),"",IF(COUNTIF(N18:$T18,M18)&gt;0,0,IF(COUNTIF($G18:$T18,"&gt;"&amp;M18)=0,"",SMALL($G18:$T18,COUNTIF($G18:$T18,"&lt;="&amp;M18)+1)-M18)))</f>
        <v/>
      </c>
      <c r="AK18" t="str">
        <f>IF(OR($B18="",NOT(ISNUMBER(N18))),"",IF(COUNTIF(O18:$T18,N18)&gt;0,0,IF(COUNTIF($G18:$T18,"&gt;"&amp;N18)=0,"",SMALL($G18:$T18,COUNTIF($G18:$T18,"&lt;="&amp;N18)+1)-N18)))</f>
        <v/>
      </c>
      <c r="AL18" t="str">
        <f>IF(OR($B18="",NOT(ISNUMBER(O18))),"",IF(COUNTIF(P18:$T18,O18)&gt;0,0,IF(COUNTIF($G18:$T18,"&gt;"&amp;O18)=0,"",SMALL($G18:$T18,COUNTIF($G18:$T18,"&lt;="&amp;O18)+1)-O18)))</f>
        <v/>
      </c>
      <c r="AM18" t="str">
        <f>IF(OR($B18="",NOT(ISNUMBER(P18))),"",IF(COUNTIF(Q18:$T18,P18)&gt;0,0,IF(COUNTIF($G18:$T18,"&gt;"&amp;P18)=0,"",SMALL($G18:$T18,COUNTIF($G18:$T18,"&lt;="&amp;P18)+1)-P18)))</f>
        <v/>
      </c>
      <c r="AN18" t="str">
        <f>IF(OR($B18="",NOT(ISNUMBER(Q18))),"",IF(COUNTIF(R18:$T18,Q18)&gt;0,0,IF(COUNTIF($G18:$T18,"&gt;"&amp;Q18)=0,"",SMALL($G18:$T18,COUNTIF($G18:$T18,"&lt;="&amp;Q18)+1)-Q18)))</f>
        <v/>
      </c>
      <c r="AO18" t="str">
        <f>IF(OR($B18="",NOT(ISNUMBER(R18))),"",IF(COUNTIF(S18:$T18,R18)&gt;0,0,IF(COUNTIF($G18:$T18,"&gt;"&amp;R18)=0,"",SMALL($G18:$T18,COUNTIF($G18:$T18,"&lt;="&amp;R18)+1)-R18)))</f>
        <v/>
      </c>
      <c r="AP18">
        <f t="shared" ca="1" si="3"/>
        <v>0</v>
      </c>
      <c r="AQ18" s="25" t="str">
        <f t="shared" si="4"/>
        <v/>
      </c>
      <c r="AR18" s="25" t="str">
        <f t="shared" si="5"/>
        <v/>
      </c>
      <c r="AS18" s="25">
        <f t="shared" si="6"/>
        <v>46291</v>
      </c>
      <c r="AT18" s="25">
        <f t="shared" si="7"/>
        <v>46291</v>
      </c>
      <c r="AU18" s="25" t="str">
        <f t="shared" si="8"/>
        <v/>
      </c>
      <c r="AV18" s="25" t="str">
        <f t="shared" si="9"/>
        <v/>
      </c>
      <c r="AW18" s="25" t="str">
        <f t="shared" si="10"/>
        <v/>
      </c>
      <c r="AX18" s="25" t="str">
        <f t="shared" si="11"/>
        <v/>
      </c>
      <c r="AY18" s="25" t="str">
        <f t="shared" si="12"/>
        <v/>
      </c>
      <c r="AZ18" s="25" t="str">
        <f t="shared" si="13"/>
        <v/>
      </c>
      <c r="BA18" s="25" t="str">
        <f t="shared" si="14"/>
        <v/>
      </c>
      <c r="BB18" s="25" t="str">
        <f t="shared" si="15"/>
        <v/>
      </c>
      <c r="BC18" s="25">
        <f t="shared" si="16"/>
        <v>46291</v>
      </c>
    </row>
    <row r="19" spans="1:55" ht="15" customHeight="1" x14ac:dyDescent="0.25">
      <c r="A19" s="151">
        <f t="shared" si="0"/>
        <v>17</v>
      </c>
      <c r="B19" s="151" t="s">
        <v>93</v>
      </c>
      <c r="C19" s="152" t="s">
        <v>94</v>
      </c>
      <c r="D19" s="151">
        <f t="shared" si="1"/>
        <v>1</v>
      </c>
      <c r="E19" s="151" t="s">
        <v>61</v>
      </c>
      <c r="F19" s="173">
        <v>46288</v>
      </c>
      <c r="G19" s="173"/>
      <c r="H19" s="173"/>
      <c r="I19" s="173">
        <v>46288</v>
      </c>
      <c r="J19" s="173">
        <v>46291</v>
      </c>
      <c r="K19" s="173"/>
      <c r="L19" s="173"/>
      <c r="M19" s="173"/>
      <c r="N19" s="173"/>
      <c r="O19" s="173"/>
      <c r="P19" s="173"/>
      <c r="Q19" s="173">
        <v>46293</v>
      </c>
      <c r="R19" s="173"/>
      <c r="S19" s="173"/>
      <c r="T19" s="174">
        <v>46293</v>
      </c>
      <c r="U19" s="151"/>
      <c r="V19" s="152"/>
      <c r="W19" s="175"/>
      <c r="X19" s="173"/>
      <c r="Y19" s="173"/>
      <c r="Z19" s="176" t="str">
        <f>IF(B19="","",IF(S19&lt;&gt;"","Sevk Edildi",IF(AND(X19&lt;&gt;"",Y19=""),"Reworkte",IF(T19&lt;&gt;"","Kapandı"&amp;IF(COUNT(G19:R19)=0,""," – "&amp;LOOKUP(2,1/(G19:R19=MAX(G19:R19)),{"Tasarım","Ply Cutter","Üretim","Kalite (Üretim sonrası)","Talaşlı","Kalite (Talaşlı sonrası)","Montaj","Kalite (Montaj sonrası)","Boya","Kalite (Boya sonrası)","Yarı Mamül","KM"})),IF(COUNT(G19:R19)=0,"Başlamadı",LOOKUP(2,1/(G19:R19=MAX(G19:R19)),{"Tasarımda","Ply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9" s="177">
        <f t="shared" ca="1" si="2"/>
        <v>5</v>
      </c>
      <c r="AB19" s="175"/>
      <c r="AD19" t="str">
        <f>IF(OR($B19="",NOT(ISNUMBER(G19))),"",IF(COUNTIF(H19:$T19,G19)&gt;0,0,IF(COUNTIF($G19:$T19,"&gt;"&amp;G19)=0,"",SMALL($G19:$T19,COUNTIF($G19:$T19,"&lt;="&amp;G19)+1)-G19)))</f>
        <v/>
      </c>
      <c r="AE19" t="str">
        <f>IF(OR($B19="",NOT(ISNUMBER(H19))),"",IF(COUNTIF(I19:$T19,H19)&gt;0,0,IF(COUNTIF($G19:$T19,"&gt;"&amp;H19)=0,"",SMALL($G19:$T19,COUNTIF($G19:$T19,"&lt;="&amp;H19)+1)-H19)))</f>
        <v/>
      </c>
      <c r="AF19">
        <f>IF(OR($B19="",NOT(ISNUMBER(I19))),"",IF(COUNTIF(J19:$T19,I19)&gt;0,0,IF(COUNTIF($G19:$T19,"&gt;"&amp;I19)=0,"",SMALL($G19:$T19,COUNTIF($G19:$T19,"&lt;="&amp;I19)+1)-I19)))</f>
        <v>3</v>
      </c>
      <c r="AG19">
        <f>IF(OR($B19="",NOT(ISNUMBER(J19))),"",IF(COUNTIF(K19:$T19,J19)&gt;0,0,IF(COUNTIF($G19:$T19,"&gt;"&amp;J19)=0,"",SMALL($G19:$T19,COUNTIF($G19:$T19,"&lt;="&amp;J19)+1)-J19)))</f>
        <v>2</v>
      </c>
      <c r="AH19" t="str">
        <f>IF(OR($B19="",NOT(ISNUMBER(K19))),"",IF(COUNTIF(L19:$T19,K19)&gt;0,0,IF(COUNTIF($G19:$T19,"&gt;"&amp;K19)=0,"",SMALL($G19:$T19,COUNTIF($G19:$T19,"&lt;="&amp;K19)+1)-K19)))</f>
        <v/>
      </c>
      <c r="AI19" t="str">
        <f>IF(OR($B19="",NOT(ISNUMBER(L19))),"",IF(COUNTIF(M19:$T19,L19)&gt;0,0,IF(COUNTIF($G19:$T19,"&gt;"&amp;L19)=0,"",SMALL($G19:$T19,COUNTIF($G19:$T19,"&lt;="&amp;L19)+1)-L19)))</f>
        <v/>
      </c>
      <c r="AJ19" t="str">
        <f>IF(OR($B19="",NOT(ISNUMBER(M19))),"",IF(COUNTIF(N19:$T19,M19)&gt;0,0,IF(COUNTIF($G19:$T19,"&gt;"&amp;M19)=0,"",SMALL($G19:$T19,COUNTIF($G19:$T19,"&lt;="&amp;M19)+1)-M19)))</f>
        <v/>
      </c>
      <c r="AK19" t="str">
        <f>IF(OR($B19="",NOT(ISNUMBER(N19))),"",IF(COUNTIF(O19:$T19,N19)&gt;0,0,IF(COUNTIF($G19:$T19,"&gt;"&amp;N19)=0,"",SMALL($G19:$T19,COUNTIF($G19:$T19,"&lt;="&amp;N19)+1)-N19)))</f>
        <v/>
      </c>
      <c r="AL19" t="str">
        <f>IF(OR($B19="",NOT(ISNUMBER(O19))),"",IF(COUNTIF(P19:$T19,O19)&gt;0,0,IF(COUNTIF($G19:$T19,"&gt;"&amp;O19)=0,"",SMALL($G19:$T19,COUNTIF($G19:$T19,"&lt;="&amp;O19)+1)-O19)))</f>
        <v/>
      </c>
      <c r="AM19" t="str">
        <f>IF(OR($B19="",NOT(ISNUMBER(P19))),"",IF(COUNTIF(Q19:$T19,P19)&gt;0,0,IF(COUNTIF($G19:$T19,"&gt;"&amp;P19)=0,"",SMALL($G19:$T19,COUNTIF($G19:$T19,"&lt;="&amp;P19)+1)-P19)))</f>
        <v/>
      </c>
      <c r="AN19">
        <f>IF(OR($B19="",NOT(ISNUMBER(Q19))),"",IF(COUNTIF(R19:$T19,Q19)&gt;0,0,IF(COUNTIF($G19:$T19,"&gt;"&amp;Q19)=0,"",SMALL($G19:$T19,COUNTIF($G19:$T19,"&lt;="&amp;Q19)+1)-Q19)))</f>
        <v>0</v>
      </c>
      <c r="AO19" t="str">
        <f>IF(OR($B19="",NOT(ISNUMBER(R19))),"",IF(COUNTIF(S19:$T19,R19)&gt;0,0,IF(COUNTIF($G19:$T19,"&gt;"&amp;R19)=0,"",SMALL($G19:$T19,COUNTIF($G19:$T19,"&lt;="&amp;R19)+1)-R19)))</f>
        <v/>
      </c>
      <c r="AP19">
        <f t="shared" ca="1" si="3"/>
        <v>0</v>
      </c>
      <c r="AQ19" s="25" t="str">
        <f t="shared" si="4"/>
        <v/>
      </c>
      <c r="AR19" s="25" t="str">
        <f t="shared" si="5"/>
        <v/>
      </c>
      <c r="AS19" s="25">
        <f t="shared" si="6"/>
        <v>46291</v>
      </c>
      <c r="AT19" s="25">
        <f t="shared" si="7"/>
        <v>46293</v>
      </c>
      <c r="AU19" s="25" t="str">
        <f t="shared" si="8"/>
        <v/>
      </c>
      <c r="AV19" s="25" t="str">
        <f t="shared" si="9"/>
        <v/>
      </c>
      <c r="AW19" s="25" t="str">
        <f t="shared" si="10"/>
        <v/>
      </c>
      <c r="AX19" s="25" t="str">
        <f t="shared" si="11"/>
        <v/>
      </c>
      <c r="AY19" s="25" t="str">
        <f t="shared" si="12"/>
        <v/>
      </c>
      <c r="AZ19" s="25" t="str">
        <f t="shared" si="13"/>
        <v/>
      </c>
      <c r="BA19" s="25">
        <f t="shared" si="14"/>
        <v>46293</v>
      </c>
      <c r="BB19" s="25" t="str">
        <f t="shared" si="15"/>
        <v/>
      </c>
      <c r="BC19" s="25">
        <f t="shared" si="16"/>
        <v>46293</v>
      </c>
    </row>
    <row r="20" spans="1:55" ht="15" customHeight="1" x14ac:dyDescent="0.25">
      <c r="A20" s="151">
        <f t="shared" si="0"/>
        <v>18</v>
      </c>
      <c r="B20" s="151" t="s">
        <v>95</v>
      </c>
      <c r="C20" s="152" t="s">
        <v>94</v>
      </c>
      <c r="D20" s="151">
        <f t="shared" si="1"/>
        <v>1</v>
      </c>
      <c r="E20" s="151" t="s">
        <v>61</v>
      </c>
      <c r="F20" s="173">
        <v>46288</v>
      </c>
      <c r="G20" s="173"/>
      <c r="H20" s="173"/>
      <c r="I20" s="173">
        <v>46288</v>
      </c>
      <c r="J20" s="173">
        <v>46291</v>
      </c>
      <c r="K20" s="173"/>
      <c r="L20" s="173"/>
      <c r="M20" s="173"/>
      <c r="N20" s="173"/>
      <c r="O20" s="173"/>
      <c r="P20" s="173"/>
      <c r="Q20" s="173">
        <v>46293</v>
      </c>
      <c r="R20" s="173"/>
      <c r="S20" s="173"/>
      <c r="T20" s="174">
        <v>46293</v>
      </c>
      <c r="U20" s="151"/>
      <c r="V20" s="152"/>
      <c r="W20" s="175"/>
      <c r="X20" s="173"/>
      <c r="Y20" s="173"/>
      <c r="Z20" s="176" t="str">
        <f>IF(B20="","",IF(S20&lt;&gt;"","Sevk Edildi",IF(AND(X20&lt;&gt;"",Y20=""),"Reworkte",IF(T20&lt;&gt;"","Kapandı"&amp;IF(COUNT(G20:R20)=0,""," – "&amp;LOOKUP(2,1/(G20:R20=MAX(G20:R20)),{"Tasarım","Ply Cutter","Üretim","Kalite (Üretim sonrası)","Talaşlı","Kalite (Talaşlı sonrası)","Montaj","Kalite (Montaj sonrası)","Boya","Kalite (Boya sonrası)","Yarı Mamül","KM"})),IF(COUNT(G20:R20)=0,"Başlamadı",LOOKUP(2,1/(G20:R20=MAX(G20:R20)),{"Tasarımda","Ply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0" s="177">
        <f t="shared" ca="1" si="2"/>
        <v>5</v>
      </c>
      <c r="AB20" s="175"/>
      <c r="AD20" t="str">
        <f>IF(OR($B20="",NOT(ISNUMBER(G20))),"",IF(COUNTIF(H20:$T20,G20)&gt;0,0,IF(COUNTIF($G20:$T20,"&gt;"&amp;G20)=0,"",SMALL($G20:$T20,COUNTIF($G20:$T20,"&lt;="&amp;G20)+1)-G20)))</f>
        <v/>
      </c>
      <c r="AE20" t="str">
        <f>IF(OR($B20="",NOT(ISNUMBER(H20))),"",IF(COUNTIF(I20:$T20,H20)&gt;0,0,IF(COUNTIF($G20:$T20,"&gt;"&amp;H20)=0,"",SMALL($G20:$T20,COUNTIF($G20:$T20,"&lt;="&amp;H20)+1)-H20)))</f>
        <v/>
      </c>
      <c r="AF20">
        <f>IF(OR($B20="",NOT(ISNUMBER(I20))),"",IF(COUNTIF(J20:$T20,I20)&gt;0,0,IF(COUNTIF($G20:$T20,"&gt;"&amp;I20)=0,"",SMALL($G20:$T20,COUNTIF($G20:$T20,"&lt;="&amp;I20)+1)-I20)))</f>
        <v>3</v>
      </c>
      <c r="AG20">
        <f>IF(OR($B20="",NOT(ISNUMBER(J20))),"",IF(COUNTIF(K20:$T20,J20)&gt;0,0,IF(COUNTIF($G20:$T20,"&gt;"&amp;J20)=0,"",SMALL($G20:$T20,COUNTIF($G20:$T20,"&lt;="&amp;J20)+1)-J20)))</f>
        <v>2</v>
      </c>
      <c r="AH20" t="str">
        <f>IF(OR($B20="",NOT(ISNUMBER(K20))),"",IF(COUNTIF(L20:$T20,K20)&gt;0,0,IF(COUNTIF($G20:$T20,"&gt;"&amp;K20)=0,"",SMALL($G20:$T20,COUNTIF($G20:$T20,"&lt;="&amp;K20)+1)-K20)))</f>
        <v/>
      </c>
      <c r="AI20" t="str">
        <f>IF(OR($B20="",NOT(ISNUMBER(L20))),"",IF(COUNTIF(M20:$T20,L20)&gt;0,0,IF(COUNTIF($G20:$T20,"&gt;"&amp;L20)=0,"",SMALL($G20:$T20,COUNTIF($G20:$T20,"&lt;="&amp;L20)+1)-L20)))</f>
        <v/>
      </c>
      <c r="AJ20" t="str">
        <f>IF(OR($B20="",NOT(ISNUMBER(M20))),"",IF(COUNTIF(N20:$T20,M20)&gt;0,0,IF(COUNTIF($G20:$T20,"&gt;"&amp;M20)=0,"",SMALL($G20:$T20,COUNTIF($G20:$T20,"&lt;="&amp;M20)+1)-M20)))</f>
        <v/>
      </c>
      <c r="AK20" t="str">
        <f>IF(OR($B20="",NOT(ISNUMBER(N20))),"",IF(COUNTIF(O20:$T20,N20)&gt;0,0,IF(COUNTIF($G20:$T20,"&gt;"&amp;N20)=0,"",SMALL($G20:$T20,COUNTIF($G20:$T20,"&lt;="&amp;N20)+1)-N20)))</f>
        <v/>
      </c>
      <c r="AL20" t="str">
        <f>IF(OR($B20="",NOT(ISNUMBER(O20))),"",IF(COUNTIF(P20:$T20,O20)&gt;0,0,IF(COUNTIF($G20:$T20,"&gt;"&amp;O20)=0,"",SMALL($G20:$T20,COUNTIF($G20:$T20,"&lt;="&amp;O20)+1)-O20)))</f>
        <v/>
      </c>
      <c r="AM20" t="str">
        <f>IF(OR($B20="",NOT(ISNUMBER(P20))),"",IF(COUNTIF(Q20:$T20,P20)&gt;0,0,IF(COUNTIF($G20:$T20,"&gt;"&amp;P20)=0,"",SMALL($G20:$T20,COUNTIF($G20:$T20,"&lt;="&amp;P20)+1)-P20)))</f>
        <v/>
      </c>
      <c r="AN20">
        <f>IF(OR($B20="",NOT(ISNUMBER(Q20))),"",IF(COUNTIF(R20:$T20,Q20)&gt;0,0,IF(COUNTIF($G20:$T20,"&gt;"&amp;Q20)=0,"",SMALL($G20:$T20,COUNTIF($G20:$T20,"&lt;="&amp;Q20)+1)-Q20)))</f>
        <v>0</v>
      </c>
      <c r="AO20" t="str">
        <f>IF(OR($B20="",NOT(ISNUMBER(R20))),"",IF(COUNTIF(S20:$T20,R20)&gt;0,0,IF(COUNTIF($G20:$T20,"&gt;"&amp;R20)=0,"",SMALL($G20:$T20,COUNTIF($G20:$T20,"&lt;="&amp;R20)+1)-R20)))</f>
        <v/>
      </c>
      <c r="AP20">
        <f t="shared" ca="1" si="3"/>
        <v>0</v>
      </c>
      <c r="AQ20" s="25" t="str">
        <f t="shared" si="4"/>
        <v/>
      </c>
      <c r="AR20" s="25" t="str">
        <f t="shared" si="5"/>
        <v/>
      </c>
      <c r="AS20" s="25">
        <f t="shared" si="6"/>
        <v>46291</v>
      </c>
      <c r="AT20" s="25">
        <f t="shared" si="7"/>
        <v>46293</v>
      </c>
      <c r="AU20" s="25" t="str">
        <f t="shared" si="8"/>
        <v/>
      </c>
      <c r="AV20" s="25" t="str">
        <f t="shared" si="9"/>
        <v/>
      </c>
      <c r="AW20" s="25" t="str">
        <f t="shared" si="10"/>
        <v/>
      </c>
      <c r="AX20" s="25" t="str">
        <f t="shared" si="11"/>
        <v/>
      </c>
      <c r="AY20" s="25" t="str">
        <f t="shared" si="12"/>
        <v/>
      </c>
      <c r="AZ20" s="25" t="str">
        <f t="shared" si="13"/>
        <v/>
      </c>
      <c r="BA20" s="25">
        <f t="shared" si="14"/>
        <v>46293</v>
      </c>
      <c r="BB20" s="25" t="str">
        <f t="shared" si="15"/>
        <v/>
      </c>
      <c r="BC20" s="25">
        <f t="shared" si="16"/>
        <v>46293</v>
      </c>
    </row>
    <row r="21" spans="1:55" ht="15" customHeight="1" x14ac:dyDescent="0.25">
      <c r="A21" s="151">
        <f t="shared" si="0"/>
        <v>19</v>
      </c>
      <c r="B21" s="151" t="s">
        <v>96</v>
      </c>
      <c r="C21" s="152" t="s">
        <v>97</v>
      </c>
      <c r="D21" s="151">
        <f t="shared" si="1"/>
        <v>24</v>
      </c>
      <c r="E21" s="151" t="s">
        <v>61</v>
      </c>
      <c r="F21" s="173">
        <v>46288</v>
      </c>
      <c r="G21" s="173"/>
      <c r="H21" s="173"/>
      <c r="I21" s="173">
        <v>46288</v>
      </c>
      <c r="J21" s="173">
        <v>46291</v>
      </c>
      <c r="K21" s="173"/>
      <c r="L21" s="173"/>
      <c r="M21" s="173"/>
      <c r="N21" s="173"/>
      <c r="O21" s="173"/>
      <c r="P21" s="173"/>
      <c r="Q21" s="173">
        <v>46293</v>
      </c>
      <c r="R21" s="173"/>
      <c r="S21" s="173"/>
      <c r="T21" s="174">
        <v>46293</v>
      </c>
      <c r="U21" s="151"/>
      <c r="V21" s="152"/>
      <c r="W21" s="175"/>
      <c r="X21" s="173"/>
      <c r="Y21" s="173"/>
      <c r="Z21" s="176" t="str">
        <f>IF(B21="","",IF(S21&lt;&gt;"","Sevk Edildi",IF(AND(X21&lt;&gt;"",Y21=""),"Reworkte",IF(T21&lt;&gt;"","Kapandı"&amp;IF(COUNT(G21:R21)=0,""," – "&amp;LOOKUP(2,1/(G21:R21=MAX(G21:R21)),{"Tasarım","Ply Cutter","Üretim","Kalite (Üretim sonrası)","Talaşlı","Kalite (Talaşlı sonrası)","Montaj","Kalite (Montaj sonrası)","Boya","Kalite (Boya sonrası)","Yarı Mamül","KM"})),IF(COUNT(G21:R21)=0,"Başlamadı",LOOKUP(2,1/(G21:R21=MAX(G21:R21)),{"Tasarımda","Ply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1" s="177">
        <f t="shared" ca="1" si="2"/>
        <v>5</v>
      </c>
      <c r="AB21" s="175"/>
      <c r="AD21" t="str">
        <f>IF(OR($B21="",NOT(ISNUMBER(G21))),"",IF(COUNTIF(H21:$T21,G21)&gt;0,0,IF(COUNTIF($G21:$T21,"&gt;"&amp;G21)=0,"",SMALL($G21:$T21,COUNTIF($G21:$T21,"&lt;="&amp;G21)+1)-G21)))</f>
        <v/>
      </c>
      <c r="AE21" t="str">
        <f>IF(OR($B21="",NOT(ISNUMBER(H21))),"",IF(COUNTIF(I21:$T21,H21)&gt;0,0,IF(COUNTIF($G21:$T21,"&gt;"&amp;H21)=0,"",SMALL($G21:$T21,COUNTIF($G21:$T21,"&lt;="&amp;H21)+1)-H21)))</f>
        <v/>
      </c>
      <c r="AF21">
        <f>IF(OR($B21="",NOT(ISNUMBER(I21))),"",IF(COUNTIF(J21:$T21,I21)&gt;0,0,IF(COUNTIF($G21:$T21,"&gt;"&amp;I21)=0,"",SMALL($G21:$T21,COUNTIF($G21:$T21,"&lt;="&amp;I21)+1)-I21)))</f>
        <v>3</v>
      </c>
      <c r="AG21">
        <f>IF(OR($B21="",NOT(ISNUMBER(J21))),"",IF(COUNTIF(K21:$T21,J21)&gt;0,0,IF(COUNTIF($G21:$T21,"&gt;"&amp;J21)=0,"",SMALL($G21:$T21,COUNTIF($G21:$T21,"&lt;="&amp;J21)+1)-J21)))</f>
        <v>2</v>
      </c>
      <c r="AH21" t="str">
        <f>IF(OR($B21="",NOT(ISNUMBER(K21))),"",IF(COUNTIF(L21:$T21,K21)&gt;0,0,IF(COUNTIF($G21:$T21,"&gt;"&amp;K21)=0,"",SMALL($G21:$T21,COUNTIF($G21:$T21,"&lt;="&amp;K21)+1)-K21)))</f>
        <v/>
      </c>
      <c r="AI21" t="str">
        <f>IF(OR($B21="",NOT(ISNUMBER(L21))),"",IF(COUNTIF(M21:$T21,L21)&gt;0,0,IF(COUNTIF($G21:$T21,"&gt;"&amp;L21)=0,"",SMALL($G21:$T21,COUNTIF($G21:$T21,"&lt;="&amp;L21)+1)-L21)))</f>
        <v/>
      </c>
      <c r="AJ21" t="str">
        <f>IF(OR($B21="",NOT(ISNUMBER(M21))),"",IF(COUNTIF(N21:$T21,M21)&gt;0,0,IF(COUNTIF($G21:$T21,"&gt;"&amp;M21)=0,"",SMALL($G21:$T21,COUNTIF($G21:$T21,"&lt;="&amp;M21)+1)-M21)))</f>
        <v/>
      </c>
      <c r="AK21" t="str">
        <f>IF(OR($B21="",NOT(ISNUMBER(N21))),"",IF(COUNTIF(O21:$T21,N21)&gt;0,0,IF(COUNTIF($G21:$T21,"&gt;"&amp;N21)=0,"",SMALL($G21:$T21,COUNTIF($G21:$T21,"&lt;="&amp;N21)+1)-N21)))</f>
        <v/>
      </c>
      <c r="AL21" t="str">
        <f>IF(OR($B21="",NOT(ISNUMBER(O21))),"",IF(COUNTIF(P21:$T21,O21)&gt;0,0,IF(COUNTIF($G21:$T21,"&gt;"&amp;O21)=0,"",SMALL($G21:$T21,COUNTIF($G21:$T21,"&lt;="&amp;O21)+1)-O21)))</f>
        <v/>
      </c>
      <c r="AM21" t="str">
        <f>IF(OR($B21="",NOT(ISNUMBER(P21))),"",IF(COUNTIF(Q21:$T21,P21)&gt;0,0,IF(COUNTIF($G21:$T21,"&gt;"&amp;P21)=0,"",SMALL($G21:$T21,COUNTIF($G21:$T21,"&lt;="&amp;P21)+1)-P21)))</f>
        <v/>
      </c>
      <c r="AN21">
        <f>IF(OR($B21="",NOT(ISNUMBER(Q21))),"",IF(COUNTIF(R21:$T21,Q21)&gt;0,0,IF(COUNTIF($G21:$T21,"&gt;"&amp;Q21)=0,"",SMALL($G21:$T21,COUNTIF($G21:$T21,"&lt;="&amp;Q21)+1)-Q21)))</f>
        <v>0</v>
      </c>
      <c r="AO21" t="str">
        <f>IF(OR($B21="",NOT(ISNUMBER(R21))),"",IF(COUNTIF(S21:$T21,R21)&gt;0,0,IF(COUNTIF($G21:$T21,"&gt;"&amp;R21)=0,"",SMALL($G21:$T21,COUNTIF($G21:$T21,"&lt;="&amp;R21)+1)-R21)))</f>
        <v/>
      </c>
      <c r="AP21">
        <f t="shared" ca="1" si="3"/>
        <v>0</v>
      </c>
      <c r="AQ21" s="25" t="str">
        <f t="shared" si="4"/>
        <v/>
      </c>
      <c r="AR21" s="25" t="str">
        <f t="shared" si="5"/>
        <v/>
      </c>
      <c r="AS21" s="25">
        <f t="shared" si="6"/>
        <v>46291</v>
      </c>
      <c r="AT21" s="25">
        <f t="shared" si="7"/>
        <v>46293</v>
      </c>
      <c r="AU21" s="25" t="str">
        <f t="shared" si="8"/>
        <v/>
      </c>
      <c r="AV21" s="25" t="str">
        <f t="shared" si="9"/>
        <v/>
      </c>
      <c r="AW21" s="25" t="str">
        <f t="shared" si="10"/>
        <v/>
      </c>
      <c r="AX21" s="25" t="str">
        <f t="shared" si="11"/>
        <v/>
      </c>
      <c r="AY21" s="25" t="str">
        <f t="shared" si="12"/>
        <v/>
      </c>
      <c r="AZ21" s="25" t="str">
        <f t="shared" si="13"/>
        <v/>
      </c>
      <c r="BA21" s="25">
        <f t="shared" si="14"/>
        <v>46293</v>
      </c>
      <c r="BB21" s="25" t="str">
        <f t="shared" si="15"/>
        <v/>
      </c>
      <c r="BC21" s="25">
        <f t="shared" si="16"/>
        <v>46293</v>
      </c>
    </row>
    <row r="22" spans="1:55" ht="15" customHeight="1" x14ac:dyDescent="0.25">
      <c r="A22" s="151">
        <f t="shared" si="0"/>
        <v>20</v>
      </c>
      <c r="B22" s="151" t="s">
        <v>98</v>
      </c>
      <c r="C22" s="152" t="s">
        <v>99</v>
      </c>
      <c r="D22" s="151">
        <f t="shared" si="1"/>
        <v>180</v>
      </c>
      <c r="E22" s="151" t="s">
        <v>100</v>
      </c>
      <c r="F22" s="173">
        <v>46288</v>
      </c>
      <c r="G22" s="173"/>
      <c r="H22" s="173">
        <v>46288</v>
      </c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4">
        <v>46288</v>
      </c>
      <c r="U22" s="151"/>
      <c r="V22" s="152"/>
      <c r="W22" s="175"/>
      <c r="X22" s="173"/>
      <c r="Y22" s="173"/>
      <c r="Z22" s="176" t="str">
        <f>IF(B22="","",IF(S22&lt;&gt;"","Sevk Edildi",IF(AND(X22&lt;&gt;"",Y22=""),"Reworkte",IF(T22&lt;&gt;"","Kapandı"&amp;IF(COUNT(G22:R22)=0,""," – "&amp;LOOKUP(2,1/(G22:R22=MAX(G22:R22)),{"Tasarım","Ply Cutter","Üretim","Kalite (Üretim sonrası)","Talaşlı","Kalite (Talaşlı sonrası)","Montaj","Kalite (Montaj sonrası)","Boya","Kalite (Boya sonrası)","Yarı Mamül","KM"})),IF(COUNT(G22:R22)=0,"Başlamadı",LOOKUP(2,1/(G22:R22=MAX(G22:R22)),{"Tasarımda","Ply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22" s="177">
        <f t="shared" ca="1" si="2"/>
        <v>0</v>
      </c>
      <c r="AB22" s="175"/>
      <c r="AD22" t="str">
        <f>IF(OR($B22="",NOT(ISNUMBER(G22))),"",IF(COUNTIF(H22:$T22,G22)&gt;0,0,IF(COUNTIF($G22:$T22,"&gt;"&amp;G22)=0,"",SMALL($G22:$T22,COUNTIF($G22:$T22,"&lt;="&amp;G22)+1)-G22)))</f>
        <v/>
      </c>
      <c r="AE22">
        <f>IF(OR($B22="",NOT(ISNUMBER(H22))),"",IF(COUNTIF(I22:$T22,H22)&gt;0,0,IF(COUNTIF($G22:$T22,"&gt;"&amp;H22)=0,"",SMALL($G22:$T22,COUNTIF($G22:$T22,"&lt;="&amp;H22)+1)-H22)))</f>
        <v>0</v>
      </c>
      <c r="AF22" t="str">
        <f>IF(OR($B22="",NOT(ISNUMBER(I22))),"",IF(COUNTIF(J22:$T22,I22)&gt;0,0,IF(COUNTIF($G22:$T22,"&gt;"&amp;I22)=0,"",SMALL($G22:$T22,COUNTIF($G22:$T22,"&lt;="&amp;I22)+1)-I22)))</f>
        <v/>
      </c>
      <c r="AG22" t="str">
        <f>IF(OR($B22="",NOT(ISNUMBER(J22))),"",IF(COUNTIF(K22:$T22,J22)&gt;0,0,IF(COUNTIF($G22:$T22,"&gt;"&amp;J22)=0,"",SMALL($G22:$T22,COUNTIF($G22:$T22,"&lt;="&amp;J22)+1)-J22)))</f>
        <v/>
      </c>
      <c r="AH22" t="str">
        <f>IF(OR($B22="",NOT(ISNUMBER(K22))),"",IF(COUNTIF(L22:$T22,K22)&gt;0,0,IF(COUNTIF($G22:$T22,"&gt;"&amp;K22)=0,"",SMALL($G22:$T22,COUNTIF($G22:$T22,"&lt;="&amp;K22)+1)-K22)))</f>
        <v/>
      </c>
      <c r="AI22" t="str">
        <f>IF(OR($B22="",NOT(ISNUMBER(L22))),"",IF(COUNTIF(M22:$T22,L22)&gt;0,0,IF(COUNTIF($G22:$T22,"&gt;"&amp;L22)=0,"",SMALL($G22:$T22,COUNTIF($G22:$T22,"&lt;="&amp;L22)+1)-L22)))</f>
        <v/>
      </c>
      <c r="AJ22" t="str">
        <f>IF(OR($B22="",NOT(ISNUMBER(M22))),"",IF(COUNTIF(N22:$T22,M22)&gt;0,0,IF(COUNTIF($G22:$T22,"&gt;"&amp;M22)=0,"",SMALL($G22:$T22,COUNTIF($G22:$T22,"&lt;="&amp;M22)+1)-M22)))</f>
        <v/>
      </c>
      <c r="AK22" t="str">
        <f>IF(OR($B22="",NOT(ISNUMBER(N22))),"",IF(COUNTIF(O22:$T22,N22)&gt;0,0,IF(COUNTIF($G22:$T22,"&gt;"&amp;N22)=0,"",SMALL($G22:$T22,COUNTIF($G22:$T22,"&lt;="&amp;N22)+1)-N22)))</f>
        <v/>
      </c>
      <c r="AL22" t="str">
        <f>IF(OR($B22="",NOT(ISNUMBER(O22))),"",IF(COUNTIF(P22:$T22,O22)&gt;0,0,IF(COUNTIF($G22:$T22,"&gt;"&amp;O22)=0,"",SMALL($G22:$T22,COUNTIF($G22:$T22,"&lt;="&amp;O22)+1)-O22)))</f>
        <v/>
      </c>
      <c r="AM22" t="str">
        <f>IF(OR($B22="",NOT(ISNUMBER(P22))),"",IF(COUNTIF(Q22:$T22,P22)&gt;0,0,IF(COUNTIF($G22:$T22,"&gt;"&amp;P22)=0,"",SMALL($G22:$T22,COUNTIF($G22:$T22,"&lt;="&amp;P22)+1)-P22)))</f>
        <v/>
      </c>
      <c r="AN22" t="str">
        <f>IF(OR($B22="",NOT(ISNUMBER(Q22))),"",IF(COUNTIF(R22:$T22,Q22)&gt;0,0,IF(COUNTIF($G22:$T22,"&gt;"&amp;Q22)=0,"",SMALL($G22:$T22,COUNTIF($G22:$T22,"&lt;="&amp;Q22)+1)-Q22)))</f>
        <v/>
      </c>
      <c r="AO22" t="str">
        <f>IF(OR($B22="",NOT(ISNUMBER(R22))),"",IF(COUNTIF(S22:$T22,R22)&gt;0,0,IF(COUNTIF($G22:$T22,"&gt;"&amp;R22)=0,"",SMALL($G22:$T22,COUNTIF($G22:$T22,"&lt;="&amp;R22)+1)-R22)))</f>
        <v/>
      </c>
      <c r="AP22">
        <f t="shared" ca="1" si="3"/>
        <v>0</v>
      </c>
      <c r="AQ22" s="25" t="str">
        <f t="shared" si="4"/>
        <v/>
      </c>
      <c r="AR22" s="25">
        <f t="shared" si="5"/>
        <v>46288</v>
      </c>
      <c r="AS22" s="25" t="str">
        <f t="shared" si="6"/>
        <v/>
      </c>
      <c r="AT22" s="25" t="str">
        <f t="shared" si="7"/>
        <v/>
      </c>
      <c r="AU22" s="25" t="str">
        <f t="shared" si="8"/>
        <v/>
      </c>
      <c r="AV22" s="25" t="str">
        <f t="shared" si="9"/>
        <v/>
      </c>
      <c r="AW22" s="25" t="str">
        <f t="shared" si="10"/>
        <v/>
      </c>
      <c r="AX22" s="25" t="str">
        <f t="shared" si="11"/>
        <v/>
      </c>
      <c r="AY22" s="25" t="str">
        <f t="shared" si="12"/>
        <v/>
      </c>
      <c r="AZ22" s="25" t="str">
        <f t="shared" si="13"/>
        <v/>
      </c>
      <c r="BA22" s="25" t="str">
        <f t="shared" si="14"/>
        <v/>
      </c>
      <c r="BB22" s="25" t="str">
        <f t="shared" si="15"/>
        <v/>
      </c>
      <c r="BC22" s="25">
        <f t="shared" si="16"/>
        <v>46288</v>
      </c>
    </row>
    <row r="23" spans="1:55" x14ac:dyDescent="0.25">
      <c r="A23" s="151">
        <f t="shared" si="0"/>
        <v>21</v>
      </c>
      <c r="B23" s="151" t="s">
        <v>101</v>
      </c>
      <c r="C23" s="152" t="s">
        <v>102</v>
      </c>
      <c r="D23" s="151">
        <f t="shared" si="1"/>
        <v>3</v>
      </c>
      <c r="E23" s="151" t="s">
        <v>100</v>
      </c>
      <c r="F23" s="173">
        <v>46289</v>
      </c>
      <c r="G23" s="173"/>
      <c r="H23" s="173"/>
      <c r="I23" s="173"/>
      <c r="J23" s="173"/>
      <c r="K23" s="173">
        <v>46289</v>
      </c>
      <c r="L23" s="173">
        <v>46290</v>
      </c>
      <c r="M23" s="173"/>
      <c r="N23" s="173"/>
      <c r="O23" s="173"/>
      <c r="P23" s="173"/>
      <c r="Q23" s="173">
        <v>46293</v>
      </c>
      <c r="R23" s="173"/>
      <c r="S23" s="173"/>
      <c r="T23" s="174">
        <v>46293</v>
      </c>
      <c r="U23" s="151"/>
      <c r="V23" s="152"/>
      <c r="W23" s="175"/>
      <c r="X23" s="173"/>
      <c r="Y23" s="173"/>
      <c r="Z23" s="176" t="str">
        <f>IF(B23="","",IF(S23&lt;&gt;"","Sevk Edildi",IF(AND(X23&lt;&gt;"",Y23=""),"Reworkte",IF(T23&lt;&gt;"","Kapandı"&amp;IF(COUNT(G23:R23)=0,""," – "&amp;LOOKUP(2,1/(G23:R23=MAX(G23:R23)),{"Tasarım","Ply Cutter","Üretim","Kalite (Üretim sonrası)","Talaşlı","Kalite (Talaşlı sonrası)","Montaj","Kalite (Montaj sonrası)","Boya","Kalite (Boya sonrası)","Yarı Mamül","KM"})),IF(COUNT(G23:R23)=0,"Başlamadı",LOOKUP(2,1/(G23:R23=MAX(G23:R23)),{"Tasarımda","Ply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3" s="177">
        <f t="shared" ca="1" si="2"/>
        <v>4</v>
      </c>
      <c r="AB23" s="175" t="s">
        <v>103</v>
      </c>
      <c r="AD23" t="str">
        <f>IF(OR($B23="",NOT(ISNUMBER(G23))),"",IF(COUNTIF(H23:$T23,G23)&gt;0,0,IF(COUNTIF($G23:$T23,"&gt;"&amp;G23)=0,"",SMALL($G23:$T23,COUNTIF($G23:$T23,"&lt;="&amp;G23)+1)-G23)))</f>
        <v/>
      </c>
      <c r="AE23" t="str">
        <f>IF(OR($B23="",NOT(ISNUMBER(H23))),"",IF(COUNTIF(I23:$T23,H23)&gt;0,0,IF(COUNTIF($G23:$T23,"&gt;"&amp;H23)=0,"",SMALL($G23:$T23,COUNTIF($G23:$T23,"&lt;="&amp;H23)+1)-H23)))</f>
        <v/>
      </c>
      <c r="AF23" t="str">
        <f>IF(OR($B23="",NOT(ISNUMBER(I23))),"",IF(COUNTIF(J23:$T23,I23)&gt;0,0,IF(COUNTIF($G23:$T23,"&gt;"&amp;I23)=0,"",SMALL($G23:$T23,COUNTIF($G23:$T23,"&lt;="&amp;I23)+1)-I23)))</f>
        <v/>
      </c>
      <c r="AG23" t="str">
        <f>IF(OR($B23="",NOT(ISNUMBER(J23))),"",IF(COUNTIF(K23:$T23,J23)&gt;0,0,IF(COUNTIF($G23:$T23,"&gt;"&amp;J23)=0,"",SMALL($G23:$T23,COUNTIF($G23:$T23,"&lt;="&amp;J23)+1)-J23)))</f>
        <v/>
      </c>
      <c r="AH23">
        <f>IF(OR($B23="",NOT(ISNUMBER(K23))),"",IF(COUNTIF(L23:$T23,K23)&gt;0,0,IF(COUNTIF($G23:$T23,"&gt;"&amp;K23)=0,"",SMALL($G23:$T23,COUNTIF($G23:$T23,"&lt;="&amp;K23)+1)-K23)))</f>
        <v>1</v>
      </c>
      <c r="AI23">
        <f>IF(OR($B23="",NOT(ISNUMBER(L23))),"",IF(COUNTIF(M23:$T23,L23)&gt;0,0,IF(COUNTIF($G23:$T23,"&gt;"&amp;L23)=0,"",SMALL($G23:$T23,COUNTIF($G23:$T23,"&lt;="&amp;L23)+1)-L23)))</f>
        <v>3</v>
      </c>
      <c r="AJ23" t="str">
        <f>IF(OR($B23="",NOT(ISNUMBER(M23))),"",IF(COUNTIF(N23:$T23,M23)&gt;0,0,IF(COUNTIF($G23:$T23,"&gt;"&amp;M23)=0,"",SMALL($G23:$T23,COUNTIF($G23:$T23,"&lt;="&amp;M23)+1)-M23)))</f>
        <v/>
      </c>
      <c r="AK23" t="str">
        <f>IF(OR($B23="",NOT(ISNUMBER(N23))),"",IF(COUNTIF(O23:$T23,N23)&gt;0,0,IF(COUNTIF($G23:$T23,"&gt;"&amp;N23)=0,"",SMALL($G23:$T23,COUNTIF($G23:$T23,"&lt;="&amp;N23)+1)-N23)))</f>
        <v/>
      </c>
      <c r="AL23" t="str">
        <f>IF(OR($B23="",NOT(ISNUMBER(O23))),"",IF(COUNTIF(P23:$T23,O23)&gt;0,0,IF(COUNTIF($G23:$T23,"&gt;"&amp;O23)=0,"",SMALL($G23:$T23,COUNTIF($G23:$T23,"&lt;="&amp;O23)+1)-O23)))</f>
        <v/>
      </c>
      <c r="AM23" t="str">
        <f>IF(OR($B23="",NOT(ISNUMBER(P23))),"",IF(COUNTIF(Q23:$T23,P23)&gt;0,0,IF(COUNTIF($G23:$T23,"&gt;"&amp;P23)=0,"",SMALL($G23:$T23,COUNTIF($G23:$T23,"&lt;="&amp;P23)+1)-P23)))</f>
        <v/>
      </c>
      <c r="AN23">
        <f>IF(OR($B23="",NOT(ISNUMBER(Q23))),"",IF(COUNTIF(R23:$T23,Q23)&gt;0,0,IF(COUNTIF($G23:$T23,"&gt;"&amp;Q23)=0,"",SMALL($G23:$T23,COUNTIF($G23:$T23,"&lt;="&amp;Q23)+1)-Q23)))</f>
        <v>0</v>
      </c>
      <c r="AO23" t="str">
        <f>IF(OR($B23="",NOT(ISNUMBER(R23))),"",IF(COUNTIF(S23:$T23,R23)&gt;0,0,IF(COUNTIF($G23:$T23,"&gt;"&amp;R23)=0,"",SMALL($G23:$T23,COUNTIF($G23:$T23,"&lt;="&amp;R23)+1)-R23)))</f>
        <v/>
      </c>
      <c r="AP23">
        <f t="shared" ca="1" si="3"/>
        <v>0</v>
      </c>
      <c r="AQ23" s="25" t="str">
        <f t="shared" si="4"/>
        <v/>
      </c>
      <c r="AR23" s="25" t="str">
        <f t="shared" si="5"/>
        <v/>
      </c>
      <c r="AS23" s="25" t="str">
        <f t="shared" si="6"/>
        <v/>
      </c>
      <c r="AT23" s="25" t="str">
        <f t="shared" si="7"/>
        <v/>
      </c>
      <c r="AU23" s="25">
        <f t="shared" si="8"/>
        <v>46290</v>
      </c>
      <c r="AV23" s="25">
        <f t="shared" si="9"/>
        <v>46293</v>
      </c>
      <c r="AW23" s="25" t="str">
        <f t="shared" si="10"/>
        <v/>
      </c>
      <c r="AX23" s="25" t="str">
        <f t="shared" si="11"/>
        <v/>
      </c>
      <c r="AY23" s="25" t="str">
        <f t="shared" si="12"/>
        <v/>
      </c>
      <c r="AZ23" s="25" t="str">
        <f t="shared" si="13"/>
        <v/>
      </c>
      <c r="BA23" s="25">
        <f t="shared" si="14"/>
        <v>46293</v>
      </c>
      <c r="BB23" s="25" t="str">
        <f t="shared" si="15"/>
        <v/>
      </c>
      <c r="BC23" s="25">
        <f t="shared" si="16"/>
        <v>46293</v>
      </c>
    </row>
    <row r="24" spans="1:55" ht="15" customHeight="1" x14ac:dyDescent="0.25">
      <c r="A24" s="151">
        <f t="shared" si="0"/>
        <v>22</v>
      </c>
      <c r="B24" s="151" t="s">
        <v>104</v>
      </c>
      <c r="C24" s="152" t="s">
        <v>105</v>
      </c>
      <c r="D24" s="151">
        <f t="shared" si="1"/>
        <v>1</v>
      </c>
      <c r="E24" s="151" t="s">
        <v>61</v>
      </c>
      <c r="F24" s="173">
        <v>46289</v>
      </c>
      <c r="G24" s="173"/>
      <c r="H24" s="173"/>
      <c r="I24" s="173">
        <v>46289</v>
      </c>
      <c r="J24" s="173">
        <v>46290</v>
      </c>
      <c r="K24" s="173"/>
      <c r="L24" s="173"/>
      <c r="M24" s="173"/>
      <c r="N24" s="173"/>
      <c r="O24" s="173"/>
      <c r="P24" s="173"/>
      <c r="Q24" s="173">
        <v>46293</v>
      </c>
      <c r="R24" s="173"/>
      <c r="S24" s="173"/>
      <c r="T24" s="174">
        <v>46293</v>
      </c>
      <c r="U24" s="151"/>
      <c r="V24" s="152"/>
      <c r="W24" s="175"/>
      <c r="X24" s="173"/>
      <c r="Y24" s="173"/>
      <c r="Z24" s="176" t="str">
        <f>IF(B24="","",IF(S24&lt;&gt;"","Sevk Edildi",IF(AND(X24&lt;&gt;"",Y24=""),"Reworkte",IF(T24&lt;&gt;"","Kapandı"&amp;IF(COUNT(G24:R24)=0,""," – "&amp;LOOKUP(2,1/(G24:R24=MAX(G24:R24)),{"Tasarım","Ply Cutter","Üretim","Kalite (Üretim sonrası)","Talaşlı","Kalite (Talaşlı sonrası)","Montaj","Kalite (Montaj sonrası)","Boya","Kalite (Boya sonrası)","Yarı Mamül","KM"})),IF(COUNT(G24:R24)=0,"Başlamadı",LOOKUP(2,1/(G24:R24=MAX(G24:R24)),{"Tasarımda","Ply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4" s="177">
        <f t="shared" ca="1" si="2"/>
        <v>4</v>
      </c>
      <c r="AB24" s="175"/>
      <c r="AD24" t="str">
        <f>IF(OR($B24="",NOT(ISNUMBER(G24))),"",IF(COUNTIF(H24:$T24,G24)&gt;0,0,IF(COUNTIF($G24:$T24,"&gt;"&amp;G24)=0,"",SMALL($G24:$T24,COUNTIF($G24:$T24,"&lt;="&amp;G24)+1)-G24)))</f>
        <v/>
      </c>
      <c r="AE24" t="str">
        <f>IF(OR($B24="",NOT(ISNUMBER(H24))),"",IF(COUNTIF(I24:$T24,H24)&gt;0,0,IF(COUNTIF($G24:$T24,"&gt;"&amp;H24)=0,"",SMALL($G24:$T24,COUNTIF($G24:$T24,"&lt;="&amp;H24)+1)-H24)))</f>
        <v/>
      </c>
      <c r="AF24">
        <f>IF(OR($B24="",NOT(ISNUMBER(I24))),"",IF(COUNTIF(J24:$T24,I24)&gt;0,0,IF(COUNTIF($G24:$T24,"&gt;"&amp;I24)=0,"",SMALL($G24:$T24,COUNTIF($G24:$T24,"&lt;="&amp;I24)+1)-I24)))</f>
        <v>1</v>
      </c>
      <c r="AG24">
        <f>IF(OR($B24="",NOT(ISNUMBER(J24))),"",IF(COUNTIF(K24:$T24,J24)&gt;0,0,IF(COUNTIF($G24:$T24,"&gt;"&amp;J24)=0,"",SMALL($G24:$T24,COUNTIF($G24:$T24,"&lt;="&amp;J24)+1)-J24)))</f>
        <v>3</v>
      </c>
      <c r="AH24" t="str">
        <f>IF(OR($B24="",NOT(ISNUMBER(K24))),"",IF(COUNTIF(L24:$T24,K24)&gt;0,0,IF(COUNTIF($G24:$T24,"&gt;"&amp;K24)=0,"",SMALL($G24:$T24,COUNTIF($G24:$T24,"&lt;="&amp;K24)+1)-K24)))</f>
        <v/>
      </c>
      <c r="AI24" t="str">
        <f>IF(OR($B24="",NOT(ISNUMBER(L24))),"",IF(COUNTIF(M24:$T24,L24)&gt;0,0,IF(COUNTIF($G24:$T24,"&gt;"&amp;L24)=0,"",SMALL($G24:$T24,COUNTIF($G24:$T24,"&lt;="&amp;L24)+1)-L24)))</f>
        <v/>
      </c>
      <c r="AJ24" t="str">
        <f>IF(OR($B24="",NOT(ISNUMBER(M24))),"",IF(COUNTIF(N24:$T24,M24)&gt;0,0,IF(COUNTIF($G24:$T24,"&gt;"&amp;M24)=0,"",SMALL($G24:$T24,COUNTIF($G24:$T24,"&lt;="&amp;M24)+1)-M24)))</f>
        <v/>
      </c>
      <c r="AK24" t="str">
        <f>IF(OR($B24="",NOT(ISNUMBER(N24))),"",IF(COUNTIF(O24:$T24,N24)&gt;0,0,IF(COUNTIF($G24:$T24,"&gt;"&amp;N24)=0,"",SMALL($G24:$T24,COUNTIF($G24:$T24,"&lt;="&amp;N24)+1)-N24)))</f>
        <v/>
      </c>
      <c r="AL24" t="str">
        <f>IF(OR($B24="",NOT(ISNUMBER(O24))),"",IF(COUNTIF(P24:$T24,O24)&gt;0,0,IF(COUNTIF($G24:$T24,"&gt;"&amp;O24)=0,"",SMALL($G24:$T24,COUNTIF($G24:$T24,"&lt;="&amp;O24)+1)-O24)))</f>
        <v/>
      </c>
      <c r="AM24" t="str">
        <f>IF(OR($B24="",NOT(ISNUMBER(P24))),"",IF(COUNTIF(Q24:$T24,P24)&gt;0,0,IF(COUNTIF($G24:$T24,"&gt;"&amp;P24)=0,"",SMALL($G24:$T24,COUNTIF($G24:$T24,"&lt;="&amp;P24)+1)-P24)))</f>
        <v/>
      </c>
      <c r="AN24">
        <f>IF(OR($B24="",NOT(ISNUMBER(Q24))),"",IF(COUNTIF(R24:$T24,Q24)&gt;0,0,IF(COUNTIF($G24:$T24,"&gt;"&amp;Q24)=0,"",SMALL($G24:$T24,COUNTIF($G24:$T24,"&lt;="&amp;Q24)+1)-Q24)))</f>
        <v>0</v>
      </c>
      <c r="AO24" t="str">
        <f>IF(OR($B24="",NOT(ISNUMBER(R24))),"",IF(COUNTIF(S24:$T24,R24)&gt;0,0,IF(COUNTIF($G24:$T24,"&gt;"&amp;R24)=0,"",SMALL($G24:$T24,COUNTIF($G24:$T24,"&lt;="&amp;R24)+1)-R24)))</f>
        <v/>
      </c>
      <c r="AP24">
        <f t="shared" ca="1" si="3"/>
        <v>0</v>
      </c>
      <c r="AQ24" s="25" t="str">
        <f t="shared" si="4"/>
        <v/>
      </c>
      <c r="AR24" s="25" t="str">
        <f t="shared" si="5"/>
        <v/>
      </c>
      <c r="AS24" s="25">
        <f t="shared" si="6"/>
        <v>46290</v>
      </c>
      <c r="AT24" s="25">
        <f t="shared" si="7"/>
        <v>46293</v>
      </c>
      <c r="AU24" s="25" t="str">
        <f t="shared" si="8"/>
        <v/>
      </c>
      <c r="AV24" s="25" t="str">
        <f t="shared" si="9"/>
        <v/>
      </c>
      <c r="AW24" s="25" t="str">
        <f t="shared" si="10"/>
        <v/>
      </c>
      <c r="AX24" s="25" t="str">
        <f t="shared" si="11"/>
        <v/>
      </c>
      <c r="AY24" s="25" t="str">
        <f t="shared" si="12"/>
        <v/>
      </c>
      <c r="AZ24" s="25" t="str">
        <f t="shared" si="13"/>
        <v/>
      </c>
      <c r="BA24" s="25">
        <f t="shared" si="14"/>
        <v>46293</v>
      </c>
      <c r="BB24" s="25" t="str">
        <f t="shared" si="15"/>
        <v/>
      </c>
      <c r="BC24" s="25">
        <f t="shared" si="16"/>
        <v>46293</v>
      </c>
    </row>
    <row r="25" spans="1:55" ht="15" customHeight="1" x14ac:dyDescent="0.25">
      <c r="A25" s="151">
        <f t="shared" si="0"/>
        <v>23</v>
      </c>
      <c r="B25" s="151" t="s">
        <v>106</v>
      </c>
      <c r="C25" s="152" t="s">
        <v>107</v>
      </c>
      <c r="D25" s="151">
        <f t="shared" si="1"/>
        <v>1</v>
      </c>
      <c r="E25" s="151" t="s">
        <v>61</v>
      </c>
      <c r="F25" s="173">
        <v>46289</v>
      </c>
      <c r="G25" s="173"/>
      <c r="H25" s="173"/>
      <c r="I25" s="173">
        <v>46289</v>
      </c>
      <c r="J25" s="173">
        <v>46291</v>
      </c>
      <c r="K25" s="173"/>
      <c r="L25" s="173"/>
      <c r="M25" s="173"/>
      <c r="N25" s="173"/>
      <c r="O25" s="173"/>
      <c r="P25" s="173"/>
      <c r="Q25" s="173"/>
      <c r="R25" s="173"/>
      <c r="S25" s="173"/>
      <c r="T25" s="174">
        <v>46291</v>
      </c>
      <c r="U25" s="151"/>
      <c r="V25" s="152"/>
      <c r="W25" s="175"/>
      <c r="X25" s="173"/>
      <c r="Y25" s="173"/>
      <c r="Z25" s="176" t="str">
        <f>IF(B25="","",IF(S25&lt;&gt;"","Sevk Edildi",IF(AND(X25&lt;&gt;"",Y25=""),"Reworkte",IF(T25&lt;&gt;"","Kapandı"&amp;IF(COUNT(G25:R25)=0,""," – "&amp;LOOKUP(2,1/(G25:R25=MAX(G25:R25)),{"Tasarım","Ply Cutter","Üretim","Kalite (Üretim sonrası)","Talaşlı","Kalite (Talaşlı sonrası)","Montaj","Kalite (Montaj sonrası)","Boya","Kalite (Boya sonrası)","Yarı Mamül","KM"})),IF(COUNT(G25:R25)=0,"Başlamadı",LOOKUP(2,1/(G25:R25=MAX(G25:R25)),{"Tasarımda","Ply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5" s="177">
        <f t="shared" ca="1" si="2"/>
        <v>2</v>
      </c>
      <c r="AB25" s="175"/>
      <c r="AD25" t="str">
        <f>IF(OR($B25="",NOT(ISNUMBER(G25))),"",IF(COUNTIF(H25:$T25,G25)&gt;0,0,IF(COUNTIF($G25:$T25,"&gt;"&amp;G25)=0,"",SMALL($G25:$T25,COUNTIF($G25:$T25,"&lt;="&amp;G25)+1)-G25)))</f>
        <v/>
      </c>
      <c r="AE25" t="str">
        <f>IF(OR($B25="",NOT(ISNUMBER(H25))),"",IF(COUNTIF(I25:$T25,H25)&gt;0,0,IF(COUNTIF($G25:$T25,"&gt;"&amp;H25)=0,"",SMALL($G25:$T25,COUNTIF($G25:$T25,"&lt;="&amp;H25)+1)-H25)))</f>
        <v/>
      </c>
      <c r="AF25">
        <f>IF(OR($B25="",NOT(ISNUMBER(I25))),"",IF(COUNTIF(J25:$T25,I25)&gt;0,0,IF(COUNTIF($G25:$T25,"&gt;"&amp;I25)=0,"",SMALL($G25:$T25,COUNTIF($G25:$T25,"&lt;="&amp;I25)+1)-I25)))</f>
        <v>2</v>
      </c>
      <c r="AG25">
        <f>IF(OR($B25="",NOT(ISNUMBER(J25))),"",IF(COUNTIF(K25:$T25,J25)&gt;0,0,IF(COUNTIF($G25:$T25,"&gt;"&amp;J25)=0,"",SMALL($G25:$T25,COUNTIF($G25:$T25,"&lt;="&amp;J25)+1)-J25)))</f>
        <v>0</v>
      </c>
      <c r="AH25" t="str">
        <f>IF(OR($B25="",NOT(ISNUMBER(K25))),"",IF(COUNTIF(L25:$T25,K25)&gt;0,0,IF(COUNTIF($G25:$T25,"&gt;"&amp;K25)=0,"",SMALL($G25:$T25,COUNTIF($G25:$T25,"&lt;="&amp;K25)+1)-K25)))</f>
        <v/>
      </c>
      <c r="AI25" t="str">
        <f>IF(OR($B25="",NOT(ISNUMBER(L25))),"",IF(COUNTIF(M25:$T25,L25)&gt;0,0,IF(COUNTIF($G25:$T25,"&gt;"&amp;L25)=0,"",SMALL($G25:$T25,COUNTIF($G25:$T25,"&lt;="&amp;L25)+1)-L25)))</f>
        <v/>
      </c>
      <c r="AJ25" t="str">
        <f>IF(OR($B25="",NOT(ISNUMBER(M25))),"",IF(COUNTIF(N25:$T25,M25)&gt;0,0,IF(COUNTIF($G25:$T25,"&gt;"&amp;M25)=0,"",SMALL($G25:$T25,COUNTIF($G25:$T25,"&lt;="&amp;M25)+1)-M25)))</f>
        <v/>
      </c>
      <c r="AK25" t="str">
        <f>IF(OR($B25="",NOT(ISNUMBER(N25))),"",IF(COUNTIF(O25:$T25,N25)&gt;0,0,IF(COUNTIF($G25:$T25,"&gt;"&amp;N25)=0,"",SMALL($G25:$T25,COUNTIF($G25:$T25,"&lt;="&amp;N25)+1)-N25)))</f>
        <v/>
      </c>
      <c r="AL25" t="str">
        <f>IF(OR($B25="",NOT(ISNUMBER(O25))),"",IF(COUNTIF(P25:$T25,O25)&gt;0,0,IF(COUNTIF($G25:$T25,"&gt;"&amp;O25)=0,"",SMALL($G25:$T25,COUNTIF($G25:$T25,"&lt;="&amp;O25)+1)-O25)))</f>
        <v/>
      </c>
      <c r="AM25" t="str">
        <f>IF(OR($B25="",NOT(ISNUMBER(P25))),"",IF(COUNTIF(Q25:$T25,P25)&gt;0,0,IF(COUNTIF($G25:$T25,"&gt;"&amp;P25)=0,"",SMALL($G25:$T25,COUNTIF($G25:$T25,"&lt;="&amp;P25)+1)-P25)))</f>
        <v/>
      </c>
      <c r="AN25" t="str">
        <f>IF(OR($B25="",NOT(ISNUMBER(Q25))),"",IF(COUNTIF(R25:$T25,Q25)&gt;0,0,IF(COUNTIF($G25:$T25,"&gt;"&amp;Q25)=0,"",SMALL($G25:$T25,COUNTIF($G25:$T25,"&lt;="&amp;Q25)+1)-Q25)))</f>
        <v/>
      </c>
      <c r="AO25" t="str">
        <f>IF(OR($B25="",NOT(ISNUMBER(R25))),"",IF(COUNTIF(S25:$T25,R25)&gt;0,0,IF(COUNTIF($G25:$T25,"&gt;"&amp;R25)=0,"",SMALL($G25:$T25,COUNTIF($G25:$T25,"&lt;="&amp;R25)+1)-R25)))</f>
        <v/>
      </c>
      <c r="AP25">
        <f t="shared" ca="1" si="3"/>
        <v>0</v>
      </c>
      <c r="AQ25" s="25" t="str">
        <f t="shared" si="4"/>
        <v/>
      </c>
      <c r="AR25" s="25" t="str">
        <f t="shared" si="5"/>
        <v/>
      </c>
      <c r="AS25" s="25">
        <f t="shared" si="6"/>
        <v>46291</v>
      </c>
      <c r="AT25" s="25">
        <f t="shared" si="7"/>
        <v>46291</v>
      </c>
      <c r="AU25" s="25" t="str">
        <f t="shared" si="8"/>
        <v/>
      </c>
      <c r="AV25" s="25" t="str">
        <f t="shared" si="9"/>
        <v/>
      </c>
      <c r="AW25" s="25" t="str">
        <f t="shared" si="10"/>
        <v/>
      </c>
      <c r="AX25" s="25" t="str">
        <f t="shared" si="11"/>
        <v/>
      </c>
      <c r="AY25" s="25" t="str">
        <f t="shared" si="12"/>
        <v/>
      </c>
      <c r="AZ25" s="25" t="str">
        <f t="shared" si="13"/>
        <v/>
      </c>
      <c r="BA25" s="25" t="str">
        <f t="shared" si="14"/>
        <v/>
      </c>
      <c r="BB25" s="25" t="str">
        <f t="shared" si="15"/>
        <v/>
      </c>
      <c r="BC25" s="25">
        <f t="shared" si="16"/>
        <v>46291</v>
      </c>
    </row>
    <row r="26" spans="1:55" ht="15" customHeight="1" x14ac:dyDescent="0.25">
      <c r="A26" s="151">
        <f t="shared" si="0"/>
        <v>24</v>
      </c>
      <c r="B26" s="151" t="s">
        <v>108</v>
      </c>
      <c r="C26" s="152" t="s">
        <v>107</v>
      </c>
      <c r="D26" s="151">
        <f t="shared" si="1"/>
        <v>1</v>
      </c>
      <c r="E26" s="151" t="s">
        <v>61</v>
      </c>
      <c r="F26" s="173">
        <v>46289</v>
      </c>
      <c r="G26" s="173"/>
      <c r="H26" s="173"/>
      <c r="I26" s="173">
        <v>46289</v>
      </c>
      <c r="J26" s="173">
        <v>46291</v>
      </c>
      <c r="K26" s="173"/>
      <c r="L26" s="173"/>
      <c r="M26" s="173"/>
      <c r="N26" s="173"/>
      <c r="O26" s="173"/>
      <c r="P26" s="173"/>
      <c r="Q26" s="173"/>
      <c r="R26" s="173"/>
      <c r="S26" s="173"/>
      <c r="T26" s="174">
        <v>46291</v>
      </c>
      <c r="U26" s="151"/>
      <c r="V26" s="152"/>
      <c r="W26" s="175"/>
      <c r="X26" s="173"/>
      <c r="Y26" s="173"/>
      <c r="Z26" s="176" t="str">
        <f>IF(B26="","",IF(S26&lt;&gt;"","Sevk Edildi",IF(AND(X26&lt;&gt;"",Y26=""),"Reworkte",IF(T26&lt;&gt;"","Kapandı"&amp;IF(COUNT(G26:R26)=0,""," – "&amp;LOOKUP(2,1/(G26:R26=MAX(G26:R26)),{"Tasarım","Ply Cutter","Üretim","Kalite (Üretim sonrası)","Talaşlı","Kalite (Talaşlı sonrası)","Montaj","Kalite (Montaj sonrası)","Boya","Kalite (Boya sonrası)","Yarı Mamül","KM"})),IF(COUNT(G26:R26)=0,"Başlamadı",LOOKUP(2,1/(G26:R26=MAX(G26:R26)),{"Tasarımda","Ply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6" s="177">
        <f t="shared" ca="1" si="2"/>
        <v>2</v>
      </c>
      <c r="AB26" s="175"/>
      <c r="AD26" t="str">
        <f>IF(OR($B26="",NOT(ISNUMBER(G26))),"",IF(COUNTIF(H26:$T26,G26)&gt;0,0,IF(COUNTIF($G26:$T26,"&gt;"&amp;G26)=0,"",SMALL($G26:$T26,COUNTIF($G26:$T26,"&lt;="&amp;G26)+1)-G26)))</f>
        <v/>
      </c>
      <c r="AE26" t="str">
        <f>IF(OR($B26="",NOT(ISNUMBER(H26))),"",IF(COUNTIF(I26:$T26,H26)&gt;0,0,IF(COUNTIF($G26:$T26,"&gt;"&amp;H26)=0,"",SMALL($G26:$T26,COUNTIF($G26:$T26,"&lt;="&amp;H26)+1)-H26)))</f>
        <v/>
      </c>
      <c r="AF26">
        <f>IF(OR($B26="",NOT(ISNUMBER(I26))),"",IF(COUNTIF(J26:$T26,I26)&gt;0,0,IF(COUNTIF($G26:$T26,"&gt;"&amp;I26)=0,"",SMALL($G26:$T26,COUNTIF($G26:$T26,"&lt;="&amp;I26)+1)-I26)))</f>
        <v>2</v>
      </c>
      <c r="AG26">
        <f>IF(OR($B26="",NOT(ISNUMBER(J26))),"",IF(COUNTIF(K26:$T26,J26)&gt;0,0,IF(COUNTIF($G26:$T26,"&gt;"&amp;J26)=0,"",SMALL($G26:$T26,COUNTIF($G26:$T26,"&lt;="&amp;J26)+1)-J26)))</f>
        <v>0</v>
      </c>
      <c r="AH26" t="str">
        <f>IF(OR($B26="",NOT(ISNUMBER(K26))),"",IF(COUNTIF(L26:$T26,K26)&gt;0,0,IF(COUNTIF($G26:$T26,"&gt;"&amp;K26)=0,"",SMALL($G26:$T26,COUNTIF($G26:$T26,"&lt;="&amp;K26)+1)-K26)))</f>
        <v/>
      </c>
      <c r="AI26" t="str">
        <f>IF(OR($B26="",NOT(ISNUMBER(L26))),"",IF(COUNTIF(M26:$T26,L26)&gt;0,0,IF(COUNTIF($G26:$T26,"&gt;"&amp;L26)=0,"",SMALL($G26:$T26,COUNTIF($G26:$T26,"&lt;="&amp;L26)+1)-L26)))</f>
        <v/>
      </c>
      <c r="AJ26" t="str">
        <f>IF(OR($B26="",NOT(ISNUMBER(M26))),"",IF(COUNTIF(N26:$T26,M26)&gt;0,0,IF(COUNTIF($G26:$T26,"&gt;"&amp;M26)=0,"",SMALL($G26:$T26,COUNTIF($G26:$T26,"&lt;="&amp;M26)+1)-M26)))</f>
        <v/>
      </c>
      <c r="AK26" t="str">
        <f>IF(OR($B26="",NOT(ISNUMBER(N26))),"",IF(COUNTIF(O26:$T26,N26)&gt;0,0,IF(COUNTIF($G26:$T26,"&gt;"&amp;N26)=0,"",SMALL($G26:$T26,COUNTIF($G26:$T26,"&lt;="&amp;N26)+1)-N26)))</f>
        <v/>
      </c>
      <c r="AL26" t="str">
        <f>IF(OR($B26="",NOT(ISNUMBER(O26))),"",IF(COUNTIF(P26:$T26,O26)&gt;0,0,IF(COUNTIF($G26:$T26,"&gt;"&amp;O26)=0,"",SMALL($G26:$T26,COUNTIF($G26:$T26,"&lt;="&amp;O26)+1)-O26)))</f>
        <v/>
      </c>
      <c r="AM26" t="str">
        <f>IF(OR($B26="",NOT(ISNUMBER(P26))),"",IF(COUNTIF(Q26:$T26,P26)&gt;0,0,IF(COUNTIF($G26:$T26,"&gt;"&amp;P26)=0,"",SMALL($G26:$T26,COUNTIF($G26:$T26,"&lt;="&amp;P26)+1)-P26)))</f>
        <v/>
      </c>
      <c r="AN26" t="str">
        <f>IF(OR($B26="",NOT(ISNUMBER(Q26))),"",IF(COUNTIF(R26:$T26,Q26)&gt;0,0,IF(COUNTIF($G26:$T26,"&gt;"&amp;Q26)=0,"",SMALL($G26:$T26,COUNTIF($G26:$T26,"&lt;="&amp;Q26)+1)-Q26)))</f>
        <v/>
      </c>
      <c r="AO26" t="str">
        <f>IF(OR($B26="",NOT(ISNUMBER(R26))),"",IF(COUNTIF(S26:$T26,R26)&gt;0,0,IF(COUNTIF($G26:$T26,"&gt;"&amp;R26)=0,"",SMALL($G26:$T26,COUNTIF($G26:$T26,"&lt;="&amp;R26)+1)-R26)))</f>
        <v/>
      </c>
      <c r="AP26">
        <f t="shared" ca="1" si="3"/>
        <v>0</v>
      </c>
      <c r="AQ26" s="25" t="str">
        <f t="shared" si="4"/>
        <v/>
      </c>
      <c r="AR26" s="25" t="str">
        <f t="shared" si="5"/>
        <v/>
      </c>
      <c r="AS26" s="25">
        <f t="shared" si="6"/>
        <v>46291</v>
      </c>
      <c r="AT26" s="25">
        <f t="shared" si="7"/>
        <v>46291</v>
      </c>
      <c r="AU26" s="25" t="str">
        <f t="shared" si="8"/>
        <v/>
      </c>
      <c r="AV26" s="25" t="str">
        <f t="shared" si="9"/>
        <v/>
      </c>
      <c r="AW26" s="25" t="str">
        <f t="shared" si="10"/>
        <v/>
      </c>
      <c r="AX26" s="25" t="str">
        <f t="shared" si="11"/>
        <v/>
      </c>
      <c r="AY26" s="25" t="str">
        <f t="shared" si="12"/>
        <v/>
      </c>
      <c r="AZ26" s="25" t="str">
        <f t="shared" si="13"/>
        <v/>
      </c>
      <c r="BA26" s="25" t="str">
        <f t="shared" si="14"/>
        <v/>
      </c>
      <c r="BB26" s="25" t="str">
        <f t="shared" si="15"/>
        <v/>
      </c>
      <c r="BC26" s="25">
        <f t="shared" si="16"/>
        <v>46291</v>
      </c>
    </row>
    <row r="27" spans="1:55" ht="15" customHeight="1" x14ac:dyDescent="0.25">
      <c r="A27" s="151">
        <f t="shared" si="0"/>
        <v>25</v>
      </c>
      <c r="B27" s="151" t="s">
        <v>109</v>
      </c>
      <c r="C27" s="152" t="s">
        <v>74</v>
      </c>
      <c r="D27" s="151">
        <f t="shared" si="1"/>
        <v>1</v>
      </c>
      <c r="E27" s="151" t="s">
        <v>61</v>
      </c>
      <c r="F27" s="173">
        <v>46289</v>
      </c>
      <c r="G27" s="173"/>
      <c r="H27" s="173"/>
      <c r="I27" s="173">
        <v>46289</v>
      </c>
      <c r="J27" s="173">
        <v>46290</v>
      </c>
      <c r="K27" s="173"/>
      <c r="L27" s="173"/>
      <c r="M27" s="173"/>
      <c r="N27" s="173"/>
      <c r="O27" s="173"/>
      <c r="P27" s="173"/>
      <c r="Q27" s="173">
        <v>46291</v>
      </c>
      <c r="R27" s="173"/>
      <c r="S27" s="173"/>
      <c r="T27" s="174">
        <v>46291</v>
      </c>
      <c r="U27" s="151"/>
      <c r="V27" s="152"/>
      <c r="W27" s="175"/>
      <c r="X27" s="173"/>
      <c r="Y27" s="173"/>
      <c r="Z27" s="176" t="str">
        <f>IF(B27="","",IF(S27&lt;&gt;"","Sevk Edildi",IF(AND(X27&lt;&gt;"",Y27=""),"Reworkte",IF(T27&lt;&gt;"","Kapandı"&amp;IF(COUNT(G27:R27)=0,""," – "&amp;LOOKUP(2,1/(G27:R27=MAX(G27:R27)),{"Tasarım","Ply Cutter","Üretim","Kalite (Üretim sonrası)","Talaşlı","Kalite (Talaşlı sonrası)","Montaj","Kalite (Montaj sonrası)","Boya","Kalite (Boya sonrası)","Yarı Mamül","KM"})),IF(COUNT(G27:R27)=0,"Başlamadı",LOOKUP(2,1/(G27:R27=MAX(G27:R27)),{"Tasarımda","Ply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7" s="177">
        <f t="shared" ca="1" si="2"/>
        <v>2</v>
      </c>
      <c r="AB27" s="175"/>
      <c r="AD27" t="str">
        <f>IF(OR($B27="",NOT(ISNUMBER(G27))),"",IF(COUNTIF(H27:$T27,G27)&gt;0,0,IF(COUNTIF($G27:$T27,"&gt;"&amp;G27)=0,"",SMALL($G27:$T27,COUNTIF($G27:$T27,"&lt;="&amp;G27)+1)-G27)))</f>
        <v/>
      </c>
      <c r="AE27" t="str">
        <f>IF(OR($B27="",NOT(ISNUMBER(H27))),"",IF(COUNTIF(I27:$T27,H27)&gt;0,0,IF(COUNTIF($G27:$T27,"&gt;"&amp;H27)=0,"",SMALL($G27:$T27,COUNTIF($G27:$T27,"&lt;="&amp;H27)+1)-H27)))</f>
        <v/>
      </c>
      <c r="AF27">
        <f>IF(OR($B27="",NOT(ISNUMBER(I27))),"",IF(COUNTIF(J27:$T27,I27)&gt;0,0,IF(COUNTIF($G27:$T27,"&gt;"&amp;I27)=0,"",SMALL($G27:$T27,COUNTIF($G27:$T27,"&lt;="&amp;I27)+1)-I27)))</f>
        <v>1</v>
      </c>
      <c r="AG27">
        <f>IF(OR($B27="",NOT(ISNUMBER(J27))),"",IF(COUNTIF(K27:$T27,J27)&gt;0,0,IF(COUNTIF($G27:$T27,"&gt;"&amp;J27)=0,"",SMALL($G27:$T27,COUNTIF($G27:$T27,"&lt;="&amp;J27)+1)-J27)))</f>
        <v>1</v>
      </c>
      <c r="AH27" t="str">
        <f>IF(OR($B27="",NOT(ISNUMBER(K27))),"",IF(COUNTIF(L27:$T27,K27)&gt;0,0,IF(COUNTIF($G27:$T27,"&gt;"&amp;K27)=0,"",SMALL($G27:$T27,COUNTIF($G27:$T27,"&lt;="&amp;K27)+1)-K27)))</f>
        <v/>
      </c>
      <c r="AI27" t="str">
        <f>IF(OR($B27="",NOT(ISNUMBER(L27))),"",IF(COUNTIF(M27:$T27,L27)&gt;0,0,IF(COUNTIF($G27:$T27,"&gt;"&amp;L27)=0,"",SMALL($G27:$T27,COUNTIF($G27:$T27,"&lt;="&amp;L27)+1)-L27)))</f>
        <v/>
      </c>
      <c r="AJ27" t="str">
        <f>IF(OR($B27="",NOT(ISNUMBER(M27))),"",IF(COUNTIF(N27:$T27,M27)&gt;0,0,IF(COUNTIF($G27:$T27,"&gt;"&amp;M27)=0,"",SMALL($G27:$T27,COUNTIF($G27:$T27,"&lt;="&amp;M27)+1)-M27)))</f>
        <v/>
      </c>
      <c r="AK27" t="str">
        <f>IF(OR($B27="",NOT(ISNUMBER(N27))),"",IF(COUNTIF(O27:$T27,N27)&gt;0,0,IF(COUNTIF($G27:$T27,"&gt;"&amp;N27)=0,"",SMALL($G27:$T27,COUNTIF($G27:$T27,"&lt;="&amp;N27)+1)-N27)))</f>
        <v/>
      </c>
      <c r="AL27" t="str">
        <f>IF(OR($B27="",NOT(ISNUMBER(O27))),"",IF(COUNTIF(P27:$T27,O27)&gt;0,0,IF(COUNTIF($G27:$T27,"&gt;"&amp;O27)=0,"",SMALL($G27:$T27,COUNTIF($G27:$T27,"&lt;="&amp;O27)+1)-O27)))</f>
        <v/>
      </c>
      <c r="AM27" t="str">
        <f>IF(OR($B27="",NOT(ISNUMBER(P27))),"",IF(COUNTIF(Q27:$T27,P27)&gt;0,0,IF(COUNTIF($G27:$T27,"&gt;"&amp;P27)=0,"",SMALL($G27:$T27,COUNTIF($G27:$T27,"&lt;="&amp;P27)+1)-P27)))</f>
        <v/>
      </c>
      <c r="AN27">
        <f>IF(OR($B27="",NOT(ISNUMBER(Q27))),"",IF(COUNTIF(R27:$T27,Q27)&gt;0,0,IF(COUNTIF($G27:$T27,"&gt;"&amp;Q27)=0,"",SMALL($G27:$T27,COUNTIF($G27:$T27,"&lt;="&amp;Q27)+1)-Q27)))</f>
        <v>0</v>
      </c>
      <c r="AO27" t="str">
        <f>IF(OR($B27="",NOT(ISNUMBER(R27))),"",IF(COUNTIF(S27:$T27,R27)&gt;0,0,IF(COUNTIF($G27:$T27,"&gt;"&amp;R27)=0,"",SMALL($G27:$T27,COUNTIF($G27:$T27,"&lt;="&amp;R27)+1)-R27)))</f>
        <v/>
      </c>
      <c r="AP27">
        <f t="shared" ca="1" si="3"/>
        <v>0</v>
      </c>
      <c r="AQ27" s="25" t="str">
        <f t="shared" si="4"/>
        <v/>
      </c>
      <c r="AR27" s="25" t="str">
        <f t="shared" si="5"/>
        <v/>
      </c>
      <c r="AS27" s="25">
        <f t="shared" si="6"/>
        <v>46290</v>
      </c>
      <c r="AT27" s="25">
        <f t="shared" si="7"/>
        <v>46291</v>
      </c>
      <c r="AU27" s="25" t="str">
        <f t="shared" si="8"/>
        <v/>
      </c>
      <c r="AV27" s="25" t="str">
        <f t="shared" si="9"/>
        <v/>
      </c>
      <c r="AW27" s="25" t="str">
        <f t="shared" si="10"/>
        <v/>
      </c>
      <c r="AX27" s="25" t="str">
        <f t="shared" si="11"/>
        <v/>
      </c>
      <c r="AY27" s="25" t="str">
        <f t="shared" si="12"/>
        <v/>
      </c>
      <c r="AZ27" s="25" t="str">
        <f t="shared" si="13"/>
        <v/>
      </c>
      <c r="BA27" s="25">
        <f t="shared" si="14"/>
        <v>46291</v>
      </c>
      <c r="BB27" s="25" t="str">
        <f t="shared" si="15"/>
        <v/>
      </c>
      <c r="BC27" s="25">
        <f t="shared" si="16"/>
        <v>46291</v>
      </c>
    </row>
    <row r="28" spans="1:55" ht="15" customHeight="1" x14ac:dyDescent="0.25">
      <c r="A28" s="151">
        <f t="shared" si="0"/>
        <v>26</v>
      </c>
      <c r="B28" s="151" t="s">
        <v>110</v>
      </c>
      <c r="C28" s="152" t="s">
        <v>67</v>
      </c>
      <c r="D28" s="151">
        <f t="shared" si="1"/>
        <v>5</v>
      </c>
      <c r="E28" s="151" t="s">
        <v>61</v>
      </c>
      <c r="F28" s="173">
        <v>46289</v>
      </c>
      <c r="G28" s="173"/>
      <c r="H28" s="173"/>
      <c r="I28" s="173">
        <v>46289</v>
      </c>
      <c r="J28" s="173">
        <v>46291</v>
      </c>
      <c r="K28" s="173"/>
      <c r="L28" s="173"/>
      <c r="M28" s="173"/>
      <c r="N28" s="173"/>
      <c r="O28" s="173"/>
      <c r="P28" s="173"/>
      <c r="Q28" s="173"/>
      <c r="R28" s="173"/>
      <c r="S28" s="173"/>
      <c r="T28" s="174">
        <v>46291</v>
      </c>
      <c r="U28" s="151"/>
      <c r="V28" s="152"/>
      <c r="W28" s="175"/>
      <c r="X28" s="173"/>
      <c r="Y28" s="173"/>
      <c r="Z28" s="176" t="str">
        <f>IF(B28="","",IF(S28&lt;&gt;"","Sevk Edildi",IF(AND(X28&lt;&gt;"",Y28=""),"Reworkte",IF(T28&lt;&gt;"","Kapandı"&amp;IF(COUNT(G28:R28)=0,""," – "&amp;LOOKUP(2,1/(G28:R28=MAX(G28:R28)),{"Tasarım","Ply Cutter","Üretim","Kalite (Üretim sonrası)","Talaşlı","Kalite (Talaşlı sonrası)","Montaj","Kalite (Montaj sonrası)","Boya","Kalite (Boya sonrası)","Yarı Mamül","KM"})),IF(COUNT(G28:R28)=0,"Başlamadı",LOOKUP(2,1/(G28:R28=MAX(G28:R28)),{"Tasarımda","Ply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8" s="177">
        <f t="shared" ca="1" si="2"/>
        <v>2</v>
      </c>
      <c r="AB28" s="175"/>
      <c r="AD28" t="str">
        <f>IF(OR($B28="",NOT(ISNUMBER(G28))),"",IF(COUNTIF(H28:$T28,G28)&gt;0,0,IF(COUNTIF($G28:$T28,"&gt;"&amp;G28)=0,"",SMALL($G28:$T28,COUNTIF($G28:$T28,"&lt;="&amp;G28)+1)-G28)))</f>
        <v/>
      </c>
      <c r="AE28" t="str">
        <f>IF(OR($B28="",NOT(ISNUMBER(H28))),"",IF(COUNTIF(I28:$T28,H28)&gt;0,0,IF(COUNTIF($G28:$T28,"&gt;"&amp;H28)=0,"",SMALL($G28:$T28,COUNTIF($G28:$T28,"&lt;="&amp;H28)+1)-H28)))</f>
        <v/>
      </c>
      <c r="AF28">
        <f>IF(OR($B28="",NOT(ISNUMBER(I28))),"",IF(COUNTIF(J28:$T28,I28)&gt;0,0,IF(COUNTIF($G28:$T28,"&gt;"&amp;I28)=0,"",SMALL($G28:$T28,COUNTIF($G28:$T28,"&lt;="&amp;I28)+1)-I28)))</f>
        <v>2</v>
      </c>
      <c r="AG28">
        <f>IF(OR($B28="",NOT(ISNUMBER(J28))),"",IF(COUNTIF(K28:$T28,J28)&gt;0,0,IF(COUNTIF($G28:$T28,"&gt;"&amp;J28)=0,"",SMALL($G28:$T28,COUNTIF($G28:$T28,"&lt;="&amp;J28)+1)-J28)))</f>
        <v>0</v>
      </c>
      <c r="AH28" t="str">
        <f>IF(OR($B28="",NOT(ISNUMBER(K28))),"",IF(COUNTIF(L28:$T28,K28)&gt;0,0,IF(COUNTIF($G28:$T28,"&gt;"&amp;K28)=0,"",SMALL($G28:$T28,COUNTIF($G28:$T28,"&lt;="&amp;K28)+1)-K28)))</f>
        <v/>
      </c>
      <c r="AI28" t="str">
        <f>IF(OR($B28="",NOT(ISNUMBER(L28))),"",IF(COUNTIF(M28:$T28,L28)&gt;0,0,IF(COUNTIF($G28:$T28,"&gt;"&amp;L28)=0,"",SMALL($G28:$T28,COUNTIF($G28:$T28,"&lt;="&amp;L28)+1)-L28)))</f>
        <v/>
      </c>
      <c r="AJ28" t="str">
        <f>IF(OR($B28="",NOT(ISNUMBER(M28))),"",IF(COUNTIF(N28:$T28,M28)&gt;0,0,IF(COUNTIF($G28:$T28,"&gt;"&amp;M28)=0,"",SMALL($G28:$T28,COUNTIF($G28:$T28,"&lt;="&amp;M28)+1)-M28)))</f>
        <v/>
      </c>
      <c r="AK28" t="str">
        <f>IF(OR($B28="",NOT(ISNUMBER(N28))),"",IF(COUNTIF(O28:$T28,N28)&gt;0,0,IF(COUNTIF($G28:$T28,"&gt;"&amp;N28)=0,"",SMALL($G28:$T28,COUNTIF($G28:$T28,"&lt;="&amp;N28)+1)-N28)))</f>
        <v/>
      </c>
      <c r="AL28" t="str">
        <f>IF(OR($B28="",NOT(ISNUMBER(O28))),"",IF(COUNTIF(P28:$T28,O28)&gt;0,0,IF(COUNTIF($G28:$T28,"&gt;"&amp;O28)=0,"",SMALL($G28:$T28,COUNTIF($G28:$T28,"&lt;="&amp;O28)+1)-O28)))</f>
        <v/>
      </c>
      <c r="AM28" t="str">
        <f>IF(OR($B28="",NOT(ISNUMBER(P28))),"",IF(COUNTIF(Q28:$T28,P28)&gt;0,0,IF(COUNTIF($G28:$T28,"&gt;"&amp;P28)=0,"",SMALL($G28:$T28,COUNTIF($G28:$T28,"&lt;="&amp;P28)+1)-P28)))</f>
        <v/>
      </c>
      <c r="AN28" t="str">
        <f>IF(OR($B28="",NOT(ISNUMBER(Q28))),"",IF(COUNTIF(R28:$T28,Q28)&gt;0,0,IF(COUNTIF($G28:$T28,"&gt;"&amp;Q28)=0,"",SMALL($G28:$T28,COUNTIF($G28:$T28,"&lt;="&amp;Q28)+1)-Q28)))</f>
        <v/>
      </c>
      <c r="AO28" t="str">
        <f>IF(OR($B28="",NOT(ISNUMBER(R28))),"",IF(COUNTIF(S28:$T28,R28)&gt;0,0,IF(COUNTIF($G28:$T28,"&gt;"&amp;R28)=0,"",SMALL($G28:$T28,COUNTIF($G28:$T28,"&lt;="&amp;R28)+1)-R28)))</f>
        <v/>
      </c>
      <c r="AP28">
        <f t="shared" ca="1" si="3"/>
        <v>0</v>
      </c>
      <c r="AQ28" s="25" t="str">
        <f t="shared" si="4"/>
        <v/>
      </c>
      <c r="AR28" s="25" t="str">
        <f t="shared" si="5"/>
        <v/>
      </c>
      <c r="AS28" s="25">
        <f t="shared" si="6"/>
        <v>46291</v>
      </c>
      <c r="AT28" s="25">
        <f t="shared" si="7"/>
        <v>46291</v>
      </c>
      <c r="AU28" s="25" t="str">
        <f t="shared" si="8"/>
        <v/>
      </c>
      <c r="AV28" s="25" t="str">
        <f t="shared" si="9"/>
        <v/>
      </c>
      <c r="AW28" s="25" t="str">
        <f t="shared" si="10"/>
        <v/>
      </c>
      <c r="AX28" s="25" t="str">
        <f t="shared" si="11"/>
        <v/>
      </c>
      <c r="AY28" s="25" t="str">
        <f t="shared" si="12"/>
        <v/>
      </c>
      <c r="AZ28" s="25" t="str">
        <f t="shared" si="13"/>
        <v/>
      </c>
      <c r="BA28" s="25" t="str">
        <f t="shared" si="14"/>
        <v/>
      </c>
      <c r="BB28" s="25" t="str">
        <f t="shared" si="15"/>
        <v/>
      </c>
      <c r="BC28" s="25">
        <f t="shared" si="16"/>
        <v>46291</v>
      </c>
    </row>
    <row r="29" spans="1:55" ht="15" customHeight="1" x14ac:dyDescent="0.25">
      <c r="A29" s="151">
        <f t="shared" si="0"/>
        <v>27</v>
      </c>
      <c r="B29" s="151" t="s">
        <v>111</v>
      </c>
      <c r="C29" s="152" t="s">
        <v>67</v>
      </c>
      <c r="D29" s="151">
        <f t="shared" si="1"/>
        <v>5</v>
      </c>
      <c r="E29" s="151" t="s">
        <v>61</v>
      </c>
      <c r="F29" s="173">
        <v>46289</v>
      </c>
      <c r="G29" s="173"/>
      <c r="H29" s="173"/>
      <c r="I29" s="173">
        <v>46289</v>
      </c>
      <c r="J29" s="173">
        <v>46291</v>
      </c>
      <c r="K29" s="173"/>
      <c r="L29" s="173"/>
      <c r="M29" s="173"/>
      <c r="N29" s="173"/>
      <c r="O29" s="173"/>
      <c r="P29" s="173"/>
      <c r="Q29" s="173"/>
      <c r="R29" s="173"/>
      <c r="S29" s="173"/>
      <c r="T29" s="174">
        <v>46291</v>
      </c>
      <c r="U29" s="151"/>
      <c r="V29" s="152"/>
      <c r="W29" s="175"/>
      <c r="X29" s="173"/>
      <c r="Y29" s="173"/>
      <c r="Z29" s="176" t="str">
        <f>IF(B29="","",IF(S29&lt;&gt;"","Sevk Edildi",IF(AND(X29&lt;&gt;"",Y29=""),"Reworkte",IF(T29&lt;&gt;"","Kapandı"&amp;IF(COUNT(G29:R29)=0,""," – "&amp;LOOKUP(2,1/(G29:R29=MAX(G29:R29)),{"Tasarım","Ply Cutter","Üretim","Kalite (Üretim sonrası)","Talaşlı","Kalite (Talaşlı sonrası)","Montaj","Kalite (Montaj sonrası)","Boya","Kalite (Boya sonrası)","Yarı Mamül","KM"})),IF(COUNT(G29:R29)=0,"Başlamadı",LOOKUP(2,1/(G29:R29=MAX(G29:R29)),{"Tasarımda","Ply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9" s="177">
        <f t="shared" ca="1" si="2"/>
        <v>2</v>
      </c>
      <c r="AB29" s="175"/>
      <c r="AD29" t="str">
        <f>IF(OR($B29="",NOT(ISNUMBER(G29))),"",IF(COUNTIF(H29:$T29,G29)&gt;0,0,IF(COUNTIF($G29:$T29,"&gt;"&amp;G29)=0,"",SMALL($G29:$T29,COUNTIF($G29:$T29,"&lt;="&amp;G29)+1)-G29)))</f>
        <v/>
      </c>
      <c r="AE29" t="str">
        <f>IF(OR($B29="",NOT(ISNUMBER(H29))),"",IF(COUNTIF(I29:$T29,H29)&gt;0,0,IF(COUNTIF($G29:$T29,"&gt;"&amp;H29)=0,"",SMALL($G29:$T29,COUNTIF($G29:$T29,"&lt;="&amp;H29)+1)-H29)))</f>
        <v/>
      </c>
      <c r="AF29">
        <f>IF(OR($B29="",NOT(ISNUMBER(I29))),"",IF(COUNTIF(J29:$T29,I29)&gt;0,0,IF(COUNTIF($G29:$T29,"&gt;"&amp;I29)=0,"",SMALL($G29:$T29,COUNTIF($G29:$T29,"&lt;="&amp;I29)+1)-I29)))</f>
        <v>2</v>
      </c>
      <c r="AG29">
        <f>IF(OR($B29="",NOT(ISNUMBER(J29))),"",IF(COUNTIF(K29:$T29,J29)&gt;0,0,IF(COUNTIF($G29:$T29,"&gt;"&amp;J29)=0,"",SMALL($G29:$T29,COUNTIF($G29:$T29,"&lt;="&amp;J29)+1)-J29)))</f>
        <v>0</v>
      </c>
      <c r="AH29" t="str">
        <f>IF(OR($B29="",NOT(ISNUMBER(K29))),"",IF(COUNTIF(L29:$T29,K29)&gt;0,0,IF(COUNTIF($G29:$T29,"&gt;"&amp;K29)=0,"",SMALL($G29:$T29,COUNTIF($G29:$T29,"&lt;="&amp;K29)+1)-K29)))</f>
        <v/>
      </c>
      <c r="AI29" t="str">
        <f>IF(OR($B29="",NOT(ISNUMBER(L29))),"",IF(COUNTIF(M29:$T29,L29)&gt;0,0,IF(COUNTIF($G29:$T29,"&gt;"&amp;L29)=0,"",SMALL($G29:$T29,COUNTIF($G29:$T29,"&lt;="&amp;L29)+1)-L29)))</f>
        <v/>
      </c>
      <c r="AJ29" t="str">
        <f>IF(OR($B29="",NOT(ISNUMBER(M29))),"",IF(COUNTIF(N29:$T29,M29)&gt;0,0,IF(COUNTIF($G29:$T29,"&gt;"&amp;M29)=0,"",SMALL($G29:$T29,COUNTIF($G29:$T29,"&lt;="&amp;M29)+1)-M29)))</f>
        <v/>
      </c>
      <c r="AK29" t="str">
        <f>IF(OR($B29="",NOT(ISNUMBER(N29))),"",IF(COUNTIF(O29:$T29,N29)&gt;0,0,IF(COUNTIF($G29:$T29,"&gt;"&amp;N29)=0,"",SMALL($G29:$T29,COUNTIF($G29:$T29,"&lt;="&amp;N29)+1)-N29)))</f>
        <v/>
      </c>
      <c r="AL29" t="str">
        <f>IF(OR($B29="",NOT(ISNUMBER(O29))),"",IF(COUNTIF(P29:$T29,O29)&gt;0,0,IF(COUNTIF($G29:$T29,"&gt;"&amp;O29)=0,"",SMALL($G29:$T29,COUNTIF($G29:$T29,"&lt;="&amp;O29)+1)-O29)))</f>
        <v/>
      </c>
      <c r="AM29" t="str">
        <f>IF(OR($B29="",NOT(ISNUMBER(P29))),"",IF(COUNTIF(Q29:$T29,P29)&gt;0,0,IF(COUNTIF($G29:$T29,"&gt;"&amp;P29)=0,"",SMALL($G29:$T29,COUNTIF($G29:$T29,"&lt;="&amp;P29)+1)-P29)))</f>
        <v/>
      </c>
      <c r="AN29" t="str">
        <f>IF(OR($B29="",NOT(ISNUMBER(Q29))),"",IF(COUNTIF(R29:$T29,Q29)&gt;0,0,IF(COUNTIF($G29:$T29,"&gt;"&amp;Q29)=0,"",SMALL($G29:$T29,COUNTIF($G29:$T29,"&lt;="&amp;Q29)+1)-Q29)))</f>
        <v/>
      </c>
      <c r="AO29" t="str">
        <f>IF(OR($B29="",NOT(ISNUMBER(R29))),"",IF(COUNTIF(S29:$T29,R29)&gt;0,0,IF(COUNTIF($G29:$T29,"&gt;"&amp;R29)=0,"",SMALL($G29:$T29,COUNTIF($G29:$T29,"&lt;="&amp;R29)+1)-R29)))</f>
        <v/>
      </c>
      <c r="AP29">
        <f t="shared" ca="1" si="3"/>
        <v>0</v>
      </c>
      <c r="AQ29" s="25" t="str">
        <f t="shared" si="4"/>
        <v/>
      </c>
      <c r="AR29" s="25" t="str">
        <f t="shared" si="5"/>
        <v/>
      </c>
      <c r="AS29" s="25">
        <f t="shared" si="6"/>
        <v>46291</v>
      </c>
      <c r="AT29" s="25">
        <f t="shared" si="7"/>
        <v>46291</v>
      </c>
      <c r="AU29" s="25" t="str">
        <f t="shared" si="8"/>
        <v/>
      </c>
      <c r="AV29" s="25" t="str">
        <f t="shared" si="9"/>
        <v/>
      </c>
      <c r="AW29" s="25" t="str">
        <f t="shared" si="10"/>
        <v/>
      </c>
      <c r="AX29" s="25" t="str">
        <f t="shared" si="11"/>
        <v/>
      </c>
      <c r="AY29" s="25" t="str">
        <f t="shared" si="12"/>
        <v/>
      </c>
      <c r="AZ29" s="25" t="str">
        <f t="shared" si="13"/>
        <v/>
      </c>
      <c r="BA29" s="25" t="str">
        <f t="shared" si="14"/>
        <v/>
      </c>
      <c r="BB29" s="25" t="str">
        <f t="shared" si="15"/>
        <v/>
      </c>
      <c r="BC29" s="25">
        <f t="shared" si="16"/>
        <v>46291</v>
      </c>
    </row>
    <row r="30" spans="1:55" ht="15" customHeight="1" x14ac:dyDescent="0.25">
      <c r="A30" s="151">
        <f t="shared" si="0"/>
        <v>28</v>
      </c>
      <c r="B30" s="151" t="s">
        <v>112</v>
      </c>
      <c r="C30" s="152" t="s">
        <v>113</v>
      </c>
      <c r="D30" s="151">
        <f t="shared" si="1"/>
        <v>1</v>
      </c>
      <c r="E30" s="151" t="s">
        <v>61</v>
      </c>
      <c r="F30" s="173">
        <v>46289</v>
      </c>
      <c r="G30" s="173"/>
      <c r="H30" s="173"/>
      <c r="I30" s="173">
        <v>46289</v>
      </c>
      <c r="J30" s="173">
        <v>46290</v>
      </c>
      <c r="K30" s="173"/>
      <c r="L30" s="173"/>
      <c r="M30" s="173"/>
      <c r="N30" s="173"/>
      <c r="O30" s="173"/>
      <c r="P30" s="173"/>
      <c r="Q30" s="173">
        <v>46291</v>
      </c>
      <c r="R30" s="173"/>
      <c r="S30" s="173"/>
      <c r="T30" s="174">
        <v>46291</v>
      </c>
      <c r="U30" s="151"/>
      <c r="V30" s="152"/>
      <c r="W30" s="175"/>
      <c r="X30" s="173"/>
      <c r="Y30" s="173"/>
      <c r="Z30" s="176" t="str">
        <f>IF(B30="","",IF(S30&lt;&gt;"","Sevk Edildi",IF(AND(X30&lt;&gt;"",Y30=""),"Reworkte",IF(T30&lt;&gt;"","Kapandı"&amp;IF(COUNT(G30:R30)=0,""," – "&amp;LOOKUP(2,1/(G30:R30=MAX(G30:R30)),{"Tasarım","Ply Cutter","Üretim","Kalite (Üretim sonrası)","Talaşlı","Kalite (Talaşlı sonrası)","Montaj","Kalite (Montaj sonrası)","Boya","Kalite (Boya sonrası)","Yarı Mamül","KM"})),IF(COUNT(G30:R30)=0,"Başlamadı",LOOKUP(2,1/(G30:R30=MAX(G30:R30)),{"Tasarımda","Ply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0" s="177">
        <f t="shared" ca="1" si="2"/>
        <v>2</v>
      </c>
      <c r="AB30" s="175"/>
      <c r="AD30" t="str">
        <f>IF(OR($B30="",NOT(ISNUMBER(G30))),"",IF(COUNTIF(H30:$T30,G30)&gt;0,0,IF(COUNTIF($G30:$T30,"&gt;"&amp;G30)=0,"",SMALL($G30:$T30,COUNTIF($G30:$T30,"&lt;="&amp;G30)+1)-G30)))</f>
        <v/>
      </c>
      <c r="AE30" t="str">
        <f>IF(OR($B30="",NOT(ISNUMBER(H30))),"",IF(COUNTIF(I30:$T30,H30)&gt;0,0,IF(COUNTIF($G30:$T30,"&gt;"&amp;H30)=0,"",SMALL($G30:$T30,COUNTIF($G30:$T30,"&lt;="&amp;H30)+1)-H30)))</f>
        <v/>
      </c>
      <c r="AF30">
        <f>IF(OR($B30="",NOT(ISNUMBER(I30))),"",IF(COUNTIF(J30:$T30,I30)&gt;0,0,IF(COUNTIF($G30:$T30,"&gt;"&amp;I30)=0,"",SMALL($G30:$T30,COUNTIF($G30:$T30,"&lt;="&amp;I30)+1)-I30)))</f>
        <v>1</v>
      </c>
      <c r="AG30">
        <f>IF(OR($B30="",NOT(ISNUMBER(J30))),"",IF(COUNTIF(K30:$T30,J30)&gt;0,0,IF(COUNTIF($G30:$T30,"&gt;"&amp;J30)=0,"",SMALL($G30:$T30,COUNTIF($G30:$T30,"&lt;="&amp;J30)+1)-J30)))</f>
        <v>1</v>
      </c>
      <c r="AH30" t="str">
        <f>IF(OR($B30="",NOT(ISNUMBER(K30))),"",IF(COUNTIF(L30:$T30,K30)&gt;0,0,IF(COUNTIF($G30:$T30,"&gt;"&amp;K30)=0,"",SMALL($G30:$T30,COUNTIF($G30:$T30,"&lt;="&amp;K30)+1)-K30)))</f>
        <v/>
      </c>
      <c r="AI30" t="str">
        <f>IF(OR($B30="",NOT(ISNUMBER(L30))),"",IF(COUNTIF(M30:$T30,L30)&gt;0,0,IF(COUNTIF($G30:$T30,"&gt;"&amp;L30)=0,"",SMALL($G30:$T30,COUNTIF($G30:$T30,"&lt;="&amp;L30)+1)-L30)))</f>
        <v/>
      </c>
      <c r="AJ30" t="str">
        <f>IF(OR($B30="",NOT(ISNUMBER(M30))),"",IF(COUNTIF(N30:$T30,M30)&gt;0,0,IF(COUNTIF($G30:$T30,"&gt;"&amp;M30)=0,"",SMALL($G30:$T30,COUNTIF($G30:$T30,"&lt;="&amp;M30)+1)-M30)))</f>
        <v/>
      </c>
      <c r="AK30" t="str">
        <f>IF(OR($B30="",NOT(ISNUMBER(N30))),"",IF(COUNTIF(O30:$T30,N30)&gt;0,0,IF(COUNTIF($G30:$T30,"&gt;"&amp;N30)=0,"",SMALL($G30:$T30,COUNTIF($G30:$T30,"&lt;="&amp;N30)+1)-N30)))</f>
        <v/>
      </c>
      <c r="AL30" t="str">
        <f>IF(OR($B30="",NOT(ISNUMBER(O30))),"",IF(COUNTIF(P30:$T30,O30)&gt;0,0,IF(COUNTIF($G30:$T30,"&gt;"&amp;O30)=0,"",SMALL($G30:$T30,COUNTIF($G30:$T30,"&lt;="&amp;O30)+1)-O30)))</f>
        <v/>
      </c>
      <c r="AM30" t="str">
        <f>IF(OR($B30="",NOT(ISNUMBER(P30))),"",IF(COUNTIF(Q30:$T30,P30)&gt;0,0,IF(COUNTIF($G30:$T30,"&gt;"&amp;P30)=0,"",SMALL($G30:$T30,COUNTIF($G30:$T30,"&lt;="&amp;P30)+1)-P30)))</f>
        <v/>
      </c>
      <c r="AN30">
        <f>IF(OR($B30="",NOT(ISNUMBER(Q30))),"",IF(COUNTIF(R30:$T30,Q30)&gt;0,0,IF(COUNTIF($G30:$T30,"&gt;"&amp;Q30)=0,"",SMALL($G30:$T30,COUNTIF($G30:$T30,"&lt;="&amp;Q30)+1)-Q30)))</f>
        <v>0</v>
      </c>
      <c r="AO30" t="str">
        <f>IF(OR($B30="",NOT(ISNUMBER(R30))),"",IF(COUNTIF(S30:$T30,R30)&gt;0,0,IF(COUNTIF($G30:$T30,"&gt;"&amp;R30)=0,"",SMALL($G30:$T30,COUNTIF($G30:$T30,"&lt;="&amp;R30)+1)-R30)))</f>
        <v/>
      </c>
      <c r="AP30">
        <f t="shared" ca="1" si="3"/>
        <v>0</v>
      </c>
      <c r="AQ30" s="25" t="str">
        <f t="shared" si="4"/>
        <v/>
      </c>
      <c r="AR30" s="25" t="str">
        <f t="shared" si="5"/>
        <v/>
      </c>
      <c r="AS30" s="25">
        <f t="shared" si="6"/>
        <v>46290</v>
      </c>
      <c r="AT30" s="25">
        <f t="shared" si="7"/>
        <v>46291</v>
      </c>
      <c r="AU30" s="25" t="str">
        <f t="shared" si="8"/>
        <v/>
      </c>
      <c r="AV30" s="25" t="str">
        <f t="shared" si="9"/>
        <v/>
      </c>
      <c r="AW30" s="25" t="str">
        <f t="shared" si="10"/>
        <v/>
      </c>
      <c r="AX30" s="25" t="str">
        <f t="shared" si="11"/>
        <v/>
      </c>
      <c r="AY30" s="25" t="str">
        <f t="shared" si="12"/>
        <v/>
      </c>
      <c r="AZ30" s="25" t="str">
        <f t="shared" si="13"/>
        <v/>
      </c>
      <c r="BA30" s="25">
        <f t="shared" si="14"/>
        <v>46291</v>
      </c>
      <c r="BB30" s="25" t="str">
        <f t="shared" si="15"/>
        <v/>
      </c>
      <c r="BC30" s="25">
        <f t="shared" si="16"/>
        <v>46291</v>
      </c>
    </row>
    <row r="31" spans="1:55" ht="15" customHeight="1" x14ac:dyDescent="0.25">
      <c r="A31" s="151">
        <f t="shared" si="0"/>
        <v>29</v>
      </c>
      <c r="B31" s="151" t="s">
        <v>114</v>
      </c>
      <c r="C31" s="152" t="s">
        <v>113</v>
      </c>
      <c r="D31" s="151">
        <f t="shared" si="1"/>
        <v>1</v>
      </c>
      <c r="E31" s="151" t="s">
        <v>61</v>
      </c>
      <c r="F31" s="173">
        <v>46289</v>
      </c>
      <c r="G31" s="173"/>
      <c r="H31" s="173"/>
      <c r="I31" s="173">
        <v>46290</v>
      </c>
      <c r="J31" s="173">
        <v>46290</v>
      </c>
      <c r="K31" s="173"/>
      <c r="L31" s="173"/>
      <c r="M31" s="173"/>
      <c r="N31" s="173"/>
      <c r="O31" s="173"/>
      <c r="P31" s="173"/>
      <c r="Q31" s="173">
        <v>46291</v>
      </c>
      <c r="R31" s="173"/>
      <c r="S31" s="173"/>
      <c r="T31" s="174">
        <v>46291</v>
      </c>
      <c r="U31" s="151"/>
      <c r="V31" s="152"/>
      <c r="W31" s="175"/>
      <c r="X31" s="173"/>
      <c r="Y31" s="173"/>
      <c r="Z31" s="176" t="str">
        <f>IF(B31="","",IF(S31&lt;&gt;"","Sevk Edildi",IF(AND(X31&lt;&gt;"",Y31=""),"Reworkte",IF(T31&lt;&gt;"","Kapandı"&amp;IF(COUNT(G31:R31)=0,""," – "&amp;LOOKUP(2,1/(G31:R31=MAX(G31:R31)),{"Tasarım","Ply Cutter","Üretim","Kalite (Üretim sonrası)","Talaşlı","Kalite (Talaşlı sonrası)","Montaj","Kalite (Montaj sonrası)","Boya","Kalite (Boya sonrası)","Yarı Mamül","KM"})),IF(COUNT(G31:R31)=0,"Başlamadı",LOOKUP(2,1/(G31:R31=MAX(G31:R31)),{"Tasarımda","Ply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1" s="177">
        <f t="shared" ca="1" si="2"/>
        <v>2</v>
      </c>
      <c r="AB31" s="175"/>
      <c r="AD31" t="str">
        <f>IF(OR($B31="",NOT(ISNUMBER(G31))),"",IF(COUNTIF(H31:$T31,G31)&gt;0,0,IF(COUNTIF($G31:$T31,"&gt;"&amp;G31)=0,"",SMALL($G31:$T31,COUNTIF($G31:$T31,"&lt;="&amp;G31)+1)-G31)))</f>
        <v/>
      </c>
      <c r="AE31" t="str">
        <f>IF(OR($B31="",NOT(ISNUMBER(H31))),"",IF(COUNTIF(I31:$T31,H31)&gt;0,0,IF(COUNTIF($G31:$T31,"&gt;"&amp;H31)=0,"",SMALL($G31:$T31,COUNTIF($G31:$T31,"&lt;="&amp;H31)+1)-H31)))</f>
        <v/>
      </c>
      <c r="AF31">
        <f>IF(OR($B31="",NOT(ISNUMBER(I31))),"",IF(COUNTIF(J31:$T31,I31)&gt;0,0,IF(COUNTIF($G31:$T31,"&gt;"&amp;I31)=0,"",SMALL($G31:$T31,COUNTIF($G31:$T31,"&lt;="&amp;I31)+1)-I31)))</f>
        <v>0</v>
      </c>
      <c r="AG31">
        <f>IF(OR($B31="",NOT(ISNUMBER(J31))),"",IF(COUNTIF(K31:$T31,J31)&gt;0,0,IF(COUNTIF($G31:$T31,"&gt;"&amp;J31)=0,"",SMALL($G31:$T31,COUNTIF($G31:$T31,"&lt;="&amp;J31)+1)-J31)))</f>
        <v>1</v>
      </c>
      <c r="AH31" t="str">
        <f>IF(OR($B31="",NOT(ISNUMBER(K31))),"",IF(COUNTIF(L31:$T31,K31)&gt;0,0,IF(COUNTIF($G31:$T31,"&gt;"&amp;K31)=0,"",SMALL($G31:$T31,COUNTIF($G31:$T31,"&lt;="&amp;K31)+1)-K31)))</f>
        <v/>
      </c>
      <c r="AI31" t="str">
        <f>IF(OR($B31="",NOT(ISNUMBER(L31))),"",IF(COUNTIF(M31:$T31,L31)&gt;0,0,IF(COUNTIF($G31:$T31,"&gt;"&amp;L31)=0,"",SMALL($G31:$T31,COUNTIF($G31:$T31,"&lt;="&amp;L31)+1)-L31)))</f>
        <v/>
      </c>
      <c r="AJ31" t="str">
        <f>IF(OR($B31="",NOT(ISNUMBER(M31))),"",IF(COUNTIF(N31:$T31,M31)&gt;0,0,IF(COUNTIF($G31:$T31,"&gt;"&amp;M31)=0,"",SMALL($G31:$T31,COUNTIF($G31:$T31,"&lt;="&amp;M31)+1)-M31)))</f>
        <v/>
      </c>
      <c r="AK31" t="str">
        <f>IF(OR($B31="",NOT(ISNUMBER(N31))),"",IF(COUNTIF(O31:$T31,N31)&gt;0,0,IF(COUNTIF($G31:$T31,"&gt;"&amp;N31)=0,"",SMALL($G31:$T31,COUNTIF($G31:$T31,"&lt;="&amp;N31)+1)-N31)))</f>
        <v/>
      </c>
      <c r="AL31" t="str">
        <f>IF(OR($B31="",NOT(ISNUMBER(O31))),"",IF(COUNTIF(P31:$T31,O31)&gt;0,0,IF(COUNTIF($G31:$T31,"&gt;"&amp;O31)=0,"",SMALL($G31:$T31,COUNTIF($G31:$T31,"&lt;="&amp;O31)+1)-O31)))</f>
        <v/>
      </c>
      <c r="AM31" t="str">
        <f>IF(OR($B31="",NOT(ISNUMBER(P31))),"",IF(COUNTIF(Q31:$T31,P31)&gt;0,0,IF(COUNTIF($G31:$T31,"&gt;"&amp;P31)=0,"",SMALL($G31:$T31,COUNTIF($G31:$T31,"&lt;="&amp;P31)+1)-P31)))</f>
        <v/>
      </c>
      <c r="AN31">
        <f>IF(OR($B31="",NOT(ISNUMBER(Q31))),"",IF(COUNTIF(R31:$T31,Q31)&gt;0,0,IF(COUNTIF($G31:$T31,"&gt;"&amp;Q31)=0,"",SMALL($G31:$T31,COUNTIF($G31:$T31,"&lt;="&amp;Q31)+1)-Q31)))</f>
        <v>0</v>
      </c>
      <c r="AO31" t="str">
        <f>IF(OR($B31="",NOT(ISNUMBER(R31))),"",IF(COUNTIF(S31:$T31,R31)&gt;0,0,IF(COUNTIF($G31:$T31,"&gt;"&amp;R31)=0,"",SMALL($G31:$T31,COUNTIF($G31:$T31,"&lt;="&amp;R31)+1)-R31)))</f>
        <v/>
      </c>
      <c r="AP31">
        <f t="shared" ca="1" si="3"/>
        <v>0</v>
      </c>
      <c r="AQ31" s="25" t="str">
        <f t="shared" si="4"/>
        <v/>
      </c>
      <c r="AR31" s="25" t="str">
        <f t="shared" si="5"/>
        <v/>
      </c>
      <c r="AS31" s="25">
        <f t="shared" si="6"/>
        <v>46290</v>
      </c>
      <c r="AT31" s="25">
        <f t="shared" si="7"/>
        <v>46291</v>
      </c>
      <c r="AU31" s="25" t="str">
        <f t="shared" si="8"/>
        <v/>
      </c>
      <c r="AV31" s="25" t="str">
        <f t="shared" si="9"/>
        <v/>
      </c>
      <c r="AW31" s="25" t="str">
        <f t="shared" si="10"/>
        <v/>
      </c>
      <c r="AX31" s="25" t="str">
        <f t="shared" si="11"/>
        <v/>
      </c>
      <c r="AY31" s="25" t="str">
        <f t="shared" si="12"/>
        <v/>
      </c>
      <c r="AZ31" s="25" t="str">
        <f t="shared" si="13"/>
        <v/>
      </c>
      <c r="BA31" s="25">
        <f t="shared" si="14"/>
        <v>46291</v>
      </c>
      <c r="BB31" s="25" t="str">
        <f t="shared" si="15"/>
        <v/>
      </c>
      <c r="BC31" s="25">
        <f t="shared" si="16"/>
        <v>46291</v>
      </c>
    </row>
    <row r="32" spans="1:55" ht="15" customHeight="1" x14ac:dyDescent="0.25">
      <c r="A32" s="151">
        <f t="shared" si="0"/>
        <v>30</v>
      </c>
      <c r="B32" s="151" t="s">
        <v>115</v>
      </c>
      <c r="C32" s="152" t="s">
        <v>64</v>
      </c>
      <c r="D32" s="151">
        <f t="shared" si="1"/>
        <v>1</v>
      </c>
      <c r="E32" s="151" t="s">
        <v>61</v>
      </c>
      <c r="F32" s="173">
        <v>46289</v>
      </c>
      <c r="G32" s="173"/>
      <c r="H32" s="173"/>
      <c r="I32" s="173">
        <v>46289</v>
      </c>
      <c r="J32" s="173">
        <v>46290</v>
      </c>
      <c r="K32" s="173"/>
      <c r="L32" s="173"/>
      <c r="M32" s="173"/>
      <c r="N32" s="173"/>
      <c r="O32" s="173"/>
      <c r="P32" s="173"/>
      <c r="Q32" s="173">
        <v>46291</v>
      </c>
      <c r="R32" s="173"/>
      <c r="S32" s="173"/>
      <c r="T32" s="174">
        <v>46291</v>
      </c>
      <c r="U32" s="151"/>
      <c r="V32" s="152"/>
      <c r="W32" s="175"/>
      <c r="X32" s="173"/>
      <c r="Y32" s="173"/>
      <c r="Z32" s="176" t="str">
        <f>IF(B32="","",IF(S32&lt;&gt;"","Sevk Edildi",IF(AND(X32&lt;&gt;"",Y32=""),"Reworkte",IF(T32&lt;&gt;"","Kapandı"&amp;IF(COUNT(G32:R32)=0,""," – "&amp;LOOKUP(2,1/(G32:R32=MAX(G32:R32)),{"Tasarım","Ply Cutter","Üretim","Kalite (Üretim sonrası)","Talaşlı","Kalite (Talaşlı sonrası)","Montaj","Kalite (Montaj sonrası)","Boya","Kalite (Boya sonrası)","Yarı Mamül","KM"})),IF(COUNT(G32:R32)=0,"Başlamadı",LOOKUP(2,1/(G32:R32=MAX(G32:R32)),{"Tasarımda","Ply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2" s="177">
        <f t="shared" ca="1" si="2"/>
        <v>2</v>
      </c>
      <c r="AB32" s="175"/>
      <c r="AD32" t="str">
        <f>IF(OR($B32="",NOT(ISNUMBER(G32))),"",IF(COUNTIF(H32:$T32,G32)&gt;0,0,IF(COUNTIF($G32:$T32,"&gt;"&amp;G32)=0,"",SMALL($G32:$T32,COUNTIF($G32:$T32,"&lt;="&amp;G32)+1)-G32)))</f>
        <v/>
      </c>
      <c r="AE32" t="str">
        <f>IF(OR($B32="",NOT(ISNUMBER(H32))),"",IF(COUNTIF(I32:$T32,H32)&gt;0,0,IF(COUNTIF($G32:$T32,"&gt;"&amp;H32)=0,"",SMALL($G32:$T32,COUNTIF($G32:$T32,"&lt;="&amp;H32)+1)-H32)))</f>
        <v/>
      </c>
      <c r="AF32">
        <f>IF(OR($B32="",NOT(ISNUMBER(I32))),"",IF(COUNTIF(J32:$T32,I32)&gt;0,0,IF(COUNTIF($G32:$T32,"&gt;"&amp;I32)=0,"",SMALL($G32:$T32,COUNTIF($G32:$T32,"&lt;="&amp;I32)+1)-I32)))</f>
        <v>1</v>
      </c>
      <c r="AG32">
        <f>IF(OR($B32="",NOT(ISNUMBER(J32))),"",IF(COUNTIF(K32:$T32,J32)&gt;0,0,IF(COUNTIF($G32:$T32,"&gt;"&amp;J32)=0,"",SMALL($G32:$T32,COUNTIF($G32:$T32,"&lt;="&amp;J32)+1)-J32)))</f>
        <v>1</v>
      </c>
      <c r="AH32" t="str">
        <f>IF(OR($B32="",NOT(ISNUMBER(K32))),"",IF(COUNTIF(L32:$T32,K32)&gt;0,0,IF(COUNTIF($G32:$T32,"&gt;"&amp;K32)=0,"",SMALL($G32:$T32,COUNTIF($G32:$T32,"&lt;="&amp;K32)+1)-K32)))</f>
        <v/>
      </c>
      <c r="AI32" t="str">
        <f>IF(OR($B32="",NOT(ISNUMBER(L32))),"",IF(COUNTIF(M32:$T32,L32)&gt;0,0,IF(COUNTIF($G32:$T32,"&gt;"&amp;L32)=0,"",SMALL($G32:$T32,COUNTIF($G32:$T32,"&lt;="&amp;L32)+1)-L32)))</f>
        <v/>
      </c>
      <c r="AJ32" t="str">
        <f>IF(OR($B32="",NOT(ISNUMBER(M32))),"",IF(COUNTIF(N32:$T32,M32)&gt;0,0,IF(COUNTIF($G32:$T32,"&gt;"&amp;M32)=0,"",SMALL($G32:$T32,COUNTIF($G32:$T32,"&lt;="&amp;M32)+1)-M32)))</f>
        <v/>
      </c>
      <c r="AK32" t="str">
        <f>IF(OR($B32="",NOT(ISNUMBER(N32))),"",IF(COUNTIF(O32:$T32,N32)&gt;0,0,IF(COUNTIF($G32:$T32,"&gt;"&amp;N32)=0,"",SMALL($G32:$T32,COUNTIF($G32:$T32,"&lt;="&amp;N32)+1)-N32)))</f>
        <v/>
      </c>
      <c r="AL32" t="str">
        <f>IF(OR($B32="",NOT(ISNUMBER(O32))),"",IF(COUNTIF(P32:$T32,O32)&gt;0,0,IF(COUNTIF($G32:$T32,"&gt;"&amp;O32)=0,"",SMALL($G32:$T32,COUNTIF($G32:$T32,"&lt;="&amp;O32)+1)-O32)))</f>
        <v/>
      </c>
      <c r="AM32" t="str">
        <f>IF(OR($B32="",NOT(ISNUMBER(P32))),"",IF(COUNTIF(Q32:$T32,P32)&gt;0,0,IF(COUNTIF($G32:$T32,"&gt;"&amp;P32)=0,"",SMALL($G32:$T32,COUNTIF($G32:$T32,"&lt;="&amp;P32)+1)-P32)))</f>
        <v/>
      </c>
      <c r="AN32">
        <f>IF(OR($B32="",NOT(ISNUMBER(Q32))),"",IF(COUNTIF(R32:$T32,Q32)&gt;0,0,IF(COUNTIF($G32:$T32,"&gt;"&amp;Q32)=0,"",SMALL($G32:$T32,COUNTIF($G32:$T32,"&lt;="&amp;Q32)+1)-Q32)))</f>
        <v>0</v>
      </c>
      <c r="AO32" t="str">
        <f>IF(OR($B32="",NOT(ISNUMBER(R32))),"",IF(COUNTIF(S32:$T32,R32)&gt;0,0,IF(COUNTIF($G32:$T32,"&gt;"&amp;R32)=0,"",SMALL($G32:$T32,COUNTIF($G32:$T32,"&lt;="&amp;R32)+1)-R32)))</f>
        <v/>
      </c>
      <c r="AP32">
        <f t="shared" ca="1" si="3"/>
        <v>0</v>
      </c>
      <c r="AQ32" s="25" t="str">
        <f t="shared" si="4"/>
        <v/>
      </c>
      <c r="AR32" s="25" t="str">
        <f t="shared" si="5"/>
        <v/>
      </c>
      <c r="AS32" s="25">
        <f t="shared" si="6"/>
        <v>46290</v>
      </c>
      <c r="AT32" s="25">
        <f t="shared" si="7"/>
        <v>46291</v>
      </c>
      <c r="AU32" s="25" t="str">
        <f t="shared" si="8"/>
        <v/>
      </c>
      <c r="AV32" s="25" t="str">
        <f t="shared" si="9"/>
        <v/>
      </c>
      <c r="AW32" s="25" t="str">
        <f t="shared" si="10"/>
        <v/>
      </c>
      <c r="AX32" s="25" t="str">
        <f t="shared" si="11"/>
        <v/>
      </c>
      <c r="AY32" s="25" t="str">
        <f t="shared" si="12"/>
        <v/>
      </c>
      <c r="AZ32" s="25" t="str">
        <f t="shared" si="13"/>
        <v/>
      </c>
      <c r="BA32" s="25">
        <f t="shared" si="14"/>
        <v>46291</v>
      </c>
      <c r="BB32" s="25" t="str">
        <f t="shared" si="15"/>
        <v/>
      </c>
      <c r="BC32" s="25">
        <f t="shared" si="16"/>
        <v>46291</v>
      </c>
    </row>
    <row r="33" spans="1:55" ht="15" customHeight="1" x14ac:dyDescent="0.25">
      <c r="A33" s="151">
        <f t="shared" si="0"/>
        <v>31</v>
      </c>
      <c r="B33" s="151" t="s">
        <v>116</v>
      </c>
      <c r="C33" s="152" t="s">
        <v>64</v>
      </c>
      <c r="D33" s="151">
        <f t="shared" si="1"/>
        <v>1</v>
      </c>
      <c r="E33" s="151" t="s">
        <v>61</v>
      </c>
      <c r="F33" s="173">
        <v>46289</v>
      </c>
      <c r="G33" s="173"/>
      <c r="H33" s="173"/>
      <c r="I33" s="173">
        <v>46289</v>
      </c>
      <c r="J33" s="173">
        <v>46290</v>
      </c>
      <c r="K33" s="173"/>
      <c r="L33" s="173"/>
      <c r="M33" s="173"/>
      <c r="N33" s="173"/>
      <c r="O33" s="173"/>
      <c r="P33" s="173"/>
      <c r="Q33" s="173">
        <v>46291</v>
      </c>
      <c r="R33" s="173"/>
      <c r="S33" s="173"/>
      <c r="T33" s="174">
        <v>46291</v>
      </c>
      <c r="U33" s="151"/>
      <c r="V33" s="152"/>
      <c r="W33" s="175"/>
      <c r="X33" s="173"/>
      <c r="Y33" s="173"/>
      <c r="Z33" s="176" t="str">
        <f>IF(B33="","",IF(S33&lt;&gt;"","Sevk Edildi",IF(AND(X33&lt;&gt;"",Y33=""),"Reworkte",IF(T33&lt;&gt;"","Kapandı"&amp;IF(COUNT(G33:R33)=0,""," – "&amp;LOOKUP(2,1/(G33:R33=MAX(G33:R33)),{"Tasarım","Ply Cutter","Üretim","Kalite (Üretim sonrası)","Talaşlı","Kalite (Talaşlı sonrası)","Montaj","Kalite (Montaj sonrası)","Boya","Kalite (Boya sonrası)","Yarı Mamül","KM"})),IF(COUNT(G33:R33)=0,"Başlamadı",LOOKUP(2,1/(G33:R33=MAX(G33:R33)),{"Tasarımda","Ply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3" s="177">
        <f t="shared" ca="1" si="2"/>
        <v>2</v>
      </c>
      <c r="AB33" s="175"/>
      <c r="AD33" t="str">
        <f>IF(OR($B33="",NOT(ISNUMBER(G33))),"",IF(COUNTIF(H33:$T33,G33)&gt;0,0,IF(COUNTIF($G33:$T33,"&gt;"&amp;G33)=0,"",SMALL($G33:$T33,COUNTIF($G33:$T33,"&lt;="&amp;G33)+1)-G33)))</f>
        <v/>
      </c>
      <c r="AE33" t="str">
        <f>IF(OR($B33="",NOT(ISNUMBER(H33))),"",IF(COUNTIF(I33:$T33,H33)&gt;0,0,IF(COUNTIF($G33:$T33,"&gt;"&amp;H33)=0,"",SMALL($G33:$T33,COUNTIF($G33:$T33,"&lt;="&amp;H33)+1)-H33)))</f>
        <v/>
      </c>
      <c r="AF33">
        <f>IF(OR($B33="",NOT(ISNUMBER(I33))),"",IF(COUNTIF(J33:$T33,I33)&gt;0,0,IF(COUNTIF($G33:$T33,"&gt;"&amp;I33)=0,"",SMALL($G33:$T33,COUNTIF($G33:$T33,"&lt;="&amp;I33)+1)-I33)))</f>
        <v>1</v>
      </c>
      <c r="AG33">
        <f>IF(OR($B33="",NOT(ISNUMBER(J33))),"",IF(COUNTIF(K33:$T33,J33)&gt;0,0,IF(COUNTIF($G33:$T33,"&gt;"&amp;J33)=0,"",SMALL($G33:$T33,COUNTIF($G33:$T33,"&lt;="&amp;J33)+1)-J33)))</f>
        <v>1</v>
      </c>
      <c r="AH33" t="str">
        <f>IF(OR($B33="",NOT(ISNUMBER(K33))),"",IF(COUNTIF(L33:$T33,K33)&gt;0,0,IF(COUNTIF($G33:$T33,"&gt;"&amp;K33)=0,"",SMALL($G33:$T33,COUNTIF($G33:$T33,"&lt;="&amp;K33)+1)-K33)))</f>
        <v/>
      </c>
      <c r="AI33" t="str">
        <f>IF(OR($B33="",NOT(ISNUMBER(L33))),"",IF(COUNTIF(M33:$T33,L33)&gt;0,0,IF(COUNTIF($G33:$T33,"&gt;"&amp;L33)=0,"",SMALL($G33:$T33,COUNTIF($G33:$T33,"&lt;="&amp;L33)+1)-L33)))</f>
        <v/>
      </c>
      <c r="AJ33" t="str">
        <f>IF(OR($B33="",NOT(ISNUMBER(M33))),"",IF(COUNTIF(N33:$T33,M33)&gt;0,0,IF(COUNTIF($G33:$T33,"&gt;"&amp;M33)=0,"",SMALL($G33:$T33,COUNTIF($G33:$T33,"&lt;="&amp;M33)+1)-M33)))</f>
        <v/>
      </c>
      <c r="AK33" t="str">
        <f>IF(OR($B33="",NOT(ISNUMBER(N33))),"",IF(COUNTIF(O33:$T33,N33)&gt;0,0,IF(COUNTIF($G33:$T33,"&gt;"&amp;N33)=0,"",SMALL($G33:$T33,COUNTIF($G33:$T33,"&lt;="&amp;N33)+1)-N33)))</f>
        <v/>
      </c>
      <c r="AL33" t="str">
        <f>IF(OR($B33="",NOT(ISNUMBER(O33))),"",IF(COUNTIF(P33:$T33,O33)&gt;0,0,IF(COUNTIF($G33:$T33,"&gt;"&amp;O33)=0,"",SMALL($G33:$T33,COUNTIF($G33:$T33,"&lt;="&amp;O33)+1)-O33)))</f>
        <v/>
      </c>
      <c r="AM33" t="str">
        <f>IF(OR($B33="",NOT(ISNUMBER(P33))),"",IF(COUNTIF(Q33:$T33,P33)&gt;0,0,IF(COUNTIF($G33:$T33,"&gt;"&amp;P33)=0,"",SMALL($G33:$T33,COUNTIF($G33:$T33,"&lt;="&amp;P33)+1)-P33)))</f>
        <v/>
      </c>
      <c r="AN33">
        <f>IF(OR($B33="",NOT(ISNUMBER(Q33))),"",IF(COUNTIF(R33:$T33,Q33)&gt;0,0,IF(COUNTIF($G33:$T33,"&gt;"&amp;Q33)=0,"",SMALL($G33:$T33,COUNTIF($G33:$T33,"&lt;="&amp;Q33)+1)-Q33)))</f>
        <v>0</v>
      </c>
      <c r="AO33" t="str">
        <f>IF(OR($B33="",NOT(ISNUMBER(R33))),"",IF(COUNTIF(S33:$T33,R33)&gt;0,0,IF(COUNTIF($G33:$T33,"&gt;"&amp;R33)=0,"",SMALL($G33:$T33,COUNTIF($G33:$T33,"&lt;="&amp;R33)+1)-R33)))</f>
        <v/>
      </c>
      <c r="AP33">
        <f t="shared" ca="1" si="3"/>
        <v>0</v>
      </c>
      <c r="AQ33" s="25" t="str">
        <f t="shared" si="4"/>
        <v/>
      </c>
      <c r="AR33" s="25" t="str">
        <f t="shared" si="5"/>
        <v/>
      </c>
      <c r="AS33" s="25">
        <f t="shared" si="6"/>
        <v>46290</v>
      </c>
      <c r="AT33" s="25">
        <f t="shared" si="7"/>
        <v>46291</v>
      </c>
      <c r="AU33" s="25" t="str">
        <f t="shared" si="8"/>
        <v/>
      </c>
      <c r="AV33" s="25" t="str">
        <f t="shared" si="9"/>
        <v/>
      </c>
      <c r="AW33" s="25" t="str">
        <f t="shared" si="10"/>
        <v/>
      </c>
      <c r="AX33" s="25" t="str">
        <f t="shared" si="11"/>
        <v/>
      </c>
      <c r="AY33" s="25" t="str">
        <f t="shared" si="12"/>
        <v/>
      </c>
      <c r="AZ33" s="25" t="str">
        <f t="shared" si="13"/>
        <v/>
      </c>
      <c r="BA33" s="25">
        <f t="shared" si="14"/>
        <v>46291</v>
      </c>
      <c r="BB33" s="25" t="str">
        <f t="shared" si="15"/>
        <v/>
      </c>
      <c r="BC33" s="25">
        <f t="shared" si="16"/>
        <v>46291</v>
      </c>
    </row>
    <row r="34" spans="1:55" ht="15" customHeight="1" x14ac:dyDescent="0.25">
      <c r="A34" s="151">
        <f t="shared" si="0"/>
        <v>32</v>
      </c>
      <c r="B34" s="151" t="s">
        <v>117</v>
      </c>
      <c r="C34" s="152" t="s">
        <v>72</v>
      </c>
      <c r="D34" s="151">
        <f t="shared" si="1"/>
        <v>1</v>
      </c>
      <c r="E34" s="151" t="s">
        <v>61</v>
      </c>
      <c r="F34" s="173">
        <v>46289</v>
      </c>
      <c r="G34" s="173"/>
      <c r="H34" s="173"/>
      <c r="I34" s="173">
        <v>46289</v>
      </c>
      <c r="J34" s="173">
        <v>46290</v>
      </c>
      <c r="K34" s="173"/>
      <c r="L34" s="173"/>
      <c r="M34" s="173"/>
      <c r="N34" s="173"/>
      <c r="O34" s="173"/>
      <c r="P34" s="173"/>
      <c r="Q34" s="173">
        <v>46291</v>
      </c>
      <c r="R34" s="173"/>
      <c r="S34" s="173"/>
      <c r="T34" s="174">
        <v>46291</v>
      </c>
      <c r="U34" s="151"/>
      <c r="V34" s="152"/>
      <c r="W34" s="175"/>
      <c r="X34" s="173"/>
      <c r="Y34" s="173"/>
      <c r="Z34" s="176" t="str">
        <f>IF(B34="","",IF(S34&lt;&gt;"","Sevk Edildi",IF(AND(X34&lt;&gt;"",Y34=""),"Reworkte",IF(T34&lt;&gt;"","Kapandı"&amp;IF(COUNT(G34:R34)=0,""," – "&amp;LOOKUP(2,1/(G34:R34=MAX(G34:R34)),{"Tasarım","Ply Cutter","Üretim","Kalite (Üretim sonrası)","Talaşlı","Kalite (Talaşlı sonrası)","Montaj","Kalite (Montaj sonrası)","Boya","Kalite (Boya sonrası)","Yarı Mamül","KM"})),IF(COUNT(G34:R34)=0,"Başlamadı",LOOKUP(2,1/(G34:R34=MAX(G34:R34)),{"Tasarımda","Ply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4" s="177">
        <f t="shared" ca="1" si="2"/>
        <v>2</v>
      </c>
      <c r="AB34" s="175"/>
      <c r="AD34" t="str">
        <f>IF(OR($B34="",NOT(ISNUMBER(G34))),"",IF(COUNTIF(H34:$T34,G34)&gt;0,0,IF(COUNTIF($G34:$T34,"&gt;"&amp;G34)=0,"",SMALL($G34:$T34,COUNTIF($G34:$T34,"&lt;="&amp;G34)+1)-G34)))</f>
        <v/>
      </c>
      <c r="AE34" t="str">
        <f>IF(OR($B34="",NOT(ISNUMBER(H34))),"",IF(COUNTIF(I34:$T34,H34)&gt;0,0,IF(COUNTIF($G34:$T34,"&gt;"&amp;H34)=0,"",SMALL($G34:$T34,COUNTIF($G34:$T34,"&lt;="&amp;H34)+1)-H34)))</f>
        <v/>
      </c>
      <c r="AF34">
        <f>IF(OR($B34="",NOT(ISNUMBER(I34))),"",IF(COUNTIF(J34:$T34,I34)&gt;0,0,IF(COUNTIF($G34:$T34,"&gt;"&amp;I34)=0,"",SMALL($G34:$T34,COUNTIF($G34:$T34,"&lt;="&amp;I34)+1)-I34)))</f>
        <v>1</v>
      </c>
      <c r="AG34">
        <f>IF(OR($B34="",NOT(ISNUMBER(J34))),"",IF(COUNTIF(K34:$T34,J34)&gt;0,0,IF(COUNTIF($G34:$T34,"&gt;"&amp;J34)=0,"",SMALL($G34:$T34,COUNTIF($G34:$T34,"&lt;="&amp;J34)+1)-J34)))</f>
        <v>1</v>
      </c>
      <c r="AH34" t="str">
        <f>IF(OR($B34="",NOT(ISNUMBER(K34))),"",IF(COUNTIF(L34:$T34,K34)&gt;0,0,IF(COUNTIF($G34:$T34,"&gt;"&amp;K34)=0,"",SMALL($G34:$T34,COUNTIF($G34:$T34,"&lt;="&amp;K34)+1)-K34)))</f>
        <v/>
      </c>
      <c r="AI34" t="str">
        <f>IF(OR($B34="",NOT(ISNUMBER(L34))),"",IF(COUNTIF(M34:$T34,L34)&gt;0,0,IF(COUNTIF($G34:$T34,"&gt;"&amp;L34)=0,"",SMALL($G34:$T34,COUNTIF($G34:$T34,"&lt;="&amp;L34)+1)-L34)))</f>
        <v/>
      </c>
      <c r="AJ34" t="str">
        <f>IF(OR($B34="",NOT(ISNUMBER(M34))),"",IF(COUNTIF(N34:$T34,M34)&gt;0,0,IF(COUNTIF($G34:$T34,"&gt;"&amp;M34)=0,"",SMALL($G34:$T34,COUNTIF($G34:$T34,"&lt;="&amp;M34)+1)-M34)))</f>
        <v/>
      </c>
      <c r="AK34" t="str">
        <f>IF(OR($B34="",NOT(ISNUMBER(N34))),"",IF(COUNTIF(O34:$T34,N34)&gt;0,0,IF(COUNTIF($G34:$T34,"&gt;"&amp;N34)=0,"",SMALL($G34:$T34,COUNTIF($G34:$T34,"&lt;="&amp;N34)+1)-N34)))</f>
        <v/>
      </c>
      <c r="AL34" t="str">
        <f>IF(OR($B34="",NOT(ISNUMBER(O34))),"",IF(COUNTIF(P34:$T34,O34)&gt;0,0,IF(COUNTIF($G34:$T34,"&gt;"&amp;O34)=0,"",SMALL($G34:$T34,COUNTIF($G34:$T34,"&lt;="&amp;O34)+1)-O34)))</f>
        <v/>
      </c>
      <c r="AM34" t="str">
        <f>IF(OR($B34="",NOT(ISNUMBER(P34))),"",IF(COUNTIF(Q34:$T34,P34)&gt;0,0,IF(COUNTIF($G34:$T34,"&gt;"&amp;P34)=0,"",SMALL($G34:$T34,COUNTIF($G34:$T34,"&lt;="&amp;P34)+1)-P34)))</f>
        <v/>
      </c>
      <c r="AN34">
        <f>IF(OR($B34="",NOT(ISNUMBER(Q34))),"",IF(COUNTIF(R34:$T34,Q34)&gt;0,0,IF(COUNTIF($G34:$T34,"&gt;"&amp;Q34)=0,"",SMALL($G34:$T34,COUNTIF($G34:$T34,"&lt;="&amp;Q34)+1)-Q34)))</f>
        <v>0</v>
      </c>
      <c r="AO34" t="str">
        <f>IF(OR($B34="",NOT(ISNUMBER(R34))),"",IF(COUNTIF(S34:$T34,R34)&gt;0,0,IF(COUNTIF($G34:$T34,"&gt;"&amp;R34)=0,"",SMALL($G34:$T34,COUNTIF($G34:$T34,"&lt;="&amp;R34)+1)-R34)))</f>
        <v/>
      </c>
      <c r="AP34">
        <f t="shared" ca="1" si="3"/>
        <v>0</v>
      </c>
      <c r="AQ34" s="25" t="str">
        <f t="shared" si="4"/>
        <v/>
      </c>
      <c r="AR34" s="25" t="str">
        <f t="shared" si="5"/>
        <v/>
      </c>
      <c r="AS34" s="25">
        <f t="shared" si="6"/>
        <v>46290</v>
      </c>
      <c r="AT34" s="25">
        <f t="shared" si="7"/>
        <v>46291</v>
      </c>
      <c r="AU34" s="25" t="str">
        <f t="shared" si="8"/>
        <v/>
      </c>
      <c r="AV34" s="25" t="str">
        <f t="shared" si="9"/>
        <v/>
      </c>
      <c r="AW34" s="25" t="str">
        <f t="shared" si="10"/>
        <v/>
      </c>
      <c r="AX34" s="25" t="str">
        <f t="shared" si="11"/>
        <v/>
      </c>
      <c r="AY34" s="25" t="str">
        <f t="shared" si="12"/>
        <v/>
      </c>
      <c r="AZ34" s="25" t="str">
        <f t="shared" si="13"/>
        <v/>
      </c>
      <c r="BA34" s="25">
        <f t="shared" si="14"/>
        <v>46291</v>
      </c>
      <c r="BB34" s="25" t="str">
        <f t="shared" si="15"/>
        <v/>
      </c>
      <c r="BC34" s="25">
        <f t="shared" si="16"/>
        <v>46291</v>
      </c>
    </row>
    <row r="35" spans="1:55" ht="15" customHeight="1" x14ac:dyDescent="0.25">
      <c r="A35" s="151">
        <f t="shared" si="0"/>
        <v>33</v>
      </c>
      <c r="B35" s="151" t="s">
        <v>118</v>
      </c>
      <c r="C35" s="152" t="s">
        <v>119</v>
      </c>
      <c r="D35" s="151">
        <f t="shared" si="1"/>
        <v>1</v>
      </c>
      <c r="E35" s="151" t="s">
        <v>61</v>
      </c>
      <c r="F35" s="173">
        <v>46289</v>
      </c>
      <c r="G35" s="173"/>
      <c r="H35" s="173"/>
      <c r="I35" s="173">
        <v>46289</v>
      </c>
      <c r="J35" s="173">
        <v>46291</v>
      </c>
      <c r="K35" s="173"/>
      <c r="L35" s="173"/>
      <c r="M35" s="173"/>
      <c r="N35" s="173"/>
      <c r="O35" s="173"/>
      <c r="P35" s="173"/>
      <c r="Q35" s="173">
        <v>46293</v>
      </c>
      <c r="R35" s="173"/>
      <c r="S35" s="173"/>
      <c r="T35" s="174">
        <v>46293</v>
      </c>
      <c r="U35" s="151"/>
      <c r="V35" s="152"/>
      <c r="W35" s="175"/>
      <c r="X35" s="173"/>
      <c r="Y35" s="173"/>
      <c r="Z35" s="176" t="str">
        <f>IF(B35="","",IF(S35&lt;&gt;"","Sevk Edildi",IF(AND(X35&lt;&gt;"",Y35=""),"Reworkte",IF(T35&lt;&gt;"","Kapandı"&amp;IF(COUNT(G35:R35)=0,""," – "&amp;LOOKUP(2,1/(G35:R35=MAX(G35:R35)),{"Tasarım","Ply Cutter","Üretim","Kalite (Üretim sonrası)","Talaşlı","Kalite (Talaşlı sonrası)","Montaj","Kalite (Montaj sonrası)","Boya","Kalite (Boya sonrası)","Yarı Mamül","KM"})),IF(COUNT(G35:R35)=0,"Başlamadı",LOOKUP(2,1/(G35:R35=MAX(G35:R35)),{"Tasarımda","Ply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5" s="177">
        <f t="shared" ca="1" si="2"/>
        <v>4</v>
      </c>
      <c r="AB35" s="175"/>
      <c r="AD35" t="str">
        <f>IF(OR($B35="",NOT(ISNUMBER(G35))),"",IF(COUNTIF(H35:$T35,G35)&gt;0,0,IF(COUNTIF($G35:$T35,"&gt;"&amp;G35)=0,"",SMALL($G35:$T35,COUNTIF($G35:$T35,"&lt;="&amp;G35)+1)-G35)))</f>
        <v/>
      </c>
      <c r="AE35" t="str">
        <f>IF(OR($B35="",NOT(ISNUMBER(H35))),"",IF(COUNTIF(I35:$T35,H35)&gt;0,0,IF(COUNTIF($G35:$T35,"&gt;"&amp;H35)=0,"",SMALL($G35:$T35,COUNTIF($G35:$T35,"&lt;="&amp;H35)+1)-H35)))</f>
        <v/>
      </c>
      <c r="AF35">
        <f>IF(OR($B35="",NOT(ISNUMBER(I35))),"",IF(COUNTIF(J35:$T35,I35)&gt;0,0,IF(COUNTIF($G35:$T35,"&gt;"&amp;I35)=0,"",SMALL($G35:$T35,COUNTIF($G35:$T35,"&lt;="&amp;I35)+1)-I35)))</f>
        <v>2</v>
      </c>
      <c r="AG35">
        <f>IF(OR($B35="",NOT(ISNUMBER(J35))),"",IF(COUNTIF(K35:$T35,J35)&gt;0,0,IF(COUNTIF($G35:$T35,"&gt;"&amp;J35)=0,"",SMALL($G35:$T35,COUNTIF($G35:$T35,"&lt;="&amp;J35)+1)-J35)))</f>
        <v>2</v>
      </c>
      <c r="AH35" t="str">
        <f>IF(OR($B35="",NOT(ISNUMBER(K35))),"",IF(COUNTIF(L35:$T35,K35)&gt;0,0,IF(COUNTIF($G35:$T35,"&gt;"&amp;K35)=0,"",SMALL($G35:$T35,COUNTIF($G35:$T35,"&lt;="&amp;K35)+1)-K35)))</f>
        <v/>
      </c>
      <c r="AI35" t="str">
        <f>IF(OR($B35="",NOT(ISNUMBER(L35))),"",IF(COUNTIF(M35:$T35,L35)&gt;0,0,IF(COUNTIF($G35:$T35,"&gt;"&amp;L35)=0,"",SMALL($G35:$T35,COUNTIF($G35:$T35,"&lt;="&amp;L35)+1)-L35)))</f>
        <v/>
      </c>
      <c r="AJ35" t="str">
        <f>IF(OR($B35="",NOT(ISNUMBER(M35))),"",IF(COUNTIF(N35:$T35,M35)&gt;0,0,IF(COUNTIF($G35:$T35,"&gt;"&amp;M35)=0,"",SMALL($G35:$T35,COUNTIF($G35:$T35,"&lt;="&amp;M35)+1)-M35)))</f>
        <v/>
      </c>
      <c r="AK35" t="str">
        <f>IF(OR($B35="",NOT(ISNUMBER(N35))),"",IF(COUNTIF(O35:$T35,N35)&gt;0,0,IF(COUNTIF($G35:$T35,"&gt;"&amp;N35)=0,"",SMALL($G35:$T35,COUNTIF($G35:$T35,"&lt;="&amp;N35)+1)-N35)))</f>
        <v/>
      </c>
      <c r="AL35" t="str">
        <f>IF(OR($B35="",NOT(ISNUMBER(O35))),"",IF(COUNTIF(P35:$T35,O35)&gt;0,0,IF(COUNTIF($G35:$T35,"&gt;"&amp;O35)=0,"",SMALL($G35:$T35,COUNTIF($G35:$T35,"&lt;="&amp;O35)+1)-O35)))</f>
        <v/>
      </c>
      <c r="AM35" t="str">
        <f>IF(OR($B35="",NOT(ISNUMBER(P35))),"",IF(COUNTIF(Q35:$T35,P35)&gt;0,0,IF(COUNTIF($G35:$T35,"&gt;"&amp;P35)=0,"",SMALL($G35:$T35,COUNTIF($G35:$T35,"&lt;="&amp;P35)+1)-P35)))</f>
        <v/>
      </c>
      <c r="AN35">
        <f>IF(OR($B35="",NOT(ISNUMBER(Q35))),"",IF(COUNTIF(R35:$T35,Q35)&gt;0,0,IF(COUNTIF($G35:$T35,"&gt;"&amp;Q35)=0,"",SMALL($G35:$T35,COUNTIF($G35:$T35,"&lt;="&amp;Q35)+1)-Q35)))</f>
        <v>0</v>
      </c>
      <c r="AO35" t="str">
        <f>IF(OR($B35="",NOT(ISNUMBER(R35))),"",IF(COUNTIF(S35:$T35,R35)&gt;0,0,IF(COUNTIF($G35:$T35,"&gt;"&amp;R35)=0,"",SMALL($G35:$T35,COUNTIF($G35:$T35,"&lt;="&amp;R35)+1)-R35)))</f>
        <v/>
      </c>
      <c r="AP35">
        <f t="shared" ca="1" si="3"/>
        <v>0</v>
      </c>
      <c r="AQ35" s="25" t="str">
        <f t="shared" si="4"/>
        <v/>
      </c>
      <c r="AR35" s="25" t="str">
        <f t="shared" si="5"/>
        <v/>
      </c>
      <c r="AS35" s="25">
        <f t="shared" si="6"/>
        <v>46291</v>
      </c>
      <c r="AT35" s="25">
        <f t="shared" si="7"/>
        <v>46293</v>
      </c>
      <c r="AU35" s="25" t="str">
        <f t="shared" si="8"/>
        <v/>
      </c>
      <c r="AV35" s="25" t="str">
        <f t="shared" si="9"/>
        <v/>
      </c>
      <c r="AW35" s="25" t="str">
        <f t="shared" si="10"/>
        <v/>
      </c>
      <c r="AX35" s="25" t="str">
        <f t="shared" si="11"/>
        <v/>
      </c>
      <c r="AY35" s="25" t="str">
        <f t="shared" si="12"/>
        <v/>
      </c>
      <c r="AZ35" s="25" t="str">
        <f t="shared" si="13"/>
        <v/>
      </c>
      <c r="BA35" s="25">
        <f t="shared" si="14"/>
        <v>46293</v>
      </c>
      <c r="BB35" s="25" t="str">
        <f t="shared" si="15"/>
        <v/>
      </c>
      <c r="BC35" s="25">
        <f t="shared" si="16"/>
        <v>46293</v>
      </c>
    </row>
    <row r="36" spans="1:55" ht="15" customHeight="1" x14ac:dyDescent="0.25">
      <c r="A36" s="151">
        <f t="shared" si="0"/>
        <v>34</v>
      </c>
      <c r="B36" s="151" t="s">
        <v>120</v>
      </c>
      <c r="C36" s="152" t="s">
        <v>121</v>
      </c>
      <c r="D36" s="151">
        <f t="shared" si="1"/>
        <v>1</v>
      </c>
      <c r="E36" s="151" t="s">
        <v>61</v>
      </c>
      <c r="F36" s="173">
        <v>46289</v>
      </c>
      <c r="G36" s="173"/>
      <c r="H36" s="173"/>
      <c r="I36" s="173">
        <v>46287</v>
      </c>
      <c r="J36" s="173">
        <v>46291</v>
      </c>
      <c r="K36" s="173"/>
      <c r="L36" s="173"/>
      <c r="M36" s="173"/>
      <c r="N36" s="173"/>
      <c r="O36" s="173"/>
      <c r="P36" s="173"/>
      <c r="Q36" s="173">
        <v>46293</v>
      </c>
      <c r="R36" s="173"/>
      <c r="S36" s="173"/>
      <c r="T36" s="174">
        <v>46293</v>
      </c>
      <c r="U36" s="151"/>
      <c r="V36" s="152"/>
      <c r="W36" s="175"/>
      <c r="X36" s="173"/>
      <c r="Y36" s="173"/>
      <c r="Z36" s="176" t="str">
        <f>IF(B36="","",IF(S36&lt;&gt;"","Sevk Edildi",IF(AND(X36&lt;&gt;"",Y36=""),"Reworkte",IF(T36&lt;&gt;"","Kapandı"&amp;IF(COUNT(G36:R36)=0,""," – "&amp;LOOKUP(2,1/(G36:R36=MAX(G36:R36)),{"Tasarım","Ply Cutter","Üretim","Kalite (Üretim sonrası)","Talaşlı","Kalite (Talaşlı sonrası)","Montaj","Kalite (Montaj sonrası)","Boya","Kalite (Boya sonrası)","Yarı Mamül","KM"})),IF(COUNT(G36:R36)=0,"Başlamadı",LOOKUP(2,1/(G36:R36=MAX(G36:R36)),{"Tasarımda","Ply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6" s="177">
        <f t="shared" ca="1" si="2"/>
        <v>4</v>
      </c>
      <c r="AB36" s="175"/>
      <c r="AD36" t="str">
        <f>IF(OR($B36="",NOT(ISNUMBER(G36))),"",IF(COUNTIF(H36:$T36,G36)&gt;0,0,IF(COUNTIF($G36:$T36,"&gt;"&amp;G36)=0,"",SMALL($G36:$T36,COUNTIF($G36:$T36,"&lt;="&amp;G36)+1)-G36)))</f>
        <v/>
      </c>
      <c r="AE36" t="str">
        <f>IF(OR($B36="",NOT(ISNUMBER(H36))),"",IF(COUNTIF(I36:$T36,H36)&gt;0,0,IF(COUNTIF($G36:$T36,"&gt;"&amp;H36)=0,"",SMALL($G36:$T36,COUNTIF($G36:$T36,"&lt;="&amp;H36)+1)-H36)))</f>
        <v/>
      </c>
      <c r="AF36">
        <f>IF(OR($B36="",NOT(ISNUMBER(I36))),"",IF(COUNTIF(J36:$T36,I36)&gt;0,0,IF(COUNTIF($G36:$T36,"&gt;"&amp;I36)=0,"",SMALL($G36:$T36,COUNTIF($G36:$T36,"&lt;="&amp;I36)+1)-I36)))</f>
        <v>4</v>
      </c>
      <c r="AG36">
        <f>IF(OR($B36="",NOT(ISNUMBER(J36))),"",IF(COUNTIF(K36:$T36,J36)&gt;0,0,IF(COUNTIF($G36:$T36,"&gt;"&amp;J36)=0,"",SMALL($G36:$T36,COUNTIF($G36:$T36,"&lt;="&amp;J36)+1)-J36)))</f>
        <v>2</v>
      </c>
      <c r="AH36" t="str">
        <f>IF(OR($B36="",NOT(ISNUMBER(K36))),"",IF(COUNTIF(L36:$T36,K36)&gt;0,0,IF(COUNTIF($G36:$T36,"&gt;"&amp;K36)=0,"",SMALL($G36:$T36,COUNTIF($G36:$T36,"&lt;="&amp;K36)+1)-K36)))</f>
        <v/>
      </c>
      <c r="AI36" t="str">
        <f>IF(OR($B36="",NOT(ISNUMBER(L36))),"",IF(COUNTIF(M36:$T36,L36)&gt;0,0,IF(COUNTIF($G36:$T36,"&gt;"&amp;L36)=0,"",SMALL($G36:$T36,COUNTIF($G36:$T36,"&lt;="&amp;L36)+1)-L36)))</f>
        <v/>
      </c>
      <c r="AJ36" t="str">
        <f>IF(OR($B36="",NOT(ISNUMBER(M36))),"",IF(COUNTIF(N36:$T36,M36)&gt;0,0,IF(COUNTIF($G36:$T36,"&gt;"&amp;M36)=0,"",SMALL($G36:$T36,COUNTIF($G36:$T36,"&lt;="&amp;M36)+1)-M36)))</f>
        <v/>
      </c>
      <c r="AK36" t="str">
        <f>IF(OR($B36="",NOT(ISNUMBER(N36))),"",IF(COUNTIF(O36:$T36,N36)&gt;0,0,IF(COUNTIF($G36:$T36,"&gt;"&amp;N36)=0,"",SMALL($G36:$T36,COUNTIF($G36:$T36,"&lt;="&amp;N36)+1)-N36)))</f>
        <v/>
      </c>
      <c r="AL36" t="str">
        <f>IF(OR($B36="",NOT(ISNUMBER(O36))),"",IF(COUNTIF(P36:$T36,O36)&gt;0,0,IF(COUNTIF($G36:$T36,"&gt;"&amp;O36)=0,"",SMALL($G36:$T36,COUNTIF($G36:$T36,"&lt;="&amp;O36)+1)-O36)))</f>
        <v/>
      </c>
      <c r="AM36" t="str">
        <f>IF(OR($B36="",NOT(ISNUMBER(P36))),"",IF(COUNTIF(Q36:$T36,P36)&gt;0,0,IF(COUNTIF($G36:$T36,"&gt;"&amp;P36)=0,"",SMALL($G36:$T36,COUNTIF($G36:$T36,"&lt;="&amp;P36)+1)-P36)))</f>
        <v/>
      </c>
      <c r="AN36">
        <f>IF(OR($B36="",NOT(ISNUMBER(Q36))),"",IF(COUNTIF(R36:$T36,Q36)&gt;0,0,IF(COUNTIF($G36:$T36,"&gt;"&amp;Q36)=0,"",SMALL($G36:$T36,COUNTIF($G36:$T36,"&lt;="&amp;Q36)+1)-Q36)))</f>
        <v>0</v>
      </c>
      <c r="AO36" t="str">
        <f>IF(OR($B36="",NOT(ISNUMBER(R36))),"",IF(COUNTIF(S36:$T36,R36)&gt;0,0,IF(COUNTIF($G36:$T36,"&gt;"&amp;R36)=0,"",SMALL($G36:$T36,COUNTIF($G36:$T36,"&lt;="&amp;R36)+1)-R36)))</f>
        <v/>
      </c>
      <c r="AP36">
        <f t="shared" ca="1" si="3"/>
        <v>0</v>
      </c>
      <c r="AQ36" s="25" t="str">
        <f t="shared" si="4"/>
        <v/>
      </c>
      <c r="AR36" s="25" t="str">
        <f t="shared" si="5"/>
        <v/>
      </c>
      <c r="AS36" s="25">
        <f t="shared" si="6"/>
        <v>46291</v>
      </c>
      <c r="AT36" s="25">
        <f t="shared" si="7"/>
        <v>46293</v>
      </c>
      <c r="AU36" s="25" t="str">
        <f t="shared" si="8"/>
        <v/>
      </c>
      <c r="AV36" s="25" t="str">
        <f t="shared" si="9"/>
        <v/>
      </c>
      <c r="AW36" s="25" t="str">
        <f t="shared" si="10"/>
        <v/>
      </c>
      <c r="AX36" s="25" t="str">
        <f t="shared" si="11"/>
        <v/>
      </c>
      <c r="AY36" s="25" t="str">
        <f t="shared" si="12"/>
        <v/>
      </c>
      <c r="AZ36" s="25" t="str">
        <f t="shared" si="13"/>
        <v/>
      </c>
      <c r="BA36" s="25">
        <f t="shared" si="14"/>
        <v>46293</v>
      </c>
      <c r="BB36" s="25" t="str">
        <f t="shared" si="15"/>
        <v/>
      </c>
      <c r="BC36" s="25">
        <f t="shared" si="16"/>
        <v>46293</v>
      </c>
    </row>
    <row r="37" spans="1:55" ht="15" customHeight="1" x14ac:dyDescent="0.25">
      <c r="A37" s="151">
        <f t="shared" si="0"/>
        <v>35</v>
      </c>
      <c r="B37" s="151" t="s">
        <v>122</v>
      </c>
      <c r="C37" s="152" t="s">
        <v>123</v>
      </c>
      <c r="D37" s="151">
        <f t="shared" si="1"/>
        <v>9</v>
      </c>
      <c r="E37" s="151" t="s">
        <v>100</v>
      </c>
      <c r="F37" s="173">
        <v>46289</v>
      </c>
      <c r="G37" s="173"/>
      <c r="H37" s="173"/>
      <c r="I37" s="173"/>
      <c r="J37" s="173"/>
      <c r="K37" s="173"/>
      <c r="L37" s="173">
        <v>46289</v>
      </c>
      <c r="M37" s="173"/>
      <c r="N37" s="173"/>
      <c r="O37" s="173"/>
      <c r="P37" s="173"/>
      <c r="Q37" s="173"/>
      <c r="R37" s="173"/>
      <c r="S37" s="173"/>
      <c r="T37" s="174">
        <v>46289</v>
      </c>
      <c r="U37" s="151"/>
      <c r="V37" s="152"/>
      <c r="W37" s="175"/>
      <c r="X37" s="173"/>
      <c r="Y37" s="173"/>
      <c r="Z37" s="176" t="str">
        <f>IF(B37="","",IF(S37&lt;&gt;"","Sevk Edildi",IF(AND(X37&lt;&gt;"",Y37=""),"Reworkte",IF(T37&lt;&gt;"","Kapandı"&amp;IF(COUNT(G37:R37)=0,""," – "&amp;LOOKUP(2,1/(G37:R37=MAX(G37:R37)),{"Tasarım","Ply Cutter","Üretim","Kalite (Üretim sonrası)","Talaşlı","Kalite (Talaşlı sonrası)","Montaj","Kalite (Montaj sonrası)","Boya","Kalite (Boya sonrası)","Yarı Mamül","KM"})),IF(COUNT(G37:R37)=0,"Başlamadı",LOOKUP(2,1/(G37:R37=MAX(G37:R37)),{"Tasarımda","Ply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7" s="177">
        <f t="shared" ca="1" si="2"/>
        <v>0</v>
      </c>
      <c r="AB37" s="175"/>
      <c r="AD37" t="str">
        <f>IF(OR($B37="",NOT(ISNUMBER(G37))),"",IF(COUNTIF(H37:$T37,G37)&gt;0,0,IF(COUNTIF($G37:$T37,"&gt;"&amp;G37)=0,"",SMALL($G37:$T37,COUNTIF($G37:$T37,"&lt;="&amp;G37)+1)-G37)))</f>
        <v/>
      </c>
      <c r="AE37" t="str">
        <f>IF(OR($B37="",NOT(ISNUMBER(H37))),"",IF(COUNTIF(I37:$T37,H37)&gt;0,0,IF(COUNTIF($G37:$T37,"&gt;"&amp;H37)=0,"",SMALL($G37:$T37,COUNTIF($G37:$T37,"&lt;="&amp;H37)+1)-H37)))</f>
        <v/>
      </c>
      <c r="AF37" t="str">
        <f>IF(OR($B37="",NOT(ISNUMBER(I37))),"",IF(COUNTIF(J37:$T37,I37)&gt;0,0,IF(COUNTIF($G37:$T37,"&gt;"&amp;I37)=0,"",SMALL($G37:$T37,COUNTIF($G37:$T37,"&lt;="&amp;I37)+1)-I37)))</f>
        <v/>
      </c>
      <c r="AG37" t="str">
        <f>IF(OR($B37="",NOT(ISNUMBER(J37))),"",IF(COUNTIF(K37:$T37,J37)&gt;0,0,IF(COUNTIF($G37:$T37,"&gt;"&amp;J37)=0,"",SMALL($G37:$T37,COUNTIF($G37:$T37,"&lt;="&amp;J37)+1)-J37)))</f>
        <v/>
      </c>
      <c r="AH37" t="str">
        <f>IF(OR($B37="",NOT(ISNUMBER(K37))),"",IF(COUNTIF(L37:$T37,K37)&gt;0,0,IF(COUNTIF($G37:$T37,"&gt;"&amp;K37)=0,"",SMALL($G37:$T37,COUNTIF($G37:$T37,"&lt;="&amp;K37)+1)-K37)))</f>
        <v/>
      </c>
      <c r="AI37">
        <f>IF(OR($B37="",NOT(ISNUMBER(L37))),"",IF(COUNTIF(M37:$T37,L37)&gt;0,0,IF(COUNTIF($G37:$T37,"&gt;"&amp;L37)=0,"",SMALL($G37:$T37,COUNTIF($G37:$T37,"&lt;="&amp;L37)+1)-L37)))</f>
        <v>0</v>
      </c>
      <c r="AJ37" t="str">
        <f>IF(OR($B37="",NOT(ISNUMBER(M37))),"",IF(COUNTIF(N37:$T37,M37)&gt;0,0,IF(COUNTIF($G37:$T37,"&gt;"&amp;M37)=0,"",SMALL($G37:$T37,COUNTIF($G37:$T37,"&lt;="&amp;M37)+1)-M37)))</f>
        <v/>
      </c>
      <c r="AK37" t="str">
        <f>IF(OR($B37="",NOT(ISNUMBER(N37))),"",IF(COUNTIF(O37:$T37,N37)&gt;0,0,IF(COUNTIF($G37:$T37,"&gt;"&amp;N37)=0,"",SMALL($G37:$T37,COUNTIF($G37:$T37,"&lt;="&amp;N37)+1)-N37)))</f>
        <v/>
      </c>
      <c r="AL37" t="str">
        <f>IF(OR($B37="",NOT(ISNUMBER(O37))),"",IF(COUNTIF(P37:$T37,O37)&gt;0,0,IF(COUNTIF($G37:$T37,"&gt;"&amp;O37)=0,"",SMALL($G37:$T37,COUNTIF($G37:$T37,"&lt;="&amp;O37)+1)-O37)))</f>
        <v/>
      </c>
      <c r="AM37" t="str">
        <f>IF(OR($B37="",NOT(ISNUMBER(P37))),"",IF(COUNTIF(Q37:$T37,P37)&gt;0,0,IF(COUNTIF($G37:$T37,"&gt;"&amp;P37)=0,"",SMALL($G37:$T37,COUNTIF($G37:$T37,"&lt;="&amp;P37)+1)-P37)))</f>
        <v/>
      </c>
      <c r="AN37" t="str">
        <f>IF(OR($B37="",NOT(ISNUMBER(Q37))),"",IF(COUNTIF(R37:$T37,Q37)&gt;0,0,IF(COUNTIF($G37:$T37,"&gt;"&amp;Q37)=0,"",SMALL($G37:$T37,COUNTIF($G37:$T37,"&lt;="&amp;Q37)+1)-Q37)))</f>
        <v/>
      </c>
      <c r="AO37" t="str">
        <f>IF(OR($B37="",NOT(ISNUMBER(R37))),"",IF(COUNTIF(S37:$T37,R37)&gt;0,0,IF(COUNTIF($G37:$T37,"&gt;"&amp;R37)=0,"",SMALL($G37:$T37,COUNTIF($G37:$T37,"&lt;="&amp;R37)+1)-R37)))</f>
        <v/>
      </c>
      <c r="AP37">
        <f t="shared" ca="1" si="3"/>
        <v>0</v>
      </c>
      <c r="AQ37" s="25" t="str">
        <f t="shared" si="4"/>
        <v/>
      </c>
      <c r="AR37" s="25" t="str">
        <f t="shared" si="5"/>
        <v/>
      </c>
      <c r="AS37" s="25" t="str">
        <f t="shared" si="6"/>
        <v/>
      </c>
      <c r="AT37" s="25" t="str">
        <f t="shared" si="7"/>
        <v/>
      </c>
      <c r="AU37" s="25" t="str">
        <f t="shared" si="8"/>
        <v/>
      </c>
      <c r="AV37" s="25">
        <f t="shared" si="9"/>
        <v>46289</v>
      </c>
      <c r="AW37" s="25" t="str">
        <f t="shared" si="10"/>
        <v/>
      </c>
      <c r="AX37" s="25" t="str">
        <f t="shared" si="11"/>
        <v/>
      </c>
      <c r="AY37" s="25" t="str">
        <f t="shared" si="12"/>
        <v/>
      </c>
      <c r="AZ37" s="25" t="str">
        <f t="shared" si="13"/>
        <v/>
      </c>
      <c r="BA37" s="25" t="str">
        <f t="shared" si="14"/>
        <v/>
      </c>
      <c r="BB37" s="25" t="str">
        <f t="shared" si="15"/>
        <v/>
      </c>
      <c r="BC37" s="25">
        <f t="shared" si="16"/>
        <v>46289</v>
      </c>
    </row>
    <row r="38" spans="1:55" ht="15" customHeight="1" x14ac:dyDescent="0.25">
      <c r="A38" s="151">
        <f t="shared" si="0"/>
        <v>36</v>
      </c>
      <c r="B38" s="151" t="s">
        <v>124</v>
      </c>
      <c r="C38" s="152" t="s">
        <v>78</v>
      </c>
      <c r="D38" s="151">
        <f t="shared" si="1"/>
        <v>1</v>
      </c>
      <c r="E38" s="151" t="s">
        <v>61</v>
      </c>
      <c r="F38" s="173">
        <v>46289</v>
      </c>
      <c r="G38" s="173"/>
      <c r="H38" s="173"/>
      <c r="I38" s="173">
        <v>46289</v>
      </c>
      <c r="J38" s="173">
        <v>46290</v>
      </c>
      <c r="K38" s="173"/>
      <c r="L38" s="173"/>
      <c r="M38" s="173"/>
      <c r="N38" s="173"/>
      <c r="O38" s="173"/>
      <c r="P38" s="173"/>
      <c r="Q38" s="173"/>
      <c r="R38" s="173"/>
      <c r="S38" s="173"/>
      <c r="T38" s="174">
        <v>46290</v>
      </c>
      <c r="U38" s="151"/>
      <c r="V38" s="152"/>
      <c r="W38" s="175"/>
      <c r="X38" s="173"/>
      <c r="Y38" s="173"/>
      <c r="Z38" s="176" t="str">
        <f>IF(B38="","",IF(S38&lt;&gt;"","Sevk Edildi",IF(AND(X38&lt;&gt;"",Y38=""),"Reworkte",IF(T38&lt;&gt;"","Kapandı"&amp;IF(COUNT(G38:R38)=0,""," – "&amp;LOOKUP(2,1/(G38:R38=MAX(G38:R38)),{"Tasarım","Ply Cutter","Üretim","Kalite (Üretim sonrası)","Talaşlı","Kalite (Talaşlı sonrası)","Montaj","Kalite (Montaj sonrası)","Boya","Kalite (Boya sonrası)","Yarı Mamül","KM"})),IF(COUNT(G38:R38)=0,"Başlamadı",LOOKUP(2,1/(G38:R38=MAX(G38:R38)),{"Tasarımda","Ply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8" s="177">
        <f t="shared" ca="1" si="2"/>
        <v>1</v>
      </c>
      <c r="AB38" s="175" t="s">
        <v>125</v>
      </c>
      <c r="AD38" t="str">
        <f>IF(OR($B38="",NOT(ISNUMBER(G38))),"",IF(COUNTIF(H38:$T38,G38)&gt;0,0,IF(COUNTIF($G38:$T38,"&gt;"&amp;G38)=0,"",SMALL($G38:$T38,COUNTIF($G38:$T38,"&lt;="&amp;G38)+1)-G38)))</f>
        <v/>
      </c>
      <c r="AE38" t="str">
        <f>IF(OR($B38="",NOT(ISNUMBER(H38))),"",IF(COUNTIF(I38:$T38,H38)&gt;0,0,IF(COUNTIF($G38:$T38,"&gt;"&amp;H38)=0,"",SMALL($G38:$T38,COUNTIF($G38:$T38,"&lt;="&amp;H38)+1)-H38)))</f>
        <v/>
      </c>
      <c r="AF38">
        <f>IF(OR($B38="",NOT(ISNUMBER(I38))),"",IF(COUNTIF(J38:$T38,I38)&gt;0,0,IF(COUNTIF($G38:$T38,"&gt;"&amp;I38)=0,"",SMALL($G38:$T38,COUNTIF($G38:$T38,"&lt;="&amp;I38)+1)-I38)))</f>
        <v>1</v>
      </c>
      <c r="AG38">
        <f>IF(OR($B38="",NOT(ISNUMBER(J38))),"",IF(COUNTIF(K38:$T38,J38)&gt;0,0,IF(COUNTIF($G38:$T38,"&gt;"&amp;J38)=0,"",SMALL($G38:$T38,COUNTIF($G38:$T38,"&lt;="&amp;J38)+1)-J38)))</f>
        <v>0</v>
      </c>
      <c r="AH38" t="str">
        <f>IF(OR($B38="",NOT(ISNUMBER(K38))),"",IF(COUNTIF(L38:$T38,K38)&gt;0,0,IF(COUNTIF($G38:$T38,"&gt;"&amp;K38)=0,"",SMALL($G38:$T38,COUNTIF($G38:$T38,"&lt;="&amp;K38)+1)-K38)))</f>
        <v/>
      </c>
      <c r="AI38" t="str">
        <f>IF(OR($B38="",NOT(ISNUMBER(L38))),"",IF(COUNTIF(M38:$T38,L38)&gt;0,0,IF(COUNTIF($G38:$T38,"&gt;"&amp;L38)=0,"",SMALL($G38:$T38,COUNTIF($G38:$T38,"&lt;="&amp;L38)+1)-L38)))</f>
        <v/>
      </c>
      <c r="AJ38" t="str">
        <f>IF(OR($B38="",NOT(ISNUMBER(M38))),"",IF(COUNTIF(N38:$T38,M38)&gt;0,0,IF(COUNTIF($G38:$T38,"&gt;"&amp;M38)=0,"",SMALL($G38:$T38,COUNTIF($G38:$T38,"&lt;="&amp;M38)+1)-M38)))</f>
        <v/>
      </c>
      <c r="AK38" t="str">
        <f>IF(OR($B38="",NOT(ISNUMBER(N38))),"",IF(COUNTIF(O38:$T38,N38)&gt;0,0,IF(COUNTIF($G38:$T38,"&gt;"&amp;N38)=0,"",SMALL($G38:$T38,COUNTIF($G38:$T38,"&lt;="&amp;N38)+1)-N38)))</f>
        <v/>
      </c>
      <c r="AL38" t="str">
        <f>IF(OR($B38="",NOT(ISNUMBER(O38))),"",IF(COUNTIF(P38:$T38,O38)&gt;0,0,IF(COUNTIF($G38:$T38,"&gt;"&amp;O38)=0,"",SMALL($G38:$T38,COUNTIF($G38:$T38,"&lt;="&amp;O38)+1)-O38)))</f>
        <v/>
      </c>
      <c r="AM38" t="str">
        <f>IF(OR($B38="",NOT(ISNUMBER(P38))),"",IF(COUNTIF(Q38:$T38,P38)&gt;0,0,IF(COUNTIF($G38:$T38,"&gt;"&amp;P38)=0,"",SMALL($G38:$T38,COUNTIF($G38:$T38,"&lt;="&amp;P38)+1)-P38)))</f>
        <v/>
      </c>
      <c r="AN38" t="str">
        <f>IF(OR($B38="",NOT(ISNUMBER(Q38))),"",IF(COUNTIF(R38:$T38,Q38)&gt;0,0,IF(COUNTIF($G38:$T38,"&gt;"&amp;Q38)=0,"",SMALL($G38:$T38,COUNTIF($G38:$T38,"&lt;="&amp;Q38)+1)-Q38)))</f>
        <v/>
      </c>
      <c r="AO38" t="str">
        <f>IF(OR($B38="",NOT(ISNUMBER(R38))),"",IF(COUNTIF(S38:$T38,R38)&gt;0,0,IF(COUNTIF($G38:$T38,"&gt;"&amp;R38)=0,"",SMALL($G38:$T38,COUNTIF($G38:$T38,"&lt;="&amp;R38)+1)-R38)))</f>
        <v/>
      </c>
      <c r="AP38">
        <f t="shared" ca="1" si="3"/>
        <v>0</v>
      </c>
      <c r="AQ38" s="25" t="str">
        <f t="shared" si="4"/>
        <v/>
      </c>
      <c r="AR38" s="25" t="str">
        <f t="shared" si="5"/>
        <v/>
      </c>
      <c r="AS38" s="25">
        <f t="shared" si="6"/>
        <v>46290</v>
      </c>
      <c r="AT38" s="25">
        <f t="shared" si="7"/>
        <v>46290</v>
      </c>
      <c r="AU38" s="25" t="str">
        <f t="shared" si="8"/>
        <v/>
      </c>
      <c r="AV38" s="25" t="str">
        <f t="shared" si="9"/>
        <v/>
      </c>
      <c r="AW38" s="25" t="str">
        <f t="shared" si="10"/>
        <v/>
      </c>
      <c r="AX38" s="25" t="str">
        <f t="shared" si="11"/>
        <v/>
      </c>
      <c r="AY38" s="25" t="str">
        <f t="shared" si="12"/>
        <v/>
      </c>
      <c r="AZ38" s="25" t="str">
        <f t="shared" si="13"/>
        <v/>
      </c>
      <c r="BA38" s="25" t="str">
        <f t="shared" si="14"/>
        <v/>
      </c>
      <c r="BB38" s="25" t="str">
        <f t="shared" si="15"/>
        <v/>
      </c>
      <c r="BC38" s="25">
        <f t="shared" si="16"/>
        <v>46290</v>
      </c>
    </row>
    <row r="39" spans="1:55" ht="15" customHeight="1" x14ac:dyDescent="0.25">
      <c r="A39" s="151">
        <f t="shared" si="0"/>
        <v>37</v>
      </c>
      <c r="B39" s="151" t="s">
        <v>126</v>
      </c>
      <c r="C39" s="152" t="s">
        <v>127</v>
      </c>
      <c r="D39" s="151">
        <f t="shared" si="1"/>
        <v>10</v>
      </c>
      <c r="E39" s="151" t="s">
        <v>100</v>
      </c>
      <c r="F39" s="173">
        <v>46289</v>
      </c>
      <c r="G39" s="173"/>
      <c r="H39" s="173"/>
      <c r="I39" s="173"/>
      <c r="J39" s="173"/>
      <c r="K39" s="173">
        <v>46289</v>
      </c>
      <c r="L39" s="173">
        <v>46291</v>
      </c>
      <c r="M39" s="173"/>
      <c r="N39" s="173"/>
      <c r="O39" s="173"/>
      <c r="P39" s="173"/>
      <c r="Q39" s="173"/>
      <c r="R39" s="173"/>
      <c r="S39" s="173"/>
      <c r="T39" s="174">
        <v>46291</v>
      </c>
      <c r="U39" s="151"/>
      <c r="V39" s="152"/>
      <c r="W39" s="175"/>
      <c r="X39" s="173"/>
      <c r="Y39" s="173"/>
      <c r="Z39" s="176" t="str">
        <f>IF(B39="","",IF(S39&lt;&gt;"","Sevk Edildi",IF(AND(X39&lt;&gt;"",Y39=""),"Reworkte",IF(T39&lt;&gt;"","Kapandı"&amp;IF(COUNT(G39:R39)=0,""," – "&amp;LOOKUP(2,1/(G39:R39=MAX(G39:R39)),{"Tasarım","Ply Cutter","Üretim","Kalite (Üretim sonrası)","Talaşlı","Kalite (Talaşlı sonrası)","Montaj","Kalite (Montaj sonrası)","Boya","Kalite (Boya sonrası)","Yarı Mamül","KM"})),IF(COUNT(G39:R39)=0,"Başlamadı",LOOKUP(2,1/(G39:R39=MAX(G39:R39)),{"Tasarımda","Ply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9" s="177">
        <f t="shared" ca="1" si="2"/>
        <v>2</v>
      </c>
      <c r="AB39" s="175"/>
      <c r="AD39" t="str">
        <f>IF(OR($B39="",NOT(ISNUMBER(G39))),"",IF(COUNTIF(H39:$T39,G39)&gt;0,0,IF(COUNTIF($G39:$T39,"&gt;"&amp;G39)=0,"",SMALL($G39:$T39,COUNTIF($G39:$T39,"&lt;="&amp;G39)+1)-G39)))</f>
        <v/>
      </c>
      <c r="AE39" t="str">
        <f>IF(OR($B39="",NOT(ISNUMBER(H39))),"",IF(COUNTIF(I39:$T39,H39)&gt;0,0,IF(COUNTIF($G39:$T39,"&gt;"&amp;H39)=0,"",SMALL($G39:$T39,COUNTIF($G39:$T39,"&lt;="&amp;H39)+1)-H39)))</f>
        <v/>
      </c>
      <c r="AF39" t="str">
        <f>IF(OR($B39="",NOT(ISNUMBER(I39))),"",IF(COUNTIF(J39:$T39,I39)&gt;0,0,IF(COUNTIF($G39:$T39,"&gt;"&amp;I39)=0,"",SMALL($G39:$T39,COUNTIF($G39:$T39,"&lt;="&amp;I39)+1)-I39)))</f>
        <v/>
      </c>
      <c r="AG39" t="str">
        <f>IF(OR($B39="",NOT(ISNUMBER(J39))),"",IF(COUNTIF(K39:$T39,J39)&gt;0,0,IF(COUNTIF($G39:$T39,"&gt;"&amp;J39)=0,"",SMALL($G39:$T39,COUNTIF($G39:$T39,"&lt;="&amp;J39)+1)-J39)))</f>
        <v/>
      </c>
      <c r="AH39">
        <f>IF(OR($B39="",NOT(ISNUMBER(K39))),"",IF(COUNTIF(L39:$T39,K39)&gt;0,0,IF(COUNTIF($G39:$T39,"&gt;"&amp;K39)=0,"",SMALL($G39:$T39,COUNTIF($G39:$T39,"&lt;="&amp;K39)+1)-K39)))</f>
        <v>2</v>
      </c>
      <c r="AI39">
        <f>IF(OR($B39="",NOT(ISNUMBER(L39))),"",IF(COUNTIF(M39:$T39,L39)&gt;0,0,IF(COUNTIF($G39:$T39,"&gt;"&amp;L39)=0,"",SMALL($G39:$T39,COUNTIF($G39:$T39,"&lt;="&amp;L39)+1)-L39)))</f>
        <v>0</v>
      </c>
      <c r="AJ39" t="str">
        <f>IF(OR($B39="",NOT(ISNUMBER(M39))),"",IF(COUNTIF(N39:$T39,M39)&gt;0,0,IF(COUNTIF($G39:$T39,"&gt;"&amp;M39)=0,"",SMALL($G39:$T39,COUNTIF($G39:$T39,"&lt;="&amp;M39)+1)-M39)))</f>
        <v/>
      </c>
      <c r="AK39" t="str">
        <f>IF(OR($B39="",NOT(ISNUMBER(N39))),"",IF(COUNTIF(O39:$T39,N39)&gt;0,0,IF(COUNTIF($G39:$T39,"&gt;"&amp;N39)=0,"",SMALL($G39:$T39,COUNTIF($G39:$T39,"&lt;="&amp;N39)+1)-N39)))</f>
        <v/>
      </c>
      <c r="AL39" t="str">
        <f>IF(OR($B39="",NOT(ISNUMBER(O39))),"",IF(COUNTIF(P39:$T39,O39)&gt;0,0,IF(COUNTIF($G39:$T39,"&gt;"&amp;O39)=0,"",SMALL($G39:$T39,COUNTIF($G39:$T39,"&lt;="&amp;O39)+1)-O39)))</f>
        <v/>
      </c>
      <c r="AM39" t="str">
        <f>IF(OR($B39="",NOT(ISNUMBER(P39))),"",IF(COUNTIF(Q39:$T39,P39)&gt;0,0,IF(COUNTIF($G39:$T39,"&gt;"&amp;P39)=0,"",SMALL($G39:$T39,COUNTIF($G39:$T39,"&lt;="&amp;P39)+1)-P39)))</f>
        <v/>
      </c>
      <c r="AN39" t="str">
        <f>IF(OR($B39="",NOT(ISNUMBER(Q39))),"",IF(COUNTIF(R39:$T39,Q39)&gt;0,0,IF(COUNTIF($G39:$T39,"&gt;"&amp;Q39)=0,"",SMALL($G39:$T39,COUNTIF($G39:$T39,"&lt;="&amp;Q39)+1)-Q39)))</f>
        <v/>
      </c>
      <c r="AO39" t="str">
        <f>IF(OR($B39="",NOT(ISNUMBER(R39))),"",IF(COUNTIF(S39:$T39,R39)&gt;0,0,IF(COUNTIF($G39:$T39,"&gt;"&amp;R39)=0,"",SMALL($G39:$T39,COUNTIF($G39:$T39,"&lt;="&amp;R39)+1)-R39)))</f>
        <v/>
      </c>
      <c r="AP39">
        <f t="shared" ca="1" si="3"/>
        <v>0</v>
      </c>
      <c r="AQ39" s="25" t="str">
        <f t="shared" si="4"/>
        <v/>
      </c>
      <c r="AR39" s="25" t="str">
        <f t="shared" si="5"/>
        <v/>
      </c>
      <c r="AS39" s="25" t="str">
        <f t="shared" si="6"/>
        <v/>
      </c>
      <c r="AT39" s="25" t="str">
        <f t="shared" si="7"/>
        <v/>
      </c>
      <c r="AU39" s="25">
        <f t="shared" si="8"/>
        <v>46291</v>
      </c>
      <c r="AV39" s="25">
        <f t="shared" si="9"/>
        <v>46291</v>
      </c>
      <c r="AW39" s="25" t="str">
        <f t="shared" si="10"/>
        <v/>
      </c>
      <c r="AX39" s="25" t="str">
        <f t="shared" si="11"/>
        <v/>
      </c>
      <c r="AY39" s="25" t="str">
        <f t="shared" si="12"/>
        <v/>
      </c>
      <c r="AZ39" s="25" t="str">
        <f t="shared" si="13"/>
        <v/>
      </c>
      <c r="BA39" s="25" t="str">
        <f t="shared" si="14"/>
        <v/>
      </c>
      <c r="BB39" s="25" t="str">
        <f t="shared" si="15"/>
        <v/>
      </c>
      <c r="BC39" s="25">
        <f t="shared" si="16"/>
        <v>46291</v>
      </c>
    </row>
    <row r="40" spans="1:55" ht="15" customHeight="1" x14ac:dyDescent="0.25">
      <c r="A40" s="151">
        <f t="shared" si="0"/>
        <v>38</v>
      </c>
      <c r="B40" s="151" t="s">
        <v>128</v>
      </c>
      <c r="C40" s="152" t="s">
        <v>129</v>
      </c>
      <c r="D40" s="151">
        <f t="shared" si="1"/>
        <v>5</v>
      </c>
      <c r="E40" s="151" t="s">
        <v>61</v>
      </c>
      <c r="F40" s="173">
        <v>46289</v>
      </c>
      <c r="G40" s="173"/>
      <c r="H40" s="173"/>
      <c r="I40" s="173"/>
      <c r="J40" s="173"/>
      <c r="K40" s="173"/>
      <c r="L40" s="173"/>
      <c r="M40" s="173"/>
      <c r="N40" s="173"/>
      <c r="O40" s="173">
        <v>46289</v>
      </c>
      <c r="P40" s="173">
        <v>46291</v>
      </c>
      <c r="Q40" s="173"/>
      <c r="R40" s="173"/>
      <c r="S40" s="173"/>
      <c r="T40" s="174">
        <v>46291</v>
      </c>
      <c r="U40" s="151"/>
      <c r="V40" s="152"/>
      <c r="W40" s="175"/>
      <c r="X40" s="173"/>
      <c r="Y40" s="173"/>
      <c r="Z40" s="176" t="str">
        <f>IF(B40="","",IF(S40&lt;&gt;"","Sevk Edildi",IF(AND(X40&lt;&gt;"",Y40=""),"Reworkte",IF(T40&lt;&gt;"","Kapandı"&amp;IF(COUNT(G40:R40)=0,""," – "&amp;LOOKUP(2,1/(G40:R40=MAX(G40:R40)),{"Tasarım","Ply Cutter","Üretim","Kalite (Üretim sonrası)","Talaşlı","Kalite (Talaşlı sonrası)","Montaj","Kalite (Montaj sonrası)","Boya","Kalite (Boya sonrası)","Yarı Mamül","KM"})),IF(COUNT(G40:R40)=0,"Başlamadı",LOOKUP(2,1/(G40:R40=MAX(G40:R40)),{"Tasarımda","Ply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40" s="177">
        <f t="shared" ca="1" si="2"/>
        <v>2</v>
      </c>
      <c r="AB40" s="175"/>
      <c r="AD40" t="str">
        <f>IF(OR($B40="",NOT(ISNUMBER(G40))),"",IF(COUNTIF(H40:$T40,G40)&gt;0,0,IF(COUNTIF($G40:$T40,"&gt;"&amp;G40)=0,"",SMALL($G40:$T40,COUNTIF($G40:$T40,"&lt;="&amp;G40)+1)-G40)))</f>
        <v/>
      </c>
      <c r="AE40" t="str">
        <f>IF(OR($B40="",NOT(ISNUMBER(H40))),"",IF(COUNTIF(I40:$T40,H40)&gt;0,0,IF(COUNTIF($G40:$T40,"&gt;"&amp;H40)=0,"",SMALL($G40:$T40,COUNTIF($G40:$T40,"&lt;="&amp;H40)+1)-H40)))</f>
        <v/>
      </c>
      <c r="AF40" t="str">
        <f>IF(OR($B40="",NOT(ISNUMBER(I40))),"",IF(COUNTIF(J40:$T40,I40)&gt;0,0,IF(COUNTIF($G40:$T40,"&gt;"&amp;I40)=0,"",SMALL($G40:$T40,COUNTIF($G40:$T40,"&lt;="&amp;I40)+1)-I40)))</f>
        <v/>
      </c>
      <c r="AG40" t="str">
        <f>IF(OR($B40="",NOT(ISNUMBER(J40))),"",IF(COUNTIF(K40:$T40,J40)&gt;0,0,IF(COUNTIF($G40:$T40,"&gt;"&amp;J40)=0,"",SMALL($G40:$T40,COUNTIF($G40:$T40,"&lt;="&amp;J40)+1)-J40)))</f>
        <v/>
      </c>
      <c r="AH40" t="str">
        <f>IF(OR($B40="",NOT(ISNUMBER(K40))),"",IF(COUNTIF(L40:$T40,K40)&gt;0,0,IF(COUNTIF($G40:$T40,"&gt;"&amp;K40)=0,"",SMALL($G40:$T40,COUNTIF($G40:$T40,"&lt;="&amp;K40)+1)-K40)))</f>
        <v/>
      </c>
      <c r="AI40" t="str">
        <f>IF(OR($B40="",NOT(ISNUMBER(L40))),"",IF(COUNTIF(M40:$T40,L40)&gt;0,0,IF(COUNTIF($G40:$T40,"&gt;"&amp;L40)=0,"",SMALL($G40:$T40,COUNTIF($G40:$T40,"&lt;="&amp;L40)+1)-L40)))</f>
        <v/>
      </c>
      <c r="AJ40" t="str">
        <f>IF(OR($B40="",NOT(ISNUMBER(M40))),"",IF(COUNTIF(N40:$T40,M40)&gt;0,0,IF(COUNTIF($G40:$T40,"&gt;"&amp;M40)=0,"",SMALL($G40:$T40,COUNTIF($G40:$T40,"&lt;="&amp;M40)+1)-M40)))</f>
        <v/>
      </c>
      <c r="AK40" t="str">
        <f>IF(OR($B40="",NOT(ISNUMBER(N40))),"",IF(COUNTIF(O40:$T40,N40)&gt;0,0,IF(COUNTIF($G40:$T40,"&gt;"&amp;N40)=0,"",SMALL($G40:$T40,COUNTIF($G40:$T40,"&lt;="&amp;N40)+1)-N40)))</f>
        <v/>
      </c>
      <c r="AL40">
        <f>IF(OR($B40="",NOT(ISNUMBER(O40))),"",IF(COUNTIF(P40:$T40,O40)&gt;0,0,IF(COUNTIF($G40:$T40,"&gt;"&amp;O40)=0,"",SMALL($G40:$T40,COUNTIF($G40:$T40,"&lt;="&amp;O40)+1)-O40)))</f>
        <v>2</v>
      </c>
      <c r="AM40">
        <f>IF(OR($B40="",NOT(ISNUMBER(P40))),"",IF(COUNTIF(Q40:$T40,P40)&gt;0,0,IF(COUNTIF($G40:$T40,"&gt;"&amp;P40)=0,"",SMALL($G40:$T40,COUNTIF($G40:$T40,"&lt;="&amp;P40)+1)-P40)))</f>
        <v>0</v>
      </c>
      <c r="AN40" t="str">
        <f>IF(OR($B40="",NOT(ISNUMBER(Q40))),"",IF(COUNTIF(R40:$T40,Q40)&gt;0,0,IF(COUNTIF($G40:$T40,"&gt;"&amp;Q40)=0,"",SMALL($G40:$T40,COUNTIF($G40:$T40,"&lt;="&amp;Q40)+1)-Q40)))</f>
        <v/>
      </c>
      <c r="AO40" t="str">
        <f>IF(OR($B40="",NOT(ISNUMBER(R40))),"",IF(COUNTIF(S40:$T40,R40)&gt;0,0,IF(COUNTIF($G40:$T40,"&gt;"&amp;R40)=0,"",SMALL($G40:$T40,COUNTIF($G40:$T40,"&lt;="&amp;R40)+1)-R40)))</f>
        <v/>
      </c>
      <c r="AP40">
        <f t="shared" ca="1" si="3"/>
        <v>0</v>
      </c>
      <c r="AQ40" s="25" t="str">
        <f t="shared" si="4"/>
        <v/>
      </c>
      <c r="AR40" s="25" t="str">
        <f t="shared" si="5"/>
        <v/>
      </c>
      <c r="AS40" s="25" t="str">
        <f t="shared" si="6"/>
        <v/>
      </c>
      <c r="AT40" s="25" t="str">
        <f t="shared" si="7"/>
        <v/>
      </c>
      <c r="AU40" s="25" t="str">
        <f t="shared" si="8"/>
        <v/>
      </c>
      <c r="AV40" s="25" t="str">
        <f t="shared" si="9"/>
        <v/>
      </c>
      <c r="AW40" s="25" t="str">
        <f t="shared" si="10"/>
        <v/>
      </c>
      <c r="AX40" s="25" t="str">
        <f t="shared" si="11"/>
        <v/>
      </c>
      <c r="AY40" s="25">
        <f t="shared" si="12"/>
        <v>46291</v>
      </c>
      <c r="AZ40" s="25">
        <f t="shared" si="13"/>
        <v>46291</v>
      </c>
      <c r="BA40" s="25" t="str">
        <f t="shared" si="14"/>
        <v/>
      </c>
      <c r="BB40" s="25" t="str">
        <f t="shared" si="15"/>
        <v/>
      </c>
      <c r="BC40" s="25">
        <f t="shared" si="16"/>
        <v>46291</v>
      </c>
    </row>
    <row r="41" spans="1:55" ht="15" customHeight="1" x14ac:dyDescent="0.25">
      <c r="A41" s="151">
        <f t="shared" si="0"/>
        <v>39</v>
      </c>
      <c r="B41" s="151" t="s">
        <v>130</v>
      </c>
      <c r="C41" s="152" t="s">
        <v>131</v>
      </c>
      <c r="D41" s="151">
        <f t="shared" si="1"/>
        <v>5</v>
      </c>
      <c r="E41" s="151" t="s">
        <v>61</v>
      </c>
      <c r="F41" s="173">
        <v>46289</v>
      </c>
      <c r="G41" s="173"/>
      <c r="H41" s="173"/>
      <c r="I41" s="173"/>
      <c r="J41" s="173"/>
      <c r="K41" s="173">
        <v>46289</v>
      </c>
      <c r="L41" s="173">
        <v>46291</v>
      </c>
      <c r="M41" s="173"/>
      <c r="N41" s="173"/>
      <c r="O41" s="173"/>
      <c r="P41" s="173"/>
      <c r="Q41" s="173"/>
      <c r="R41" s="173"/>
      <c r="S41" s="173"/>
      <c r="T41" s="174">
        <v>46291</v>
      </c>
      <c r="U41" s="151"/>
      <c r="V41" s="152"/>
      <c r="W41" s="175"/>
      <c r="X41" s="173"/>
      <c r="Y41" s="173"/>
      <c r="Z41" s="176" t="str">
        <f>IF(B41="","",IF(S41&lt;&gt;"","Sevk Edildi",IF(AND(X41&lt;&gt;"",Y41=""),"Reworkte",IF(T41&lt;&gt;"","Kapandı"&amp;IF(COUNT(G41:R41)=0,""," – "&amp;LOOKUP(2,1/(G41:R41=MAX(G41:R41)),{"Tasarım","Ply Cutter","Üretim","Kalite (Üretim sonrası)","Talaşlı","Kalite (Talaşlı sonrası)","Montaj","Kalite (Montaj sonrası)","Boya","Kalite (Boya sonrası)","Yarı Mamül","KM"})),IF(COUNT(G41:R41)=0,"Başlamadı",LOOKUP(2,1/(G41:R41=MAX(G41:R41)),{"Tasarımda","Ply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41" s="177">
        <f t="shared" ca="1" si="2"/>
        <v>2</v>
      </c>
      <c r="AB41" s="175"/>
      <c r="AD41" t="str">
        <f>IF(OR($B41="",NOT(ISNUMBER(G41))),"",IF(COUNTIF(H41:$T41,G41)&gt;0,0,IF(COUNTIF($G41:$T41,"&gt;"&amp;G41)=0,"",SMALL($G41:$T41,COUNTIF($G41:$T41,"&lt;="&amp;G41)+1)-G41)))</f>
        <v/>
      </c>
      <c r="AE41" t="str">
        <f>IF(OR($B41="",NOT(ISNUMBER(H41))),"",IF(COUNTIF(I41:$T41,H41)&gt;0,0,IF(COUNTIF($G41:$T41,"&gt;"&amp;H41)=0,"",SMALL($G41:$T41,COUNTIF($G41:$T41,"&lt;="&amp;H41)+1)-H41)))</f>
        <v/>
      </c>
      <c r="AF41" t="str">
        <f>IF(OR($B41="",NOT(ISNUMBER(I41))),"",IF(COUNTIF(J41:$T41,I41)&gt;0,0,IF(COUNTIF($G41:$T41,"&gt;"&amp;I41)=0,"",SMALL($G41:$T41,COUNTIF($G41:$T41,"&lt;="&amp;I41)+1)-I41)))</f>
        <v/>
      </c>
      <c r="AG41" t="str">
        <f>IF(OR($B41="",NOT(ISNUMBER(J41))),"",IF(COUNTIF(K41:$T41,J41)&gt;0,0,IF(COUNTIF($G41:$T41,"&gt;"&amp;J41)=0,"",SMALL($G41:$T41,COUNTIF($G41:$T41,"&lt;="&amp;J41)+1)-J41)))</f>
        <v/>
      </c>
      <c r="AH41">
        <f>IF(OR($B41="",NOT(ISNUMBER(K41))),"",IF(COUNTIF(L41:$T41,K41)&gt;0,0,IF(COUNTIF($G41:$T41,"&gt;"&amp;K41)=0,"",SMALL($G41:$T41,COUNTIF($G41:$T41,"&lt;="&amp;K41)+1)-K41)))</f>
        <v>2</v>
      </c>
      <c r="AI41">
        <f>IF(OR($B41="",NOT(ISNUMBER(L41))),"",IF(COUNTIF(M41:$T41,L41)&gt;0,0,IF(COUNTIF($G41:$T41,"&gt;"&amp;L41)=0,"",SMALL($G41:$T41,COUNTIF($G41:$T41,"&lt;="&amp;L41)+1)-L41)))</f>
        <v>0</v>
      </c>
      <c r="AJ41" t="str">
        <f>IF(OR($B41="",NOT(ISNUMBER(M41))),"",IF(COUNTIF(N41:$T41,M41)&gt;0,0,IF(COUNTIF($G41:$T41,"&gt;"&amp;M41)=0,"",SMALL($G41:$T41,COUNTIF($G41:$T41,"&lt;="&amp;M41)+1)-M41)))</f>
        <v/>
      </c>
      <c r="AK41" t="str">
        <f>IF(OR($B41="",NOT(ISNUMBER(N41))),"",IF(COUNTIF(O41:$T41,N41)&gt;0,0,IF(COUNTIF($G41:$T41,"&gt;"&amp;N41)=0,"",SMALL($G41:$T41,COUNTIF($G41:$T41,"&lt;="&amp;N41)+1)-N41)))</f>
        <v/>
      </c>
      <c r="AL41" t="str">
        <f>IF(OR($B41="",NOT(ISNUMBER(O41))),"",IF(COUNTIF(P41:$T41,O41)&gt;0,0,IF(COUNTIF($G41:$T41,"&gt;"&amp;O41)=0,"",SMALL($G41:$T41,COUNTIF($G41:$T41,"&lt;="&amp;O41)+1)-O41)))</f>
        <v/>
      </c>
      <c r="AM41" t="str">
        <f>IF(OR($B41="",NOT(ISNUMBER(P41))),"",IF(COUNTIF(Q41:$T41,P41)&gt;0,0,IF(COUNTIF($G41:$T41,"&gt;"&amp;P41)=0,"",SMALL($G41:$T41,COUNTIF($G41:$T41,"&lt;="&amp;P41)+1)-P41)))</f>
        <v/>
      </c>
      <c r="AN41" t="str">
        <f>IF(OR($B41="",NOT(ISNUMBER(Q41))),"",IF(COUNTIF(R41:$T41,Q41)&gt;0,0,IF(COUNTIF($G41:$T41,"&gt;"&amp;Q41)=0,"",SMALL($G41:$T41,COUNTIF($G41:$T41,"&lt;="&amp;Q41)+1)-Q41)))</f>
        <v/>
      </c>
      <c r="AO41" t="str">
        <f>IF(OR($B41="",NOT(ISNUMBER(R41))),"",IF(COUNTIF(S41:$T41,R41)&gt;0,0,IF(COUNTIF($G41:$T41,"&gt;"&amp;R41)=0,"",SMALL($G41:$T41,COUNTIF($G41:$T41,"&lt;="&amp;R41)+1)-R41)))</f>
        <v/>
      </c>
      <c r="AP41">
        <f t="shared" ca="1" si="3"/>
        <v>0</v>
      </c>
      <c r="AQ41" s="25" t="str">
        <f t="shared" si="4"/>
        <v/>
      </c>
      <c r="AR41" s="25" t="str">
        <f t="shared" si="5"/>
        <v/>
      </c>
      <c r="AS41" s="25" t="str">
        <f t="shared" si="6"/>
        <v/>
      </c>
      <c r="AT41" s="25" t="str">
        <f t="shared" si="7"/>
        <v/>
      </c>
      <c r="AU41" s="25">
        <f t="shared" si="8"/>
        <v>46291</v>
      </c>
      <c r="AV41" s="25">
        <f t="shared" si="9"/>
        <v>46291</v>
      </c>
      <c r="AW41" s="25" t="str">
        <f t="shared" si="10"/>
        <v/>
      </c>
      <c r="AX41" s="25" t="str">
        <f t="shared" si="11"/>
        <v/>
      </c>
      <c r="AY41" s="25" t="str">
        <f t="shared" si="12"/>
        <v/>
      </c>
      <c r="AZ41" s="25" t="str">
        <f t="shared" si="13"/>
        <v/>
      </c>
      <c r="BA41" s="25" t="str">
        <f t="shared" si="14"/>
        <v/>
      </c>
      <c r="BB41" s="25" t="str">
        <f t="shared" si="15"/>
        <v/>
      </c>
      <c r="BC41" s="25">
        <f t="shared" si="16"/>
        <v>46291</v>
      </c>
    </row>
    <row r="42" spans="1:55" ht="15" customHeight="1" x14ac:dyDescent="0.25">
      <c r="A42" s="151">
        <f t="shared" si="0"/>
        <v>40</v>
      </c>
      <c r="B42" s="151" t="s">
        <v>132</v>
      </c>
      <c r="C42" s="152" t="s">
        <v>133</v>
      </c>
      <c r="D42" s="151">
        <f t="shared" si="1"/>
        <v>3</v>
      </c>
      <c r="E42" s="151" t="s">
        <v>61</v>
      </c>
      <c r="F42" s="173">
        <v>46289</v>
      </c>
      <c r="G42" s="173"/>
      <c r="H42" s="173"/>
      <c r="I42" s="173"/>
      <c r="J42" s="173"/>
      <c r="K42" s="173"/>
      <c r="L42" s="173"/>
      <c r="M42" s="173">
        <v>46289</v>
      </c>
      <c r="N42" s="173">
        <v>46291</v>
      </c>
      <c r="O42" s="173"/>
      <c r="P42" s="173"/>
      <c r="Q42" s="173">
        <v>46291</v>
      </c>
      <c r="R42" s="173"/>
      <c r="S42" s="173"/>
      <c r="T42" s="174">
        <v>46291</v>
      </c>
      <c r="U42" s="151"/>
      <c r="V42" s="152"/>
      <c r="W42" s="175"/>
      <c r="X42" s="173"/>
      <c r="Y42" s="173"/>
      <c r="Z42" s="176" t="str">
        <f>IF(B42="","",IF(S42&lt;&gt;"","Sevk Edildi",IF(AND(X42&lt;&gt;"",Y42=""),"Reworkte",IF(T42&lt;&gt;"","Kapandı"&amp;IF(COUNT(G42:R42)=0,""," – "&amp;LOOKUP(2,1/(G42:R42=MAX(G42:R42)),{"Tasarım","Ply Cutter","Üretim","Kalite (Üretim sonrası)","Talaşlı","Kalite (Talaşlı sonrası)","Montaj","Kalite (Montaj sonrası)","Boya","Kalite (Boya sonrası)","Yarı Mamül","KM"})),IF(COUNT(G42:R42)=0,"Başlamadı",LOOKUP(2,1/(G42:R42=MAX(G42:R42)),{"Tasarımda","Ply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2" s="177">
        <f t="shared" ca="1" si="2"/>
        <v>2</v>
      </c>
      <c r="AB42" s="175"/>
      <c r="AD42" t="str">
        <f>IF(OR($B42="",NOT(ISNUMBER(G42))),"",IF(COUNTIF(H42:$T42,G42)&gt;0,0,IF(COUNTIF($G42:$T42,"&gt;"&amp;G42)=0,"",SMALL($G42:$T42,COUNTIF($G42:$T42,"&lt;="&amp;G42)+1)-G42)))</f>
        <v/>
      </c>
      <c r="AE42" t="str">
        <f>IF(OR($B42="",NOT(ISNUMBER(H42))),"",IF(COUNTIF(I42:$T42,H42)&gt;0,0,IF(COUNTIF($G42:$T42,"&gt;"&amp;H42)=0,"",SMALL($G42:$T42,COUNTIF($G42:$T42,"&lt;="&amp;H42)+1)-H42)))</f>
        <v/>
      </c>
      <c r="AF42" t="str">
        <f>IF(OR($B42="",NOT(ISNUMBER(I42))),"",IF(COUNTIF(J42:$T42,I42)&gt;0,0,IF(COUNTIF($G42:$T42,"&gt;"&amp;I42)=0,"",SMALL($G42:$T42,COUNTIF($G42:$T42,"&lt;="&amp;I42)+1)-I42)))</f>
        <v/>
      </c>
      <c r="AG42" t="str">
        <f>IF(OR($B42="",NOT(ISNUMBER(J42))),"",IF(COUNTIF(K42:$T42,J42)&gt;0,0,IF(COUNTIF($G42:$T42,"&gt;"&amp;J42)=0,"",SMALL($G42:$T42,COUNTIF($G42:$T42,"&lt;="&amp;J42)+1)-J42)))</f>
        <v/>
      </c>
      <c r="AH42" t="str">
        <f>IF(OR($B42="",NOT(ISNUMBER(K42))),"",IF(COUNTIF(L42:$T42,K42)&gt;0,0,IF(COUNTIF($G42:$T42,"&gt;"&amp;K42)=0,"",SMALL($G42:$T42,COUNTIF($G42:$T42,"&lt;="&amp;K42)+1)-K42)))</f>
        <v/>
      </c>
      <c r="AI42" t="str">
        <f>IF(OR($B42="",NOT(ISNUMBER(L42))),"",IF(COUNTIF(M42:$T42,L42)&gt;0,0,IF(COUNTIF($G42:$T42,"&gt;"&amp;L42)=0,"",SMALL($G42:$T42,COUNTIF($G42:$T42,"&lt;="&amp;L42)+1)-L42)))</f>
        <v/>
      </c>
      <c r="AJ42">
        <f>IF(OR($B42="",NOT(ISNUMBER(M42))),"",IF(COUNTIF(N42:$T42,M42)&gt;0,0,IF(COUNTIF($G42:$T42,"&gt;"&amp;M42)=0,"",SMALL($G42:$T42,COUNTIF($G42:$T42,"&lt;="&amp;M42)+1)-M42)))</f>
        <v>2</v>
      </c>
      <c r="AK42">
        <f>IF(OR($B42="",NOT(ISNUMBER(N42))),"",IF(COUNTIF(O42:$T42,N42)&gt;0,0,IF(COUNTIF($G42:$T42,"&gt;"&amp;N42)=0,"",SMALL($G42:$T42,COUNTIF($G42:$T42,"&lt;="&amp;N42)+1)-N42)))</f>
        <v>0</v>
      </c>
      <c r="AL42" t="str">
        <f>IF(OR($B42="",NOT(ISNUMBER(O42))),"",IF(COUNTIF(P42:$T42,O42)&gt;0,0,IF(COUNTIF($G42:$T42,"&gt;"&amp;O42)=0,"",SMALL($G42:$T42,COUNTIF($G42:$T42,"&lt;="&amp;O42)+1)-O42)))</f>
        <v/>
      </c>
      <c r="AM42" t="str">
        <f>IF(OR($B42="",NOT(ISNUMBER(P42))),"",IF(COUNTIF(Q42:$T42,P42)&gt;0,0,IF(COUNTIF($G42:$T42,"&gt;"&amp;P42)=0,"",SMALL($G42:$T42,COUNTIF($G42:$T42,"&lt;="&amp;P42)+1)-P42)))</f>
        <v/>
      </c>
      <c r="AN42">
        <f>IF(OR($B42="",NOT(ISNUMBER(Q42))),"",IF(COUNTIF(R42:$T42,Q42)&gt;0,0,IF(COUNTIF($G42:$T42,"&gt;"&amp;Q42)=0,"",SMALL($G42:$T42,COUNTIF($G42:$T42,"&lt;="&amp;Q42)+1)-Q42)))</f>
        <v>0</v>
      </c>
      <c r="AO42" t="str">
        <f>IF(OR($B42="",NOT(ISNUMBER(R42))),"",IF(COUNTIF(S42:$T42,R42)&gt;0,0,IF(COUNTIF($G42:$T42,"&gt;"&amp;R42)=0,"",SMALL($G42:$T42,COUNTIF($G42:$T42,"&lt;="&amp;R42)+1)-R42)))</f>
        <v/>
      </c>
      <c r="AP42">
        <f t="shared" ca="1" si="3"/>
        <v>0</v>
      </c>
      <c r="AQ42" s="25" t="str">
        <f t="shared" si="4"/>
        <v/>
      </c>
      <c r="AR42" s="25" t="str">
        <f t="shared" si="5"/>
        <v/>
      </c>
      <c r="AS42" s="25" t="str">
        <f t="shared" si="6"/>
        <v/>
      </c>
      <c r="AT42" s="25" t="str">
        <f t="shared" si="7"/>
        <v/>
      </c>
      <c r="AU42" s="25" t="str">
        <f t="shared" si="8"/>
        <v/>
      </c>
      <c r="AV42" s="25" t="str">
        <f t="shared" si="9"/>
        <v/>
      </c>
      <c r="AW42" s="25">
        <f t="shared" si="10"/>
        <v>46291</v>
      </c>
      <c r="AX42" s="25">
        <f t="shared" si="11"/>
        <v>46291</v>
      </c>
      <c r="AY42" s="25" t="str">
        <f t="shared" si="12"/>
        <v/>
      </c>
      <c r="AZ42" s="25" t="str">
        <f t="shared" si="13"/>
        <v/>
      </c>
      <c r="BA42" s="25">
        <f t="shared" si="14"/>
        <v>46291</v>
      </c>
      <c r="BB42" s="25" t="str">
        <f t="shared" si="15"/>
        <v/>
      </c>
      <c r="BC42" s="25">
        <f t="shared" si="16"/>
        <v>46291</v>
      </c>
    </row>
    <row r="43" spans="1:55" ht="15" customHeight="1" x14ac:dyDescent="0.25">
      <c r="A43" s="151">
        <f t="shared" si="0"/>
        <v>41</v>
      </c>
      <c r="B43" s="151" t="s">
        <v>134</v>
      </c>
      <c r="C43" s="152" t="s">
        <v>88</v>
      </c>
      <c r="D43" s="151">
        <f t="shared" si="1"/>
        <v>1</v>
      </c>
      <c r="E43" s="151" t="s">
        <v>61</v>
      </c>
      <c r="F43" s="173">
        <v>46289</v>
      </c>
      <c r="G43" s="173"/>
      <c r="H43" s="173"/>
      <c r="I43" s="173">
        <v>46289</v>
      </c>
      <c r="J43" s="173">
        <v>46290</v>
      </c>
      <c r="K43" s="173"/>
      <c r="L43" s="173"/>
      <c r="M43" s="173"/>
      <c r="N43" s="173"/>
      <c r="O43" s="173"/>
      <c r="P43" s="173"/>
      <c r="Q43" s="173">
        <v>46291</v>
      </c>
      <c r="R43" s="173"/>
      <c r="S43" s="173"/>
      <c r="T43" s="174">
        <v>46291</v>
      </c>
      <c r="U43" s="151"/>
      <c r="V43" s="152"/>
      <c r="W43" s="175"/>
      <c r="X43" s="173"/>
      <c r="Y43" s="173"/>
      <c r="Z43" s="176" t="str">
        <f>IF(B43="","",IF(S43&lt;&gt;"","Sevk Edildi",IF(AND(X43&lt;&gt;"",Y43=""),"Reworkte",IF(T43&lt;&gt;"","Kapandı"&amp;IF(COUNT(G43:R43)=0,""," – "&amp;LOOKUP(2,1/(G43:R43=MAX(G43:R43)),{"Tasarım","Ply Cutter","Üretim","Kalite (Üretim sonrası)","Talaşlı","Kalite (Talaşlı sonrası)","Montaj","Kalite (Montaj sonrası)","Boya","Kalite (Boya sonrası)","Yarı Mamül","KM"})),IF(COUNT(G43:R43)=0,"Başlamadı",LOOKUP(2,1/(G43:R43=MAX(G43:R43)),{"Tasarımda","Ply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3" s="177">
        <f t="shared" ca="1" si="2"/>
        <v>2</v>
      </c>
      <c r="AB43" s="175"/>
      <c r="AD43" t="str">
        <f>IF(OR($B43="",NOT(ISNUMBER(G43))),"",IF(COUNTIF(H43:$T43,G43)&gt;0,0,IF(COUNTIF($G43:$T43,"&gt;"&amp;G43)=0,"",SMALL($G43:$T43,COUNTIF($G43:$T43,"&lt;="&amp;G43)+1)-G43)))</f>
        <v/>
      </c>
      <c r="AE43" t="str">
        <f>IF(OR($B43="",NOT(ISNUMBER(H43))),"",IF(COUNTIF(I43:$T43,H43)&gt;0,0,IF(COUNTIF($G43:$T43,"&gt;"&amp;H43)=0,"",SMALL($G43:$T43,COUNTIF($G43:$T43,"&lt;="&amp;H43)+1)-H43)))</f>
        <v/>
      </c>
      <c r="AF43">
        <f>IF(OR($B43="",NOT(ISNUMBER(I43))),"",IF(COUNTIF(J43:$T43,I43)&gt;0,0,IF(COUNTIF($G43:$T43,"&gt;"&amp;I43)=0,"",SMALL($G43:$T43,COUNTIF($G43:$T43,"&lt;="&amp;I43)+1)-I43)))</f>
        <v>1</v>
      </c>
      <c r="AG43">
        <f>IF(OR($B43="",NOT(ISNUMBER(J43))),"",IF(COUNTIF(K43:$T43,J43)&gt;0,0,IF(COUNTIF($G43:$T43,"&gt;"&amp;J43)=0,"",SMALL($G43:$T43,COUNTIF($G43:$T43,"&lt;="&amp;J43)+1)-J43)))</f>
        <v>1</v>
      </c>
      <c r="AH43" t="str">
        <f>IF(OR($B43="",NOT(ISNUMBER(K43))),"",IF(COUNTIF(L43:$T43,K43)&gt;0,0,IF(COUNTIF($G43:$T43,"&gt;"&amp;K43)=0,"",SMALL($G43:$T43,COUNTIF($G43:$T43,"&lt;="&amp;K43)+1)-K43)))</f>
        <v/>
      </c>
      <c r="AI43" t="str">
        <f>IF(OR($B43="",NOT(ISNUMBER(L43))),"",IF(COUNTIF(M43:$T43,L43)&gt;0,0,IF(COUNTIF($G43:$T43,"&gt;"&amp;L43)=0,"",SMALL($G43:$T43,COUNTIF($G43:$T43,"&lt;="&amp;L43)+1)-L43)))</f>
        <v/>
      </c>
      <c r="AJ43" t="str">
        <f>IF(OR($B43="",NOT(ISNUMBER(M43))),"",IF(COUNTIF(N43:$T43,M43)&gt;0,0,IF(COUNTIF($G43:$T43,"&gt;"&amp;M43)=0,"",SMALL($G43:$T43,COUNTIF($G43:$T43,"&lt;="&amp;M43)+1)-M43)))</f>
        <v/>
      </c>
      <c r="AK43" t="str">
        <f>IF(OR($B43="",NOT(ISNUMBER(N43))),"",IF(COUNTIF(O43:$T43,N43)&gt;0,0,IF(COUNTIF($G43:$T43,"&gt;"&amp;N43)=0,"",SMALL($G43:$T43,COUNTIF($G43:$T43,"&lt;="&amp;N43)+1)-N43)))</f>
        <v/>
      </c>
      <c r="AL43" t="str">
        <f>IF(OR($B43="",NOT(ISNUMBER(O43))),"",IF(COUNTIF(P43:$T43,O43)&gt;0,0,IF(COUNTIF($G43:$T43,"&gt;"&amp;O43)=0,"",SMALL($G43:$T43,COUNTIF($G43:$T43,"&lt;="&amp;O43)+1)-O43)))</f>
        <v/>
      </c>
      <c r="AM43" t="str">
        <f>IF(OR($B43="",NOT(ISNUMBER(P43))),"",IF(COUNTIF(Q43:$T43,P43)&gt;0,0,IF(COUNTIF($G43:$T43,"&gt;"&amp;P43)=0,"",SMALL($G43:$T43,COUNTIF($G43:$T43,"&lt;="&amp;P43)+1)-P43)))</f>
        <v/>
      </c>
      <c r="AN43">
        <f>IF(OR($B43="",NOT(ISNUMBER(Q43))),"",IF(COUNTIF(R43:$T43,Q43)&gt;0,0,IF(COUNTIF($G43:$T43,"&gt;"&amp;Q43)=0,"",SMALL($G43:$T43,COUNTIF($G43:$T43,"&lt;="&amp;Q43)+1)-Q43)))</f>
        <v>0</v>
      </c>
      <c r="AO43" t="str">
        <f>IF(OR($B43="",NOT(ISNUMBER(R43))),"",IF(COUNTIF(S43:$T43,R43)&gt;0,0,IF(COUNTIF($G43:$T43,"&gt;"&amp;R43)=0,"",SMALL($G43:$T43,COUNTIF($G43:$T43,"&lt;="&amp;R43)+1)-R43)))</f>
        <v/>
      </c>
      <c r="AP43">
        <f t="shared" ca="1" si="3"/>
        <v>0</v>
      </c>
      <c r="AQ43" s="25" t="str">
        <f t="shared" si="4"/>
        <v/>
      </c>
      <c r="AR43" s="25" t="str">
        <f t="shared" si="5"/>
        <v/>
      </c>
      <c r="AS43" s="25">
        <f t="shared" si="6"/>
        <v>46290</v>
      </c>
      <c r="AT43" s="25">
        <f t="shared" si="7"/>
        <v>46291</v>
      </c>
      <c r="AU43" s="25" t="str">
        <f t="shared" si="8"/>
        <v/>
      </c>
      <c r="AV43" s="25" t="str">
        <f t="shared" si="9"/>
        <v/>
      </c>
      <c r="AW43" s="25" t="str">
        <f t="shared" si="10"/>
        <v/>
      </c>
      <c r="AX43" s="25" t="str">
        <f t="shared" si="11"/>
        <v/>
      </c>
      <c r="AY43" s="25" t="str">
        <f t="shared" si="12"/>
        <v/>
      </c>
      <c r="AZ43" s="25" t="str">
        <f t="shared" si="13"/>
        <v/>
      </c>
      <c r="BA43" s="25">
        <f t="shared" si="14"/>
        <v>46291</v>
      </c>
      <c r="BB43" s="25" t="str">
        <f t="shared" si="15"/>
        <v/>
      </c>
      <c r="BC43" s="25">
        <f t="shared" si="16"/>
        <v>46291</v>
      </c>
    </row>
    <row r="44" spans="1:55" ht="15" customHeight="1" x14ac:dyDescent="0.25">
      <c r="A44" s="151">
        <f t="shared" si="0"/>
        <v>42</v>
      </c>
      <c r="B44" s="151" t="s">
        <v>135</v>
      </c>
      <c r="C44" s="152" t="s">
        <v>90</v>
      </c>
      <c r="D44" s="151">
        <f t="shared" si="1"/>
        <v>1</v>
      </c>
      <c r="E44" s="151" t="s">
        <v>61</v>
      </c>
      <c r="F44" s="173">
        <v>46289</v>
      </c>
      <c r="G44" s="173"/>
      <c r="H44" s="173"/>
      <c r="I44" s="173">
        <v>46289</v>
      </c>
      <c r="J44" s="173">
        <v>46290</v>
      </c>
      <c r="K44" s="173"/>
      <c r="L44" s="173"/>
      <c r="M44" s="173"/>
      <c r="N44" s="173"/>
      <c r="O44" s="173"/>
      <c r="P44" s="173"/>
      <c r="Q44" s="173">
        <v>46291</v>
      </c>
      <c r="R44" s="173"/>
      <c r="S44" s="173"/>
      <c r="T44" s="174">
        <v>46291</v>
      </c>
      <c r="U44" s="151"/>
      <c r="V44" s="152"/>
      <c r="W44" s="175"/>
      <c r="X44" s="173"/>
      <c r="Y44" s="173"/>
      <c r="Z44" s="176" t="str">
        <f>IF(B44="","",IF(S44&lt;&gt;"","Sevk Edildi",IF(AND(X44&lt;&gt;"",Y44=""),"Reworkte",IF(T44&lt;&gt;"","Kapandı"&amp;IF(COUNT(G44:R44)=0,""," – "&amp;LOOKUP(2,1/(G44:R44=MAX(G44:R44)),{"Tasarım","Ply Cutter","Üretim","Kalite (Üretim sonrası)","Talaşlı","Kalite (Talaşlı sonrası)","Montaj","Kalite (Montaj sonrası)","Boya","Kalite (Boya sonrası)","Yarı Mamül","KM"})),IF(COUNT(G44:R44)=0,"Başlamadı",LOOKUP(2,1/(G44:R44=MAX(G44:R44)),{"Tasarımda","Ply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4" s="177">
        <f t="shared" ca="1" si="2"/>
        <v>2</v>
      </c>
      <c r="AB44" s="175"/>
      <c r="AD44" t="str">
        <f>IF(OR($B44="",NOT(ISNUMBER(G44))),"",IF(COUNTIF(H44:$T44,G44)&gt;0,0,IF(COUNTIF($G44:$T44,"&gt;"&amp;G44)=0,"",SMALL($G44:$T44,COUNTIF($G44:$T44,"&lt;="&amp;G44)+1)-G44)))</f>
        <v/>
      </c>
      <c r="AE44" t="str">
        <f>IF(OR($B44="",NOT(ISNUMBER(H44))),"",IF(COUNTIF(I44:$T44,H44)&gt;0,0,IF(COUNTIF($G44:$T44,"&gt;"&amp;H44)=0,"",SMALL($G44:$T44,COUNTIF($G44:$T44,"&lt;="&amp;H44)+1)-H44)))</f>
        <v/>
      </c>
      <c r="AF44">
        <f>IF(OR($B44="",NOT(ISNUMBER(I44))),"",IF(COUNTIF(J44:$T44,I44)&gt;0,0,IF(COUNTIF($G44:$T44,"&gt;"&amp;I44)=0,"",SMALL($G44:$T44,COUNTIF($G44:$T44,"&lt;="&amp;I44)+1)-I44)))</f>
        <v>1</v>
      </c>
      <c r="AG44">
        <f>IF(OR($B44="",NOT(ISNUMBER(J44))),"",IF(COUNTIF(K44:$T44,J44)&gt;0,0,IF(COUNTIF($G44:$T44,"&gt;"&amp;J44)=0,"",SMALL($G44:$T44,COUNTIF($G44:$T44,"&lt;="&amp;J44)+1)-J44)))</f>
        <v>1</v>
      </c>
      <c r="AH44" t="str">
        <f>IF(OR($B44="",NOT(ISNUMBER(K44))),"",IF(COUNTIF(L44:$T44,K44)&gt;0,0,IF(COUNTIF($G44:$T44,"&gt;"&amp;K44)=0,"",SMALL($G44:$T44,COUNTIF($G44:$T44,"&lt;="&amp;K44)+1)-K44)))</f>
        <v/>
      </c>
      <c r="AI44" t="str">
        <f>IF(OR($B44="",NOT(ISNUMBER(L44))),"",IF(COUNTIF(M44:$T44,L44)&gt;0,0,IF(COUNTIF($G44:$T44,"&gt;"&amp;L44)=0,"",SMALL($G44:$T44,COUNTIF($G44:$T44,"&lt;="&amp;L44)+1)-L44)))</f>
        <v/>
      </c>
      <c r="AJ44" t="str">
        <f>IF(OR($B44="",NOT(ISNUMBER(M44))),"",IF(COUNTIF(N44:$T44,M44)&gt;0,0,IF(COUNTIF($G44:$T44,"&gt;"&amp;M44)=0,"",SMALL($G44:$T44,COUNTIF($G44:$T44,"&lt;="&amp;M44)+1)-M44)))</f>
        <v/>
      </c>
      <c r="AK44" t="str">
        <f>IF(OR($B44="",NOT(ISNUMBER(N44))),"",IF(COUNTIF(O44:$T44,N44)&gt;0,0,IF(COUNTIF($G44:$T44,"&gt;"&amp;N44)=0,"",SMALL($G44:$T44,COUNTIF($G44:$T44,"&lt;="&amp;N44)+1)-N44)))</f>
        <v/>
      </c>
      <c r="AL44" t="str">
        <f>IF(OR($B44="",NOT(ISNUMBER(O44))),"",IF(COUNTIF(P44:$T44,O44)&gt;0,0,IF(COUNTIF($G44:$T44,"&gt;"&amp;O44)=0,"",SMALL($G44:$T44,COUNTIF($G44:$T44,"&lt;="&amp;O44)+1)-O44)))</f>
        <v/>
      </c>
      <c r="AM44" t="str">
        <f>IF(OR($B44="",NOT(ISNUMBER(P44))),"",IF(COUNTIF(Q44:$T44,P44)&gt;0,0,IF(COUNTIF($G44:$T44,"&gt;"&amp;P44)=0,"",SMALL($G44:$T44,COUNTIF($G44:$T44,"&lt;="&amp;P44)+1)-P44)))</f>
        <v/>
      </c>
      <c r="AN44">
        <f>IF(OR($B44="",NOT(ISNUMBER(Q44))),"",IF(COUNTIF(R44:$T44,Q44)&gt;0,0,IF(COUNTIF($G44:$T44,"&gt;"&amp;Q44)=0,"",SMALL($G44:$T44,COUNTIF($G44:$T44,"&lt;="&amp;Q44)+1)-Q44)))</f>
        <v>0</v>
      </c>
      <c r="AO44" t="str">
        <f>IF(OR($B44="",NOT(ISNUMBER(R44))),"",IF(COUNTIF(S44:$T44,R44)&gt;0,0,IF(COUNTIF($G44:$T44,"&gt;"&amp;R44)=0,"",SMALL($G44:$T44,COUNTIF($G44:$T44,"&lt;="&amp;R44)+1)-R44)))</f>
        <v/>
      </c>
      <c r="AP44">
        <f t="shared" ca="1" si="3"/>
        <v>0</v>
      </c>
      <c r="AQ44" s="25" t="str">
        <f t="shared" si="4"/>
        <v/>
      </c>
      <c r="AR44" s="25" t="str">
        <f t="shared" si="5"/>
        <v/>
      </c>
      <c r="AS44" s="25">
        <f t="shared" si="6"/>
        <v>46290</v>
      </c>
      <c r="AT44" s="25">
        <f t="shared" si="7"/>
        <v>46291</v>
      </c>
      <c r="AU44" s="25" t="str">
        <f t="shared" si="8"/>
        <v/>
      </c>
      <c r="AV44" s="25" t="str">
        <f t="shared" si="9"/>
        <v/>
      </c>
      <c r="AW44" s="25" t="str">
        <f t="shared" si="10"/>
        <v/>
      </c>
      <c r="AX44" s="25" t="str">
        <f t="shared" si="11"/>
        <v/>
      </c>
      <c r="AY44" s="25" t="str">
        <f t="shared" si="12"/>
        <v/>
      </c>
      <c r="AZ44" s="25" t="str">
        <f t="shared" si="13"/>
        <v/>
      </c>
      <c r="BA44" s="25">
        <f t="shared" si="14"/>
        <v>46291</v>
      </c>
      <c r="BB44" s="25" t="str">
        <f t="shared" si="15"/>
        <v/>
      </c>
      <c r="BC44" s="25">
        <f t="shared" si="16"/>
        <v>46291</v>
      </c>
    </row>
    <row r="45" spans="1:55" ht="15" customHeight="1" x14ac:dyDescent="0.25">
      <c r="A45" s="151">
        <f t="shared" si="0"/>
        <v>43</v>
      </c>
      <c r="B45" s="151" t="s">
        <v>136</v>
      </c>
      <c r="C45" s="152" t="s">
        <v>137</v>
      </c>
      <c r="D45" s="151">
        <f t="shared" si="1"/>
        <v>1</v>
      </c>
      <c r="E45" s="151" t="s">
        <v>61</v>
      </c>
      <c r="F45" s="173">
        <v>46289</v>
      </c>
      <c r="G45" s="173"/>
      <c r="H45" s="173"/>
      <c r="I45" s="173">
        <v>46289</v>
      </c>
      <c r="J45" s="173">
        <v>46293</v>
      </c>
      <c r="K45" s="173"/>
      <c r="L45" s="173"/>
      <c r="M45" s="173"/>
      <c r="N45" s="173"/>
      <c r="O45" s="173"/>
      <c r="P45" s="173"/>
      <c r="Q45" s="173"/>
      <c r="R45" s="173"/>
      <c r="S45" s="173"/>
      <c r="T45" s="174">
        <v>46293</v>
      </c>
      <c r="U45" s="151"/>
      <c r="V45" s="152"/>
      <c r="W45" s="175"/>
      <c r="X45" s="173"/>
      <c r="Y45" s="173"/>
      <c r="Z45" s="176" t="str">
        <f>IF(B45="","",IF(S45&lt;&gt;"","Sevk Edildi",IF(AND(X45&lt;&gt;"",Y45=""),"Reworkte",IF(T45&lt;&gt;"","Kapandı"&amp;IF(COUNT(G45:R45)=0,""," – "&amp;LOOKUP(2,1/(G45:R45=MAX(G45:R45)),{"Tasarım","Ply Cutter","Üretim","Kalite (Üretim sonrası)","Talaşlı","Kalite (Talaşlı sonrası)","Montaj","Kalite (Montaj sonrası)","Boya","Kalite (Boya sonrası)","Yarı Mamül","KM"})),IF(COUNT(G45:R45)=0,"Başlamadı",LOOKUP(2,1/(G45:R45=MAX(G45:R45)),{"Tasarımda","Ply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5" s="177">
        <f t="shared" ca="1" si="2"/>
        <v>4</v>
      </c>
      <c r="AB45" s="175"/>
      <c r="AD45" t="str">
        <f>IF(OR($B45="",NOT(ISNUMBER(G45))),"",IF(COUNTIF(H45:$T45,G45)&gt;0,0,IF(COUNTIF($G45:$T45,"&gt;"&amp;G45)=0,"",SMALL($G45:$T45,COUNTIF($G45:$T45,"&lt;="&amp;G45)+1)-G45)))</f>
        <v/>
      </c>
      <c r="AE45" t="str">
        <f>IF(OR($B45="",NOT(ISNUMBER(H45))),"",IF(COUNTIF(I45:$T45,H45)&gt;0,0,IF(COUNTIF($G45:$T45,"&gt;"&amp;H45)=0,"",SMALL($G45:$T45,COUNTIF($G45:$T45,"&lt;="&amp;H45)+1)-H45)))</f>
        <v/>
      </c>
      <c r="AF45">
        <f>IF(OR($B45="",NOT(ISNUMBER(I45))),"",IF(COUNTIF(J45:$T45,I45)&gt;0,0,IF(COUNTIF($G45:$T45,"&gt;"&amp;I45)=0,"",SMALL($G45:$T45,COUNTIF($G45:$T45,"&lt;="&amp;I45)+1)-I45)))</f>
        <v>4</v>
      </c>
      <c r="AG45">
        <f>IF(OR($B45="",NOT(ISNUMBER(J45))),"",IF(COUNTIF(K45:$T45,J45)&gt;0,0,IF(COUNTIF($G45:$T45,"&gt;"&amp;J45)=0,"",SMALL($G45:$T45,COUNTIF($G45:$T45,"&lt;="&amp;J45)+1)-J45)))</f>
        <v>0</v>
      </c>
      <c r="AH45" t="str">
        <f>IF(OR($B45="",NOT(ISNUMBER(K45))),"",IF(COUNTIF(L45:$T45,K45)&gt;0,0,IF(COUNTIF($G45:$T45,"&gt;"&amp;K45)=0,"",SMALL($G45:$T45,COUNTIF($G45:$T45,"&lt;="&amp;K45)+1)-K45)))</f>
        <v/>
      </c>
      <c r="AI45" t="str">
        <f>IF(OR($B45="",NOT(ISNUMBER(L45))),"",IF(COUNTIF(M45:$T45,L45)&gt;0,0,IF(COUNTIF($G45:$T45,"&gt;"&amp;L45)=0,"",SMALL($G45:$T45,COUNTIF($G45:$T45,"&lt;="&amp;L45)+1)-L45)))</f>
        <v/>
      </c>
      <c r="AJ45" t="str">
        <f>IF(OR($B45="",NOT(ISNUMBER(M45))),"",IF(COUNTIF(N45:$T45,M45)&gt;0,0,IF(COUNTIF($G45:$T45,"&gt;"&amp;M45)=0,"",SMALL($G45:$T45,COUNTIF($G45:$T45,"&lt;="&amp;M45)+1)-M45)))</f>
        <v/>
      </c>
      <c r="AK45" t="str">
        <f>IF(OR($B45="",NOT(ISNUMBER(N45))),"",IF(COUNTIF(O45:$T45,N45)&gt;0,0,IF(COUNTIF($G45:$T45,"&gt;"&amp;N45)=0,"",SMALL($G45:$T45,COUNTIF($G45:$T45,"&lt;="&amp;N45)+1)-N45)))</f>
        <v/>
      </c>
      <c r="AL45" t="str">
        <f>IF(OR($B45="",NOT(ISNUMBER(O45))),"",IF(COUNTIF(P45:$T45,O45)&gt;0,0,IF(COUNTIF($G45:$T45,"&gt;"&amp;O45)=0,"",SMALL($G45:$T45,COUNTIF($G45:$T45,"&lt;="&amp;O45)+1)-O45)))</f>
        <v/>
      </c>
      <c r="AM45" t="str">
        <f>IF(OR($B45="",NOT(ISNUMBER(P45))),"",IF(COUNTIF(Q45:$T45,P45)&gt;0,0,IF(COUNTIF($G45:$T45,"&gt;"&amp;P45)=0,"",SMALL($G45:$T45,COUNTIF($G45:$T45,"&lt;="&amp;P45)+1)-P45)))</f>
        <v/>
      </c>
      <c r="AN45" t="str">
        <f>IF(OR($B45="",NOT(ISNUMBER(Q45))),"",IF(COUNTIF(R45:$T45,Q45)&gt;0,0,IF(COUNTIF($G45:$T45,"&gt;"&amp;Q45)=0,"",SMALL($G45:$T45,COUNTIF($G45:$T45,"&lt;="&amp;Q45)+1)-Q45)))</f>
        <v/>
      </c>
      <c r="AO45" t="str">
        <f>IF(OR($B45="",NOT(ISNUMBER(R45))),"",IF(COUNTIF(S45:$T45,R45)&gt;0,0,IF(COUNTIF($G45:$T45,"&gt;"&amp;R45)=0,"",SMALL($G45:$T45,COUNTIF($G45:$T45,"&lt;="&amp;R45)+1)-R45)))</f>
        <v/>
      </c>
      <c r="AP45">
        <f t="shared" ca="1" si="3"/>
        <v>0</v>
      </c>
      <c r="AQ45" s="25" t="str">
        <f t="shared" si="4"/>
        <v/>
      </c>
      <c r="AR45" s="25" t="str">
        <f t="shared" si="5"/>
        <v/>
      </c>
      <c r="AS45" s="25">
        <f t="shared" si="6"/>
        <v>46293</v>
      </c>
      <c r="AT45" s="25">
        <f t="shared" si="7"/>
        <v>46293</v>
      </c>
      <c r="AU45" s="25" t="str">
        <f t="shared" si="8"/>
        <v/>
      </c>
      <c r="AV45" s="25" t="str">
        <f t="shared" si="9"/>
        <v/>
      </c>
      <c r="AW45" s="25" t="str">
        <f t="shared" si="10"/>
        <v/>
      </c>
      <c r="AX45" s="25" t="str">
        <f t="shared" si="11"/>
        <v/>
      </c>
      <c r="AY45" s="25" t="str">
        <f t="shared" si="12"/>
        <v/>
      </c>
      <c r="AZ45" s="25" t="str">
        <f t="shared" si="13"/>
        <v/>
      </c>
      <c r="BA45" s="25" t="str">
        <f t="shared" si="14"/>
        <v/>
      </c>
      <c r="BB45" s="25" t="str">
        <f t="shared" si="15"/>
        <v/>
      </c>
      <c r="BC45" s="25">
        <f t="shared" si="16"/>
        <v>46293</v>
      </c>
    </row>
    <row r="46" spans="1:55" ht="15" customHeight="1" x14ac:dyDescent="0.25">
      <c r="A46" s="151">
        <f t="shared" si="0"/>
        <v>44</v>
      </c>
      <c r="B46" s="151" t="s">
        <v>138</v>
      </c>
      <c r="C46" s="152" t="s">
        <v>94</v>
      </c>
      <c r="D46" s="151">
        <f t="shared" si="1"/>
        <v>1</v>
      </c>
      <c r="E46" s="151" t="s">
        <v>61</v>
      </c>
      <c r="F46" s="173">
        <v>46289</v>
      </c>
      <c r="G46" s="173"/>
      <c r="H46" s="173"/>
      <c r="I46" s="173">
        <v>46289</v>
      </c>
      <c r="J46" s="173">
        <v>46291</v>
      </c>
      <c r="K46" s="173"/>
      <c r="L46" s="173"/>
      <c r="M46" s="173"/>
      <c r="N46" s="173"/>
      <c r="O46" s="173"/>
      <c r="P46" s="173"/>
      <c r="Q46" s="173">
        <v>46293</v>
      </c>
      <c r="R46" s="173"/>
      <c r="S46" s="173"/>
      <c r="T46" s="174">
        <v>46293</v>
      </c>
      <c r="U46" s="151"/>
      <c r="V46" s="152"/>
      <c r="W46" s="175"/>
      <c r="X46" s="173"/>
      <c r="Y46" s="173"/>
      <c r="Z46" s="176" t="str">
        <f>IF(B46="","",IF(S46&lt;&gt;"","Sevk Edildi",IF(AND(X46&lt;&gt;"",Y46=""),"Reworkte",IF(T46&lt;&gt;"","Kapandı"&amp;IF(COUNT(G46:R46)=0,""," – "&amp;LOOKUP(2,1/(G46:R46=MAX(G46:R46)),{"Tasarım","Ply Cutter","Üretim","Kalite (Üretim sonrası)","Talaşlı","Kalite (Talaşlı sonrası)","Montaj","Kalite (Montaj sonrası)","Boya","Kalite (Boya sonrası)","Yarı Mamül","KM"})),IF(COUNT(G46:R46)=0,"Başlamadı",LOOKUP(2,1/(G46:R46=MAX(G46:R46)),{"Tasarımda","Ply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6" s="177">
        <f t="shared" ca="1" si="2"/>
        <v>4</v>
      </c>
      <c r="AB46" s="175"/>
      <c r="AD46" t="str">
        <f>IF(OR($B46="",NOT(ISNUMBER(G46))),"",IF(COUNTIF(H46:$T46,G46)&gt;0,0,IF(COUNTIF($G46:$T46,"&gt;"&amp;G46)=0,"",SMALL($G46:$T46,COUNTIF($G46:$T46,"&lt;="&amp;G46)+1)-G46)))</f>
        <v/>
      </c>
      <c r="AE46" t="str">
        <f>IF(OR($B46="",NOT(ISNUMBER(H46))),"",IF(COUNTIF(I46:$T46,H46)&gt;0,0,IF(COUNTIF($G46:$T46,"&gt;"&amp;H46)=0,"",SMALL($G46:$T46,COUNTIF($G46:$T46,"&lt;="&amp;H46)+1)-H46)))</f>
        <v/>
      </c>
      <c r="AF46">
        <f>IF(OR($B46="",NOT(ISNUMBER(I46))),"",IF(COUNTIF(J46:$T46,I46)&gt;0,0,IF(COUNTIF($G46:$T46,"&gt;"&amp;I46)=0,"",SMALL($G46:$T46,COUNTIF($G46:$T46,"&lt;="&amp;I46)+1)-I46)))</f>
        <v>2</v>
      </c>
      <c r="AG46">
        <f>IF(OR($B46="",NOT(ISNUMBER(J46))),"",IF(COUNTIF(K46:$T46,J46)&gt;0,0,IF(COUNTIF($G46:$T46,"&gt;"&amp;J46)=0,"",SMALL($G46:$T46,COUNTIF($G46:$T46,"&lt;="&amp;J46)+1)-J46)))</f>
        <v>2</v>
      </c>
      <c r="AH46" t="str">
        <f>IF(OR($B46="",NOT(ISNUMBER(K46))),"",IF(COUNTIF(L46:$T46,K46)&gt;0,0,IF(COUNTIF($G46:$T46,"&gt;"&amp;K46)=0,"",SMALL($G46:$T46,COUNTIF($G46:$T46,"&lt;="&amp;K46)+1)-K46)))</f>
        <v/>
      </c>
      <c r="AI46" t="str">
        <f>IF(OR($B46="",NOT(ISNUMBER(L46))),"",IF(COUNTIF(M46:$T46,L46)&gt;0,0,IF(COUNTIF($G46:$T46,"&gt;"&amp;L46)=0,"",SMALL($G46:$T46,COUNTIF($G46:$T46,"&lt;="&amp;L46)+1)-L46)))</f>
        <v/>
      </c>
      <c r="AJ46" t="str">
        <f>IF(OR($B46="",NOT(ISNUMBER(M46))),"",IF(COUNTIF(N46:$T46,M46)&gt;0,0,IF(COUNTIF($G46:$T46,"&gt;"&amp;M46)=0,"",SMALL($G46:$T46,COUNTIF($G46:$T46,"&lt;="&amp;M46)+1)-M46)))</f>
        <v/>
      </c>
      <c r="AK46" t="str">
        <f>IF(OR($B46="",NOT(ISNUMBER(N46))),"",IF(COUNTIF(O46:$T46,N46)&gt;0,0,IF(COUNTIF($G46:$T46,"&gt;"&amp;N46)=0,"",SMALL($G46:$T46,COUNTIF($G46:$T46,"&lt;="&amp;N46)+1)-N46)))</f>
        <v/>
      </c>
      <c r="AL46" t="str">
        <f>IF(OR($B46="",NOT(ISNUMBER(O46))),"",IF(COUNTIF(P46:$T46,O46)&gt;0,0,IF(COUNTIF($G46:$T46,"&gt;"&amp;O46)=0,"",SMALL($G46:$T46,COUNTIF($G46:$T46,"&lt;="&amp;O46)+1)-O46)))</f>
        <v/>
      </c>
      <c r="AM46" t="str">
        <f>IF(OR($B46="",NOT(ISNUMBER(P46))),"",IF(COUNTIF(Q46:$T46,P46)&gt;0,0,IF(COUNTIF($G46:$T46,"&gt;"&amp;P46)=0,"",SMALL($G46:$T46,COUNTIF($G46:$T46,"&lt;="&amp;P46)+1)-P46)))</f>
        <v/>
      </c>
      <c r="AN46">
        <f>IF(OR($B46="",NOT(ISNUMBER(Q46))),"",IF(COUNTIF(R46:$T46,Q46)&gt;0,0,IF(COUNTIF($G46:$T46,"&gt;"&amp;Q46)=0,"",SMALL($G46:$T46,COUNTIF($G46:$T46,"&lt;="&amp;Q46)+1)-Q46)))</f>
        <v>0</v>
      </c>
      <c r="AO46" t="str">
        <f>IF(OR($B46="",NOT(ISNUMBER(R46))),"",IF(COUNTIF(S46:$T46,R46)&gt;0,0,IF(COUNTIF($G46:$T46,"&gt;"&amp;R46)=0,"",SMALL($G46:$T46,COUNTIF($G46:$T46,"&lt;="&amp;R46)+1)-R46)))</f>
        <v/>
      </c>
      <c r="AP46">
        <f t="shared" ca="1" si="3"/>
        <v>0</v>
      </c>
      <c r="AQ46" s="25" t="str">
        <f t="shared" si="4"/>
        <v/>
      </c>
      <c r="AR46" s="25" t="str">
        <f t="shared" si="5"/>
        <v/>
      </c>
      <c r="AS46" s="25">
        <f t="shared" si="6"/>
        <v>46291</v>
      </c>
      <c r="AT46" s="25">
        <f t="shared" si="7"/>
        <v>46293</v>
      </c>
      <c r="AU46" s="25" t="str">
        <f t="shared" si="8"/>
        <v/>
      </c>
      <c r="AV46" s="25" t="str">
        <f t="shared" si="9"/>
        <v/>
      </c>
      <c r="AW46" s="25" t="str">
        <f t="shared" si="10"/>
        <v/>
      </c>
      <c r="AX46" s="25" t="str">
        <f t="shared" si="11"/>
        <v/>
      </c>
      <c r="AY46" s="25" t="str">
        <f t="shared" si="12"/>
        <v/>
      </c>
      <c r="AZ46" s="25" t="str">
        <f t="shared" si="13"/>
        <v/>
      </c>
      <c r="BA46" s="25">
        <f t="shared" si="14"/>
        <v>46293</v>
      </c>
      <c r="BB46" s="25" t="str">
        <f t="shared" si="15"/>
        <v/>
      </c>
      <c r="BC46" s="25">
        <f t="shared" si="16"/>
        <v>46293</v>
      </c>
    </row>
    <row r="47" spans="1:55" ht="15" customHeight="1" x14ac:dyDescent="0.25">
      <c r="A47" s="151">
        <f t="shared" si="0"/>
        <v>45</v>
      </c>
      <c r="B47" s="151" t="s">
        <v>139</v>
      </c>
      <c r="C47" s="152" t="s">
        <v>94</v>
      </c>
      <c r="D47" s="151">
        <f t="shared" si="1"/>
        <v>1</v>
      </c>
      <c r="E47" s="151" t="s">
        <v>61</v>
      </c>
      <c r="F47" s="173">
        <v>46289</v>
      </c>
      <c r="G47" s="173"/>
      <c r="H47" s="173"/>
      <c r="I47" s="173">
        <v>46289</v>
      </c>
      <c r="J47" s="173">
        <v>46291</v>
      </c>
      <c r="K47" s="173"/>
      <c r="L47" s="173"/>
      <c r="M47" s="173"/>
      <c r="N47" s="173"/>
      <c r="O47" s="173"/>
      <c r="P47" s="173"/>
      <c r="Q47" s="173">
        <v>46293</v>
      </c>
      <c r="R47" s="173"/>
      <c r="S47" s="173"/>
      <c r="T47" s="174">
        <v>46293</v>
      </c>
      <c r="U47" s="151"/>
      <c r="V47" s="152"/>
      <c r="W47" s="175"/>
      <c r="X47" s="173"/>
      <c r="Y47" s="173"/>
      <c r="Z47" s="176" t="str">
        <f>IF(B47="","",IF(S47&lt;&gt;"","Sevk Edildi",IF(AND(X47&lt;&gt;"",Y47=""),"Reworkte",IF(T47&lt;&gt;"","Kapandı"&amp;IF(COUNT(G47:R47)=0,""," – "&amp;LOOKUP(2,1/(G47:R47=MAX(G47:R47)),{"Tasarım","Ply Cutter","Üretim","Kalite (Üretim sonrası)","Talaşlı","Kalite (Talaşlı sonrası)","Montaj","Kalite (Montaj sonrası)","Boya","Kalite (Boya sonrası)","Yarı Mamül","KM"})),IF(COUNT(G47:R47)=0,"Başlamadı",LOOKUP(2,1/(G47:R47=MAX(G47:R47)),{"Tasarımda","Ply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7" s="177">
        <f t="shared" ca="1" si="2"/>
        <v>4</v>
      </c>
      <c r="AB47" s="175"/>
      <c r="AD47" t="str">
        <f>IF(OR($B47="",NOT(ISNUMBER(G47))),"",IF(COUNTIF(H47:$T47,G47)&gt;0,0,IF(COUNTIF($G47:$T47,"&gt;"&amp;G47)=0,"",SMALL($G47:$T47,COUNTIF($G47:$T47,"&lt;="&amp;G47)+1)-G47)))</f>
        <v/>
      </c>
      <c r="AE47" t="str">
        <f>IF(OR($B47="",NOT(ISNUMBER(H47))),"",IF(COUNTIF(I47:$T47,H47)&gt;0,0,IF(COUNTIF($G47:$T47,"&gt;"&amp;H47)=0,"",SMALL($G47:$T47,COUNTIF($G47:$T47,"&lt;="&amp;H47)+1)-H47)))</f>
        <v/>
      </c>
      <c r="AF47">
        <f>IF(OR($B47="",NOT(ISNUMBER(I47))),"",IF(COUNTIF(J47:$T47,I47)&gt;0,0,IF(COUNTIF($G47:$T47,"&gt;"&amp;I47)=0,"",SMALL($G47:$T47,COUNTIF($G47:$T47,"&lt;="&amp;I47)+1)-I47)))</f>
        <v>2</v>
      </c>
      <c r="AG47">
        <f>IF(OR($B47="",NOT(ISNUMBER(J47))),"",IF(COUNTIF(K47:$T47,J47)&gt;0,0,IF(COUNTIF($G47:$T47,"&gt;"&amp;J47)=0,"",SMALL($G47:$T47,COUNTIF($G47:$T47,"&lt;="&amp;J47)+1)-J47)))</f>
        <v>2</v>
      </c>
      <c r="AH47" t="str">
        <f>IF(OR($B47="",NOT(ISNUMBER(K47))),"",IF(COUNTIF(L47:$T47,K47)&gt;0,0,IF(COUNTIF($G47:$T47,"&gt;"&amp;K47)=0,"",SMALL($G47:$T47,COUNTIF($G47:$T47,"&lt;="&amp;K47)+1)-K47)))</f>
        <v/>
      </c>
      <c r="AI47" t="str">
        <f>IF(OR($B47="",NOT(ISNUMBER(L47))),"",IF(COUNTIF(M47:$T47,L47)&gt;0,0,IF(COUNTIF($G47:$T47,"&gt;"&amp;L47)=0,"",SMALL($G47:$T47,COUNTIF($G47:$T47,"&lt;="&amp;L47)+1)-L47)))</f>
        <v/>
      </c>
      <c r="AJ47" t="str">
        <f>IF(OR($B47="",NOT(ISNUMBER(M47))),"",IF(COUNTIF(N47:$T47,M47)&gt;0,0,IF(COUNTIF($G47:$T47,"&gt;"&amp;M47)=0,"",SMALL($G47:$T47,COUNTIF($G47:$T47,"&lt;="&amp;M47)+1)-M47)))</f>
        <v/>
      </c>
      <c r="AK47" t="str">
        <f>IF(OR($B47="",NOT(ISNUMBER(N47))),"",IF(COUNTIF(O47:$T47,N47)&gt;0,0,IF(COUNTIF($G47:$T47,"&gt;"&amp;N47)=0,"",SMALL($G47:$T47,COUNTIF($G47:$T47,"&lt;="&amp;N47)+1)-N47)))</f>
        <v/>
      </c>
      <c r="AL47" t="str">
        <f>IF(OR($B47="",NOT(ISNUMBER(O47))),"",IF(COUNTIF(P47:$T47,O47)&gt;0,0,IF(COUNTIF($G47:$T47,"&gt;"&amp;O47)=0,"",SMALL($G47:$T47,COUNTIF($G47:$T47,"&lt;="&amp;O47)+1)-O47)))</f>
        <v/>
      </c>
      <c r="AM47" t="str">
        <f>IF(OR($B47="",NOT(ISNUMBER(P47))),"",IF(COUNTIF(Q47:$T47,P47)&gt;0,0,IF(COUNTIF($G47:$T47,"&gt;"&amp;P47)=0,"",SMALL($G47:$T47,COUNTIF($G47:$T47,"&lt;="&amp;P47)+1)-P47)))</f>
        <v/>
      </c>
      <c r="AN47">
        <f>IF(OR($B47="",NOT(ISNUMBER(Q47))),"",IF(COUNTIF(R47:$T47,Q47)&gt;0,0,IF(COUNTIF($G47:$T47,"&gt;"&amp;Q47)=0,"",SMALL($G47:$T47,COUNTIF($G47:$T47,"&lt;="&amp;Q47)+1)-Q47)))</f>
        <v>0</v>
      </c>
      <c r="AO47" t="str">
        <f>IF(OR($B47="",NOT(ISNUMBER(R47))),"",IF(COUNTIF(S47:$T47,R47)&gt;0,0,IF(COUNTIF($G47:$T47,"&gt;"&amp;R47)=0,"",SMALL($G47:$T47,COUNTIF($G47:$T47,"&lt;="&amp;R47)+1)-R47)))</f>
        <v/>
      </c>
      <c r="AP47">
        <f t="shared" ca="1" si="3"/>
        <v>0</v>
      </c>
      <c r="AQ47" s="25" t="str">
        <f t="shared" si="4"/>
        <v/>
      </c>
      <c r="AR47" s="25" t="str">
        <f t="shared" si="5"/>
        <v/>
      </c>
      <c r="AS47" s="25">
        <f t="shared" si="6"/>
        <v>46291</v>
      </c>
      <c r="AT47" s="25">
        <f t="shared" si="7"/>
        <v>46293</v>
      </c>
      <c r="AU47" s="25" t="str">
        <f t="shared" si="8"/>
        <v/>
      </c>
      <c r="AV47" s="25" t="str">
        <f t="shared" si="9"/>
        <v/>
      </c>
      <c r="AW47" s="25" t="str">
        <f t="shared" si="10"/>
        <v/>
      </c>
      <c r="AX47" s="25" t="str">
        <f t="shared" si="11"/>
        <v/>
      </c>
      <c r="AY47" s="25" t="str">
        <f t="shared" si="12"/>
        <v/>
      </c>
      <c r="AZ47" s="25" t="str">
        <f t="shared" si="13"/>
        <v/>
      </c>
      <c r="BA47" s="25">
        <f t="shared" si="14"/>
        <v>46293</v>
      </c>
      <c r="BB47" s="25" t="str">
        <f t="shared" si="15"/>
        <v/>
      </c>
      <c r="BC47" s="25">
        <f t="shared" si="16"/>
        <v>46293</v>
      </c>
    </row>
    <row r="48" spans="1:55" ht="15" customHeight="1" x14ac:dyDescent="0.25">
      <c r="A48" s="151">
        <f t="shared" si="0"/>
        <v>46</v>
      </c>
      <c r="B48" s="151" t="s">
        <v>140</v>
      </c>
      <c r="C48" s="152" t="s">
        <v>107</v>
      </c>
      <c r="D48" s="151">
        <f t="shared" si="1"/>
        <v>1</v>
      </c>
      <c r="E48" s="151" t="s">
        <v>61</v>
      </c>
      <c r="F48" s="173">
        <v>46289</v>
      </c>
      <c r="G48" s="173"/>
      <c r="H48" s="173"/>
      <c r="I48" s="173">
        <v>46289</v>
      </c>
      <c r="J48" s="173">
        <v>46290</v>
      </c>
      <c r="K48" s="173"/>
      <c r="L48" s="173"/>
      <c r="M48" s="173"/>
      <c r="N48" s="173"/>
      <c r="O48" s="173"/>
      <c r="P48" s="173"/>
      <c r="Q48" s="173">
        <v>46291</v>
      </c>
      <c r="R48" s="173"/>
      <c r="S48" s="173"/>
      <c r="T48" s="174">
        <v>46291</v>
      </c>
      <c r="U48" s="151"/>
      <c r="V48" s="152"/>
      <c r="W48" s="175"/>
      <c r="X48" s="173"/>
      <c r="Y48" s="173"/>
      <c r="Z48" s="176" t="str">
        <f>IF(B48="","",IF(S48&lt;&gt;"","Sevk Edildi",IF(AND(X48&lt;&gt;"",Y48=""),"Reworkte",IF(T48&lt;&gt;"","Kapandı"&amp;IF(COUNT(G48:R48)=0,""," – "&amp;LOOKUP(2,1/(G48:R48=MAX(G48:R48)),{"Tasarım","Ply Cutter","Üretim","Kalite (Üretim sonrası)","Talaşlı","Kalite (Talaşlı sonrası)","Montaj","Kalite (Montaj sonrası)","Boya","Kalite (Boya sonrası)","Yarı Mamül","KM"})),IF(COUNT(G48:R48)=0,"Başlamadı",LOOKUP(2,1/(G48:R48=MAX(G48:R48)),{"Tasarımda","Ply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8" s="177">
        <f t="shared" ca="1" si="2"/>
        <v>2</v>
      </c>
      <c r="AB48" s="175"/>
      <c r="AD48" t="str">
        <f>IF(OR($B48="",NOT(ISNUMBER(G48))),"",IF(COUNTIF(H48:$T48,G48)&gt;0,0,IF(COUNTIF($G48:$T48,"&gt;"&amp;G48)=0,"",SMALL($G48:$T48,COUNTIF($G48:$T48,"&lt;="&amp;G48)+1)-G48)))</f>
        <v/>
      </c>
      <c r="AE48" t="str">
        <f>IF(OR($B48="",NOT(ISNUMBER(H48))),"",IF(COUNTIF(I48:$T48,H48)&gt;0,0,IF(COUNTIF($G48:$T48,"&gt;"&amp;H48)=0,"",SMALL($G48:$T48,COUNTIF($G48:$T48,"&lt;="&amp;H48)+1)-H48)))</f>
        <v/>
      </c>
      <c r="AF48">
        <f>IF(OR($B48="",NOT(ISNUMBER(I48))),"",IF(COUNTIF(J48:$T48,I48)&gt;0,0,IF(COUNTIF($G48:$T48,"&gt;"&amp;I48)=0,"",SMALL($G48:$T48,COUNTIF($G48:$T48,"&lt;="&amp;I48)+1)-I48)))</f>
        <v>1</v>
      </c>
      <c r="AG48">
        <f>IF(OR($B48="",NOT(ISNUMBER(J48))),"",IF(COUNTIF(K48:$T48,J48)&gt;0,0,IF(COUNTIF($G48:$T48,"&gt;"&amp;J48)=0,"",SMALL($G48:$T48,COUNTIF($G48:$T48,"&lt;="&amp;J48)+1)-J48)))</f>
        <v>1</v>
      </c>
      <c r="AH48" t="str">
        <f>IF(OR($B48="",NOT(ISNUMBER(K48))),"",IF(COUNTIF(L48:$T48,K48)&gt;0,0,IF(COUNTIF($G48:$T48,"&gt;"&amp;K48)=0,"",SMALL($G48:$T48,COUNTIF($G48:$T48,"&lt;="&amp;K48)+1)-K48)))</f>
        <v/>
      </c>
      <c r="AI48" t="str">
        <f>IF(OR($B48="",NOT(ISNUMBER(L48))),"",IF(COUNTIF(M48:$T48,L48)&gt;0,0,IF(COUNTIF($G48:$T48,"&gt;"&amp;L48)=0,"",SMALL($G48:$T48,COUNTIF($G48:$T48,"&lt;="&amp;L48)+1)-L48)))</f>
        <v/>
      </c>
      <c r="AJ48" t="str">
        <f>IF(OR($B48="",NOT(ISNUMBER(M48))),"",IF(COUNTIF(N48:$T48,M48)&gt;0,0,IF(COUNTIF($G48:$T48,"&gt;"&amp;M48)=0,"",SMALL($G48:$T48,COUNTIF($G48:$T48,"&lt;="&amp;M48)+1)-M48)))</f>
        <v/>
      </c>
      <c r="AK48" t="str">
        <f>IF(OR($B48="",NOT(ISNUMBER(N48))),"",IF(COUNTIF(O48:$T48,N48)&gt;0,0,IF(COUNTIF($G48:$T48,"&gt;"&amp;N48)=0,"",SMALL($G48:$T48,COUNTIF($G48:$T48,"&lt;="&amp;N48)+1)-N48)))</f>
        <v/>
      </c>
      <c r="AL48" t="str">
        <f>IF(OR($B48="",NOT(ISNUMBER(O48))),"",IF(COUNTIF(P48:$T48,O48)&gt;0,0,IF(COUNTIF($G48:$T48,"&gt;"&amp;O48)=0,"",SMALL($G48:$T48,COUNTIF($G48:$T48,"&lt;="&amp;O48)+1)-O48)))</f>
        <v/>
      </c>
      <c r="AM48" t="str">
        <f>IF(OR($B48="",NOT(ISNUMBER(P48))),"",IF(COUNTIF(Q48:$T48,P48)&gt;0,0,IF(COUNTIF($G48:$T48,"&gt;"&amp;P48)=0,"",SMALL($G48:$T48,COUNTIF($G48:$T48,"&lt;="&amp;P48)+1)-P48)))</f>
        <v/>
      </c>
      <c r="AN48">
        <f>IF(OR($B48="",NOT(ISNUMBER(Q48))),"",IF(COUNTIF(R48:$T48,Q48)&gt;0,0,IF(COUNTIF($G48:$T48,"&gt;"&amp;Q48)=0,"",SMALL($G48:$T48,COUNTIF($G48:$T48,"&lt;="&amp;Q48)+1)-Q48)))</f>
        <v>0</v>
      </c>
      <c r="AO48" t="str">
        <f>IF(OR($B48="",NOT(ISNUMBER(R48))),"",IF(COUNTIF(S48:$T48,R48)&gt;0,0,IF(COUNTIF($G48:$T48,"&gt;"&amp;R48)=0,"",SMALL($G48:$T48,COUNTIF($G48:$T48,"&lt;="&amp;R48)+1)-R48)))</f>
        <v/>
      </c>
      <c r="AP48">
        <f t="shared" ca="1" si="3"/>
        <v>0</v>
      </c>
      <c r="AQ48" s="25" t="str">
        <f t="shared" si="4"/>
        <v/>
      </c>
      <c r="AR48" s="25" t="str">
        <f t="shared" si="5"/>
        <v/>
      </c>
      <c r="AS48" s="25">
        <f t="shared" si="6"/>
        <v>46290</v>
      </c>
      <c r="AT48" s="25">
        <f t="shared" si="7"/>
        <v>46291</v>
      </c>
      <c r="AU48" s="25" t="str">
        <f t="shared" si="8"/>
        <v/>
      </c>
      <c r="AV48" s="25" t="str">
        <f t="shared" si="9"/>
        <v/>
      </c>
      <c r="AW48" s="25" t="str">
        <f t="shared" si="10"/>
        <v/>
      </c>
      <c r="AX48" s="25" t="str">
        <f t="shared" si="11"/>
        <v/>
      </c>
      <c r="AY48" s="25" t="str">
        <f t="shared" si="12"/>
        <v/>
      </c>
      <c r="AZ48" s="25" t="str">
        <f t="shared" si="13"/>
        <v/>
      </c>
      <c r="BA48" s="25">
        <f t="shared" si="14"/>
        <v>46291</v>
      </c>
      <c r="BB48" s="25" t="str">
        <f t="shared" si="15"/>
        <v/>
      </c>
      <c r="BC48" s="25">
        <f t="shared" si="16"/>
        <v>46291</v>
      </c>
    </row>
    <row r="49" spans="1:55" ht="15" customHeight="1" x14ac:dyDescent="0.25">
      <c r="A49" s="151">
        <f t="shared" si="0"/>
        <v>47</v>
      </c>
      <c r="B49" s="151" t="s">
        <v>141</v>
      </c>
      <c r="C49" s="152" t="s">
        <v>94</v>
      </c>
      <c r="D49" s="151">
        <f t="shared" si="1"/>
        <v>1</v>
      </c>
      <c r="E49" s="151" t="s">
        <v>61</v>
      </c>
      <c r="F49" s="173">
        <v>46289</v>
      </c>
      <c r="G49" s="173"/>
      <c r="H49" s="173"/>
      <c r="I49" s="173">
        <v>46289</v>
      </c>
      <c r="J49" s="173">
        <v>46290</v>
      </c>
      <c r="K49" s="173"/>
      <c r="L49" s="173"/>
      <c r="M49" s="173"/>
      <c r="N49" s="173"/>
      <c r="O49" s="173"/>
      <c r="P49" s="173"/>
      <c r="Q49" s="173">
        <v>46291</v>
      </c>
      <c r="R49" s="173"/>
      <c r="S49" s="173"/>
      <c r="T49" s="174">
        <v>46291</v>
      </c>
      <c r="U49" s="151"/>
      <c r="V49" s="152"/>
      <c r="W49" s="175"/>
      <c r="X49" s="173"/>
      <c r="Y49" s="173"/>
      <c r="Z49" s="176" t="str">
        <f>IF(B49="","",IF(S49&lt;&gt;"","Sevk Edildi",IF(AND(X49&lt;&gt;"",Y49=""),"Reworkte",IF(T49&lt;&gt;"","Kapandı"&amp;IF(COUNT(G49:R49)=0,""," – "&amp;LOOKUP(2,1/(G49:R49=MAX(G49:R49)),{"Tasarım","Ply Cutter","Üretim","Kalite (Üretim sonrası)","Talaşlı","Kalite (Talaşlı sonrası)","Montaj","Kalite (Montaj sonrası)","Boya","Kalite (Boya sonrası)","Yarı Mamül","KM"})),IF(COUNT(G49:R49)=0,"Başlamadı",LOOKUP(2,1/(G49:R49=MAX(G49:R49)),{"Tasarımda","Ply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9" s="177">
        <f t="shared" ca="1" si="2"/>
        <v>2</v>
      </c>
      <c r="AB49" s="175"/>
      <c r="AD49" t="str">
        <f>IF(OR($B49="",NOT(ISNUMBER(G49))),"",IF(COUNTIF(H49:$T49,G49)&gt;0,0,IF(COUNTIF($G49:$T49,"&gt;"&amp;G49)=0,"",SMALL($G49:$T49,COUNTIF($G49:$T49,"&lt;="&amp;G49)+1)-G49)))</f>
        <v/>
      </c>
      <c r="AE49" t="str">
        <f>IF(OR($B49="",NOT(ISNUMBER(H49))),"",IF(COUNTIF(I49:$T49,H49)&gt;0,0,IF(COUNTIF($G49:$T49,"&gt;"&amp;H49)=0,"",SMALL($G49:$T49,COUNTIF($G49:$T49,"&lt;="&amp;H49)+1)-H49)))</f>
        <v/>
      </c>
      <c r="AF49">
        <f>IF(OR($B49="",NOT(ISNUMBER(I49))),"",IF(COUNTIF(J49:$T49,I49)&gt;0,0,IF(COUNTIF($G49:$T49,"&gt;"&amp;I49)=0,"",SMALL($G49:$T49,COUNTIF($G49:$T49,"&lt;="&amp;I49)+1)-I49)))</f>
        <v>1</v>
      </c>
      <c r="AG49">
        <f>IF(OR($B49="",NOT(ISNUMBER(J49))),"",IF(COUNTIF(K49:$T49,J49)&gt;0,0,IF(COUNTIF($G49:$T49,"&gt;"&amp;J49)=0,"",SMALL($G49:$T49,COUNTIF($G49:$T49,"&lt;="&amp;J49)+1)-J49)))</f>
        <v>1</v>
      </c>
      <c r="AH49" t="str">
        <f>IF(OR($B49="",NOT(ISNUMBER(K49))),"",IF(COUNTIF(L49:$T49,K49)&gt;0,0,IF(COUNTIF($G49:$T49,"&gt;"&amp;K49)=0,"",SMALL($G49:$T49,COUNTIF($G49:$T49,"&lt;="&amp;K49)+1)-K49)))</f>
        <v/>
      </c>
      <c r="AI49" t="str">
        <f>IF(OR($B49="",NOT(ISNUMBER(L49))),"",IF(COUNTIF(M49:$T49,L49)&gt;0,0,IF(COUNTIF($G49:$T49,"&gt;"&amp;L49)=0,"",SMALL($G49:$T49,COUNTIF($G49:$T49,"&lt;="&amp;L49)+1)-L49)))</f>
        <v/>
      </c>
      <c r="AJ49" t="str">
        <f>IF(OR($B49="",NOT(ISNUMBER(M49))),"",IF(COUNTIF(N49:$T49,M49)&gt;0,0,IF(COUNTIF($G49:$T49,"&gt;"&amp;M49)=0,"",SMALL($G49:$T49,COUNTIF($G49:$T49,"&lt;="&amp;M49)+1)-M49)))</f>
        <v/>
      </c>
      <c r="AK49" t="str">
        <f>IF(OR($B49="",NOT(ISNUMBER(N49))),"",IF(COUNTIF(O49:$T49,N49)&gt;0,0,IF(COUNTIF($G49:$T49,"&gt;"&amp;N49)=0,"",SMALL($G49:$T49,COUNTIF($G49:$T49,"&lt;="&amp;N49)+1)-N49)))</f>
        <v/>
      </c>
      <c r="AL49" t="str">
        <f>IF(OR($B49="",NOT(ISNUMBER(O49))),"",IF(COUNTIF(P49:$T49,O49)&gt;0,0,IF(COUNTIF($G49:$T49,"&gt;"&amp;O49)=0,"",SMALL($G49:$T49,COUNTIF($G49:$T49,"&lt;="&amp;O49)+1)-O49)))</f>
        <v/>
      </c>
      <c r="AM49" t="str">
        <f>IF(OR($B49="",NOT(ISNUMBER(P49))),"",IF(COUNTIF(Q49:$T49,P49)&gt;0,0,IF(COUNTIF($G49:$T49,"&gt;"&amp;P49)=0,"",SMALL($G49:$T49,COUNTIF($G49:$T49,"&lt;="&amp;P49)+1)-P49)))</f>
        <v/>
      </c>
      <c r="AN49">
        <f>IF(OR($B49="",NOT(ISNUMBER(Q49))),"",IF(COUNTIF(R49:$T49,Q49)&gt;0,0,IF(COUNTIF($G49:$T49,"&gt;"&amp;Q49)=0,"",SMALL($G49:$T49,COUNTIF($G49:$T49,"&lt;="&amp;Q49)+1)-Q49)))</f>
        <v>0</v>
      </c>
      <c r="AO49" t="str">
        <f>IF(OR($B49="",NOT(ISNUMBER(R49))),"",IF(COUNTIF(S49:$T49,R49)&gt;0,0,IF(COUNTIF($G49:$T49,"&gt;"&amp;R49)=0,"",SMALL($G49:$T49,COUNTIF($G49:$T49,"&lt;="&amp;R49)+1)-R49)))</f>
        <v/>
      </c>
      <c r="AP49">
        <f t="shared" ca="1" si="3"/>
        <v>0</v>
      </c>
      <c r="AQ49" s="25" t="str">
        <f t="shared" si="4"/>
        <v/>
      </c>
      <c r="AR49" s="25" t="str">
        <f t="shared" si="5"/>
        <v/>
      </c>
      <c r="AS49" s="25">
        <f t="shared" si="6"/>
        <v>46290</v>
      </c>
      <c r="AT49" s="25">
        <f t="shared" si="7"/>
        <v>46291</v>
      </c>
      <c r="AU49" s="25" t="str">
        <f t="shared" si="8"/>
        <v/>
      </c>
      <c r="AV49" s="25" t="str">
        <f t="shared" si="9"/>
        <v/>
      </c>
      <c r="AW49" s="25" t="str">
        <f t="shared" si="10"/>
        <v/>
      </c>
      <c r="AX49" s="25" t="str">
        <f t="shared" si="11"/>
        <v/>
      </c>
      <c r="AY49" s="25" t="str">
        <f t="shared" si="12"/>
        <v/>
      </c>
      <c r="AZ49" s="25" t="str">
        <f t="shared" si="13"/>
        <v/>
      </c>
      <c r="BA49" s="25">
        <f t="shared" si="14"/>
        <v>46291</v>
      </c>
      <c r="BB49" s="25" t="str">
        <f t="shared" si="15"/>
        <v/>
      </c>
      <c r="BC49" s="25">
        <f t="shared" si="16"/>
        <v>46291</v>
      </c>
    </row>
    <row r="50" spans="1:55" ht="15" customHeight="1" x14ac:dyDescent="0.25">
      <c r="A50" s="151">
        <f t="shared" si="0"/>
        <v>48</v>
      </c>
      <c r="B50" s="151" t="s">
        <v>142</v>
      </c>
      <c r="C50" s="152" t="s">
        <v>107</v>
      </c>
      <c r="D50" s="151">
        <f t="shared" si="1"/>
        <v>1</v>
      </c>
      <c r="E50" s="151" t="s">
        <v>61</v>
      </c>
      <c r="F50" s="173">
        <v>46290</v>
      </c>
      <c r="G50" s="173"/>
      <c r="H50" s="173"/>
      <c r="I50" s="173">
        <v>46290</v>
      </c>
      <c r="J50" s="173">
        <v>46293</v>
      </c>
      <c r="K50" s="173"/>
      <c r="L50" s="173"/>
      <c r="M50" s="173"/>
      <c r="N50" s="173"/>
      <c r="O50" s="173"/>
      <c r="P50" s="173"/>
      <c r="Q50" s="173"/>
      <c r="R50" s="173"/>
      <c r="S50" s="173"/>
      <c r="T50" s="174">
        <v>46293</v>
      </c>
      <c r="U50" s="151"/>
      <c r="V50" s="152"/>
      <c r="W50" s="175"/>
      <c r="X50" s="173"/>
      <c r="Y50" s="173"/>
      <c r="Z50" s="176" t="str">
        <f>IF(B50="","",IF(S50&lt;&gt;"","Sevk Edildi",IF(AND(X50&lt;&gt;"",Y50=""),"Reworkte",IF(T50&lt;&gt;"","Kapandı"&amp;IF(COUNT(G50:R50)=0,""," – "&amp;LOOKUP(2,1/(G50:R50=MAX(G50:R50)),{"Tasarım","Ply Cutter","Üretim","Kalite (Üretim sonrası)","Talaşlı","Kalite (Talaşlı sonrası)","Montaj","Kalite (Montaj sonrası)","Boya","Kalite (Boya sonrası)","Yarı Mamül","KM"})),IF(COUNT(G50:R50)=0,"Başlamadı",LOOKUP(2,1/(G50:R50=MAX(G50:R50)),{"Tasarımda","Ply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0" s="177">
        <f t="shared" ca="1" si="2"/>
        <v>3</v>
      </c>
      <c r="AB50" s="175"/>
      <c r="AD50" t="str">
        <f>IF(OR($B50="",NOT(ISNUMBER(G50))),"",IF(COUNTIF(H50:$T50,G50)&gt;0,0,IF(COUNTIF($G50:$T50,"&gt;"&amp;G50)=0,"",SMALL($G50:$T50,COUNTIF($G50:$T50,"&lt;="&amp;G50)+1)-G50)))</f>
        <v/>
      </c>
      <c r="AE50" t="str">
        <f>IF(OR($B50="",NOT(ISNUMBER(H50))),"",IF(COUNTIF(I50:$T50,H50)&gt;0,0,IF(COUNTIF($G50:$T50,"&gt;"&amp;H50)=0,"",SMALL($G50:$T50,COUNTIF($G50:$T50,"&lt;="&amp;H50)+1)-H50)))</f>
        <v/>
      </c>
      <c r="AF50">
        <f>IF(OR($B50="",NOT(ISNUMBER(I50))),"",IF(COUNTIF(J50:$T50,I50)&gt;0,0,IF(COUNTIF($G50:$T50,"&gt;"&amp;I50)=0,"",SMALL($G50:$T50,COUNTIF($G50:$T50,"&lt;="&amp;I50)+1)-I50)))</f>
        <v>3</v>
      </c>
      <c r="AG50">
        <f>IF(OR($B50="",NOT(ISNUMBER(J50))),"",IF(COUNTIF(K50:$T50,J50)&gt;0,0,IF(COUNTIF($G50:$T50,"&gt;"&amp;J50)=0,"",SMALL($G50:$T50,COUNTIF($G50:$T50,"&lt;="&amp;J50)+1)-J50)))</f>
        <v>0</v>
      </c>
      <c r="AH50" t="str">
        <f>IF(OR($B50="",NOT(ISNUMBER(K50))),"",IF(COUNTIF(L50:$T50,K50)&gt;0,0,IF(COUNTIF($G50:$T50,"&gt;"&amp;K50)=0,"",SMALL($G50:$T50,COUNTIF($G50:$T50,"&lt;="&amp;K50)+1)-K50)))</f>
        <v/>
      </c>
      <c r="AI50" t="str">
        <f>IF(OR($B50="",NOT(ISNUMBER(L50))),"",IF(COUNTIF(M50:$T50,L50)&gt;0,0,IF(COUNTIF($G50:$T50,"&gt;"&amp;L50)=0,"",SMALL($G50:$T50,COUNTIF($G50:$T50,"&lt;="&amp;L50)+1)-L50)))</f>
        <v/>
      </c>
      <c r="AJ50" t="str">
        <f>IF(OR($B50="",NOT(ISNUMBER(M50))),"",IF(COUNTIF(N50:$T50,M50)&gt;0,0,IF(COUNTIF($G50:$T50,"&gt;"&amp;M50)=0,"",SMALL($G50:$T50,COUNTIF($G50:$T50,"&lt;="&amp;M50)+1)-M50)))</f>
        <v/>
      </c>
      <c r="AK50" t="str">
        <f>IF(OR($B50="",NOT(ISNUMBER(N50))),"",IF(COUNTIF(O50:$T50,N50)&gt;0,0,IF(COUNTIF($G50:$T50,"&gt;"&amp;N50)=0,"",SMALL($G50:$T50,COUNTIF($G50:$T50,"&lt;="&amp;N50)+1)-N50)))</f>
        <v/>
      </c>
      <c r="AL50" t="str">
        <f>IF(OR($B50="",NOT(ISNUMBER(O50))),"",IF(COUNTIF(P50:$T50,O50)&gt;0,0,IF(COUNTIF($G50:$T50,"&gt;"&amp;O50)=0,"",SMALL($G50:$T50,COUNTIF($G50:$T50,"&lt;="&amp;O50)+1)-O50)))</f>
        <v/>
      </c>
      <c r="AM50" t="str">
        <f>IF(OR($B50="",NOT(ISNUMBER(P50))),"",IF(COUNTIF(Q50:$T50,P50)&gt;0,0,IF(COUNTIF($G50:$T50,"&gt;"&amp;P50)=0,"",SMALL($G50:$T50,COUNTIF($G50:$T50,"&lt;="&amp;P50)+1)-P50)))</f>
        <v/>
      </c>
      <c r="AN50" t="str">
        <f>IF(OR($B50="",NOT(ISNUMBER(Q50))),"",IF(COUNTIF(R50:$T50,Q50)&gt;0,0,IF(COUNTIF($G50:$T50,"&gt;"&amp;Q50)=0,"",SMALL($G50:$T50,COUNTIF($G50:$T50,"&lt;="&amp;Q50)+1)-Q50)))</f>
        <v/>
      </c>
      <c r="AO50" t="str">
        <f>IF(OR($B50="",NOT(ISNUMBER(R50))),"",IF(COUNTIF(S50:$T50,R50)&gt;0,0,IF(COUNTIF($G50:$T50,"&gt;"&amp;R50)=0,"",SMALL($G50:$T50,COUNTIF($G50:$T50,"&lt;="&amp;R50)+1)-R50)))</f>
        <v/>
      </c>
      <c r="AP50">
        <f t="shared" ca="1" si="3"/>
        <v>0</v>
      </c>
      <c r="AQ50" s="25" t="str">
        <f t="shared" si="4"/>
        <v/>
      </c>
      <c r="AR50" s="25" t="str">
        <f t="shared" si="5"/>
        <v/>
      </c>
      <c r="AS50" s="25">
        <f t="shared" si="6"/>
        <v>46293</v>
      </c>
      <c r="AT50" s="25">
        <f t="shared" si="7"/>
        <v>46293</v>
      </c>
      <c r="AU50" s="25" t="str">
        <f t="shared" si="8"/>
        <v/>
      </c>
      <c r="AV50" s="25" t="str">
        <f t="shared" si="9"/>
        <v/>
      </c>
      <c r="AW50" s="25" t="str">
        <f t="shared" si="10"/>
        <v/>
      </c>
      <c r="AX50" s="25" t="str">
        <f t="shared" si="11"/>
        <v/>
      </c>
      <c r="AY50" s="25" t="str">
        <f t="shared" si="12"/>
        <v/>
      </c>
      <c r="AZ50" s="25" t="str">
        <f t="shared" si="13"/>
        <v/>
      </c>
      <c r="BA50" s="25" t="str">
        <f t="shared" si="14"/>
        <v/>
      </c>
      <c r="BB50" s="25" t="str">
        <f t="shared" si="15"/>
        <v/>
      </c>
      <c r="BC50" s="25">
        <f t="shared" si="16"/>
        <v>46293</v>
      </c>
    </row>
    <row r="51" spans="1:55" ht="15" customHeight="1" x14ac:dyDescent="0.25">
      <c r="A51" s="151">
        <f t="shared" si="0"/>
        <v>49</v>
      </c>
      <c r="B51" s="151" t="s">
        <v>143</v>
      </c>
      <c r="C51" s="152" t="s">
        <v>107</v>
      </c>
      <c r="D51" s="151">
        <f t="shared" si="1"/>
        <v>1</v>
      </c>
      <c r="E51" s="151" t="s">
        <v>61</v>
      </c>
      <c r="F51" s="173">
        <v>46290</v>
      </c>
      <c r="G51" s="173"/>
      <c r="H51" s="173"/>
      <c r="I51" s="173">
        <v>46290</v>
      </c>
      <c r="J51" s="173">
        <v>46293</v>
      </c>
      <c r="K51" s="173"/>
      <c r="L51" s="173"/>
      <c r="M51" s="173"/>
      <c r="N51" s="173"/>
      <c r="O51" s="173"/>
      <c r="P51" s="173"/>
      <c r="Q51" s="173"/>
      <c r="R51" s="173"/>
      <c r="S51" s="173"/>
      <c r="T51" s="174">
        <v>46293</v>
      </c>
      <c r="U51" s="151"/>
      <c r="V51" s="152"/>
      <c r="W51" s="175"/>
      <c r="X51" s="173"/>
      <c r="Y51" s="173"/>
      <c r="Z51" s="176" t="str">
        <f>IF(B51="","",IF(S51&lt;&gt;"","Sevk Edildi",IF(AND(X51&lt;&gt;"",Y51=""),"Reworkte",IF(T51&lt;&gt;"","Kapandı"&amp;IF(COUNT(G51:R51)=0,""," – "&amp;LOOKUP(2,1/(G51:R51=MAX(G51:R51)),{"Tasarım","Ply Cutter","Üretim","Kalite (Üretim sonrası)","Talaşlı","Kalite (Talaşlı sonrası)","Montaj","Kalite (Montaj sonrası)","Boya","Kalite (Boya sonrası)","Yarı Mamül","KM"})),IF(COUNT(G51:R51)=0,"Başlamadı",LOOKUP(2,1/(G51:R51=MAX(G51:R51)),{"Tasarımda","Ply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1" s="177">
        <f t="shared" ca="1" si="2"/>
        <v>3</v>
      </c>
      <c r="AB51" s="175"/>
      <c r="AD51" t="str">
        <f>IF(OR($B51="",NOT(ISNUMBER(G51))),"",IF(COUNTIF(H51:$T51,G51)&gt;0,0,IF(COUNTIF($G51:$T51,"&gt;"&amp;G51)=0,"",SMALL($G51:$T51,COUNTIF($G51:$T51,"&lt;="&amp;G51)+1)-G51)))</f>
        <v/>
      </c>
      <c r="AE51" t="str">
        <f>IF(OR($B51="",NOT(ISNUMBER(H51))),"",IF(COUNTIF(I51:$T51,H51)&gt;0,0,IF(COUNTIF($G51:$T51,"&gt;"&amp;H51)=0,"",SMALL($G51:$T51,COUNTIF($G51:$T51,"&lt;="&amp;H51)+1)-H51)))</f>
        <v/>
      </c>
      <c r="AF51">
        <f>IF(OR($B51="",NOT(ISNUMBER(I51))),"",IF(COUNTIF(J51:$T51,I51)&gt;0,0,IF(COUNTIF($G51:$T51,"&gt;"&amp;I51)=0,"",SMALL($G51:$T51,COUNTIF($G51:$T51,"&lt;="&amp;I51)+1)-I51)))</f>
        <v>3</v>
      </c>
      <c r="AG51">
        <f>IF(OR($B51="",NOT(ISNUMBER(J51))),"",IF(COUNTIF(K51:$T51,J51)&gt;0,0,IF(COUNTIF($G51:$T51,"&gt;"&amp;J51)=0,"",SMALL($G51:$T51,COUNTIF($G51:$T51,"&lt;="&amp;J51)+1)-J51)))</f>
        <v>0</v>
      </c>
      <c r="AH51" t="str">
        <f>IF(OR($B51="",NOT(ISNUMBER(K51))),"",IF(COUNTIF(L51:$T51,K51)&gt;0,0,IF(COUNTIF($G51:$T51,"&gt;"&amp;K51)=0,"",SMALL($G51:$T51,COUNTIF($G51:$T51,"&lt;="&amp;K51)+1)-K51)))</f>
        <v/>
      </c>
      <c r="AI51" t="str">
        <f>IF(OR($B51="",NOT(ISNUMBER(L51))),"",IF(COUNTIF(M51:$T51,L51)&gt;0,0,IF(COUNTIF($G51:$T51,"&gt;"&amp;L51)=0,"",SMALL($G51:$T51,COUNTIF($G51:$T51,"&lt;="&amp;L51)+1)-L51)))</f>
        <v/>
      </c>
      <c r="AJ51" t="str">
        <f>IF(OR($B51="",NOT(ISNUMBER(M51))),"",IF(COUNTIF(N51:$T51,M51)&gt;0,0,IF(COUNTIF($G51:$T51,"&gt;"&amp;M51)=0,"",SMALL($G51:$T51,COUNTIF($G51:$T51,"&lt;="&amp;M51)+1)-M51)))</f>
        <v/>
      </c>
      <c r="AK51" t="str">
        <f>IF(OR($B51="",NOT(ISNUMBER(N51))),"",IF(COUNTIF(O51:$T51,N51)&gt;0,0,IF(COUNTIF($G51:$T51,"&gt;"&amp;N51)=0,"",SMALL($G51:$T51,COUNTIF($G51:$T51,"&lt;="&amp;N51)+1)-N51)))</f>
        <v/>
      </c>
      <c r="AL51" t="str">
        <f>IF(OR($B51="",NOT(ISNUMBER(O51))),"",IF(COUNTIF(P51:$T51,O51)&gt;0,0,IF(COUNTIF($G51:$T51,"&gt;"&amp;O51)=0,"",SMALL($G51:$T51,COUNTIF($G51:$T51,"&lt;="&amp;O51)+1)-O51)))</f>
        <v/>
      </c>
      <c r="AM51" t="str">
        <f>IF(OR($B51="",NOT(ISNUMBER(P51))),"",IF(COUNTIF(Q51:$T51,P51)&gt;0,0,IF(COUNTIF($G51:$T51,"&gt;"&amp;P51)=0,"",SMALL($G51:$T51,COUNTIF($G51:$T51,"&lt;="&amp;P51)+1)-P51)))</f>
        <v/>
      </c>
      <c r="AN51" t="str">
        <f>IF(OR($B51="",NOT(ISNUMBER(Q51))),"",IF(COUNTIF(R51:$T51,Q51)&gt;0,0,IF(COUNTIF($G51:$T51,"&gt;"&amp;Q51)=0,"",SMALL($G51:$T51,COUNTIF($G51:$T51,"&lt;="&amp;Q51)+1)-Q51)))</f>
        <v/>
      </c>
      <c r="AO51" t="str">
        <f>IF(OR($B51="",NOT(ISNUMBER(R51))),"",IF(COUNTIF(S51:$T51,R51)&gt;0,0,IF(COUNTIF($G51:$T51,"&gt;"&amp;R51)=0,"",SMALL($G51:$T51,COUNTIF($G51:$T51,"&lt;="&amp;R51)+1)-R51)))</f>
        <v/>
      </c>
      <c r="AP51">
        <f t="shared" ca="1" si="3"/>
        <v>0</v>
      </c>
      <c r="AQ51" s="25" t="str">
        <f t="shared" si="4"/>
        <v/>
      </c>
      <c r="AR51" s="25" t="str">
        <f t="shared" si="5"/>
        <v/>
      </c>
      <c r="AS51" s="25">
        <f t="shared" si="6"/>
        <v>46293</v>
      </c>
      <c r="AT51" s="25">
        <f t="shared" si="7"/>
        <v>46293</v>
      </c>
      <c r="AU51" s="25" t="str">
        <f t="shared" si="8"/>
        <v/>
      </c>
      <c r="AV51" s="25" t="str">
        <f t="shared" si="9"/>
        <v/>
      </c>
      <c r="AW51" s="25" t="str">
        <f t="shared" si="10"/>
        <v/>
      </c>
      <c r="AX51" s="25" t="str">
        <f t="shared" si="11"/>
        <v/>
      </c>
      <c r="AY51" s="25" t="str">
        <f t="shared" si="12"/>
        <v/>
      </c>
      <c r="AZ51" s="25" t="str">
        <f t="shared" si="13"/>
        <v/>
      </c>
      <c r="BA51" s="25" t="str">
        <f t="shared" si="14"/>
        <v/>
      </c>
      <c r="BB51" s="25" t="str">
        <f t="shared" si="15"/>
        <v/>
      </c>
      <c r="BC51" s="25">
        <f t="shared" si="16"/>
        <v>46293</v>
      </c>
    </row>
    <row r="52" spans="1:55" ht="15" customHeight="1" x14ac:dyDescent="0.25">
      <c r="A52" s="151">
        <f t="shared" si="0"/>
        <v>50</v>
      </c>
      <c r="B52" s="151" t="s">
        <v>144</v>
      </c>
      <c r="C52" s="152" t="s">
        <v>107</v>
      </c>
      <c r="D52" s="151">
        <f t="shared" si="1"/>
        <v>1</v>
      </c>
      <c r="E52" s="151" t="s">
        <v>61</v>
      </c>
      <c r="F52" s="173">
        <v>46290</v>
      </c>
      <c r="G52" s="173"/>
      <c r="H52" s="173"/>
      <c r="I52" s="173">
        <v>46290</v>
      </c>
      <c r="J52" s="173">
        <v>46293</v>
      </c>
      <c r="K52" s="173"/>
      <c r="L52" s="173"/>
      <c r="M52" s="173"/>
      <c r="N52" s="173"/>
      <c r="O52" s="173"/>
      <c r="P52" s="173"/>
      <c r="Q52" s="173"/>
      <c r="R52" s="173"/>
      <c r="S52" s="173"/>
      <c r="T52" s="174">
        <v>46293</v>
      </c>
      <c r="U52" s="151"/>
      <c r="V52" s="152"/>
      <c r="W52" s="175"/>
      <c r="X52" s="173"/>
      <c r="Y52" s="173"/>
      <c r="Z52" s="176" t="str">
        <f>IF(B52="","",IF(S52&lt;&gt;"","Sevk Edildi",IF(AND(X52&lt;&gt;"",Y52=""),"Reworkte",IF(T52&lt;&gt;"","Kapandı"&amp;IF(COUNT(G52:R52)=0,""," – "&amp;LOOKUP(2,1/(G52:R52=MAX(G52:R52)),{"Tasarım","Ply Cutter","Üretim","Kalite (Üretim sonrası)","Talaşlı","Kalite (Talaşlı sonrası)","Montaj","Kalite (Montaj sonrası)","Boya","Kalite (Boya sonrası)","Yarı Mamül","KM"})),IF(COUNT(G52:R52)=0,"Başlamadı",LOOKUP(2,1/(G52:R52=MAX(G52:R52)),{"Tasarımda","Ply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2" s="177">
        <f t="shared" ca="1" si="2"/>
        <v>3</v>
      </c>
      <c r="AB52" s="175"/>
      <c r="AD52" t="str">
        <f>IF(OR($B52="",NOT(ISNUMBER(G52))),"",IF(COUNTIF(H52:$T52,G52)&gt;0,0,IF(COUNTIF($G52:$T52,"&gt;"&amp;G52)=0,"",SMALL($G52:$T52,COUNTIF($G52:$T52,"&lt;="&amp;G52)+1)-G52)))</f>
        <v/>
      </c>
      <c r="AE52" t="str">
        <f>IF(OR($B52="",NOT(ISNUMBER(H52))),"",IF(COUNTIF(I52:$T52,H52)&gt;0,0,IF(COUNTIF($G52:$T52,"&gt;"&amp;H52)=0,"",SMALL($G52:$T52,COUNTIF($G52:$T52,"&lt;="&amp;H52)+1)-H52)))</f>
        <v/>
      </c>
      <c r="AF52">
        <f>IF(OR($B52="",NOT(ISNUMBER(I52))),"",IF(COUNTIF(J52:$T52,I52)&gt;0,0,IF(COUNTIF($G52:$T52,"&gt;"&amp;I52)=0,"",SMALL($G52:$T52,COUNTIF($G52:$T52,"&lt;="&amp;I52)+1)-I52)))</f>
        <v>3</v>
      </c>
      <c r="AG52">
        <f>IF(OR($B52="",NOT(ISNUMBER(J52))),"",IF(COUNTIF(K52:$T52,J52)&gt;0,0,IF(COUNTIF($G52:$T52,"&gt;"&amp;J52)=0,"",SMALL($G52:$T52,COUNTIF($G52:$T52,"&lt;="&amp;J52)+1)-J52)))</f>
        <v>0</v>
      </c>
      <c r="AH52" t="str">
        <f>IF(OR($B52="",NOT(ISNUMBER(K52))),"",IF(COUNTIF(L52:$T52,K52)&gt;0,0,IF(COUNTIF($G52:$T52,"&gt;"&amp;K52)=0,"",SMALL($G52:$T52,COUNTIF($G52:$T52,"&lt;="&amp;K52)+1)-K52)))</f>
        <v/>
      </c>
      <c r="AI52" t="str">
        <f>IF(OR($B52="",NOT(ISNUMBER(L52))),"",IF(COUNTIF(M52:$T52,L52)&gt;0,0,IF(COUNTIF($G52:$T52,"&gt;"&amp;L52)=0,"",SMALL($G52:$T52,COUNTIF($G52:$T52,"&lt;="&amp;L52)+1)-L52)))</f>
        <v/>
      </c>
      <c r="AJ52" t="str">
        <f>IF(OR($B52="",NOT(ISNUMBER(M52))),"",IF(COUNTIF(N52:$T52,M52)&gt;0,0,IF(COUNTIF($G52:$T52,"&gt;"&amp;M52)=0,"",SMALL($G52:$T52,COUNTIF($G52:$T52,"&lt;="&amp;M52)+1)-M52)))</f>
        <v/>
      </c>
      <c r="AK52" t="str">
        <f>IF(OR($B52="",NOT(ISNUMBER(N52))),"",IF(COUNTIF(O52:$T52,N52)&gt;0,0,IF(COUNTIF($G52:$T52,"&gt;"&amp;N52)=0,"",SMALL($G52:$T52,COUNTIF($G52:$T52,"&lt;="&amp;N52)+1)-N52)))</f>
        <v/>
      </c>
      <c r="AL52" t="str">
        <f>IF(OR($B52="",NOT(ISNUMBER(O52))),"",IF(COUNTIF(P52:$T52,O52)&gt;0,0,IF(COUNTIF($G52:$T52,"&gt;"&amp;O52)=0,"",SMALL($G52:$T52,COUNTIF($G52:$T52,"&lt;="&amp;O52)+1)-O52)))</f>
        <v/>
      </c>
      <c r="AM52" t="str">
        <f>IF(OR($B52="",NOT(ISNUMBER(P52))),"",IF(COUNTIF(Q52:$T52,P52)&gt;0,0,IF(COUNTIF($G52:$T52,"&gt;"&amp;P52)=0,"",SMALL($G52:$T52,COUNTIF($G52:$T52,"&lt;="&amp;P52)+1)-P52)))</f>
        <v/>
      </c>
      <c r="AN52" t="str">
        <f>IF(OR($B52="",NOT(ISNUMBER(Q52))),"",IF(COUNTIF(R52:$T52,Q52)&gt;0,0,IF(COUNTIF($G52:$T52,"&gt;"&amp;Q52)=0,"",SMALL($G52:$T52,COUNTIF($G52:$T52,"&lt;="&amp;Q52)+1)-Q52)))</f>
        <v/>
      </c>
      <c r="AO52" t="str">
        <f>IF(OR($B52="",NOT(ISNUMBER(R52))),"",IF(COUNTIF(S52:$T52,R52)&gt;0,0,IF(COUNTIF($G52:$T52,"&gt;"&amp;R52)=0,"",SMALL($G52:$T52,COUNTIF($G52:$T52,"&lt;="&amp;R52)+1)-R52)))</f>
        <v/>
      </c>
      <c r="AP52">
        <f t="shared" ca="1" si="3"/>
        <v>0</v>
      </c>
      <c r="AQ52" s="25" t="str">
        <f t="shared" si="4"/>
        <v/>
      </c>
      <c r="AR52" s="25" t="str">
        <f t="shared" si="5"/>
        <v/>
      </c>
      <c r="AS52" s="25">
        <f t="shared" si="6"/>
        <v>46293</v>
      </c>
      <c r="AT52" s="25">
        <f t="shared" si="7"/>
        <v>46293</v>
      </c>
      <c r="AU52" s="25" t="str">
        <f t="shared" si="8"/>
        <v/>
      </c>
      <c r="AV52" s="25" t="str">
        <f t="shared" si="9"/>
        <v/>
      </c>
      <c r="AW52" s="25" t="str">
        <f t="shared" si="10"/>
        <v/>
      </c>
      <c r="AX52" s="25" t="str">
        <f t="shared" si="11"/>
        <v/>
      </c>
      <c r="AY52" s="25" t="str">
        <f t="shared" si="12"/>
        <v/>
      </c>
      <c r="AZ52" s="25" t="str">
        <f t="shared" si="13"/>
        <v/>
      </c>
      <c r="BA52" s="25" t="str">
        <f t="shared" si="14"/>
        <v/>
      </c>
      <c r="BB52" s="25" t="str">
        <f t="shared" si="15"/>
        <v/>
      </c>
      <c r="BC52" s="25">
        <f t="shared" si="16"/>
        <v>46293</v>
      </c>
    </row>
    <row r="53" spans="1:55" ht="15" customHeight="1" x14ac:dyDescent="0.25">
      <c r="A53" s="151">
        <f t="shared" si="0"/>
        <v>51</v>
      </c>
      <c r="B53" s="151" t="s">
        <v>145</v>
      </c>
      <c r="C53" s="152" t="s">
        <v>72</v>
      </c>
      <c r="D53" s="151">
        <f t="shared" si="1"/>
        <v>1</v>
      </c>
      <c r="E53" s="151" t="s">
        <v>61</v>
      </c>
      <c r="F53" s="173">
        <v>46290</v>
      </c>
      <c r="G53" s="173"/>
      <c r="H53" s="173"/>
      <c r="I53" s="173">
        <v>46290</v>
      </c>
      <c r="J53" s="173">
        <v>46295</v>
      </c>
      <c r="K53" s="173"/>
      <c r="L53" s="173"/>
      <c r="M53" s="173"/>
      <c r="N53" s="173"/>
      <c r="O53" s="173"/>
      <c r="P53" s="173"/>
      <c r="Q53" s="173"/>
      <c r="R53" s="173"/>
      <c r="S53" s="173"/>
      <c r="T53" s="174">
        <v>46295</v>
      </c>
      <c r="U53" s="151"/>
      <c r="V53" s="152"/>
      <c r="W53" s="175"/>
      <c r="X53" s="173"/>
      <c r="Y53" s="173"/>
      <c r="Z53" s="176" t="str">
        <f>IF(B53="","",IF(S53&lt;&gt;"","Sevk Edildi",IF(AND(X53&lt;&gt;"",Y53=""),"Reworkte",IF(T53&lt;&gt;"","Kapandı"&amp;IF(COUNT(G53:R53)=0,""," – "&amp;LOOKUP(2,1/(G53:R53=MAX(G53:R53)),{"Tasarım","Ply Cutter","Üretim","Kalite (Üretim sonrası)","Talaşlı","Kalite (Talaşlı sonrası)","Montaj","Kalite (Montaj sonrası)","Boya","Kalite (Boya sonrası)","Yarı Mamül","KM"})),IF(COUNT(G53:R53)=0,"Başlamadı",LOOKUP(2,1/(G53:R53=MAX(G53:R53)),{"Tasarımda","Ply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3" s="177">
        <f t="shared" ca="1" si="2"/>
        <v>5</v>
      </c>
      <c r="AB53" s="175"/>
      <c r="AD53" t="str">
        <f>IF(OR($B53="",NOT(ISNUMBER(G53))),"",IF(COUNTIF(H53:$T53,G53)&gt;0,0,IF(COUNTIF($G53:$T53,"&gt;"&amp;G53)=0,"",SMALL($G53:$T53,COUNTIF($G53:$T53,"&lt;="&amp;G53)+1)-G53)))</f>
        <v/>
      </c>
      <c r="AE53" t="str">
        <f>IF(OR($B53="",NOT(ISNUMBER(H53))),"",IF(COUNTIF(I53:$T53,H53)&gt;0,0,IF(COUNTIF($G53:$T53,"&gt;"&amp;H53)=0,"",SMALL($G53:$T53,COUNTIF($G53:$T53,"&lt;="&amp;H53)+1)-H53)))</f>
        <v/>
      </c>
      <c r="AF53">
        <f>IF(OR($B53="",NOT(ISNUMBER(I53))),"",IF(COUNTIF(J53:$T53,I53)&gt;0,0,IF(COUNTIF($G53:$T53,"&gt;"&amp;I53)=0,"",SMALL($G53:$T53,COUNTIF($G53:$T53,"&lt;="&amp;I53)+1)-I53)))</f>
        <v>5</v>
      </c>
      <c r="AG53">
        <f>IF(OR($B53="",NOT(ISNUMBER(J53))),"",IF(COUNTIF(K53:$T53,J53)&gt;0,0,IF(COUNTIF($G53:$T53,"&gt;"&amp;J53)=0,"",SMALL($G53:$T53,COUNTIF($G53:$T53,"&lt;="&amp;J53)+1)-J53)))</f>
        <v>0</v>
      </c>
      <c r="AH53" t="str">
        <f>IF(OR($B53="",NOT(ISNUMBER(K53))),"",IF(COUNTIF(L53:$T53,K53)&gt;0,0,IF(COUNTIF($G53:$T53,"&gt;"&amp;K53)=0,"",SMALL($G53:$T53,COUNTIF($G53:$T53,"&lt;="&amp;K53)+1)-K53)))</f>
        <v/>
      </c>
      <c r="AI53" t="str">
        <f>IF(OR($B53="",NOT(ISNUMBER(L53))),"",IF(COUNTIF(M53:$T53,L53)&gt;0,0,IF(COUNTIF($G53:$T53,"&gt;"&amp;L53)=0,"",SMALL($G53:$T53,COUNTIF($G53:$T53,"&lt;="&amp;L53)+1)-L53)))</f>
        <v/>
      </c>
      <c r="AJ53" t="str">
        <f>IF(OR($B53="",NOT(ISNUMBER(M53))),"",IF(COUNTIF(N53:$T53,M53)&gt;0,0,IF(COUNTIF($G53:$T53,"&gt;"&amp;M53)=0,"",SMALL($G53:$T53,COUNTIF($G53:$T53,"&lt;="&amp;M53)+1)-M53)))</f>
        <v/>
      </c>
      <c r="AK53" t="str">
        <f>IF(OR($B53="",NOT(ISNUMBER(N53))),"",IF(COUNTIF(O53:$T53,N53)&gt;0,0,IF(COUNTIF($G53:$T53,"&gt;"&amp;N53)=0,"",SMALL($G53:$T53,COUNTIF($G53:$T53,"&lt;="&amp;N53)+1)-N53)))</f>
        <v/>
      </c>
      <c r="AL53" t="str">
        <f>IF(OR($B53="",NOT(ISNUMBER(O53))),"",IF(COUNTIF(P53:$T53,O53)&gt;0,0,IF(COUNTIF($G53:$T53,"&gt;"&amp;O53)=0,"",SMALL($G53:$T53,COUNTIF($G53:$T53,"&lt;="&amp;O53)+1)-O53)))</f>
        <v/>
      </c>
      <c r="AM53" t="str">
        <f>IF(OR($B53="",NOT(ISNUMBER(P53))),"",IF(COUNTIF(Q53:$T53,P53)&gt;0,0,IF(COUNTIF($G53:$T53,"&gt;"&amp;P53)=0,"",SMALL($G53:$T53,COUNTIF($G53:$T53,"&lt;="&amp;P53)+1)-P53)))</f>
        <v/>
      </c>
      <c r="AN53" t="str">
        <f>IF(OR($B53="",NOT(ISNUMBER(Q53))),"",IF(COUNTIF(R53:$T53,Q53)&gt;0,0,IF(COUNTIF($G53:$T53,"&gt;"&amp;Q53)=0,"",SMALL($G53:$T53,COUNTIF($G53:$T53,"&lt;="&amp;Q53)+1)-Q53)))</f>
        <v/>
      </c>
      <c r="AO53" t="str">
        <f>IF(OR($B53="",NOT(ISNUMBER(R53))),"",IF(COUNTIF(S53:$T53,R53)&gt;0,0,IF(COUNTIF($G53:$T53,"&gt;"&amp;R53)=0,"",SMALL($G53:$T53,COUNTIF($G53:$T53,"&lt;="&amp;R53)+1)-R53)))</f>
        <v/>
      </c>
      <c r="AP53">
        <f t="shared" ca="1" si="3"/>
        <v>0</v>
      </c>
      <c r="AQ53" s="25" t="str">
        <f t="shared" si="4"/>
        <v/>
      </c>
      <c r="AR53" s="25" t="str">
        <f t="shared" si="5"/>
        <v/>
      </c>
      <c r="AS53" s="25">
        <f t="shared" si="6"/>
        <v>46295</v>
      </c>
      <c r="AT53" s="25">
        <f t="shared" si="7"/>
        <v>46295</v>
      </c>
      <c r="AU53" s="25" t="str">
        <f t="shared" si="8"/>
        <v/>
      </c>
      <c r="AV53" s="25" t="str">
        <f t="shared" si="9"/>
        <v/>
      </c>
      <c r="AW53" s="25" t="str">
        <f t="shared" si="10"/>
        <v/>
      </c>
      <c r="AX53" s="25" t="str">
        <f t="shared" si="11"/>
        <v/>
      </c>
      <c r="AY53" s="25" t="str">
        <f t="shared" si="12"/>
        <v/>
      </c>
      <c r="AZ53" s="25" t="str">
        <f t="shared" si="13"/>
        <v/>
      </c>
      <c r="BA53" s="25" t="str">
        <f t="shared" si="14"/>
        <v/>
      </c>
      <c r="BB53" s="25" t="str">
        <f t="shared" si="15"/>
        <v/>
      </c>
      <c r="BC53" s="25">
        <f t="shared" si="16"/>
        <v>46295</v>
      </c>
    </row>
    <row r="54" spans="1:55" ht="15" customHeight="1" x14ac:dyDescent="0.25">
      <c r="A54" s="151">
        <f t="shared" si="0"/>
        <v>52</v>
      </c>
      <c r="B54" s="151" t="s">
        <v>146</v>
      </c>
      <c r="C54" s="152" t="s">
        <v>147</v>
      </c>
      <c r="D54" s="151">
        <f t="shared" si="1"/>
        <v>7</v>
      </c>
      <c r="E54" s="151" t="s">
        <v>100</v>
      </c>
      <c r="F54" s="173">
        <v>46290</v>
      </c>
      <c r="G54" s="173"/>
      <c r="H54" s="173"/>
      <c r="I54" s="173"/>
      <c r="J54" s="173"/>
      <c r="K54" s="173">
        <v>46290</v>
      </c>
      <c r="L54" s="173">
        <v>46293</v>
      </c>
      <c r="M54" s="173"/>
      <c r="N54" s="173"/>
      <c r="O54" s="173"/>
      <c r="P54" s="173"/>
      <c r="Q54" s="173"/>
      <c r="R54" s="173"/>
      <c r="S54" s="173"/>
      <c r="T54" s="174">
        <v>46293</v>
      </c>
      <c r="U54" s="151"/>
      <c r="V54" s="152"/>
      <c r="W54" s="175"/>
      <c r="X54" s="173"/>
      <c r="Y54" s="173"/>
      <c r="Z54" s="176" t="str">
        <f>IF(B54="","",IF(S54&lt;&gt;"","Sevk Edildi",IF(AND(X54&lt;&gt;"",Y54=""),"Reworkte",IF(T54&lt;&gt;"","Kapandı"&amp;IF(COUNT(G54:R54)=0,""," – "&amp;LOOKUP(2,1/(G54:R54=MAX(G54:R54)),{"Tasarım","Ply Cutter","Üretim","Kalite (Üretim sonrası)","Talaşlı","Kalite (Talaşlı sonrası)","Montaj","Kalite (Montaj sonrası)","Boya","Kalite (Boya sonrası)","Yarı Mamül","KM"})),IF(COUNT(G54:R54)=0,"Başlamadı",LOOKUP(2,1/(G54:R54=MAX(G54:R54)),{"Tasarımda","Ply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54" s="177">
        <f t="shared" ca="1" si="2"/>
        <v>3</v>
      </c>
      <c r="AB54" s="175"/>
      <c r="AD54" t="str">
        <f>IF(OR($B54="",NOT(ISNUMBER(G54))),"",IF(COUNTIF(H54:$T54,G54)&gt;0,0,IF(COUNTIF($G54:$T54,"&gt;"&amp;G54)=0,"",SMALL($G54:$T54,COUNTIF($G54:$T54,"&lt;="&amp;G54)+1)-G54)))</f>
        <v/>
      </c>
      <c r="AE54" t="str">
        <f>IF(OR($B54="",NOT(ISNUMBER(H54))),"",IF(COUNTIF(I54:$T54,H54)&gt;0,0,IF(COUNTIF($G54:$T54,"&gt;"&amp;H54)=0,"",SMALL($G54:$T54,COUNTIF($G54:$T54,"&lt;="&amp;H54)+1)-H54)))</f>
        <v/>
      </c>
      <c r="AF54" t="str">
        <f>IF(OR($B54="",NOT(ISNUMBER(I54))),"",IF(COUNTIF(J54:$T54,I54)&gt;0,0,IF(COUNTIF($G54:$T54,"&gt;"&amp;I54)=0,"",SMALL($G54:$T54,COUNTIF($G54:$T54,"&lt;="&amp;I54)+1)-I54)))</f>
        <v/>
      </c>
      <c r="AG54" t="str">
        <f>IF(OR($B54="",NOT(ISNUMBER(J54))),"",IF(COUNTIF(K54:$T54,J54)&gt;0,0,IF(COUNTIF($G54:$T54,"&gt;"&amp;J54)=0,"",SMALL($G54:$T54,COUNTIF($G54:$T54,"&lt;="&amp;J54)+1)-J54)))</f>
        <v/>
      </c>
      <c r="AH54">
        <f>IF(OR($B54="",NOT(ISNUMBER(K54))),"",IF(COUNTIF(L54:$T54,K54)&gt;0,0,IF(COUNTIF($G54:$T54,"&gt;"&amp;K54)=0,"",SMALL($G54:$T54,COUNTIF($G54:$T54,"&lt;="&amp;K54)+1)-K54)))</f>
        <v>3</v>
      </c>
      <c r="AI54">
        <f>IF(OR($B54="",NOT(ISNUMBER(L54))),"",IF(COUNTIF(M54:$T54,L54)&gt;0,0,IF(COUNTIF($G54:$T54,"&gt;"&amp;L54)=0,"",SMALL($G54:$T54,COUNTIF($G54:$T54,"&lt;="&amp;L54)+1)-L54)))</f>
        <v>0</v>
      </c>
      <c r="AJ54" t="str">
        <f>IF(OR($B54="",NOT(ISNUMBER(M54))),"",IF(COUNTIF(N54:$T54,M54)&gt;0,0,IF(COUNTIF($G54:$T54,"&gt;"&amp;M54)=0,"",SMALL($G54:$T54,COUNTIF($G54:$T54,"&lt;="&amp;M54)+1)-M54)))</f>
        <v/>
      </c>
      <c r="AK54" t="str">
        <f>IF(OR($B54="",NOT(ISNUMBER(N54))),"",IF(COUNTIF(O54:$T54,N54)&gt;0,0,IF(COUNTIF($G54:$T54,"&gt;"&amp;N54)=0,"",SMALL($G54:$T54,COUNTIF($G54:$T54,"&lt;="&amp;N54)+1)-N54)))</f>
        <v/>
      </c>
      <c r="AL54" t="str">
        <f>IF(OR($B54="",NOT(ISNUMBER(O54))),"",IF(COUNTIF(P54:$T54,O54)&gt;0,0,IF(COUNTIF($G54:$T54,"&gt;"&amp;O54)=0,"",SMALL($G54:$T54,COUNTIF($G54:$T54,"&lt;="&amp;O54)+1)-O54)))</f>
        <v/>
      </c>
      <c r="AM54" t="str">
        <f>IF(OR($B54="",NOT(ISNUMBER(P54))),"",IF(COUNTIF(Q54:$T54,P54)&gt;0,0,IF(COUNTIF($G54:$T54,"&gt;"&amp;P54)=0,"",SMALL($G54:$T54,COUNTIF($G54:$T54,"&lt;="&amp;P54)+1)-P54)))</f>
        <v/>
      </c>
      <c r="AN54" t="str">
        <f>IF(OR($B54="",NOT(ISNUMBER(Q54))),"",IF(COUNTIF(R54:$T54,Q54)&gt;0,0,IF(COUNTIF($G54:$T54,"&gt;"&amp;Q54)=0,"",SMALL($G54:$T54,COUNTIF($G54:$T54,"&lt;="&amp;Q54)+1)-Q54)))</f>
        <v/>
      </c>
      <c r="AO54" t="str">
        <f>IF(OR($B54="",NOT(ISNUMBER(R54))),"",IF(COUNTIF(S54:$T54,R54)&gt;0,0,IF(COUNTIF($G54:$T54,"&gt;"&amp;R54)=0,"",SMALL($G54:$T54,COUNTIF($G54:$T54,"&lt;="&amp;R54)+1)-R54)))</f>
        <v/>
      </c>
      <c r="AP54">
        <f t="shared" ca="1" si="3"/>
        <v>0</v>
      </c>
      <c r="AQ54" s="25" t="str">
        <f t="shared" si="4"/>
        <v/>
      </c>
      <c r="AR54" s="25" t="str">
        <f t="shared" si="5"/>
        <v/>
      </c>
      <c r="AS54" s="25" t="str">
        <f t="shared" si="6"/>
        <v/>
      </c>
      <c r="AT54" s="25" t="str">
        <f t="shared" si="7"/>
        <v/>
      </c>
      <c r="AU54" s="25">
        <f t="shared" si="8"/>
        <v>46293</v>
      </c>
      <c r="AV54" s="25">
        <f t="shared" si="9"/>
        <v>46293</v>
      </c>
      <c r="AW54" s="25" t="str">
        <f t="shared" si="10"/>
        <v/>
      </c>
      <c r="AX54" s="25" t="str">
        <f t="shared" si="11"/>
        <v/>
      </c>
      <c r="AY54" s="25" t="str">
        <f t="shared" si="12"/>
        <v/>
      </c>
      <c r="AZ54" s="25" t="str">
        <f t="shared" si="13"/>
        <v/>
      </c>
      <c r="BA54" s="25" t="str">
        <f t="shared" si="14"/>
        <v/>
      </c>
      <c r="BB54" s="25" t="str">
        <f t="shared" si="15"/>
        <v/>
      </c>
      <c r="BC54" s="25">
        <f t="shared" si="16"/>
        <v>46293</v>
      </c>
    </row>
    <row r="55" spans="1:55" ht="15" customHeight="1" x14ac:dyDescent="0.25">
      <c r="A55" s="151">
        <f t="shared" si="0"/>
        <v>53</v>
      </c>
      <c r="B55" s="151" t="s">
        <v>148</v>
      </c>
      <c r="C55" s="152" t="s">
        <v>72</v>
      </c>
      <c r="D55" s="151">
        <f t="shared" si="1"/>
        <v>1</v>
      </c>
      <c r="E55" s="151" t="s">
        <v>61</v>
      </c>
      <c r="F55" s="173">
        <v>46290</v>
      </c>
      <c r="G55" s="173"/>
      <c r="H55" s="173"/>
      <c r="I55" s="173">
        <v>46290</v>
      </c>
      <c r="J55" s="173">
        <v>46291</v>
      </c>
      <c r="K55" s="173"/>
      <c r="L55" s="173"/>
      <c r="M55" s="173"/>
      <c r="N55" s="173"/>
      <c r="O55" s="173"/>
      <c r="P55" s="173"/>
      <c r="Q55" s="173">
        <v>46293</v>
      </c>
      <c r="R55" s="173"/>
      <c r="S55" s="173"/>
      <c r="T55" s="174">
        <v>46293</v>
      </c>
      <c r="U55" s="151"/>
      <c r="V55" s="152"/>
      <c r="W55" s="175"/>
      <c r="X55" s="173"/>
      <c r="Y55" s="173"/>
      <c r="Z55" s="176" t="str">
        <f>IF(B55="","",IF(S55&lt;&gt;"","Sevk Edildi",IF(AND(X55&lt;&gt;"",Y55=""),"Reworkte",IF(T55&lt;&gt;"","Kapandı"&amp;IF(COUNT(G55:R55)=0,""," – "&amp;LOOKUP(2,1/(G55:R55=MAX(G55:R55)),{"Tasarım","Ply Cutter","Üretim","Kalite (Üretim sonrası)","Talaşlı","Kalite (Talaşlı sonrası)","Montaj","Kalite (Montaj sonrası)","Boya","Kalite (Boya sonrası)","Yarı Mamül","KM"})),IF(COUNT(G55:R55)=0,"Başlamadı",LOOKUP(2,1/(G55:R55=MAX(G55:R55)),{"Tasarımda","Ply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55" s="177">
        <f t="shared" ca="1" si="2"/>
        <v>3</v>
      </c>
      <c r="AB55" s="175"/>
      <c r="AD55" t="str">
        <f>IF(OR($B55="",NOT(ISNUMBER(G55))),"",IF(COUNTIF(H55:$T55,G55)&gt;0,0,IF(COUNTIF($G55:$T55,"&gt;"&amp;G55)=0,"",SMALL($G55:$T55,COUNTIF($G55:$T55,"&lt;="&amp;G55)+1)-G55)))</f>
        <v/>
      </c>
      <c r="AE55" t="str">
        <f>IF(OR($B55="",NOT(ISNUMBER(H55))),"",IF(COUNTIF(I55:$T55,H55)&gt;0,0,IF(COUNTIF($G55:$T55,"&gt;"&amp;H55)=0,"",SMALL($G55:$T55,COUNTIF($G55:$T55,"&lt;="&amp;H55)+1)-H55)))</f>
        <v/>
      </c>
      <c r="AF55">
        <f>IF(OR($B55="",NOT(ISNUMBER(I55))),"",IF(COUNTIF(J55:$T55,I55)&gt;0,0,IF(COUNTIF($G55:$T55,"&gt;"&amp;I55)=0,"",SMALL($G55:$T55,COUNTIF($G55:$T55,"&lt;="&amp;I55)+1)-I55)))</f>
        <v>1</v>
      </c>
      <c r="AG55">
        <f>IF(OR($B55="",NOT(ISNUMBER(J55))),"",IF(COUNTIF(K55:$T55,J55)&gt;0,0,IF(COUNTIF($G55:$T55,"&gt;"&amp;J55)=0,"",SMALL($G55:$T55,COUNTIF($G55:$T55,"&lt;="&amp;J55)+1)-J55)))</f>
        <v>2</v>
      </c>
      <c r="AH55" t="str">
        <f>IF(OR($B55="",NOT(ISNUMBER(K55))),"",IF(COUNTIF(L55:$T55,K55)&gt;0,0,IF(COUNTIF($G55:$T55,"&gt;"&amp;K55)=0,"",SMALL($G55:$T55,COUNTIF($G55:$T55,"&lt;="&amp;K55)+1)-K55)))</f>
        <v/>
      </c>
      <c r="AI55" t="str">
        <f>IF(OR($B55="",NOT(ISNUMBER(L55))),"",IF(COUNTIF(M55:$T55,L55)&gt;0,0,IF(COUNTIF($G55:$T55,"&gt;"&amp;L55)=0,"",SMALL($G55:$T55,COUNTIF($G55:$T55,"&lt;="&amp;L55)+1)-L55)))</f>
        <v/>
      </c>
      <c r="AJ55" t="str">
        <f>IF(OR($B55="",NOT(ISNUMBER(M55))),"",IF(COUNTIF(N55:$T55,M55)&gt;0,0,IF(COUNTIF($G55:$T55,"&gt;"&amp;M55)=0,"",SMALL($G55:$T55,COUNTIF($G55:$T55,"&lt;="&amp;M55)+1)-M55)))</f>
        <v/>
      </c>
      <c r="AK55" t="str">
        <f>IF(OR($B55="",NOT(ISNUMBER(N55))),"",IF(COUNTIF(O55:$T55,N55)&gt;0,0,IF(COUNTIF($G55:$T55,"&gt;"&amp;N55)=0,"",SMALL($G55:$T55,COUNTIF($G55:$T55,"&lt;="&amp;N55)+1)-N55)))</f>
        <v/>
      </c>
      <c r="AL55" t="str">
        <f>IF(OR($B55="",NOT(ISNUMBER(O55))),"",IF(COUNTIF(P55:$T55,O55)&gt;0,0,IF(COUNTIF($G55:$T55,"&gt;"&amp;O55)=0,"",SMALL($G55:$T55,COUNTIF($G55:$T55,"&lt;="&amp;O55)+1)-O55)))</f>
        <v/>
      </c>
      <c r="AM55" t="str">
        <f>IF(OR($B55="",NOT(ISNUMBER(P55))),"",IF(COUNTIF(Q55:$T55,P55)&gt;0,0,IF(COUNTIF($G55:$T55,"&gt;"&amp;P55)=0,"",SMALL($G55:$T55,COUNTIF($G55:$T55,"&lt;="&amp;P55)+1)-P55)))</f>
        <v/>
      </c>
      <c r="AN55">
        <f>IF(OR($B55="",NOT(ISNUMBER(Q55))),"",IF(COUNTIF(R55:$T55,Q55)&gt;0,0,IF(COUNTIF($G55:$T55,"&gt;"&amp;Q55)=0,"",SMALL($G55:$T55,COUNTIF($G55:$T55,"&lt;="&amp;Q55)+1)-Q55)))</f>
        <v>0</v>
      </c>
      <c r="AO55" t="str">
        <f>IF(OR($B55="",NOT(ISNUMBER(R55))),"",IF(COUNTIF(S55:$T55,R55)&gt;0,0,IF(COUNTIF($G55:$T55,"&gt;"&amp;R55)=0,"",SMALL($G55:$T55,COUNTIF($G55:$T55,"&lt;="&amp;R55)+1)-R55)))</f>
        <v/>
      </c>
      <c r="AP55">
        <f t="shared" ca="1" si="3"/>
        <v>0</v>
      </c>
      <c r="AQ55" s="25" t="str">
        <f t="shared" si="4"/>
        <v/>
      </c>
      <c r="AR55" s="25" t="str">
        <f t="shared" si="5"/>
        <v/>
      </c>
      <c r="AS55" s="25">
        <f t="shared" si="6"/>
        <v>46291</v>
      </c>
      <c r="AT55" s="25">
        <f t="shared" si="7"/>
        <v>46293</v>
      </c>
      <c r="AU55" s="25" t="str">
        <f t="shared" si="8"/>
        <v/>
      </c>
      <c r="AV55" s="25" t="str">
        <f t="shared" si="9"/>
        <v/>
      </c>
      <c r="AW55" s="25" t="str">
        <f t="shared" si="10"/>
        <v/>
      </c>
      <c r="AX55" s="25" t="str">
        <f t="shared" si="11"/>
        <v/>
      </c>
      <c r="AY55" s="25" t="str">
        <f t="shared" si="12"/>
        <v/>
      </c>
      <c r="AZ55" s="25" t="str">
        <f t="shared" si="13"/>
        <v/>
      </c>
      <c r="BA55" s="25">
        <f t="shared" si="14"/>
        <v>46293</v>
      </c>
      <c r="BB55" s="25" t="str">
        <f t="shared" si="15"/>
        <v/>
      </c>
      <c r="BC55" s="25">
        <f t="shared" si="16"/>
        <v>46293</v>
      </c>
    </row>
    <row r="56" spans="1:55" ht="15" customHeight="1" x14ac:dyDescent="0.25">
      <c r="A56" s="151">
        <f t="shared" si="0"/>
        <v>54</v>
      </c>
      <c r="B56" s="151" t="s">
        <v>149</v>
      </c>
      <c r="C56" s="152" t="s">
        <v>64</v>
      </c>
      <c r="D56" s="151">
        <f t="shared" si="1"/>
        <v>1</v>
      </c>
      <c r="E56" s="151" t="s">
        <v>61</v>
      </c>
      <c r="F56" s="173">
        <v>46290</v>
      </c>
      <c r="G56" s="173"/>
      <c r="H56" s="173"/>
      <c r="I56" s="173">
        <v>46290</v>
      </c>
      <c r="J56" s="173">
        <v>46293</v>
      </c>
      <c r="K56" s="173"/>
      <c r="L56" s="173"/>
      <c r="M56" s="173"/>
      <c r="N56" s="173"/>
      <c r="O56" s="173"/>
      <c r="P56" s="173"/>
      <c r="Q56" s="173"/>
      <c r="R56" s="173"/>
      <c r="S56" s="173"/>
      <c r="T56" s="174">
        <v>46293</v>
      </c>
      <c r="U56" s="151"/>
      <c r="V56" s="152"/>
      <c r="W56" s="175"/>
      <c r="X56" s="173"/>
      <c r="Y56" s="173"/>
      <c r="Z56" s="176" t="str">
        <f>IF(B56="","",IF(S56&lt;&gt;"","Sevk Edildi",IF(AND(X56&lt;&gt;"",Y56=""),"Reworkte",IF(T56&lt;&gt;"","Kapandı"&amp;IF(COUNT(G56:R56)=0,""," – "&amp;LOOKUP(2,1/(G56:R56=MAX(G56:R56)),{"Tasarım","Ply Cutter","Üretim","Kalite (Üretim sonrası)","Talaşlı","Kalite (Talaşlı sonrası)","Montaj","Kalite (Montaj sonrası)","Boya","Kalite (Boya sonrası)","Yarı Mamül","KM"})),IF(COUNT(G56:R56)=0,"Başlamadı",LOOKUP(2,1/(G56:R56=MAX(G56:R56)),{"Tasarımda","Ply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6" s="177">
        <f t="shared" ca="1" si="2"/>
        <v>3</v>
      </c>
      <c r="AB56" s="175"/>
      <c r="AD56" t="str">
        <f>IF(OR($B56="",NOT(ISNUMBER(G56))),"",IF(COUNTIF(H56:$T56,G56)&gt;0,0,IF(COUNTIF($G56:$T56,"&gt;"&amp;G56)=0,"",SMALL($G56:$T56,COUNTIF($G56:$T56,"&lt;="&amp;G56)+1)-G56)))</f>
        <v/>
      </c>
      <c r="AE56" t="str">
        <f>IF(OR($B56="",NOT(ISNUMBER(H56))),"",IF(COUNTIF(I56:$T56,H56)&gt;0,0,IF(COUNTIF($G56:$T56,"&gt;"&amp;H56)=0,"",SMALL($G56:$T56,COUNTIF($G56:$T56,"&lt;="&amp;H56)+1)-H56)))</f>
        <v/>
      </c>
      <c r="AF56">
        <f>IF(OR($B56="",NOT(ISNUMBER(I56))),"",IF(COUNTIF(J56:$T56,I56)&gt;0,0,IF(COUNTIF($G56:$T56,"&gt;"&amp;I56)=0,"",SMALL($G56:$T56,COUNTIF($G56:$T56,"&lt;="&amp;I56)+1)-I56)))</f>
        <v>3</v>
      </c>
      <c r="AG56">
        <f>IF(OR($B56="",NOT(ISNUMBER(J56))),"",IF(COUNTIF(K56:$T56,J56)&gt;0,0,IF(COUNTIF($G56:$T56,"&gt;"&amp;J56)=0,"",SMALL($G56:$T56,COUNTIF($G56:$T56,"&lt;="&amp;J56)+1)-J56)))</f>
        <v>0</v>
      </c>
      <c r="AH56" t="str">
        <f>IF(OR($B56="",NOT(ISNUMBER(K56))),"",IF(COUNTIF(L56:$T56,K56)&gt;0,0,IF(COUNTIF($G56:$T56,"&gt;"&amp;K56)=0,"",SMALL($G56:$T56,COUNTIF($G56:$T56,"&lt;="&amp;K56)+1)-K56)))</f>
        <v/>
      </c>
      <c r="AI56" t="str">
        <f>IF(OR($B56="",NOT(ISNUMBER(L56))),"",IF(COUNTIF(M56:$T56,L56)&gt;0,0,IF(COUNTIF($G56:$T56,"&gt;"&amp;L56)=0,"",SMALL($G56:$T56,COUNTIF($G56:$T56,"&lt;="&amp;L56)+1)-L56)))</f>
        <v/>
      </c>
      <c r="AJ56" t="str">
        <f>IF(OR($B56="",NOT(ISNUMBER(M56))),"",IF(COUNTIF(N56:$T56,M56)&gt;0,0,IF(COUNTIF($G56:$T56,"&gt;"&amp;M56)=0,"",SMALL($G56:$T56,COUNTIF($G56:$T56,"&lt;="&amp;M56)+1)-M56)))</f>
        <v/>
      </c>
      <c r="AK56" t="str">
        <f>IF(OR($B56="",NOT(ISNUMBER(N56))),"",IF(COUNTIF(O56:$T56,N56)&gt;0,0,IF(COUNTIF($G56:$T56,"&gt;"&amp;N56)=0,"",SMALL($G56:$T56,COUNTIF($G56:$T56,"&lt;="&amp;N56)+1)-N56)))</f>
        <v/>
      </c>
      <c r="AL56" t="str">
        <f>IF(OR($B56="",NOT(ISNUMBER(O56))),"",IF(COUNTIF(P56:$T56,O56)&gt;0,0,IF(COUNTIF($G56:$T56,"&gt;"&amp;O56)=0,"",SMALL($G56:$T56,COUNTIF($G56:$T56,"&lt;="&amp;O56)+1)-O56)))</f>
        <v/>
      </c>
      <c r="AM56" t="str">
        <f>IF(OR($B56="",NOT(ISNUMBER(P56))),"",IF(COUNTIF(Q56:$T56,P56)&gt;0,0,IF(COUNTIF($G56:$T56,"&gt;"&amp;P56)=0,"",SMALL($G56:$T56,COUNTIF($G56:$T56,"&lt;="&amp;P56)+1)-P56)))</f>
        <v/>
      </c>
      <c r="AN56" t="str">
        <f>IF(OR($B56="",NOT(ISNUMBER(Q56))),"",IF(COUNTIF(R56:$T56,Q56)&gt;0,0,IF(COUNTIF($G56:$T56,"&gt;"&amp;Q56)=0,"",SMALL($G56:$T56,COUNTIF($G56:$T56,"&lt;="&amp;Q56)+1)-Q56)))</f>
        <v/>
      </c>
      <c r="AO56" t="str">
        <f>IF(OR($B56="",NOT(ISNUMBER(R56))),"",IF(COUNTIF(S56:$T56,R56)&gt;0,0,IF(COUNTIF($G56:$T56,"&gt;"&amp;R56)=0,"",SMALL($G56:$T56,COUNTIF($G56:$T56,"&lt;="&amp;R56)+1)-R56)))</f>
        <v/>
      </c>
      <c r="AP56">
        <f t="shared" ca="1" si="3"/>
        <v>0</v>
      </c>
      <c r="AQ56" s="25" t="str">
        <f t="shared" si="4"/>
        <v/>
      </c>
      <c r="AR56" s="25" t="str">
        <f t="shared" si="5"/>
        <v/>
      </c>
      <c r="AS56" s="25">
        <f t="shared" si="6"/>
        <v>46293</v>
      </c>
      <c r="AT56" s="25">
        <f t="shared" si="7"/>
        <v>46293</v>
      </c>
      <c r="AU56" s="25" t="str">
        <f t="shared" si="8"/>
        <v/>
      </c>
      <c r="AV56" s="25" t="str">
        <f t="shared" si="9"/>
        <v/>
      </c>
      <c r="AW56" s="25" t="str">
        <f t="shared" si="10"/>
        <v/>
      </c>
      <c r="AX56" s="25" t="str">
        <f t="shared" si="11"/>
        <v/>
      </c>
      <c r="AY56" s="25" t="str">
        <f t="shared" si="12"/>
        <v/>
      </c>
      <c r="AZ56" s="25" t="str">
        <f t="shared" si="13"/>
        <v/>
      </c>
      <c r="BA56" s="25" t="str">
        <f t="shared" si="14"/>
        <v/>
      </c>
      <c r="BB56" s="25" t="str">
        <f t="shared" si="15"/>
        <v/>
      </c>
      <c r="BC56" s="25">
        <f t="shared" si="16"/>
        <v>46293</v>
      </c>
    </row>
    <row r="57" spans="1:55" ht="15" customHeight="1" x14ac:dyDescent="0.25">
      <c r="A57" s="151">
        <f t="shared" si="0"/>
        <v>55</v>
      </c>
      <c r="B57" s="151" t="s">
        <v>150</v>
      </c>
      <c r="C57" s="152" t="s">
        <v>151</v>
      </c>
      <c r="D57" s="151">
        <f t="shared" si="1"/>
        <v>4</v>
      </c>
      <c r="E57" s="151" t="s">
        <v>100</v>
      </c>
      <c r="F57" s="173">
        <v>46290</v>
      </c>
      <c r="G57" s="173"/>
      <c r="H57" s="173"/>
      <c r="I57" s="173"/>
      <c r="J57" s="173"/>
      <c r="K57" s="173"/>
      <c r="L57" s="173"/>
      <c r="M57" s="173">
        <v>46290</v>
      </c>
      <c r="N57" s="173">
        <v>46291</v>
      </c>
      <c r="O57" s="173"/>
      <c r="P57" s="173"/>
      <c r="Q57" s="173"/>
      <c r="R57" s="173"/>
      <c r="S57" s="173"/>
      <c r="T57" s="174">
        <v>46291</v>
      </c>
      <c r="U57" s="151"/>
      <c r="V57" s="152"/>
      <c r="W57" s="175"/>
      <c r="X57" s="173"/>
      <c r="Y57" s="173"/>
      <c r="Z57" s="176" t="str">
        <f>IF(B57="","",IF(S57&lt;&gt;"","Sevk Edildi",IF(AND(X57&lt;&gt;"",Y57=""),"Reworkte",IF(T57&lt;&gt;"","Kapandı"&amp;IF(COUNT(G57:R57)=0,""," – "&amp;LOOKUP(2,1/(G57:R57=MAX(G57:R57)),{"Tasarım","Ply Cutter","Üretim","Kalite (Üretim sonrası)","Talaşlı","Kalite (Talaşlı sonrası)","Montaj","Kalite (Montaj sonrası)","Boya","Kalite (Boya sonrası)","Yarı Mamül","KM"})),IF(COUNT(G57:R57)=0,"Başlamadı",LOOKUP(2,1/(G57:R57=MAX(G57:R57)),{"Tasarımda","Ply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57" s="177">
        <f t="shared" ca="1" si="2"/>
        <v>1</v>
      </c>
      <c r="AB57" s="175"/>
      <c r="AD57" t="str">
        <f>IF(OR($B57="",NOT(ISNUMBER(G57))),"",IF(COUNTIF(H57:$T57,G57)&gt;0,0,IF(COUNTIF($G57:$T57,"&gt;"&amp;G57)=0,"",SMALL($G57:$T57,COUNTIF($G57:$T57,"&lt;="&amp;G57)+1)-G57)))</f>
        <v/>
      </c>
      <c r="AE57" t="str">
        <f>IF(OR($B57="",NOT(ISNUMBER(H57))),"",IF(COUNTIF(I57:$T57,H57)&gt;0,0,IF(COUNTIF($G57:$T57,"&gt;"&amp;H57)=0,"",SMALL($G57:$T57,COUNTIF($G57:$T57,"&lt;="&amp;H57)+1)-H57)))</f>
        <v/>
      </c>
      <c r="AF57" t="str">
        <f>IF(OR($B57="",NOT(ISNUMBER(I57))),"",IF(COUNTIF(J57:$T57,I57)&gt;0,0,IF(COUNTIF($G57:$T57,"&gt;"&amp;I57)=0,"",SMALL($G57:$T57,COUNTIF($G57:$T57,"&lt;="&amp;I57)+1)-I57)))</f>
        <v/>
      </c>
      <c r="AG57" t="str">
        <f>IF(OR($B57="",NOT(ISNUMBER(J57))),"",IF(COUNTIF(K57:$T57,J57)&gt;0,0,IF(COUNTIF($G57:$T57,"&gt;"&amp;J57)=0,"",SMALL($G57:$T57,COUNTIF($G57:$T57,"&lt;="&amp;J57)+1)-J57)))</f>
        <v/>
      </c>
      <c r="AH57" t="str">
        <f>IF(OR($B57="",NOT(ISNUMBER(K57))),"",IF(COUNTIF(L57:$T57,K57)&gt;0,0,IF(COUNTIF($G57:$T57,"&gt;"&amp;K57)=0,"",SMALL($G57:$T57,COUNTIF($G57:$T57,"&lt;="&amp;K57)+1)-K57)))</f>
        <v/>
      </c>
      <c r="AI57" t="str">
        <f>IF(OR($B57="",NOT(ISNUMBER(L57))),"",IF(COUNTIF(M57:$T57,L57)&gt;0,0,IF(COUNTIF($G57:$T57,"&gt;"&amp;L57)=0,"",SMALL($G57:$T57,COUNTIF($G57:$T57,"&lt;="&amp;L57)+1)-L57)))</f>
        <v/>
      </c>
      <c r="AJ57">
        <f>IF(OR($B57="",NOT(ISNUMBER(M57))),"",IF(COUNTIF(N57:$T57,M57)&gt;0,0,IF(COUNTIF($G57:$T57,"&gt;"&amp;M57)=0,"",SMALL($G57:$T57,COUNTIF($G57:$T57,"&lt;="&amp;M57)+1)-M57)))</f>
        <v>1</v>
      </c>
      <c r="AK57">
        <f>IF(OR($B57="",NOT(ISNUMBER(N57))),"",IF(COUNTIF(O57:$T57,N57)&gt;0,0,IF(COUNTIF($G57:$T57,"&gt;"&amp;N57)=0,"",SMALL($G57:$T57,COUNTIF($G57:$T57,"&lt;="&amp;N57)+1)-N57)))</f>
        <v>0</v>
      </c>
      <c r="AL57" t="str">
        <f>IF(OR($B57="",NOT(ISNUMBER(O57))),"",IF(COUNTIF(P57:$T57,O57)&gt;0,0,IF(COUNTIF($G57:$T57,"&gt;"&amp;O57)=0,"",SMALL($G57:$T57,COUNTIF($G57:$T57,"&lt;="&amp;O57)+1)-O57)))</f>
        <v/>
      </c>
      <c r="AM57" t="str">
        <f>IF(OR($B57="",NOT(ISNUMBER(P57))),"",IF(COUNTIF(Q57:$T57,P57)&gt;0,0,IF(COUNTIF($G57:$T57,"&gt;"&amp;P57)=0,"",SMALL($G57:$T57,COUNTIF($G57:$T57,"&lt;="&amp;P57)+1)-P57)))</f>
        <v/>
      </c>
      <c r="AN57" t="str">
        <f>IF(OR($B57="",NOT(ISNUMBER(Q57))),"",IF(COUNTIF(R57:$T57,Q57)&gt;0,0,IF(COUNTIF($G57:$T57,"&gt;"&amp;Q57)=0,"",SMALL($G57:$T57,COUNTIF($G57:$T57,"&lt;="&amp;Q57)+1)-Q57)))</f>
        <v/>
      </c>
      <c r="AO57" t="str">
        <f>IF(OR($B57="",NOT(ISNUMBER(R57))),"",IF(COUNTIF(S57:$T57,R57)&gt;0,0,IF(COUNTIF($G57:$T57,"&gt;"&amp;R57)=0,"",SMALL($G57:$T57,COUNTIF($G57:$T57,"&lt;="&amp;R57)+1)-R57)))</f>
        <v/>
      </c>
      <c r="AP57">
        <f t="shared" ca="1" si="3"/>
        <v>0</v>
      </c>
      <c r="AQ57" s="25" t="str">
        <f t="shared" si="4"/>
        <v/>
      </c>
      <c r="AR57" s="25" t="str">
        <f t="shared" si="5"/>
        <v/>
      </c>
      <c r="AS57" s="25" t="str">
        <f t="shared" si="6"/>
        <v/>
      </c>
      <c r="AT57" s="25" t="str">
        <f t="shared" si="7"/>
        <v/>
      </c>
      <c r="AU57" s="25" t="str">
        <f t="shared" si="8"/>
        <v/>
      </c>
      <c r="AV57" s="25" t="str">
        <f t="shared" si="9"/>
        <v/>
      </c>
      <c r="AW57" s="25">
        <f t="shared" si="10"/>
        <v>46291</v>
      </c>
      <c r="AX57" s="25">
        <f t="shared" si="11"/>
        <v>46291</v>
      </c>
      <c r="AY57" s="25" t="str">
        <f t="shared" si="12"/>
        <v/>
      </c>
      <c r="AZ57" s="25" t="str">
        <f t="shared" si="13"/>
        <v/>
      </c>
      <c r="BA57" s="25" t="str">
        <f t="shared" si="14"/>
        <v/>
      </c>
      <c r="BB57" s="25" t="str">
        <f t="shared" si="15"/>
        <v/>
      </c>
      <c r="BC57" s="25">
        <f t="shared" si="16"/>
        <v>46291</v>
      </c>
    </row>
    <row r="58" spans="1:55" ht="15" customHeight="1" x14ac:dyDescent="0.25">
      <c r="A58" s="151">
        <f t="shared" si="0"/>
        <v>56</v>
      </c>
      <c r="B58" s="151" t="s">
        <v>152</v>
      </c>
      <c r="C58" s="152" t="s">
        <v>64</v>
      </c>
      <c r="D58" s="151">
        <f t="shared" si="1"/>
        <v>1</v>
      </c>
      <c r="E58" s="151" t="s">
        <v>61</v>
      </c>
      <c r="F58" s="173">
        <v>46290</v>
      </c>
      <c r="G58" s="173"/>
      <c r="H58" s="173"/>
      <c r="I58" s="173">
        <v>46290</v>
      </c>
      <c r="J58" s="173">
        <v>46293</v>
      </c>
      <c r="K58" s="173"/>
      <c r="L58" s="173"/>
      <c r="M58" s="173"/>
      <c r="N58" s="173"/>
      <c r="O58" s="173"/>
      <c r="P58" s="173"/>
      <c r="Q58" s="173"/>
      <c r="R58" s="173"/>
      <c r="S58" s="173"/>
      <c r="T58" s="174">
        <v>46293</v>
      </c>
      <c r="U58" s="151"/>
      <c r="V58" s="152"/>
      <c r="W58" s="175"/>
      <c r="X58" s="173"/>
      <c r="Y58" s="173"/>
      <c r="Z58" s="176" t="str">
        <f>IF(B58="","",IF(S58&lt;&gt;"","Sevk Edildi",IF(AND(X58&lt;&gt;"",Y58=""),"Reworkte",IF(T58&lt;&gt;"","Kapandı"&amp;IF(COUNT(G58:R58)=0,""," – "&amp;LOOKUP(2,1/(G58:R58=MAX(G58:R58)),{"Tasarım","Ply Cutter","Üretim","Kalite (Üretim sonrası)","Talaşlı","Kalite (Talaşlı sonrası)","Montaj","Kalite (Montaj sonrası)","Boya","Kalite (Boya sonrası)","Yarı Mamül","KM"})),IF(COUNT(G58:R58)=0,"Başlamadı",LOOKUP(2,1/(G58:R58=MAX(G58:R58)),{"Tasarımda","Ply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8" s="177">
        <f t="shared" ca="1" si="2"/>
        <v>3</v>
      </c>
      <c r="AB58" s="175"/>
      <c r="AD58" t="str">
        <f>IF(OR($B58="",NOT(ISNUMBER(G58))),"",IF(COUNTIF(H58:$T58,G58)&gt;0,0,IF(COUNTIF($G58:$T58,"&gt;"&amp;G58)=0,"",SMALL($G58:$T58,COUNTIF($G58:$T58,"&lt;="&amp;G58)+1)-G58)))</f>
        <v/>
      </c>
      <c r="AE58" t="str">
        <f>IF(OR($B58="",NOT(ISNUMBER(H58))),"",IF(COUNTIF(I58:$T58,H58)&gt;0,0,IF(COUNTIF($G58:$T58,"&gt;"&amp;H58)=0,"",SMALL($G58:$T58,COUNTIF($G58:$T58,"&lt;="&amp;H58)+1)-H58)))</f>
        <v/>
      </c>
      <c r="AF58">
        <f>IF(OR($B58="",NOT(ISNUMBER(I58))),"",IF(COUNTIF(J58:$T58,I58)&gt;0,0,IF(COUNTIF($G58:$T58,"&gt;"&amp;I58)=0,"",SMALL($G58:$T58,COUNTIF($G58:$T58,"&lt;="&amp;I58)+1)-I58)))</f>
        <v>3</v>
      </c>
      <c r="AG58">
        <f>IF(OR($B58="",NOT(ISNUMBER(J58))),"",IF(COUNTIF(K58:$T58,J58)&gt;0,0,IF(COUNTIF($G58:$T58,"&gt;"&amp;J58)=0,"",SMALL($G58:$T58,COUNTIF($G58:$T58,"&lt;="&amp;J58)+1)-J58)))</f>
        <v>0</v>
      </c>
      <c r="AH58" t="str">
        <f>IF(OR($B58="",NOT(ISNUMBER(K58))),"",IF(COUNTIF(L58:$T58,K58)&gt;0,0,IF(COUNTIF($G58:$T58,"&gt;"&amp;K58)=0,"",SMALL($G58:$T58,COUNTIF($G58:$T58,"&lt;="&amp;K58)+1)-K58)))</f>
        <v/>
      </c>
      <c r="AI58" t="str">
        <f>IF(OR($B58="",NOT(ISNUMBER(L58))),"",IF(COUNTIF(M58:$T58,L58)&gt;0,0,IF(COUNTIF($G58:$T58,"&gt;"&amp;L58)=0,"",SMALL($G58:$T58,COUNTIF($G58:$T58,"&lt;="&amp;L58)+1)-L58)))</f>
        <v/>
      </c>
      <c r="AJ58" t="str">
        <f>IF(OR($B58="",NOT(ISNUMBER(M58))),"",IF(COUNTIF(N58:$T58,M58)&gt;0,0,IF(COUNTIF($G58:$T58,"&gt;"&amp;M58)=0,"",SMALL($G58:$T58,COUNTIF($G58:$T58,"&lt;="&amp;M58)+1)-M58)))</f>
        <v/>
      </c>
      <c r="AK58" t="str">
        <f>IF(OR($B58="",NOT(ISNUMBER(N58))),"",IF(COUNTIF(O58:$T58,N58)&gt;0,0,IF(COUNTIF($G58:$T58,"&gt;"&amp;N58)=0,"",SMALL($G58:$T58,COUNTIF($G58:$T58,"&lt;="&amp;N58)+1)-N58)))</f>
        <v/>
      </c>
      <c r="AL58" t="str">
        <f>IF(OR($B58="",NOT(ISNUMBER(O58))),"",IF(COUNTIF(P58:$T58,O58)&gt;0,0,IF(COUNTIF($G58:$T58,"&gt;"&amp;O58)=0,"",SMALL($G58:$T58,COUNTIF($G58:$T58,"&lt;="&amp;O58)+1)-O58)))</f>
        <v/>
      </c>
      <c r="AM58" t="str">
        <f>IF(OR($B58="",NOT(ISNUMBER(P58))),"",IF(COUNTIF(Q58:$T58,P58)&gt;0,0,IF(COUNTIF($G58:$T58,"&gt;"&amp;P58)=0,"",SMALL($G58:$T58,COUNTIF($G58:$T58,"&lt;="&amp;P58)+1)-P58)))</f>
        <v/>
      </c>
      <c r="AN58" t="str">
        <f>IF(OR($B58="",NOT(ISNUMBER(Q58))),"",IF(COUNTIF(R58:$T58,Q58)&gt;0,0,IF(COUNTIF($G58:$T58,"&gt;"&amp;Q58)=0,"",SMALL($G58:$T58,COUNTIF($G58:$T58,"&lt;="&amp;Q58)+1)-Q58)))</f>
        <v/>
      </c>
      <c r="AO58" t="str">
        <f>IF(OR($B58="",NOT(ISNUMBER(R58))),"",IF(COUNTIF(S58:$T58,R58)&gt;0,0,IF(COUNTIF($G58:$T58,"&gt;"&amp;R58)=0,"",SMALL($G58:$T58,COUNTIF($G58:$T58,"&lt;="&amp;R58)+1)-R58)))</f>
        <v/>
      </c>
      <c r="AP58">
        <f t="shared" ca="1" si="3"/>
        <v>0</v>
      </c>
      <c r="AQ58" s="25" t="str">
        <f t="shared" si="4"/>
        <v/>
      </c>
      <c r="AR58" s="25" t="str">
        <f t="shared" si="5"/>
        <v/>
      </c>
      <c r="AS58" s="25">
        <f t="shared" si="6"/>
        <v>46293</v>
      </c>
      <c r="AT58" s="25">
        <f t="shared" si="7"/>
        <v>46293</v>
      </c>
      <c r="AU58" s="25" t="str">
        <f t="shared" si="8"/>
        <v/>
      </c>
      <c r="AV58" s="25" t="str">
        <f t="shared" si="9"/>
        <v/>
      </c>
      <c r="AW58" s="25" t="str">
        <f t="shared" si="10"/>
        <v/>
      </c>
      <c r="AX58" s="25" t="str">
        <f t="shared" si="11"/>
        <v/>
      </c>
      <c r="AY58" s="25" t="str">
        <f t="shared" si="12"/>
        <v/>
      </c>
      <c r="AZ58" s="25" t="str">
        <f t="shared" si="13"/>
        <v/>
      </c>
      <c r="BA58" s="25" t="str">
        <f t="shared" si="14"/>
        <v/>
      </c>
      <c r="BB58" s="25" t="str">
        <f t="shared" si="15"/>
        <v/>
      </c>
      <c r="BC58" s="25">
        <f t="shared" si="16"/>
        <v>46293</v>
      </c>
    </row>
    <row r="59" spans="1:55" ht="15" customHeight="1" x14ac:dyDescent="0.25">
      <c r="A59" s="151">
        <f t="shared" si="0"/>
        <v>57</v>
      </c>
      <c r="B59" s="151" t="s">
        <v>153</v>
      </c>
      <c r="C59" s="152" t="s">
        <v>76</v>
      </c>
      <c r="D59" s="151">
        <f t="shared" si="1"/>
        <v>1</v>
      </c>
      <c r="E59" s="151" t="s">
        <v>61</v>
      </c>
      <c r="F59" s="173">
        <v>46290</v>
      </c>
      <c r="G59" s="173"/>
      <c r="H59" s="173"/>
      <c r="I59" s="173">
        <v>46290</v>
      </c>
      <c r="J59" s="173">
        <v>46291</v>
      </c>
      <c r="K59" s="173"/>
      <c r="L59" s="173"/>
      <c r="M59" s="173"/>
      <c r="N59" s="173"/>
      <c r="O59" s="173"/>
      <c r="P59" s="173"/>
      <c r="Q59" s="173"/>
      <c r="R59" s="173"/>
      <c r="S59" s="173"/>
      <c r="T59" s="174">
        <v>46291</v>
      </c>
      <c r="U59" s="151"/>
      <c r="V59" s="152"/>
      <c r="W59" s="175"/>
      <c r="X59" s="173"/>
      <c r="Y59" s="173"/>
      <c r="Z59" s="176" t="str">
        <f>IF(B59="","",IF(S59&lt;&gt;"","Sevk Edildi",IF(AND(X59&lt;&gt;"",Y59=""),"Reworkte",IF(T59&lt;&gt;"","Kapandı"&amp;IF(COUNT(G59:R59)=0,""," – "&amp;LOOKUP(2,1/(G59:R59=MAX(G59:R59)),{"Tasarım","Ply Cutter","Üretim","Kalite (Üretim sonrası)","Talaşlı","Kalite (Talaşlı sonrası)","Montaj","Kalite (Montaj sonrası)","Boya","Kalite (Boya sonrası)","Yarı Mamül","KM"})),IF(COUNT(G59:R59)=0,"Başlamadı",LOOKUP(2,1/(G59:R59=MAX(G59:R59)),{"Tasarımda","Ply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9" s="177">
        <f t="shared" ca="1" si="2"/>
        <v>1</v>
      </c>
      <c r="AB59" s="175"/>
      <c r="AD59" t="str">
        <f>IF(OR($B59="",NOT(ISNUMBER(G59))),"",IF(COUNTIF(H59:$T59,G59)&gt;0,0,IF(COUNTIF($G59:$T59,"&gt;"&amp;G59)=0,"",SMALL($G59:$T59,COUNTIF($G59:$T59,"&lt;="&amp;G59)+1)-G59)))</f>
        <v/>
      </c>
      <c r="AE59" t="str">
        <f>IF(OR($B59="",NOT(ISNUMBER(H59))),"",IF(COUNTIF(I59:$T59,H59)&gt;0,0,IF(COUNTIF($G59:$T59,"&gt;"&amp;H59)=0,"",SMALL($G59:$T59,COUNTIF($G59:$T59,"&lt;="&amp;H59)+1)-H59)))</f>
        <v/>
      </c>
      <c r="AF59">
        <f>IF(OR($B59="",NOT(ISNUMBER(I59))),"",IF(COUNTIF(J59:$T59,I59)&gt;0,0,IF(COUNTIF($G59:$T59,"&gt;"&amp;I59)=0,"",SMALL($G59:$T59,COUNTIF($G59:$T59,"&lt;="&amp;I59)+1)-I59)))</f>
        <v>1</v>
      </c>
      <c r="AG59">
        <f>IF(OR($B59="",NOT(ISNUMBER(J59))),"",IF(COUNTIF(K59:$T59,J59)&gt;0,0,IF(COUNTIF($G59:$T59,"&gt;"&amp;J59)=0,"",SMALL($G59:$T59,COUNTIF($G59:$T59,"&lt;="&amp;J59)+1)-J59)))</f>
        <v>0</v>
      </c>
      <c r="AH59" t="str">
        <f>IF(OR($B59="",NOT(ISNUMBER(K59))),"",IF(COUNTIF(L59:$T59,K59)&gt;0,0,IF(COUNTIF($G59:$T59,"&gt;"&amp;K59)=0,"",SMALL($G59:$T59,COUNTIF($G59:$T59,"&lt;="&amp;K59)+1)-K59)))</f>
        <v/>
      </c>
      <c r="AI59" t="str">
        <f>IF(OR($B59="",NOT(ISNUMBER(L59))),"",IF(COUNTIF(M59:$T59,L59)&gt;0,0,IF(COUNTIF($G59:$T59,"&gt;"&amp;L59)=0,"",SMALL($G59:$T59,COUNTIF($G59:$T59,"&lt;="&amp;L59)+1)-L59)))</f>
        <v/>
      </c>
      <c r="AJ59" t="str">
        <f>IF(OR($B59="",NOT(ISNUMBER(M59))),"",IF(COUNTIF(N59:$T59,M59)&gt;0,0,IF(COUNTIF($G59:$T59,"&gt;"&amp;M59)=0,"",SMALL($G59:$T59,COUNTIF($G59:$T59,"&lt;="&amp;M59)+1)-M59)))</f>
        <v/>
      </c>
      <c r="AK59" t="str">
        <f>IF(OR($B59="",NOT(ISNUMBER(N59))),"",IF(COUNTIF(O59:$T59,N59)&gt;0,0,IF(COUNTIF($G59:$T59,"&gt;"&amp;N59)=0,"",SMALL($G59:$T59,COUNTIF($G59:$T59,"&lt;="&amp;N59)+1)-N59)))</f>
        <v/>
      </c>
      <c r="AL59" t="str">
        <f>IF(OR($B59="",NOT(ISNUMBER(O59))),"",IF(COUNTIF(P59:$T59,O59)&gt;0,0,IF(COUNTIF($G59:$T59,"&gt;"&amp;O59)=0,"",SMALL($G59:$T59,COUNTIF($G59:$T59,"&lt;="&amp;O59)+1)-O59)))</f>
        <v/>
      </c>
      <c r="AM59" t="str">
        <f>IF(OR($B59="",NOT(ISNUMBER(P59))),"",IF(COUNTIF(Q59:$T59,P59)&gt;0,0,IF(COUNTIF($G59:$T59,"&gt;"&amp;P59)=0,"",SMALL($G59:$T59,COUNTIF($G59:$T59,"&lt;="&amp;P59)+1)-P59)))</f>
        <v/>
      </c>
      <c r="AN59" t="str">
        <f>IF(OR($B59="",NOT(ISNUMBER(Q59))),"",IF(COUNTIF(R59:$T59,Q59)&gt;0,0,IF(COUNTIF($G59:$T59,"&gt;"&amp;Q59)=0,"",SMALL($G59:$T59,COUNTIF($G59:$T59,"&lt;="&amp;Q59)+1)-Q59)))</f>
        <v/>
      </c>
      <c r="AO59" t="str">
        <f>IF(OR($B59="",NOT(ISNUMBER(R59))),"",IF(COUNTIF(S59:$T59,R59)&gt;0,0,IF(COUNTIF($G59:$T59,"&gt;"&amp;R59)=0,"",SMALL($G59:$T59,COUNTIF($G59:$T59,"&lt;="&amp;R59)+1)-R59)))</f>
        <v/>
      </c>
      <c r="AP59">
        <f t="shared" ca="1" si="3"/>
        <v>0</v>
      </c>
      <c r="AQ59" s="25" t="str">
        <f t="shared" si="4"/>
        <v/>
      </c>
      <c r="AR59" s="25" t="str">
        <f t="shared" si="5"/>
        <v/>
      </c>
      <c r="AS59" s="25">
        <f t="shared" si="6"/>
        <v>46291</v>
      </c>
      <c r="AT59" s="25">
        <f t="shared" si="7"/>
        <v>46291</v>
      </c>
      <c r="AU59" s="25" t="str">
        <f t="shared" si="8"/>
        <v/>
      </c>
      <c r="AV59" s="25" t="str">
        <f t="shared" si="9"/>
        <v/>
      </c>
      <c r="AW59" s="25" t="str">
        <f t="shared" si="10"/>
        <v/>
      </c>
      <c r="AX59" s="25" t="str">
        <f t="shared" si="11"/>
        <v/>
      </c>
      <c r="AY59" s="25" t="str">
        <f t="shared" si="12"/>
        <v/>
      </c>
      <c r="AZ59" s="25" t="str">
        <f t="shared" si="13"/>
        <v/>
      </c>
      <c r="BA59" s="25" t="str">
        <f t="shared" si="14"/>
        <v/>
      </c>
      <c r="BB59" s="25" t="str">
        <f t="shared" si="15"/>
        <v/>
      </c>
      <c r="BC59" s="25">
        <f t="shared" si="16"/>
        <v>46291</v>
      </c>
    </row>
    <row r="60" spans="1:55" ht="15" customHeight="1" x14ac:dyDescent="0.25">
      <c r="A60" s="151">
        <f t="shared" si="0"/>
        <v>58</v>
      </c>
      <c r="B60" s="151" t="s">
        <v>154</v>
      </c>
      <c r="C60" s="152" t="s">
        <v>74</v>
      </c>
      <c r="D60" s="151">
        <f t="shared" si="1"/>
        <v>1</v>
      </c>
      <c r="E60" s="151" t="s">
        <v>61</v>
      </c>
      <c r="F60" s="173">
        <v>46290</v>
      </c>
      <c r="G60" s="173"/>
      <c r="H60" s="173"/>
      <c r="I60" s="173">
        <v>46290</v>
      </c>
      <c r="J60" s="173">
        <v>46293</v>
      </c>
      <c r="K60" s="173"/>
      <c r="L60" s="173"/>
      <c r="M60" s="173"/>
      <c r="N60" s="173"/>
      <c r="O60" s="173"/>
      <c r="P60" s="173"/>
      <c r="Q60" s="173">
        <v>46294</v>
      </c>
      <c r="R60" s="173"/>
      <c r="S60" s="173"/>
      <c r="T60" s="174">
        <v>46294</v>
      </c>
      <c r="U60" s="151"/>
      <c r="V60" s="152"/>
      <c r="W60" s="175"/>
      <c r="X60" s="173"/>
      <c r="Y60" s="173"/>
      <c r="Z60" s="176" t="str">
        <f>IF(B60="","",IF(S60&lt;&gt;"","Sevk Edildi",IF(AND(X60&lt;&gt;"",Y60=""),"Reworkte",IF(T60&lt;&gt;"","Kapandı"&amp;IF(COUNT(G60:R60)=0,""," – "&amp;LOOKUP(2,1/(G60:R60=MAX(G60:R60)),{"Tasarım","Ply Cutter","Üretim","Kalite (Üretim sonrası)","Talaşlı","Kalite (Talaşlı sonrası)","Montaj","Kalite (Montaj sonrası)","Boya","Kalite (Boya sonrası)","Yarı Mamül","KM"})),IF(COUNT(G60:R60)=0,"Başlamadı",LOOKUP(2,1/(G60:R60=MAX(G60:R60)),{"Tasarımda","Ply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60" s="177">
        <f t="shared" ca="1" si="2"/>
        <v>4</v>
      </c>
      <c r="AB60" s="175"/>
      <c r="AD60" t="str">
        <f>IF(OR($B60="",NOT(ISNUMBER(G60))),"",IF(COUNTIF(H60:$T60,G60)&gt;0,0,IF(COUNTIF($G60:$T60,"&gt;"&amp;G60)=0,"",SMALL($G60:$T60,COUNTIF($G60:$T60,"&lt;="&amp;G60)+1)-G60)))</f>
        <v/>
      </c>
      <c r="AE60" t="str">
        <f>IF(OR($B60="",NOT(ISNUMBER(H60))),"",IF(COUNTIF(I60:$T60,H60)&gt;0,0,IF(COUNTIF($G60:$T60,"&gt;"&amp;H60)=0,"",SMALL($G60:$T60,COUNTIF($G60:$T60,"&lt;="&amp;H60)+1)-H60)))</f>
        <v/>
      </c>
      <c r="AF60">
        <f>IF(OR($B60="",NOT(ISNUMBER(I60))),"",IF(COUNTIF(J60:$T60,I60)&gt;0,0,IF(COUNTIF($G60:$T60,"&gt;"&amp;I60)=0,"",SMALL($G60:$T60,COUNTIF($G60:$T60,"&lt;="&amp;I60)+1)-I60)))</f>
        <v>3</v>
      </c>
      <c r="AG60">
        <f>IF(OR($B60="",NOT(ISNUMBER(J60))),"",IF(COUNTIF(K60:$T60,J60)&gt;0,0,IF(COUNTIF($G60:$T60,"&gt;"&amp;J60)=0,"",SMALL($G60:$T60,COUNTIF($G60:$T60,"&lt;="&amp;J60)+1)-J60)))</f>
        <v>1</v>
      </c>
      <c r="AH60" t="str">
        <f>IF(OR($B60="",NOT(ISNUMBER(K60))),"",IF(COUNTIF(L60:$T60,K60)&gt;0,0,IF(COUNTIF($G60:$T60,"&gt;"&amp;K60)=0,"",SMALL($G60:$T60,COUNTIF($G60:$T60,"&lt;="&amp;K60)+1)-K60)))</f>
        <v/>
      </c>
      <c r="AI60" t="str">
        <f>IF(OR($B60="",NOT(ISNUMBER(L60))),"",IF(COUNTIF(M60:$T60,L60)&gt;0,0,IF(COUNTIF($G60:$T60,"&gt;"&amp;L60)=0,"",SMALL($G60:$T60,COUNTIF($G60:$T60,"&lt;="&amp;L60)+1)-L60)))</f>
        <v/>
      </c>
      <c r="AJ60" t="str">
        <f>IF(OR($B60="",NOT(ISNUMBER(M60))),"",IF(COUNTIF(N60:$T60,M60)&gt;0,0,IF(COUNTIF($G60:$T60,"&gt;"&amp;M60)=0,"",SMALL($G60:$T60,COUNTIF($G60:$T60,"&lt;="&amp;M60)+1)-M60)))</f>
        <v/>
      </c>
      <c r="AK60" t="str">
        <f>IF(OR($B60="",NOT(ISNUMBER(N60))),"",IF(COUNTIF(O60:$T60,N60)&gt;0,0,IF(COUNTIF($G60:$T60,"&gt;"&amp;N60)=0,"",SMALL($G60:$T60,COUNTIF($G60:$T60,"&lt;="&amp;N60)+1)-N60)))</f>
        <v/>
      </c>
      <c r="AL60" t="str">
        <f>IF(OR($B60="",NOT(ISNUMBER(O60))),"",IF(COUNTIF(P60:$T60,O60)&gt;0,0,IF(COUNTIF($G60:$T60,"&gt;"&amp;O60)=0,"",SMALL($G60:$T60,COUNTIF($G60:$T60,"&lt;="&amp;O60)+1)-O60)))</f>
        <v/>
      </c>
      <c r="AM60" t="str">
        <f>IF(OR($B60="",NOT(ISNUMBER(P60))),"",IF(COUNTIF(Q60:$T60,P60)&gt;0,0,IF(COUNTIF($G60:$T60,"&gt;"&amp;P60)=0,"",SMALL($G60:$T60,COUNTIF($G60:$T60,"&lt;="&amp;P60)+1)-P60)))</f>
        <v/>
      </c>
      <c r="AN60">
        <f>IF(OR($B60="",NOT(ISNUMBER(Q60))),"",IF(COUNTIF(R60:$T60,Q60)&gt;0,0,IF(COUNTIF($G60:$T60,"&gt;"&amp;Q60)=0,"",SMALL($G60:$T60,COUNTIF($G60:$T60,"&lt;="&amp;Q60)+1)-Q60)))</f>
        <v>0</v>
      </c>
      <c r="AO60" t="str">
        <f>IF(OR($B60="",NOT(ISNUMBER(R60))),"",IF(COUNTIF(S60:$T60,R60)&gt;0,0,IF(COUNTIF($G60:$T60,"&gt;"&amp;R60)=0,"",SMALL($G60:$T60,COUNTIF($G60:$T60,"&lt;="&amp;R60)+1)-R60)))</f>
        <v/>
      </c>
      <c r="AP60">
        <f t="shared" ca="1" si="3"/>
        <v>0</v>
      </c>
      <c r="AQ60" s="25" t="str">
        <f t="shared" si="4"/>
        <v/>
      </c>
      <c r="AR60" s="25" t="str">
        <f t="shared" si="5"/>
        <v/>
      </c>
      <c r="AS60" s="25">
        <f t="shared" si="6"/>
        <v>46293</v>
      </c>
      <c r="AT60" s="25">
        <f t="shared" si="7"/>
        <v>46294</v>
      </c>
      <c r="AU60" s="25" t="str">
        <f t="shared" si="8"/>
        <v/>
      </c>
      <c r="AV60" s="25" t="str">
        <f t="shared" si="9"/>
        <v/>
      </c>
      <c r="AW60" s="25" t="str">
        <f t="shared" si="10"/>
        <v/>
      </c>
      <c r="AX60" s="25" t="str">
        <f t="shared" si="11"/>
        <v/>
      </c>
      <c r="AY60" s="25" t="str">
        <f t="shared" si="12"/>
        <v/>
      </c>
      <c r="AZ60" s="25" t="str">
        <f t="shared" si="13"/>
        <v/>
      </c>
      <c r="BA60" s="25">
        <f t="shared" si="14"/>
        <v>46294</v>
      </c>
      <c r="BB60" s="25" t="str">
        <f t="shared" si="15"/>
        <v/>
      </c>
      <c r="BC60" s="25">
        <f t="shared" si="16"/>
        <v>46294</v>
      </c>
    </row>
    <row r="61" spans="1:55" ht="15" customHeight="1" x14ac:dyDescent="0.25">
      <c r="A61" s="151">
        <f t="shared" si="0"/>
        <v>59</v>
      </c>
      <c r="B61" s="151" t="s">
        <v>155</v>
      </c>
      <c r="C61" s="152" t="s">
        <v>80</v>
      </c>
      <c r="D61" s="151">
        <f t="shared" si="1"/>
        <v>1</v>
      </c>
      <c r="E61" s="151" t="s">
        <v>61</v>
      </c>
      <c r="F61" s="173">
        <v>46290</v>
      </c>
      <c r="G61" s="173"/>
      <c r="H61" s="173"/>
      <c r="I61" s="173">
        <v>46290</v>
      </c>
      <c r="J61" s="173">
        <v>46291</v>
      </c>
      <c r="K61" s="173"/>
      <c r="L61" s="173"/>
      <c r="M61" s="173"/>
      <c r="N61" s="173"/>
      <c r="O61" s="173"/>
      <c r="P61" s="173"/>
      <c r="Q61" s="173">
        <v>46295</v>
      </c>
      <c r="R61" s="173"/>
      <c r="S61" s="173"/>
      <c r="T61" s="174">
        <v>46295</v>
      </c>
      <c r="U61" s="151"/>
      <c r="V61" s="152"/>
      <c r="W61" s="175"/>
      <c r="X61" s="173"/>
      <c r="Y61" s="173"/>
      <c r="Z61" s="176" t="str">
        <f>IF(B61="","",IF(S61&lt;&gt;"","Sevk Edildi",IF(AND(X61&lt;&gt;"",Y61=""),"Reworkte",IF(T61&lt;&gt;"","Kapandı"&amp;IF(COUNT(G61:R61)=0,""," – "&amp;LOOKUP(2,1/(G61:R61=MAX(G61:R61)),{"Tasarım","Ply Cutter","Üretim","Kalite (Üretim sonrası)","Talaşlı","Kalite (Talaşlı sonrası)","Montaj","Kalite (Montaj sonrası)","Boya","Kalite (Boya sonrası)","Yarı Mamül","KM"})),IF(COUNT(G61:R61)=0,"Başlamadı",LOOKUP(2,1/(G61:R61=MAX(G61:R61)),{"Tasarımda","Ply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61" s="177">
        <f t="shared" ca="1" si="2"/>
        <v>5</v>
      </c>
      <c r="AB61" s="175"/>
      <c r="AD61" t="str">
        <f>IF(OR($B61="",NOT(ISNUMBER(G61))),"",IF(COUNTIF(H61:$T61,G61)&gt;0,0,IF(COUNTIF($G61:$T61,"&gt;"&amp;G61)=0,"",SMALL($G61:$T61,COUNTIF($G61:$T61,"&lt;="&amp;G61)+1)-G61)))</f>
        <v/>
      </c>
      <c r="AE61" t="str">
        <f>IF(OR($B61="",NOT(ISNUMBER(H61))),"",IF(COUNTIF(I61:$T61,H61)&gt;0,0,IF(COUNTIF($G61:$T61,"&gt;"&amp;H61)=0,"",SMALL($G61:$T61,COUNTIF($G61:$T61,"&lt;="&amp;H61)+1)-H61)))</f>
        <v/>
      </c>
      <c r="AF61">
        <f>IF(OR($B61="",NOT(ISNUMBER(I61))),"",IF(COUNTIF(J61:$T61,I61)&gt;0,0,IF(COUNTIF($G61:$T61,"&gt;"&amp;I61)=0,"",SMALL($G61:$T61,COUNTIF($G61:$T61,"&lt;="&amp;I61)+1)-I61)))</f>
        <v>1</v>
      </c>
      <c r="AG61">
        <f>IF(OR($B61="",NOT(ISNUMBER(J61))),"",IF(COUNTIF(K61:$T61,J61)&gt;0,0,IF(COUNTIF($G61:$T61,"&gt;"&amp;J61)=0,"",SMALL($G61:$T61,COUNTIF($G61:$T61,"&lt;="&amp;J61)+1)-J61)))</f>
        <v>4</v>
      </c>
      <c r="AH61" t="str">
        <f>IF(OR($B61="",NOT(ISNUMBER(K61))),"",IF(COUNTIF(L61:$T61,K61)&gt;0,0,IF(COUNTIF($G61:$T61,"&gt;"&amp;K61)=0,"",SMALL($G61:$T61,COUNTIF($G61:$T61,"&lt;="&amp;K61)+1)-K61)))</f>
        <v/>
      </c>
      <c r="AI61" t="str">
        <f>IF(OR($B61="",NOT(ISNUMBER(L61))),"",IF(COUNTIF(M61:$T61,L61)&gt;0,0,IF(COUNTIF($G61:$T61,"&gt;"&amp;L61)=0,"",SMALL($G61:$T61,COUNTIF($G61:$T61,"&lt;="&amp;L61)+1)-L61)))</f>
        <v/>
      </c>
      <c r="AJ61" t="str">
        <f>IF(OR($B61="",NOT(ISNUMBER(M61))),"",IF(COUNTIF(N61:$T61,M61)&gt;0,0,IF(COUNTIF($G61:$T61,"&gt;"&amp;M61)=0,"",SMALL($G61:$T61,COUNTIF($G61:$T61,"&lt;="&amp;M61)+1)-M61)))</f>
        <v/>
      </c>
      <c r="AK61" t="str">
        <f>IF(OR($B61="",NOT(ISNUMBER(N61))),"",IF(COUNTIF(O61:$T61,N61)&gt;0,0,IF(COUNTIF($G61:$T61,"&gt;"&amp;N61)=0,"",SMALL($G61:$T61,COUNTIF($G61:$T61,"&lt;="&amp;N61)+1)-N61)))</f>
        <v/>
      </c>
      <c r="AL61" t="str">
        <f>IF(OR($B61="",NOT(ISNUMBER(O61))),"",IF(COUNTIF(P61:$T61,O61)&gt;0,0,IF(COUNTIF($G61:$T61,"&gt;"&amp;O61)=0,"",SMALL($G61:$T61,COUNTIF($G61:$T61,"&lt;="&amp;O61)+1)-O61)))</f>
        <v/>
      </c>
      <c r="AM61" t="str">
        <f>IF(OR($B61="",NOT(ISNUMBER(P61))),"",IF(COUNTIF(Q61:$T61,P61)&gt;0,0,IF(COUNTIF($G61:$T61,"&gt;"&amp;P61)=0,"",SMALL($G61:$T61,COUNTIF($G61:$T61,"&lt;="&amp;P61)+1)-P61)))</f>
        <v/>
      </c>
      <c r="AN61">
        <f>IF(OR($B61="",NOT(ISNUMBER(Q61))),"",IF(COUNTIF(R61:$T61,Q61)&gt;0,0,IF(COUNTIF($G61:$T61,"&gt;"&amp;Q61)=0,"",SMALL($G61:$T61,COUNTIF($G61:$T61,"&lt;="&amp;Q61)+1)-Q61)))</f>
        <v>0</v>
      </c>
      <c r="AO61" t="str">
        <f>IF(OR($B61="",NOT(ISNUMBER(R61))),"",IF(COUNTIF(S61:$T61,R61)&gt;0,0,IF(COUNTIF($G61:$T61,"&gt;"&amp;R61)=0,"",SMALL($G61:$T61,COUNTIF($G61:$T61,"&lt;="&amp;R61)+1)-R61)))</f>
        <v/>
      </c>
      <c r="AP61">
        <f t="shared" ca="1" si="3"/>
        <v>0</v>
      </c>
      <c r="AQ61" s="25" t="str">
        <f t="shared" si="4"/>
        <v/>
      </c>
      <c r="AR61" s="25" t="str">
        <f t="shared" si="5"/>
        <v/>
      </c>
      <c r="AS61" s="25">
        <f t="shared" si="6"/>
        <v>46291</v>
      </c>
      <c r="AT61" s="25">
        <f t="shared" si="7"/>
        <v>46295</v>
      </c>
      <c r="AU61" s="25" t="str">
        <f t="shared" si="8"/>
        <v/>
      </c>
      <c r="AV61" s="25" t="str">
        <f t="shared" si="9"/>
        <v/>
      </c>
      <c r="AW61" s="25" t="str">
        <f t="shared" si="10"/>
        <v/>
      </c>
      <c r="AX61" s="25" t="str">
        <f t="shared" si="11"/>
        <v/>
      </c>
      <c r="AY61" s="25" t="str">
        <f t="shared" si="12"/>
        <v/>
      </c>
      <c r="AZ61" s="25" t="str">
        <f t="shared" si="13"/>
        <v/>
      </c>
      <c r="BA61" s="25">
        <f t="shared" si="14"/>
        <v>46295</v>
      </c>
      <c r="BB61" s="25" t="str">
        <f t="shared" si="15"/>
        <v/>
      </c>
      <c r="BC61" s="25">
        <f t="shared" si="16"/>
        <v>46295</v>
      </c>
    </row>
    <row r="62" spans="1:55" ht="15" customHeight="1" x14ac:dyDescent="0.25">
      <c r="A62" s="151">
        <f t="shared" si="0"/>
        <v>60</v>
      </c>
      <c r="B62" s="151" t="s">
        <v>156</v>
      </c>
      <c r="C62" s="152" t="s">
        <v>60</v>
      </c>
      <c r="D62" s="151">
        <f t="shared" si="1"/>
        <v>1</v>
      </c>
      <c r="E62" s="151" t="s">
        <v>61</v>
      </c>
      <c r="F62" s="173">
        <v>46290</v>
      </c>
      <c r="G62" s="173"/>
      <c r="H62" s="173"/>
      <c r="I62" s="173">
        <v>46290</v>
      </c>
      <c r="J62" s="173">
        <v>46291</v>
      </c>
      <c r="K62" s="173"/>
      <c r="L62" s="173"/>
      <c r="M62" s="173"/>
      <c r="N62" s="173"/>
      <c r="O62" s="173"/>
      <c r="P62" s="173"/>
      <c r="Q62" s="173">
        <v>46295</v>
      </c>
      <c r="R62" s="173"/>
      <c r="S62" s="173"/>
      <c r="T62" s="174">
        <v>46295</v>
      </c>
      <c r="U62" s="151"/>
      <c r="V62" s="152"/>
      <c r="W62" s="175"/>
      <c r="X62" s="173"/>
      <c r="Y62" s="173"/>
      <c r="Z62" s="176" t="str">
        <f>IF(B62="","",IF(S62&lt;&gt;"","Sevk Edildi",IF(AND(X62&lt;&gt;"",Y62=""),"Reworkte",IF(T62&lt;&gt;"","Kapandı"&amp;IF(COUNT(G62:R62)=0,""," – "&amp;LOOKUP(2,1/(G62:R62=MAX(G62:R62)),{"Tasarım","Ply Cutter","Üretim","Kalite (Üretim sonrası)","Talaşlı","Kalite (Talaşlı sonrası)","Montaj","Kalite (Montaj sonrası)","Boya","Kalite (Boya sonrası)","Yarı Mamül","KM"})),IF(COUNT(G62:R62)=0,"Başlamadı",LOOKUP(2,1/(G62:R62=MAX(G62:R62)),{"Tasarımda","Ply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62" s="177">
        <f t="shared" ca="1" si="2"/>
        <v>5</v>
      </c>
      <c r="AB62" s="175"/>
      <c r="AD62" t="str">
        <f>IF(OR($B62="",NOT(ISNUMBER(G62))),"",IF(COUNTIF(H62:$T62,G62)&gt;0,0,IF(COUNTIF($G62:$T62,"&gt;"&amp;G62)=0,"",SMALL($G62:$T62,COUNTIF($G62:$T62,"&lt;="&amp;G62)+1)-G62)))</f>
        <v/>
      </c>
      <c r="AE62" t="str">
        <f>IF(OR($B62="",NOT(ISNUMBER(H62))),"",IF(COUNTIF(I62:$T62,H62)&gt;0,0,IF(COUNTIF($G62:$T62,"&gt;"&amp;H62)=0,"",SMALL($G62:$T62,COUNTIF($G62:$T62,"&lt;="&amp;H62)+1)-H62)))</f>
        <v/>
      </c>
      <c r="AF62">
        <f>IF(OR($B62="",NOT(ISNUMBER(I62))),"",IF(COUNTIF(J62:$T62,I62)&gt;0,0,IF(COUNTIF($G62:$T62,"&gt;"&amp;I62)=0,"",SMALL($G62:$T62,COUNTIF($G62:$T62,"&lt;="&amp;I62)+1)-I62)))</f>
        <v>1</v>
      </c>
      <c r="AG62">
        <f>IF(OR($B62="",NOT(ISNUMBER(J62))),"",IF(COUNTIF(K62:$T62,J62)&gt;0,0,IF(COUNTIF($G62:$T62,"&gt;"&amp;J62)=0,"",SMALL($G62:$T62,COUNTIF($G62:$T62,"&lt;="&amp;J62)+1)-J62)))</f>
        <v>4</v>
      </c>
      <c r="AH62" t="str">
        <f>IF(OR($B62="",NOT(ISNUMBER(K62))),"",IF(COUNTIF(L62:$T62,K62)&gt;0,0,IF(COUNTIF($G62:$T62,"&gt;"&amp;K62)=0,"",SMALL($G62:$T62,COUNTIF($G62:$T62,"&lt;="&amp;K62)+1)-K62)))</f>
        <v/>
      </c>
      <c r="AI62" t="str">
        <f>IF(OR($B62="",NOT(ISNUMBER(L62))),"",IF(COUNTIF(M62:$T62,L62)&gt;0,0,IF(COUNTIF($G62:$T62,"&gt;"&amp;L62)=0,"",SMALL($G62:$T62,COUNTIF($G62:$T62,"&lt;="&amp;L62)+1)-L62)))</f>
        <v/>
      </c>
      <c r="AJ62" t="str">
        <f>IF(OR($B62="",NOT(ISNUMBER(M62))),"",IF(COUNTIF(N62:$T62,M62)&gt;0,0,IF(COUNTIF($G62:$T62,"&gt;"&amp;M62)=0,"",SMALL($G62:$T62,COUNTIF($G62:$T62,"&lt;="&amp;M62)+1)-M62)))</f>
        <v/>
      </c>
      <c r="AK62" t="str">
        <f>IF(OR($B62="",NOT(ISNUMBER(N62))),"",IF(COUNTIF(O62:$T62,N62)&gt;0,0,IF(COUNTIF($G62:$T62,"&gt;"&amp;N62)=0,"",SMALL($G62:$T62,COUNTIF($G62:$T62,"&lt;="&amp;N62)+1)-N62)))</f>
        <v/>
      </c>
      <c r="AL62" t="str">
        <f>IF(OR($B62="",NOT(ISNUMBER(O62))),"",IF(COUNTIF(P62:$T62,O62)&gt;0,0,IF(COUNTIF($G62:$T62,"&gt;"&amp;O62)=0,"",SMALL($G62:$T62,COUNTIF($G62:$T62,"&lt;="&amp;O62)+1)-O62)))</f>
        <v/>
      </c>
      <c r="AM62" t="str">
        <f>IF(OR($B62="",NOT(ISNUMBER(P62))),"",IF(COUNTIF(Q62:$T62,P62)&gt;0,0,IF(COUNTIF($G62:$T62,"&gt;"&amp;P62)=0,"",SMALL($G62:$T62,COUNTIF($G62:$T62,"&lt;="&amp;P62)+1)-P62)))</f>
        <v/>
      </c>
      <c r="AN62">
        <f>IF(OR($B62="",NOT(ISNUMBER(Q62))),"",IF(COUNTIF(R62:$T62,Q62)&gt;0,0,IF(COUNTIF($G62:$T62,"&gt;"&amp;Q62)=0,"",SMALL($G62:$T62,COUNTIF($G62:$T62,"&lt;="&amp;Q62)+1)-Q62)))</f>
        <v>0</v>
      </c>
      <c r="AO62" t="str">
        <f>IF(OR($B62="",NOT(ISNUMBER(R62))),"",IF(COUNTIF(S62:$T62,R62)&gt;0,0,IF(COUNTIF($G62:$T62,"&gt;"&amp;R62)=0,"",SMALL($G62:$T62,COUNTIF($G62:$T62,"&lt;="&amp;R62)+1)-R62)))</f>
        <v/>
      </c>
      <c r="AP62">
        <f t="shared" ca="1" si="3"/>
        <v>0</v>
      </c>
      <c r="AQ62" s="25" t="str">
        <f t="shared" si="4"/>
        <v/>
      </c>
      <c r="AR62" s="25" t="str">
        <f t="shared" si="5"/>
        <v/>
      </c>
      <c r="AS62" s="25">
        <f t="shared" si="6"/>
        <v>46291</v>
      </c>
      <c r="AT62" s="25">
        <f t="shared" si="7"/>
        <v>46295</v>
      </c>
      <c r="AU62" s="25" t="str">
        <f t="shared" si="8"/>
        <v/>
      </c>
      <c r="AV62" s="25" t="str">
        <f t="shared" si="9"/>
        <v/>
      </c>
      <c r="AW62" s="25" t="str">
        <f t="shared" si="10"/>
        <v/>
      </c>
      <c r="AX62" s="25" t="str">
        <f t="shared" si="11"/>
        <v/>
      </c>
      <c r="AY62" s="25" t="str">
        <f t="shared" si="12"/>
        <v/>
      </c>
      <c r="AZ62" s="25" t="str">
        <f t="shared" si="13"/>
        <v/>
      </c>
      <c r="BA62" s="25">
        <f t="shared" si="14"/>
        <v>46295</v>
      </c>
      <c r="BB62" s="25" t="str">
        <f t="shared" si="15"/>
        <v/>
      </c>
      <c r="BC62" s="25">
        <f t="shared" si="16"/>
        <v>46295</v>
      </c>
    </row>
    <row r="63" spans="1:55" ht="15" customHeight="1" x14ac:dyDescent="0.25">
      <c r="A63" s="151">
        <f t="shared" si="0"/>
        <v>61</v>
      </c>
      <c r="B63" s="151" t="s">
        <v>157</v>
      </c>
      <c r="C63" s="152" t="s">
        <v>158</v>
      </c>
      <c r="D63" s="151">
        <f t="shared" si="1"/>
        <v>6</v>
      </c>
      <c r="E63" s="151" t="s">
        <v>100</v>
      </c>
      <c r="F63" s="173">
        <v>46290</v>
      </c>
      <c r="G63" s="173"/>
      <c r="H63" s="173"/>
      <c r="I63" s="173"/>
      <c r="J63" s="173"/>
      <c r="K63" s="173">
        <v>46290</v>
      </c>
      <c r="L63" s="173">
        <v>46295</v>
      </c>
      <c r="M63" s="173"/>
      <c r="N63" s="173"/>
      <c r="O63" s="173"/>
      <c r="P63" s="173"/>
      <c r="Q63" s="173">
        <v>46295</v>
      </c>
      <c r="R63" s="173"/>
      <c r="S63" s="173"/>
      <c r="T63" s="174">
        <v>46295</v>
      </c>
      <c r="U63" s="151"/>
      <c r="V63" s="152"/>
      <c r="W63" s="175"/>
      <c r="X63" s="173"/>
      <c r="Y63" s="173"/>
      <c r="Z63" s="176" t="str">
        <f>IF(B63="","",IF(S63&lt;&gt;"","Sevk Edildi",IF(AND(X63&lt;&gt;"",Y63=""),"Reworkte",IF(T63&lt;&gt;"","Kapandı"&amp;IF(COUNT(G63:R63)=0,""," – "&amp;LOOKUP(2,1/(G63:R63=MAX(G63:R63)),{"Tasarım","Ply Cutter","Üretim","Kalite (Üretim sonrası)","Talaşlı","Kalite (Talaşlı sonrası)","Montaj","Kalite (Montaj sonrası)","Boya","Kalite (Boya sonrası)","Yarı Mamül","KM"})),IF(COUNT(G63:R63)=0,"Başlamadı",LOOKUP(2,1/(G63:R63=MAX(G63:R63)),{"Tasarımda","Ply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63" s="177">
        <f t="shared" ca="1" si="2"/>
        <v>5</v>
      </c>
      <c r="AB63" s="175"/>
      <c r="AD63" t="str">
        <f>IF(OR($B63="",NOT(ISNUMBER(G63))),"",IF(COUNTIF(H63:$T63,G63)&gt;0,0,IF(COUNTIF($G63:$T63,"&gt;"&amp;G63)=0,"",SMALL($G63:$T63,COUNTIF($G63:$T63,"&lt;="&amp;G63)+1)-G63)))</f>
        <v/>
      </c>
      <c r="AE63" t="str">
        <f>IF(OR($B63="",NOT(ISNUMBER(H63))),"",IF(COUNTIF(I63:$T63,H63)&gt;0,0,IF(COUNTIF($G63:$T63,"&gt;"&amp;H63)=0,"",SMALL($G63:$T63,COUNTIF($G63:$T63,"&lt;="&amp;H63)+1)-H63)))</f>
        <v/>
      </c>
      <c r="AF63" t="str">
        <f>IF(OR($B63="",NOT(ISNUMBER(I63))),"",IF(COUNTIF(J63:$T63,I63)&gt;0,0,IF(COUNTIF($G63:$T63,"&gt;"&amp;I63)=0,"",SMALL($G63:$T63,COUNTIF($G63:$T63,"&lt;="&amp;I63)+1)-I63)))</f>
        <v/>
      </c>
      <c r="AG63" t="str">
        <f>IF(OR($B63="",NOT(ISNUMBER(J63))),"",IF(COUNTIF(K63:$T63,J63)&gt;0,0,IF(COUNTIF($G63:$T63,"&gt;"&amp;J63)=0,"",SMALL($G63:$T63,COUNTIF($G63:$T63,"&lt;="&amp;J63)+1)-J63)))</f>
        <v/>
      </c>
      <c r="AH63">
        <f>IF(OR($B63="",NOT(ISNUMBER(K63))),"",IF(COUNTIF(L63:$T63,K63)&gt;0,0,IF(COUNTIF($G63:$T63,"&gt;"&amp;K63)=0,"",SMALL($G63:$T63,COUNTIF($G63:$T63,"&lt;="&amp;K63)+1)-K63)))</f>
        <v>5</v>
      </c>
      <c r="AI63">
        <f>IF(OR($B63="",NOT(ISNUMBER(L63))),"",IF(COUNTIF(M63:$T63,L63)&gt;0,0,IF(COUNTIF($G63:$T63,"&gt;"&amp;L63)=0,"",SMALL($G63:$T63,COUNTIF($G63:$T63,"&lt;="&amp;L63)+1)-L63)))</f>
        <v>0</v>
      </c>
      <c r="AJ63" t="str">
        <f>IF(OR($B63="",NOT(ISNUMBER(M63))),"",IF(COUNTIF(N63:$T63,M63)&gt;0,0,IF(COUNTIF($G63:$T63,"&gt;"&amp;M63)=0,"",SMALL($G63:$T63,COUNTIF($G63:$T63,"&lt;="&amp;M63)+1)-M63)))</f>
        <v/>
      </c>
      <c r="AK63" t="str">
        <f>IF(OR($B63="",NOT(ISNUMBER(N63))),"",IF(COUNTIF(O63:$T63,N63)&gt;0,0,IF(COUNTIF($G63:$T63,"&gt;"&amp;N63)=0,"",SMALL($G63:$T63,COUNTIF($G63:$T63,"&lt;="&amp;N63)+1)-N63)))</f>
        <v/>
      </c>
      <c r="AL63" t="str">
        <f>IF(OR($B63="",NOT(ISNUMBER(O63))),"",IF(COUNTIF(P63:$T63,O63)&gt;0,0,IF(COUNTIF($G63:$T63,"&gt;"&amp;O63)=0,"",SMALL($G63:$T63,COUNTIF($G63:$T63,"&lt;="&amp;O63)+1)-O63)))</f>
        <v/>
      </c>
      <c r="AM63" t="str">
        <f>IF(OR($B63="",NOT(ISNUMBER(P63))),"",IF(COUNTIF(Q63:$T63,P63)&gt;0,0,IF(COUNTIF($G63:$T63,"&gt;"&amp;P63)=0,"",SMALL($G63:$T63,COUNTIF($G63:$T63,"&lt;="&amp;P63)+1)-P63)))</f>
        <v/>
      </c>
      <c r="AN63">
        <f>IF(OR($B63="",NOT(ISNUMBER(Q63))),"",IF(COUNTIF(R63:$T63,Q63)&gt;0,0,IF(COUNTIF($G63:$T63,"&gt;"&amp;Q63)=0,"",SMALL($G63:$T63,COUNTIF($G63:$T63,"&lt;="&amp;Q63)+1)-Q63)))</f>
        <v>0</v>
      </c>
      <c r="AO63" t="str">
        <f>IF(OR($B63="",NOT(ISNUMBER(R63))),"",IF(COUNTIF(S63:$T63,R63)&gt;0,0,IF(COUNTIF($G63:$T63,"&gt;"&amp;R63)=0,"",SMALL($G63:$T63,COUNTIF($G63:$T63,"&lt;="&amp;R63)+1)-R63)))</f>
        <v/>
      </c>
      <c r="AP63">
        <f t="shared" ca="1" si="3"/>
        <v>0</v>
      </c>
      <c r="AQ63" s="25" t="str">
        <f t="shared" si="4"/>
        <v/>
      </c>
      <c r="AR63" s="25" t="str">
        <f t="shared" si="5"/>
        <v/>
      </c>
      <c r="AS63" s="25" t="str">
        <f t="shared" si="6"/>
        <v/>
      </c>
      <c r="AT63" s="25" t="str">
        <f t="shared" si="7"/>
        <v/>
      </c>
      <c r="AU63" s="25">
        <f t="shared" si="8"/>
        <v>46295</v>
      </c>
      <c r="AV63" s="25">
        <f t="shared" si="9"/>
        <v>46295</v>
      </c>
      <c r="AW63" s="25" t="str">
        <f t="shared" si="10"/>
        <v/>
      </c>
      <c r="AX63" s="25" t="str">
        <f t="shared" si="11"/>
        <v/>
      </c>
      <c r="AY63" s="25" t="str">
        <f t="shared" si="12"/>
        <v/>
      </c>
      <c r="AZ63" s="25" t="str">
        <f t="shared" si="13"/>
        <v/>
      </c>
      <c r="BA63" s="25">
        <f t="shared" si="14"/>
        <v>46295</v>
      </c>
      <c r="BB63" s="25" t="str">
        <f t="shared" si="15"/>
        <v/>
      </c>
      <c r="BC63" s="25">
        <f t="shared" si="16"/>
        <v>46295</v>
      </c>
    </row>
    <row r="64" spans="1:55" ht="15" customHeight="1" x14ac:dyDescent="0.25">
      <c r="A64" s="151">
        <f t="shared" si="0"/>
        <v>62</v>
      </c>
      <c r="B64" s="151" t="s">
        <v>159</v>
      </c>
      <c r="C64" s="152" t="s">
        <v>160</v>
      </c>
      <c r="D64" s="151">
        <f t="shared" si="1"/>
        <v>5</v>
      </c>
      <c r="E64" s="151" t="s">
        <v>61</v>
      </c>
      <c r="F64" s="173">
        <v>46290</v>
      </c>
      <c r="G64" s="173"/>
      <c r="H64" s="173"/>
      <c r="I64" s="173"/>
      <c r="J64" s="173"/>
      <c r="K64" s="173">
        <v>46290</v>
      </c>
      <c r="L64" s="173">
        <v>46291</v>
      </c>
      <c r="M64" s="173"/>
      <c r="N64" s="173"/>
      <c r="O64" s="173"/>
      <c r="P64" s="173"/>
      <c r="Q64" s="173"/>
      <c r="R64" s="173"/>
      <c r="S64" s="173"/>
      <c r="T64" s="174">
        <v>46291</v>
      </c>
      <c r="U64" s="151"/>
      <c r="V64" s="152"/>
      <c r="W64" s="175"/>
      <c r="X64" s="173"/>
      <c r="Y64" s="173"/>
      <c r="Z64" s="176" t="str">
        <f>IF(B64="","",IF(S64&lt;&gt;"","Sevk Edildi",IF(AND(X64&lt;&gt;"",Y64=""),"Reworkte",IF(T64&lt;&gt;"","Kapandı"&amp;IF(COUNT(G64:R64)=0,""," – "&amp;LOOKUP(2,1/(G64:R64=MAX(G64:R64)),{"Tasarım","Ply Cutter","Üretim","Kalite (Üretim sonrası)","Talaşlı","Kalite (Talaşlı sonrası)","Montaj","Kalite (Montaj sonrası)","Boya","Kalite (Boya sonrası)","Yarı Mamül","KM"})),IF(COUNT(G64:R64)=0,"Başlamadı",LOOKUP(2,1/(G64:R64=MAX(G64:R64)),{"Tasarımda","Ply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64" s="177">
        <f t="shared" ca="1" si="2"/>
        <v>1</v>
      </c>
      <c r="AB64" s="175"/>
      <c r="AD64" t="str">
        <f>IF(OR($B64="",NOT(ISNUMBER(G64))),"",IF(COUNTIF(H64:$T64,G64)&gt;0,0,IF(COUNTIF($G64:$T64,"&gt;"&amp;G64)=0,"",SMALL($G64:$T64,COUNTIF($G64:$T64,"&lt;="&amp;G64)+1)-G64)))</f>
        <v/>
      </c>
      <c r="AE64" t="str">
        <f>IF(OR($B64="",NOT(ISNUMBER(H64))),"",IF(COUNTIF(I64:$T64,H64)&gt;0,0,IF(COUNTIF($G64:$T64,"&gt;"&amp;H64)=0,"",SMALL($G64:$T64,COUNTIF($G64:$T64,"&lt;="&amp;H64)+1)-H64)))</f>
        <v/>
      </c>
      <c r="AF64" t="str">
        <f>IF(OR($B64="",NOT(ISNUMBER(I64))),"",IF(COUNTIF(J64:$T64,I64)&gt;0,0,IF(COUNTIF($G64:$T64,"&gt;"&amp;I64)=0,"",SMALL($G64:$T64,COUNTIF($G64:$T64,"&lt;="&amp;I64)+1)-I64)))</f>
        <v/>
      </c>
      <c r="AG64" t="str">
        <f>IF(OR($B64="",NOT(ISNUMBER(J64))),"",IF(COUNTIF(K64:$T64,J64)&gt;0,0,IF(COUNTIF($G64:$T64,"&gt;"&amp;J64)=0,"",SMALL($G64:$T64,COUNTIF($G64:$T64,"&lt;="&amp;J64)+1)-J64)))</f>
        <v/>
      </c>
      <c r="AH64">
        <f>IF(OR($B64="",NOT(ISNUMBER(K64))),"",IF(COUNTIF(L64:$T64,K64)&gt;0,0,IF(COUNTIF($G64:$T64,"&gt;"&amp;K64)=0,"",SMALL($G64:$T64,COUNTIF($G64:$T64,"&lt;="&amp;K64)+1)-K64)))</f>
        <v>1</v>
      </c>
      <c r="AI64">
        <f>IF(OR($B64="",NOT(ISNUMBER(L64))),"",IF(COUNTIF(M64:$T64,L64)&gt;0,0,IF(COUNTIF($G64:$T64,"&gt;"&amp;L64)=0,"",SMALL($G64:$T64,COUNTIF($G64:$T64,"&lt;="&amp;L64)+1)-L64)))</f>
        <v>0</v>
      </c>
      <c r="AJ64" t="str">
        <f>IF(OR($B64="",NOT(ISNUMBER(M64))),"",IF(COUNTIF(N64:$T64,M64)&gt;0,0,IF(COUNTIF($G64:$T64,"&gt;"&amp;M64)=0,"",SMALL($G64:$T64,COUNTIF($G64:$T64,"&lt;="&amp;M64)+1)-M64)))</f>
        <v/>
      </c>
      <c r="AK64" t="str">
        <f>IF(OR($B64="",NOT(ISNUMBER(N64))),"",IF(COUNTIF(O64:$T64,N64)&gt;0,0,IF(COUNTIF($G64:$T64,"&gt;"&amp;N64)=0,"",SMALL($G64:$T64,COUNTIF($G64:$T64,"&lt;="&amp;N64)+1)-N64)))</f>
        <v/>
      </c>
      <c r="AL64" t="str">
        <f>IF(OR($B64="",NOT(ISNUMBER(O64))),"",IF(COUNTIF(P64:$T64,O64)&gt;0,0,IF(COUNTIF($G64:$T64,"&gt;"&amp;O64)=0,"",SMALL($G64:$T64,COUNTIF($G64:$T64,"&lt;="&amp;O64)+1)-O64)))</f>
        <v/>
      </c>
      <c r="AM64" t="str">
        <f>IF(OR($B64="",NOT(ISNUMBER(P64))),"",IF(COUNTIF(Q64:$T64,P64)&gt;0,0,IF(COUNTIF($G64:$T64,"&gt;"&amp;P64)=0,"",SMALL($G64:$T64,COUNTIF($G64:$T64,"&lt;="&amp;P64)+1)-P64)))</f>
        <v/>
      </c>
      <c r="AN64" t="str">
        <f>IF(OR($B64="",NOT(ISNUMBER(Q64))),"",IF(COUNTIF(R64:$T64,Q64)&gt;0,0,IF(COUNTIF($G64:$T64,"&gt;"&amp;Q64)=0,"",SMALL($G64:$T64,COUNTIF($G64:$T64,"&lt;="&amp;Q64)+1)-Q64)))</f>
        <v/>
      </c>
      <c r="AO64" t="str">
        <f>IF(OR($B64="",NOT(ISNUMBER(R64))),"",IF(COUNTIF(S64:$T64,R64)&gt;0,0,IF(COUNTIF($G64:$T64,"&gt;"&amp;R64)=0,"",SMALL($G64:$T64,COUNTIF($G64:$T64,"&lt;="&amp;R64)+1)-R64)))</f>
        <v/>
      </c>
      <c r="AP64">
        <f t="shared" ca="1" si="3"/>
        <v>0</v>
      </c>
      <c r="AQ64" s="25" t="str">
        <f t="shared" si="4"/>
        <v/>
      </c>
      <c r="AR64" s="25" t="str">
        <f t="shared" si="5"/>
        <v/>
      </c>
      <c r="AS64" s="25" t="str">
        <f t="shared" si="6"/>
        <v/>
      </c>
      <c r="AT64" s="25" t="str">
        <f t="shared" si="7"/>
        <v/>
      </c>
      <c r="AU64" s="25">
        <f t="shared" si="8"/>
        <v>46291</v>
      </c>
      <c r="AV64" s="25">
        <f t="shared" si="9"/>
        <v>46291</v>
      </c>
      <c r="AW64" s="25" t="str">
        <f t="shared" si="10"/>
        <v/>
      </c>
      <c r="AX64" s="25" t="str">
        <f t="shared" si="11"/>
        <v/>
      </c>
      <c r="AY64" s="25" t="str">
        <f t="shared" si="12"/>
        <v/>
      </c>
      <c r="AZ64" s="25" t="str">
        <f t="shared" si="13"/>
        <v/>
      </c>
      <c r="BA64" s="25" t="str">
        <f t="shared" si="14"/>
        <v/>
      </c>
      <c r="BB64" s="25" t="str">
        <f t="shared" si="15"/>
        <v/>
      </c>
      <c r="BC64" s="25">
        <f t="shared" si="16"/>
        <v>46291</v>
      </c>
    </row>
    <row r="65" spans="1:55" ht="15" customHeight="1" x14ac:dyDescent="0.25">
      <c r="A65" s="151">
        <f t="shared" si="0"/>
        <v>63</v>
      </c>
      <c r="B65" s="151" t="s">
        <v>161</v>
      </c>
      <c r="C65" s="152" t="s">
        <v>160</v>
      </c>
      <c r="D65" s="151">
        <f t="shared" si="1"/>
        <v>5</v>
      </c>
      <c r="E65" s="151" t="s">
        <v>61</v>
      </c>
      <c r="F65" s="173">
        <v>46290</v>
      </c>
      <c r="G65" s="173"/>
      <c r="H65" s="173"/>
      <c r="I65" s="173"/>
      <c r="J65" s="173"/>
      <c r="K65" s="173">
        <v>46290</v>
      </c>
      <c r="L65" s="173">
        <v>46291</v>
      </c>
      <c r="M65" s="173"/>
      <c r="N65" s="173"/>
      <c r="O65" s="173"/>
      <c r="P65" s="173"/>
      <c r="Q65" s="173"/>
      <c r="R65" s="173"/>
      <c r="S65" s="173"/>
      <c r="T65" s="174">
        <v>46291</v>
      </c>
      <c r="U65" s="151"/>
      <c r="V65" s="152"/>
      <c r="W65" s="175"/>
      <c r="X65" s="173"/>
      <c r="Y65" s="173"/>
      <c r="Z65" s="176" t="str">
        <f>IF(B65="","",IF(S65&lt;&gt;"","Sevk Edildi",IF(AND(X65&lt;&gt;"",Y65=""),"Reworkte",IF(T65&lt;&gt;"","Kapandı"&amp;IF(COUNT(G65:R65)=0,""," – "&amp;LOOKUP(2,1/(G65:R65=MAX(G65:R65)),{"Tasarım","Ply Cutter","Üretim","Kalite (Üretim sonrası)","Talaşlı","Kalite (Talaşlı sonrası)","Montaj","Kalite (Montaj sonrası)","Boya","Kalite (Boya sonrası)","Yarı Mamül","KM"})),IF(COUNT(G65:R65)=0,"Başlamadı",LOOKUP(2,1/(G65:R65=MAX(G65:R65)),{"Tasarımda","Ply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65" s="177">
        <f t="shared" ca="1" si="2"/>
        <v>1</v>
      </c>
      <c r="AB65" s="175"/>
      <c r="AD65" t="str">
        <f>IF(OR($B65="",NOT(ISNUMBER(G65))),"",IF(COUNTIF(H65:$T65,G65)&gt;0,0,IF(COUNTIF($G65:$T65,"&gt;"&amp;G65)=0,"",SMALL($G65:$T65,COUNTIF($G65:$T65,"&lt;="&amp;G65)+1)-G65)))</f>
        <v/>
      </c>
      <c r="AE65" t="str">
        <f>IF(OR($B65="",NOT(ISNUMBER(H65))),"",IF(COUNTIF(I65:$T65,H65)&gt;0,0,IF(COUNTIF($G65:$T65,"&gt;"&amp;H65)=0,"",SMALL($G65:$T65,COUNTIF($G65:$T65,"&lt;="&amp;H65)+1)-H65)))</f>
        <v/>
      </c>
      <c r="AF65" t="str">
        <f>IF(OR($B65="",NOT(ISNUMBER(I65))),"",IF(COUNTIF(J65:$T65,I65)&gt;0,0,IF(COUNTIF($G65:$T65,"&gt;"&amp;I65)=0,"",SMALL($G65:$T65,COUNTIF($G65:$T65,"&lt;="&amp;I65)+1)-I65)))</f>
        <v/>
      </c>
      <c r="AG65" t="str">
        <f>IF(OR($B65="",NOT(ISNUMBER(J65))),"",IF(COUNTIF(K65:$T65,J65)&gt;0,0,IF(COUNTIF($G65:$T65,"&gt;"&amp;J65)=0,"",SMALL($G65:$T65,COUNTIF($G65:$T65,"&lt;="&amp;J65)+1)-J65)))</f>
        <v/>
      </c>
      <c r="AH65">
        <f>IF(OR($B65="",NOT(ISNUMBER(K65))),"",IF(COUNTIF(L65:$T65,K65)&gt;0,0,IF(COUNTIF($G65:$T65,"&gt;"&amp;K65)=0,"",SMALL($G65:$T65,COUNTIF($G65:$T65,"&lt;="&amp;K65)+1)-K65)))</f>
        <v>1</v>
      </c>
      <c r="AI65">
        <f>IF(OR($B65="",NOT(ISNUMBER(L65))),"",IF(COUNTIF(M65:$T65,L65)&gt;0,0,IF(COUNTIF($G65:$T65,"&gt;"&amp;L65)=0,"",SMALL($G65:$T65,COUNTIF($G65:$T65,"&lt;="&amp;L65)+1)-L65)))</f>
        <v>0</v>
      </c>
      <c r="AJ65" t="str">
        <f>IF(OR($B65="",NOT(ISNUMBER(M65))),"",IF(COUNTIF(N65:$T65,M65)&gt;0,0,IF(COUNTIF($G65:$T65,"&gt;"&amp;M65)=0,"",SMALL($G65:$T65,COUNTIF($G65:$T65,"&lt;="&amp;M65)+1)-M65)))</f>
        <v/>
      </c>
      <c r="AK65" t="str">
        <f>IF(OR($B65="",NOT(ISNUMBER(N65))),"",IF(COUNTIF(O65:$T65,N65)&gt;0,0,IF(COUNTIF($G65:$T65,"&gt;"&amp;N65)=0,"",SMALL($G65:$T65,COUNTIF($G65:$T65,"&lt;="&amp;N65)+1)-N65)))</f>
        <v/>
      </c>
      <c r="AL65" t="str">
        <f>IF(OR($B65="",NOT(ISNUMBER(O65))),"",IF(COUNTIF(P65:$T65,O65)&gt;0,0,IF(COUNTIF($G65:$T65,"&gt;"&amp;O65)=0,"",SMALL($G65:$T65,COUNTIF($G65:$T65,"&lt;="&amp;O65)+1)-O65)))</f>
        <v/>
      </c>
      <c r="AM65" t="str">
        <f>IF(OR($B65="",NOT(ISNUMBER(P65))),"",IF(COUNTIF(Q65:$T65,P65)&gt;0,0,IF(COUNTIF($G65:$T65,"&gt;"&amp;P65)=0,"",SMALL($G65:$T65,COUNTIF($G65:$T65,"&lt;="&amp;P65)+1)-P65)))</f>
        <v/>
      </c>
      <c r="AN65" t="str">
        <f>IF(OR($B65="",NOT(ISNUMBER(Q65))),"",IF(COUNTIF(R65:$T65,Q65)&gt;0,0,IF(COUNTIF($G65:$T65,"&gt;"&amp;Q65)=0,"",SMALL($G65:$T65,COUNTIF($G65:$T65,"&lt;="&amp;Q65)+1)-Q65)))</f>
        <v/>
      </c>
      <c r="AO65" t="str">
        <f>IF(OR($B65="",NOT(ISNUMBER(R65))),"",IF(COUNTIF(S65:$T65,R65)&gt;0,0,IF(COUNTIF($G65:$T65,"&gt;"&amp;R65)=0,"",SMALL($G65:$T65,COUNTIF($G65:$T65,"&lt;="&amp;R65)+1)-R65)))</f>
        <v/>
      </c>
      <c r="AP65">
        <f t="shared" ca="1" si="3"/>
        <v>0</v>
      </c>
      <c r="AQ65" s="25" t="str">
        <f t="shared" si="4"/>
        <v/>
      </c>
      <c r="AR65" s="25" t="str">
        <f t="shared" si="5"/>
        <v/>
      </c>
      <c r="AS65" s="25" t="str">
        <f t="shared" si="6"/>
        <v/>
      </c>
      <c r="AT65" s="25" t="str">
        <f t="shared" si="7"/>
        <v/>
      </c>
      <c r="AU65" s="25">
        <f t="shared" si="8"/>
        <v>46291</v>
      </c>
      <c r="AV65" s="25">
        <f t="shared" si="9"/>
        <v>46291</v>
      </c>
      <c r="AW65" s="25" t="str">
        <f t="shared" si="10"/>
        <v/>
      </c>
      <c r="AX65" s="25" t="str">
        <f t="shared" si="11"/>
        <v/>
      </c>
      <c r="AY65" s="25" t="str">
        <f t="shared" si="12"/>
        <v/>
      </c>
      <c r="AZ65" s="25" t="str">
        <f t="shared" si="13"/>
        <v/>
      </c>
      <c r="BA65" s="25" t="str">
        <f t="shared" si="14"/>
        <v/>
      </c>
      <c r="BB65" s="25" t="str">
        <f t="shared" si="15"/>
        <v/>
      </c>
      <c r="BC65" s="25">
        <f t="shared" si="16"/>
        <v>46291</v>
      </c>
    </row>
    <row r="66" spans="1:55" ht="15" customHeight="1" x14ac:dyDescent="0.25">
      <c r="A66" s="151">
        <f t="shared" si="0"/>
        <v>64</v>
      </c>
      <c r="B66" s="151" t="s">
        <v>162</v>
      </c>
      <c r="C66" s="152" t="s">
        <v>163</v>
      </c>
      <c r="D66" s="151">
        <f t="shared" si="1"/>
        <v>1</v>
      </c>
      <c r="E66" s="151" t="s">
        <v>61</v>
      </c>
      <c r="F66" s="173">
        <v>46290</v>
      </c>
      <c r="G66" s="173"/>
      <c r="H66" s="173"/>
      <c r="I66" s="173">
        <v>46290</v>
      </c>
      <c r="J66" s="173">
        <v>46291</v>
      </c>
      <c r="K66" s="173"/>
      <c r="L66" s="173"/>
      <c r="M66" s="173"/>
      <c r="N66" s="173"/>
      <c r="O66" s="173"/>
      <c r="P66" s="173"/>
      <c r="Q66" s="173"/>
      <c r="R66" s="173"/>
      <c r="S66" s="173"/>
      <c r="T66" s="174">
        <v>46291</v>
      </c>
      <c r="U66" s="151"/>
      <c r="V66" s="152"/>
      <c r="W66" s="175"/>
      <c r="X66" s="173"/>
      <c r="Y66" s="173"/>
      <c r="Z66" s="176" t="str">
        <f>IF(B66="","",IF(S66&lt;&gt;"","Sevk Edildi",IF(AND(X66&lt;&gt;"",Y66=""),"Reworkte",IF(T66&lt;&gt;"","Kapandı"&amp;IF(COUNT(G66:R66)=0,""," – "&amp;LOOKUP(2,1/(G66:R66=MAX(G66:R66)),{"Tasarım","Ply Cutter","Üretim","Kalite (Üretim sonrası)","Talaşlı","Kalite (Talaşlı sonrası)","Montaj","Kalite (Montaj sonrası)","Boya","Kalite (Boya sonrası)","Yarı Mamül","KM"})),IF(COUNT(G66:R66)=0,"Başlamadı",LOOKUP(2,1/(G66:R66=MAX(G66:R66)),{"Tasarımda","Ply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66" s="177">
        <f t="shared" ca="1" si="2"/>
        <v>1</v>
      </c>
      <c r="AB66" s="175"/>
      <c r="AD66" t="str">
        <f>IF(OR($B66="",NOT(ISNUMBER(G66))),"",IF(COUNTIF(H66:$T66,G66)&gt;0,0,IF(COUNTIF($G66:$T66,"&gt;"&amp;G66)=0,"",SMALL($G66:$T66,COUNTIF($G66:$T66,"&lt;="&amp;G66)+1)-G66)))</f>
        <v/>
      </c>
      <c r="AE66" t="str">
        <f>IF(OR($B66="",NOT(ISNUMBER(H66))),"",IF(COUNTIF(I66:$T66,H66)&gt;0,0,IF(COUNTIF($G66:$T66,"&gt;"&amp;H66)=0,"",SMALL($G66:$T66,COUNTIF($G66:$T66,"&lt;="&amp;H66)+1)-H66)))</f>
        <v/>
      </c>
      <c r="AF66">
        <f>IF(OR($B66="",NOT(ISNUMBER(I66))),"",IF(COUNTIF(J66:$T66,I66)&gt;0,0,IF(COUNTIF($G66:$T66,"&gt;"&amp;I66)=0,"",SMALL($G66:$T66,COUNTIF($G66:$T66,"&lt;="&amp;I66)+1)-I66)))</f>
        <v>1</v>
      </c>
      <c r="AG66">
        <f>IF(OR($B66="",NOT(ISNUMBER(J66))),"",IF(COUNTIF(K66:$T66,J66)&gt;0,0,IF(COUNTIF($G66:$T66,"&gt;"&amp;J66)=0,"",SMALL($G66:$T66,COUNTIF($G66:$T66,"&lt;="&amp;J66)+1)-J66)))</f>
        <v>0</v>
      </c>
      <c r="AH66" t="str">
        <f>IF(OR($B66="",NOT(ISNUMBER(K66))),"",IF(COUNTIF(L66:$T66,K66)&gt;0,0,IF(COUNTIF($G66:$T66,"&gt;"&amp;K66)=0,"",SMALL($G66:$T66,COUNTIF($G66:$T66,"&lt;="&amp;K66)+1)-K66)))</f>
        <v/>
      </c>
      <c r="AI66" t="str">
        <f>IF(OR($B66="",NOT(ISNUMBER(L66))),"",IF(COUNTIF(M66:$T66,L66)&gt;0,0,IF(COUNTIF($G66:$T66,"&gt;"&amp;L66)=0,"",SMALL($G66:$T66,COUNTIF($G66:$T66,"&lt;="&amp;L66)+1)-L66)))</f>
        <v/>
      </c>
      <c r="AJ66" t="str">
        <f>IF(OR($B66="",NOT(ISNUMBER(M66))),"",IF(COUNTIF(N66:$T66,M66)&gt;0,0,IF(COUNTIF($G66:$T66,"&gt;"&amp;M66)=0,"",SMALL($G66:$T66,COUNTIF($G66:$T66,"&lt;="&amp;M66)+1)-M66)))</f>
        <v/>
      </c>
      <c r="AK66" t="str">
        <f>IF(OR($B66="",NOT(ISNUMBER(N66))),"",IF(COUNTIF(O66:$T66,N66)&gt;0,0,IF(COUNTIF($G66:$T66,"&gt;"&amp;N66)=0,"",SMALL($G66:$T66,COUNTIF($G66:$T66,"&lt;="&amp;N66)+1)-N66)))</f>
        <v/>
      </c>
      <c r="AL66" t="str">
        <f>IF(OR($B66="",NOT(ISNUMBER(O66))),"",IF(COUNTIF(P66:$T66,O66)&gt;0,0,IF(COUNTIF($G66:$T66,"&gt;"&amp;O66)=0,"",SMALL($G66:$T66,COUNTIF($G66:$T66,"&lt;="&amp;O66)+1)-O66)))</f>
        <v/>
      </c>
      <c r="AM66" t="str">
        <f>IF(OR($B66="",NOT(ISNUMBER(P66))),"",IF(COUNTIF(Q66:$T66,P66)&gt;0,0,IF(COUNTIF($G66:$T66,"&gt;"&amp;P66)=0,"",SMALL($G66:$T66,COUNTIF($G66:$T66,"&lt;="&amp;P66)+1)-P66)))</f>
        <v/>
      </c>
      <c r="AN66" t="str">
        <f>IF(OR($B66="",NOT(ISNUMBER(Q66))),"",IF(COUNTIF(R66:$T66,Q66)&gt;0,0,IF(COUNTIF($G66:$T66,"&gt;"&amp;Q66)=0,"",SMALL($G66:$T66,COUNTIF($G66:$T66,"&lt;="&amp;Q66)+1)-Q66)))</f>
        <v/>
      </c>
      <c r="AO66" t="str">
        <f>IF(OR($B66="",NOT(ISNUMBER(R66))),"",IF(COUNTIF(S66:$T66,R66)&gt;0,0,IF(COUNTIF($G66:$T66,"&gt;"&amp;R66)=0,"",SMALL($G66:$T66,COUNTIF($G66:$T66,"&lt;="&amp;R66)+1)-R66)))</f>
        <v/>
      </c>
      <c r="AP66">
        <f t="shared" ca="1" si="3"/>
        <v>0</v>
      </c>
      <c r="AQ66" s="25" t="str">
        <f t="shared" si="4"/>
        <v/>
      </c>
      <c r="AR66" s="25" t="str">
        <f t="shared" si="5"/>
        <v/>
      </c>
      <c r="AS66" s="25">
        <f t="shared" si="6"/>
        <v>46291</v>
      </c>
      <c r="AT66" s="25">
        <f t="shared" si="7"/>
        <v>46291</v>
      </c>
      <c r="AU66" s="25" t="str">
        <f t="shared" si="8"/>
        <v/>
      </c>
      <c r="AV66" s="25" t="str">
        <f t="shared" si="9"/>
        <v/>
      </c>
      <c r="AW66" s="25" t="str">
        <f t="shared" si="10"/>
        <v/>
      </c>
      <c r="AX66" s="25" t="str">
        <f t="shared" si="11"/>
        <v/>
      </c>
      <c r="AY66" s="25" t="str">
        <f t="shared" si="12"/>
        <v/>
      </c>
      <c r="AZ66" s="25" t="str">
        <f t="shared" si="13"/>
        <v/>
      </c>
      <c r="BA66" s="25" t="str">
        <f t="shared" si="14"/>
        <v/>
      </c>
      <c r="BB66" s="25" t="str">
        <f t="shared" si="15"/>
        <v/>
      </c>
      <c r="BC66" s="25">
        <f t="shared" si="16"/>
        <v>46291</v>
      </c>
    </row>
    <row r="67" spans="1:55" ht="15" customHeight="1" x14ac:dyDescent="0.25">
      <c r="A67" s="151">
        <f t="shared" ref="A67:A130" si="17">IF(B67="","",ROW()-2)</f>
        <v>65</v>
      </c>
      <c r="B67" s="151" t="s">
        <v>164</v>
      </c>
      <c r="C67" s="152" t="s">
        <v>165</v>
      </c>
      <c r="D67" s="151">
        <f t="shared" ref="D67:D130" si="18">IFERROR(VALUE(TRIM(MID(C67,FIND(" - ",C67)+3,FIND(" - ",C67,FIND(" - ",C67)+3)-FIND(" - ",C67)-3))),"")</f>
        <v>9</v>
      </c>
      <c r="E67" s="151" t="s">
        <v>61</v>
      </c>
      <c r="F67" s="173">
        <v>46290</v>
      </c>
      <c r="G67" s="173"/>
      <c r="H67" s="173"/>
      <c r="I67" s="173"/>
      <c r="J67" s="173"/>
      <c r="K67" s="173"/>
      <c r="L67" s="173"/>
      <c r="M67" s="173"/>
      <c r="N67" s="173"/>
      <c r="O67" s="173">
        <v>46293</v>
      </c>
      <c r="P67" s="173">
        <v>46295</v>
      </c>
      <c r="Q67" s="173"/>
      <c r="R67" s="173"/>
      <c r="S67" s="173"/>
      <c r="T67" s="174">
        <v>46295</v>
      </c>
      <c r="U67" s="151"/>
      <c r="V67" s="152"/>
      <c r="W67" s="175"/>
      <c r="X67" s="173"/>
      <c r="Y67" s="173"/>
      <c r="Z67" s="176" t="str">
        <f>IF(B67="","",IF(S67&lt;&gt;"","Sevk Edildi",IF(AND(X67&lt;&gt;"",Y67=""),"Reworkte",IF(T67&lt;&gt;"","Kapandı"&amp;IF(COUNT(G67:R67)=0,""," – "&amp;LOOKUP(2,1/(G67:R67=MAX(G67:R67)),{"Tasarım","Ply Cutter","Üretim","Kalite (Üretim sonrası)","Talaşlı","Kalite (Talaşlı sonrası)","Montaj","Kalite (Montaj sonrası)","Boya","Kalite (Boya sonrası)","Yarı Mamül","KM"})),IF(COUNT(G67:R67)=0,"Başlamadı",LOOKUP(2,1/(G67:R67=MAX(G67:R67)),{"Tasarımda","Ply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67" s="177">
        <f t="shared" ref="AA67:AA130" ca="1" si="19">IF(OR(B67="",F67=""),"",IFERROR(IF(S67&lt;&gt;"",S67-F67,IF(T67&lt;&gt;"",T67-F67,TODAY()-F67)),""))</f>
        <v>5</v>
      </c>
      <c r="AB67" s="175"/>
      <c r="AD67" t="str">
        <f>IF(OR($B67="",NOT(ISNUMBER(G67))),"",IF(COUNTIF(H67:$T67,G67)&gt;0,0,IF(COUNTIF($G67:$T67,"&gt;"&amp;G67)=0,"",SMALL($G67:$T67,COUNTIF($G67:$T67,"&lt;="&amp;G67)+1)-G67)))</f>
        <v/>
      </c>
      <c r="AE67" t="str">
        <f>IF(OR($B67="",NOT(ISNUMBER(H67))),"",IF(COUNTIF(I67:$T67,H67)&gt;0,0,IF(COUNTIF($G67:$T67,"&gt;"&amp;H67)=0,"",SMALL($G67:$T67,COUNTIF($G67:$T67,"&lt;="&amp;H67)+1)-H67)))</f>
        <v/>
      </c>
      <c r="AF67" t="str">
        <f>IF(OR($B67="",NOT(ISNUMBER(I67))),"",IF(COUNTIF(J67:$T67,I67)&gt;0,0,IF(COUNTIF($G67:$T67,"&gt;"&amp;I67)=0,"",SMALL($G67:$T67,COUNTIF($G67:$T67,"&lt;="&amp;I67)+1)-I67)))</f>
        <v/>
      </c>
      <c r="AG67" t="str">
        <f>IF(OR($B67="",NOT(ISNUMBER(J67))),"",IF(COUNTIF(K67:$T67,J67)&gt;0,0,IF(COUNTIF($G67:$T67,"&gt;"&amp;J67)=0,"",SMALL($G67:$T67,COUNTIF($G67:$T67,"&lt;="&amp;J67)+1)-J67)))</f>
        <v/>
      </c>
      <c r="AH67" t="str">
        <f>IF(OR($B67="",NOT(ISNUMBER(K67))),"",IF(COUNTIF(L67:$T67,K67)&gt;0,0,IF(COUNTIF($G67:$T67,"&gt;"&amp;K67)=0,"",SMALL($G67:$T67,COUNTIF($G67:$T67,"&lt;="&amp;K67)+1)-K67)))</f>
        <v/>
      </c>
      <c r="AI67" t="str">
        <f>IF(OR($B67="",NOT(ISNUMBER(L67))),"",IF(COUNTIF(M67:$T67,L67)&gt;0,0,IF(COUNTIF($G67:$T67,"&gt;"&amp;L67)=0,"",SMALL($G67:$T67,COUNTIF($G67:$T67,"&lt;="&amp;L67)+1)-L67)))</f>
        <v/>
      </c>
      <c r="AJ67" t="str">
        <f>IF(OR($B67="",NOT(ISNUMBER(M67))),"",IF(COUNTIF(N67:$T67,M67)&gt;0,0,IF(COUNTIF($G67:$T67,"&gt;"&amp;M67)=0,"",SMALL($G67:$T67,COUNTIF($G67:$T67,"&lt;="&amp;M67)+1)-M67)))</f>
        <v/>
      </c>
      <c r="AK67" t="str">
        <f>IF(OR($B67="",NOT(ISNUMBER(N67))),"",IF(COUNTIF(O67:$T67,N67)&gt;0,0,IF(COUNTIF($G67:$T67,"&gt;"&amp;N67)=0,"",SMALL($G67:$T67,COUNTIF($G67:$T67,"&lt;="&amp;N67)+1)-N67)))</f>
        <v/>
      </c>
      <c r="AL67">
        <f>IF(OR($B67="",NOT(ISNUMBER(O67))),"",IF(COUNTIF(P67:$T67,O67)&gt;0,0,IF(COUNTIF($G67:$T67,"&gt;"&amp;O67)=0,"",SMALL($G67:$T67,COUNTIF($G67:$T67,"&lt;="&amp;O67)+1)-O67)))</f>
        <v>2</v>
      </c>
      <c r="AM67">
        <f>IF(OR($B67="",NOT(ISNUMBER(P67))),"",IF(COUNTIF(Q67:$T67,P67)&gt;0,0,IF(COUNTIF($G67:$T67,"&gt;"&amp;P67)=0,"",SMALL($G67:$T67,COUNTIF($G67:$T67,"&lt;="&amp;P67)+1)-P67)))</f>
        <v>0</v>
      </c>
      <c r="AN67" t="str">
        <f>IF(OR($B67="",NOT(ISNUMBER(Q67))),"",IF(COUNTIF(R67:$T67,Q67)&gt;0,0,IF(COUNTIF($G67:$T67,"&gt;"&amp;Q67)=0,"",SMALL($G67:$T67,COUNTIF($G67:$T67,"&lt;="&amp;Q67)+1)-Q67)))</f>
        <v/>
      </c>
      <c r="AO67" t="str">
        <f>IF(OR($B67="",NOT(ISNUMBER(R67))),"",IF(COUNTIF(S67:$T67,R67)&gt;0,0,IF(COUNTIF($G67:$T67,"&gt;"&amp;R67)=0,"",SMALL($G67:$T67,COUNTIF($G67:$T67,"&lt;="&amp;R67)+1)-R67)))</f>
        <v/>
      </c>
      <c r="AP67">
        <f t="shared" ref="AP67:AP130" ca="1" si="20">IF(OR($B67="",Z67="",Z67="Başlamadı",Z67="Sevk Edildi",Z67="Reworkte",LEFT(Z67,7)="Kapandı"),0,TODAY()-MAX($G67:$R67))</f>
        <v>0</v>
      </c>
      <c r="AQ67" s="25" t="str">
        <f t="shared" ref="AQ67:AQ130" si="21">IF(AND(ISNUMBER(G67),ISNUMBER(AD67)),G67+AD67,"")</f>
        <v/>
      </c>
      <c r="AR67" s="25" t="str">
        <f t="shared" ref="AR67:AR130" si="22">IF(AND(ISNUMBER(H67),ISNUMBER(AE67)),H67+AE67,"")</f>
        <v/>
      </c>
      <c r="AS67" s="25" t="str">
        <f t="shared" ref="AS67:AS130" si="23">IF(AND(ISNUMBER(I67),ISNUMBER(AF67)),I67+AF67,"")</f>
        <v/>
      </c>
      <c r="AT67" s="25" t="str">
        <f t="shared" ref="AT67:AT130" si="24">IF(AND(ISNUMBER(J67),ISNUMBER(AG67)),J67+AG67,"")</f>
        <v/>
      </c>
      <c r="AU67" s="25" t="str">
        <f t="shared" ref="AU67:AU130" si="25">IF(AND(ISNUMBER(K67),ISNUMBER(AH67)),K67+AH67,"")</f>
        <v/>
      </c>
      <c r="AV67" s="25" t="str">
        <f t="shared" ref="AV67:AV130" si="26">IF(AND(ISNUMBER(L67),ISNUMBER(AI67)),L67+AI67,"")</f>
        <v/>
      </c>
      <c r="AW67" s="25" t="str">
        <f t="shared" ref="AW67:AW130" si="27">IF(AND(ISNUMBER(M67),ISNUMBER(AJ67)),M67+AJ67,"")</f>
        <v/>
      </c>
      <c r="AX67" s="25" t="str">
        <f t="shared" ref="AX67:AX130" si="28">IF(AND(ISNUMBER(N67),ISNUMBER(AK67)),N67+AK67,"")</f>
        <v/>
      </c>
      <c r="AY67" s="25">
        <f t="shared" ref="AY67:AY130" si="29">IF(AND(ISNUMBER(O67),ISNUMBER(AL67)),O67+AL67,"")</f>
        <v>46295</v>
      </c>
      <c r="AZ67" s="25">
        <f t="shared" ref="AZ67:AZ130" si="30">IF(AND(ISNUMBER(P67),ISNUMBER(AM67)),P67+AM67,"")</f>
        <v>46295</v>
      </c>
      <c r="BA67" s="25" t="str">
        <f t="shared" ref="BA67:BA130" si="31">IF(AND(ISNUMBER(Q67),ISNUMBER(AN67)),Q67+AN67,"")</f>
        <v/>
      </c>
      <c r="BB67" s="25" t="str">
        <f t="shared" ref="BB67:BB130" si="32">IF(AND(ISNUMBER(R67),ISNUMBER(AO67)),R67+AO67,"")</f>
        <v/>
      </c>
      <c r="BC67" s="25">
        <f t="shared" ref="BC67:BC130" si="33">IF(AND(S67="",T67=""),"",MIN(S67,T67))</f>
        <v>46295</v>
      </c>
    </row>
    <row r="68" spans="1:55" ht="15" customHeight="1" x14ac:dyDescent="0.25">
      <c r="A68" s="151">
        <f t="shared" si="17"/>
        <v>66</v>
      </c>
      <c r="B68" s="151" t="s">
        <v>166</v>
      </c>
      <c r="C68" s="152" t="s">
        <v>94</v>
      </c>
      <c r="D68" s="151">
        <f t="shared" si="18"/>
        <v>1</v>
      </c>
      <c r="E68" s="151" t="s">
        <v>61</v>
      </c>
      <c r="F68" s="173">
        <v>46290</v>
      </c>
      <c r="G68" s="173"/>
      <c r="H68" s="173"/>
      <c r="I68" s="173">
        <v>46290</v>
      </c>
      <c r="J68" s="173">
        <v>46293</v>
      </c>
      <c r="K68" s="173"/>
      <c r="L68" s="173"/>
      <c r="M68" s="173"/>
      <c r="N68" s="173"/>
      <c r="O68" s="173"/>
      <c r="P68" s="173"/>
      <c r="Q68" s="173"/>
      <c r="R68" s="173"/>
      <c r="S68" s="173"/>
      <c r="T68" s="174">
        <v>46293</v>
      </c>
      <c r="U68" s="151"/>
      <c r="V68" s="152"/>
      <c r="W68" s="175"/>
      <c r="X68" s="173"/>
      <c r="Y68" s="173"/>
      <c r="Z68" s="176" t="str">
        <f>IF(B68="","",IF(S68&lt;&gt;"","Sevk Edildi",IF(AND(X68&lt;&gt;"",Y68=""),"Reworkte",IF(T68&lt;&gt;"","Kapandı"&amp;IF(COUNT(G68:R68)=0,""," – "&amp;LOOKUP(2,1/(G68:R68=MAX(G68:R68)),{"Tasarım","Ply Cutter","Üretim","Kalite (Üretim sonrası)","Talaşlı","Kalite (Talaşlı sonrası)","Montaj","Kalite (Montaj sonrası)","Boya","Kalite (Boya sonrası)","Yarı Mamül","KM"})),IF(COUNT(G68:R68)=0,"Başlamadı",LOOKUP(2,1/(G68:R68=MAX(G68:R68)),{"Tasarımda","Ply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68" s="177">
        <f t="shared" ca="1" si="19"/>
        <v>3</v>
      </c>
      <c r="AB68" s="175"/>
      <c r="AD68" t="str">
        <f>IF(OR($B68="",NOT(ISNUMBER(G68))),"",IF(COUNTIF(H68:$T68,G68)&gt;0,0,IF(COUNTIF($G68:$T68,"&gt;"&amp;G68)=0,"",SMALL($G68:$T68,COUNTIF($G68:$T68,"&lt;="&amp;G68)+1)-G68)))</f>
        <v/>
      </c>
      <c r="AE68" t="str">
        <f>IF(OR($B68="",NOT(ISNUMBER(H68))),"",IF(COUNTIF(I68:$T68,H68)&gt;0,0,IF(COUNTIF($G68:$T68,"&gt;"&amp;H68)=0,"",SMALL($G68:$T68,COUNTIF($G68:$T68,"&lt;="&amp;H68)+1)-H68)))</f>
        <v/>
      </c>
      <c r="AF68">
        <f>IF(OR($B68="",NOT(ISNUMBER(I68))),"",IF(COUNTIF(J68:$T68,I68)&gt;0,0,IF(COUNTIF($G68:$T68,"&gt;"&amp;I68)=0,"",SMALL($G68:$T68,COUNTIF($G68:$T68,"&lt;="&amp;I68)+1)-I68)))</f>
        <v>3</v>
      </c>
      <c r="AG68">
        <f>IF(OR($B68="",NOT(ISNUMBER(J68))),"",IF(COUNTIF(K68:$T68,J68)&gt;0,0,IF(COUNTIF($G68:$T68,"&gt;"&amp;J68)=0,"",SMALL($G68:$T68,COUNTIF($G68:$T68,"&lt;="&amp;J68)+1)-J68)))</f>
        <v>0</v>
      </c>
      <c r="AH68" t="str">
        <f>IF(OR($B68="",NOT(ISNUMBER(K68))),"",IF(COUNTIF(L68:$T68,K68)&gt;0,0,IF(COUNTIF($G68:$T68,"&gt;"&amp;K68)=0,"",SMALL($G68:$T68,COUNTIF($G68:$T68,"&lt;="&amp;K68)+1)-K68)))</f>
        <v/>
      </c>
      <c r="AI68" t="str">
        <f>IF(OR($B68="",NOT(ISNUMBER(L68))),"",IF(COUNTIF(M68:$T68,L68)&gt;0,0,IF(COUNTIF($G68:$T68,"&gt;"&amp;L68)=0,"",SMALL($G68:$T68,COUNTIF($G68:$T68,"&lt;="&amp;L68)+1)-L68)))</f>
        <v/>
      </c>
      <c r="AJ68" t="str">
        <f>IF(OR($B68="",NOT(ISNUMBER(M68))),"",IF(COUNTIF(N68:$T68,M68)&gt;0,0,IF(COUNTIF($G68:$T68,"&gt;"&amp;M68)=0,"",SMALL($G68:$T68,COUNTIF($G68:$T68,"&lt;="&amp;M68)+1)-M68)))</f>
        <v/>
      </c>
      <c r="AK68" t="str">
        <f>IF(OR($B68="",NOT(ISNUMBER(N68))),"",IF(COUNTIF(O68:$T68,N68)&gt;0,0,IF(COUNTIF($G68:$T68,"&gt;"&amp;N68)=0,"",SMALL($G68:$T68,COUNTIF($G68:$T68,"&lt;="&amp;N68)+1)-N68)))</f>
        <v/>
      </c>
      <c r="AL68" t="str">
        <f>IF(OR($B68="",NOT(ISNUMBER(O68))),"",IF(COUNTIF(P68:$T68,O68)&gt;0,0,IF(COUNTIF($G68:$T68,"&gt;"&amp;O68)=0,"",SMALL($G68:$T68,COUNTIF($G68:$T68,"&lt;="&amp;O68)+1)-O68)))</f>
        <v/>
      </c>
      <c r="AM68" t="str">
        <f>IF(OR($B68="",NOT(ISNUMBER(P68))),"",IF(COUNTIF(Q68:$T68,P68)&gt;0,0,IF(COUNTIF($G68:$T68,"&gt;"&amp;P68)=0,"",SMALL($G68:$T68,COUNTIF($G68:$T68,"&lt;="&amp;P68)+1)-P68)))</f>
        <v/>
      </c>
      <c r="AN68" t="str">
        <f>IF(OR($B68="",NOT(ISNUMBER(Q68))),"",IF(COUNTIF(R68:$T68,Q68)&gt;0,0,IF(COUNTIF($G68:$T68,"&gt;"&amp;Q68)=0,"",SMALL($G68:$T68,COUNTIF($G68:$T68,"&lt;="&amp;Q68)+1)-Q68)))</f>
        <v/>
      </c>
      <c r="AO68" t="str">
        <f>IF(OR($B68="",NOT(ISNUMBER(R68))),"",IF(COUNTIF(S68:$T68,R68)&gt;0,0,IF(COUNTIF($G68:$T68,"&gt;"&amp;R68)=0,"",SMALL($G68:$T68,COUNTIF($G68:$T68,"&lt;="&amp;R68)+1)-R68)))</f>
        <v/>
      </c>
      <c r="AP68">
        <f t="shared" ca="1" si="20"/>
        <v>0</v>
      </c>
      <c r="AQ68" s="25" t="str">
        <f t="shared" si="21"/>
        <v/>
      </c>
      <c r="AR68" s="25" t="str">
        <f t="shared" si="22"/>
        <v/>
      </c>
      <c r="AS68" s="25">
        <f t="shared" si="23"/>
        <v>46293</v>
      </c>
      <c r="AT68" s="25">
        <f t="shared" si="24"/>
        <v>46293</v>
      </c>
      <c r="AU68" s="25" t="str">
        <f t="shared" si="25"/>
        <v/>
      </c>
      <c r="AV68" s="25" t="str">
        <f t="shared" si="26"/>
        <v/>
      </c>
      <c r="AW68" s="25" t="str">
        <f t="shared" si="27"/>
        <v/>
      </c>
      <c r="AX68" s="25" t="str">
        <f t="shared" si="28"/>
        <v/>
      </c>
      <c r="AY68" s="25" t="str">
        <f t="shared" si="29"/>
        <v/>
      </c>
      <c r="AZ68" s="25" t="str">
        <f t="shared" si="30"/>
        <v/>
      </c>
      <c r="BA68" s="25" t="str">
        <f t="shared" si="31"/>
        <v/>
      </c>
      <c r="BB68" s="25" t="str">
        <f t="shared" si="32"/>
        <v/>
      </c>
      <c r="BC68" s="25">
        <f t="shared" si="33"/>
        <v>46293</v>
      </c>
    </row>
    <row r="69" spans="1:55" ht="15" customHeight="1" x14ac:dyDescent="0.25">
      <c r="A69" s="151">
        <f t="shared" si="17"/>
        <v>67</v>
      </c>
      <c r="B69" s="151" t="s">
        <v>167</v>
      </c>
      <c r="C69" s="152" t="s">
        <v>107</v>
      </c>
      <c r="D69" s="151">
        <f t="shared" si="18"/>
        <v>1</v>
      </c>
      <c r="E69" s="151" t="s">
        <v>61</v>
      </c>
      <c r="F69" s="173">
        <v>46290</v>
      </c>
      <c r="G69" s="173"/>
      <c r="H69" s="173"/>
      <c r="I69" s="173">
        <v>46290</v>
      </c>
      <c r="J69" s="173">
        <v>46293</v>
      </c>
      <c r="K69" s="173"/>
      <c r="L69" s="173"/>
      <c r="M69" s="173"/>
      <c r="N69" s="173"/>
      <c r="O69" s="173"/>
      <c r="P69" s="173"/>
      <c r="Q69" s="173"/>
      <c r="R69" s="173"/>
      <c r="S69" s="173"/>
      <c r="T69" s="174">
        <v>46293</v>
      </c>
      <c r="U69" s="151"/>
      <c r="V69" s="152"/>
      <c r="W69" s="175"/>
      <c r="X69" s="173"/>
      <c r="Y69" s="173"/>
      <c r="Z69" s="176" t="str">
        <f>IF(B69="","",IF(S69&lt;&gt;"","Sevk Edildi",IF(AND(X69&lt;&gt;"",Y69=""),"Reworkte",IF(T69&lt;&gt;"","Kapandı"&amp;IF(COUNT(G69:R69)=0,""," – "&amp;LOOKUP(2,1/(G69:R69=MAX(G69:R69)),{"Tasarım","Ply Cutter","Üretim","Kalite (Üretim sonrası)","Talaşlı","Kalite (Talaşlı sonrası)","Montaj","Kalite (Montaj sonrası)","Boya","Kalite (Boya sonrası)","Yarı Mamül","KM"})),IF(COUNT(G69:R69)=0,"Başlamadı",LOOKUP(2,1/(G69:R69=MAX(G69:R69)),{"Tasarımda","Ply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69" s="177">
        <f t="shared" ca="1" si="19"/>
        <v>3</v>
      </c>
      <c r="AB69" s="175"/>
      <c r="AD69" t="str">
        <f>IF(OR($B69="",NOT(ISNUMBER(G69))),"",IF(COUNTIF(H69:$T69,G69)&gt;0,0,IF(COUNTIF($G69:$T69,"&gt;"&amp;G69)=0,"",SMALL($G69:$T69,COUNTIF($G69:$T69,"&lt;="&amp;G69)+1)-G69)))</f>
        <v/>
      </c>
      <c r="AE69" t="str">
        <f>IF(OR($B69="",NOT(ISNUMBER(H69))),"",IF(COUNTIF(I69:$T69,H69)&gt;0,0,IF(COUNTIF($G69:$T69,"&gt;"&amp;H69)=0,"",SMALL($G69:$T69,COUNTIF($G69:$T69,"&lt;="&amp;H69)+1)-H69)))</f>
        <v/>
      </c>
      <c r="AF69">
        <f>IF(OR($B69="",NOT(ISNUMBER(I69))),"",IF(COUNTIF(J69:$T69,I69)&gt;0,0,IF(COUNTIF($G69:$T69,"&gt;"&amp;I69)=0,"",SMALL($G69:$T69,COUNTIF($G69:$T69,"&lt;="&amp;I69)+1)-I69)))</f>
        <v>3</v>
      </c>
      <c r="AG69">
        <f>IF(OR($B69="",NOT(ISNUMBER(J69))),"",IF(COUNTIF(K69:$T69,J69)&gt;0,0,IF(COUNTIF($G69:$T69,"&gt;"&amp;J69)=0,"",SMALL($G69:$T69,COUNTIF($G69:$T69,"&lt;="&amp;J69)+1)-J69)))</f>
        <v>0</v>
      </c>
      <c r="AH69" t="str">
        <f>IF(OR($B69="",NOT(ISNUMBER(K69))),"",IF(COUNTIF(L69:$T69,K69)&gt;0,0,IF(COUNTIF($G69:$T69,"&gt;"&amp;K69)=0,"",SMALL($G69:$T69,COUNTIF($G69:$T69,"&lt;="&amp;K69)+1)-K69)))</f>
        <v/>
      </c>
      <c r="AI69" t="str">
        <f>IF(OR($B69="",NOT(ISNUMBER(L69))),"",IF(COUNTIF(M69:$T69,L69)&gt;0,0,IF(COUNTIF($G69:$T69,"&gt;"&amp;L69)=0,"",SMALL($G69:$T69,COUNTIF($G69:$T69,"&lt;="&amp;L69)+1)-L69)))</f>
        <v/>
      </c>
      <c r="AJ69" t="str">
        <f>IF(OR($B69="",NOT(ISNUMBER(M69))),"",IF(COUNTIF(N69:$T69,M69)&gt;0,0,IF(COUNTIF($G69:$T69,"&gt;"&amp;M69)=0,"",SMALL($G69:$T69,COUNTIF($G69:$T69,"&lt;="&amp;M69)+1)-M69)))</f>
        <v/>
      </c>
      <c r="AK69" t="str">
        <f>IF(OR($B69="",NOT(ISNUMBER(N69))),"",IF(COUNTIF(O69:$T69,N69)&gt;0,0,IF(COUNTIF($G69:$T69,"&gt;"&amp;N69)=0,"",SMALL($G69:$T69,COUNTIF($G69:$T69,"&lt;="&amp;N69)+1)-N69)))</f>
        <v/>
      </c>
      <c r="AL69" t="str">
        <f>IF(OR($B69="",NOT(ISNUMBER(O69))),"",IF(COUNTIF(P69:$T69,O69)&gt;0,0,IF(COUNTIF($G69:$T69,"&gt;"&amp;O69)=0,"",SMALL($G69:$T69,COUNTIF($G69:$T69,"&lt;="&amp;O69)+1)-O69)))</f>
        <v/>
      </c>
      <c r="AM69" t="str">
        <f>IF(OR($B69="",NOT(ISNUMBER(P69))),"",IF(COUNTIF(Q69:$T69,P69)&gt;0,0,IF(COUNTIF($G69:$T69,"&gt;"&amp;P69)=0,"",SMALL($G69:$T69,COUNTIF($G69:$T69,"&lt;="&amp;P69)+1)-P69)))</f>
        <v/>
      </c>
      <c r="AN69" t="str">
        <f>IF(OR($B69="",NOT(ISNUMBER(Q69))),"",IF(COUNTIF(R69:$T69,Q69)&gt;0,0,IF(COUNTIF($G69:$T69,"&gt;"&amp;Q69)=0,"",SMALL($G69:$T69,COUNTIF($G69:$T69,"&lt;="&amp;Q69)+1)-Q69)))</f>
        <v/>
      </c>
      <c r="AO69" t="str">
        <f>IF(OR($B69="",NOT(ISNUMBER(R69))),"",IF(COUNTIF(S69:$T69,R69)&gt;0,0,IF(COUNTIF($G69:$T69,"&gt;"&amp;R69)=0,"",SMALL($G69:$T69,COUNTIF($G69:$T69,"&lt;="&amp;R69)+1)-R69)))</f>
        <v/>
      </c>
      <c r="AP69">
        <f t="shared" ca="1" si="20"/>
        <v>0</v>
      </c>
      <c r="AQ69" s="25" t="str">
        <f t="shared" si="21"/>
        <v/>
      </c>
      <c r="AR69" s="25" t="str">
        <f t="shared" si="22"/>
        <v/>
      </c>
      <c r="AS69" s="25">
        <f t="shared" si="23"/>
        <v>46293</v>
      </c>
      <c r="AT69" s="25">
        <f t="shared" si="24"/>
        <v>46293</v>
      </c>
      <c r="AU69" s="25" t="str">
        <f t="shared" si="25"/>
        <v/>
      </c>
      <c r="AV69" s="25" t="str">
        <f t="shared" si="26"/>
        <v/>
      </c>
      <c r="AW69" s="25" t="str">
        <f t="shared" si="27"/>
        <v/>
      </c>
      <c r="AX69" s="25" t="str">
        <f t="shared" si="28"/>
        <v/>
      </c>
      <c r="AY69" s="25" t="str">
        <f t="shared" si="29"/>
        <v/>
      </c>
      <c r="AZ69" s="25" t="str">
        <f t="shared" si="30"/>
        <v/>
      </c>
      <c r="BA69" s="25" t="str">
        <f t="shared" si="31"/>
        <v/>
      </c>
      <c r="BB69" s="25" t="str">
        <f t="shared" si="32"/>
        <v/>
      </c>
      <c r="BC69" s="25">
        <f t="shared" si="33"/>
        <v>46293</v>
      </c>
    </row>
    <row r="70" spans="1:55" ht="15" customHeight="1" x14ac:dyDescent="0.25">
      <c r="A70" s="151">
        <f t="shared" si="17"/>
        <v>68</v>
      </c>
      <c r="B70" s="151" t="s">
        <v>168</v>
      </c>
      <c r="C70" s="152" t="s">
        <v>88</v>
      </c>
      <c r="D70" s="151">
        <f t="shared" si="18"/>
        <v>1</v>
      </c>
      <c r="E70" s="151" t="s">
        <v>100</v>
      </c>
      <c r="F70" s="173">
        <v>46290</v>
      </c>
      <c r="G70" s="173"/>
      <c r="H70" s="173"/>
      <c r="I70" s="173">
        <v>46290</v>
      </c>
      <c r="J70" s="173">
        <v>46291</v>
      </c>
      <c r="K70" s="173"/>
      <c r="L70" s="173"/>
      <c r="M70" s="173"/>
      <c r="N70" s="173"/>
      <c r="O70" s="173"/>
      <c r="P70" s="173"/>
      <c r="Q70" s="173"/>
      <c r="R70" s="173"/>
      <c r="S70" s="173"/>
      <c r="T70" s="174">
        <v>46291</v>
      </c>
      <c r="U70" s="151"/>
      <c r="V70" s="152"/>
      <c r="W70" s="175"/>
      <c r="X70" s="173"/>
      <c r="Y70" s="173"/>
      <c r="Z70" s="176" t="str">
        <f>IF(B70="","",IF(S70&lt;&gt;"","Sevk Edildi",IF(AND(X70&lt;&gt;"",Y70=""),"Reworkte",IF(T70&lt;&gt;"","Kapandı"&amp;IF(COUNT(G70:R70)=0,""," – "&amp;LOOKUP(2,1/(G70:R70=MAX(G70:R70)),{"Tasarım","Ply Cutter","Üretim","Kalite (Üretim sonrası)","Talaşlı","Kalite (Talaşlı sonrası)","Montaj","Kalite (Montaj sonrası)","Boya","Kalite (Boya sonrası)","Yarı Mamül","KM"})),IF(COUNT(G70:R70)=0,"Başlamadı",LOOKUP(2,1/(G70:R70=MAX(G70:R70)),{"Tasarımda","Ply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70" s="177">
        <f t="shared" ca="1" si="19"/>
        <v>1</v>
      </c>
      <c r="AB70" s="175"/>
      <c r="AD70" t="str">
        <f>IF(OR($B70="",NOT(ISNUMBER(G70))),"",IF(COUNTIF(H70:$T70,G70)&gt;0,0,IF(COUNTIF($G70:$T70,"&gt;"&amp;G70)=0,"",SMALL($G70:$T70,COUNTIF($G70:$T70,"&lt;="&amp;G70)+1)-G70)))</f>
        <v/>
      </c>
      <c r="AE70" t="str">
        <f>IF(OR($B70="",NOT(ISNUMBER(H70))),"",IF(COUNTIF(I70:$T70,H70)&gt;0,0,IF(COUNTIF($G70:$T70,"&gt;"&amp;H70)=0,"",SMALL($G70:$T70,COUNTIF($G70:$T70,"&lt;="&amp;H70)+1)-H70)))</f>
        <v/>
      </c>
      <c r="AF70">
        <f>IF(OR($B70="",NOT(ISNUMBER(I70))),"",IF(COUNTIF(J70:$T70,I70)&gt;0,0,IF(COUNTIF($G70:$T70,"&gt;"&amp;I70)=0,"",SMALL($G70:$T70,COUNTIF($G70:$T70,"&lt;="&amp;I70)+1)-I70)))</f>
        <v>1</v>
      </c>
      <c r="AG70">
        <f>IF(OR($B70="",NOT(ISNUMBER(J70))),"",IF(COUNTIF(K70:$T70,J70)&gt;0,0,IF(COUNTIF($G70:$T70,"&gt;"&amp;J70)=0,"",SMALL($G70:$T70,COUNTIF($G70:$T70,"&lt;="&amp;J70)+1)-J70)))</f>
        <v>0</v>
      </c>
      <c r="AH70" t="str">
        <f>IF(OR($B70="",NOT(ISNUMBER(K70))),"",IF(COUNTIF(L70:$T70,K70)&gt;0,0,IF(COUNTIF($G70:$T70,"&gt;"&amp;K70)=0,"",SMALL($G70:$T70,COUNTIF($G70:$T70,"&lt;="&amp;K70)+1)-K70)))</f>
        <v/>
      </c>
      <c r="AI70" t="str">
        <f>IF(OR($B70="",NOT(ISNUMBER(L70))),"",IF(COUNTIF(M70:$T70,L70)&gt;0,0,IF(COUNTIF($G70:$T70,"&gt;"&amp;L70)=0,"",SMALL($G70:$T70,COUNTIF($G70:$T70,"&lt;="&amp;L70)+1)-L70)))</f>
        <v/>
      </c>
      <c r="AJ70" t="str">
        <f>IF(OR($B70="",NOT(ISNUMBER(M70))),"",IF(COUNTIF(N70:$T70,M70)&gt;0,0,IF(COUNTIF($G70:$T70,"&gt;"&amp;M70)=0,"",SMALL($G70:$T70,COUNTIF($G70:$T70,"&lt;="&amp;M70)+1)-M70)))</f>
        <v/>
      </c>
      <c r="AK70" t="str">
        <f>IF(OR($B70="",NOT(ISNUMBER(N70))),"",IF(COUNTIF(O70:$T70,N70)&gt;0,0,IF(COUNTIF($G70:$T70,"&gt;"&amp;N70)=0,"",SMALL($G70:$T70,COUNTIF($G70:$T70,"&lt;="&amp;N70)+1)-N70)))</f>
        <v/>
      </c>
      <c r="AL70" t="str">
        <f>IF(OR($B70="",NOT(ISNUMBER(O70))),"",IF(COUNTIF(P70:$T70,O70)&gt;0,0,IF(COUNTIF($G70:$T70,"&gt;"&amp;O70)=0,"",SMALL($G70:$T70,COUNTIF($G70:$T70,"&lt;="&amp;O70)+1)-O70)))</f>
        <v/>
      </c>
      <c r="AM70" t="str">
        <f>IF(OR($B70="",NOT(ISNUMBER(P70))),"",IF(COUNTIF(Q70:$T70,P70)&gt;0,0,IF(COUNTIF($G70:$T70,"&gt;"&amp;P70)=0,"",SMALL($G70:$T70,COUNTIF($G70:$T70,"&lt;="&amp;P70)+1)-P70)))</f>
        <v/>
      </c>
      <c r="AN70" t="str">
        <f>IF(OR($B70="",NOT(ISNUMBER(Q70))),"",IF(COUNTIF(R70:$T70,Q70)&gt;0,0,IF(COUNTIF($G70:$T70,"&gt;"&amp;Q70)=0,"",SMALL($G70:$T70,COUNTIF($G70:$T70,"&lt;="&amp;Q70)+1)-Q70)))</f>
        <v/>
      </c>
      <c r="AO70" t="str">
        <f>IF(OR($B70="",NOT(ISNUMBER(R70))),"",IF(COUNTIF(S70:$T70,R70)&gt;0,0,IF(COUNTIF($G70:$T70,"&gt;"&amp;R70)=0,"",SMALL($G70:$T70,COUNTIF($G70:$T70,"&lt;="&amp;R70)+1)-R70)))</f>
        <v/>
      </c>
      <c r="AP70">
        <f t="shared" ca="1" si="20"/>
        <v>0</v>
      </c>
      <c r="AQ70" s="25" t="str">
        <f t="shared" si="21"/>
        <v/>
      </c>
      <c r="AR70" s="25" t="str">
        <f t="shared" si="22"/>
        <v/>
      </c>
      <c r="AS70" s="25">
        <f t="shared" si="23"/>
        <v>46291</v>
      </c>
      <c r="AT70" s="25">
        <f t="shared" si="24"/>
        <v>46291</v>
      </c>
      <c r="AU70" s="25" t="str">
        <f t="shared" si="25"/>
        <v/>
      </c>
      <c r="AV70" s="25" t="str">
        <f t="shared" si="26"/>
        <v/>
      </c>
      <c r="AW70" s="25" t="str">
        <f t="shared" si="27"/>
        <v/>
      </c>
      <c r="AX70" s="25" t="str">
        <f t="shared" si="28"/>
        <v/>
      </c>
      <c r="AY70" s="25" t="str">
        <f t="shared" si="29"/>
        <v/>
      </c>
      <c r="AZ70" s="25" t="str">
        <f t="shared" si="30"/>
        <v/>
      </c>
      <c r="BA70" s="25" t="str">
        <f t="shared" si="31"/>
        <v/>
      </c>
      <c r="BB70" s="25" t="str">
        <f t="shared" si="32"/>
        <v/>
      </c>
      <c r="BC70" s="25">
        <f t="shared" si="33"/>
        <v>46291</v>
      </c>
    </row>
    <row r="71" spans="1:55" ht="15" customHeight="1" x14ac:dyDescent="0.25">
      <c r="A71" s="151">
        <f t="shared" si="17"/>
        <v>69</v>
      </c>
      <c r="B71" s="151" t="s">
        <v>169</v>
      </c>
      <c r="C71" s="152" t="s">
        <v>90</v>
      </c>
      <c r="D71" s="151">
        <f t="shared" si="18"/>
        <v>1</v>
      </c>
      <c r="E71" s="151" t="s">
        <v>100</v>
      </c>
      <c r="F71" s="173">
        <v>46290</v>
      </c>
      <c r="G71" s="173"/>
      <c r="H71" s="173"/>
      <c r="I71" s="173">
        <v>46290</v>
      </c>
      <c r="J71" s="173">
        <v>46291</v>
      </c>
      <c r="K71" s="173"/>
      <c r="L71" s="173"/>
      <c r="M71" s="173"/>
      <c r="N71" s="173"/>
      <c r="O71" s="173"/>
      <c r="P71" s="173"/>
      <c r="Q71" s="173"/>
      <c r="R71" s="173"/>
      <c r="S71" s="173"/>
      <c r="T71" s="174">
        <v>46291</v>
      </c>
      <c r="U71" s="151"/>
      <c r="V71" s="152"/>
      <c r="W71" s="175"/>
      <c r="X71" s="173"/>
      <c r="Y71" s="173"/>
      <c r="Z71" s="176" t="str">
        <f>IF(B71="","",IF(S71&lt;&gt;"","Sevk Edildi",IF(AND(X71&lt;&gt;"",Y71=""),"Reworkte",IF(T71&lt;&gt;"","Kapandı"&amp;IF(COUNT(G71:R71)=0,""," – "&amp;LOOKUP(2,1/(G71:R71=MAX(G71:R71)),{"Tasarım","Ply Cutter","Üretim","Kalite (Üretim sonrası)","Talaşlı","Kalite (Talaşlı sonrası)","Montaj","Kalite (Montaj sonrası)","Boya","Kalite (Boya sonrası)","Yarı Mamül","KM"})),IF(COUNT(G71:R71)=0,"Başlamadı",LOOKUP(2,1/(G71:R71=MAX(G71:R71)),{"Tasarımda","Ply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71" s="177">
        <f t="shared" ca="1" si="19"/>
        <v>1</v>
      </c>
      <c r="AB71" s="175"/>
      <c r="AD71" t="str">
        <f>IF(OR($B71="",NOT(ISNUMBER(G71))),"",IF(COUNTIF(H71:$T71,G71)&gt;0,0,IF(COUNTIF($G71:$T71,"&gt;"&amp;G71)=0,"",SMALL($G71:$T71,COUNTIF($G71:$T71,"&lt;="&amp;G71)+1)-G71)))</f>
        <v/>
      </c>
      <c r="AE71" t="str">
        <f>IF(OR($B71="",NOT(ISNUMBER(H71))),"",IF(COUNTIF(I71:$T71,H71)&gt;0,0,IF(COUNTIF($G71:$T71,"&gt;"&amp;H71)=0,"",SMALL($G71:$T71,COUNTIF($G71:$T71,"&lt;="&amp;H71)+1)-H71)))</f>
        <v/>
      </c>
      <c r="AF71">
        <f>IF(OR($B71="",NOT(ISNUMBER(I71))),"",IF(COUNTIF(J71:$T71,I71)&gt;0,0,IF(COUNTIF($G71:$T71,"&gt;"&amp;I71)=0,"",SMALL($G71:$T71,COUNTIF($G71:$T71,"&lt;="&amp;I71)+1)-I71)))</f>
        <v>1</v>
      </c>
      <c r="AG71">
        <f>IF(OR($B71="",NOT(ISNUMBER(J71))),"",IF(COUNTIF(K71:$T71,J71)&gt;0,0,IF(COUNTIF($G71:$T71,"&gt;"&amp;J71)=0,"",SMALL($G71:$T71,COUNTIF($G71:$T71,"&lt;="&amp;J71)+1)-J71)))</f>
        <v>0</v>
      </c>
      <c r="AH71" t="str">
        <f>IF(OR($B71="",NOT(ISNUMBER(K71))),"",IF(COUNTIF(L71:$T71,K71)&gt;0,0,IF(COUNTIF($G71:$T71,"&gt;"&amp;K71)=0,"",SMALL($G71:$T71,COUNTIF($G71:$T71,"&lt;="&amp;K71)+1)-K71)))</f>
        <v/>
      </c>
      <c r="AI71" t="str">
        <f>IF(OR($B71="",NOT(ISNUMBER(L71))),"",IF(COUNTIF(M71:$T71,L71)&gt;0,0,IF(COUNTIF($G71:$T71,"&gt;"&amp;L71)=0,"",SMALL($G71:$T71,COUNTIF($G71:$T71,"&lt;="&amp;L71)+1)-L71)))</f>
        <v/>
      </c>
      <c r="AJ71" t="str">
        <f>IF(OR($B71="",NOT(ISNUMBER(M71))),"",IF(COUNTIF(N71:$T71,M71)&gt;0,0,IF(COUNTIF($G71:$T71,"&gt;"&amp;M71)=0,"",SMALL($G71:$T71,COUNTIF($G71:$T71,"&lt;="&amp;M71)+1)-M71)))</f>
        <v/>
      </c>
      <c r="AK71" t="str">
        <f>IF(OR($B71="",NOT(ISNUMBER(N71))),"",IF(COUNTIF(O71:$T71,N71)&gt;0,0,IF(COUNTIF($G71:$T71,"&gt;"&amp;N71)=0,"",SMALL($G71:$T71,COUNTIF($G71:$T71,"&lt;="&amp;N71)+1)-N71)))</f>
        <v/>
      </c>
      <c r="AL71" t="str">
        <f>IF(OR($B71="",NOT(ISNUMBER(O71))),"",IF(COUNTIF(P71:$T71,O71)&gt;0,0,IF(COUNTIF($G71:$T71,"&gt;"&amp;O71)=0,"",SMALL($G71:$T71,COUNTIF($G71:$T71,"&lt;="&amp;O71)+1)-O71)))</f>
        <v/>
      </c>
      <c r="AM71" t="str">
        <f>IF(OR($B71="",NOT(ISNUMBER(P71))),"",IF(COUNTIF(Q71:$T71,P71)&gt;0,0,IF(COUNTIF($G71:$T71,"&gt;"&amp;P71)=0,"",SMALL($G71:$T71,COUNTIF($G71:$T71,"&lt;="&amp;P71)+1)-P71)))</f>
        <v/>
      </c>
      <c r="AN71" t="str">
        <f>IF(OR($B71="",NOT(ISNUMBER(Q71))),"",IF(COUNTIF(R71:$T71,Q71)&gt;0,0,IF(COUNTIF($G71:$T71,"&gt;"&amp;Q71)=0,"",SMALL($G71:$T71,COUNTIF($G71:$T71,"&lt;="&amp;Q71)+1)-Q71)))</f>
        <v/>
      </c>
      <c r="AO71" t="str">
        <f>IF(OR($B71="",NOT(ISNUMBER(R71))),"",IF(COUNTIF(S71:$T71,R71)&gt;0,0,IF(COUNTIF($G71:$T71,"&gt;"&amp;R71)=0,"",SMALL($G71:$T71,COUNTIF($G71:$T71,"&lt;="&amp;R71)+1)-R71)))</f>
        <v/>
      </c>
      <c r="AP71">
        <f t="shared" ca="1" si="20"/>
        <v>0</v>
      </c>
      <c r="AQ71" s="25" t="str">
        <f t="shared" si="21"/>
        <v/>
      </c>
      <c r="AR71" s="25" t="str">
        <f t="shared" si="22"/>
        <v/>
      </c>
      <c r="AS71" s="25">
        <f t="shared" si="23"/>
        <v>46291</v>
      </c>
      <c r="AT71" s="25">
        <f t="shared" si="24"/>
        <v>46291</v>
      </c>
      <c r="AU71" s="25" t="str">
        <f t="shared" si="25"/>
        <v/>
      </c>
      <c r="AV71" s="25" t="str">
        <f t="shared" si="26"/>
        <v/>
      </c>
      <c r="AW71" s="25" t="str">
        <f t="shared" si="27"/>
        <v/>
      </c>
      <c r="AX71" s="25" t="str">
        <f t="shared" si="28"/>
        <v/>
      </c>
      <c r="AY71" s="25" t="str">
        <f t="shared" si="29"/>
        <v/>
      </c>
      <c r="AZ71" s="25" t="str">
        <f t="shared" si="30"/>
        <v/>
      </c>
      <c r="BA71" s="25" t="str">
        <f t="shared" si="31"/>
        <v/>
      </c>
      <c r="BB71" s="25" t="str">
        <f t="shared" si="32"/>
        <v/>
      </c>
      <c r="BC71" s="25">
        <f t="shared" si="33"/>
        <v>46291</v>
      </c>
    </row>
    <row r="72" spans="1:55" ht="15" customHeight="1" x14ac:dyDescent="0.25">
      <c r="A72" s="151">
        <f t="shared" si="17"/>
        <v>70</v>
      </c>
      <c r="B72" s="151" t="s">
        <v>170</v>
      </c>
      <c r="C72" s="152" t="s">
        <v>92</v>
      </c>
      <c r="D72" s="151">
        <f t="shared" si="18"/>
        <v>2</v>
      </c>
      <c r="E72" s="151" t="s">
        <v>100</v>
      </c>
      <c r="F72" s="173">
        <v>46290</v>
      </c>
      <c r="G72" s="173"/>
      <c r="H72" s="173"/>
      <c r="I72" s="173">
        <v>46290</v>
      </c>
      <c r="J72" s="173">
        <v>46293</v>
      </c>
      <c r="K72" s="173"/>
      <c r="L72" s="173"/>
      <c r="M72" s="173"/>
      <c r="N72" s="173"/>
      <c r="O72" s="173"/>
      <c r="P72" s="173"/>
      <c r="Q72" s="173"/>
      <c r="R72" s="173"/>
      <c r="S72" s="173"/>
      <c r="T72" s="174">
        <v>46293</v>
      </c>
      <c r="U72" s="151"/>
      <c r="V72" s="152"/>
      <c r="W72" s="175"/>
      <c r="X72" s="173"/>
      <c r="Y72" s="173"/>
      <c r="Z72" s="176" t="str">
        <f>IF(B72="","",IF(S72&lt;&gt;"","Sevk Edildi",IF(AND(X72&lt;&gt;"",Y72=""),"Reworkte",IF(T72&lt;&gt;"","Kapandı"&amp;IF(COUNT(G72:R72)=0,""," – "&amp;LOOKUP(2,1/(G72:R72=MAX(G72:R72)),{"Tasarım","Ply Cutter","Üretim","Kalite (Üretim sonrası)","Talaşlı","Kalite (Talaşlı sonrası)","Montaj","Kalite (Montaj sonrası)","Boya","Kalite (Boya sonrası)","Yarı Mamül","KM"})),IF(COUNT(G72:R72)=0,"Başlamadı",LOOKUP(2,1/(G72:R72=MAX(G72:R72)),{"Tasarımda","Ply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72" s="177">
        <f t="shared" ca="1" si="19"/>
        <v>3</v>
      </c>
      <c r="AB72" s="175"/>
      <c r="AD72" t="str">
        <f>IF(OR($B72="",NOT(ISNUMBER(G72))),"",IF(COUNTIF(H72:$T72,G72)&gt;0,0,IF(COUNTIF($G72:$T72,"&gt;"&amp;G72)=0,"",SMALL($G72:$T72,COUNTIF($G72:$T72,"&lt;="&amp;G72)+1)-G72)))</f>
        <v/>
      </c>
      <c r="AE72" t="str">
        <f>IF(OR($B72="",NOT(ISNUMBER(H72))),"",IF(COUNTIF(I72:$T72,H72)&gt;0,0,IF(COUNTIF($G72:$T72,"&gt;"&amp;H72)=0,"",SMALL($G72:$T72,COUNTIF($G72:$T72,"&lt;="&amp;H72)+1)-H72)))</f>
        <v/>
      </c>
      <c r="AF72">
        <f>IF(OR($B72="",NOT(ISNUMBER(I72))),"",IF(COUNTIF(J72:$T72,I72)&gt;0,0,IF(COUNTIF($G72:$T72,"&gt;"&amp;I72)=0,"",SMALL($G72:$T72,COUNTIF($G72:$T72,"&lt;="&amp;I72)+1)-I72)))</f>
        <v>3</v>
      </c>
      <c r="AG72">
        <f>IF(OR($B72="",NOT(ISNUMBER(J72))),"",IF(COUNTIF(K72:$T72,J72)&gt;0,0,IF(COUNTIF($G72:$T72,"&gt;"&amp;J72)=0,"",SMALL($G72:$T72,COUNTIF($G72:$T72,"&lt;="&amp;J72)+1)-J72)))</f>
        <v>0</v>
      </c>
      <c r="AH72" t="str">
        <f>IF(OR($B72="",NOT(ISNUMBER(K72))),"",IF(COUNTIF(L72:$T72,K72)&gt;0,0,IF(COUNTIF($G72:$T72,"&gt;"&amp;K72)=0,"",SMALL($G72:$T72,COUNTIF($G72:$T72,"&lt;="&amp;K72)+1)-K72)))</f>
        <v/>
      </c>
      <c r="AI72" t="str">
        <f>IF(OR($B72="",NOT(ISNUMBER(L72))),"",IF(COUNTIF(M72:$T72,L72)&gt;0,0,IF(COUNTIF($G72:$T72,"&gt;"&amp;L72)=0,"",SMALL($G72:$T72,COUNTIF($G72:$T72,"&lt;="&amp;L72)+1)-L72)))</f>
        <v/>
      </c>
      <c r="AJ72" t="str">
        <f>IF(OR($B72="",NOT(ISNUMBER(M72))),"",IF(COUNTIF(N72:$T72,M72)&gt;0,0,IF(COUNTIF($G72:$T72,"&gt;"&amp;M72)=0,"",SMALL($G72:$T72,COUNTIF($G72:$T72,"&lt;="&amp;M72)+1)-M72)))</f>
        <v/>
      </c>
      <c r="AK72" t="str">
        <f>IF(OR($B72="",NOT(ISNUMBER(N72))),"",IF(COUNTIF(O72:$T72,N72)&gt;0,0,IF(COUNTIF($G72:$T72,"&gt;"&amp;N72)=0,"",SMALL($G72:$T72,COUNTIF($G72:$T72,"&lt;="&amp;N72)+1)-N72)))</f>
        <v/>
      </c>
      <c r="AL72" t="str">
        <f>IF(OR($B72="",NOT(ISNUMBER(O72))),"",IF(COUNTIF(P72:$T72,O72)&gt;0,0,IF(COUNTIF($G72:$T72,"&gt;"&amp;O72)=0,"",SMALL($G72:$T72,COUNTIF($G72:$T72,"&lt;="&amp;O72)+1)-O72)))</f>
        <v/>
      </c>
      <c r="AM72" t="str">
        <f>IF(OR($B72="",NOT(ISNUMBER(P72))),"",IF(COUNTIF(Q72:$T72,P72)&gt;0,0,IF(COUNTIF($G72:$T72,"&gt;"&amp;P72)=0,"",SMALL($G72:$T72,COUNTIF($G72:$T72,"&lt;="&amp;P72)+1)-P72)))</f>
        <v/>
      </c>
      <c r="AN72" t="str">
        <f>IF(OR($B72="",NOT(ISNUMBER(Q72))),"",IF(COUNTIF(R72:$T72,Q72)&gt;0,0,IF(COUNTIF($G72:$T72,"&gt;"&amp;Q72)=0,"",SMALL($G72:$T72,COUNTIF($G72:$T72,"&lt;="&amp;Q72)+1)-Q72)))</f>
        <v/>
      </c>
      <c r="AO72" t="str">
        <f>IF(OR($B72="",NOT(ISNUMBER(R72))),"",IF(COUNTIF(S72:$T72,R72)&gt;0,0,IF(COUNTIF($G72:$T72,"&gt;"&amp;R72)=0,"",SMALL($G72:$T72,COUNTIF($G72:$T72,"&lt;="&amp;R72)+1)-R72)))</f>
        <v/>
      </c>
      <c r="AP72">
        <f t="shared" ca="1" si="20"/>
        <v>0</v>
      </c>
      <c r="AQ72" s="25" t="str">
        <f t="shared" si="21"/>
        <v/>
      </c>
      <c r="AR72" s="25" t="str">
        <f t="shared" si="22"/>
        <v/>
      </c>
      <c r="AS72" s="25">
        <f t="shared" si="23"/>
        <v>46293</v>
      </c>
      <c r="AT72" s="25">
        <f t="shared" si="24"/>
        <v>46293</v>
      </c>
      <c r="AU72" s="25" t="str">
        <f t="shared" si="25"/>
        <v/>
      </c>
      <c r="AV72" s="25" t="str">
        <f t="shared" si="26"/>
        <v/>
      </c>
      <c r="AW72" s="25" t="str">
        <f t="shared" si="27"/>
        <v/>
      </c>
      <c r="AX72" s="25" t="str">
        <f t="shared" si="28"/>
        <v/>
      </c>
      <c r="AY72" s="25" t="str">
        <f t="shared" si="29"/>
        <v/>
      </c>
      <c r="AZ72" s="25" t="str">
        <f t="shared" si="30"/>
        <v/>
      </c>
      <c r="BA72" s="25" t="str">
        <f t="shared" si="31"/>
        <v/>
      </c>
      <c r="BB72" s="25" t="str">
        <f t="shared" si="32"/>
        <v/>
      </c>
      <c r="BC72" s="25">
        <f t="shared" si="33"/>
        <v>46293</v>
      </c>
    </row>
    <row r="73" spans="1:55" ht="15" customHeight="1" x14ac:dyDescent="0.25">
      <c r="A73" s="151">
        <f t="shared" si="17"/>
        <v>71</v>
      </c>
      <c r="B73" s="151" t="s">
        <v>171</v>
      </c>
      <c r="C73" s="152" t="s">
        <v>172</v>
      </c>
      <c r="D73" s="151">
        <f t="shared" si="18"/>
        <v>5</v>
      </c>
      <c r="E73" s="151" t="s">
        <v>100</v>
      </c>
      <c r="F73" s="173">
        <v>46291</v>
      </c>
      <c r="G73" s="173"/>
      <c r="H73" s="173"/>
      <c r="I73" s="173"/>
      <c r="J73" s="173"/>
      <c r="K73" s="173">
        <v>46291</v>
      </c>
      <c r="L73" s="173"/>
      <c r="M73" s="173"/>
      <c r="N73" s="173"/>
      <c r="O73" s="173"/>
      <c r="P73" s="173"/>
      <c r="Q73" s="173"/>
      <c r="R73" s="173"/>
      <c r="S73" s="173"/>
      <c r="T73" s="174">
        <v>46291</v>
      </c>
      <c r="U73" s="151"/>
      <c r="V73" s="152"/>
      <c r="W73" s="175"/>
      <c r="X73" s="173"/>
      <c r="Y73" s="173"/>
      <c r="Z73" s="176" t="str">
        <f>IF(B73="","",IF(S73&lt;&gt;"","Sevk Edildi",IF(AND(X73&lt;&gt;"",Y73=""),"Reworkte",IF(T73&lt;&gt;"","Kapandı"&amp;IF(COUNT(G73:R73)=0,""," – "&amp;LOOKUP(2,1/(G73:R73=MAX(G73:R73)),{"Tasarım","Ply Cutter","Üretim","Kalite (Üretim sonrası)","Talaşlı","Kalite (Talaşlı sonrası)","Montaj","Kalite (Montaj sonrası)","Boya","Kalite (Boya sonrası)","Yarı Mamül","KM"})),IF(COUNT(G73:R73)=0,"Başlamadı",LOOKUP(2,1/(G73:R73=MAX(G73:R73)),{"Tasarımda","Ply Cutter'da","Üretimde","Kalitede (Üretim sonrası)","Talaşlıda","Kalitede (Talaşlı sonrası)","Montajda","Kalitede (Montaj sonrası)","Boyada","Kalitede (Boya sonrası)","Yarı Mamülde","KM'de"}))))))</f>
        <v>Kapandı – Talaşlı</v>
      </c>
      <c r="AA73" s="177">
        <f t="shared" ca="1" si="19"/>
        <v>0</v>
      </c>
      <c r="AB73" s="175"/>
      <c r="AD73" t="str">
        <f>IF(OR($B73="",NOT(ISNUMBER(G73))),"",IF(COUNTIF(H73:$T73,G73)&gt;0,0,IF(COUNTIF($G73:$T73,"&gt;"&amp;G73)=0,"",SMALL($G73:$T73,COUNTIF($G73:$T73,"&lt;="&amp;G73)+1)-G73)))</f>
        <v/>
      </c>
      <c r="AE73" t="str">
        <f>IF(OR($B73="",NOT(ISNUMBER(H73))),"",IF(COUNTIF(I73:$T73,H73)&gt;0,0,IF(COUNTIF($G73:$T73,"&gt;"&amp;H73)=0,"",SMALL($G73:$T73,COUNTIF($G73:$T73,"&lt;="&amp;H73)+1)-H73)))</f>
        <v/>
      </c>
      <c r="AF73" t="str">
        <f>IF(OR($B73="",NOT(ISNUMBER(I73))),"",IF(COUNTIF(J73:$T73,I73)&gt;0,0,IF(COUNTIF($G73:$T73,"&gt;"&amp;I73)=0,"",SMALL($G73:$T73,COUNTIF($G73:$T73,"&lt;="&amp;I73)+1)-I73)))</f>
        <v/>
      </c>
      <c r="AG73" t="str">
        <f>IF(OR($B73="",NOT(ISNUMBER(J73))),"",IF(COUNTIF(K73:$T73,J73)&gt;0,0,IF(COUNTIF($G73:$T73,"&gt;"&amp;J73)=0,"",SMALL($G73:$T73,COUNTIF($G73:$T73,"&lt;="&amp;J73)+1)-J73)))</f>
        <v/>
      </c>
      <c r="AH73">
        <f>IF(OR($B73="",NOT(ISNUMBER(K73))),"",IF(COUNTIF(L73:$T73,K73)&gt;0,0,IF(COUNTIF($G73:$T73,"&gt;"&amp;K73)=0,"",SMALL($G73:$T73,COUNTIF($G73:$T73,"&lt;="&amp;K73)+1)-K73)))</f>
        <v>0</v>
      </c>
      <c r="AI73" t="str">
        <f>IF(OR($B73="",NOT(ISNUMBER(L73))),"",IF(COUNTIF(M73:$T73,L73)&gt;0,0,IF(COUNTIF($G73:$T73,"&gt;"&amp;L73)=0,"",SMALL($G73:$T73,COUNTIF($G73:$T73,"&lt;="&amp;L73)+1)-L73)))</f>
        <v/>
      </c>
      <c r="AJ73" t="str">
        <f>IF(OR($B73="",NOT(ISNUMBER(M73))),"",IF(COUNTIF(N73:$T73,M73)&gt;0,0,IF(COUNTIF($G73:$T73,"&gt;"&amp;M73)=0,"",SMALL($G73:$T73,COUNTIF($G73:$T73,"&lt;="&amp;M73)+1)-M73)))</f>
        <v/>
      </c>
      <c r="AK73" t="str">
        <f>IF(OR($B73="",NOT(ISNUMBER(N73))),"",IF(COUNTIF(O73:$T73,N73)&gt;0,0,IF(COUNTIF($G73:$T73,"&gt;"&amp;N73)=0,"",SMALL($G73:$T73,COUNTIF($G73:$T73,"&lt;="&amp;N73)+1)-N73)))</f>
        <v/>
      </c>
      <c r="AL73" t="str">
        <f>IF(OR($B73="",NOT(ISNUMBER(O73))),"",IF(COUNTIF(P73:$T73,O73)&gt;0,0,IF(COUNTIF($G73:$T73,"&gt;"&amp;O73)=0,"",SMALL($G73:$T73,COUNTIF($G73:$T73,"&lt;="&amp;O73)+1)-O73)))</f>
        <v/>
      </c>
      <c r="AM73" t="str">
        <f>IF(OR($B73="",NOT(ISNUMBER(P73))),"",IF(COUNTIF(Q73:$T73,P73)&gt;0,0,IF(COUNTIF($G73:$T73,"&gt;"&amp;P73)=0,"",SMALL($G73:$T73,COUNTIF($G73:$T73,"&lt;="&amp;P73)+1)-P73)))</f>
        <v/>
      </c>
      <c r="AN73" t="str">
        <f>IF(OR($B73="",NOT(ISNUMBER(Q73))),"",IF(COUNTIF(R73:$T73,Q73)&gt;0,0,IF(COUNTIF($G73:$T73,"&gt;"&amp;Q73)=0,"",SMALL($G73:$T73,COUNTIF($G73:$T73,"&lt;="&amp;Q73)+1)-Q73)))</f>
        <v/>
      </c>
      <c r="AO73" t="str">
        <f>IF(OR($B73="",NOT(ISNUMBER(R73))),"",IF(COUNTIF(S73:$T73,R73)&gt;0,0,IF(COUNTIF($G73:$T73,"&gt;"&amp;R73)=0,"",SMALL($G73:$T73,COUNTIF($G73:$T73,"&lt;="&amp;R73)+1)-R73)))</f>
        <v/>
      </c>
      <c r="AP73">
        <f t="shared" ca="1" si="20"/>
        <v>0</v>
      </c>
      <c r="AQ73" s="25" t="str">
        <f t="shared" si="21"/>
        <v/>
      </c>
      <c r="AR73" s="25" t="str">
        <f t="shared" si="22"/>
        <v/>
      </c>
      <c r="AS73" s="25" t="str">
        <f t="shared" si="23"/>
        <v/>
      </c>
      <c r="AT73" s="25" t="str">
        <f t="shared" si="24"/>
        <v/>
      </c>
      <c r="AU73" s="25">
        <f t="shared" si="25"/>
        <v>46291</v>
      </c>
      <c r="AV73" s="25" t="str">
        <f t="shared" si="26"/>
        <v/>
      </c>
      <c r="AW73" s="25" t="str">
        <f t="shared" si="27"/>
        <v/>
      </c>
      <c r="AX73" s="25" t="str">
        <f t="shared" si="28"/>
        <v/>
      </c>
      <c r="AY73" s="25" t="str">
        <f t="shared" si="29"/>
        <v/>
      </c>
      <c r="AZ73" s="25" t="str">
        <f t="shared" si="30"/>
        <v/>
      </c>
      <c r="BA73" s="25" t="str">
        <f t="shared" si="31"/>
        <v/>
      </c>
      <c r="BB73" s="25" t="str">
        <f t="shared" si="32"/>
        <v/>
      </c>
      <c r="BC73" s="25">
        <f t="shared" si="33"/>
        <v>46291</v>
      </c>
    </row>
    <row r="74" spans="1:55" ht="15" customHeight="1" x14ac:dyDescent="0.25">
      <c r="A74" s="151">
        <f t="shared" si="17"/>
        <v>72</v>
      </c>
      <c r="B74" s="151" t="s">
        <v>173</v>
      </c>
      <c r="C74" s="152" t="s">
        <v>107</v>
      </c>
      <c r="D74" s="151">
        <f t="shared" si="18"/>
        <v>1</v>
      </c>
      <c r="E74" s="151" t="s">
        <v>61</v>
      </c>
      <c r="F74" s="173">
        <v>46291</v>
      </c>
      <c r="G74" s="173"/>
      <c r="H74" s="173"/>
      <c r="I74" s="173">
        <v>46291</v>
      </c>
      <c r="J74" s="173">
        <v>46293</v>
      </c>
      <c r="K74" s="173"/>
      <c r="L74" s="173"/>
      <c r="M74" s="173"/>
      <c r="N74" s="173"/>
      <c r="O74" s="173"/>
      <c r="P74" s="173"/>
      <c r="Q74" s="173"/>
      <c r="R74" s="173"/>
      <c r="S74" s="173"/>
      <c r="T74" s="174">
        <v>46293</v>
      </c>
      <c r="U74" s="151"/>
      <c r="V74" s="152"/>
      <c r="W74" s="175"/>
      <c r="X74" s="173"/>
      <c r="Y74" s="173"/>
      <c r="Z74" s="176" t="str">
        <f>IF(B74="","",IF(S74&lt;&gt;"","Sevk Edildi",IF(AND(X74&lt;&gt;"",Y74=""),"Reworkte",IF(T74&lt;&gt;"","Kapandı"&amp;IF(COUNT(G74:R74)=0,""," – "&amp;LOOKUP(2,1/(G74:R74=MAX(G74:R74)),{"Tasarım","Ply Cutter","Üretim","Kalite (Üretim sonrası)","Talaşlı","Kalite (Talaşlı sonrası)","Montaj","Kalite (Montaj sonrası)","Boya","Kalite (Boya sonrası)","Yarı Mamül","KM"})),IF(COUNT(G74:R74)=0,"Başlamadı",LOOKUP(2,1/(G74:R74=MAX(G74:R74)),{"Tasarımda","Ply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74" s="177">
        <f t="shared" ca="1" si="19"/>
        <v>2</v>
      </c>
      <c r="AB74" s="175"/>
      <c r="AD74" t="str">
        <f>IF(OR($B74="",NOT(ISNUMBER(G74))),"",IF(COUNTIF(H74:$T74,G74)&gt;0,0,IF(COUNTIF($G74:$T74,"&gt;"&amp;G74)=0,"",SMALL($G74:$T74,COUNTIF($G74:$T74,"&lt;="&amp;G74)+1)-G74)))</f>
        <v/>
      </c>
      <c r="AE74" t="str">
        <f>IF(OR($B74="",NOT(ISNUMBER(H74))),"",IF(COUNTIF(I74:$T74,H74)&gt;0,0,IF(COUNTIF($G74:$T74,"&gt;"&amp;H74)=0,"",SMALL($G74:$T74,COUNTIF($G74:$T74,"&lt;="&amp;H74)+1)-H74)))</f>
        <v/>
      </c>
      <c r="AF74">
        <f>IF(OR($B74="",NOT(ISNUMBER(I74))),"",IF(COUNTIF(J74:$T74,I74)&gt;0,0,IF(COUNTIF($G74:$T74,"&gt;"&amp;I74)=0,"",SMALL($G74:$T74,COUNTIF($G74:$T74,"&lt;="&amp;I74)+1)-I74)))</f>
        <v>2</v>
      </c>
      <c r="AG74">
        <f>IF(OR($B74="",NOT(ISNUMBER(J74))),"",IF(COUNTIF(K74:$T74,J74)&gt;0,0,IF(COUNTIF($G74:$T74,"&gt;"&amp;J74)=0,"",SMALL($G74:$T74,COUNTIF($G74:$T74,"&lt;="&amp;J74)+1)-J74)))</f>
        <v>0</v>
      </c>
      <c r="AH74" t="str">
        <f>IF(OR($B74="",NOT(ISNUMBER(K74))),"",IF(COUNTIF(L74:$T74,K74)&gt;0,0,IF(COUNTIF($G74:$T74,"&gt;"&amp;K74)=0,"",SMALL($G74:$T74,COUNTIF($G74:$T74,"&lt;="&amp;K74)+1)-K74)))</f>
        <v/>
      </c>
      <c r="AI74" t="str">
        <f>IF(OR($B74="",NOT(ISNUMBER(L74))),"",IF(COUNTIF(M74:$T74,L74)&gt;0,0,IF(COUNTIF($G74:$T74,"&gt;"&amp;L74)=0,"",SMALL($G74:$T74,COUNTIF($G74:$T74,"&lt;="&amp;L74)+1)-L74)))</f>
        <v/>
      </c>
      <c r="AJ74" t="str">
        <f>IF(OR($B74="",NOT(ISNUMBER(M74))),"",IF(COUNTIF(N74:$T74,M74)&gt;0,0,IF(COUNTIF($G74:$T74,"&gt;"&amp;M74)=0,"",SMALL($G74:$T74,COUNTIF($G74:$T74,"&lt;="&amp;M74)+1)-M74)))</f>
        <v/>
      </c>
      <c r="AK74" t="str">
        <f>IF(OR($B74="",NOT(ISNUMBER(N74))),"",IF(COUNTIF(O74:$T74,N74)&gt;0,0,IF(COUNTIF($G74:$T74,"&gt;"&amp;N74)=0,"",SMALL($G74:$T74,COUNTIF($G74:$T74,"&lt;="&amp;N74)+1)-N74)))</f>
        <v/>
      </c>
      <c r="AL74" t="str">
        <f>IF(OR($B74="",NOT(ISNUMBER(O74))),"",IF(COUNTIF(P74:$T74,O74)&gt;0,0,IF(COUNTIF($G74:$T74,"&gt;"&amp;O74)=0,"",SMALL($G74:$T74,COUNTIF($G74:$T74,"&lt;="&amp;O74)+1)-O74)))</f>
        <v/>
      </c>
      <c r="AM74" t="str">
        <f>IF(OR($B74="",NOT(ISNUMBER(P74))),"",IF(COUNTIF(Q74:$T74,P74)&gt;0,0,IF(COUNTIF($G74:$T74,"&gt;"&amp;P74)=0,"",SMALL($G74:$T74,COUNTIF($G74:$T74,"&lt;="&amp;P74)+1)-P74)))</f>
        <v/>
      </c>
      <c r="AN74" t="str">
        <f>IF(OR($B74="",NOT(ISNUMBER(Q74))),"",IF(COUNTIF(R74:$T74,Q74)&gt;0,0,IF(COUNTIF($G74:$T74,"&gt;"&amp;Q74)=0,"",SMALL($G74:$T74,COUNTIF($G74:$T74,"&lt;="&amp;Q74)+1)-Q74)))</f>
        <v/>
      </c>
      <c r="AO74" t="str">
        <f>IF(OR($B74="",NOT(ISNUMBER(R74))),"",IF(COUNTIF(S74:$T74,R74)&gt;0,0,IF(COUNTIF($G74:$T74,"&gt;"&amp;R74)=0,"",SMALL($G74:$T74,COUNTIF($G74:$T74,"&lt;="&amp;R74)+1)-R74)))</f>
        <v/>
      </c>
      <c r="AP74">
        <f t="shared" ca="1" si="20"/>
        <v>0</v>
      </c>
      <c r="AQ74" s="25" t="str">
        <f t="shared" si="21"/>
        <v/>
      </c>
      <c r="AR74" s="25" t="str">
        <f t="shared" si="22"/>
        <v/>
      </c>
      <c r="AS74" s="25">
        <f t="shared" si="23"/>
        <v>46293</v>
      </c>
      <c r="AT74" s="25">
        <f t="shared" si="24"/>
        <v>46293</v>
      </c>
      <c r="AU74" s="25" t="str">
        <f t="shared" si="25"/>
        <v/>
      </c>
      <c r="AV74" s="25" t="str">
        <f t="shared" si="26"/>
        <v/>
      </c>
      <c r="AW74" s="25" t="str">
        <f t="shared" si="27"/>
        <v/>
      </c>
      <c r="AX74" s="25" t="str">
        <f t="shared" si="28"/>
        <v/>
      </c>
      <c r="AY74" s="25" t="str">
        <f t="shared" si="29"/>
        <v/>
      </c>
      <c r="AZ74" s="25" t="str">
        <f t="shared" si="30"/>
        <v/>
      </c>
      <c r="BA74" s="25" t="str">
        <f t="shared" si="31"/>
        <v/>
      </c>
      <c r="BB74" s="25" t="str">
        <f t="shared" si="32"/>
        <v/>
      </c>
      <c r="BC74" s="25">
        <f t="shared" si="33"/>
        <v>46293</v>
      </c>
    </row>
    <row r="75" spans="1:55" ht="15" customHeight="1" x14ac:dyDescent="0.25">
      <c r="A75" s="151">
        <f t="shared" si="17"/>
        <v>73</v>
      </c>
      <c r="B75" s="151" t="s">
        <v>174</v>
      </c>
      <c r="C75" s="152" t="s">
        <v>107</v>
      </c>
      <c r="D75" s="151">
        <f t="shared" si="18"/>
        <v>1</v>
      </c>
      <c r="E75" s="151" t="s">
        <v>61</v>
      </c>
      <c r="F75" s="173">
        <v>46291</v>
      </c>
      <c r="G75" s="173"/>
      <c r="H75" s="173"/>
      <c r="I75" s="173">
        <v>46291</v>
      </c>
      <c r="J75" s="173">
        <v>46293</v>
      </c>
      <c r="K75" s="173"/>
      <c r="L75" s="173"/>
      <c r="M75" s="173"/>
      <c r="N75" s="173"/>
      <c r="O75" s="173"/>
      <c r="P75" s="173"/>
      <c r="Q75" s="173"/>
      <c r="R75" s="173"/>
      <c r="S75" s="173"/>
      <c r="T75" s="174">
        <v>46293</v>
      </c>
      <c r="U75" s="151"/>
      <c r="V75" s="152"/>
      <c r="W75" s="175"/>
      <c r="X75" s="173"/>
      <c r="Y75" s="173"/>
      <c r="Z75" s="176" t="str">
        <f>IF(B75="","",IF(S75&lt;&gt;"","Sevk Edildi",IF(AND(X75&lt;&gt;"",Y75=""),"Reworkte",IF(T75&lt;&gt;"","Kapandı"&amp;IF(COUNT(G75:R75)=0,""," – "&amp;LOOKUP(2,1/(G75:R75=MAX(G75:R75)),{"Tasarım","Ply Cutter","Üretim","Kalite (Üretim sonrası)","Talaşlı","Kalite (Talaşlı sonrası)","Montaj","Kalite (Montaj sonrası)","Boya","Kalite (Boya sonrası)","Yarı Mamül","KM"})),IF(COUNT(G75:R75)=0,"Başlamadı",LOOKUP(2,1/(G75:R75=MAX(G75:R75)),{"Tasarımda","Ply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75" s="177">
        <f t="shared" ca="1" si="19"/>
        <v>2</v>
      </c>
      <c r="AB75" s="175"/>
      <c r="AD75" t="str">
        <f>IF(OR($B75="",NOT(ISNUMBER(G75))),"",IF(COUNTIF(H75:$T75,G75)&gt;0,0,IF(COUNTIF($G75:$T75,"&gt;"&amp;G75)=0,"",SMALL($G75:$T75,COUNTIF($G75:$T75,"&lt;="&amp;G75)+1)-G75)))</f>
        <v/>
      </c>
      <c r="AE75" t="str">
        <f>IF(OR($B75="",NOT(ISNUMBER(H75))),"",IF(COUNTIF(I75:$T75,H75)&gt;0,0,IF(COUNTIF($G75:$T75,"&gt;"&amp;H75)=0,"",SMALL($G75:$T75,COUNTIF($G75:$T75,"&lt;="&amp;H75)+1)-H75)))</f>
        <v/>
      </c>
      <c r="AF75">
        <f>IF(OR($B75="",NOT(ISNUMBER(I75))),"",IF(COUNTIF(J75:$T75,I75)&gt;0,0,IF(COUNTIF($G75:$T75,"&gt;"&amp;I75)=0,"",SMALL($G75:$T75,COUNTIF($G75:$T75,"&lt;="&amp;I75)+1)-I75)))</f>
        <v>2</v>
      </c>
      <c r="AG75">
        <f>IF(OR($B75="",NOT(ISNUMBER(J75))),"",IF(COUNTIF(K75:$T75,J75)&gt;0,0,IF(COUNTIF($G75:$T75,"&gt;"&amp;J75)=0,"",SMALL($G75:$T75,COUNTIF($G75:$T75,"&lt;="&amp;J75)+1)-J75)))</f>
        <v>0</v>
      </c>
      <c r="AH75" t="str">
        <f>IF(OR($B75="",NOT(ISNUMBER(K75))),"",IF(COUNTIF(L75:$T75,K75)&gt;0,0,IF(COUNTIF($G75:$T75,"&gt;"&amp;K75)=0,"",SMALL($G75:$T75,COUNTIF($G75:$T75,"&lt;="&amp;K75)+1)-K75)))</f>
        <v/>
      </c>
      <c r="AI75" t="str">
        <f>IF(OR($B75="",NOT(ISNUMBER(L75))),"",IF(COUNTIF(M75:$T75,L75)&gt;0,0,IF(COUNTIF($G75:$T75,"&gt;"&amp;L75)=0,"",SMALL($G75:$T75,COUNTIF($G75:$T75,"&lt;="&amp;L75)+1)-L75)))</f>
        <v/>
      </c>
      <c r="AJ75" t="str">
        <f>IF(OR($B75="",NOT(ISNUMBER(M75))),"",IF(COUNTIF(N75:$T75,M75)&gt;0,0,IF(COUNTIF($G75:$T75,"&gt;"&amp;M75)=0,"",SMALL($G75:$T75,COUNTIF($G75:$T75,"&lt;="&amp;M75)+1)-M75)))</f>
        <v/>
      </c>
      <c r="AK75" t="str">
        <f>IF(OR($B75="",NOT(ISNUMBER(N75))),"",IF(COUNTIF(O75:$T75,N75)&gt;0,0,IF(COUNTIF($G75:$T75,"&gt;"&amp;N75)=0,"",SMALL($G75:$T75,COUNTIF($G75:$T75,"&lt;="&amp;N75)+1)-N75)))</f>
        <v/>
      </c>
      <c r="AL75" t="str">
        <f>IF(OR($B75="",NOT(ISNUMBER(O75))),"",IF(COUNTIF(P75:$T75,O75)&gt;0,0,IF(COUNTIF($G75:$T75,"&gt;"&amp;O75)=0,"",SMALL($G75:$T75,COUNTIF($G75:$T75,"&lt;="&amp;O75)+1)-O75)))</f>
        <v/>
      </c>
      <c r="AM75" t="str">
        <f>IF(OR($B75="",NOT(ISNUMBER(P75))),"",IF(COUNTIF(Q75:$T75,P75)&gt;0,0,IF(COUNTIF($G75:$T75,"&gt;"&amp;P75)=0,"",SMALL($G75:$T75,COUNTIF($G75:$T75,"&lt;="&amp;P75)+1)-P75)))</f>
        <v/>
      </c>
      <c r="AN75" t="str">
        <f>IF(OR($B75="",NOT(ISNUMBER(Q75))),"",IF(COUNTIF(R75:$T75,Q75)&gt;0,0,IF(COUNTIF($G75:$T75,"&gt;"&amp;Q75)=0,"",SMALL($G75:$T75,COUNTIF($G75:$T75,"&lt;="&amp;Q75)+1)-Q75)))</f>
        <v/>
      </c>
      <c r="AO75" t="str">
        <f>IF(OR($B75="",NOT(ISNUMBER(R75))),"",IF(COUNTIF(S75:$T75,R75)&gt;0,0,IF(COUNTIF($G75:$T75,"&gt;"&amp;R75)=0,"",SMALL($G75:$T75,COUNTIF($G75:$T75,"&lt;="&amp;R75)+1)-R75)))</f>
        <v/>
      </c>
      <c r="AP75">
        <f t="shared" ca="1" si="20"/>
        <v>0</v>
      </c>
      <c r="AQ75" s="25" t="str">
        <f t="shared" si="21"/>
        <v/>
      </c>
      <c r="AR75" s="25" t="str">
        <f t="shared" si="22"/>
        <v/>
      </c>
      <c r="AS75" s="25">
        <f t="shared" si="23"/>
        <v>46293</v>
      </c>
      <c r="AT75" s="25">
        <f t="shared" si="24"/>
        <v>46293</v>
      </c>
      <c r="AU75" s="25" t="str">
        <f t="shared" si="25"/>
        <v/>
      </c>
      <c r="AV75" s="25" t="str">
        <f t="shared" si="26"/>
        <v/>
      </c>
      <c r="AW75" s="25" t="str">
        <f t="shared" si="27"/>
        <v/>
      </c>
      <c r="AX75" s="25" t="str">
        <f t="shared" si="28"/>
        <v/>
      </c>
      <c r="AY75" s="25" t="str">
        <f t="shared" si="29"/>
        <v/>
      </c>
      <c r="AZ75" s="25" t="str">
        <f t="shared" si="30"/>
        <v/>
      </c>
      <c r="BA75" s="25" t="str">
        <f t="shared" si="31"/>
        <v/>
      </c>
      <c r="BB75" s="25" t="str">
        <f t="shared" si="32"/>
        <v/>
      </c>
      <c r="BC75" s="25">
        <f t="shared" si="33"/>
        <v>46293</v>
      </c>
    </row>
    <row r="76" spans="1:55" ht="15" customHeight="1" x14ac:dyDescent="0.25">
      <c r="A76" s="151">
        <f t="shared" si="17"/>
        <v>74</v>
      </c>
      <c r="B76" s="151" t="s">
        <v>175</v>
      </c>
      <c r="C76" s="152" t="s">
        <v>107</v>
      </c>
      <c r="D76" s="151">
        <f t="shared" si="18"/>
        <v>1</v>
      </c>
      <c r="E76" s="151" t="s">
        <v>61</v>
      </c>
      <c r="F76" s="173">
        <v>46291</v>
      </c>
      <c r="G76" s="173"/>
      <c r="H76" s="173"/>
      <c r="I76" s="173">
        <v>46291</v>
      </c>
      <c r="J76" s="173">
        <v>46293</v>
      </c>
      <c r="K76" s="173"/>
      <c r="L76" s="173"/>
      <c r="M76" s="173"/>
      <c r="N76" s="173"/>
      <c r="O76" s="173"/>
      <c r="P76" s="173"/>
      <c r="Q76" s="173"/>
      <c r="R76" s="173"/>
      <c r="S76" s="173"/>
      <c r="T76" s="174">
        <v>46293</v>
      </c>
      <c r="U76" s="151"/>
      <c r="V76" s="152"/>
      <c r="W76" s="175"/>
      <c r="X76" s="173"/>
      <c r="Y76" s="173"/>
      <c r="Z76" s="176" t="str">
        <f>IF(B76="","",IF(S76&lt;&gt;"","Sevk Edildi",IF(AND(X76&lt;&gt;"",Y76=""),"Reworkte",IF(T76&lt;&gt;"","Kapandı"&amp;IF(COUNT(G76:R76)=0,""," – "&amp;LOOKUP(2,1/(G76:R76=MAX(G76:R76)),{"Tasarım","Ply Cutter","Üretim","Kalite (Üretim sonrası)","Talaşlı","Kalite (Talaşlı sonrası)","Montaj","Kalite (Montaj sonrası)","Boya","Kalite (Boya sonrası)","Yarı Mamül","KM"})),IF(COUNT(G76:R76)=0,"Başlamadı",LOOKUP(2,1/(G76:R76=MAX(G76:R76)),{"Tasarımda","Ply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76" s="177">
        <f t="shared" ca="1" si="19"/>
        <v>2</v>
      </c>
      <c r="AB76" s="175"/>
      <c r="AD76" t="str">
        <f>IF(OR($B76="",NOT(ISNUMBER(G76))),"",IF(COUNTIF(H76:$T76,G76)&gt;0,0,IF(COUNTIF($G76:$T76,"&gt;"&amp;G76)=0,"",SMALL($G76:$T76,COUNTIF($G76:$T76,"&lt;="&amp;G76)+1)-G76)))</f>
        <v/>
      </c>
      <c r="AE76" t="str">
        <f>IF(OR($B76="",NOT(ISNUMBER(H76))),"",IF(COUNTIF(I76:$T76,H76)&gt;0,0,IF(COUNTIF($G76:$T76,"&gt;"&amp;H76)=0,"",SMALL($G76:$T76,COUNTIF($G76:$T76,"&lt;="&amp;H76)+1)-H76)))</f>
        <v/>
      </c>
      <c r="AF76">
        <f>IF(OR($B76="",NOT(ISNUMBER(I76))),"",IF(COUNTIF(J76:$T76,I76)&gt;0,0,IF(COUNTIF($G76:$T76,"&gt;"&amp;I76)=0,"",SMALL($G76:$T76,COUNTIF($G76:$T76,"&lt;="&amp;I76)+1)-I76)))</f>
        <v>2</v>
      </c>
      <c r="AG76">
        <f>IF(OR($B76="",NOT(ISNUMBER(J76))),"",IF(COUNTIF(K76:$T76,J76)&gt;0,0,IF(COUNTIF($G76:$T76,"&gt;"&amp;J76)=0,"",SMALL($G76:$T76,COUNTIF($G76:$T76,"&lt;="&amp;J76)+1)-J76)))</f>
        <v>0</v>
      </c>
      <c r="AH76" t="str">
        <f>IF(OR($B76="",NOT(ISNUMBER(K76))),"",IF(COUNTIF(L76:$T76,K76)&gt;0,0,IF(COUNTIF($G76:$T76,"&gt;"&amp;K76)=0,"",SMALL($G76:$T76,COUNTIF($G76:$T76,"&lt;="&amp;K76)+1)-K76)))</f>
        <v/>
      </c>
      <c r="AI76" t="str">
        <f>IF(OR($B76="",NOT(ISNUMBER(L76))),"",IF(COUNTIF(M76:$T76,L76)&gt;0,0,IF(COUNTIF($G76:$T76,"&gt;"&amp;L76)=0,"",SMALL($G76:$T76,COUNTIF($G76:$T76,"&lt;="&amp;L76)+1)-L76)))</f>
        <v/>
      </c>
      <c r="AJ76" t="str">
        <f>IF(OR($B76="",NOT(ISNUMBER(M76))),"",IF(COUNTIF(N76:$T76,M76)&gt;0,0,IF(COUNTIF($G76:$T76,"&gt;"&amp;M76)=0,"",SMALL($G76:$T76,COUNTIF($G76:$T76,"&lt;="&amp;M76)+1)-M76)))</f>
        <v/>
      </c>
      <c r="AK76" t="str">
        <f>IF(OR($B76="",NOT(ISNUMBER(N76))),"",IF(COUNTIF(O76:$T76,N76)&gt;0,0,IF(COUNTIF($G76:$T76,"&gt;"&amp;N76)=0,"",SMALL($G76:$T76,COUNTIF($G76:$T76,"&lt;="&amp;N76)+1)-N76)))</f>
        <v/>
      </c>
      <c r="AL76" t="str">
        <f>IF(OR($B76="",NOT(ISNUMBER(O76))),"",IF(COUNTIF(P76:$T76,O76)&gt;0,0,IF(COUNTIF($G76:$T76,"&gt;"&amp;O76)=0,"",SMALL($G76:$T76,COUNTIF($G76:$T76,"&lt;="&amp;O76)+1)-O76)))</f>
        <v/>
      </c>
      <c r="AM76" t="str">
        <f>IF(OR($B76="",NOT(ISNUMBER(P76))),"",IF(COUNTIF(Q76:$T76,P76)&gt;0,0,IF(COUNTIF($G76:$T76,"&gt;"&amp;P76)=0,"",SMALL($G76:$T76,COUNTIF($G76:$T76,"&lt;="&amp;P76)+1)-P76)))</f>
        <v/>
      </c>
      <c r="AN76" t="str">
        <f>IF(OR($B76="",NOT(ISNUMBER(Q76))),"",IF(COUNTIF(R76:$T76,Q76)&gt;0,0,IF(COUNTIF($G76:$T76,"&gt;"&amp;Q76)=0,"",SMALL($G76:$T76,COUNTIF($G76:$T76,"&lt;="&amp;Q76)+1)-Q76)))</f>
        <v/>
      </c>
      <c r="AO76" t="str">
        <f>IF(OR($B76="",NOT(ISNUMBER(R76))),"",IF(COUNTIF(S76:$T76,R76)&gt;0,0,IF(COUNTIF($G76:$T76,"&gt;"&amp;R76)=0,"",SMALL($G76:$T76,COUNTIF($G76:$T76,"&lt;="&amp;R76)+1)-R76)))</f>
        <v/>
      </c>
      <c r="AP76">
        <f t="shared" ca="1" si="20"/>
        <v>0</v>
      </c>
      <c r="AQ76" s="25" t="str">
        <f t="shared" si="21"/>
        <v/>
      </c>
      <c r="AR76" s="25" t="str">
        <f t="shared" si="22"/>
        <v/>
      </c>
      <c r="AS76" s="25">
        <f t="shared" si="23"/>
        <v>46293</v>
      </c>
      <c r="AT76" s="25">
        <f t="shared" si="24"/>
        <v>46293</v>
      </c>
      <c r="AU76" s="25" t="str">
        <f t="shared" si="25"/>
        <v/>
      </c>
      <c r="AV76" s="25" t="str">
        <f t="shared" si="26"/>
        <v/>
      </c>
      <c r="AW76" s="25" t="str">
        <f t="shared" si="27"/>
        <v/>
      </c>
      <c r="AX76" s="25" t="str">
        <f t="shared" si="28"/>
        <v/>
      </c>
      <c r="AY76" s="25" t="str">
        <f t="shared" si="29"/>
        <v/>
      </c>
      <c r="AZ76" s="25" t="str">
        <f t="shared" si="30"/>
        <v/>
      </c>
      <c r="BA76" s="25" t="str">
        <f t="shared" si="31"/>
        <v/>
      </c>
      <c r="BB76" s="25" t="str">
        <f t="shared" si="32"/>
        <v/>
      </c>
      <c r="BC76" s="25">
        <f t="shared" si="33"/>
        <v>46293</v>
      </c>
    </row>
    <row r="77" spans="1:55" ht="15" customHeight="1" x14ac:dyDescent="0.25">
      <c r="A77" s="151">
        <f t="shared" si="17"/>
        <v>75</v>
      </c>
      <c r="B77" s="151" t="s">
        <v>176</v>
      </c>
      <c r="C77" s="152" t="s">
        <v>113</v>
      </c>
      <c r="D77" s="151">
        <f t="shared" si="18"/>
        <v>1</v>
      </c>
      <c r="E77" s="151" t="s">
        <v>61</v>
      </c>
      <c r="F77" s="173">
        <v>46291</v>
      </c>
      <c r="G77" s="173"/>
      <c r="H77" s="173"/>
      <c r="I77" s="173">
        <v>46291</v>
      </c>
      <c r="J77" s="173">
        <v>46293</v>
      </c>
      <c r="K77" s="173"/>
      <c r="L77" s="173"/>
      <c r="M77" s="173"/>
      <c r="N77" s="173"/>
      <c r="O77" s="173"/>
      <c r="P77" s="173"/>
      <c r="Q77" s="173"/>
      <c r="R77" s="173"/>
      <c r="S77" s="173"/>
      <c r="T77" s="174">
        <v>46293</v>
      </c>
      <c r="U77" s="151"/>
      <c r="V77" s="152"/>
      <c r="W77" s="175"/>
      <c r="X77" s="173"/>
      <c r="Y77" s="173"/>
      <c r="Z77" s="176" t="str">
        <f>IF(B77="","",IF(S77&lt;&gt;"","Sevk Edildi",IF(AND(X77&lt;&gt;"",Y77=""),"Reworkte",IF(T77&lt;&gt;"","Kapandı"&amp;IF(COUNT(G77:R77)=0,""," – "&amp;LOOKUP(2,1/(G77:R77=MAX(G77:R77)),{"Tasarım","Ply Cutter","Üretim","Kalite (Üretim sonrası)","Talaşlı","Kalite (Talaşlı sonrası)","Montaj","Kalite (Montaj sonrası)","Boya","Kalite (Boya sonrası)","Yarı Mamül","KM"})),IF(COUNT(G77:R77)=0,"Başlamadı",LOOKUP(2,1/(G77:R77=MAX(G77:R77)),{"Tasarımda","Ply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77" s="177">
        <f t="shared" ca="1" si="19"/>
        <v>2</v>
      </c>
      <c r="AB77" s="175"/>
      <c r="AD77" t="str">
        <f>IF(OR($B77="",NOT(ISNUMBER(G77))),"",IF(COUNTIF(H77:$T77,G77)&gt;0,0,IF(COUNTIF($G77:$T77,"&gt;"&amp;G77)=0,"",SMALL($G77:$T77,COUNTIF($G77:$T77,"&lt;="&amp;G77)+1)-G77)))</f>
        <v/>
      </c>
      <c r="AE77" t="str">
        <f>IF(OR($B77="",NOT(ISNUMBER(H77))),"",IF(COUNTIF(I77:$T77,H77)&gt;0,0,IF(COUNTIF($G77:$T77,"&gt;"&amp;H77)=0,"",SMALL($G77:$T77,COUNTIF($G77:$T77,"&lt;="&amp;H77)+1)-H77)))</f>
        <v/>
      </c>
      <c r="AF77">
        <f>IF(OR($B77="",NOT(ISNUMBER(I77))),"",IF(COUNTIF(J77:$T77,I77)&gt;0,0,IF(COUNTIF($G77:$T77,"&gt;"&amp;I77)=0,"",SMALL($G77:$T77,COUNTIF($G77:$T77,"&lt;="&amp;I77)+1)-I77)))</f>
        <v>2</v>
      </c>
      <c r="AG77">
        <f>IF(OR($B77="",NOT(ISNUMBER(J77))),"",IF(COUNTIF(K77:$T77,J77)&gt;0,0,IF(COUNTIF($G77:$T77,"&gt;"&amp;J77)=0,"",SMALL($G77:$T77,COUNTIF($G77:$T77,"&lt;="&amp;J77)+1)-J77)))</f>
        <v>0</v>
      </c>
      <c r="AH77" t="str">
        <f>IF(OR($B77="",NOT(ISNUMBER(K77))),"",IF(COUNTIF(L77:$T77,K77)&gt;0,0,IF(COUNTIF($G77:$T77,"&gt;"&amp;K77)=0,"",SMALL($G77:$T77,COUNTIF($G77:$T77,"&lt;="&amp;K77)+1)-K77)))</f>
        <v/>
      </c>
      <c r="AI77" t="str">
        <f>IF(OR($B77="",NOT(ISNUMBER(L77))),"",IF(COUNTIF(M77:$T77,L77)&gt;0,0,IF(COUNTIF($G77:$T77,"&gt;"&amp;L77)=0,"",SMALL($G77:$T77,COUNTIF($G77:$T77,"&lt;="&amp;L77)+1)-L77)))</f>
        <v/>
      </c>
      <c r="AJ77" t="str">
        <f>IF(OR($B77="",NOT(ISNUMBER(M77))),"",IF(COUNTIF(N77:$T77,M77)&gt;0,0,IF(COUNTIF($G77:$T77,"&gt;"&amp;M77)=0,"",SMALL($G77:$T77,COUNTIF($G77:$T77,"&lt;="&amp;M77)+1)-M77)))</f>
        <v/>
      </c>
      <c r="AK77" t="str">
        <f>IF(OR($B77="",NOT(ISNUMBER(N77))),"",IF(COUNTIF(O77:$T77,N77)&gt;0,0,IF(COUNTIF($G77:$T77,"&gt;"&amp;N77)=0,"",SMALL($G77:$T77,COUNTIF($G77:$T77,"&lt;="&amp;N77)+1)-N77)))</f>
        <v/>
      </c>
      <c r="AL77" t="str">
        <f>IF(OR($B77="",NOT(ISNUMBER(O77))),"",IF(COUNTIF(P77:$T77,O77)&gt;0,0,IF(COUNTIF($G77:$T77,"&gt;"&amp;O77)=0,"",SMALL($G77:$T77,COUNTIF($G77:$T77,"&lt;="&amp;O77)+1)-O77)))</f>
        <v/>
      </c>
      <c r="AM77" t="str">
        <f>IF(OR($B77="",NOT(ISNUMBER(P77))),"",IF(COUNTIF(Q77:$T77,P77)&gt;0,0,IF(COUNTIF($G77:$T77,"&gt;"&amp;P77)=0,"",SMALL($G77:$T77,COUNTIF($G77:$T77,"&lt;="&amp;P77)+1)-P77)))</f>
        <v/>
      </c>
      <c r="AN77" t="str">
        <f>IF(OR($B77="",NOT(ISNUMBER(Q77))),"",IF(COUNTIF(R77:$T77,Q77)&gt;0,0,IF(COUNTIF($G77:$T77,"&gt;"&amp;Q77)=0,"",SMALL($G77:$T77,COUNTIF($G77:$T77,"&lt;="&amp;Q77)+1)-Q77)))</f>
        <v/>
      </c>
      <c r="AO77" t="str">
        <f>IF(OR($B77="",NOT(ISNUMBER(R77))),"",IF(COUNTIF(S77:$T77,R77)&gt;0,0,IF(COUNTIF($G77:$T77,"&gt;"&amp;R77)=0,"",SMALL($G77:$T77,COUNTIF($G77:$T77,"&lt;="&amp;R77)+1)-R77)))</f>
        <v/>
      </c>
      <c r="AP77">
        <f t="shared" ca="1" si="20"/>
        <v>0</v>
      </c>
      <c r="AQ77" s="25" t="str">
        <f t="shared" si="21"/>
        <v/>
      </c>
      <c r="AR77" s="25" t="str">
        <f t="shared" si="22"/>
        <v/>
      </c>
      <c r="AS77" s="25">
        <f t="shared" si="23"/>
        <v>46293</v>
      </c>
      <c r="AT77" s="25">
        <f t="shared" si="24"/>
        <v>46293</v>
      </c>
      <c r="AU77" s="25" t="str">
        <f t="shared" si="25"/>
        <v/>
      </c>
      <c r="AV77" s="25" t="str">
        <f t="shared" si="26"/>
        <v/>
      </c>
      <c r="AW77" s="25" t="str">
        <f t="shared" si="27"/>
        <v/>
      </c>
      <c r="AX77" s="25" t="str">
        <f t="shared" si="28"/>
        <v/>
      </c>
      <c r="AY77" s="25" t="str">
        <f t="shared" si="29"/>
        <v/>
      </c>
      <c r="AZ77" s="25" t="str">
        <f t="shared" si="30"/>
        <v/>
      </c>
      <c r="BA77" s="25" t="str">
        <f t="shared" si="31"/>
        <v/>
      </c>
      <c r="BB77" s="25" t="str">
        <f t="shared" si="32"/>
        <v/>
      </c>
      <c r="BC77" s="25">
        <f t="shared" si="33"/>
        <v>46293</v>
      </c>
    </row>
    <row r="78" spans="1:55" ht="15" customHeight="1" x14ac:dyDescent="0.25">
      <c r="A78" s="151">
        <f t="shared" si="17"/>
        <v>76</v>
      </c>
      <c r="B78" s="151" t="s">
        <v>177</v>
      </c>
      <c r="C78" s="152" t="s">
        <v>113</v>
      </c>
      <c r="D78" s="151">
        <f t="shared" si="18"/>
        <v>1</v>
      </c>
      <c r="E78" s="151" t="s">
        <v>61</v>
      </c>
      <c r="F78" s="173">
        <v>46291</v>
      </c>
      <c r="G78" s="173"/>
      <c r="H78" s="173"/>
      <c r="I78" s="173">
        <v>46291</v>
      </c>
      <c r="J78" s="173">
        <v>46293</v>
      </c>
      <c r="K78" s="173"/>
      <c r="L78" s="173"/>
      <c r="M78" s="173"/>
      <c r="N78" s="173"/>
      <c r="O78" s="173"/>
      <c r="P78" s="173"/>
      <c r="Q78" s="173"/>
      <c r="R78" s="173"/>
      <c r="S78" s="173"/>
      <c r="T78" s="174">
        <v>46293</v>
      </c>
      <c r="U78" s="151"/>
      <c r="V78" s="152"/>
      <c r="W78" s="175"/>
      <c r="X78" s="173"/>
      <c r="Y78" s="173"/>
      <c r="Z78" s="176" t="str">
        <f>IF(B78="","",IF(S78&lt;&gt;"","Sevk Edildi",IF(AND(X78&lt;&gt;"",Y78=""),"Reworkte",IF(T78&lt;&gt;"","Kapandı"&amp;IF(COUNT(G78:R78)=0,""," – "&amp;LOOKUP(2,1/(G78:R78=MAX(G78:R78)),{"Tasarım","Ply Cutter","Üretim","Kalite (Üretim sonrası)","Talaşlı","Kalite (Talaşlı sonrası)","Montaj","Kalite (Montaj sonrası)","Boya","Kalite (Boya sonrası)","Yarı Mamül","KM"})),IF(COUNT(G78:R78)=0,"Başlamadı",LOOKUP(2,1/(G78:R78=MAX(G78:R78)),{"Tasarımda","Ply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78" s="177">
        <f t="shared" ca="1" si="19"/>
        <v>2</v>
      </c>
      <c r="AB78" s="175"/>
      <c r="AD78" t="str">
        <f>IF(OR($B78="",NOT(ISNUMBER(G78))),"",IF(COUNTIF(H78:$T78,G78)&gt;0,0,IF(COUNTIF($G78:$T78,"&gt;"&amp;G78)=0,"",SMALL($G78:$T78,COUNTIF($G78:$T78,"&lt;="&amp;G78)+1)-G78)))</f>
        <v/>
      </c>
      <c r="AE78" t="str">
        <f>IF(OR($B78="",NOT(ISNUMBER(H78))),"",IF(COUNTIF(I78:$T78,H78)&gt;0,0,IF(COUNTIF($G78:$T78,"&gt;"&amp;H78)=0,"",SMALL($G78:$T78,COUNTIF($G78:$T78,"&lt;="&amp;H78)+1)-H78)))</f>
        <v/>
      </c>
      <c r="AF78">
        <f>IF(OR($B78="",NOT(ISNUMBER(I78))),"",IF(COUNTIF(J78:$T78,I78)&gt;0,0,IF(COUNTIF($G78:$T78,"&gt;"&amp;I78)=0,"",SMALL($G78:$T78,COUNTIF($G78:$T78,"&lt;="&amp;I78)+1)-I78)))</f>
        <v>2</v>
      </c>
      <c r="AG78">
        <f>IF(OR($B78="",NOT(ISNUMBER(J78))),"",IF(COUNTIF(K78:$T78,J78)&gt;0,0,IF(COUNTIF($G78:$T78,"&gt;"&amp;J78)=0,"",SMALL($G78:$T78,COUNTIF($G78:$T78,"&lt;="&amp;J78)+1)-J78)))</f>
        <v>0</v>
      </c>
      <c r="AH78" t="str">
        <f>IF(OR($B78="",NOT(ISNUMBER(K78))),"",IF(COUNTIF(L78:$T78,K78)&gt;0,0,IF(COUNTIF($G78:$T78,"&gt;"&amp;K78)=0,"",SMALL($G78:$T78,COUNTIF($G78:$T78,"&lt;="&amp;K78)+1)-K78)))</f>
        <v/>
      </c>
      <c r="AI78" t="str">
        <f>IF(OR($B78="",NOT(ISNUMBER(L78))),"",IF(COUNTIF(M78:$T78,L78)&gt;0,0,IF(COUNTIF($G78:$T78,"&gt;"&amp;L78)=0,"",SMALL($G78:$T78,COUNTIF($G78:$T78,"&lt;="&amp;L78)+1)-L78)))</f>
        <v/>
      </c>
      <c r="AJ78" t="str">
        <f>IF(OR($B78="",NOT(ISNUMBER(M78))),"",IF(COUNTIF(N78:$T78,M78)&gt;0,0,IF(COUNTIF($G78:$T78,"&gt;"&amp;M78)=0,"",SMALL($G78:$T78,COUNTIF($G78:$T78,"&lt;="&amp;M78)+1)-M78)))</f>
        <v/>
      </c>
      <c r="AK78" t="str">
        <f>IF(OR($B78="",NOT(ISNUMBER(N78))),"",IF(COUNTIF(O78:$T78,N78)&gt;0,0,IF(COUNTIF($G78:$T78,"&gt;"&amp;N78)=0,"",SMALL($G78:$T78,COUNTIF($G78:$T78,"&lt;="&amp;N78)+1)-N78)))</f>
        <v/>
      </c>
      <c r="AL78" t="str">
        <f>IF(OR($B78="",NOT(ISNUMBER(O78))),"",IF(COUNTIF(P78:$T78,O78)&gt;0,0,IF(COUNTIF($G78:$T78,"&gt;"&amp;O78)=0,"",SMALL($G78:$T78,COUNTIF($G78:$T78,"&lt;="&amp;O78)+1)-O78)))</f>
        <v/>
      </c>
      <c r="AM78" t="str">
        <f>IF(OR($B78="",NOT(ISNUMBER(P78))),"",IF(COUNTIF(Q78:$T78,P78)&gt;0,0,IF(COUNTIF($G78:$T78,"&gt;"&amp;P78)=0,"",SMALL($G78:$T78,COUNTIF($G78:$T78,"&lt;="&amp;P78)+1)-P78)))</f>
        <v/>
      </c>
      <c r="AN78" t="str">
        <f>IF(OR($B78="",NOT(ISNUMBER(Q78))),"",IF(COUNTIF(R78:$T78,Q78)&gt;0,0,IF(COUNTIF($G78:$T78,"&gt;"&amp;Q78)=0,"",SMALL($G78:$T78,COUNTIF($G78:$T78,"&lt;="&amp;Q78)+1)-Q78)))</f>
        <v/>
      </c>
      <c r="AO78" t="str">
        <f>IF(OR($B78="",NOT(ISNUMBER(R78))),"",IF(COUNTIF(S78:$T78,R78)&gt;0,0,IF(COUNTIF($G78:$T78,"&gt;"&amp;R78)=0,"",SMALL($G78:$T78,COUNTIF($G78:$T78,"&lt;="&amp;R78)+1)-R78)))</f>
        <v/>
      </c>
      <c r="AP78">
        <f t="shared" ca="1" si="20"/>
        <v>0</v>
      </c>
      <c r="AQ78" s="25" t="str">
        <f t="shared" si="21"/>
        <v/>
      </c>
      <c r="AR78" s="25" t="str">
        <f t="shared" si="22"/>
        <v/>
      </c>
      <c r="AS78" s="25">
        <f t="shared" si="23"/>
        <v>46293</v>
      </c>
      <c r="AT78" s="25">
        <f t="shared" si="24"/>
        <v>46293</v>
      </c>
      <c r="AU78" s="25" t="str">
        <f t="shared" si="25"/>
        <v/>
      </c>
      <c r="AV78" s="25" t="str">
        <f t="shared" si="26"/>
        <v/>
      </c>
      <c r="AW78" s="25" t="str">
        <f t="shared" si="27"/>
        <v/>
      </c>
      <c r="AX78" s="25" t="str">
        <f t="shared" si="28"/>
        <v/>
      </c>
      <c r="AY78" s="25" t="str">
        <f t="shared" si="29"/>
        <v/>
      </c>
      <c r="AZ78" s="25" t="str">
        <f t="shared" si="30"/>
        <v/>
      </c>
      <c r="BA78" s="25" t="str">
        <f t="shared" si="31"/>
        <v/>
      </c>
      <c r="BB78" s="25" t="str">
        <f t="shared" si="32"/>
        <v/>
      </c>
      <c r="BC78" s="25">
        <f t="shared" si="33"/>
        <v>46293</v>
      </c>
    </row>
    <row r="79" spans="1:55" ht="15" customHeight="1" x14ac:dyDescent="0.25">
      <c r="A79" s="151">
        <f t="shared" si="17"/>
        <v>77</v>
      </c>
      <c r="B79" s="151" t="s">
        <v>178</v>
      </c>
      <c r="C79" s="152" t="s">
        <v>82</v>
      </c>
      <c r="D79" s="151">
        <f t="shared" si="18"/>
        <v>1</v>
      </c>
      <c r="E79" s="151" t="s">
        <v>61</v>
      </c>
      <c r="F79" s="173">
        <v>46291</v>
      </c>
      <c r="G79" s="173"/>
      <c r="H79" s="173"/>
      <c r="I79" s="173">
        <v>46291</v>
      </c>
      <c r="J79" s="173">
        <v>46293</v>
      </c>
      <c r="K79" s="173"/>
      <c r="L79" s="173"/>
      <c r="M79" s="173"/>
      <c r="N79" s="173"/>
      <c r="O79" s="173"/>
      <c r="P79" s="173"/>
      <c r="Q79" s="173"/>
      <c r="R79" s="173"/>
      <c r="S79" s="173"/>
      <c r="T79" s="174">
        <v>46293</v>
      </c>
      <c r="U79" s="151"/>
      <c r="V79" s="152"/>
      <c r="W79" s="175"/>
      <c r="X79" s="173"/>
      <c r="Y79" s="173"/>
      <c r="Z79" s="176" t="str">
        <f>IF(B79="","",IF(S79&lt;&gt;"","Sevk Edildi",IF(AND(X79&lt;&gt;"",Y79=""),"Reworkte",IF(T79&lt;&gt;"","Kapandı"&amp;IF(COUNT(G79:R79)=0,""," – "&amp;LOOKUP(2,1/(G79:R79=MAX(G79:R79)),{"Tasarım","Ply Cutter","Üretim","Kalite (Üretim sonrası)","Talaşlı","Kalite (Talaşlı sonrası)","Montaj","Kalite (Montaj sonrası)","Boya","Kalite (Boya sonrası)","Yarı Mamül","KM"})),IF(COUNT(G79:R79)=0,"Başlamadı",LOOKUP(2,1/(G79:R79=MAX(G79:R79)),{"Tasarımda","Ply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79" s="177">
        <f t="shared" ca="1" si="19"/>
        <v>2</v>
      </c>
      <c r="AB79" s="175"/>
      <c r="AD79" t="str">
        <f>IF(OR($B79="",NOT(ISNUMBER(G79))),"",IF(COUNTIF(H79:$T79,G79)&gt;0,0,IF(COUNTIF($G79:$T79,"&gt;"&amp;G79)=0,"",SMALL($G79:$T79,COUNTIF($G79:$T79,"&lt;="&amp;G79)+1)-G79)))</f>
        <v/>
      </c>
      <c r="AE79" t="str">
        <f>IF(OR($B79="",NOT(ISNUMBER(H79))),"",IF(COUNTIF(I79:$T79,H79)&gt;0,0,IF(COUNTIF($G79:$T79,"&gt;"&amp;H79)=0,"",SMALL($G79:$T79,COUNTIF($G79:$T79,"&lt;="&amp;H79)+1)-H79)))</f>
        <v/>
      </c>
      <c r="AF79">
        <f>IF(OR($B79="",NOT(ISNUMBER(I79))),"",IF(COUNTIF(J79:$T79,I79)&gt;0,0,IF(COUNTIF($G79:$T79,"&gt;"&amp;I79)=0,"",SMALL($G79:$T79,COUNTIF($G79:$T79,"&lt;="&amp;I79)+1)-I79)))</f>
        <v>2</v>
      </c>
      <c r="AG79">
        <f>IF(OR($B79="",NOT(ISNUMBER(J79))),"",IF(COUNTIF(K79:$T79,J79)&gt;0,0,IF(COUNTIF($G79:$T79,"&gt;"&amp;J79)=0,"",SMALL($G79:$T79,COUNTIF($G79:$T79,"&lt;="&amp;J79)+1)-J79)))</f>
        <v>0</v>
      </c>
      <c r="AH79" t="str">
        <f>IF(OR($B79="",NOT(ISNUMBER(K79))),"",IF(COUNTIF(L79:$T79,K79)&gt;0,0,IF(COUNTIF($G79:$T79,"&gt;"&amp;K79)=0,"",SMALL($G79:$T79,COUNTIF($G79:$T79,"&lt;="&amp;K79)+1)-K79)))</f>
        <v/>
      </c>
      <c r="AI79" t="str">
        <f>IF(OR($B79="",NOT(ISNUMBER(L79))),"",IF(COUNTIF(M79:$T79,L79)&gt;0,0,IF(COUNTIF($G79:$T79,"&gt;"&amp;L79)=0,"",SMALL($G79:$T79,COUNTIF($G79:$T79,"&lt;="&amp;L79)+1)-L79)))</f>
        <v/>
      </c>
      <c r="AJ79" t="str">
        <f>IF(OR($B79="",NOT(ISNUMBER(M79))),"",IF(COUNTIF(N79:$T79,M79)&gt;0,0,IF(COUNTIF($G79:$T79,"&gt;"&amp;M79)=0,"",SMALL($G79:$T79,COUNTIF($G79:$T79,"&lt;="&amp;M79)+1)-M79)))</f>
        <v/>
      </c>
      <c r="AK79" t="str">
        <f>IF(OR($B79="",NOT(ISNUMBER(N79))),"",IF(COUNTIF(O79:$T79,N79)&gt;0,0,IF(COUNTIF($G79:$T79,"&gt;"&amp;N79)=0,"",SMALL($G79:$T79,COUNTIF($G79:$T79,"&lt;="&amp;N79)+1)-N79)))</f>
        <v/>
      </c>
      <c r="AL79" t="str">
        <f>IF(OR($B79="",NOT(ISNUMBER(O79))),"",IF(COUNTIF(P79:$T79,O79)&gt;0,0,IF(COUNTIF($G79:$T79,"&gt;"&amp;O79)=0,"",SMALL($G79:$T79,COUNTIF($G79:$T79,"&lt;="&amp;O79)+1)-O79)))</f>
        <v/>
      </c>
      <c r="AM79" t="str">
        <f>IF(OR($B79="",NOT(ISNUMBER(P79))),"",IF(COUNTIF(Q79:$T79,P79)&gt;0,0,IF(COUNTIF($G79:$T79,"&gt;"&amp;P79)=0,"",SMALL($G79:$T79,COUNTIF($G79:$T79,"&lt;="&amp;P79)+1)-P79)))</f>
        <v/>
      </c>
      <c r="AN79" t="str">
        <f>IF(OR($B79="",NOT(ISNUMBER(Q79))),"",IF(COUNTIF(R79:$T79,Q79)&gt;0,0,IF(COUNTIF($G79:$T79,"&gt;"&amp;Q79)=0,"",SMALL($G79:$T79,COUNTIF($G79:$T79,"&lt;="&amp;Q79)+1)-Q79)))</f>
        <v/>
      </c>
      <c r="AO79" t="str">
        <f>IF(OR($B79="",NOT(ISNUMBER(R79))),"",IF(COUNTIF(S79:$T79,R79)&gt;0,0,IF(COUNTIF($G79:$T79,"&gt;"&amp;R79)=0,"",SMALL($G79:$T79,COUNTIF($G79:$T79,"&lt;="&amp;R79)+1)-R79)))</f>
        <v/>
      </c>
      <c r="AP79">
        <f t="shared" ca="1" si="20"/>
        <v>0</v>
      </c>
      <c r="AQ79" s="25" t="str">
        <f t="shared" si="21"/>
        <v/>
      </c>
      <c r="AR79" s="25" t="str">
        <f t="shared" si="22"/>
        <v/>
      </c>
      <c r="AS79" s="25">
        <f t="shared" si="23"/>
        <v>46293</v>
      </c>
      <c r="AT79" s="25">
        <f t="shared" si="24"/>
        <v>46293</v>
      </c>
      <c r="AU79" s="25" t="str">
        <f t="shared" si="25"/>
        <v/>
      </c>
      <c r="AV79" s="25" t="str">
        <f t="shared" si="26"/>
        <v/>
      </c>
      <c r="AW79" s="25" t="str">
        <f t="shared" si="27"/>
        <v/>
      </c>
      <c r="AX79" s="25" t="str">
        <f t="shared" si="28"/>
        <v/>
      </c>
      <c r="AY79" s="25" t="str">
        <f t="shared" si="29"/>
        <v/>
      </c>
      <c r="AZ79" s="25" t="str">
        <f t="shared" si="30"/>
        <v/>
      </c>
      <c r="BA79" s="25" t="str">
        <f t="shared" si="31"/>
        <v/>
      </c>
      <c r="BB79" s="25" t="str">
        <f t="shared" si="32"/>
        <v/>
      </c>
      <c r="BC79" s="25">
        <f t="shared" si="33"/>
        <v>46293</v>
      </c>
    </row>
    <row r="80" spans="1:55" ht="15" customHeight="1" x14ac:dyDescent="0.25">
      <c r="A80" s="151">
        <f t="shared" si="17"/>
        <v>78</v>
      </c>
      <c r="B80" s="151" t="s">
        <v>179</v>
      </c>
      <c r="C80" s="152" t="s">
        <v>180</v>
      </c>
      <c r="D80" s="151">
        <f t="shared" si="18"/>
        <v>1</v>
      </c>
      <c r="E80" s="151" t="s">
        <v>61</v>
      </c>
      <c r="F80" s="173">
        <v>46291</v>
      </c>
      <c r="G80" s="173"/>
      <c r="H80" s="173"/>
      <c r="I80" s="173">
        <v>46291</v>
      </c>
      <c r="J80" s="173">
        <v>46293</v>
      </c>
      <c r="K80" s="173"/>
      <c r="L80" s="173"/>
      <c r="M80" s="173"/>
      <c r="N80" s="173"/>
      <c r="O80" s="173"/>
      <c r="P80" s="173"/>
      <c r="Q80" s="173"/>
      <c r="R80" s="173"/>
      <c r="S80" s="173"/>
      <c r="T80" s="174">
        <v>46293</v>
      </c>
      <c r="U80" s="151"/>
      <c r="V80" s="152"/>
      <c r="W80" s="175"/>
      <c r="X80" s="173"/>
      <c r="Y80" s="173"/>
      <c r="Z80" s="176" t="str">
        <f>IF(B80="","",IF(S80&lt;&gt;"","Sevk Edildi",IF(AND(X80&lt;&gt;"",Y80=""),"Reworkte",IF(T80&lt;&gt;"","Kapandı"&amp;IF(COUNT(G80:R80)=0,""," – "&amp;LOOKUP(2,1/(G80:R80=MAX(G80:R80)),{"Tasarım","Ply Cutter","Üretim","Kalite (Üretim sonrası)","Talaşlı","Kalite (Talaşlı sonrası)","Montaj","Kalite (Montaj sonrası)","Boya","Kalite (Boya sonrası)","Yarı Mamül","KM"})),IF(COUNT(G80:R80)=0,"Başlamadı",LOOKUP(2,1/(G80:R80=MAX(G80:R80)),{"Tasarımda","Ply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80" s="177">
        <f t="shared" ca="1" si="19"/>
        <v>2</v>
      </c>
      <c r="AB80" s="175"/>
      <c r="AD80" t="str">
        <f>IF(OR($B80="",NOT(ISNUMBER(G80))),"",IF(COUNTIF(H80:$T80,G80)&gt;0,0,IF(COUNTIF($G80:$T80,"&gt;"&amp;G80)=0,"",SMALL($G80:$T80,COUNTIF($G80:$T80,"&lt;="&amp;G80)+1)-G80)))</f>
        <v/>
      </c>
      <c r="AE80" t="str">
        <f>IF(OR($B80="",NOT(ISNUMBER(H80))),"",IF(COUNTIF(I80:$T80,H80)&gt;0,0,IF(COUNTIF($G80:$T80,"&gt;"&amp;H80)=0,"",SMALL($G80:$T80,COUNTIF($G80:$T80,"&lt;="&amp;H80)+1)-H80)))</f>
        <v/>
      </c>
      <c r="AF80">
        <f>IF(OR($B80="",NOT(ISNUMBER(I80))),"",IF(COUNTIF(J80:$T80,I80)&gt;0,0,IF(COUNTIF($G80:$T80,"&gt;"&amp;I80)=0,"",SMALL($G80:$T80,COUNTIF($G80:$T80,"&lt;="&amp;I80)+1)-I80)))</f>
        <v>2</v>
      </c>
      <c r="AG80">
        <f>IF(OR($B80="",NOT(ISNUMBER(J80))),"",IF(COUNTIF(K80:$T80,J80)&gt;0,0,IF(COUNTIF($G80:$T80,"&gt;"&amp;J80)=0,"",SMALL($G80:$T80,COUNTIF($G80:$T80,"&lt;="&amp;J80)+1)-J80)))</f>
        <v>0</v>
      </c>
      <c r="AH80" t="str">
        <f>IF(OR($B80="",NOT(ISNUMBER(K80))),"",IF(COUNTIF(L80:$T80,K80)&gt;0,0,IF(COUNTIF($G80:$T80,"&gt;"&amp;K80)=0,"",SMALL($G80:$T80,COUNTIF($G80:$T80,"&lt;="&amp;K80)+1)-K80)))</f>
        <v/>
      </c>
      <c r="AI80" t="str">
        <f>IF(OR($B80="",NOT(ISNUMBER(L80))),"",IF(COUNTIF(M80:$T80,L80)&gt;0,0,IF(COUNTIF($G80:$T80,"&gt;"&amp;L80)=0,"",SMALL($G80:$T80,COUNTIF($G80:$T80,"&lt;="&amp;L80)+1)-L80)))</f>
        <v/>
      </c>
      <c r="AJ80" t="str">
        <f>IF(OR($B80="",NOT(ISNUMBER(M80))),"",IF(COUNTIF(N80:$T80,M80)&gt;0,0,IF(COUNTIF($G80:$T80,"&gt;"&amp;M80)=0,"",SMALL($G80:$T80,COUNTIF($G80:$T80,"&lt;="&amp;M80)+1)-M80)))</f>
        <v/>
      </c>
      <c r="AK80" t="str">
        <f>IF(OR($B80="",NOT(ISNUMBER(N80))),"",IF(COUNTIF(O80:$T80,N80)&gt;0,0,IF(COUNTIF($G80:$T80,"&gt;"&amp;N80)=0,"",SMALL($G80:$T80,COUNTIF($G80:$T80,"&lt;="&amp;N80)+1)-N80)))</f>
        <v/>
      </c>
      <c r="AL80" t="str">
        <f>IF(OR($B80="",NOT(ISNUMBER(O80))),"",IF(COUNTIF(P80:$T80,O80)&gt;0,0,IF(COUNTIF($G80:$T80,"&gt;"&amp;O80)=0,"",SMALL($G80:$T80,COUNTIF($G80:$T80,"&lt;="&amp;O80)+1)-O80)))</f>
        <v/>
      </c>
      <c r="AM80" t="str">
        <f>IF(OR($B80="",NOT(ISNUMBER(P80))),"",IF(COUNTIF(Q80:$T80,P80)&gt;0,0,IF(COUNTIF($G80:$T80,"&gt;"&amp;P80)=0,"",SMALL($G80:$T80,COUNTIF($G80:$T80,"&lt;="&amp;P80)+1)-P80)))</f>
        <v/>
      </c>
      <c r="AN80" t="str">
        <f>IF(OR($B80="",NOT(ISNUMBER(Q80))),"",IF(COUNTIF(R80:$T80,Q80)&gt;0,0,IF(COUNTIF($G80:$T80,"&gt;"&amp;Q80)=0,"",SMALL($G80:$T80,COUNTIF($G80:$T80,"&lt;="&amp;Q80)+1)-Q80)))</f>
        <v/>
      </c>
      <c r="AO80" t="str">
        <f>IF(OR($B80="",NOT(ISNUMBER(R80))),"",IF(COUNTIF(S80:$T80,R80)&gt;0,0,IF(COUNTIF($G80:$T80,"&gt;"&amp;R80)=0,"",SMALL($G80:$T80,COUNTIF($G80:$T80,"&lt;="&amp;R80)+1)-R80)))</f>
        <v/>
      </c>
      <c r="AP80">
        <f t="shared" ca="1" si="20"/>
        <v>0</v>
      </c>
      <c r="AQ80" s="25" t="str">
        <f t="shared" si="21"/>
        <v/>
      </c>
      <c r="AR80" s="25" t="str">
        <f t="shared" si="22"/>
        <v/>
      </c>
      <c r="AS80" s="25">
        <f t="shared" si="23"/>
        <v>46293</v>
      </c>
      <c r="AT80" s="25">
        <f t="shared" si="24"/>
        <v>46293</v>
      </c>
      <c r="AU80" s="25" t="str">
        <f t="shared" si="25"/>
        <v/>
      </c>
      <c r="AV80" s="25" t="str">
        <f t="shared" si="26"/>
        <v/>
      </c>
      <c r="AW80" s="25" t="str">
        <f t="shared" si="27"/>
        <v/>
      </c>
      <c r="AX80" s="25" t="str">
        <f t="shared" si="28"/>
        <v/>
      </c>
      <c r="AY80" s="25" t="str">
        <f t="shared" si="29"/>
        <v/>
      </c>
      <c r="AZ80" s="25" t="str">
        <f t="shared" si="30"/>
        <v/>
      </c>
      <c r="BA80" s="25" t="str">
        <f t="shared" si="31"/>
        <v/>
      </c>
      <c r="BB80" s="25" t="str">
        <f t="shared" si="32"/>
        <v/>
      </c>
      <c r="BC80" s="25">
        <f t="shared" si="33"/>
        <v>46293</v>
      </c>
    </row>
    <row r="81" spans="1:55" ht="15" customHeight="1" x14ac:dyDescent="0.25">
      <c r="A81" s="151">
        <f t="shared" si="17"/>
        <v>79</v>
      </c>
      <c r="B81" s="151" t="s">
        <v>181</v>
      </c>
      <c r="C81" s="152" t="s">
        <v>74</v>
      </c>
      <c r="D81" s="151">
        <f t="shared" si="18"/>
        <v>1</v>
      </c>
      <c r="E81" s="151" t="s">
        <v>61</v>
      </c>
      <c r="F81" s="173">
        <v>46291</v>
      </c>
      <c r="G81" s="173"/>
      <c r="H81" s="173"/>
      <c r="I81" s="173">
        <v>46291</v>
      </c>
      <c r="J81" s="173">
        <v>46293</v>
      </c>
      <c r="K81" s="173"/>
      <c r="L81" s="173"/>
      <c r="M81" s="173"/>
      <c r="N81" s="173"/>
      <c r="O81" s="173"/>
      <c r="P81" s="173"/>
      <c r="Q81" s="173"/>
      <c r="R81" s="173"/>
      <c r="S81" s="173"/>
      <c r="T81" s="174">
        <v>46293</v>
      </c>
      <c r="U81" s="151"/>
      <c r="V81" s="152"/>
      <c r="W81" s="175"/>
      <c r="X81" s="173"/>
      <c r="Y81" s="173"/>
      <c r="Z81" s="176" t="str">
        <f>IF(B81="","",IF(S81&lt;&gt;"","Sevk Edildi",IF(AND(X81&lt;&gt;"",Y81=""),"Reworkte",IF(T81&lt;&gt;"","Kapandı"&amp;IF(COUNT(G81:R81)=0,""," – "&amp;LOOKUP(2,1/(G81:R81=MAX(G81:R81)),{"Tasarım","Ply Cutter","Üretim","Kalite (Üretim sonrası)","Talaşlı","Kalite (Talaşlı sonrası)","Montaj","Kalite (Montaj sonrası)","Boya","Kalite (Boya sonrası)","Yarı Mamül","KM"})),IF(COUNT(G81:R81)=0,"Başlamadı",LOOKUP(2,1/(G81:R81=MAX(G81:R81)),{"Tasarımda","Ply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81" s="177">
        <f t="shared" ca="1" si="19"/>
        <v>2</v>
      </c>
      <c r="AB81" s="175"/>
      <c r="AD81" t="str">
        <f>IF(OR($B81="",NOT(ISNUMBER(G81))),"",IF(COUNTIF(H81:$T81,G81)&gt;0,0,IF(COUNTIF($G81:$T81,"&gt;"&amp;G81)=0,"",SMALL($G81:$T81,COUNTIF($G81:$T81,"&lt;="&amp;G81)+1)-G81)))</f>
        <v/>
      </c>
      <c r="AE81" t="str">
        <f>IF(OR($B81="",NOT(ISNUMBER(H81))),"",IF(COUNTIF(I81:$T81,H81)&gt;0,0,IF(COUNTIF($G81:$T81,"&gt;"&amp;H81)=0,"",SMALL($G81:$T81,COUNTIF($G81:$T81,"&lt;="&amp;H81)+1)-H81)))</f>
        <v/>
      </c>
      <c r="AF81">
        <f>IF(OR($B81="",NOT(ISNUMBER(I81))),"",IF(COUNTIF(J81:$T81,I81)&gt;0,0,IF(COUNTIF($G81:$T81,"&gt;"&amp;I81)=0,"",SMALL($G81:$T81,COUNTIF($G81:$T81,"&lt;="&amp;I81)+1)-I81)))</f>
        <v>2</v>
      </c>
      <c r="AG81">
        <f>IF(OR($B81="",NOT(ISNUMBER(J81))),"",IF(COUNTIF(K81:$T81,J81)&gt;0,0,IF(COUNTIF($G81:$T81,"&gt;"&amp;J81)=0,"",SMALL($G81:$T81,COUNTIF($G81:$T81,"&lt;="&amp;J81)+1)-J81)))</f>
        <v>0</v>
      </c>
      <c r="AH81" t="str">
        <f>IF(OR($B81="",NOT(ISNUMBER(K81))),"",IF(COUNTIF(L81:$T81,K81)&gt;0,0,IF(COUNTIF($G81:$T81,"&gt;"&amp;K81)=0,"",SMALL($G81:$T81,COUNTIF($G81:$T81,"&lt;="&amp;K81)+1)-K81)))</f>
        <v/>
      </c>
      <c r="AI81" t="str">
        <f>IF(OR($B81="",NOT(ISNUMBER(L81))),"",IF(COUNTIF(M81:$T81,L81)&gt;0,0,IF(COUNTIF($G81:$T81,"&gt;"&amp;L81)=0,"",SMALL($G81:$T81,COUNTIF($G81:$T81,"&lt;="&amp;L81)+1)-L81)))</f>
        <v/>
      </c>
      <c r="AJ81" t="str">
        <f>IF(OR($B81="",NOT(ISNUMBER(M81))),"",IF(COUNTIF(N81:$T81,M81)&gt;0,0,IF(COUNTIF($G81:$T81,"&gt;"&amp;M81)=0,"",SMALL($G81:$T81,COUNTIF($G81:$T81,"&lt;="&amp;M81)+1)-M81)))</f>
        <v/>
      </c>
      <c r="AK81" t="str">
        <f>IF(OR($B81="",NOT(ISNUMBER(N81))),"",IF(COUNTIF(O81:$T81,N81)&gt;0,0,IF(COUNTIF($G81:$T81,"&gt;"&amp;N81)=0,"",SMALL($G81:$T81,COUNTIF($G81:$T81,"&lt;="&amp;N81)+1)-N81)))</f>
        <v/>
      </c>
      <c r="AL81" t="str">
        <f>IF(OR($B81="",NOT(ISNUMBER(O81))),"",IF(COUNTIF(P81:$T81,O81)&gt;0,0,IF(COUNTIF($G81:$T81,"&gt;"&amp;O81)=0,"",SMALL($G81:$T81,COUNTIF($G81:$T81,"&lt;="&amp;O81)+1)-O81)))</f>
        <v/>
      </c>
      <c r="AM81" t="str">
        <f>IF(OR($B81="",NOT(ISNUMBER(P81))),"",IF(COUNTIF(Q81:$T81,P81)&gt;0,0,IF(COUNTIF($G81:$T81,"&gt;"&amp;P81)=0,"",SMALL($G81:$T81,COUNTIF($G81:$T81,"&lt;="&amp;P81)+1)-P81)))</f>
        <v/>
      </c>
      <c r="AN81" t="str">
        <f>IF(OR($B81="",NOT(ISNUMBER(Q81))),"",IF(COUNTIF(R81:$T81,Q81)&gt;0,0,IF(COUNTIF($G81:$T81,"&gt;"&amp;Q81)=0,"",SMALL($G81:$T81,COUNTIF($G81:$T81,"&lt;="&amp;Q81)+1)-Q81)))</f>
        <v/>
      </c>
      <c r="AO81" t="str">
        <f>IF(OR($B81="",NOT(ISNUMBER(R81))),"",IF(COUNTIF(S81:$T81,R81)&gt;0,0,IF(COUNTIF($G81:$T81,"&gt;"&amp;R81)=0,"",SMALL($G81:$T81,COUNTIF($G81:$T81,"&lt;="&amp;R81)+1)-R81)))</f>
        <v/>
      </c>
      <c r="AP81">
        <f t="shared" ca="1" si="20"/>
        <v>0</v>
      </c>
      <c r="AQ81" s="25" t="str">
        <f t="shared" si="21"/>
        <v/>
      </c>
      <c r="AR81" s="25" t="str">
        <f t="shared" si="22"/>
        <v/>
      </c>
      <c r="AS81" s="25">
        <f t="shared" si="23"/>
        <v>46293</v>
      </c>
      <c r="AT81" s="25">
        <f t="shared" si="24"/>
        <v>46293</v>
      </c>
      <c r="AU81" s="25" t="str">
        <f t="shared" si="25"/>
        <v/>
      </c>
      <c r="AV81" s="25" t="str">
        <f t="shared" si="26"/>
        <v/>
      </c>
      <c r="AW81" s="25" t="str">
        <f t="shared" si="27"/>
        <v/>
      </c>
      <c r="AX81" s="25" t="str">
        <f t="shared" si="28"/>
        <v/>
      </c>
      <c r="AY81" s="25" t="str">
        <f t="shared" si="29"/>
        <v/>
      </c>
      <c r="AZ81" s="25" t="str">
        <f t="shared" si="30"/>
        <v/>
      </c>
      <c r="BA81" s="25" t="str">
        <f t="shared" si="31"/>
        <v/>
      </c>
      <c r="BB81" s="25" t="str">
        <f t="shared" si="32"/>
        <v/>
      </c>
      <c r="BC81" s="25">
        <f t="shared" si="33"/>
        <v>46293</v>
      </c>
    </row>
    <row r="82" spans="1:55" ht="15" customHeight="1" x14ac:dyDescent="0.25">
      <c r="A82" s="151">
        <f t="shared" si="17"/>
        <v>80</v>
      </c>
      <c r="B82" s="151" t="s">
        <v>182</v>
      </c>
      <c r="C82" s="152" t="s">
        <v>64</v>
      </c>
      <c r="D82" s="151">
        <f t="shared" si="18"/>
        <v>1</v>
      </c>
      <c r="E82" s="151" t="s">
        <v>61</v>
      </c>
      <c r="F82" s="173">
        <v>46291</v>
      </c>
      <c r="G82" s="173"/>
      <c r="H82" s="173"/>
      <c r="I82" s="173">
        <v>46291</v>
      </c>
      <c r="J82" s="173">
        <v>46293</v>
      </c>
      <c r="K82" s="173"/>
      <c r="L82" s="173"/>
      <c r="M82" s="173"/>
      <c r="N82" s="173"/>
      <c r="O82" s="173"/>
      <c r="P82" s="173"/>
      <c r="Q82" s="173"/>
      <c r="R82" s="173"/>
      <c r="S82" s="173"/>
      <c r="T82" s="174">
        <v>46293</v>
      </c>
      <c r="U82" s="151"/>
      <c r="V82" s="152"/>
      <c r="W82" s="175"/>
      <c r="X82" s="173"/>
      <c r="Y82" s="173"/>
      <c r="Z82" s="176" t="str">
        <f>IF(B82="","",IF(S82&lt;&gt;"","Sevk Edildi",IF(AND(X82&lt;&gt;"",Y82=""),"Reworkte",IF(T82&lt;&gt;"","Kapandı"&amp;IF(COUNT(G82:R82)=0,""," – "&amp;LOOKUP(2,1/(G82:R82=MAX(G82:R82)),{"Tasarım","Ply Cutter","Üretim","Kalite (Üretim sonrası)","Talaşlı","Kalite (Talaşlı sonrası)","Montaj","Kalite (Montaj sonrası)","Boya","Kalite (Boya sonrası)","Yarı Mamül","KM"})),IF(COUNT(G82:R82)=0,"Başlamadı",LOOKUP(2,1/(G82:R82=MAX(G82:R82)),{"Tasarımda","Ply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82" s="177">
        <f t="shared" ca="1" si="19"/>
        <v>2</v>
      </c>
      <c r="AB82" s="175"/>
      <c r="AD82" t="str">
        <f>IF(OR($B82="",NOT(ISNUMBER(G82))),"",IF(COUNTIF(H82:$T82,G82)&gt;0,0,IF(COUNTIF($G82:$T82,"&gt;"&amp;G82)=0,"",SMALL($G82:$T82,COUNTIF($G82:$T82,"&lt;="&amp;G82)+1)-G82)))</f>
        <v/>
      </c>
      <c r="AE82" t="str">
        <f>IF(OR($B82="",NOT(ISNUMBER(H82))),"",IF(COUNTIF(I82:$T82,H82)&gt;0,0,IF(COUNTIF($G82:$T82,"&gt;"&amp;H82)=0,"",SMALL($G82:$T82,COUNTIF($G82:$T82,"&lt;="&amp;H82)+1)-H82)))</f>
        <v/>
      </c>
      <c r="AF82">
        <f>IF(OR($B82="",NOT(ISNUMBER(I82))),"",IF(COUNTIF(J82:$T82,I82)&gt;0,0,IF(COUNTIF($G82:$T82,"&gt;"&amp;I82)=0,"",SMALL($G82:$T82,COUNTIF($G82:$T82,"&lt;="&amp;I82)+1)-I82)))</f>
        <v>2</v>
      </c>
      <c r="AG82">
        <f>IF(OR($B82="",NOT(ISNUMBER(J82))),"",IF(COUNTIF(K82:$T82,J82)&gt;0,0,IF(COUNTIF($G82:$T82,"&gt;"&amp;J82)=0,"",SMALL($G82:$T82,COUNTIF($G82:$T82,"&lt;="&amp;J82)+1)-J82)))</f>
        <v>0</v>
      </c>
      <c r="AH82" t="str">
        <f>IF(OR($B82="",NOT(ISNUMBER(K82))),"",IF(COUNTIF(L82:$T82,K82)&gt;0,0,IF(COUNTIF($G82:$T82,"&gt;"&amp;K82)=0,"",SMALL($G82:$T82,COUNTIF($G82:$T82,"&lt;="&amp;K82)+1)-K82)))</f>
        <v/>
      </c>
      <c r="AI82" t="str">
        <f>IF(OR($B82="",NOT(ISNUMBER(L82))),"",IF(COUNTIF(M82:$T82,L82)&gt;0,0,IF(COUNTIF($G82:$T82,"&gt;"&amp;L82)=0,"",SMALL($G82:$T82,COUNTIF($G82:$T82,"&lt;="&amp;L82)+1)-L82)))</f>
        <v/>
      </c>
      <c r="AJ82" t="str">
        <f>IF(OR($B82="",NOT(ISNUMBER(M82))),"",IF(COUNTIF(N82:$T82,M82)&gt;0,0,IF(COUNTIF($G82:$T82,"&gt;"&amp;M82)=0,"",SMALL($G82:$T82,COUNTIF($G82:$T82,"&lt;="&amp;M82)+1)-M82)))</f>
        <v/>
      </c>
      <c r="AK82" t="str">
        <f>IF(OR($B82="",NOT(ISNUMBER(N82))),"",IF(COUNTIF(O82:$T82,N82)&gt;0,0,IF(COUNTIF($G82:$T82,"&gt;"&amp;N82)=0,"",SMALL($G82:$T82,COUNTIF($G82:$T82,"&lt;="&amp;N82)+1)-N82)))</f>
        <v/>
      </c>
      <c r="AL82" t="str">
        <f>IF(OR($B82="",NOT(ISNUMBER(O82))),"",IF(COUNTIF(P82:$T82,O82)&gt;0,0,IF(COUNTIF($G82:$T82,"&gt;"&amp;O82)=0,"",SMALL($G82:$T82,COUNTIF($G82:$T82,"&lt;="&amp;O82)+1)-O82)))</f>
        <v/>
      </c>
      <c r="AM82" t="str">
        <f>IF(OR($B82="",NOT(ISNUMBER(P82))),"",IF(COUNTIF(Q82:$T82,P82)&gt;0,0,IF(COUNTIF($G82:$T82,"&gt;"&amp;P82)=0,"",SMALL($G82:$T82,COUNTIF($G82:$T82,"&lt;="&amp;P82)+1)-P82)))</f>
        <v/>
      </c>
      <c r="AN82" t="str">
        <f>IF(OR($B82="",NOT(ISNUMBER(Q82))),"",IF(COUNTIF(R82:$T82,Q82)&gt;0,0,IF(COUNTIF($G82:$T82,"&gt;"&amp;Q82)=0,"",SMALL($G82:$T82,COUNTIF($G82:$T82,"&lt;="&amp;Q82)+1)-Q82)))</f>
        <v/>
      </c>
      <c r="AO82" t="str">
        <f>IF(OR($B82="",NOT(ISNUMBER(R82))),"",IF(COUNTIF(S82:$T82,R82)&gt;0,0,IF(COUNTIF($G82:$T82,"&gt;"&amp;R82)=0,"",SMALL($G82:$T82,COUNTIF($G82:$T82,"&lt;="&amp;R82)+1)-R82)))</f>
        <v/>
      </c>
      <c r="AP82">
        <f t="shared" ca="1" si="20"/>
        <v>0</v>
      </c>
      <c r="AQ82" s="25" t="str">
        <f t="shared" si="21"/>
        <v/>
      </c>
      <c r="AR82" s="25" t="str">
        <f t="shared" si="22"/>
        <v/>
      </c>
      <c r="AS82" s="25">
        <f t="shared" si="23"/>
        <v>46293</v>
      </c>
      <c r="AT82" s="25">
        <f t="shared" si="24"/>
        <v>46293</v>
      </c>
      <c r="AU82" s="25" t="str">
        <f t="shared" si="25"/>
        <v/>
      </c>
      <c r="AV82" s="25" t="str">
        <f t="shared" si="26"/>
        <v/>
      </c>
      <c r="AW82" s="25" t="str">
        <f t="shared" si="27"/>
        <v/>
      </c>
      <c r="AX82" s="25" t="str">
        <f t="shared" si="28"/>
        <v/>
      </c>
      <c r="AY82" s="25" t="str">
        <f t="shared" si="29"/>
        <v/>
      </c>
      <c r="AZ82" s="25" t="str">
        <f t="shared" si="30"/>
        <v/>
      </c>
      <c r="BA82" s="25" t="str">
        <f t="shared" si="31"/>
        <v/>
      </c>
      <c r="BB82" s="25" t="str">
        <f t="shared" si="32"/>
        <v/>
      </c>
      <c r="BC82" s="25">
        <f t="shared" si="33"/>
        <v>46293</v>
      </c>
    </row>
    <row r="83" spans="1:55" ht="15" customHeight="1" x14ac:dyDescent="0.25">
      <c r="A83" s="151">
        <f t="shared" si="17"/>
        <v>81</v>
      </c>
      <c r="B83" s="151" t="s">
        <v>183</v>
      </c>
      <c r="C83" s="152" t="s">
        <v>64</v>
      </c>
      <c r="D83" s="151">
        <f t="shared" si="18"/>
        <v>1</v>
      </c>
      <c r="E83" s="151" t="s">
        <v>61</v>
      </c>
      <c r="F83" s="173">
        <v>46291</v>
      </c>
      <c r="G83" s="173"/>
      <c r="H83" s="173"/>
      <c r="I83" s="173">
        <v>46291</v>
      </c>
      <c r="J83" s="173">
        <v>46293</v>
      </c>
      <c r="K83" s="173"/>
      <c r="L83" s="173"/>
      <c r="M83" s="173"/>
      <c r="N83" s="173"/>
      <c r="O83" s="173"/>
      <c r="P83" s="173"/>
      <c r="Q83" s="173"/>
      <c r="R83" s="173"/>
      <c r="S83" s="173"/>
      <c r="T83" s="174">
        <v>46293</v>
      </c>
      <c r="U83" s="151"/>
      <c r="V83" s="152"/>
      <c r="W83" s="175"/>
      <c r="X83" s="173"/>
      <c r="Y83" s="173"/>
      <c r="Z83" s="176" t="str">
        <f>IF(B83="","",IF(S83&lt;&gt;"","Sevk Edildi",IF(AND(X83&lt;&gt;"",Y83=""),"Reworkte",IF(T83&lt;&gt;"","Kapandı"&amp;IF(COUNT(G83:R83)=0,""," – "&amp;LOOKUP(2,1/(G83:R83=MAX(G83:R83)),{"Tasarım","Ply Cutter","Üretim","Kalite (Üretim sonrası)","Talaşlı","Kalite (Talaşlı sonrası)","Montaj","Kalite (Montaj sonrası)","Boya","Kalite (Boya sonrası)","Yarı Mamül","KM"})),IF(COUNT(G83:R83)=0,"Başlamadı",LOOKUP(2,1/(G83:R83=MAX(G83:R83)),{"Tasarımda","Ply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83" s="177">
        <f t="shared" ca="1" si="19"/>
        <v>2</v>
      </c>
      <c r="AB83" s="175"/>
      <c r="AD83" t="str">
        <f>IF(OR($B83="",NOT(ISNUMBER(G83))),"",IF(COUNTIF(H83:$T83,G83)&gt;0,0,IF(COUNTIF($G83:$T83,"&gt;"&amp;G83)=0,"",SMALL($G83:$T83,COUNTIF($G83:$T83,"&lt;="&amp;G83)+1)-G83)))</f>
        <v/>
      </c>
      <c r="AE83" t="str">
        <f>IF(OR($B83="",NOT(ISNUMBER(H83))),"",IF(COUNTIF(I83:$T83,H83)&gt;0,0,IF(COUNTIF($G83:$T83,"&gt;"&amp;H83)=0,"",SMALL($G83:$T83,COUNTIF($G83:$T83,"&lt;="&amp;H83)+1)-H83)))</f>
        <v/>
      </c>
      <c r="AF83">
        <f>IF(OR($B83="",NOT(ISNUMBER(I83))),"",IF(COUNTIF(J83:$T83,I83)&gt;0,0,IF(COUNTIF($G83:$T83,"&gt;"&amp;I83)=0,"",SMALL($G83:$T83,COUNTIF($G83:$T83,"&lt;="&amp;I83)+1)-I83)))</f>
        <v>2</v>
      </c>
      <c r="AG83">
        <f>IF(OR($B83="",NOT(ISNUMBER(J83))),"",IF(COUNTIF(K83:$T83,J83)&gt;0,0,IF(COUNTIF($G83:$T83,"&gt;"&amp;J83)=0,"",SMALL($G83:$T83,COUNTIF($G83:$T83,"&lt;="&amp;J83)+1)-J83)))</f>
        <v>0</v>
      </c>
      <c r="AH83" t="str">
        <f>IF(OR($B83="",NOT(ISNUMBER(K83))),"",IF(COUNTIF(L83:$T83,K83)&gt;0,0,IF(COUNTIF($G83:$T83,"&gt;"&amp;K83)=0,"",SMALL($G83:$T83,COUNTIF($G83:$T83,"&lt;="&amp;K83)+1)-K83)))</f>
        <v/>
      </c>
      <c r="AI83" t="str">
        <f>IF(OR($B83="",NOT(ISNUMBER(L83))),"",IF(COUNTIF(M83:$T83,L83)&gt;0,0,IF(COUNTIF($G83:$T83,"&gt;"&amp;L83)=0,"",SMALL($G83:$T83,COUNTIF($G83:$T83,"&lt;="&amp;L83)+1)-L83)))</f>
        <v/>
      </c>
      <c r="AJ83" t="str">
        <f>IF(OR($B83="",NOT(ISNUMBER(M83))),"",IF(COUNTIF(N83:$T83,M83)&gt;0,0,IF(COUNTIF($G83:$T83,"&gt;"&amp;M83)=0,"",SMALL($G83:$T83,COUNTIF($G83:$T83,"&lt;="&amp;M83)+1)-M83)))</f>
        <v/>
      </c>
      <c r="AK83" t="str">
        <f>IF(OR($B83="",NOT(ISNUMBER(N83))),"",IF(COUNTIF(O83:$T83,N83)&gt;0,0,IF(COUNTIF($G83:$T83,"&gt;"&amp;N83)=0,"",SMALL($G83:$T83,COUNTIF($G83:$T83,"&lt;="&amp;N83)+1)-N83)))</f>
        <v/>
      </c>
      <c r="AL83" t="str">
        <f>IF(OR($B83="",NOT(ISNUMBER(O83))),"",IF(COUNTIF(P83:$T83,O83)&gt;0,0,IF(COUNTIF($G83:$T83,"&gt;"&amp;O83)=0,"",SMALL($G83:$T83,COUNTIF($G83:$T83,"&lt;="&amp;O83)+1)-O83)))</f>
        <v/>
      </c>
      <c r="AM83" t="str">
        <f>IF(OR($B83="",NOT(ISNUMBER(P83))),"",IF(COUNTIF(Q83:$T83,P83)&gt;0,0,IF(COUNTIF($G83:$T83,"&gt;"&amp;P83)=0,"",SMALL($G83:$T83,COUNTIF($G83:$T83,"&lt;="&amp;P83)+1)-P83)))</f>
        <v/>
      </c>
      <c r="AN83" t="str">
        <f>IF(OR($B83="",NOT(ISNUMBER(Q83))),"",IF(COUNTIF(R83:$T83,Q83)&gt;0,0,IF(COUNTIF($G83:$T83,"&gt;"&amp;Q83)=0,"",SMALL($G83:$T83,COUNTIF($G83:$T83,"&lt;="&amp;Q83)+1)-Q83)))</f>
        <v/>
      </c>
      <c r="AO83" t="str">
        <f>IF(OR($B83="",NOT(ISNUMBER(R83))),"",IF(COUNTIF(S83:$T83,R83)&gt;0,0,IF(COUNTIF($G83:$T83,"&gt;"&amp;R83)=0,"",SMALL($G83:$T83,COUNTIF($G83:$T83,"&lt;="&amp;R83)+1)-R83)))</f>
        <v/>
      </c>
      <c r="AP83">
        <f t="shared" ca="1" si="20"/>
        <v>0</v>
      </c>
      <c r="AQ83" s="25" t="str">
        <f t="shared" si="21"/>
        <v/>
      </c>
      <c r="AR83" s="25" t="str">
        <f t="shared" si="22"/>
        <v/>
      </c>
      <c r="AS83" s="25">
        <f t="shared" si="23"/>
        <v>46293</v>
      </c>
      <c r="AT83" s="25">
        <f t="shared" si="24"/>
        <v>46293</v>
      </c>
      <c r="AU83" s="25" t="str">
        <f t="shared" si="25"/>
        <v/>
      </c>
      <c r="AV83" s="25" t="str">
        <f t="shared" si="26"/>
        <v/>
      </c>
      <c r="AW83" s="25" t="str">
        <f t="shared" si="27"/>
        <v/>
      </c>
      <c r="AX83" s="25" t="str">
        <f t="shared" si="28"/>
        <v/>
      </c>
      <c r="AY83" s="25" t="str">
        <f t="shared" si="29"/>
        <v/>
      </c>
      <c r="AZ83" s="25" t="str">
        <f t="shared" si="30"/>
        <v/>
      </c>
      <c r="BA83" s="25" t="str">
        <f t="shared" si="31"/>
        <v/>
      </c>
      <c r="BB83" s="25" t="str">
        <f t="shared" si="32"/>
        <v/>
      </c>
      <c r="BC83" s="25">
        <f t="shared" si="33"/>
        <v>46293</v>
      </c>
    </row>
    <row r="84" spans="1:55" ht="15" customHeight="1" x14ac:dyDescent="0.25">
      <c r="A84" s="151">
        <f t="shared" si="17"/>
        <v>82</v>
      </c>
      <c r="B84" s="151" t="s">
        <v>184</v>
      </c>
      <c r="C84" s="152" t="s">
        <v>119</v>
      </c>
      <c r="D84" s="151">
        <f t="shared" si="18"/>
        <v>1</v>
      </c>
      <c r="E84" s="151" t="s">
        <v>61</v>
      </c>
      <c r="F84" s="173">
        <v>46291</v>
      </c>
      <c r="G84" s="173"/>
      <c r="H84" s="173"/>
      <c r="I84" s="173">
        <v>46291</v>
      </c>
      <c r="J84" s="173">
        <v>46293</v>
      </c>
      <c r="K84" s="173"/>
      <c r="L84" s="173"/>
      <c r="M84" s="173"/>
      <c r="N84" s="173"/>
      <c r="O84" s="173"/>
      <c r="P84" s="173"/>
      <c r="Q84" s="173">
        <v>46295</v>
      </c>
      <c r="R84" s="173"/>
      <c r="S84" s="173"/>
      <c r="T84" s="174">
        <v>46295</v>
      </c>
      <c r="U84" s="151"/>
      <c r="V84" s="152"/>
      <c r="W84" s="175"/>
      <c r="X84" s="173"/>
      <c r="Y84" s="173"/>
      <c r="Z84" s="176" t="str">
        <f>IF(B84="","",IF(S84&lt;&gt;"","Sevk Edildi",IF(AND(X84&lt;&gt;"",Y84=""),"Reworkte",IF(T84&lt;&gt;"","Kapandı"&amp;IF(COUNT(G84:R84)=0,""," – "&amp;LOOKUP(2,1/(G84:R84=MAX(G84:R84)),{"Tasarım","Ply Cutter","Üretim","Kalite (Üretim sonrası)","Talaşlı","Kalite (Talaşlı sonrası)","Montaj","Kalite (Montaj sonrası)","Boya","Kalite (Boya sonrası)","Yarı Mamül","KM"})),IF(COUNT(G84:R84)=0,"Başlamadı",LOOKUP(2,1/(G84:R84=MAX(G84:R84)),{"Tasarımda","Ply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84" s="177">
        <f t="shared" ca="1" si="19"/>
        <v>4</v>
      </c>
      <c r="AB84" s="175"/>
      <c r="AD84" t="str">
        <f>IF(OR($B84="",NOT(ISNUMBER(G84))),"",IF(COUNTIF(H84:$T84,G84)&gt;0,0,IF(COUNTIF($G84:$T84,"&gt;"&amp;G84)=0,"",SMALL($G84:$T84,COUNTIF($G84:$T84,"&lt;="&amp;G84)+1)-G84)))</f>
        <v/>
      </c>
      <c r="AE84" t="str">
        <f>IF(OR($B84="",NOT(ISNUMBER(H84))),"",IF(COUNTIF(I84:$T84,H84)&gt;0,0,IF(COUNTIF($G84:$T84,"&gt;"&amp;H84)=0,"",SMALL($G84:$T84,COUNTIF($G84:$T84,"&lt;="&amp;H84)+1)-H84)))</f>
        <v/>
      </c>
      <c r="AF84">
        <f>IF(OR($B84="",NOT(ISNUMBER(I84))),"",IF(COUNTIF(J84:$T84,I84)&gt;0,0,IF(COUNTIF($G84:$T84,"&gt;"&amp;I84)=0,"",SMALL($G84:$T84,COUNTIF($G84:$T84,"&lt;="&amp;I84)+1)-I84)))</f>
        <v>2</v>
      </c>
      <c r="AG84">
        <f>IF(OR($B84="",NOT(ISNUMBER(J84))),"",IF(COUNTIF(K84:$T84,J84)&gt;0,0,IF(COUNTIF($G84:$T84,"&gt;"&amp;J84)=0,"",SMALL($G84:$T84,COUNTIF($G84:$T84,"&lt;="&amp;J84)+1)-J84)))</f>
        <v>2</v>
      </c>
      <c r="AH84" t="str">
        <f>IF(OR($B84="",NOT(ISNUMBER(K84))),"",IF(COUNTIF(L84:$T84,K84)&gt;0,0,IF(COUNTIF($G84:$T84,"&gt;"&amp;K84)=0,"",SMALL($G84:$T84,COUNTIF($G84:$T84,"&lt;="&amp;K84)+1)-K84)))</f>
        <v/>
      </c>
      <c r="AI84" t="str">
        <f>IF(OR($B84="",NOT(ISNUMBER(L84))),"",IF(COUNTIF(M84:$T84,L84)&gt;0,0,IF(COUNTIF($G84:$T84,"&gt;"&amp;L84)=0,"",SMALL($G84:$T84,COUNTIF($G84:$T84,"&lt;="&amp;L84)+1)-L84)))</f>
        <v/>
      </c>
      <c r="AJ84" t="str">
        <f>IF(OR($B84="",NOT(ISNUMBER(M84))),"",IF(COUNTIF(N84:$T84,M84)&gt;0,0,IF(COUNTIF($G84:$T84,"&gt;"&amp;M84)=0,"",SMALL($G84:$T84,COUNTIF($G84:$T84,"&lt;="&amp;M84)+1)-M84)))</f>
        <v/>
      </c>
      <c r="AK84" t="str">
        <f>IF(OR($B84="",NOT(ISNUMBER(N84))),"",IF(COUNTIF(O84:$T84,N84)&gt;0,0,IF(COUNTIF($G84:$T84,"&gt;"&amp;N84)=0,"",SMALL($G84:$T84,COUNTIF($G84:$T84,"&lt;="&amp;N84)+1)-N84)))</f>
        <v/>
      </c>
      <c r="AL84" t="str">
        <f>IF(OR($B84="",NOT(ISNUMBER(O84))),"",IF(COUNTIF(P84:$T84,O84)&gt;0,0,IF(COUNTIF($G84:$T84,"&gt;"&amp;O84)=0,"",SMALL($G84:$T84,COUNTIF($G84:$T84,"&lt;="&amp;O84)+1)-O84)))</f>
        <v/>
      </c>
      <c r="AM84" t="str">
        <f>IF(OR($B84="",NOT(ISNUMBER(P84))),"",IF(COUNTIF(Q84:$T84,P84)&gt;0,0,IF(COUNTIF($G84:$T84,"&gt;"&amp;P84)=0,"",SMALL($G84:$T84,COUNTIF($G84:$T84,"&lt;="&amp;P84)+1)-P84)))</f>
        <v/>
      </c>
      <c r="AN84">
        <f>IF(OR($B84="",NOT(ISNUMBER(Q84))),"",IF(COUNTIF(R84:$T84,Q84)&gt;0,0,IF(COUNTIF($G84:$T84,"&gt;"&amp;Q84)=0,"",SMALL($G84:$T84,COUNTIF($G84:$T84,"&lt;="&amp;Q84)+1)-Q84)))</f>
        <v>0</v>
      </c>
      <c r="AO84" t="str">
        <f>IF(OR($B84="",NOT(ISNUMBER(R84))),"",IF(COUNTIF(S84:$T84,R84)&gt;0,0,IF(COUNTIF($G84:$T84,"&gt;"&amp;R84)=0,"",SMALL($G84:$T84,COUNTIF($G84:$T84,"&lt;="&amp;R84)+1)-R84)))</f>
        <v/>
      </c>
      <c r="AP84">
        <f t="shared" ca="1" si="20"/>
        <v>0</v>
      </c>
      <c r="AQ84" s="25" t="str">
        <f t="shared" si="21"/>
        <v/>
      </c>
      <c r="AR84" s="25" t="str">
        <f t="shared" si="22"/>
        <v/>
      </c>
      <c r="AS84" s="25">
        <f t="shared" si="23"/>
        <v>46293</v>
      </c>
      <c r="AT84" s="25">
        <f t="shared" si="24"/>
        <v>46295</v>
      </c>
      <c r="AU84" s="25" t="str">
        <f t="shared" si="25"/>
        <v/>
      </c>
      <c r="AV84" s="25" t="str">
        <f t="shared" si="26"/>
        <v/>
      </c>
      <c r="AW84" s="25" t="str">
        <f t="shared" si="27"/>
        <v/>
      </c>
      <c r="AX84" s="25" t="str">
        <f t="shared" si="28"/>
        <v/>
      </c>
      <c r="AY84" s="25" t="str">
        <f t="shared" si="29"/>
        <v/>
      </c>
      <c r="AZ84" s="25" t="str">
        <f t="shared" si="30"/>
        <v/>
      </c>
      <c r="BA84" s="25">
        <f t="shared" si="31"/>
        <v>46295</v>
      </c>
      <c r="BB84" s="25" t="str">
        <f t="shared" si="32"/>
        <v/>
      </c>
      <c r="BC84" s="25">
        <f t="shared" si="33"/>
        <v>46295</v>
      </c>
    </row>
    <row r="85" spans="1:55" x14ac:dyDescent="0.25">
      <c r="A85" s="151">
        <f t="shared" si="17"/>
        <v>83</v>
      </c>
      <c r="B85" s="151" t="s">
        <v>185</v>
      </c>
      <c r="C85" s="152" t="s">
        <v>186</v>
      </c>
      <c r="D85" s="151">
        <f t="shared" si="18"/>
        <v>1</v>
      </c>
      <c r="E85" s="151" t="s">
        <v>61</v>
      </c>
      <c r="F85" s="173">
        <v>46291</v>
      </c>
      <c r="G85" s="173"/>
      <c r="H85" s="173"/>
      <c r="I85" s="173">
        <v>46294</v>
      </c>
      <c r="J85" s="173">
        <v>46296</v>
      </c>
      <c r="K85" s="173"/>
      <c r="L85" s="173"/>
      <c r="M85" s="173"/>
      <c r="N85" s="173"/>
      <c r="O85" s="173"/>
      <c r="P85" s="173"/>
      <c r="Q85" s="173">
        <v>46296</v>
      </c>
      <c r="R85" s="173"/>
      <c r="S85" s="173"/>
      <c r="T85" s="174">
        <v>46296</v>
      </c>
      <c r="U85" s="151"/>
      <c r="V85" s="152"/>
      <c r="W85" s="175"/>
      <c r="X85" s="173"/>
      <c r="Y85" s="173"/>
      <c r="Z85" s="176" t="str">
        <f>IF(B85="","",IF(S85&lt;&gt;"","Sevk Edildi",IF(AND(X85&lt;&gt;"",Y85=""),"Reworkte",IF(T85&lt;&gt;"","Kapandı"&amp;IF(COUNT(G85:R85)=0,""," – "&amp;LOOKUP(2,1/(G85:R85=MAX(G85:R85)),{"Tasarım","Ply Cutter","Üretim","Kalite (Üretim sonrası)","Talaşlı","Kalite (Talaşlı sonrası)","Montaj","Kalite (Montaj sonrası)","Boya","Kalite (Boya sonrası)","Yarı Mamül","KM"})),IF(COUNT(G85:R85)=0,"Başlamadı",LOOKUP(2,1/(G85:R85=MAX(G85:R85)),{"Tasarımda","Ply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85" s="177">
        <f t="shared" ca="1" si="19"/>
        <v>5</v>
      </c>
      <c r="AB85" s="175" t="s">
        <v>187</v>
      </c>
      <c r="AD85" t="str">
        <f>IF(OR($B85="",NOT(ISNUMBER(G85))),"",IF(COUNTIF(H85:$T85,G85)&gt;0,0,IF(COUNTIF($G85:$T85,"&gt;"&amp;G85)=0,"",SMALL($G85:$T85,COUNTIF($G85:$T85,"&lt;="&amp;G85)+1)-G85)))</f>
        <v/>
      </c>
      <c r="AE85" t="str">
        <f>IF(OR($B85="",NOT(ISNUMBER(H85))),"",IF(COUNTIF(I85:$T85,H85)&gt;0,0,IF(COUNTIF($G85:$T85,"&gt;"&amp;H85)=0,"",SMALL($G85:$T85,COUNTIF($G85:$T85,"&lt;="&amp;H85)+1)-H85)))</f>
        <v/>
      </c>
      <c r="AF85">
        <f>IF(OR($B85="",NOT(ISNUMBER(I85))),"",IF(COUNTIF(J85:$T85,I85)&gt;0,0,IF(COUNTIF($G85:$T85,"&gt;"&amp;I85)=0,"",SMALL($G85:$T85,COUNTIF($G85:$T85,"&lt;="&amp;I85)+1)-I85)))</f>
        <v>2</v>
      </c>
      <c r="AG85">
        <f>IF(OR($B85="",NOT(ISNUMBER(J85))),"",IF(COUNTIF(K85:$T85,J85)&gt;0,0,IF(COUNTIF($G85:$T85,"&gt;"&amp;J85)=0,"",SMALL($G85:$T85,COUNTIF($G85:$T85,"&lt;="&amp;J85)+1)-J85)))</f>
        <v>0</v>
      </c>
      <c r="AH85" t="str">
        <f>IF(OR($B85="",NOT(ISNUMBER(K85))),"",IF(COUNTIF(L85:$T85,K85)&gt;0,0,IF(COUNTIF($G85:$T85,"&gt;"&amp;K85)=0,"",SMALL($G85:$T85,COUNTIF($G85:$T85,"&lt;="&amp;K85)+1)-K85)))</f>
        <v/>
      </c>
      <c r="AI85" t="str">
        <f>IF(OR($B85="",NOT(ISNUMBER(L85))),"",IF(COUNTIF(M85:$T85,L85)&gt;0,0,IF(COUNTIF($G85:$T85,"&gt;"&amp;L85)=0,"",SMALL($G85:$T85,COUNTIF($G85:$T85,"&lt;="&amp;L85)+1)-L85)))</f>
        <v/>
      </c>
      <c r="AJ85" t="str">
        <f>IF(OR($B85="",NOT(ISNUMBER(M85))),"",IF(COUNTIF(N85:$T85,M85)&gt;0,0,IF(COUNTIF($G85:$T85,"&gt;"&amp;M85)=0,"",SMALL($G85:$T85,COUNTIF($G85:$T85,"&lt;="&amp;M85)+1)-M85)))</f>
        <v/>
      </c>
      <c r="AK85" t="str">
        <f>IF(OR($B85="",NOT(ISNUMBER(N85))),"",IF(COUNTIF(O85:$T85,N85)&gt;0,0,IF(COUNTIF($G85:$T85,"&gt;"&amp;N85)=0,"",SMALL($G85:$T85,COUNTIF($G85:$T85,"&lt;="&amp;N85)+1)-N85)))</f>
        <v/>
      </c>
      <c r="AL85" t="str">
        <f>IF(OR($B85="",NOT(ISNUMBER(O85))),"",IF(COUNTIF(P85:$T85,O85)&gt;0,0,IF(COUNTIF($G85:$T85,"&gt;"&amp;O85)=0,"",SMALL($G85:$T85,COUNTIF($G85:$T85,"&lt;="&amp;O85)+1)-O85)))</f>
        <v/>
      </c>
      <c r="AM85" t="str">
        <f>IF(OR($B85="",NOT(ISNUMBER(P85))),"",IF(COUNTIF(Q85:$T85,P85)&gt;0,0,IF(COUNTIF($G85:$T85,"&gt;"&amp;P85)=0,"",SMALL($G85:$T85,COUNTIF($G85:$T85,"&lt;="&amp;P85)+1)-P85)))</f>
        <v/>
      </c>
      <c r="AN85">
        <f>IF(OR($B85="",NOT(ISNUMBER(Q85))),"",IF(COUNTIF(R85:$T85,Q85)&gt;0,0,IF(COUNTIF($G85:$T85,"&gt;"&amp;Q85)=0,"",SMALL($G85:$T85,COUNTIF($G85:$T85,"&lt;="&amp;Q85)+1)-Q85)))</f>
        <v>0</v>
      </c>
      <c r="AO85" t="str">
        <f>IF(OR($B85="",NOT(ISNUMBER(R85))),"",IF(COUNTIF(S85:$T85,R85)&gt;0,0,IF(COUNTIF($G85:$T85,"&gt;"&amp;R85)=0,"",SMALL($G85:$T85,COUNTIF($G85:$T85,"&lt;="&amp;R85)+1)-R85)))</f>
        <v/>
      </c>
      <c r="AP85">
        <f t="shared" ca="1" si="20"/>
        <v>0</v>
      </c>
      <c r="AQ85" s="25" t="str">
        <f t="shared" si="21"/>
        <v/>
      </c>
      <c r="AR85" s="25" t="str">
        <f t="shared" si="22"/>
        <v/>
      </c>
      <c r="AS85" s="25">
        <f t="shared" si="23"/>
        <v>46296</v>
      </c>
      <c r="AT85" s="25">
        <f t="shared" si="24"/>
        <v>46296</v>
      </c>
      <c r="AU85" s="25" t="str">
        <f t="shared" si="25"/>
        <v/>
      </c>
      <c r="AV85" s="25" t="str">
        <f t="shared" si="26"/>
        <v/>
      </c>
      <c r="AW85" s="25" t="str">
        <f t="shared" si="27"/>
        <v/>
      </c>
      <c r="AX85" s="25" t="str">
        <f t="shared" si="28"/>
        <v/>
      </c>
      <c r="AY85" s="25" t="str">
        <f t="shared" si="29"/>
        <v/>
      </c>
      <c r="AZ85" s="25" t="str">
        <f t="shared" si="30"/>
        <v/>
      </c>
      <c r="BA85" s="25">
        <f t="shared" si="31"/>
        <v>46296</v>
      </c>
      <c r="BB85" s="25" t="str">
        <f t="shared" si="32"/>
        <v/>
      </c>
      <c r="BC85" s="25">
        <f t="shared" si="33"/>
        <v>46296</v>
      </c>
    </row>
    <row r="86" spans="1:55" ht="15" customHeight="1" x14ac:dyDescent="0.25">
      <c r="A86" s="151">
        <f t="shared" si="17"/>
        <v>84</v>
      </c>
      <c r="B86" s="151" t="s">
        <v>188</v>
      </c>
      <c r="C86" s="152" t="s">
        <v>121</v>
      </c>
      <c r="D86" s="151">
        <f t="shared" si="18"/>
        <v>1</v>
      </c>
      <c r="E86" s="151" t="s">
        <v>61</v>
      </c>
      <c r="F86" s="173">
        <v>46291</v>
      </c>
      <c r="G86" s="173"/>
      <c r="H86" s="173"/>
      <c r="I86" s="173">
        <v>46291</v>
      </c>
      <c r="J86" s="173">
        <v>46295</v>
      </c>
      <c r="K86" s="173"/>
      <c r="L86" s="173"/>
      <c r="M86" s="173"/>
      <c r="N86" s="173"/>
      <c r="O86" s="173"/>
      <c r="P86" s="173"/>
      <c r="Q86" s="173">
        <v>46296</v>
      </c>
      <c r="R86" s="173"/>
      <c r="S86" s="173"/>
      <c r="T86" s="174">
        <v>46296</v>
      </c>
      <c r="U86" s="151"/>
      <c r="V86" s="152"/>
      <c r="W86" s="175"/>
      <c r="X86" s="173"/>
      <c r="Y86" s="173"/>
      <c r="Z86" s="176" t="str">
        <f>IF(B86="","",IF(S86&lt;&gt;"","Sevk Edildi",IF(AND(X86&lt;&gt;"",Y86=""),"Reworkte",IF(T86&lt;&gt;"","Kapandı"&amp;IF(COUNT(G86:R86)=0,""," – "&amp;LOOKUP(2,1/(G86:R86=MAX(G86:R86)),{"Tasarım","Ply Cutter","Üretim","Kalite (Üretim sonrası)","Talaşlı","Kalite (Talaşlı sonrası)","Montaj","Kalite (Montaj sonrası)","Boya","Kalite (Boya sonrası)","Yarı Mamül","KM"})),IF(COUNT(G86:R86)=0,"Başlamadı",LOOKUP(2,1/(G86:R86=MAX(G86:R86)),{"Tasarımda","Ply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86" s="177">
        <f t="shared" ca="1" si="19"/>
        <v>5</v>
      </c>
      <c r="AB86" s="175"/>
      <c r="AD86" t="str">
        <f>IF(OR($B86="",NOT(ISNUMBER(G86))),"",IF(COUNTIF(H86:$T86,G86)&gt;0,0,IF(COUNTIF($G86:$T86,"&gt;"&amp;G86)=0,"",SMALL($G86:$T86,COUNTIF($G86:$T86,"&lt;="&amp;G86)+1)-G86)))</f>
        <v/>
      </c>
      <c r="AE86" t="str">
        <f>IF(OR($B86="",NOT(ISNUMBER(H86))),"",IF(COUNTIF(I86:$T86,H86)&gt;0,0,IF(COUNTIF($G86:$T86,"&gt;"&amp;H86)=0,"",SMALL($G86:$T86,COUNTIF($G86:$T86,"&lt;="&amp;H86)+1)-H86)))</f>
        <v/>
      </c>
      <c r="AF86">
        <f>IF(OR($B86="",NOT(ISNUMBER(I86))),"",IF(COUNTIF(J86:$T86,I86)&gt;0,0,IF(COUNTIF($G86:$T86,"&gt;"&amp;I86)=0,"",SMALL($G86:$T86,COUNTIF($G86:$T86,"&lt;="&amp;I86)+1)-I86)))</f>
        <v>4</v>
      </c>
      <c r="AG86">
        <f>IF(OR($B86="",NOT(ISNUMBER(J86))),"",IF(COUNTIF(K86:$T86,J86)&gt;0,0,IF(COUNTIF($G86:$T86,"&gt;"&amp;J86)=0,"",SMALL($G86:$T86,COUNTIF($G86:$T86,"&lt;="&amp;J86)+1)-J86)))</f>
        <v>1</v>
      </c>
      <c r="AH86" t="str">
        <f>IF(OR($B86="",NOT(ISNUMBER(K86))),"",IF(COUNTIF(L86:$T86,K86)&gt;0,0,IF(COUNTIF($G86:$T86,"&gt;"&amp;K86)=0,"",SMALL($G86:$T86,COUNTIF($G86:$T86,"&lt;="&amp;K86)+1)-K86)))</f>
        <v/>
      </c>
      <c r="AI86" t="str">
        <f>IF(OR($B86="",NOT(ISNUMBER(L86))),"",IF(COUNTIF(M86:$T86,L86)&gt;0,0,IF(COUNTIF($G86:$T86,"&gt;"&amp;L86)=0,"",SMALL($G86:$T86,COUNTIF($G86:$T86,"&lt;="&amp;L86)+1)-L86)))</f>
        <v/>
      </c>
      <c r="AJ86" t="str">
        <f>IF(OR($B86="",NOT(ISNUMBER(M86))),"",IF(COUNTIF(N86:$T86,M86)&gt;0,0,IF(COUNTIF($G86:$T86,"&gt;"&amp;M86)=0,"",SMALL($G86:$T86,COUNTIF($G86:$T86,"&lt;="&amp;M86)+1)-M86)))</f>
        <v/>
      </c>
      <c r="AK86" t="str">
        <f>IF(OR($B86="",NOT(ISNUMBER(N86))),"",IF(COUNTIF(O86:$T86,N86)&gt;0,0,IF(COUNTIF($G86:$T86,"&gt;"&amp;N86)=0,"",SMALL($G86:$T86,COUNTIF($G86:$T86,"&lt;="&amp;N86)+1)-N86)))</f>
        <v/>
      </c>
      <c r="AL86" t="str">
        <f>IF(OR($B86="",NOT(ISNUMBER(O86))),"",IF(COUNTIF(P86:$T86,O86)&gt;0,0,IF(COUNTIF($G86:$T86,"&gt;"&amp;O86)=0,"",SMALL($G86:$T86,COUNTIF($G86:$T86,"&lt;="&amp;O86)+1)-O86)))</f>
        <v/>
      </c>
      <c r="AM86" t="str">
        <f>IF(OR($B86="",NOT(ISNUMBER(P86))),"",IF(COUNTIF(Q86:$T86,P86)&gt;0,0,IF(COUNTIF($G86:$T86,"&gt;"&amp;P86)=0,"",SMALL($G86:$T86,COUNTIF($G86:$T86,"&lt;="&amp;P86)+1)-P86)))</f>
        <v/>
      </c>
      <c r="AN86">
        <f>IF(OR($B86="",NOT(ISNUMBER(Q86))),"",IF(COUNTIF(R86:$T86,Q86)&gt;0,0,IF(COUNTIF($G86:$T86,"&gt;"&amp;Q86)=0,"",SMALL($G86:$T86,COUNTIF($G86:$T86,"&lt;="&amp;Q86)+1)-Q86)))</f>
        <v>0</v>
      </c>
      <c r="AO86" t="str">
        <f>IF(OR($B86="",NOT(ISNUMBER(R86))),"",IF(COUNTIF(S86:$T86,R86)&gt;0,0,IF(COUNTIF($G86:$T86,"&gt;"&amp;R86)=0,"",SMALL($G86:$T86,COUNTIF($G86:$T86,"&lt;="&amp;R86)+1)-R86)))</f>
        <v/>
      </c>
      <c r="AP86">
        <f t="shared" ca="1" si="20"/>
        <v>0</v>
      </c>
      <c r="AQ86" s="25" t="str">
        <f t="shared" si="21"/>
        <v/>
      </c>
      <c r="AR86" s="25" t="str">
        <f t="shared" si="22"/>
        <v/>
      </c>
      <c r="AS86" s="25">
        <f t="shared" si="23"/>
        <v>46295</v>
      </c>
      <c r="AT86" s="25">
        <f t="shared" si="24"/>
        <v>46296</v>
      </c>
      <c r="AU86" s="25" t="str">
        <f t="shared" si="25"/>
        <v/>
      </c>
      <c r="AV86" s="25" t="str">
        <f t="shared" si="26"/>
        <v/>
      </c>
      <c r="AW86" s="25" t="str">
        <f t="shared" si="27"/>
        <v/>
      </c>
      <c r="AX86" s="25" t="str">
        <f t="shared" si="28"/>
        <v/>
      </c>
      <c r="AY86" s="25" t="str">
        <f t="shared" si="29"/>
        <v/>
      </c>
      <c r="AZ86" s="25" t="str">
        <f t="shared" si="30"/>
        <v/>
      </c>
      <c r="BA86" s="25">
        <f t="shared" si="31"/>
        <v>46296</v>
      </c>
      <c r="BB86" s="25" t="str">
        <f t="shared" si="32"/>
        <v/>
      </c>
      <c r="BC86" s="25">
        <f t="shared" si="33"/>
        <v>46296</v>
      </c>
    </row>
    <row r="87" spans="1:55" ht="15" customHeight="1" x14ac:dyDescent="0.25">
      <c r="A87" s="151">
        <f t="shared" si="17"/>
        <v>85</v>
      </c>
      <c r="B87" s="151" t="s">
        <v>189</v>
      </c>
      <c r="C87" s="152" t="s">
        <v>78</v>
      </c>
      <c r="D87" s="151">
        <f t="shared" si="18"/>
        <v>1</v>
      </c>
      <c r="E87" s="151" t="s">
        <v>61</v>
      </c>
      <c r="F87" s="173">
        <v>46291</v>
      </c>
      <c r="G87" s="173"/>
      <c r="H87" s="173"/>
      <c r="I87" s="173">
        <v>46289</v>
      </c>
      <c r="J87" s="173">
        <v>46290</v>
      </c>
      <c r="K87" s="173"/>
      <c r="L87" s="173"/>
      <c r="M87" s="173"/>
      <c r="N87" s="173"/>
      <c r="O87" s="173"/>
      <c r="P87" s="173"/>
      <c r="Q87" s="173"/>
      <c r="R87" s="173"/>
      <c r="S87" s="173"/>
      <c r="T87" s="174">
        <v>46290</v>
      </c>
      <c r="U87" s="151"/>
      <c r="V87" s="152"/>
      <c r="W87" s="175"/>
      <c r="X87" s="173"/>
      <c r="Y87" s="173"/>
      <c r="Z87" s="176" t="str">
        <f>IF(B87="","",IF(S87&lt;&gt;"","Sevk Edildi",IF(AND(X87&lt;&gt;"",Y87=""),"Reworkte",IF(T87&lt;&gt;"","Kapandı"&amp;IF(COUNT(G87:R87)=0,""," – "&amp;LOOKUP(2,1/(G87:R87=MAX(G87:R87)),{"Tasarım","Ply Cutter","Üretim","Kalite (Üretim sonrası)","Talaşlı","Kalite (Talaşlı sonrası)","Montaj","Kalite (Montaj sonrası)","Boya","Kalite (Boya sonrası)","Yarı Mamül","KM"})),IF(COUNT(G87:R87)=0,"Başlamadı",LOOKUP(2,1/(G87:R87=MAX(G87:R87)),{"Tasarımda","Ply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87" s="177">
        <f t="shared" ca="1" si="19"/>
        <v>-1</v>
      </c>
      <c r="AB87" s="175"/>
      <c r="AD87" t="str">
        <f>IF(OR($B87="",NOT(ISNUMBER(G87))),"",IF(COUNTIF(H87:$T87,G87)&gt;0,0,IF(COUNTIF($G87:$T87,"&gt;"&amp;G87)=0,"",SMALL($G87:$T87,COUNTIF($G87:$T87,"&lt;="&amp;G87)+1)-G87)))</f>
        <v/>
      </c>
      <c r="AE87" t="str">
        <f>IF(OR($B87="",NOT(ISNUMBER(H87))),"",IF(COUNTIF(I87:$T87,H87)&gt;0,0,IF(COUNTIF($G87:$T87,"&gt;"&amp;H87)=0,"",SMALL($G87:$T87,COUNTIF($G87:$T87,"&lt;="&amp;H87)+1)-H87)))</f>
        <v/>
      </c>
      <c r="AF87">
        <f>IF(OR($B87="",NOT(ISNUMBER(I87))),"",IF(COUNTIF(J87:$T87,I87)&gt;0,0,IF(COUNTIF($G87:$T87,"&gt;"&amp;I87)=0,"",SMALL($G87:$T87,COUNTIF($G87:$T87,"&lt;="&amp;I87)+1)-I87)))</f>
        <v>1</v>
      </c>
      <c r="AG87">
        <f>IF(OR($B87="",NOT(ISNUMBER(J87))),"",IF(COUNTIF(K87:$T87,J87)&gt;0,0,IF(COUNTIF($G87:$T87,"&gt;"&amp;J87)=0,"",SMALL($G87:$T87,COUNTIF($G87:$T87,"&lt;="&amp;J87)+1)-J87)))</f>
        <v>0</v>
      </c>
      <c r="AH87" t="str">
        <f>IF(OR($B87="",NOT(ISNUMBER(K87))),"",IF(COUNTIF(L87:$T87,K87)&gt;0,0,IF(COUNTIF($G87:$T87,"&gt;"&amp;K87)=0,"",SMALL($G87:$T87,COUNTIF($G87:$T87,"&lt;="&amp;K87)+1)-K87)))</f>
        <v/>
      </c>
      <c r="AI87" t="str">
        <f>IF(OR($B87="",NOT(ISNUMBER(L87))),"",IF(COUNTIF(M87:$T87,L87)&gt;0,0,IF(COUNTIF($G87:$T87,"&gt;"&amp;L87)=0,"",SMALL($G87:$T87,COUNTIF($G87:$T87,"&lt;="&amp;L87)+1)-L87)))</f>
        <v/>
      </c>
      <c r="AJ87" t="str">
        <f>IF(OR($B87="",NOT(ISNUMBER(M87))),"",IF(COUNTIF(N87:$T87,M87)&gt;0,0,IF(COUNTIF($G87:$T87,"&gt;"&amp;M87)=0,"",SMALL($G87:$T87,COUNTIF($G87:$T87,"&lt;="&amp;M87)+1)-M87)))</f>
        <v/>
      </c>
      <c r="AK87" t="str">
        <f>IF(OR($B87="",NOT(ISNUMBER(N87))),"",IF(COUNTIF(O87:$T87,N87)&gt;0,0,IF(COUNTIF($G87:$T87,"&gt;"&amp;N87)=0,"",SMALL($G87:$T87,COUNTIF($G87:$T87,"&lt;="&amp;N87)+1)-N87)))</f>
        <v/>
      </c>
      <c r="AL87" t="str">
        <f>IF(OR($B87="",NOT(ISNUMBER(O87))),"",IF(COUNTIF(P87:$T87,O87)&gt;0,0,IF(COUNTIF($G87:$T87,"&gt;"&amp;O87)=0,"",SMALL($G87:$T87,COUNTIF($G87:$T87,"&lt;="&amp;O87)+1)-O87)))</f>
        <v/>
      </c>
      <c r="AM87" t="str">
        <f>IF(OR($B87="",NOT(ISNUMBER(P87))),"",IF(COUNTIF(Q87:$T87,P87)&gt;0,0,IF(COUNTIF($G87:$T87,"&gt;"&amp;P87)=0,"",SMALL($G87:$T87,COUNTIF($G87:$T87,"&lt;="&amp;P87)+1)-P87)))</f>
        <v/>
      </c>
      <c r="AN87" t="str">
        <f>IF(OR($B87="",NOT(ISNUMBER(Q87))),"",IF(COUNTIF(R87:$T87,Q87)&gt;0,0,IF(COUNTIF($G87:$T87,"&gt;"&amp;Q87)=0,"",SMALL($G87:$T87,COUNTIF($G87:$T87,"&lt;="&amp;Q87)+1)-Q87)))</f>
        <v/>
      </c>
      <c r="AO87" t="str">
        <f>IF(OR($B87="",NOT(ISNUMBER(R87))),"",IF(COUNTIF(S87:$T87,R87)&gt;0,0,IF(COUNTIF($G87:$T87,"&gt;"&amp;R87)=0,"",SMALL($G87:$T87,COUNTIF($G87:$T87,"&lt;="&amp;R87)+1)-R87)))</f>
        <v/>
      </c>
      <c r="AP87">
        <f t="shared" ca="1" si="20"/>
        <v>0</v>
      </c>
      <c r="AQ87" s="25" t="str">
        <f t="shared" si="21"/>
        <v/>
      </c>
      <c r="AR87" s="25" t="str">
        <f t="shared" si="22"/>
        <v/>
      </c>
      <c r="AS87" s="25">
        <f t="shared" si="23"/>
        <v>46290</v>
      </c>
      <c r="AT87" s="25">
        <f t="shared" si="24"/>
        <v>46290</v>
      </c>
      <c r="AU87" s="25" t="str">
        <f t="shared" si="25"/>
        <v/>
      </c>
      <c r="AV87" s="25" t="str">
        <f t="shared" si="26"/>
        <v/>
      </c>
      <c r="AW87" s="25" t="str">
        <f t="shared" si="27"/>
        <v/>
      </c>
      <c r="AX87" s="25" t="str">
        <f t="shared" si="28"/>
        <v/>
      </c>
      <c r="AY87" s="25" t="str">
        <f t="shared" si="29"/>
        <v/>
      </c>
      <c r="AZ87" s="25" t="str">
        <f t="shared" si="30"/>
        <v/>
      </c>
      <c r="BA87" s="25" t="str">
        <f t="shared" si="31"/>
        <v/>
      </c>
      <c r="BB87" s="25" t="str">
        <f t="shared" si="32"/>
        <v/>
      </c>
      <c r="BC87" s="25">
        <f t="shared" si="33"/>
        <v>46290</v>
      </c>
    </row>
    <row r="88" spans="1:55" ht="15" customHeight="1" x14ac:dyDescent="0.25">
      <c r="A88" s="151">
        <f t="shared" si="17"/>
        <v>86</v>
      </c>
      <c r="B88" s="151" t="s">
        <v>190</v>
      </c>
      <c r="C88" s="152" t="s">
        <v>191</v>
      </c>
      <c r="D88" s="151">
        <f t="shared" si="18"/>
        <v>4</v>
      </c>
      <c r="E88" s="151" t="s">
        <v>61</v>
      </c>
      <c r="F88" s="173">
        <v>46291</v>
      </c>
      <c r="G88" s="173"/>
      <c r="H88" s="173"/>
      <c r="I88" s="173"/>
      <c r="J88" s="173"/>
      <c r="K88" s="173">
        <v>46291</v>
      </c>
      <c r="L88" s="173">
        <v>46293</v>
      </c>
      <c r="M88" s="173"/>
      <c r="N88" s="173"/>
      <c r="O88" s="173"/>
      <c r="P88" s="173"/>
      <c r="Q88" s="173"/>
      <c r="R88" s="173"/>
      <c r="S88" s="173"/>
      <c r="T88" s="174">
        <v>46293</v>
      </c>
      <c r="U88" s="151"/>
      <c r="V88" s="152"/>
      <c r="W88" s="175"/>
      <c r="X88" s="173"/>
      <c r="Y88" s="173"/>
      <c r="Z88" s="176" t="str">
        <f>IF(B88="","",IF(S88&lt;&gt;"","Sevk Edildi",IF(AND(X88&lt;&gt;"",Y88=""),"Reworkte",IF(T88&lt;&gt;"","Kapandı"&amp;IF(COUNT(G88:R88)=0,""," – "&amp;LOOKUP(2,1/(G88:R88=MAX(G88:R88)),{"Tasarım","Ply Cutter","Üretim","Kalite (Üretim sonrası)","Talaşlı","Kalite (Talaşlı sonrası)","Montaj","Kalite (Montaj sonrası)","Boya","Kalite (Boya sonrası)","Yarı Mamül","KM"})),IF(COUNT(G88:R88)=0,"Başlamadı",LOOKUP(2,1/(G88:R88=MAX(G88:R88)),{"Tasarımda","Ply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88" s="177">
        <f t="shared" ca="1" si="19"/>
        <v>2</v>
      </c>
      <c r="AB88" s="175"/>
      <c r="AD88" t="str">
        <f>IF(OR($B88="",NOT(ISNUMBER(G88))),"",IF(COUNTIF(H88:$T88,G88)&gt;0,0,IF(COUNTIF($G88:$T88,"&gt;"&amp;G88)=0,"",SMALL($G88:$T88,COUNTIF($G88:$T88,"&lt;="&amp;G88)+1)-G88)))</f>
        <v/>
      </c>
      <c r="AE88" t="str">
        <f>IF(OR($B88="",NOT(ISNUMBER(H88))),"",IF(COUNTIF(I88:$T88,H88)&gt;0,0,IF(COUNTIF($G88:$T88,"&gt;"&amp;H88)=0,"",SMALL($G88:$T88,COUNTIF($G88:$T88,"&lt;="&amp;H88)+1)-H88)))</f>
        <v/>
      </c>
      <c r="AF88" t="str">
        <f>IF(OR($B88="",NOT(ISNUMBER(I88))),"",IF(COUNTIF(J88:$T88,I88)&gt;0,0,IF(COUNTIF($G88:$T88,"&gt;"&amp;I88)=0,"",SMALL($G88:$T88,COUNTIF($G88:$T88,"&lt;="&amp;I88)+1)-I88)))</f>
        <v/>
      </c>
      <c r="AG88" t="str">
        <f>IF(OR($B88="",NOT(ISNUMBER(J88))),"",IF(COUNTIF(K88:$T88,J88)&gt;0,0,IF(COUNTIF($G88:$T88,"&gt;"&amp;J88)=0,"",SMALL($G88:$T88,COUNTIF($G88:$T88,"&lt;="&amp;J88)+1)-J88)))</f>
        <v/>
      </c>
      <c r="AH88">
        <f>IF(OR($B88="",NOT(ISNUMBER(K88))),"",IF(COUNTIF(L88:$T88,K88)&gt;0,0,IF(COUNTIF($G88:$T88,"&gt;"&amp;K88)=0,"",SMALL($G88:$T88,COUNTIF($G88:$T88,"&lt;="&amp;K88)+1)-K88)))</f>
        <v>2</v>
      </c>
      <c r="AI88">
        <f>IF(OR($B88="",NOT(ISNUMBER(L88))),"",IF(COUNTIF(M88:$T88,L88)&gt;0,0,IF(COUNTIF($G88:$T88,"&gt;"&amp;L88)=0,"",SMALL($G88:$T88,COUNTIF($G88:$T88,"&lt;="&amp;L88)+1)-L88)))</f>
        <v>0</v>
      </c>
      <c r="AJ88" t="str">
        <f>IF(OR($B88="",NOT(ISNUMBER(M88))),"",IF(COUNTIF(N88:$T88,M88)&gt;0,0,IF(COUNTIF($G88:$T88,"&gt;"&amp;M88)=0,"",SMALL($G88:$T88,COUNTIF($G88:$T88,"&lt;="&amp;M88)+1)-M88)))</f>
        <v/>
      </c>
      <c r="AK88" t="str">
        <f>IF(OR($B88="",NOT(ISNUMBER(N88))),"",IF(COUNTIF(O88:$T88,N88)&gt;0,0,IF(COUNTIF($G88:$T88,"&gt;"&amp;N88)=0,"",SMALL($G88:$T88,COUNTIF($G88:$T88,"&lt;="&amp;N88)+1)-N88)))</f>
        <v/>
      </c>
      <c r="AL88" t="str">
        <f>IF(OR($B88="",NOT(ISNUMBER(O88))),"",IF(COUNTIF(P88:$T88,O88)&gt;0,0,IF(COUNTIF($G88:$T88,"&gt;"&amp;O88)=0,"",SMALL($G88:$T88,COUNTIF($G88:$T88,"&lt;="&amp;O88)+1)-O88)))</f>
        <v/>
      </c>
      <c r="AM88" t="str">
        <f>IF(OR($B88="",NOT(ISNUMBER(P88))),"",IF(COUNTIF(Q88:$T88,P88)&gt;0,0,IF(COUNTIF($G88:$T88,"&gt;"&amp;P88)=0,"",SMALL($G88:$T88,COUNTIF($G88:$T88,"&lt;="&amp;P88)+1)-P88)))</f>
        <v/>
      </c>
      <c r="AN88" t="str">
        <f>IF(OR($B88="",NOT(ISNUMBER(Q88))),"",IF(COUNTIF(R88:$T88,Q88)&gt;0,0,IF(COUNTIF($G88:$T88,"&gt;"&amp;Q88)=0,"",SMALL($G88:$T88,COUNTIF($G88:$T88,"&lt;="&amp;Q88)+1)-Q88)))</f>
        <v/>
      </c>
      <c r="AO88" t="str">
        <f>IF(OR($B88="",NOT(ISNUMBER(R88))),"",IF(COUNTIF(S88:$T88,R88)&gt;0,0,IF(COUNTIF($G88:$T88,"&gt;"&amp;R88)=0,"",SMALL($G88:$T88,COUNTIF($G88:$T88,"&lt;="&amp;R88)+1)-R88)))</f>
        <v/>
      </c>
      <c r="AP88">
        <f t="shared" ca="1" si="20"/>
        <v>0</v>
      </c>
      <c r="AQ88" s="25" t="str">
        <f t="shared" si="21"/>
        <v/>
      </c>
      <c r="AR88" s="25" t="str">
        <f t="shared" si="22"/>
        <v/>
      </c>
      <c r="AS88" s="25" t="str">
        <f t="shared" si="23"/>
        <v/>
      </c>
      <c r="AT88" s="25" t="str">
        <f t="shared" si="24"/>
        <v/>
      </c>
      <c r="AU88" s="25">
        <f t="shared" si="25"/>
        <v>46293</v>
      </c>
      <c r="AV88" s="25">
        <f t="shared" si="26"/>
        <v>46293</v>
      </c>
      <c r="AW88" s="25" t="str">
        <f t="shared" si="27"/>
        <v/>
      </c>
      <c r="AX88" s="25" t="str">
        <f t="shared" si="28"/>
        <v/>
      </c>
      <c r="AY88" s="25" t="str">
        <f t="shared" si="29"/>
        <v/>
      </c>
      <c r="AZ88" s="25" t="str">
        <f t="shared" si="30"/>
        <v/>
      </c>
      <c r="BA88" s="25" t="str">
        <f t="shared" si="31"/>
        <v/>
      </c>
      <c r="BB88" s="25" t="str">
        <f t="shared" si="32"/>
        <v/>
      </c>
      <c r="BC88" s="25">
        <f t="shared" si="33"/>
        <v>46293</v>
      </c>
    </row>
    <row r="89" spans="1:55" ht="15" customHeight="1" x14ac:dyDescent="0.25">
      <c r="A89" s="151">
        <f t="shared" si="17"/>
        <v>87</v>
      </c>
      <c r="B89" s="151" t="s">
        <v>192</v>
      </c>
      <c r="C89" s="152" t="s">
        <v>193</v>
      </c>
      <c r="D89" s="151">
        <f t="shared" si="18"/>
        <v>4</v>
      </c>
      <c r="E89" s="151" t="s">
        <v>61</v>
      </c>
      <c r="F89" s="173">
        <v>46291</v>
      </c>
      <c r="G89" s="173"/>
      <c r="H89" s="173"/>
      <c r="I89" s="173"/>
      <c r="J89" s="173"/>
      <c r="K89" s="173">
        <v>46291</v>
      </c>
      <c r="L89" s="173">
        <v>46293</v>
      </c>
      <c r="M89" s="173"/>
      <c r="N89" s="173"/>
      <c r="O89" s="173"/>
      <c r="P89" s="173"/>
      <c r="Q89" s="173"/>
      <c r="R89" s="173"/>
      <c r="S89" s="173"/>
      <c r="T89" s="174">
        <v>46293</v>
      </c>
      <c r="U89" s="151"/>
      <c r="V89" s="152"/>
      <c r="W89" s="175"/>
      <c r="X89" s="173"/>
      <c r="Y89" s="173"/>
      <c r="Z89" s="176" t="str">
        <f>IF(B89="","",IF(S89&lt;&gt;"","Sevk Edildi",IF(AND(X89&lt;&gt;"",Y89=""),"Reworkte",IF(T89&lt;&gt;"","Kapandı"&amp;IF(COUNT(G89:R89)=0,""," – "&amp;LOOKUP(2,1/(G89:R89=MAX(G89:R89)),{"Tasarım","Ply Cutter","Üretim","Kalite (Üretim sonrası)","Talaşlı","Kalite (Talaşlı sonrası)","Montaj","Kalite (Montaj sonrası)","Boya","Kalite (Boya sonrası)","Yarı Mamül","KM"})),IF(COUNT(G89:R89)=0,"Başlamadı",LOOKUP(2,1/(G89:R89=MAX(G89:R89)),{"Tasarımda","Ply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89" s="177">
        <f t="shared" ca="1" si="19"/>
        <v>2</v>
      </c>
      <c r="AB89" s="175"/>
      <c r="AD89" t="str">
        <f>IF(OR($B89="",NOT(ISNUMBER(G89))),"",IF(COUNTIF(H89:$T89,G89)&gt;0,0,IF(COUNTIF($G89:$T89,"&gt;"&amp;G89)=0,"",SMALL($G89:$T89,COUNTIF($G89:$T89,"&lt;="&amp;G89)+1)-G89)))</f>
        <v/>
      </c>
      <c r="AE89" t="str">
        <f>IF(OR($B89="",NOT(ISNUMBER(H89))),"",IF(COUNTIF(I89:$T89,H89)&gt;0,0,IF(COUNTIF($G89:$T89,"&gt;"&amp;H89)=0,"",SMALL($G89:$T89,COUNTIF($G89:$T89,"&lt;="&amp;H89)+1)-H89)))</f>
        <v/>
      </c>
      <c r="AF89" t="str">
        <f>IF(OR($B89="",NOT(ISNUMBER(I89))),"",IF(COUNTIF(J89:$T89,I89)&gt;0,0,IF(COUNTIF($G89:$T89,"&gt;"&amp;I89)=0,"",SMALL($G89:$T89,COUNTIF($G89:$T89,"&lt;="&amp;I89)+1)-I89)))</f>
        <v/>
      </c>
      <c r="AG89" t="str">
        <f>IF(OR($B89="",NOT(ISNUMBER(J89))),"",IF(COUNTIF(K89:$T89,J89)&gt;0,0,IF(COUNTIF($G89:$T89,"&gt;"&amp;J89)=0,"",SMALL($G89:$T89,COUNTIF($G89:$T89,"&lt;="&amp;J89)+1)-J89)))</f>
        <v/>
      </c>
      <c r="AH89">
        <f>IF(OR($B89="",NOT(ISNUMBER(K89))),"",IF(COUNTIF(L89:$T89,K89)&gt;0,0,IF(COUNTIF($G89:$T89,"&gt;"&amp;K89)=0,"",SMALL($G89:$T89,COUNTIF($G89:$T89,"&lt;="&amp;K89)+1)-K89)))</f>
        <v>2</v>
      </c>
      <c r="AI89">
        <f>IF(OR($B89="",NOT(ISNUMBER(L89))),"",IF(COUNTIF(M89:$T89,L89)&gt;0,0,IF(COUNTIF($G89:$T89,"&gt;"&amp;L89)=0,"",SMALL($G89:$T89,COUNTIF($G89:$T89,"&lt;="&amp;L89)+1)-L89)))</f>
        <v>0</v>
      </c>
      <c r="AJ89" t="str">
        <f>IF(OR($B89="",NOT(ISNUMBER(M89))),"",IF(COUNTIF(N89:$T89,M89)&gt;0,0,IF(COUNTIF($G89:$T89,"&gt;"&amp;M89)=0,"",SMALL($G89:$T89,COUNTIF($G89:$T89,"&lt;="&amp;M89)+1)-M89)))</f>
        <v/>
      </c>
      <c r="AK89" t="str">
        <f>IF(OR($B89="",NOT(ISNUMBER(N89))),"",IF(COUNTIF(O89:$T89,N89)&gt;0,0,IF(COUNTIF($G89:$T89,"&gt;"&amp;N89)=0,"",SMALL($G89:$T89,COUNTIF($G89:$T89,"&lt;="&amp;N89)+1)-N89)))</f>
        <v/>
      </c>
      <c r="AL89" t="str">
        <f>IF(OR($B89="",NOT(ISNUMBER(O89))),"",IF(COUNTIF(P89:$T89,O89)&gt;0,0,IF(COUNTIF($G89:$T89,"&gt;"&amp;O89)=0,"",SMALL($G89:$T89,COUNTIF($G89:$T89,"&lt;="&amp;O89)+1)-O89)))</f>
        <v/>
      </c>
      <c r="AM89" t="str">
        <f>IF(OR($B89="",NOT(ISNUMBER(P89))),"",IF(COUNTIF(Q89:$T89,P89)&gt;0,0,IF(COUNTIF($G89:$T89,"&gt;"&amp;P89)=0,"",SMALL($G89:$T89,COUNTIF($G89:$T89,"&lt;="&amp;P89)+1)-P89)))</f>
        <v/>
      </c>
      <c r="AN89" t="str">
        <f>IF(OR($B89="",NOT(ISNUMBER(Q89))),"",IF(COUNTIF(R89:$T89,Q89)&gt;0,0,IF(COUNTIF($G89:$T89,"&gt;"&amp;Q89)=0,"",SMALL($G89:$T89,COUNTIF($G89:$T89,"&lt;="&amp;Q89)+1)-Q89)))</f>
        <v/>
      </c>
      <c r="AO89" t="str">
        <f>IF(OR($B89="",NOT(ISNUMBER(R89))),"",IF(COUNTIF(S89:$T89,R89)&gt;0,0,IF(COUNTIF($G89:$T89,"&gt;"&amp;R89)=0,"",SMALL($G89:$T89,COUNTIF($G89:$T89,"&lt;="&amp;R89)+1)-R89)))</f>
        <v/>
      </c>
      <c r="AP89">
        <f t="shared" ca="1" si="20"/>
        <v>0</v>
      </c>
      <c r="AQ89" s="25" t="str">
        <f t="shared" si="21"/>
        <v/>
      </c>
      <c r="AR89" s="25" t="str">
        <f t="shared" si="22"/>
        <v/>
      </c>
      <c r="AS89" s="25" t="str">
        <f t="shared" si="23"/>
        <v/>
      </c>
      <c r="AT89" s="25" t="str">
        <f t="shared" si="24"/>
        <v/>
      </c>
      <c r="AU89" s="25">
        <f t="shared" si="25"/>
        <v>46293</v>
      </c>
      <c r="AV89" s="25">
        <f t="shared" si="26"/>
        <v>46293</v>
      </c>
      <c r="AW89" s="25" t="str">
        <f t="shared" si="27"/>
        <v/>
      </c>
      <c r="AX89" s="25" t="str">
        <f t="shared" si="28"/>
        <v/>
      </c>
      <c r="AY89" s="25" t="str">
        <f t="shared" si="29"/>
        <v/>
      </c>
      <c r="AZ89" s="25" t="str">
        <f t="shared" si="30"/>
        <v/>
      </c>
      <c r="BA89" s="25" t="str">
        <f t="shared" si="31"/>
        <v/>
      </c>
      <c r="BB89" s="25" t="str">
        <f t="shared" si="32"/>
        <v/>
      </c>
      <c r="BC89" s="25">
        <f t="shared" si="33"/>
        <v>46293</v>
      </c>
    </row>
    <row r="90" spans="1:55" ht="15" customHeight="1" x14ac:dyDescent="0.25">
      <c r="A90" s="151">
        <f t="shared" si="17"/>
        <v>88</v>
      </c>
      <c r="B90" s="151" t="s">
        <v>194</v>
      </c>
      <c r="C90" s="152" t="s">
        <v>163</v>
      </c>
      <c r="D90" s="151">
        <f t="shared" si="18"/>
        <v>1</v>
      </c>
      <c r="E90" s="151" t="s">
        <v>61</v>
      </c>
      <c r="F90" s="173">
        <v>46291</v>
      </c>
      <c r="G90" s="173"/>
      <c r="H90" s="173"/>
      <c r="I90" s="173">
        <v>46291</v>
      </c>
      <c r="J90" s="173">
        <v>46291</v>
      </c>
      <c r="K90" s="173"/>
      <c r="L90" s="173"/>
      <c r="M90" s="173"/>
      <c r="N90" s="173"/>
      <c r="O90" s="173"/>
      <c r="P90" s="173"/>
      <c r="Q90" s="173">
        <v>46293</v>
      </c>
      <c r="R90" s="173"/>
      <c r="S90" s="173"/>
      <c r="T90" s="174">
        <v>46293</v>
      </c>
      <c r="U90" s="151"/>
      <c r="V90" s="152"/>
      <c r="W90" s="175"/>
      <c r="X90" s="173"/>
      <c r="Y90" s="173"/>
      <c r="Z90" s="176" t="str">
        <f>IF(B90="","",IF(S90&lt;&gt;"","Sevk Edildi",IF(AND(X90&lt;&gt;"",Y90=""),"Reworkte",IF(T90&lt;&gt;"","Kapandı"&amp;IF(COUNT(G90:R90)=0,""," – "&amp;LOOKUP(2,1/(G90:R90=MAX(G90:R90)),{"Tasarım","Ply Cutter","Üretim","Kalite (Üretim sonrası)","Talaşlı","Kalite (Talaşlı sonrası)","Montaj","Kalite (Montaj sonrası)","Boya","Kalite (Boya sonrası)","Yarı Mamül","KM"})),IF(COUNT(G90:R90)=0,"Başlamadı",LOOKUP(2,1/(G90:R90=MAX(G90:R90)),{"Tasarımda","Ply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90" s="177">
        <f t="shared" ca="1" si="19"/>
        <v>2</v>
      </c>
      <c r="AB90" s="175"/>
      <c r="AD90" t="str">
        <f>IF(OR($B90="",NOT(ISNUMBER(G90))),"",IF(COUNTIF(H90:$T90,G90)&gt;0,0,IF(COUNTIF($G90:$T90,"&gt;"&amp;G90)=0,"",SMALL($G90:$T90,COUNTIF($G90:$T90,"&lt;="&amp;G90)+1)-G90)))</f>
        <v/>
      </c>
      <c r="AE90" t="str">
        <f>IF(OR($B90="",NOT(ISNUMBER(H90))),"",IF(COUNTIF(I90:$T90,H90)&gt;0,0,IF(COUNTIF($G90:$T90,"&gt;"&amp;H90)=0,"",SMALL($G90:$T90,COUNTIF($G90:$T90,"&lt;="&amp;H90)+1)-H90)))</f>
        <v/>
      </c>
      <c r="AF90">
        <f>IF(OR($B90="",NOT(ISNUMBER(I90))),"",IF(COUNTIF(J90:$T90,I90)&gt;0,0,IF(COUNTIF($G90:$T90,"&gt;"&amp;I90)=0,"",SMALL($G90:$T90,COUNTIF($G90:$T90,"&lt;="&amp;I90)+1)-I90)))</f>
        <v>0</v>
      </c>
      <c r="AG90">
        <f>IF(OR($B90="",NOT(ISNUMBER(J90))),"",IF(COUNTIF(K90:$T90,J90)&gt;0,0,IF(COUNTIF($G90:$T90,"&gt;"&amp;J90)=0,"",SMALL($G90:$T90,COUNTIF($G90:$T90,"&lt;="&amp;J90)+1)-J90)))</f>
        <v>2</v>
      </c>
      <c r="AH90" t="str">
        <f>IF(OR($B90="",NOT(ISNUMBER(K90))),"",IF(COUNTIF(L90:$T90,K90)&gt;0,0,IF(COUNTIF($G90:$T90,"&gt;"&amp;K90)=0,"",SMALL($G90:$T90,COUNTIF($G90:$T90,"&lt;="&amp;K90)+1)-K90)))</f>
        <v/>
      </c>
      <c r="AI90" t="str">
        <f>IF(OR($B90="",NOT(ISNUMBER(L90))),"",IF(COUNTIF(M90:$T90,L90)&gt;0,0,IF(COUNTIF($G90:$T90,"&gt;"&amp;L90)=0,"",SMALL($G90:$T90,COUNTIF($G90:$T90,"&lt;="&amp;L90)+1)-L90)))</f>
        <v/>
      </c>
      <c r="AJ90" t="str">
        <f>IF(OR($B90="",NOT(ISNUMBER(M90))),"",IF(COUNTIF(N90:$T90,M90)&gt;0,0,IF(COUNTIF($G90:$T90,"&gt;"&amp;M90)=0,"",SMALL($G90:$T90,COUNTIF($G90:$T90,"&lt;="&amp;M90)+1)-M90)))</f>
        <v/>
      </c>
      <c r="AK90" t="str">
        <f>IF(OR($B90="",NOT(ISNUMBER(N90))),"",IF(COUNTIF(O90:$T90,N90)&gt;0,0,IF(COUNTIF($G90:$T90,"&gt;"&amp;N90)=0,"",SMALL($G90:$T90,COUNTIF($G90:$T90,"&lt;="&amp;N90)+1)-N90)))</f>
        <v/>
      </c>
      <c r="AL90" t="str">
        <f>IF(OR($B90="",NOT(ISNUMBER(O90))),"",IF(COUNTIF(P90:$T90,O90)&gt;0,0,IF(COUNTIF($G90:$T90,"&gt;"&amp;O90)=0,"",SMALL($G90:$T90,COUNTIF($G90:$T90,"&lt;="&amp;O90)+1)-O90)))</f>
        <v/>
      </c>
      <c r="AM90" t="str">
        <f>IF(OR($B90="",NOT(ISNUMBER(P90))),"",IF(COUNTIF(Q90:$T90,P90)&gt;0,0,IF(COUNTIF($G90:$T90,"&gt;"&amp;P90)=0,"",SMALL($G90:$T90,COUNTIF($G90:$T90,"&lt;="&amp;P90)+1)-P90)))</f>
        <v/>
      </c>
      <c r="AN90">
        <f>IF(OR($B90="",NOT(ISNUMBER(Q90))),"",IF(COUNTIF(R90:$T90,Q90)&gt;0,0,IF(COUNTIF($G90:$T90,"&gt;"&amp;Q90)=0,"",SMALL($G90:$T90,COUNTIF($G90:$T90,"&lt;="&amp;Q90)+1)-Q90)))</f>
        <v>0</v>
      </c>
      <c r="AO90" t="str">
        <f>IF(OR($B90="",NOT(ISNUMBER(R90))),"",IF(COUNTIF(S90:$T90,R90)&gt;0,0,IF(COUNTIF($G90:$T90,"&gt;"&amp;R90)=0,"",SMALL($G90:$T90,COUNTIF($G90:$T90,"&lt;="&amp;R90)+1)-R90)))</f>
        <v/>
      </c>
      <c r="AP90">
        <f t="shared" ca="1" si="20"/>
        <v>0</v>
      </c>
      <c r="AQ90" s="25" t="str">
        <f t="shared" si="21"/>
        <v/>
      </c>
      <c r="AR90" s="25" t="str">
        <f t="shared" si="22"/>
        <v/>
      </c>
      <c r="AS90" s="25">
        <f t="shared" si="23"/>
        <v>46291</v>
      </c>
      <c r="AT90" s="25">
        <f t="shared" si="24"/>
        <v>46293</v>
      </c>
      <c r="AU90" s="25" t="str">
        <f t="shared" si="25"/>
        <v/>
      </c>
      <c r="AV90" s="25" t="str">
        <f t="shared" si="26"/>
        <v/>
      </c>
      <c r="AW90" s="25" t="str">
        <f t="shared" si="27"/>
        <v/>
      </c>
      <c r="AX90" s="25" t="str">
        <f t="shared" si="28"/>
        <v/>
      </c>
      <c r="AY90" s="25" t="str">
        <f t="shared" si="29"/>
        <v/>
      </c>
      <c r="AZ90" s="25" t="str">
        <f t="shared" si="30"/>
        <v/>
      </c>
      <c r="BA90" s="25">
        <f t="shared" si="31"/>
        <v>46293</v>
      </c>
      <c r="BB90" s="25" t="str">
        <f t="shared" si="32"/>
        <v/>
      </c>
      <c r="BC90" s="25">
        <f t="shared" si="33"/>
        <v>46293</v>
      </c>
    </row>
    <row r="91" spans="1:55" ht="15" customHeight="1" x14ac:dyDescent="0.25">
      <c r="A91" s="151">
        <f t="shared" si="17"/>
        <v>89</v>
      </c>
      <c r="B91" s="151" t="s">
        <v>195</v>
      </c>
      <c r="C91" s="152" t="s">
        <v>196</v>
      </c>
      <c r="D91" s="151">
        <f t="shared" si="18"/>
        <v>1</v>
      </c>
      <c r="E91" s="151" t="s">
        <v>61</v>
      </c>
      <c r="F91" s="173">
        <v>46291</v>
      </c>
      <c r="G91" s="173"/>
      <c r="H91" s="173"/>
      <c r="I91" s="173"/>
      <c r="J91" s="173"/>
      <c r="K91" s="173"/>
      <c r="L91" s="173"/>
      <c r="M91" s="173"/>
      <c r="N91" s="173"/>
      <c r="O91" s="173">
        <v>46291</v>
      </c>
      <c r="P91" s="173">
        <v>46295</v>
      </c>
      <c r="Q91" s="173"/>
      <c r="R91" s="173"/>
      <c r="S91" s="173"/>
      <c r="T91" s="174">
        <v>46295</v>
      </c>
      <c r="U91" s="151"/>
      <c r="V91" s="152"/>
      <c r="W91" s="175"/>
      <c r="X91" s="173"/>
      <c r="Y91" s="173"/>
      <c r="Z91" s="176" t="str">
        <f>IF(B91="","",IF(S91&lt;&gt;"","Sevk Edildi",IF(AND(X91&lt;&gt;"",Y91=""),"Reworkte",IF(T91&lt;&gt;"","Kapandı"&amp;IF(COUNT(G91:R91)=0,""," – "&amp;LOOKUP(2,1/(G91:R91=MAX(G91:R91)),{"Tasarım","Ply Cutter","Üretim","Kalite (Üretim sonrası)","Talaşlı","Kalite (Talaşlı sonrası)","Montaj","Kalite (Montaj sonrası)","Boya","Kalite (Boya sonrası)","Yarı Mamül","KM"})),IF(COUNT(G91:R91)=0,"Başlamadı",LOOKUP(2,1/(G91:R91=MAX(G91:R91)),{"Tasarımda","Ply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91" s="177">
        <f t="shared" ca="1" si="19"/>
        <v>4</v>
      </c>
      <c r="AB91" s="175"/>
      <c r="AD91" t="str">
        <f>IF(OR($B91="",NOT(ISNUMBER(G91))),"",IF(COUNTIF(H91:$T91,G91)&gt;0,0,IF(COUNTIF($G91:$T91,"&gt;"&amp;G91)=0,"",SMALL($G91:$T91,COUNTIF($G91:$T91,"&lt;="&amp;G91)+1)-G91)))</f>
        <v/>
      </c>
      <c r="AE91" t="str">
        <f>IF(OR($B91="",NOT(ISNUMBER(H91))),"",IF(COUNTIF(I91:$T91,H91)&gt;0,0,IF(COUNTIF($G91:$T91,"&gt;"&amp;H91)=0,"",SMALL($G91:$T91,COUNTIF($G91:$T91,"&lt;="&amp;H91)+1)-H91)))</f>
        <v/>
      </c>
      <c r="AF91" t="str">
        <f>IF(OR($B91="",NOT(ISNUMBER(I91))),"",IF(COUNTIF(J91:$T91,I91)&gt;0,0,IF(COUNTIF($G91:$T91,"&gt;"&amp;I91)=0,"",SMALL($G91:$T91,COUNTIF($G91:$T91,"&lt;="&amp;I91)+1)-I91)))</f>
        <v/>
      </c>
      <c r="AG91" t="str">
        <f>IF(OR($B91="",NOT(ISNUMBER(J91))),"",IF(COUNTIF(K91:$T91,J91)&gt;0,0,IF(COUNTIF($G91:$T91,"&gt;"&amp;J91)=0,"",SMALL($G91:$T91,COUNTIF($G91:$T91,"&lt;="&amp;J91)+1)-J91)))</f>
        <v/>
      </c>
      <c r="AH91" t="str">
        <f>IF(OR($B91="",NOT(ISNUMBER(K91))),"",IF(COUNTIF(L91:$T91,K91)&gt;0,0,IF(COUNTIF($G91:$T91,"&gt;"&amp;K91)=0,"",SMALL($G91:$T91,COUNTIF($G91:$T91,"&lt;="&amp;K91)+1)-K91)))</f>
        <v/>
      </c>
      <c r="AI91" t="str">
        <f>IF(OR($B91="",NOT(ISNUMBER(L91))),"",IF(COUNTIF(M91:$T91,L91)&gt;0,0,IF(COUNTIF($G91:$T91,"&gt;"&amp;L91)=0,"",SMALL($G91:$T91,COUNTIF($G91:$T91,"&lt;="&amp;L91)+1)-L91)))</f>
        <v/>
      </c>
      <c r="AJ91" t="str">
        <f>IF(OR($B91="",NOT(ISNUMBER(M91))),"",IF(COUNTIF(N91:$T91,M91)&gt;0,0,IF(COUNTIF($G91:$T91,"&gt;"&amp;M91)=0,"",SMALL($G91:$T91,COUNTIF($G91:$T91,"&lt;="&amp;M91)+1)-M91)))</f>
        <v/>
      </c>
      <c r="AK91" t="str">
        <f>IF(OR($B91="",NOT(ISNUMBER(N91))),"",IF(COUNTIF(O91:$T91,N91)&gt;0,0,IF(COUNTIF($G91:$T91,"&gt;"&amp;N91)=0,"",SMALL($G91:$T91,COUNTIF($G91:$T91,"&lt;="&amp;N91)+1)-N91)))</f>
        <v/>
      </c>
      <c r="AL91">
        <f>IF(OR($B91="",NOT(ISNUMBER(O91))),"",IF(COUNTIF(P91:$T91,O91)&gt;0,0,IF(COUNTIF($G91:$T91,"&gt;"&amp;O91)=0,"",SMALL($G91:$T91,COUNTIF($G91:$T91,"&lt;="&amp;O91)+1)-O91)))</f>
        <v>4</v>
      </c>
      <c r="AM91">
        <f>IF(OR($B91="",NOT(ISNUMBER(P91))),"",IF(COUNTIF(Q91:$T91,P91)&gt;0,0,IF(COUNTIF($G91:$T91,"&gt;"&amp;P91)=0,"",SMALL($G91:$T91,COUNTIF($G91:$T91,"&lt;="&amp;P91)+1)-P91)))</f>
        <v>0</v>
      </c>
      <c r="AN91" t="str">
        <f>IF(OR($B91="",NOT(ISNUMBER(Q91))),"",IF(COUNTIF(R91:$T91,Q91)&gt;0,0,IF(COUNTIF($G91:$T91,"&gt;"&amp;Q91)=0,"",SMALL($G91:$T91,COUNTIF($G91:$T91,"&lt;="&amp;Q91)+1)-Q91)))</f>
        <v/>
      </c>
      <c r="AO91" t="str">
        <f>IF(OR($B91="",NOT(ISNUMBER(R91))),"",IF(COUNTIF(S91:$T91,R91)&gt;0,0,IF(COUNTIF($G91:$T91,"&gt;"&amp;R91)=0,"",SMALL($G91:$T91,COUNTIF($G91:$T91,"&lt;="&amp;R91)+1)-R91)))</f>
        <v/>
      </c>
      <c r="AP91">
        <f t="shared" ca="1" si="20"/>
        <v>0</v>
      </c>
      <c r="AQ91" s="25" t="str">
        <f t="shared" si="21"/>
        <v/>
      </c>
      <c r="AR91" s="25" t="str">
        <f t="shared" si="22"/>
        <v/>
      </c>
      <c r="AS91" s="25" t="str">
        <f t="shared" si="23"/>
        <v/>
      </c>
      <c r="AT91" s="25" t="str">
        <f t="shared" si="24"/>
        <v/>
      </c>
      <c r="AU91" s="25" t="str">
        <f t="shared" si="25"/>
        <v/>
      </c>
      <c r="AV91" s="25" t="str">
        <f t="shared" si="26"/>
        <v/>
      </c>
      <c r="AW91" s="25" t="str">
        <f t="shared" si="27"/>
        <v/>
      </c>
      <c r="AX91" s="25" t="str">
        <f t="shared" si="28"/>
        <v/>
      </c>
      <c r="AY91" s="25">
        <f t="shared" si="29"/>
        <v>46295</v>
      </c>
      <c r="AZ91" s="25">
        <f t="shared" si="30"/>
        <v>46295</v>
      </c>
      <c r="BA91" s="25" t="str">
        <f t="shared" si="31"/>
        <v/>
      </c>
      <c r="BB91" s="25" t="str">
        <f t="shared" si="32"/>
        <v/>
      </c>
      <c r="BC91" s="25">
        <f t="shared" si="33"/>
        <v>46295</v>
      </c>
    </row>
    <row r="92" spans="1:55" ht="15" customHeight="1" x14ac:dyDescent="0.25">
      <c r="A92" s="151">
        <f t="shared" si="17"/>
        <v>90</v>
      </c>
      <c r="B92" s="151" t="s">
        <v>197</v>
      </c>
      <c r="C92" s="152" t="s">
        <v>72</v>
      </c>
      <c r="D92" s="151">
        <f t="shared" si="18"/>
        <v>1</v>
      </c>
      <c r="E92" s="151" t="s">
        <v>100</v>
      </c>
      <c r="F92" s="173">
        <v>46291</v>
      </c>
      <c r="G92" s="173"/>
      <c r="H92" s="173"/>
      <c r="I92" s="173">
        <v>46291</v>
      </c>
      <c r="J92" s="173">
        <v>46294</v>
      </c>
      <c r="K92" s="173"/>
      <c r="L92" s="173"/>
      <c r="M92" s="173"/>
      <c r="N92" s="173"/>
      <c r="O92" s="173"/>
      <c r="P92" s="173"/>
      <c r="Q92" s="173">
        <v>46295</v>
      </c>
      <c r="R92" s="173"/>
      <c r="S92" s="173"/>
      <c r="T92" s="174">
        <v>46295</v>
      </c>
      <c r="U92" s="151"/>
      <c r="V92" s="152"/>
      <c r="W92" s="175"/>
      <c r="X92" s="173"/>
      <c r="Y92" s="173"/>
      <c r="Z92" s="176" t="str">
        <f>IF(B92="","",IF(S92&lt;&gt;"","Sevk Edildi",IF(AND(X92&lt;&gt;"",Y92=""),"Reworkte",IF(T92&lt;&gt;"","Kapandı"&amp;IF(COUNT(G92:R92)=0,""," – "&amp;LOOKUP(2,1/(G92:R92=MAX(G92:R92)),{"Tasarım","Ply Cutter","Üretim","Kalite (Üretim sonrası)","Talaşlı","Kalite (Talaşlı sonrası)","Montaj","Kalite (Montaj sonrası)","Boya","Kalite (Boya sonrası)","Yarı Mamül","KM"})),IF(COUNT(G92:R92)=0,"Başlamadı",LOOKUP(2,1/(G92:R92=MAX(G92:R92)),{"Tasarımda","Ply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92" s="177">
        <f t="shared" ca="1" si="19"/>
        <v>4</v>
      </c>
      <c r="AB92" s="175"/>
      <c r="AD92" t="str">
        <f>IF(OR($B92="",NOT(ISNUMBER(G92))),"",IF(COUNTIF(H92:$T92,G92)&gt;0,0,IF(COUNTIF($G92:$T92,"&gt;"&amp;G92)=0,"",SMALL($G92:$T92,COUNTIF($G92:$T92,"&lt;="&amp;G92)+1)-G92)))</f>
        <v/>
      </c>
      <c r="AE92" t="str">
        <f>IF(OR($B92="",NOT(ISNUMBER(H92))),"",IF(COUNTIF(I92:$T92,H92)&gt;0,0,IF(COUNTIF($G92:$T92,"&gt;"&amp;H92)=0,"",SMALL($G92:$T92,COUNTIF($G92:$T92,"&lt;="&amp;H92)+1)-H92)))</f>
        <v/>
      </c>
      <c r="AF92">
        <f>IF(OR($B92="",NOT(ISNUMBER(I92))),"",IF(COUNTIF(J92:$T92,I92)&gt;0,0,IF(COUNTIF($G92:$T92,"&gt;"&amp;I92)=0,"",SMALL($G92:$T92,COUNTIF($G92:$T92,"&lt;="&amp;I92)+1)-I92)))</f>
        <v>3</v>
      </c>
      <c r="AG92">
        <f>IF(OR($B92="",NOT(ISNUMBER(J92))),"",IF(COUNTIF(K92:$T92,J92)&gt;0,0,IF(COUNTIF($G92:$T92,"&gt;"&amp;J92)=0,"",SMALL($G92:$T92,COUNTIF($G92:$T92,"&lt;="&amp;J92)+1)-J92)))</f>
        <v>1</v>
      </c>
      <c r="AH92" t="str">
        <f>IF(OR($B92="",NOT(ISNUMBER(K92))),"",IF(COUNTIF(L92:$T92,K92)&gt;0,0,IF(COUNTIF($G92:$T92,"&gt;"&amp;K92)=0,"",SMALL($G92:$T92,COUNTIF($G92:$T92,"&lt;="&amp;K92)+1)-K92)))</f>
        <v/>
      </c>
      <c r="AI92" t="str">
        <f>IF(OR($B92="",NOT(ISNUMBER(L92))),"",IF(COUNTIF(M92:$T92,L92)&gt;0,0,IF(COUNTIF($G92:$T92,"&gt;"&amp;L92)=0,"",SMALL($G92:$T92,COUNTIF($G92:$T92,"&lt;="&amp;L92)+1)-L92)))</f>
        <v/>
      </c>
      <c r="AJ92" t="str">
        <f>IF(OR($B92="",NOT(ISNUMBER(M92))),"",IF(COUNTIF(N92:$T92,M92)&gt;0,0,IF(COUNTIF($G92:$T92,"&gt;"&amp;M92)=0,"",SMALL($G92:$T92,COUNTIF($G92:$T92,"&lt;="&amp;M92)+1)-M92)))</f>
        <v/>
      </c>
      <c r="AK92" t="str">
        <f>IF(OR($B92="",NOT(ISNUMBER(N92))),"",IF(COUNTIF(O92:$T92,N92)&gt;0,0,IF(COUNTIF($G92:$T92,"&gt;"&amp;N92)=0,"",SMALL($G92:$T92,COUNTIF($G92:$T92,"&lt;="&amp;N92)+1)-N92)))</f>
        <v/>
      </c>
      <c r="AL92" t="str">
        <f>IF(OR($B92="",NOT(ISNUMBER(O92))),"",IF(COUNTIF(P92:$T92,O92)&gt;0,0,IF(COUNTIF($G92:$T92,"&gt;"&amp;O92)=0,"",SMALL($G92:$T92,COUNTIF($G92:$T92,"&lt;="&amp;O92)+1)-O92)))</f>
        <v/>
      </c>
      <c r="AM92" t="str">
        <f>IF(OR($B92="",NOT(ISNUMBER(P92))),"",IF(COUNTIF(Q92:$T92,P92)&gt;0,0,IF(COUNTIF($G92:$T92,"&gt;"&amp;P92)=0,"",SMALL($G92:$T92,COUNTIF($G92:$T92,"&lt;="&amp;P92)+1)-P92)))</f>
        <v/>
      </c>
      <c r="AN92">
        <f>IF(OR($B92="",NOT(ISNUMBER(Q92))),"",IF(COUNTIF(R92:$T92,Q92)&gt;0,0,IF(COUNTIF($G92:$T92,"&gt;"&amp;Q92)=0,"",SMALL($G92:$T92,COUNTIF($G92:$T92,"&lt;="&amp;Q92)+1)-Q92)))</f>
        <v>0</v>
      </c>
      <c r="AO92" t="str">
        <f>IF(OR($B92="",NOT(ISNUMBER(R92))),"",IF(COUNTIF(S92:$T92,R92)&gt;0,0,IF(COUNTIF($G92:$T92,"&gt;"&amp;R92)=0,"",SMALL($G92:$T92,COUNTIF($G92:$T92,"&lt;="&amp;R92)+1)-R92)))</f>
        <v/>
      </c>
      <c r="AP92">
        <f t="shared" ca="1" si="20"/>
        <v>0</v>
      </c>
      <c r="AQ92" s="25" t="str">
        <f t="shared" si="21"/>
        <v/>
      </c>
      <c r="AR92" s="25" t="str">
        <f t="shared" si="22"/>
        <v/>
      </c>
      <c r="AS92" s="25">
        <f t="shared" si="23"/>
        <v>46294</v>
      </c>
      <c r="AT92" s="25">
        <f t="shared" si="24"/>
        <v>46295</v>
      </c>
      <c r="AU92" s="25" t="str">
        <f t="shared" si="25"/>
        <v/>
      </c>
      <c r="AV92" s="25" t="str">
        <f t="shared" si="26"/>
        <v/>
      </c>
      <c r="AW92" s="25" t="str">
        <f t="shared" si="27"/>
        <v/>
      </c>
      <c r="AX92" s="25" t="str">
        <f t="shared" si="28"/>
        <v/>
      </c>
      <c r="AY92" s="25" t="str">
        <f t="shared" si="29"/>
        <v/>
      </c>
      <c r="AZ92" s="25" t="str">
        <f t="shared" si="30"/>
        <v/>
      </c>
      <c r="BA92" s="25">
        <f t="shared" si="31"/>
        <v>46295</v>
      </c>
      <c r="BB92" s="25" t="str">
        <f t="shared" si="32"/>
        <v/>
      </c>
      <c r="BC92" s="25">
        <f t="shared" si="33"/>
        <v>46295</v>
      </c>
    </row>
    <row r="93" spans="1:55" ht="15" customHeight="1" x14ac:dyDescent="0.25">
      <c r="A93" s="151">
        <f t="shared" si="17"/>
        <v>91</v>
      </c>
      <c r="B93" s="151" t="s">
        <v>198</v>
      </c>
      <c r="C93" s="152" t="s">
        <v>199</v>
      </c>
      <c r="D93" s="151">
        <f t="shared" si="18"/>
        <v>2</v>
      </c>
      <c r="E93" s="151" t="s">
        <v>100</v>
      </c>
      <c r="F93" s="173">
        <v>46291</v>
      </c>
      <c r="G93" s="173"/>
      <c r="H93" s="173">
        <v>46291</v>
      </c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4">
        <v>46291</v>
      </c>
      <c r="U93" s="151"/>
      <c r="V93" s="152"/>
      <c r="W93" s="175"/>
      <c r="X93" s="173"/>
      <c r="Y93" s="173"/>
      <c r="Z93" s="176" t="str">
        <f>IF(B93="","",IF(S93&lt;&gt;"","Sevk Edildi",IF(AND(X93&lt;&gt;"",Y93=""),"Reworkte",IF(T93&lt;&gt;"","Kapandı"&amp;IF(COUNT(G93:R93)=0,""," – "&amp;LOOKUP(2,1/(G93:R93=MAX(G93:R93)),{"Tasarım","Ply Cutter","Üretim","Kalite (Üretim sonrası)","Talaşlı","Kalite (Talaşlı sonrası)","Montaj","Kalite (Montaj sonrası)","Boya","Kalite (Boya sonrası)","Yarı Mamül","KM"})),IF(COUNT(G93:R93)=0,"Başlamadı",LOOKUP(2,1/(G93:R93=MAX(G93:R93)),{"Tasarımda","Ply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93" s="177">
        <f t="shared" ca="1" si="19"/>
        <v>0</v>
      </c>
      <c r="AB93" s="175"/>
      <c r="AD93" t="str">
        <f>IF(OR($B93="",NOT(ISNUMBER(G93))),"",IF(COUNTIF(H93:$T93,G93)&gt;0,0,IF(COUNTIF($G93:$T93,"&gt;"&amp;G93)=0,"",SMALL($G93:$T93,COUNTIF($G93:$T93,"&lt;="&amp;G93)+1)-G93)))</f>
        <v/>
      </c>
      <c r="AE93">
        <f>IF(OR($B93="",NOT(ISNUMBER(H93))),"",IF(COUNTIF(I93:$T93,H93)&gt;0,0,IF(COUNTIF($G93:$T93,"&gt;"&amp;H93)=0,"",SMALL($G93:$T93,COUNTIF($G93:$T93,"&lt;="&amp;H93)+1)-H93)))</f>
        <v>0</v>
      </c>
      <c r="AF93" t="str">
        <f>IF(OR($B93="",NOT(ISNUMBER(I93))),"",IF(COUNTIF(J93:$T93,I93)&gt;0,0,IF(COUNTIF($G93:$T93,"&gt;"&amp;I93)=0,"",SMALL($G93:$T93,COUNTIF($G93:$T93,"&lt;="&amp;I93)+1)-I93)))</f>
        <v/>
      </c>
      <c r="AG93" t="str">
        <f>IF(OR($B93="",NOT(ISNUMBER(J93))),"",IF(COUNTIF(K93:$T93,J93)&gt;0,0,IF(COUNTIF($G93:$T93,"&gt;"&amp;J93)=0,"",SMALL($G93:$T93,COUNTIF($G93:$T93,"&lt;="&amp;J93)+1)-J93)))</f>
        <v/>
      </c>
      <c r="AH93" t="str">
        <f>IF(OR($B93="",NOT(ISNUMBER(K93))),"",IF(COUNTIF(L93:$T93,K93)&gt;0,0,IF(COUNTIF($G93:$T93,"&gt;"&amp;K93)=0,"",SMALL($G93:$T93,COUNTIF($G93:$T93,"&lt;="&amp;K93)+1)-K93)))</f>
        <v/>
      </c>
      <c r="AI93" t="str">
        <f>IF(OR($B93="",NOT(ISNUMBER(L93))),"",IF(COUNTIF(M93:$T93,L93)&gt;0,0,IF(COUNTIF($G93:$T93,"&gt;"&amp;L93)=0,"",SMALL($G93:$T93,COUNTIF($G93:$T93,"&lt;="&amp;L93)+1)-L93)))</f>
        <v/>
      </c>
      <c r="AJ93" t="str">
        <f>IF(OR($B93="",NOT(ISNUMBER(M93))),"",IF(COUNTIF(N93:$T93,M93)&gt;0,0,IF(COUNTIF($G93:$T93,"&gt;"&amp;M93)=0,"",SMALL($G93:$T93,COUNTIF($G93:$T93,"&lt;="&amp;M93)+1)-M93)))</f>
        <v/>
      </c>
      <c r="AK93" t="str">
        <f>IF(OR($B93="",NOT(ISNUMBER(N93))),"",IF(COUNTIF(O93:$T93,N93)&gt;0,0,IF(COUNTIF($G93:$T93,"&gt;"&amp;N93)=0,"",SMALL($G93:$T93,COUNTIF($G93:$T93,"&lt;="&amp;N93)+1)-N93)))</f>
        <v/>
      </c>
      <c r="AL93" t="str">
        <f>IF(OR($B93="",NOT(ISNUMBER(O93))),"",IF(COUNTIF(P93:$T93,O93)&gt;0,0,IF(COUNTIF($G93:$T93,"&gt;"&amp;O93)=0,"",SMALL($G93:$T93,COUNTIF($G93:$T93,"&lt;="&amp;O93)+1)-O93)))</f>
        <v/>
      </c>
      <c r="AM93" t="str">
        <f>IF(OR($B93="",NOT(ISNUMBER(P93))),"",IF(COUNTIF(Q93:$T93,P93)&gt;0,0,IF(COUNTIF($G93:$T93,"&gt;"&amp;P93)=0,"",SMALL($G93:$T93,COUNTIF($G93:$T93,"&lt;="&amp;P93)+1)-P93)))</f>
        <v/>
      </c>
      <c r="AN93" t="str">
        <f>IF(OR($B93="",NOT(ISNUMBER(Q93))),"",IF(COUNTIF(R93:$T93,Q93)&gt;0,0,IF(COUNTIF($G93:$T93,"&gt;"&amp;Q93)=0,"",SMALL($G93:$T93,COUNTIF($G93:$T93,"&lt;="&amp;Q93)+1)-Q93)))</f>
        <v/>
      </c>
      <c r="AO93" t="str">
        <f>IF(OR($B93="",NOT(ISNUMBER(R93))),"",IF(COUNTIF(S93:$T93,R93)&gt;0,0,IF(COUNTIF($G93:$T93,"&gt;"&amp;R93)=0,"",SMALL($G93:$T93,COUNTIF($G93:$T93,"&lt;="&amp;R93)+1)-R93)))</f>
        <v/>
      </c>
      <c r="AP93">
        <f t="shared" ca="1" si="20"/>
        <v>0</v>
      </c>
      <c r="AQ93" s="25" t="str">
        <f t="shared" si="21"/>
        <v/>
      </c>
      <c r="AR93" s="25">
        <f t="shared" si="22"/>
        <v>46291</v>
      </c>
      <c r="AS93" s="25" t="str">
        <f t="shared" si="23"/>
        <v/>
      </c>
      <c r="AT93" s="25" t="str">
        <f t="shared" si="24"/>
        <v/>
      </c>
      <c r="AU93" s="25" t="str">
        <f t="shared" si="25"/>
        <v/>
      </c>
      <c r="AV93" s="25" t="str">
        <f t="shared" si="26"/>
        <v/>
      </c>
      <c r="AW93" s="25" t="str">
        <f t="shared" si="27"/>
        <v/>
      </c>
      <c r="AX93" s="25" t="str">
        <f t="shared" si="28"/>
        <v/>
      </c>
      <c r="AY93" s="25" t="str">
        <f t="shared" si="29"/>
        <v/>
      </c>
      <c r="AZ93" s="25" t="str">
        <f t="shared" si="30"/>
        <v/>
      </c>
      <c r="BA93" s="25" t="str">
        <f t="shared" si="31"/>
        <v/>
      </c>
      <c r="BB93" s="25" t="str">
        <f t="shared" si="32"/>
        <v/>
      </c>
      <c r="BC93" s="25">
        <f t="shared" si="33"/>
        <v>46291</v>
      </c>
    </row>
    <row r="94" spans="1:55" ht="15" customHeight="1" x14ac:dyDescent="0.25">
      <c r="A94" s="151">
        <f t="shared" si="17"/>
        <v>92</v>
      </c>
      <c r="B94" s="151" t="s">
        <v>200</v>
      </c>
      <c r="C94" s="152" t="s">
        <v>201</v>
      </c>
      <c r="D94" s="151">
        <f t="shared" si="18"/>
        <v>8</v>
      </c>
      <c r="E94" s="151" t="s">
        <v>100</v>
      </c>
      <c r="F94" s="173">
        <v>46291</v>
      </c>
      <c r="G94" s="173"/>
      <c r="H94" s="173">
        <v>46291</v>
      </c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4">
        <v>46291</v>
      </c>
      <c r="U94" s="151"/>
      <c r="V94" s="152"/>
      <c r="W94" s="175"/>
      <c r="X94" s="173"/>
      <c r="Y94" s="173"/>
      <c r="Z94" s="176" t="str">
        <f>IF(B94="","",IF(S94&lt;&gt;"","Sevk Edildi",IF(AND(X94&lt;&gt;"",Y94=""),"Reworkte",IF(T94&lt;&gt;"","Kapandı"&amp;IF(COUNT(G94:R94)=0,""," – "&amp;LOOKUP(2,1/(G94:R94=MAX(G94:R94)),{"Tasarım","Ply Cutter","Üretim","Kalite (Üretim sonrası)","Talaşlı","Kalite (Talaşlı sonrası)","Montaj","Kalite (Montaj sonrası)","Boya","Kalite (Boya sonrası)","Yarı Mamül","KM"})),IF(COUNT(G94:R94)=0,"Başlamadı",LOOKUP(2,1/(G94:R94=MAX(G94:R94)),{"Tasarımda","Ply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94" s="177">
        <f t="shared" ca="1" si="19"/>
        <v>0</v>
      </c>
      <c r="AB94" s="175"/>
      <c r="AD94" t="str">
        <f>IF(OR($B94="",NOT(ISNUMBER(G94))),"",IF(COUNTIF(H94:$T94,G94)&gt;0,0,IF(COUNTIF($G94:$T94,"&gt;"&amp;G94)=0,"",SMALL($G94:$T94,COUNTIF($G94:$T94,"&lt;="&amp;G94)+1)-G94)))</f>
        <v/>
      </c>
      <c r="AE94">
        <f>IF(OR($B94="",NOT(ISNUMBER(H94))),"",IF(COUNTIF(I94:$T94,H94)&gt;0,0,IF(COUNTIF($G94:$T94,"&gt;"&amp;H94)=0,"",SMALL($G94:$T94,COUNTIF($G94:$T94,"&lt;="&amp;H94)+1)-H94)))</f>
        <v>0</v>
      </c>
      <c r="AF94" t="str">
        <f>IF(OR($B94="",NOT(ISNUMBER(I94))),"",IF(COUNTIF(J94:$T94,I94)&gt;0,0,IF(COUNTIF($G94:$T94,"&gt;"&amp;I94)=0,"",SMALL($G94:$T94,COUNTIF($G94:$T94,"&lt;="&amp;I94)+1)-I94)))</f>
        <v/>
      </c>
      <c r="AG94" t="str">
        <f>IF(OR($B94="",NOT(ISNUMBER(J94))),"",IF(COUNTIF(K94:$T94,J94)&gt;0,0,IF(COUNTIF($G94:$T94,"&gt;"&amp;J94)=0,"",SMALL($G94:$T94,COUNTIF($G94:$T94,"&lt;="&amp;J94)+1)-J94)))</f>
        <v/>
      </c>
      <c r="AH94" t="str">
        <f>IF(OR($B94="",NOT(ISNUMBER(K94))),"",IF(COUNTIF(L94:$T94,K94)&gt;0,0,IF(COUNTIF($G94:$T94,"&gt;"&amp;K94)=0,"",SMALL($G94:$T94,COUNTIF($G94:$T94,"&lt;="&amp;K94)+1)-K94)))</f>
        <v/>
      </c>
      <c r="AI94" t="str">
        <f>IF(OR($B94="",NOT(ISNUMBER(L94))),"",IF(COUNTIF(M94:$T94,L94)&gt;0,0,IF(COUNTIF($G94:$T94,"&gt;"&amp;L94)=0,"",SMALL($G94:$T94,COUNTIF($G94:$T94,"&lt;="&amp;L94)+1)-L94)))</f>
        <v/>
      </c>
      <c r="AJ94" t="str">
        <f>IF(OR($B94="",NOT(ISNUMBER(M94))),"",IF(COUNTIF(N94:$T94,M94)&gt;0,0,IF(COUNTIF($G94:$T94,"&gt;"&amp;M94)=0,"",SMALL($G94:$T94,COUNTIF($G94:$T94,"&lt;="&amp;M94)+1)-M94)))</f>
        <v/>
      </c>
      <c r="AK94" t="str">
        <f>IF(OR($B94="",NOT(ISNUMBER(N94))),"",IF(COUNTIF(O94:$T94,N94)&gt;0,0,IF(COUNTIF($G94:$T94,"&gt;"&amp;N94)=0,"",SMALL($G94:$T94,COUNTIF($G94:$T94,"&lt;="&amp;N94)+1)-N94)))</f>
        <v/>
      </c>
      <c r="AL94" t="str">
        <f>IF(OR($B94="",NOT(ISNUMBER(O94))),"",IF(COUNTIF(P94:$T94,O94)&gt;0,0,IF(COUNTIF($G94:$T94,"&gt;"&amp;O94)=0,"",SMALL($G94:$T94,COUNTIF($G94:$T94,"&lt;="&amp;O94)+1)-O94)))</f>
        <v/>
      </c>
      <c r="AM94" t="str">
        <f>IF(OR($B94="",NOT(ISNUMBER(P94))),"",IF(COUNTIF(Q94:$T94,P94)&gt;0,0,IF(COUNTIF($G94:$T94,"&gt;"&amp;P94)=0,"",SMALL($G94:$T94,COUNTIF($G94:$T94,"&lt;="&amp;P94)+1)-P94)))</f>
        <v/>
      </c>
      <c r="AN94" t="str">
        <f>IF(OR($B94="",NOT(ISNUMBER(Q94))),"",IF(COUNTIF(R94:$T94,Q94)&gt;0,0,IF(COUNTIF($G94:$T94,"&gt;"&amp;Q94)=0,"",SMALL($G94:$T94,COUNTIF($G94:$T94,"&lt;="&amp;Q94)+1)-Q94)))</f>
        <v/>
      </c>
      <c r="AO94" t="str">
        <f>IF(OR($B94="",NOT(ISNUMBER(R94))),"",IF(COUNTIF(S94:$T94,R94)&gt;0,0,IF(COUNTIF($G94:$T94,"&gt;"&amp;R94)=0,"",SMALL($G94:$T94,COUNTIF($G94:$T94,"&lt;="&amp;R94)+1)-R94)))</f>
        <v/>
      </c>
      <c r="AP94">
        <f t="shared" ca="1" si="20"/>
        <v>0</v>
      </c>
      <c r="AQ94" s="25" t="str">
        <f t="shared" si="21"/>
        <v/>
      </c>
      <c r="AR94" s="25">
        <f t="shared" si="22"/>
        <v>46291</v>
      </c>
      <c r="AS94" s="25" t="str">
        <f t="shared" si="23"/>
        <v/>
      </c>
      <c r="AT94" s="25" t="str">
        <f t="shared" si="24"/>
        <v/>
      </c>
      <c r="AU94" s="25" t="str">
        <f t="shared" si="25"/>
        <v/>
      </c>
      <c r="AV94" s="25" t="str">
        <f t="shared" si="26"/>
        <v/>
      </c>
      <c r="AW94" s="25" t="str">
        <f t="shared" si="27"/>
        <v/>
      </c>
      <c r="AX94" s="25" t="str">
        <f t="shared" si="28"/>
        <v/>
      </c>
      <c r="AY94" s="25" t="str">
        <f t="shared" si="29"/>
        <v/>
      </c>
      <c r="AZ94" s="25" t="str">
        <f t="shared" si="30"/>
        <v/>
      </c>
      <c r="BA94" s="25" t="str">
        <f t="shared" si="31"/>
        <v/>
      </c>
      <c r="BB94" s="25" t="str">
        <f t="shared" si="32"/>
        <v/>
      </c>
      <c r="BC94" s="25">
        <f t="shared" si="33"/>
        <v>46291</v>
      </c>
    </row>
    <row r="95" spans="1:55" ht="15" customHeight="1" x14ac:dyDescent="0.25">
      <c r="A95" s="151">
        <f t="shared" si="17"/>
        <v>93</v>
      </c>
      <c r="B95" s="151" t="s">
        <v>202</v>
      </c>
      <c r="C95" s="152" t="s">
        <v>203</v>
      </c>
      <c r="D95" s="151">
        <f t="shared" si="18"/>
        <v>4</v>
      </c>
      <c r="E95" s="151" t="s">
        <v>100</v>
      </c>
      <c r="F95" s="173">
        <v>46291</v>
      </c>
      <c r="G95" s="173"/>
      <c r="H95" s="173"/>
      <c r="I95" s="173"/>
      <c r="J95" s="173"/>
      <c r="K95" s="173"/>
      <c r="L95" s="173"/>
      <c r="M95" s="173"/>
      <c r="N95" s="173"/>
      <c r="O95" s="173">
        <v>46293</v>
      </c>
      <c r="P95" s="173"/>
      <c r="Q95" s="173"/>
      <c r="R95" s="173"/>
      <c r="S95" s="173"/>
      <c r="T95" s="151"/>
      <c r="U95" s="151"/>
      <c r="V95" s="152"/>
      <c r="W95" s="175"/>
      <c r="X95" s="173"/>
      <c r="Y95" s="173"/>
      <c r="Z95" s="176" t="str">
        <f>IF(B95="","",IF(S95&lt;&gt;"","Sevk Edildi",IF(AND(X95&lt;&gt;"",Y95=""),"Reworkte",IF(T95&lt;&gt;"","Kapandı"&amp;IF(COUNT(G95:R95)=0,""," – "&amp;LOOKUP(2,1/(G95:R95=MAX(G95:R95)),{"Tasarım","Ply Cutter","Üretim","Kalite (Üretim sonrası)","Talaşlı","Kalite (Talaşlı sonrası)","Montaj","Kalite (Montaj sonrası)","Boya","Kalite (Boya sonrası)","Yarı Mamül","KM"})),IF(COUNT(G95:R95)=0,"Başlamadı",LOOKUP(2,1/(G95:R95=MAX(G95:R95)),{"Tasarımda","Ply Cutter'da","Üretimde","Kalitede (Üretim sonrası)","Talaşlıda","Kalitede (Talaşlı sonrası)","Montajda","Kalitede (Montaj sonrası)","Boyada","Kalitede (Boya sonrası)","Yarı Mamülde","KM'de"}))))))</f>
        <v>Boyada</v>
      </c>
      <c r="AA95" s="177">
        <f t="shared" ca="1" si="19"/>
        <v>16</v>
      </c>
      <c r="AB95" s="175"/>
      <c r="AD95" t="str">
        <f>IF(OR($B95="",NOT(ISNUMBER(G95))),"",IF(COUNTIF(H95:$T95,G95)&gt;0,0,IF(COUNTIF($G95:$T95,"&gt;"&amp;G95)=0,"",SMALL($G95:$T95,COUNTIF($G95:$T95,"&lt;="&amp;G95)+1)-G95)))</f>
        <v/>
      </c>
      <c r="AE95" t="str">
        <f>IF(OR($B95="",NOT(ISNUMBER(H95))),"",IF(COUNTIF(I95:$T95,H95)&gt;0,0,IF(COUNTIF($G95:$T95,"&gt;"&amp;H95)=0,"",SMALL($G95:$T95,COUNTIF($G95:$T95,"&lt;="&amp;H95)+1)-H95)))</f>
        <v/>
      </c>
      <c r="AF95" t="str">
        <f>IF(OR($B95="",NOT(ISNUMBER(I95))),"",IF(COUNTIF(J95:$T95,I95)&gt;0,0,IF(COUNTIF($G95:$T95,"&gt;"&amp;I95)=0,"",SMALL($G95:$T95,COUNTIF($G95:$T95,"&lt;="&amp;I95)+1)-I95)))</f>
        <v/>
      </c>
      <c r="AG95" t="str">
        <f>IF(OR($B95="",NOT(ISNUMBER(J95))),"",IF(COUNTIF(K95:$T95,J95)&gt;0,0,IF(COUNTIF($G95:$T95,"&gt;"&amp;J95)=0,"",SMALL($G95:$T95,COUNTIF($G95:$T95,"&lt;="&amp;J95)+1)-J95)))</f>
        <v/>
      </c>
      <c r="AH95" t="str">
        <f>IF(OR($B95="",NOT(ISNUMBER(K95))),"",IF(COUNTIF(L95:$T95,K95)&gt;0,0,IF(COUNTIF($G95:$T95,"&gt;"&amp;K95)=0,"",SMALL($G95:$T95,COUNTIF($G95:$T95,"&lt;="&amp;K95)+1)-K95)))</f>
        <v/>
      </c>
      <c r="AI95" t="str">
        <f>IF(OR($B95="",NOT(ISNUMBER(L95))),"",IF(COUNTIF(M95:$T95,L95)&gt;0,0,IF(COUNTIF($G95:$T95,"&gt;"&amp;L95)=0,"",SMALL($G95:$T95,COUNTIF($G95:$T95,"&lt;="&amp;L95)+1)-L95)))</f>
        <v/>
      </c>
      <c r="AJ95" t="str">
        <f>IF(OR($B95="",NOT(ISNUMBER(M95))),"",IF(COUNTIF(N95:$T95,M95)&gt;0,0,IF(COUNTIF($G95:$T95,"&gt;"&amp;M95)=0,"",SMALL($G95:$T95,COUNTIF($G95:$T95,"&lt;="&amp;M95)+1)-M95)))</f>
        <v/>
      </c>
      <c r="AK95" t="str">
        <f>IF(OR($B95="",NOT(ISNUMBER(N95))),"",IF(COUNTIF(O95:$T95,N95)&gt;0,0,IF(COUNTIF($G95:$T95,"&gt;"&amp;N95)=0,"",SMALL($G95:$T95,COUNTIF($G95:$T95,"&lt;="&amp;N95)+1)-N95)))</f>
        <v/>
      </c>
      <c r="AL95" t="str">
        <f>IF(OR($B95="",NOT(ISNUMBER(O95))),"",IF(COUNTIF(P95:$T95,O95)&gt;0,0,IF(COUNTIF($G95:$T95,"&gt;"&amp;O95)=0,"",SMALL($G95:$T95,COUNTIF($G95:$T95,"&lt;="&amp;O95)+1)-O95)))</f>
        <v/>
      </c>
      <c r="AM95" t="str">
        <f>IF(OR($B95="",NOT(ISNUMBER(P95))),"",IF(COUNTIF(Q95:$T95,P95)&gt;0,0,IF(COUNTIF($G95:$T95,"&gt;"&amp;P95)=0,"",SMALL($G95:$T95,COUNTIF($G95:$T95,"&lt;="&amp;P95)+1)-P95)))</f>
        <v/>
      </c>
      <c r="AN95" t="str">
        <f>IF(OR($B95="",NOT(ISNUMBER(Q95))),"",IF(COUNTIF(R95:$T95,Q95)&gt;0,0,IF(COUNTIF($G95:$T95,"&gt;"&amp;Q95)=0,"",SMALL($G95:$T95,COUNTIF($G95:$T95,"&lt;="&amp;Q95)+1)-Q95)))</f>
        <v/>
      </c>
      <c r="AO95" t="str">
        <f>IF(OR($B95="",NOT(ISNUMBER(R95))),"",IF(COUNTIF(S95:$T95,R95)&gt;0,0,IF(COUNTIF($G95:$T95,"&gt;"&amp;R95)=0,"",SMALL($G95:$T95,COUNTIF($G95:$T95,"&lt;="&amp;R95)+1)-R95)))</f>
        <v/>
      </c>
      <c r="AP95">
        <f t="shared" ca="1" si="20"/>
        <v>14</v>
      </c>
      <c r="AQ95" s="25" t="str">
        <f t="shared" si="21"/>
        <v/>
      </c>
      <c r="AR95" s="25" t="str">
        <f t="shared" si="22"/>
        <v/>
      </c>
      <c r="AS95" s="25" t="str">
        <f t="shared" si="23"/>
        <v/>
      </c>
      <c r="AT95" s="25" t="str">
        <f t="shared" si="24"/>
        <v/>
      </c>
      <c r="AU95" s="25" t="str">
        <f t="shared" si="25"/>
        <v/>
      </c>
      <c r="AV95" s="25" t="str">
        <f t="shared" si="26"/>
        <v/>
      </c>
      <c r="AW95" s="25" t="str">
        <f t="shared" si="27"/>
        <v/>
      </c>
      <c r="AX95" s="25" t="str">
        <f t="shared" si="28"/>
        <v/>
      </c>
      <c r="AY95" s="25" t="str">
        <f t="shared" si="29"/>
        <v/>
      </c>
      <c r="AZ95" s="25" t="str">
        <f t="shared" si="30"/>
        <v/>
      </c>
      <c r="BA95" s="25" t="str">
        <f t="shared" si="31"/>
        <v/>
      </c>
      <c r="BB95" s="25" t="str">
        <f t="shared" si="32"/>
        <v/>
      </c>
      <c r="BC95" s="25" t="str">
        <f t="shared" si="33"/>
        <v/>
      </c>
    </row>
    <row r="96" spans="1:55" ht="15" customHeight="1" x14ac:dyDescent="0.25">
      <c r="A96" s="151">
        <f t="shared" si="17"/>
        <v>94</v>
      </c>
      <c r="B96" s="151" t="s">
        <v>204</v>
      </c>
      <c r="C96" s="152" t="s">
        <v>205</v>
      </c>
      <c r="D96" s="151">
        <f t="shared" si="18"/>
        <v>1</v>
      </c>
      <c r="E96" s="151" t="s">
        <v>100</v>
      </c>
      <c r="F96" s="173">
        <v>46291</v>
      </c>
      <c r="G96" s="173"/>
      <c r="H96" s="173"/>
      <c r="I96" s="173"/>
      <c r="J96" s="173"/>
      <c r="K96" s="173">
        <v>46293</v>
      </c>
      <c r="L96" s="173">
        <v>46305</v>
      </c>
      <c r="M96" s="173"/>
      <c r="N96" s="173"/>
      <c r="O96" s="173"/>
      <c r="P96" s="173"/>
      <c r="Q96" s="173"/>
      <c r="R96" s="173"/>
      <c r="S96" s="173"/>
      <c r="T96" s="174"/>
      <c r="U96" s="151"/>
      <c r="V96" s="152"/>
      <c r="W96" s="175"/>
      <c r="X96" s="173"/>
      <c r="Y96" s="173"/>
      <c r="Z96" s="176" t="str">
        <f>IF(B96="","",IF(S96&lt;&gt;"","Sevk Edildi",IF(AND(X96&lt;&gt;"",Y96=""),"Reworkte",IF(T96&lt;&gt;"","Kapandı"&amp;IF(COUNT(G96:R96)=0,""," – "&amp;LOOKUP(2,1/(G96:R96=MAX(G96:R96)),{"Tasarım","Ply Cutter","Üretim","Kalite (Üretim sonrası)","Talaşlı","Kalite (Talaşlı sonrası)","Montaj","Kalite (Montaj sonrası)","Boya","Kalite (Boya sonrası)","Yarı Mamül","KM"})),IF(COUNT(G96:R96)=0,"Başlamadı",LOOKUP(2,1/(G96:R96=MAX(G96:R96)),{"Tasarımda","Ply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96" s="177">
        <f t="shared" ca="1" si="19"/>
        <v>16</v>
      </c>
      <c r="AB96" s="175"/>
      <c r="AD96" t="str">
        <f>IF(OR($B96="",NOT(ISNUMBER(G96))),"",IF(COUNTIF(H96:$T96,G96)&gt;0,0,IF(COUNTIF($G96:$T96,"&gt;"&amp;G96)=0,"",SMALL($G96:$T96,COUNTIF($G96:$T96,"&lt;="&amp;G96)+1)-G96)))</f>
        <v/>
      </c>
      <c r="AE96" t="str">
        <f>IF(OR($B96="",NOT(ISNUMBER(H96))),"",IF(COUNTIF(I96:$T96,H96)&gt;0,0,IF(COUNTIF($G96:$T96,"&gt;"&amp;H96)=0,"",SMALL($G96:$T96,COUNTIF($G96:$T96,"&lt;="&amp;H96)+1)-H96)))</f>
        <v/>
      </c>
      <c r="AF96" t="str">
        <f>IF(OR($B96="",NOT(ISNUMBER(I96))),"",IF(COUNTIF(J96:$T96,I96)&gt;0,0,IF(COUNTIF($G96:$T96,"&gt;"&amp;I96)=0,"",SMALL($G96:$T96,COUNTIF($G96:$T96,"&lt;="&amp;I96)+1)-I96)))</f>
        <v/>
      </c>
      <c r="AG96" t="str">
        <f>IF(OR($B96="",NOT(ISNUMBER(J96))),"",IF(COUNTIF(K96:$T96,J96)&gt;0,0,IF(COUNTIF($G96:$T96,"&gt;"&amp;J96)=0,"",SMALL($G96:$T96,COUNTIF($G96:$T96,"&lt;="&amp;J96)+1)-J96)))</f>
        <v/>
      </c>
      <c r="AH96">
        <f>IF(OR($B96="",NOT(ISNUMBER(K96))),"",IF(COUNTIF(L96:$T96,K96)&gt;0,0,IF(COUNTIF($G96:$T96,"&gt;"&amp;K96)=0,"",SMALL($G96:$T96,COUNTIF($G96:$T96,"&lt;="&amp;K96)+1)-K96)))</f>
        <v>12</v>
      </c>
      <c r="AI96" t="str">
        <f>IF(OR($B96="",NOT(ISNUMBER(L96))),"",IF(COUNTIF(M96:$T96,L96)&gt;0,0,IF(COUNTIF($G96:$T96,"&gt;"&amp;L96)=0,"",SMALL($G96:$T96,COUNTIF($G96:$T96,"&lt;="&amp;L96)+1)-L96)))</f>
        <v/>
      </c>
      <c r="AJ96" t="str">
        <f>IF(OR($B96="",NOT(ISNUMBER(M96))),"",IF(COUNTIF(N96:$T96,M96)&gt;0,0,IF(COUNTIF($G96:$T96,"&gt;"&amp;M96)=0,"",SMALL($G96:$T96,COUNTIF($G96:$T96,"&lt;="&amp;M96)+1)-M96)))</f>
        <v/>
      </c>
      <c r="AK96" t="str">
        <f>IF(OR($B96="",NOT(ISNUMBER(N96))),"",IF(COUNTIF(O96:$T96,N96)&gt;0,0,IF(COUNTIF($G96:$T96,"&gt;"&amp;N96)=0,"",SMALL($G96:$T96,COUNTIF($G96:$T96,"&lt;="&amp;N96)+1)-N96)))</f>
        <v/>
      </c>
      <c r="AL96" t="str">
        <f>IF(OR($B96="",NOT(ISNUMBER(O96))),"",IF(COUNTIF(P96:$T96,O96)&gt;0,0,IF(COUNTIF($G96:$T96,"&gt;"&amp;O96)=0,"",SMALL($G96:$T96,COUNTIF($G96:$T96,"&lt;="&amp;O96)+1)-O96)))</f>
        <v/>
      </c>
      <c r="AM96" t="str">
        <f>IF(OR($B96="",NOT(ISNUMBER(P96))),"",IF(COUNTIF(Q96:$T96,P96)&gt;0,0,IF(COUNTIF($G96:$T96,"&gt;"&amp;P96)=0,"",SMALL($G96:$T96,COUNTIF($G96:$T96,"&lt;="&amp;P96)+1)-P96)))</f>
        <v/>
      </c>
      <c r="AN96" t="str">
        <f>IF(OR($B96="",NOT(ISNUMBER(Q96))),"",IF(COUNTIF(R96:$T96,Q96)&gt;0,0,IF(COUNTIF($G96:$T96,"&gt;"&amp;Q96)=0,"",SMALL($G96:$T96,COUNTIF($G96:$T96,"&lt;="&amp;Q96)+1)-Q96)))</f>
        <v/>
      </c>
      <c r="AO96" t="str">
        <f>IF(OR($B96="",NOT(ISNUMBER(R96))),"",IF(COUNTIF(S96:$T96,R96)&gt;0,0,IF(COUNTIF($G96:$T96,"&gt;"&amp;R96)=0,"",SMALL($G96:$T96,COUNTIF($G96:$T96,"&lt;="&amp;R96)+1)-R96)))</f>
        <v/>
      </c>
      <c r="AP96">
        <f t="shared" ca="1" si="20"/>
        <v>2</v>
      </c>
      <c r="AQ96" s="25" t="str">
        <f t="shared" si="21"/>
        <v/>
      </c>
      <c r="AR96" s="25" t="str">
        <f t="shared" si="22"/>
        <v/>
      </c>
      <c r="AS96" s="25" t="str">
        <f t="shared" si="23"/>
        <v/>
      </c>
      <c r="AT96" s="25" t="str">
        <f t="shared" si="24"/>
        <v/>
      </c>
      <c r="AU96" s="25">
        <f t="shared" si="25"/>
        <v>46305</v>
      </c>
      <c r="AV96" s="25" t="str">
        <f t="shared" si="26"/>
        <v/>
      </c>
      <c r="AW96" s="25" t="str">
        <f t="shared" si="27"/>
        <v/>
      </c>
      <c r="AX96" s="25" t="str">
        <f t="shared" si="28"/>
        <v/>
      </c>
      <c r="AY96" s="25" t="str">
        <f t="shared" si="29"/>
        <v/>
      </c>
      <c r="AZ96" s="25" t="str">
        <f t="shared" si="30"/>
        <v/>
      </c>
      <c r="BA96" s="25" t="str">
        <f t="shared" si="31"/>
        <v/>
      </c>
      <c r="BB96" s="25" t="str">
        <f t="shared" si="32"/>
        <v/>
      </c>
      <c r="BC96" s="25" t="str">
        <f t="shared" si="33"/>
        <v/>
      </c>
    </row>
    <row r="97" spans="1:55" ht="15" customHeight="1" x14ac:dyDescent="0.25">
      <c r="A97" s="151">
        <f t="shared" si="17"/>
        <v>95</v>
      </c>
      <c r="B97" s="151" t="s">
        <v>206</v>
      </c>
      <c r="C97" s="152" t="s">
        <v>205</v>
      </c>
      <c r="D97" s="151">
        <f t="shared" si="18"/>
        <v>1</v>
      </c>
      <c r="E97" s="151" t="s">
        <v>100</v>
      </c>
      <c r="F97" s="173">
        <v>46291</v>
      </c>
      <c r="G97" s="173"/>
      <c r="H97" s="173"/>
      <c r="I97" s="173"/>
      <c r="J97" s="173"/>
      <c r="K97" s="173">
        <v>46293</v>
      </c>
      <c r="L97" s="173">
        <v>46305</v>
      </c>
      <c r="M97" s="173"/>
      <c r="N97" s="173"/>
      <c r="O97" s="173"/>
      <c r="P97" s="173"/>
      <c r="Q97" s="173"/>
      <c r="R97" s="173"/>
      <c r="S97" s="173"/>
      <c r="T97" s="174"/>
      <c r="U97" s="151"/>
      <c r="V97" s="152"/>
      <c r="W97" s="175"/>
      <c r="X97" s="173"/>
      <c r="Y97" s="173"/>
      <c r="Z97" s="176" t="str">
        <f>IF(B97="","",IF(S97&lt;&gt;"","Sevk Edildi",IF(AND(X97&lt;&gt;"",Y97=""),"Reworkte",IF(T97&lt;&gt;"","Kapandı"&amp;IF(COUNT(G97:R97)=0,""," – "&amp;LOOKUP(2,1/(G97:R97=MAX(G97:R97)),{"Tasarım","Ply Cutter","Üretim","Kalite (Üretim sonrası)","Talaşlı","Kalite (Talaşlı sonrası)","Montaj","Kalite (Montaj sonrası)","Boya","Kalite (Boya sonrası)","Yarı Mamül","KM"})),IF(COUNT(G97:R97)=0,"Başlamadı",LOOKUP(2,1/(G97:R97=MAX(G97:R97)),{"Tasarımda","Ply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97" s="177">
        <f t="shared" ca="1" si="19"/>
        <v>16</v>
      </c>
      <c r="AB97" s="175"/>
      <c r="AD97" t="str">
        <f>IF(OR($B97="",NOT(ISNUMBER(G97))),"",IF(COUNTIF(H97:$T97,G97)&gt;0,0,IF(COUNTIF($G97:$T97,"&gt;"&amp;G97)=0,"",SMALL($G97:$T97,COUNTIF($G97:$T97,"&lt;="&amp;G97)+1)-G97)))</f>
        <v/>
      </c>
      <c r="AE97" t="str">
        <f>IF(OR($B97="",NOT(ISNUMBER(H97))),"",IF(COUNTIF(I97:$T97,H97)&gt;0,0,IF(COUNTIF($G97:$T97,"&gt;"&amp;H97)=0,"",SMALL($G97:$T97,COUNTIF($G97:$T97,"&lt;="&amp;H97)+1)-H97)))</f>
        <v/>
      </c>
      <c r="AF97" t="str">
        <f>IF(OR($B97="",NOT(ISNUMBER(I97))),"",IF(COUNTIF(J97:$T97,I97)&gt;0,0,IF(COUNTIF($G97:$T97,"&gt;"&amp;I97)=0,"",SMALL($G97:$T97,COUNTIF($G97:$T97,"&lt;="&amp;I97)+1)-I97)))</f>
        <v/>
      </c>
      <c r="AG97" t="str">
        <f>IF(OR($B97="",NOT(ISNUMBER(J97))),"",IF(COUNTIF(K97:$T97,J97)&gt;0,0,IF(COUNTIF($G97:$T97,"&gt;"&amp;J97)=0,"",SMALL($G97:$T97,COUNTIF($G97:$T97,"&lt;="&amp;J97)+1)-J97)))</f>
        <v/>
      </c>
      <c r="AH97">
        <f>IF(OR($B97="",NOT(ISNUMBER(K97))),"",IF(COUNTIF(L97:$T97,K97)&gt;0,0,IF(COUNTIF($G97:$T97,"&gt;"&amp;K97)=0,"",SMALL($G97:$T97,COUNTIF($G97:$T97,"&lt;="&amp;K97)+1)-K97)))</f>
        <v>12</v>
      </c>
      <c r="AI97" t="str">
        <f>IF(OR($B97="",NOT(ISNUMBER(L97))),"",IF(COUNTIF(M97:$T97,L97)&gt;0,0,IF(COUNTIF($G97:$T97,"&gt;"&amp;L97)=0,"",SMALL($G97:$T97,COUNTIF($G97:$T97,"&lt;="&amp;L97)+1)-L97)))</f>
        <v/>
      </c>
      <c r="AJ97" t="str">
        <f>IF(OR($B97="",NOT(ISNUMBER(M97))),"",IF(COUNTIF(N97:$T97,M97)&gt;0,0,IF(COUNTIF($G97:$T97,"&gt;"&amp;M97)=0,"",SMALL($G97:$T97,COUNTIF($G97:$T97,"&lt;="&amp;M97)+1)-M97)))</f>
        <v/>
      </c>
      <c r="AK97" t="str">
        <f>IF(OR($B97="",NOT(ISNUMBER(N97))),"",IF(COUNTIF(O97:$T97,N97)&gt;0,0,IF(COUNTIF($G97:$T97,"&gt;"&amp;N97)=0,"",SMALL($G97:$T97,COUNTIF($G97:$T97,"&lt;="&amp;N97)+1)-N97)))</f>
        <v/>
      </c>
      <c r="AL97" t="str">
        <f>IF(OR($B97="",NOT(ISNUMBER(O97))),"",IF(COUNTIF(P97:$T97,O97)&gt;0,0,IF(COUNTIF($G97:$T97,"&gt;"&amp;O97)=0,"",SMALL($G97:$T97,COUNTIF($G97:$T97,"&lt;="&amp;O97)+1)-O97)))</f>
        <v/>
      </c>
      <c r="AM97" t="str">
        <f>IF(OR($B97="",NOT(ISNUMBER(P97))),"",IF(COUNTIF(Q97:$T97,P97)&gt;0,0,IF(COUNTIF($G97:$T97,"&gt;"&amp;P97)=0,"",SMALL($G97:$T97,COUNTIF($G97:$T97,"&lt;="&amp;P97)+1)-P97)))</f>
        <v/>
      </c>
      <c r="AN97" t="str">
        <f>IF(OR($B97="",NOT(ISNUMBER(Q97))),"",IF(COUNTIF(R97:$T97,Q97)&gt;0,0,IF(COUNTIF($G97:$T97,"&gt;"&amp;Q97)=0,"",SMALL($G97:$T97,COUNTIF($G97:$T97,"&lt;="&amp;Q97)+1)-Q97)))</f>
        <v/>
      </c>
      <c r="AO97" t="str">
        <f>IF(OR($B97="",NOT(ISNUMBER(R97))),"",IF(COUNTIF(S97:$T97,R97)&gt;0,0,IF(COUNTIF($G97:$T97,"&gt;"&amp;R97)=0,"",SMALL($G97:$T97,COUNTIF($G97:$T97,"&lt;="&amp;R97)+1)-R97)))</f>
        <v/>
      </c>
      <c r="AP97">
        <f t="shared" ca="1" si="20"/>
        <v>2</v>
      </c>
      <c r="AQ97" s="25" t="str">
        <f t="shared" si="21"/>
        <v/>
      </c>
      <c r="AR97" s="25" t="str">
        <f t="shared" si="22"/>
        <v/>
      </c>
      <c r="AS97" s="25" t="str">
        <f t="shared" si="23"/>
        <v/>
      </c>
      <c r="AT97" s="25" t="str">
        <f t="shared" si="24"/>
        <v/>
      </c>
      <c r="AU97" s="25">
        <f t="shared" si="25"/>
        <v>46305</v>
      </c>
      <c r="AV97" s="25" t="str">
        <f t="shared" si="26"/>
        <v/>
      </c>
      <c r="AW97" s="25" t="str">
        <f t="shared" si="27"/>
        <v/>
      </c>
      <c r="AX97" s="25" t="str">
        <f t="shared" si="28"/>
        <v/>
      </c>
      <c r="AY97" s="25" t="str">
        <f t="shared" si="29"/>
        <v/>
      </c>
      <c r="AZ97" s="25" t="str">
        <f t="shared" si="30"/>
        <v/>
      </c>
      <c r="BA97" s="25" t="str">
        <f t="shared" si="31"/>
        <v/>
      </c>
      <c r="BB97" s="25" t="str">
        <f t="shared" si="32"/>
        <v/>
      </c>
      <c r="BC97" s="25" t="str">
        <f t="shared" si="33"/>
        <v/>
      </c>
    </row>
    <row r="98" spans="1:55" ht="15" customHeight="1" x14ac:dyDescent="0.25">
      <c r="A98" s="151">
        <f t="shared" si="17"/>
        <v>96</v>
      </c>
      <c r="B98" s="151" t="s">
        <v>207</v>
      </c>
      <c r="C98" s="152" t="s">
        <v>205</v>
      </c>
      <c r="D98" s="151">
        <f t="shared" si="18"/>
        <v>1</v>
      </c>
      <c r="E98" s="151" t="s">
        <v>100</v>
      </c>
      <c r="F98" s="173">
        <v>46291</v>
      </c>
      <c r="G98" s="173"/>
      <c r="H98" s="173"/>
      <c r="I98" s="173"/>
      <c r="J98" s="173"/>
      <c r="K98" s="173">
        <v>46293</v>
      </c>
      <c r="L98" s="173">
        <v>46305</v>
      </c>
      <c r="M98" s="173"/>
      <c r="N98" s="173"/>
      <c r="O98" s="173"/>
      <c r="P98" s="173"/>
      <c r="Q98" s="173"/>
      <c r="R98" s="173"/>
      <c r="S98" s="173"/>
      <c r="T98" s="174"/>
      <c r="U98" s="151"/>
      <c r="V98" s="152"/>
      <c r="W98" s="175"/>
      <c r="X98" s="173"/>
      <c r="Y98" s="173"/>
      <c r="Z98" s="176" t="str">
        <f>IF(B98="","",IF(S98&lt;&gt;"","Sevk Edildi",IF(AND(X98&lt;&gt;"",Y98=""),"Reworkte",IF(T98&lt;&gt;"","Kapandı"&amp;IF(COUNT(G98:R98)=0,""," – "&amp;LOOKUP(2,1/(G98:R98=MAX(G98:R98)),{"Tasarım","Ply Cutter","Üretim","Kalite (Üretim sonrası)","Talaşlı","Kalite (Talaşlı sonrası)","Montaj","Kalite (Montaj sonrası)","Boya","Kalite (Boya sonrası)","Yarı Mamül","KM"})),IF(COUNT(G98:R98)=0,"Başlamadı",LOOKUP(2,1/(G98:R98=MAX(G98:R98)),{"Tasarımda","Ply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98" s="177">
        <f t="shared" ca="1" si="19"/>
        <v>16</v>
      </c>
      <c r="AB98" s="175"/>
      <c r="AD98" t="str">
        <f>IF(OR($B98="",NOT(ISNUMBER(G98))),"",IF(COUNTIF(H98:$T98,G98)&gt;0,0,IF(COUNTIF($G98:$T98,"&gt;"&amp;G98)=0,"",SMALL($G98:$T98,COUNTIF($G98:$T98,"&lt;="&amp;G98)+1)-G98)))</f>
        <v/>
      </c>
      <c r="AE98" t="str">
        <f>IF(OR($B98="",NOT(ISNUMBER(H98))),"",IF(COUNTIF(I98:$T98,H98)&gt;0,0,IF(COUNTIF($G98:$T98,"&gt;"&amp;H98)=0,"",SMALL($G98:$T98,COUNTIF($G98:$T98,"&lt;="&amp;H98)+1)-H98)))</f>
        <v/>
      </c>
      <c r="AF98" t="str">
        <f>IF(OR($B98="",NOT(ISNUMBER(I98))),"",IF(COUNTIF(J98:$T98,I98)&gt;0,0,IF(COUNTIF($G98:$T98,"&gt;"&amp;I98)=0,"",SMALL($G98:$T98,COUNTIF($G98:$T98,"&lt;="&amp;I98)+1)-I98)))</f>
        <v/>
      </c>
      <c r="AG98" t="str">
        <f>IF(OR($B98="",NOT(ISNUMBER(J98))),"",IF(COUNTIF(K98:$T98,J98)&gt;0,0,IF(COUNTIF($G98:$T98,"&gt;"&amp;J98)=0,"",SMALL($G98:$T98,COUNTIF($G98:$T98,"&lt;="&amp;J98)+1)-J98)))</f>
        <v/>
      </c>
      <c r="AH98">
        <f>IF(OR($B98="",NOT(ISNUMBER(K98))),"",IF(COUNTIF(L98:$T98,K98)&gt;0,0,IF(COUNTIF($G98:$T98,"&gt;"&amp;K98)=0,"",SMALL($G98:$T98,COUNTIF($G98:$T98,"&lt;="&amp;K98)+1)-K98)))</f>
        <v>12</v>
      </c>
      <c r="AI98" t="str">
        <f>IF(OR($B98="",NOT(ISNUMBER(L98))),"",IF(COUNTIF(M98:$T98,L98)&gt;0,0,IF(COUNTIF($G98:$T98,"&gt;"&amp;L98)=0,"",SMALL($G98:$T98,COUNTIF($G98:$T98,"&lt;="&amp;L98)+1)-L98)))</f>
        <v/>
      </c>
      <c r="AJ98" t="str">
        <f>IF(OR($B98="",NOT(ISNUMBER(M98))),"",IF(COUNTIF(N98:$T98,M98)&gt;0,0,IF(COUNTIF($G98:$T98,"&gt;"&amp;M98)=0,"",SMALL($G98:$T98,COUNTIF($G98:$T98,"&lt;="&amp;M98)+1)-M98)))</f>
        <v/>
      </c>
      <c r="AK98" t="str">
        <f>IF(OR($B98="",NOT(ISNUMBER(N98))),"",IF(COUNTIF(O98:$T98,N98)&gt;0,0,IF(COUNTIF($G98:$T98,"&gt;"&amp;N98)=0,"",SMALL($G98:$T98,COUNTIF($G98:$T98,"&lt;="&amp;N98)+1)-N98)))</f>
        <v/>
      </c>
      <c r="AL98" t="str">
        <f>IF(OR($B98="",NOT(ISNUMBER(O98))),"",IF(COUNTIF(P98:$T98,O98)&gt;0,0,IF(COUNTIF($G98:$T98,"&gt;"&amp;O98)=0,"",SMALL($G98:$T98,COUNTIF($G98:$T98,"&lt;="&amp;O98)+1)-O98)))</f>
        <v/>
      </c>
      <c r="AM98" t="str">
        <f>IF(OR($B98="",NOT(ISNUMBER(P98))),"",IF(COUNTIF(Q98:$T98,P98)&gt;0,0,IF(COUNTIF($G98:$T98,"&gt;"&amp;P98)=0,"",SMALL($G98:$T98,COUNTIF($G98:$T98,"&lt;="&amp;P98)+1)-P98)))</f>
        <v/>
      </c>
      <c r="AN98" t="str">
        <f>IF(OR($B98="",NOT(ISNUMBER(Q98))),"",IF(COUNTIF(R98:$T98,Q98)&gt;0,0,IF(COUNTIF($G98:$T98,"&gt;"&amp;Q98)=0,"",SMALL($G98:$T98,COUNTIF($G98:$T98,"&lt;="&amp;Q98)+1)-Q98)))</f>
        <v/>
      </c>
      <c r="AO98" t="str">
        <f>IF(OR($B98="",NOT(ISNUMBER(R98))),"",IF(COUNTIF(S98:$T98,R98)&gt;0,0,IF(COUNTIF($G98:$T98,"&gt;"&amp;R98)=0,"",SMALL($G98:$T98,COUNTIF($G98:$T98,"&lt;="&amp;R98)+1)-R98)))</f>
        <v/>
      </c>
      <c r="AP98">
        <f t="shared" ca="1" si="20"/>
        <v>2</v>
      </c>
      <c r="AQ98" s="25" t="str">
        <f t="shared" si="21"/>
        <v/>
      </c>
      <c r="AR98" s="25" t="str">
        <f t="shared" si="22"/>
        <v/>
      </c>
      <c r="AS98" s="25" t="str">
        <f t="shared" si="23"/>
        <v/>
      </c>
      <c r="AT98" s="25" t="str">
        <f t="shared" si="24"/>
        <v/>
      </c>
      <c r="AU98" s="25">
        <f t="shared" si="25"/>
        <v>46305</v>
      </c>
      <c r="AV98" s="25" t="str">
        <f t="shared" si="26"/>
        <v/>
      </c>
      <c r="AW98" s="25" t="str">
        <f t="shared" si="27"/>
        <v/>
      </c>
      <c r="AX98" s="25" t="str">
        <f t="shared" si="28"/>
        <v/>
      </c>
      <c r="AY98" s="25" t="str">
        <f t="shared" si="29"/>
        <v/>
      </c>
      <c r="AZ98" s="25" t="str">
        <f t="shared" si="30"/>
        <v/>
      </c>
      <c r="BA98" s="25" t="str">
        <f t="shared" si="31"/>
        <v/>
      </c>
      <c r="BB98" s="25" t="str">
        <f t="shared" si="32"/>
        <v/>
      </c>
      <c r="BC98" s="25" t="str">
        <f t="shared" si="33"/>
        <v/>
      </c>
    </row>
    <row r="99" spans="1:55" x14ac:dyDescent="0.25">
      <c r="A99" s="151">
        <f t="shared" si="17"/>
        <v>97</v>
      </c>
      <c r="B99" s="151" t="s">
        <v>208</v>
      </c>
      <c r="C99" s="152" t="s">
        <v>205</v>
      </c>
      <c r="D99" s="151">
        <f t="shared" si="18"/>
        <v>1</v>
      </c>
      <c r="E99" s="151" t="s">
        <v>100</v>
      </c>
      <c r="F99" s="173">
        <v>46291</v>
      </c>
      <c r="G99" s="173"/>
      <c r="H99" s="173"/>
      <c r="I99" s="173"/>
      <c r="J99" s="173"/>
      <c r="K99" s="173">
        <v>46293</v>
      </c>
      <c r="L99" s="173">
        <v>46305</v>
      </c>
      <c r="M99" s="173"/>
      <c r="N99" s="173"/>
      <c r="O99" s="173"/>
      <c r="P99" s="173"/>
      <c r="Q99" s="173"/>
      <c r="R99" s="173"/>
      <c r="S99" s="173"/>
      <c r="T99" s="174"/>
      <c r="U99" s="151"/>
      <c r="V99" s="152"/>
      <c r="W99" s="175"/>
      <c r="X99" s="173"/>
      <c r="Y99" s="173"/>
      <c r="Z99" s="176" t="str">
        <f>IF(B99="","",IF(S99&lt;&gt;"","Sevk Edildi",IF(AND(X99&lt;&gt;"",Y99=""),"Reworkte",IF(T99&lt;&gt;"","Kapandı"&amp;IF(COUNT(G99:R99)=0,""," – "&amp;LOOKUP(2,1/(G99:R99=MAX(G99:R99)),{"Tasarım","Ply Cutter","Üretim","Kalite (Üretim sonrası)","Talaşlı","Kalite (Talaşlı sonrası)","Montaj","Kalite (Montaj sonrası)","Boya","Kalite (Boya sonrası)","Yarı Mamül","KM"})),IF(COUNT(G99:R99)=0,"Başlamadı",LOOKUP(2,1/(G99:R99=MAX(G99:R99)),{"Tasarımda","Ply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99" s="177">
        <f t="shared" ca="1" si="19"/>
        <v>16</v>
      </c>
      <c r="AB99" s="175"/>
      <c r="AD99" t="str">
        <f>IF(OR($B99="",NOT(ISNUMBER(G99))),"",IF(COUNTIF(H99:$T99,G99)&gt;0,0,IF(COUNTIF($G99:$T99,"&gt;"&amp;G99)=0,"",SMALL($G99:$T99,COUNTIF($G99:$T99,"&lt;="&amp;G99)+1)-G99)))</f>
        <v/>
      </c>
      <c r="AE99" t="str">
        <f>IF(OR($B99="",NOT(ISNUMBER(H99))),"",IF(COUNTIF(I99:$T99,H99)&gt;0,0,IF(COUNTIF($G99:$T99,"&gt;"&amp;H99)=0,"",SMALL($G99:$T99,COUNTIF($G99:$T99,"&lt;="&amp;H99)+1)-H99)))</f>
        <v/>
      </c>
      <c r="AF99" t="str">
        <f>IF(OR($B99="",NOT(ISNUMBER(I99))),"",IF(COUNTIF(J99:$T99,I99)&gt;0,0,IF(COUNTIF($G99:$T99,"&gt;"&amp;I99)=0,"",SMALL($G99:$T99,COUNTIF($G99:$T99,"&lt;="&amp;I99)+1)-I99)))</f>
        <v/>
      </c>
      <c r="AG99" t="str">
        <f>IF(OR($B99="",NOT(ISNUMBER(J99))),"",IF(COUNTIF(K99:$T99,J99)&gt;0,0,IF(COUNTIF($G99:$T99,"&gt;"&amp;J99)=0,"",SMALL($G99:$T99,COUNTIF($G99:$T99,"&lt;="&amp;J99)+1)-J99)))</f>
        <v/>
      </c>
      <c r="AH99">
        <f>IF(OR($B99="",NOT(ISNUMBER(K99))),"",IF(COUNTIF(L99:$T99,K99)&gt;0,0,IF(COUNTIF($G99:$T99,"&gt;"&amp;K99)=0,"",SMALL($G99:$T99,COUNTIF($G99:$T99,"&lt;="&amp;K99)+1)-K99)))</f>
        <v>12</v>
      </c>
      <c r="AI99" t="str">
        <f>IF(OR($B99="",NOT(ISNUMBER(L99))),"",IF(COUNTIF(M99:$T99,L99)&gt;0,0,IF(COUNTIF($G99:$T99,"&gt;"&amp;L99)=0,"",SMALL($G99:$T99,COUNTIF($G99:$T99,"&lt;="&amp;L99)+1)-L99)))</f>
        <v/>
      </c>
      <c r="AJ99" t="str">
        <f>IF(OR($B99="",NOT(ISNUMBER(M99))),"",IF(COUNTIF(N99:$T99,M99)&gt;0,0,IF(COUNTIF($G99:$T99,"&gt;"&amp;M99)=0,"",SMALL($G99:$T99,COUNTIF($G99:$T99,"&lt;="&amp;M99)+1)-M99)))</f>
        <v/>
      </c>
      <c r="AK99" t="str">
        <f>IF(OR($B99="",NOT(ISNUMBER(N99))),"",IF(COUNTIF(O99:$T99,N99)&gt;0,0,IF(COUNTIF($G99:$T99,"&gt;"&amp;N99)=0,"",SMALL($G99:$T99,COUNTIF($G99:$T99,"&lt;="&amp;N99)+1)-N99)))</f>
        <v/>
      </c>
      <c r="AL99" t="str">
        <f>IF(OR($B99="",NOT(ISNUMBER(O99))),"",IF(COUNTIF(P99:$T99,O99)&gt;0,0,IF(COUNTIF($G99:$T99,"&gt;"&amp;O99)=0,"",SMALL($G99:$T99,COUNTIF($G99:$T99,"&lt;="&amp;O99)+1)-O99)))</f>
        <v/>
      </c>
      <c r="AM99" t="str">
        <f>IF(OR($B99="",NOT(ISNUMBER(P99))),"",IF(COUNTIF(Q99:$T99,P99)&gt;0,0,IF(COUNTIF($G99:$T99,"&gt;"&amp;P99)=0,"",SMALL($G99:$T99,COUNTIF($G99:$T99,"&lt;="&amp;P99)+1)-P99)))</f>
        <v/>
      </c>
      <c r="AN99" t="str">
        <f>IF(OR($B99="",NOT(ISNUMBER(Q99))),"",IF(COUNTIF(R99:$T99,Q99)&gt;0,0,IF(COUNTIF($G99:$T99,"&gt;"&amp;Q99)=0,"",SMALL($G99:$T99,COUNTIF($G99:$T99,"&lt;="&amp;Q99)+1)-Q99)))</f>
        <v/>
      </c>
      <c r="AO99" t="str">
        <f>IF(OR($B99="",NOT(ISNUMBER(R99))),"",IF(COUNTIF(S99:$T99,R99)&gt;0,0,IF(COUNTIF($G99:$T99,"&gt;"&amp;R99)=0,"",SMALL($G99:$T99,COUNTIF($G99:$T99,"&lt;="&amp;R99)+1)-R99)))</f>
        <v/>
      </c>
      <c r="AP99">
        <f t="shared" ca="1" si="20"/>
        <v>2</v>
      </c>
      <c r="AQ99" s="25" t="str">
        <f t="shared" si="21"/>
        <v/>
      </c>
      <c r="AR99" s="25" t="str">
        <f t="shared" si="22"/>
        <v/>
      </c>
      <c r="AS99" s="25" t="str">
        <f t="shared" si="23"/>
        <v/>
      </c>
      <c r="AT99" s="25" t="str">
        <f t="shared" si="24"/>
        <v/>
      </c>
      <c r="AU99" s="25">
        <f t="shared" si="25"/>
        <v>46305</v>
      </c>
      <c r="AV99" s="25" t="str">
        <f t="shared" si="26"/>
        <v/>
      </c>
      <c r="AW99" s="25" t="str">
        <f t="shared" si="27"/>
        <v/>
      </c>
      <c r="AX99" s="25" t="str">
        <f t="shared" si="28"/>
        <v/>
      </c>
      <c r="AY99" s="25" t="str">
        <f t="shared" si="29"/>
        <v/>
      </c>
      <c r="AZ99" s="25" t="str">
        <f t="shared" si="30"/>
        <v/>
      </c>
      <c r="BA99" s="25" t="str">
        <f t="shared" si="31"/>
        <v/>
      </c>
      <c r="BB99" s="25" t="str">
        <f t="shared" si="32"/>
        <v/>
      </c>
      <c r="BC99" s="25" t="str">
        <f t="shared" si="33"/>
        <v/>
      </c>
    </row>
    <row r="100" spans="1:55" x14ac:dyDescent="0.25">
      <c r="A100" s="151">
        <f t="shared" si="17"/>
        <v>98</v>
      </c>
      <c r="B100" s="151" t="s">
        <v>209</v>
      </c>
      <c r="C100" s="152" t="s">
        <v>205</v>
      </c>
      <c r="D100" s="151">
        <f t="shared" si="18"/>
        <v>1</v>
      </c>
      <c r="E100" s="151" t="s">
        <v>100</v>
      </c>
      <c r="F100" s="173">
        <v>46291</v>
      </c>
      <c r="G100" s="173"/>
      <c r="H100" s="173"/>
      <c r="I100" s="173"/>
      <c r="J100" s="173"/>
      <c r="K100" s="173">
        <v>46293</v>
      </c>
      <c r="L100" s="173">
        <v>46305</v>
      </c>
      <c r="M100" s="173"/>
      <c r="N100" s="173"/>
      <c r="O100" s="173"/>
      <c r="P100" s="173"/>
      <c r="Q100" s="173"/>
      <c r="R100" s="173"/>
      <c r="S100" s="173"/>
      <c r="T100" s="174"/>
      <c r="U100" s="151"/>
      <c r="V100" s="152"/>
      <c r="W100" s="175"/>
      <c r="X100" s="173"/>
      <c r="Y100" s="173"/>
      <c r="Z100" s="176" t="str">
        <f>IF(B100="","",IF(S100&lt;&gt;"","Sevk Edildi",IF(AND(X100&lt;&gt;"",Y100=""),"Reworkte",IF(T100&lt;&gt;"","Kapandı"&amp;IF(COUNT(G100:R100)=0,""," – "&amp;LOOKUP(2,1/(G100:R100=MAX(G100:R100)),{"Tasarım","Ply Cutter","Üretim","Kalite (Üretim sonrası)","Talaşlı","Kalite (Talaşlı sonrası)","Montaj","Kalite (Montaj sonrası)","Boya","Kalite (Boya sonrası)","Yarı Mamül","KM"})),IF(COUNT(G100:R100)=0,"Başlamadı",LOOKUP(2,1/(G100:R100=MAX(G100:R100)),{"Tasarımda","Ply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100" s="177">
        <f t="shared" ca="1" si="19"/>
        <v>16</v>
      </c>
      <c r="AB100" s="175"/>
      <c r="AD100" t="str">
        <f>IF(OR($B100="",NOT(ISNUMBER(G100))),"",IF(COUNTIF(H100:$T100,G100)&gt;0,0,IF(COUNTIF($G100:$T100,"&gt;"&amp;G100)=0,"",SMALL($G100:$T100,COUNTIF($G100:$T100,"&lt;="&amp;G100)+1)-G100)))</f>
        <v/>
      </c>
      <c r="AE100" t="str">
        <f>IF(OR($B100="",NOT(ISNUMBER(H100))),"",IF(COUNTIF(I100:$T100,H100)&gt;0,0,IF(COUNTIF($G100:$T100,"&gt;"&amp;H100)=0,"",SMALL($G100:$T100,COUNTIF($G100:$T100,"&lt;="&amp;H100)+1)-H100)))</f>
        <v/>
      </c>
      <c r="AF100" t="str">
        <f>IF(OR($B100="",NOT(ISNUMBER(I100))),"",IF(COUNTIF(J100:$T100,I100)&gt;0,0,IF(COUNTIF($G100:$T100,"&gt;"&amp;I100)=0,"",SMALL($G100:$T100,COUNTIF($G100:$T100,"&lt;="&amp;I100)+1)-I100)))</f>
        <v/>
      </c>
      <c r="AG100" t="str">
        <f>IF(OR($B100="",NOT(ISNUMBER(J100))),"",IF(COUNTIF(K100:$T100,J100)&gt;0,0,IF(COUNTIF($G100:$T100,"&gt;"&amp;J100)=0,"",SMALL($G100:$T100,COUNTIF($G100:$T100,"&lt;="&amp;J100)+1)-J100)))</f>
        <v/>
      </c>
      <c r="AH100">
        <f>IF(OR($B100="",NOT(ISNUMBER(K100))),"",IF(COUNTIF(L100:$T100,K100)&gt;0,0,IF(COUNTIF($G100:$T100,"&gt;"&amp;K100)=0,"",SMALL($G100:$T100,COUNTIF($G100:$T100,"&lt;="&amp;K100)+1)-K100)))</f>
        <v>12</v>
      </c>
      <c r="AI100" t="str">
        <f>IF(OR($B100="",NOT(ISNUMBER(L100))),"",IF(COUNTIF(M100:$T100,L100)&gt;0,0,IF(COUNTIF($G100:$T100,"&gt;"&amp;L100)=0,"",SMALL($G100:$T100,COUNTIF($G100:$T100,"&lt;="&amp;L100)+1)-L100)))</f>
        <v/>
      </c>
      <c r="AJ100" t="str">
        <f>IF(OR($B100="",NOT(ISNUMBER(M100))),"",IF(COUNTIF(N100:$T100,M100)&gt;0,0,IF(COUNTIF($G100:$T100,"&gt;"&amp;M100)=0,"",SMALL($G100:$T100,COUNTIF($G100:$T100,"&lt;="&amp;M100)+1)-M100)))</f>
        <v/>
      </c>
      <c r="AK100" t="str">
        <f>IF(OR($B100="",NOT(ISNUMBER(N100))),"",IF(COUNTIF(O100:$T100,N100)&gt;0,0,IF(COUNTIF($G100:$T100,"&gt;"&amp;N100)=0,"",SMALL($G100:$T100,COUNTIF($G100:$T100,"&lt;="&amp;N100)+1)-N100)))</f>
        <v/>
      </c>
      <c r="AL100" t="str">
        <f>IF(OR($B100="",NOT(ISNUMBER(O100))),"",IF(COUNTIF(P100:$T100,O100)&gt;0,0,IF(COUNTIF($G100:$T100,"&gt;"&amp;O100)=0,"",SMALL($G100:$T100,COUNTIF($G100:$T100,"&lt;="&amp;O100)+1)-O100)))</f>
        <v/>
      </c>
      <c r="AM100" t="str">
        <f>IF(OR($B100="",NOT(ISNUMBER(P100))),"",IF(COUNTIF(Q100:$T100,P100)&gt;0,0,IF(COUNTIF($G100:$T100,"&gt;"&amp;P100)=0,"",SMALL($G100:$T100,COUNTIF($G100:$T100,"&lt;="&amp;P100)+1)-P100)))</f>
        <v/>
      </c>
      <c r="AN100" t="str">
        <f>IF(OR($B100="",NOT(ISNUMBER(Q100))),"",IF(COUNTIF(R100:$T100,Q100)&gt;0,0,IF(COUNTIF($G100:$T100,"&gt;"&amp;Q100)=0,"",SMALL($G100:$T100,COUNTIF($G100:$T100,"&lt;="&amp;Q100)+1)-Q100)))</f>
        <v/>
      </c>
      <c r="AO100" t="str">
        <f>IF(OR($B100="",NOT(ISNUMBER(R100))),"",IF(COUNTIF(S100:$T100,R100)&gt;0,0,IF(COUNTIF($G100:$T100,"&gt;"&amp;R100)=0,"",SMALL($G100:$T100,COUNTIF($G100:$T100,"&lt;="&amp;R100)+1)-R100)))</f>
        <v/>
      </c>
      <c r="AP100">
        <f t="shared" ca="1" si="20"/>
        <v>2</v>
      </c>
      <c r="AQ100" s="25" t="str">
        <f t="shared" si="21"/>
        <v/>
      </c>
      <c r="AR100" s="25" t="str">
        <f t="shared" si="22"/>
        <v/>
      </c>
      <c r="AS100" s="25" t="str">
        <f t="shared" si="23"/>
        <v/>
      </c>
      <c r="AT100" s="25" t="str">
        <f t="shared" si="24"/>
        <v/>
      </c>
      <c r="AU100" s="25">
        <f t="shared" si="25"/>
        <v>46305</v>
      </c>
      <c r="AV100" s="25" t="str">
        <f t="shared" si="26"/>
        <v/>
      </c>
      <c r="AW100" s="25" t="str">
        <f t="shared" si="27"/>
        <v/>
      </c>
      <c r="AX100" s="25" t="str">
        <f t="shared" si="28"/>
        <v/>
      </c>
      <c r="AY100" s="25" t="str">
        <f t="shared" si="29"/>
        <v/>
      </c>
      <c r="AZ100" s="25" t="str">
        <f t="shared" si="30"/>
        <v/>
      </c>
      <c r="BA100" s="25" t="str">
        <f t="shared" si="31"/>
        <v/>
      </c>
      <c r="BB100" s="25" t="str">
        <f t="shared" si="32"/>
        <v/>
      </c>
      <c r="BC100" s="25" t="str">
        <f t="shared" si="33"/>
        <v/>
      </c>
    </row>
    <row r="101" spans="1:55" x14ac:dyDescent="0.25">
      <c r="A101" s="151">
        <f t="shared" si="17"/>
        <v>99</v>
      </c>
      <c r="B101" s="151" t="s">
        <v>210</v>
      </c>
      <c r="C101" s="152" t="s">
        <v>205</v>
      </c>
      <c r="D101" s="151">
        <f t="shared" si="18"/>
        <v>1</v>
      </c>
      <c r="E101" s="151" t="s">
        <v>100</v>
      </c>
      <c r="F101" s="173">
        <v>46291</v>
      </c>
      <c r="G101" s="173"/>
      <c r="H101" s="173"/>
      <c r="I101" s="173"/>
      <c r="J101" s="173"/>
      <c r="K101" s="173">
        <v>46293</v>
      </c>
      <c r="L101" s="173">
        <v>46305</v>
      </c>
      <c r="M101" s="173"/>
      <c r="N101" s="173"/>
      <c r="O101" s="173"/>
      <c r="P101" s="173"/>
      <c r="Q101" s="173"/>
      <c r="R101" s="173"/>
      <c r="S101" s="173"/>
      <c r="T101" s="174"/>
      <c r="U101" s="151"/>
      <c r="V101" s="152"/>
      <c r="W101" s="175"/>
      <c r="X101" s="173"/>
      <c r="Y101" s="173"/>
      <c r="Z101" s="176" t="str">
        <f>IF(B101="","",IF(S101&lt;&gt;"","Sevk Edildi",IF(AND(X101&lt;&gt;"",Y101=""),"Reworkte",IF(T101&lt;&gt;"","Kapandı"&amp;IF(COUNT(G101:R101)=0,""," – "&amp;LOOKUP(2,1/(G101:R101=MAX(G101:R101)),{"Tasarım","Ply Cutter","Üretim","Kalite (Üretim sonrası)","Talaşlı","Kalite (Talaşlı sonrası)","Montaj","Kalite (Montaj sonrası)","Boya","Kalite (Boya sonrası)","Yarı Mamül","KM"})),IF(COUNT(G101:R101)=0,"Başlamadı",LOOKUP(2,1/(G101:R101=MAX(G101:R101)),{"Tasarımda","Ply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101" s="177">
        <f t="shared" ca="1" si="19"/>
        <v>16</v>
      </c>
      <c r="AB101" s="175"/>
      <c r="AD101" t="str">
        <f>IF(OR($B101="",NOT(ISNUMBER(G101))),"",IF(COUNTIF(H101:$T101,G101)&gt;0,0,IF(COUNTIF($G101:$T101,"&gt;"&amp;G101)=0,"",SMALL($G101:$T101,COUNTIF($G101:$T101,"&lt;="&amp;G101)+1)-G101)))</f>
        <v/>
      </c>
      <c r="AE101" t="str">
        <f>IF(OR($B101="",NOT(ISNUMBER(H101))),"",IF(COUNTIF(I101:$T101,H101)&gt;0,0,IF(COUNTIF($G101:$T101,"&gt;"&amp;H101)=0,"",SMALL($G101:$T101,COUNTIF($G101:$T101,"&lt;="&amp;H101)+1)-H101)))</f>
        <v/>
      </c>
      <c r="AF101" t="str">
        <f>IF(OR($B101="",NOT(ISNUMBER(I101))),"",IF(COUNTIF(J101:$T101,I101)&gt;0,0,IF(COUNTIF($G101:$T101,"&gt;"&amp;I101)=0,"",SMALL($G101:$T101,COUNTIF($G101:$T101,"&lt;="&amp;I101)+1)-I101)))</f>
        <v/>
      </c>
      <c r="AG101" t="str">
        <f>IF(OR($B101="",NOT(ISNUMBER(J101))),"",IF(COUNTIF(K101:$T101,J101)&gt;0,0,IF(COUNTIF($G101:$T101,"&gt;"&amp;J101)=0,"",SMALL($G101:$T101,COUNTIF($G101:$T101,"&lt;="&amp;J101)+1)-J101)))</f>
        <v/>
      </c>
      <c r="AH101">
        <f>IF(OR($B101="",NOT(ISNUMBER(K101))),"",IF(COUNTIF(L101:$T101,K101)&gt;0,0,IF(COUNTIF($G101:$T101,"&gt;"&amp;K101)=0,"",SMALL($G101:$T101,COUNTIF($G101:$T101,"&lt;="&amp;K101)+1)-K101)))</f>
        <v>12</v>
      </c>
      <c r="AI101" t="str">
        <f>IF(OR($B101="",NOT(ISNUMBER(L101))),"",IF(COUNTIF(M101:$T101,L101)&gt;0,0,IF(COUNTIF($G101:$T101,"&gt;"&amp;L101)=0,"",SMALL($G101:$T101,COUNTIF($G101:$T101,"&lt;="&amp;L101)+1)-L101)))</f>
        <v/>
      </c>
      <c r="AJ101" t="str">
        <f>IF(OR($B101="",NOT(ISNUMBER(M101))),"",IF(COUNTIF(N101:$T101,M101)&gt;0,0,IF(COUNTIF($G101:$T101,"&gt;"&amp;M101)=0,"",SMALL($G101:$T101,COUNTIF($G101:$T101,"&lt;="&amp;M101)+1)-M101)))</f>
        <v/>
      </c>
      <c r="AK101" t="str">
        <f>IF(OR($B101="",NOT(ISNUMBER(N101))),"",IF(COUNTIF(O101:$T101,N101)&gt;0,0,IF(COUNTIF($G101:$T101,"&gt;"&amp;N101)=0,"",SMALL($G101:$T101,COUNTIF($G101:$T101,"&lt;="&amp;N101)+1)-N101)))</f>
        <v/>
      </c>
      <c r="AL101" t="str">
        <f>IF(OR($B101="",NOT(ISNUMBER(O101))),"",IF(COUNTIF(P101:$T101,O101)&gt;0,0,IF(COUNTIF($G101:$T101,"&gt;"&amp;O101)=0,"",SMALL($G101:$T101,COUNTIF($G101:$T101,"&lt;="&amp;O101)+1)-O101)))</f>
        <v/>
      </c>
      <c r="AM101" t="str">
        <f>IF(OR($B101="",NOT(ISNUMBER(P101))),"",IF(COUNTIF(Q101:$T101,P101)&gt;0,0,IF(COUNTIF($G101:$T101,"&gt;"&amp;P101)=0,"",SMALL($G101:$T101,COUNTIF($G101:$T101,"&lt;="&amp;P101)+1)-P101)))</f>
        <v/>
      </c>
      <c r="AN101" t="str">
        <f>IF(OR($B101="",NOT(ISNUMBER(Q101))),"",IF(COUNTIF(R101:$T101,Q101)&gt;0,0,IF(COUNTIF($G101:$T101,"&gt;"&amp;Q101)=0,"",SMALL($G101:$T101,COUNTIF($G101:$T101,"&lt;="&amp;Q101)+1)-Q101)))</f>
        <v/>
      </c>
      <c r="AO101" t="str">
        <f>IF(OR($B101="",NOT(ISNUMBER(R101))),"",IF(COUNTIF(S101:$T101,R101)&gt;0,0,IF(COUNTIF($G101:$T101,"&gt;"&amp;R101)=0,"",SMALL($G101:$T101,COUNTIF($G101:$T101,"&lt;="&amp;R101)+1)-R101)))</f>
        <v/>
      </c>
      <c r="AP101">
        <f t="shared" ca="1" si="20"/>
        <v>2</v>
      </c>
      <c r="AQ101" s="25" t="str">
        <f t="shared" si="21"/>
        <v/>
      </c>
      <c r="AR101" s="25" t="str">
        <f t="shared" si="22"/>
        <v/>
      </c>
      <c r="AS101" s="25" t="str">
        <f t="shared" si="23"/>
        <v/>
      </c>
      <c r="AT101" s="25" t="str">
        <f t="shared" si="24"/>
        <v/>
      </c>
      <c r="AU101" s="25">
        <f t="shared" si="25"/>
        <v>46305</v>
      </c>
      <c r="AV101" s="25" t="str">
        <f t="shared" si="26"/>
        <v/>
      </c>
      <c r="AW101" s="25" t="str">
        <f t="shared" si="27"/>
        <v/>
      </c>
      <c r="AX101" s="25" t="str">
        <f t="shared" si="28"/>
        <v/>
      </c>
      <c r="AY101" s="25" t="str">
        <f t="shared" si="29"/>
        <v/>
      </c>
      <c r="AZ101" s="25" t="str">
        <f t="shared" si="30"/>
        <v/>
      </c>
      <c r="BA101" s="25" t="str">
        <f t="shared" si="31"/>
        <v/>
      </c>
      <c r="BB101" s="25" t="str">
        <f t="shared" si="32"/>
        <v/>
      </c>
      <c r="BC101" s="25" t="str">
        <f t="shared" si="33"/>
        <v/>
      </c>
    </row>
    <row r="102" spans="1:55" x14ac:dyDescent="0.25">
      <c r="A102" s="151">
        <f t="shared" si="17"/>
        <v>100</v>
      </c>
      <c r="B102" s="151" t="s">
        <v>211</v>
      </c>
      <c r="C102" s="152" t="s">
        <v>64</v>
      </c>
      <c r="D102" s="151">
        <f t="shared" si="18"/>
        <v>1</v>
      </c>
      <c r="E102" s="151" t="s">
        <v>61</v>
      </c>
      <c r="F102" s="173">
        <v>46291</v>
      </c>
      <c r="G102" s="173"/>
      <c r="H102" s="173"/>
      <c r="I102" s="173">
        <v>46293</v>
      </c>
      <c r="J102" s="173">
        <v>46294</v>
      </c>
      <c r="K102" s="173"/>
      <c r="L102" s="173"/>
      <c r="M102" s="173"/>
      <c r="N102" s="173"/>
      <c r="O102" s="173"/>
      <c r="P102" s="173"/>
      <c r="Q102" s="173"/>
      <c r="R102" s="173"/>
      <c r="S102" s="173"/>
      <c r="T102" s="174">
        <v>46294</v>
      </c>
      <c r="U102" s="151"/>
      <c r="V102" s="152"/>
      <c r="W102" s="175"/>
      <c r="X102" s="173"/>
      <c r="Y102" s="173"/>
      <c r="Z102" s="176" t="str">
        <f>IF(B102="","",IF(S102&lt;&gt;"","Sevk Edildi",IF(AND(X102&lt;&gt;"",Y102=""),"Reworkte",IF(T102&lt;&gt;"","Kapandı"&amp;IF(COUNT(G102:R102)=0,""," – "&amp;LOOKUP(2,1/(G102:R102=MAX(G102:R102)),{"Tasarım","Ply Cutter","Üretim","Kalite (Üretim sonrası)","Talaşlı","Kalite (Talaşlı sonrası)","Montaj","Kalite (Montaj sonrası)","Boya","Kalite (Boya sonrası)","Yarı Mamül","KM"})),IF(COUNT(G102:R102)=0,"Başlamadı",LOOKUP(2,1/(G102:R102=MAX(G102:R102)),{"Tasarımda","Ply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02" s="177">
        <f t="shared" ca="1" si="19"/>
        <v>3</v>
      </c>
      <c r="AB102" s="175"/>
      <c r="AD102" t="str">
        <f>IF(OR($B102="",NOT(ISNUMBER(G102))),"",IF(COUNTIF(H102:$T102,G102)&gt;0,0,IF(COUNTIF($G102:$T102,"&gt;"&amp;G102)=0,"",SMALL($G102:$T102,COUNTIF($G102:$T102,"&lt;="&amp;G102)+1)-G102)))</f>
        <v/>
      </c>
      <c r="AE102" t="str">
        <f>IF(OR($B102="",NOT(ISNUMBER(H102))),"",IF(COUNTIF(I102:$T102,H102)&gt;0,0,IF(COUNTIF($G102:$T102,"&gt;"&amp;H102)=0,"",SMALL($G102:$T102,COUNTIF($G102:$T102,"&lt;="&amp;H102)+1)-H102)))</f>
        <v/>
      </c>
      <c r="AF102">
        <f>IF(OR($B102="",NOT(ISNUMBER(I102))),"",IF(COUNTIF(J102:$T102,I102)&gt;0,0,IF(COUNTIF($G102:$T102,"&gt;"&amp;I102)=0,"",SMALL($G102:$T102,COUNTIF($G102:$T102,"&lt;="&amp;I102)+1)-I102)))</f>
        <v>1</v>
      </c>
      <c r="AG102">
        <f>IF(OR($B102="",NOT(ISNUMBER(J102))),"",IF(COUNTIF(K102:$T102,J102)&gt;0,0,IF(COUNTIF($G102:$T102,"&gt;"&amp;J102)=0,"",SMALL($G102:$T102,COUNTIF($G102:$T102,"&lt;="&amp;J102)+1)-J102)))</f>
        <v>0</v>
      </c>
      <c r="AH102" t="str">
        <f>IF(OR($B102="",NOT(ISNUMBER(K102))),"",IF(COUNTIF(L102:$T102,K102)&gt;0,0,IF(COUNTIF($G102:$T102,"&gt;"&amp;K102)=0,"",SMALL($G102:$T102,COUNTIF($G102:$T102,"&lt;="&amp;K102)+1)-K102)))</f>
        <v/>
      </c>
      <c r="AI102" t="str">
        <f>IF(OR($B102="",NOT(ISNUMBER(L102))),"",IF(COUNTIF(M102:$T102,L102)&gt;0,0,IF(COUNTIF($G102:$T102,"&gt;"&amp;L102)=0,"",SMALL($G102:$T102,COUNTIF($G102:$T102,"&lt;="&amp;L102)+1)-L102)))</f>
        <v/>
      </c>
      <c r="AJ102" t="str">
        <f>IF(OR($B102="",NOT(ISNUMBER(M102))),"",IF(COUNTIF(N102:$T102,M102)&gt;0,0,IF(COUNTIF($G102:$T102,"&gt;"&amp;M102)=0,"",SMALL($G102:$T102,COUNTIF($G102:$T102,"&lt;="&amp;M102)+1)-M102)))</f>
        <v/>
      </c>
      <c r="AK102" t="str">
        <f>IF(OR($B102="",NOT(ISNUMBER(N102))),"",IF(COUNTIF(O102:$T102,N102)&gt;0,0,IF(COUNTIF($G102:$T102,"&gt;"&amp;N102)=0,"",SMALL($G102:$T102,COUNTIF($G102:$T102,"&lt;="&amp;N102)+1)-N102)))</f>
        <v/>
      </c>
      <c r="AL102" t="str">
        <f>IF(OR($B102="",NOT(ISNUMBER(O102))),"",IF(COUNTIF(P102:$T102,O102)&gt;0,0,IF(COUNTIF($G102:$T102,"&gt;"&amp;O102)=0,"",SMALL($G102:$T102,COUNTIF($G102:$T102,"&lt;="&amp;O102)+1)-O102)))</f>
        <v/>
      </c>
      <c r="AM102" t="str">
        <f>IF(OR($B102="",NOT(ISNUMBER(P102))),"",IF(COUNTIF(Q102:$T102,P102)&gt;0,0,IF(COUNTIF($G102:$T102,"&gt;"&amp;P102)=0,"",SMALL($G102:$T102,COUNTIF($G102:$T102,"&lt;="&amp;P102)+1)-P102)))</f>
        <v/>
      </c>
      <c r="AN102" t="str">
        <f>IF(OR($B102="",NOT(ISNUMBER(Q102))),"",IF(COUNTIF(R102:$T102,Q102)&gt;0,0,IF(COUNTIF($G102:$T102,"&gt;"&amp;Q102)=0,"",SMALL($G102:$T102,COUNTIF($G102:$T102,"&lt;="&amp;Q102)+1)-Q102)))</f>
        <v/>
      </c>
      <c r="AO102" t="str">
        <f>IF(OR($B102="",NOT(ISNUMBER(R102))),"",IF(COUNTIF(S102:$T102,R102)&gt;0,0,IF(COUNTIF($G102:$T102,"&gt;"&amp;R102)=0,"",SMALL($G102:$T102,COUNTIF($G102:$T102,"&lt;="&amp;R102)+1)-R102)))</f>
        <v/>
      </c>
      <c r="AP102">
        <f t="shared" ca="1" si="20"/>
        <v>0</v>
      </c>
      <c r="AQ102" s="25" t="str">
        <f t="shared" si="21"/>
        <v/>
      </c>
      <c r="AR102" s="25" t="str">
        <f t="shared" si="22"/>
        <v/>
      </c>
      <c r="AS102" s="25">
        <f t="shared" si="23"/>
        <v>46294</v>
      </c>
      <c r="AT102" s="25">
        <f t="shared" si="24"/>
        <v>46294</v>
      </c>
      <c r="AU102" s="25" t="str">
        <f t="shared" si="25"/>
        <v/>
      </c>
      <c r="AV102" s="25" t="str">
        <f t="shared" si="26"/>
        <v/>
      </c>
      <c r="AW102" s="25" t="str">
        <f t="shared" si="27"/>
        <v/>
      </c>
      <c r="AX102" s="25" t="str">
        <f>IF(AND(ISNUMBER(N102),ISNUMBER(AK102)),N102+AK102,"")</f>
        <v/>
      </c>
      <c r="AY102" s="25" t="str">
        <f t="shared" si="29"/>
        <v/>
      </c>
      <c r="AZ102" s="25" t="str">
        <f t="shared" si="30"/>
        <v/>
      </c>
      <c r="BA102" s="25" t="str">
        <f t="shared" si="31"/>
        <v/>
      </c>
      <c r="BB102" s="25" t="str">
        <f t="shared" si="32"/>
        <v/>
      </c>
      <c r="BC102" s="25">
        <f t="shared" si="33"/>
        <v>46294</v>
      </c>
    </row>
    <row r="103" spans="1:55" x14ac:dyDescent="0.25">
      <c r="A103" s="151">
        <f t="shared" si="17"/>
        <v>101</v>
      </c>
      <c r="B103" s="151" t="s">
        <v>212</v>
      </c>
      <c r="C103" s="152" t="s">
        <v>90</v>
      </c>
      <c r="D103" s="151">
        <f t="shared" si="18"/>
        <v>1</v>
      </c>
      <c r="E103" s="151" t="s">
        <v>61</v>
      </c>
      <c r="F103" s="173">
        <v>46291</v>
      </c>
      <c r="G103" s="173"/>
      <c r="H103" s="173"/>
      <c r="I103" s="173">
        <v>46291</v>
      </c>
      <c r="J103" s="173">
        <v>46294</v>
      </c>
      <c r="K103" s="173"/>
      <c r="L103" s="173"/>
      <c r="M103" s="173"/>
      <c r="N103" s="173"/>
      <c r="O103" s="173"/>
      <c r="P103" s="173"/>
      <c r="Q103" s="173"/>
      <c r="R103" s="173"/>
      <c r="S103" s="173"/>
      <c r="T103" s="174">
        <v>46294</v>
      </c>
      <c r="U103" s="151"/>
      <c r="V103" s="152"/>
      <c r="W103" s="175"/>
      <c r="X103" s="173"/>
      <c r="Y103" s="173"/>
      <c r="Z103" s="176" t="str">
        <f>IF(B103="","",IF(S103&lt;&gt;"","Sevk Edildi",IF(AND(X103&lt;&gt;"",Y103=""),"Reworkte",IF(T103&lt;&gt;"","Kapandı"&amp;IF(COUNT(G103:R103)=0,""," – "&amp;LOOKUP(2,1/(G103:R103=MAX(G103:R103)),{"Tasarım","Ply Cutter","Üretim","Kalite (Üretim sonrası)","Talaşlı","Kalite (Talaşlı sonrası)","Montaj","Kalite (Montaj sonrası)","Boya","Kalite (Boya sonrası)","Yarı Mamül","KM"})),IF(COUNT(G103:R103)=0,"Başlamadı",LOOKUP(2,1/(G103:R103=MAX(G103:R103)),{"Tasarımda","Ply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03" s="177">
        <f ca="1">IF(OR(B103="",F103=""),"",IFERROR(IF(S103&lt;&gt;"",S103-F103,IF(T103&lt;&gt;"",T103-F103,TODAY()-F103)),""))</f>
        <v>3</v>
      </c>
      <c r="AB103" s="175"/>
      <c r="AD103" t="str">
        <f>IF(OR($B103="",NOT(ISNUMBER(G103))),"",IF(COUNTIF(H103:$T103,G103)&gt;0,0,IF(COUNTIF($G103:$T103,"&gt;"&amp;G103)=0,"",SMALL($G103:$T103,COUNTIF($G103:$T103,"&lt;="&amp;G103)+1)-G103)))</f>
        <v/>
      </c>
      <c r="AE103" t="str">
        <f>IF(OR($B103="",NOT(ISNUMBER(H103))),"",IF(COUNTIF(I103:$T103,H103)&gt;0,0,IF(COUNTIF($G103:$T103,"&gt;"&amp;H103)=0,"",SMALL($G103:$T103,COUNTIF($G103:$T103,"&lt;="&amp;H103)+1)-H103)))</f>
        <v/>
      </c>
      <c r="AF103">
        <f>IF(OR($B103="",NOT(ISNUMBER(I103))),"",IF(COUNTIF(J103:$T103,I103)&gt;0,0,IF(COUNTIF($G103:$T103,"&gt;"&amp;I103)=0,"",SMALL($G103:$T103,COUNTIF($G103:$T103,"&lt;="&amp;I103)+1)-I103)))</f>
        <v>3</v>
      </c>
      <c r="AG103">
        <f>IF(OR($B103="",NOT(ISNUMBER(J103))),"",IF(COUNTIF(K103:$T103,J103)&gt;0,0,IF(COUNTIF($G103:$T103,"&gt;"&amp;J103)=0,"",SMALL($G103:$T103,COUNTIF($G103:$T103,"&lt;="&amp;J103)+1)-J103)))</f>
        <v>0</v>
      </c>
      <c r="AH103" t="str">
        <f>IF(OR($B103="",NOT(ISNUMBER(K103))),"",IF(COUNTIF(L103:$T103,K103)&gt;0,0,IF(COUNTIF($G103:$T103,"&gt;"&amp;K103)=0,"",SMALL($G103:$T103,COUNTIF($G103:$T103,"&lt;="&amp;K103)+1)-K103)))</f>
        <v/>
      </c>
      <c r="AI103" t="str">
        <f>IF(OR($B103="",NOT(ISNUMBER(L103))),"",IF(COUNTIF(M103:$T103,L103)&gt;0,0,IF(COUNTIF($G103:$T103,"&gt;"&amp;L103)=0,"",SMALL($G103:$T103,COUNTIF($G103:$T103,"&lt;="&amp;L103)+1)-L103)))</f>
        <v/>
      </c>
      <c r="AJ103" t="str">
        <f>IF(OR($B103="",NOT(ISNUMBER(M103))),"",IF(COUNTIF(N103:$T103,M103)&gt;0,0,IF(COUNTIF($G103:$T103,"&gt;"&amp;M103)=0,"",SMALL($G103:$T103,COUNTIF($G103:$T103,"&lt;="&amp;M103)+1)-M103)))</f>
        <v/>
      </c>
      <c r="AK103" t="str">
        <f>IF(OR($B103="",NOT(ISNUMBER(N103))),"",IF(COUNTIF(O103:$T103,N103)&gt;0,0,IF(COUNTIF($G103:$T103,"&gt;"&amp;N103)=0,"",SMALL($G103:$T103,COUNTIF($G103:$T103,"&lt;="&amp;N103)+1)-N103)))</f>
        <v/>
      </c>
      <c r="AL103" t="str">
        <f>IF(OR($B103="",NOT(ISNUMBER(O103))),"",IF(COUNTIF(P103:$T103,O103)&gt;0,0,IF(COUNTIF($G103:$T103,"&gt;"&amp;O103)=0,"",SMALL($G103:$T103,COUNTIF($G103:$T103,"&lt;="&amp;O103)+1)-O103)))</f>
        <v/>
      </c>
      <c r="AM103" t="str">
        <f>IF(OR($B103="",NOT(ISNUMBER(P103))),"",IF(COUNTIF(Q103:$T103,P103)&gt;0,0,IF(COUNTIF($G103:$T103,"&gt;"&amp;P103)=0,"",SMALL($G103:$T103,COUNTIF($G103:$T103,"&lt;="&amp;P103)+1)-P103)))</f>
        <v/>
      </c>
      <c r="AN103" t="str">
        <f>IF(OR($B103="",NOT(ISNUMBER(Q103))),"",IF(COUNTIF(R103:$T103,Q103)&gt;0,0,IF(COUNTIF($G103:$T103,"&gt;"&amp;Q103)=0,"",SMALL($G103:$T103,COUNTIF($G103:$T103,"&lt;="&amp;Q103)+1)-Q103)))</f>
        <v/>
      </c>
      <c r="AO103" t="str">
        <f>IF(OR($B103="",NOT(ISNUMBER(R103))),"",IF(COUNTIF(S103:$T103,R103)&gt;0,0,IF(COUNTIF($G103:$T103,"&gt;"&amp;R103)=0,"",SMALL($G103:$T103,COUNTIF($G103:$T103,"&lt;="&amp;R103)+1)-R103)))</f>
        <v/>
      </c>
      <c r="AP103">
        <f t="shared" ca="1" si="20"/>
        <v>0</v>
      </c>
      <c r="AQ103" s="25" t="str">
        <f t="shared" si="21"/>
        <v/>
      </c>
      <c r="AR103" s="25" t="str">
        <f t="shared" si="22"/>
        <v/>
      </c>
      <c r="AS103" s="25">
        <f t="shared" si="23"/>
        <v>46294</v>
      </c>
      <c r="AT103" s="25">
        <f t="shared" si="24"/>
        <v>46294</v>
      </c>
      <c r="AU103" s="25" t="str">
        <f t="shared" si="25"/>
        <v/>
      </c>
      <c r="AV103" s="25" t="str">
        <f t="shared" si="26"/>
        <v/>
      </c>
      <c r="AW103" s="25" t="str">
        <f t="shared" si="27"/>
        <v/>
      </c>
      <c r="AX103" s="25" t="str">
        <f>IF(AND(ISNUMBER(N103),ISNUMBER(AK103)),N103+AK103,"")</f>
        <v/>
      </c>
      <c r="AY103" s="25" t="str">
        <f t="shared" si="29"/>
        <v/>
      </c>
      <c r="AZ103" s="25" t="str">
        <f t="shared" si="30"/>
        <v/>
      </c>
      <c r="BA103" s="25" t="str">
        <f t="shared" si="31"/>
        <v/>
      </c>
      <c r="BB103" s="25" t="str">
        <f t="shared" si="32"/>
        <v/>
      </c>
      <c r="BC103" s="25">
        <f>IF(AND(S103="",T103=""),"",MIN(S103,T103))</f>
        <v>46294</v>
      </c>
    </row>
    <row r="104" spans="1:55" x14ac:dyDescent="0.25">
      <c r="A104" s="151">
        <f t="shared" si="17"/>
        <v>102</v>
      </c>
      <c r="B104" s="151" t="s">
        <v>213</v>
      </c>
      <c r="C104" s="152" t="s">
        <v>92</v>
      </c>
      <c r="D104" s="151">
        <f t="shared" si="18"/>
        <v>2</v>
      </c>
      <c r="E104" s="151" t="s">
        <v>61</v>
      </c>
      <c r="F104" s="173">
        <v>46291</v>
      </c>
      <c r="G104" s="173"/>
      <c r="H104" s="173"/>
      <c r="I104" s="173">
        <v>46291</v>
      </c>
      <c r="J104" s="173">
        <v>46294</v>
      </c>
      <c r="K104" s="173"/>
      <c r="L104" s="173"/>
      <c r="M104" s="173"/>
      <c r="N104" s="173"/>
      <c r="O104" s="173"/>
      <c r="P104" s="173"/>
      <c r="Q104" s="173"/>
      <c r="R104" s="173"/>
      <c r="S104" s="173"/>
      <c r="T104" s="174">
        <v>46294</v>
      </c>
      <c r="U104" s="151"/>
      <c r="V104" s="152"/>
      <c r="W104" s="175"/>
      <c r="X104" s="173"/>
      <c r="Y104" s="173"/>
      <c r="Z104" s="176" t="str">
        <f>IF(B104="","",IF(S104&lt;&gt;"","Sevk Edildi",IF(AND(X104&lt;&gt;"",Y104=""),"Reworkte",IF(T104&lt;&gt;"","Kapandı"&amp;IF(COUNT(G104:R104)=0,""," – "&amp;LOOKUP(2,1/(G104:R104=MAX(G104:R104)),{"Tasarım","Ply Cutter","Üretim","Kalite (Üretim sonrası)","Talaşlı","Kalite (Talaşlı sonrası)","Montaj","Kalite (Montaj sonrası)","Boya","Kalite (Boya sonrası)","Yarı Mamül","KM"})),IF(COUNT(G104:R104)=0,"Başlamadı",LOOKUP(2,1/(G104:R104=MAX(G104:R104)),{"Tasarımda","Ply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04" s="177">
        <f ca="1">IF(OR(B104="",F104=""),"",IFERROR(IF(S104&lt;&gt;"",S104-F104,IF(T104&lt;&gt;"",T104-F104,TODAY()-F104)),""))</f>
        <v>3</v>
      </c>
      <c r="AB104" s="175"/>
      <c r="AD104" t="str">
        <f>IF(OR($B104="",NOT(ISNUMBER(G104))),"",IF(COUNTIF(H104:$T104,G104)&gt;0,0,IF(COUNTIF($G104:$T104,"&gt;"&amp;G104)=0,"",SMALL($G104:$T104,COUNTIF($G104:$T104,"&lt;="&amp;G104)+1)-G104)))</f>
        <v/>
      </c>
      <c r="AE104" t="str">
        <f>IF(OR($B104="",NOT(ISNUMBER(H104))),"",IF(COUNTIF(I104:$T104,H104)&gt;0,0,IF(COUNTIF($G104:$T104,"&gt;"&amp;H104)=0,"",SMALL($G104:$T104,COUNTIF($G104:$T104,"&lt;="&amp;H104)+1)-H104)))</f>
        <v/>
      </c>
      <c r="AF104">
        <f>IF(OR($B104="",NOT(ISNUMBER(I104))),"",IF(COUNTIF(J104:$T104,I104)&gt;0,0,IF(COUNTIF($G104:$T104,"&gt;"&amp;I104)=0,"",SMALL($G104:$T104,COUNTIF($G104:$T104,"&lt;="&amp;I104)+1)-I104)))</f>
        <v>3</v>
      </c>
      <c r="AG104">
        <f>IF(OR($B104="",NOT(ISNUMBER(J104))),"",IF(COUNTIF(K104:$T104,J104)&gt;0,0,IF(COUNTIF($G104:$T104,"&gt;"&amp;J104)=0,"",SMALL($G104:$T104,COUNTIF($G104:$T104,"&lt;="&amp;J104)+1)-J104)))</f>
        <v>0</v>
      </c>
      <c r="AH104" t="str">
        <f>IF(OR($B104="",NOT(ISNUMBER(K104))),"",IF(COUNTIF(L104:$T104,K104)&gt;0,0,IF(COUNTIF($G104:$T104,"&gt;"&amp;K104)=0,"",SMALL($G104:$T104,COUNTIF($G104:$T104,"&lt;="&amp;K104)+1)-K104)))</f>
        <v/>
      </c>
      <c r="AI104" t="str">
        <f>IF(OR($B104="",NOT(ISNUMBER(L104))),"",IF(COUNTIF(M104:$T104,L104)&gt;0,0,IF(COUNTIF($G104:$T104,"&gt;"&amp;L104)=0,"",SMALL($G104:$T104,COUNTIF($G104:$T104,"&lt;="&amp;L104)+1)-L104)))</f>
        <v/>
      </c>
      <c r="AJ104" t="str">
        <f>IF(OR($B104="",NOT(ISNUMBER(M104))),"",IF(COUNTIF(N104:$T104,M104)&gt;0,0,IF(COUNTIF($G104:$T104,"&gt;"&amp;M104)=0,"",SMALL($G104:$T104,COUNTIF($G104:$T104,"&lt;="&amp;M104)+1)-M104)))</f>
        <v/>
      </c>
      <c r="AK104" t="str">
        <f>IF(OR($B104="",NOT(ISNUMBER(N104))),"",IF(COUNTIF(O104:$T104,N104)&gt;0,0,IF(COUNTIF($G104:$T104,"&gt;"&amp;N104)=0,"",SMALL($G104:$T104,COUNTIF($G104:$T104,"&lt;="&amp;N104)+1)-N104)))</f>
        <v/>
      </c>
      <c r="AL104" t="str">
        <f>IF(OR($B104="",NOT(ISNUMBER(O104))),"",IF(COUNTIF(P104:$T104,O104)&gt;0,0,IF(COUNTIF($G104:$T104,"&gt;"&amp;O104)=0,"",SMALL($G104:$T104,COUNTIF($G104:$T104,"&lt;="&amp;O104)+1)-O104)))</f>
        <v/>
      </c>
      <c r="AM104" t="str">
        <f>IF(OR($B104="",NOT(ISNUMBER(P104))),"",IF(COUNTIF(Q104:$T104,P104)&gt;0,0,IF(COUNTIF($G104:$T104,"&gt;"&amp;P104)=0,"",SMALL($G104:$T104,COUNTIF($G104:$T104,"&lt;="&amp;P104)+1)-P104)))</f>
        <v/>
      </c>
      <c r="AN104" t="str">
        <f>IF(OR($B104="",NOT(ISNUMBER(Q104))),"",IF(COUNTIF(R104:$T104,Q104)&gt;0,0,IF(COUNTIF($G104:$T104,"&gt;"&amp;Q104)=0,"",SMALL($G104:$T104,COUNTIF($G104:$T104,"&lt;="&amp;Q104)+1)-Q104)))</f>
        <v/>
      </c>
      <c r="AO104" t="str">
        <f>IF(OR($B104="",NOT(ISNUMBER(R104))),"",IF(COUNTIF(S104:$T104,R104)&gt;0,0,IF(COUNTIF($G104:$T104,"&gt;"&amp;R104)=0,"",SMALL($G104:$T104,COUNTIF($G104:$T104,"&lt;="&amp;R104)+1)-R104)))</f>
        <v/>
      </c>
      <c r="AP104">
        <f t="shared" ca="1" si="20"/>
        <v>0</v>
      </c>
      <c r="AQ104" s="25" t="str">
        <f t="shared" si="21"/>
        <v/>
      </c>
      <c r="AR104" s="25" t="str">
        <f t="shared" si="22"/>
        <v/>
      </c>
      <c r="AS104" s="25">
        <f t="shared" si="23"/>
        <v>46294</v>
      </c>
      <c r="AT104" s="25">
        <f t="shared" si="24"/>
        <v>46294</v>
      </c>
      <c r="AU104" s="25" t="str">
        <f t="shared" si="25"/>
        <v/>
      </c>
      <c r="AV104" s="25" t="str">
        <f t="shared" si="26"/>
        <v/>
      </c>
      <c r="AW104" s="25" t="str">
        <f t="shared" si="27"/>
        <v/>
      </c>
      <c r="AX104" s="25" t="str">
        <f t="shared" si="28"/>
        <v/>
      </c>
      <c r="AY104" s="25" t="str">
        <f t="shared" si="29"/>
        <v/>
      </c>
      <c r="AZ104" s="25" t="str">
        <f t="shared" si="30"/>
        <v/>
      </c>
      <c r="BA104" s="25" t="str">
        <f t="shared" si="31"/>
        <v/>
      </c>
      <c r="BB104" s="25" t="str">
        <f t="shared" si="32"/>
        <v/>
      </c>
      <c r="BC104" s="25">
        <f>IF(AND(S104="",T104=""),"",MIN(S104,T104))</f>
        <v>46294</v>
      </c>
    </row>
    <row r="105" spans="1:55" x14ac:dyDescent="0.25">
      <c r="A105" s="151">
        <f t="shared" si="17"/>
        <v>103</v>
      </c>
      <c r="B105" s="151" t="s">
        <v>214</v>
      </c>
      <c r="C105" s="152" t="s">
        <v>94</v>
      </c>
      <c r="D105" s="151">
        <f t="shared" si="18"/>
        <v>1</v>
      </c>
      <c r="E105" s="151" t="s">
        <v>61</v>
      </c>
      <c r="F105" s="173">
        <v>46291</v>
      </c>
      <c r="G105" s="173"/>
      <c r="H105" s="173"/>
      <c r="I105" s="173">
        <v>46291</v>
      </c>
      <c r="J105" s="173">
        <v>46294</v>
      </c>
      <c r="K105" s="173"/>
      <c r="L105" s="173"/>
      <c r="M105" s="173"/>
      <c r="N105" s="173"/>
      <c r="O105" s="173"/>
      <c r="P105" s="173"/>
      <c r="Q105" s="173"/>
      <c r="R105" s="173"/>
      <c r="S105" s="173"/>
      <c r="T105" s="174">
        <v>46294</v>
      </c>
      <c r="U105" s="151"/>
      <c r="V105" s="152"/>
      <c r="W105" s="175"/>
      <c r="X105" s="173"/>
      <c r="Y105" s="173"/>
      <c r="Z105" s="176" t="str">
        <f>IF(B105="","",IF(S105&lt;&gt;"","Sevk Edildi",IF(AND(X105&lt;&gt;"",Y105=""),"Reworkte",IF(T105&lt;&gt;"","Kapandı"&amp;IF(COUNT(G105:R105)=0,""," – "&amp;LOOKUP(2,1/(G105:R105=MAX(G105:R105)),{"Tasarım","Ply Cutter","Üretim","Kalite (Üretim sonrası)","Talaşlı","Kalite (Talaşlı sonrası)","Montaj","Kalite (Montaj sonrası)","Boya","Kalite (Boya sonrası)","Yarı Mamül","KM"})),IF(COUNT(G105:R105)=0,"Başlamadı",LOOKUP(2,1/(G105:R105=MAX(G105:R105)),{"Tasarımda","Ply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05" s="177">
        <f t="shared" ca="1" si="19"/>
        <v>3</v>
      </c>
      <c r="AB105" s="175"/>
      <c r="AD105" t="str">
        <f>IF(OR($B105="",NOT(ISNUMBER(G105))),"",IF(COUNTIF(H105:$T105,G105)&gt;0,0,IF(COUNTIF($G105:$T105,"&gt;"&amp;G105)=0,"",SMALL($G105:$T105,COUNTIF($G105:$T105,"&lt;="&amp;G105)+1)-G105)))</f>
        <v/>
      </c>
      <c r="AE105" t="str">
        <f>IF(OR($B105="",NOT(ISNUMBER(H105))),"",IF(COUNTIF(I105:$T105,H105)&gt;0,0,IF(COUNTIF($G105:$T105,"&gt;"&amp;H105)=0,"",SMALL($G105:$T105,COUNTIF($G105:$T105,"&lt;="&amp;H105)+1)-H105)))</f>
        <v/>
      </c>
      <c r="AF105">
        <f>IF(OR($B105="",NOT(ISNUMBER(I105))),"",IF(COUNTIF(J105:$T105,I105)&gt;0,0,IF(COUNTIF($G105:$T105,"&gt;"&amp;I105)=0,"",SMALL($G105:$T105,COUNTIF($G105:$T105,"&lt;="&amp;I105)+1)-I105)))</f>
        <v>3</v>
      </c>
      <c r="AG105">
        <f>IF(OR($B105="",NOT(ISNUMBER(J105))),"",IF(COUNTIF(K105:$T105,J105)&gt;0,0,IF(COUNTIF($G105:$T105,"&gt;"&amp;J105)=0,"",SMALL($G105:$T105,COUNTIF($G105:$T105,"&lt;="&amp;J105)+1)-J105)))</f>
        <v>0</v>
      </c>
      <c r="AH105" t="str">
        <f>IF(OR($B105="",NOT(ISNUMBER(K105))),"",IF(COUNTIF(L105:$T105,K105)&gt;0,0,IF(COUNTIF($G105:$T105,"&gt;"&amp;K105)=0,"",SMALL($G105:$T105,COUNTIF($G105:$T105,"&lt;="&amp;K105)+1)-K105)))</f>
        <v/>
      </c>
      <c r="AI105" t="str">
        <f>IF(OR($B105="",NOT(ISNUMBER(L105))),"",IF(COUNTIF(M105:$T105,L105)&gt;0,0,IF(COUNTIF($G105:$T105,"&gt;"&amp;L105)=0,"",SMALL($G105:$T105,COUNTIF($G105:$T105,"&lt;="&amp;L105)+1)-L105)))</f>
        <v/>
      </c>
      <c r="AJ105" t="str">
        <f>IF(OR($B105="",NOT(ISNUMBER(M105))),"",IF(COUNTIF(N105:$T105,M105)&gt;0,0,IF(COUNTIF($G105:$T105,"&gt;"&amp;M105)=0,"",SMALL($G105:$T105,COUNTIF($G105:$T105,"&lt;="&amp;M105)+1)-M105)))</f>
        <v/>
      </c>
      <c r="AK105" t="str">
        <f>IF(OR($B105="",NOT(ISNUMBER(N105))),"",IF(COUNTIF(O105:$T105,N105)&gt;0,0,IF(COUNTIF($G105:$T105,"&gt;"&amp;N105)=0,"",SMALL($G105:$T105,COUNTIF($G105:$T105,"&lt;="&amp;N105)+1)-N105)))</f>
        <v/>
      </c>
      <c r="AL105" t="str">
        <f>IF(OR($B105="",NOT(ISNUMBER(O105))),"",IF(COUNTIF(P105:$T105,O105)&gt;0,0,IF(COUNTIF($G105:$T105,"&gt;"&amp;O105)=0,"",SMALL($G105:$T105,COUNTIF($G105:$T105,"&lt;="&amp;O105)+1)-O105)))</f>
        <v/>
      </c>
      <c r="AM105" t="str">
        <f>IF(OR($B105="",NOT(ISNUMBER(P105))),"",IF(COUNTIF(Q105:$T105,P105)&gt;0,0,IF(COUNTIF($G105:$T105,"&gt;"&amp;P105)=0,"",SMALL($G105:$T105,COUNTIF($G105:$T105,"&lt;="&amp;P105)+1)-P105)))</f>
        <v/>
      </c>
      <c r="AN105" t="str">
        <f>IF(OR($B105="",NOT(ISNUMBER(Q105))),"",IF(COUNTIF(R105:$T105,Q105)&gt;0,0,IF(COUNTIF($G105:$T105,"&gt;"&amp;Q105)=0,"",SMALL($G105:$T105,COUNTIF($G105:$T105,"&lt;="&amp;Q105)+1)-Q105)))</f>
        <v/>
      </c>
      <c r="AO105" t="str">
        <f>IF(OR($B105="",NOT(ISNUMBER(R105))),"",IF(COUNTIF(S105:$T105,R105)&gt;0,0,IF(COUNTIF($G105:$T105,"&gt;"&amp;R105)=0,"",SMALL($G105:$T105,COUNTIF($G105:$T105,"&lt;="&amp;R105)+1)-R105)))</f>
        <v/>
      </c>
      <c r="AP105">
        <f t="shared" ca="1" si="20"/>
        <v>0</v>
      </c>
      <c r="AQ105" s="25" t="str">
        <f t="shared" si="21"/>
        <v/>
      </c>
      <c r="AR105" s="25" t="str">
        <f t="shared" si="22"/>
        <v/>
      </c>
      <c r="AS105" s="25">
        <f t="shared" si="23"/>
        <v>46294</v>
      </c>
      <c r="AT105" s="25">
        <f t="shared" si="24"/>
        <v>46294</v>
      </c>
      <c r="AU105" s="25" t="str">
        <f t="shared" si="25"/>
        <v/>
      </c>
      <c r="AV105" s="25" t="str">
        <f t="shared" si="26"/>
        <v/>
      </c>
      <c r="AW105" s="25" t="str">
        <f t="shared" si="27"/>
        <v/>
      </c>
      <c r="AX105" s="25" t="str">
        <f t="shared" si="28"/>
        <v/>
      </c>
      <c r="AY105" s="25" t="str">
        <f t="shared" si="29"/>
        <v/>
      </c>
      <c r="AZ105" s="25" t="str">
        <f t="shared" si="30"/>
        <v/>
      </c>
      <c r="BA105" s="25" t="str">
        <f t="shared" si="31"/>
        <v/>
      </c>
      <c r="BB105" s="25" t="str">
        <f t="shared" si="32"/>
        <v/>
      </c>
      <c r="BC105" s="25">
        <f t="shared" si="33"/>
        <v>46294</v>
      </c>
    </row>
    <row r="106" spans="1:55" x14ac:dyDescent="0.25">
      <c r="A106" s="151">
        <f t="shared" si="17"/>
        <v>104</v>
      </c>
      <c r="B106" s="151" t="s">
        <v>215</v>
      </c>
      <c r="C106" s="152" t="s">
        <v>107</v>
      </c>
      <c r="D106" s="151">
        <f t="shared" si="18"/>
        <v>1</v>
      </c>
      <c r="E106" s="151" t="s">
        <v>61</v>
      </c>
      <c r="F106" s="173">
        <v>46293</v>
      </c>
      <c r="G106" s="173"/>
      <c r="H106" s="173"/>
      <c r="I106" s="173">
        <v>46293</v>
      </c>
      <c r="J106" s="173">
        <v>46294</v>
      </c>
      <c r="K106" s="173"/>
      <c r="L106" s="173"/>
      <c r="M106" s="173"/>
      <c r="N106" s="173"/>
      <c r="O106" s="173"/>
      <c r="P106" s="173"/>
      <c r="Q106" s="173"/>
      <c r="R106" s="173"/>
      <c r="S106" s="173"/>
      <c r="T106" s="174">
        <v>46294</v>
      </c>
      <c r="U106" s="151"/>
      <c r="V106" s="152"/>
      <c r="W106" s="175"/>
      <c r="X106" s="173"/>
      <c r="Y106" s="173"/>
      <c r="Z106" s="176" t="str">
        <f>IF(B106="","",IF(S106&lt;&gt;"","Sevk Edildi",IF(AND(X106&lt;&gt;"",Y106=""),"Reworkte",IF(T106&lt;&gt;"","Kapandı"&amp;IF(COUNT(G106:R106)=0,""," – "&amp;LOOKUP(2,1/(G106:R106=MAX(G106:R106)),{"Tasarım","Ply Cutter","Üretim","Kalite (Üretim sonrası)","Talaşlı","Kalite (Talaşlı sonrası)","Montaj","Kalite (Montaj sonrası)","Boya","Kalite (Boya sonrası)","Yarı Mamül","KM"})),IF(COUNT(G106:R106)=0,"Başlamadı",LOOKUP(2,1/(G106:R106=MAX(G106:R106)),{"Tasarımda","Ply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06" s="177">
        <f t="shared" ca="1" si="19"/>
        <v>1</v>
      </c>
      <c r="AB106" s="175"/>
      <c r="AD106" t="str">
        <f>IF(OR($B106="",NOT(ISNUMBER(G106))),"",IF(COUNTIF(H106:$T106,G106)&gt;0,0,IF(COUNTIF($G106:$T106,"&gt;"&amp;G106)=0,"",SMALL($G106:$T106,COUNTIF($G106:$T106,"&lt;="&amp;G106)+1)-G106)))</f>
        <v/>
      </c>
      <c r="AE106" t="str">
        <f>IF(OR($B106="",NOT(ISNUMBER(H106))),"",IF(COUNTIF(I106:$T106,H106)&gt;0,0,IF(COUNTIF($G106:$T106,"&gt;"&amp;H106)=0,"",SMALL($G106:$T106,COUNTIF($G106:$T106,"&lt;="&amp;H106)+1)-H106)))</f>
        <v/>
      </c>
      <c r="AF106">
        <f>IF(OR($B106="",NOT(ISNUMBER(I106))),"",IF(COUNTIF(J106:$T106,I106)&gt;0,0,IF(COUNTIF($G106:$T106,"&gt;"&amp;I106)=0,"",SMALL($G106:$T106,COUNTIF($G106:$T106,"&lt;="&amp;I106)+1)-I106)))</f>
        <v>1</v>
      </c>
      <c r="AG106">
        <f>IF(OR($B106="",NOT(ISNUMBER(J106))),"",IF(COUNTIF(K106:$T106,J106)&gt;0,0,IF(COUNTIF($G106:$T106,"&gt;"&amp;J106)=0,"",SMALL($G106:$T106,COUNTIF($G106:$T106,"&lt;="&amp;J106)+1)-J106)))</f>
        <v>0</v>
      </c>
      <c r="AH106" t="str">
        <f>IF(OR($B106="",NOT(ISNUMBER(K106))),"",IF(COUNTIF(L106:$T106,K106)&gt;0,0,IF(COUNTIF($G106:$T106,"&gt;"&amp;K106)=0,"",SMALL($G106:$T106,COUNTIF($G106:$T106,"&lt;="&amp;K106)+1)-K106)))</f>
        <v/>
      </c>
      <c r="AI106" t="str">
        <f>IF(OR($B106="",NOT(ISNUMBER(L106))),"",IF(COUNTIF(M106:$T106,L106)&gt;0,0,IF(COUNTIF($G106:$T106,"&gt;"&amp;L106)=0,"",SMALL($G106:$T106,COUNTIF($G106:$T106,"&lt;="&amp;L106)+1)-L106)))</f>
        <v/>
      </c>
      <c r="AJ106" t="str">
        <f>IF(OR($B106="",NOT(ISNUMBER(M106))),"",IF(COUNTIF(N106:$T106,M106)&gt;0,0,IF(COUNTIF($G106:$T106,"&gt;"&amp;M106)=0,"",SMALL($G106:$T106,COUNTIF($G106:$T106,"&lt;="&amp;M106)+1)-M106)))</f>
        <v/>
      </c>
      <c r="AK106" t="str">
        <f>IF(OR($B106="",NOT(ISNUMBER(N106))),"",IF(COUNTIF(O106:$T106,N106)&gt;0,0,IF(COUNTIF($G106:$T106,"&gt;"&amp;N106)=0,"",SMALL($G106:$T106,COUNTIF($G106:$T106,"&lt;="&amp;N106)+1)-N106)))</f>
        <v/>
      </c>
      <c r="AL106" t="str">
        <f>IF(OR($B106="",NOT(ISNUMBER(O106))),"",IF(COUNTIF(P106:$T106,O106)&gt;0,0,IF(COUNTIF($G106:$T106,"&gt;"&amp;O106)=0,"",SMALL($G106:$T106,COUNTIF($G106:$T106,"&lt;="&amp;O106)+1)-O106)))</f>
        <v/>
      </c>
      <c r="AM106" t="str">
        <f>IF(OR($B106="",NOT(ISNUMBER(P106))),"",IF(COUNTIF(Q106:$T106,P106)&gt;0,0,IF(COUNTIF($G106:$T106,"&gt;"&amp;P106)=0,"",SMALL($G106:$T106,COUNTIF($G106:$T106,"&lt;="&amp;P106)+1)-P106)))</f>
        <v/>
      </c>
      <c r="AN106" t="str">
        <f>IF(OR($B106="",NOT(ISNUMBER(Q106))),"",IF(COUNTIF(R106:$T106,Q106)&gt;0,0,IF(COUNTIF($G106:$T106,"&gt;"&amp;Q106)=0,"",SMALL($G106:$T106,COUNTIF($G106:$T106,"&lt;="&amp;Q106)+1)-Q106)))</f>
        <v/>
      </c>
      <c r="AO106" t="str">
        <f>IF(OR($B106="",NOT(ISNUMBER(R106))),"",IF(COUNTIF(S106:$T106,R106)&gt;0,0,IF(COUNTIF($G106:$T106,"&gt;"&amp;R106)=0,"",SMALL($G106:$T106,COUNTIF($G106:$T106,"&lt;="&amp;R106)+1)-R106)))</f>
        <v/>
      </c>
      <c r="AP106">
        <f t="shared" ca="1" si="20"/>
        <v>0</v>
      </c>
      <c r="AQ106" s="25" t="str">
        <f t="shared" si="21"/>
        <v/>
      </c>
      <c r="AR106" s="25" t="str">
        <f t="shared" si="22"/>
        <v/>
      </c>
      <c r="AS106" s="25">
        <f t="shared" si="23"/>
        <v>46294</v>
      </c>
      <c r="AT106" s="25">
        <f t="shared" si="24"/>
        <v>46294</v>
      </c>
      <c r="AU106" s="25" t="str">
        <f t="shared" si="25"/>
        <v/>
      </c>
      <c r="AV106" s="25" t="str">
        <f t="shared" si="26"/>
        <v/>
      </c>
      <c r="AW106" s="25" t="str">
        <f t="shared" si="27"/>
        <v/>
      </c>
      <c r="AX106" s="25" t="str">
        <f t="shared" si="28"/>
        <v/>
      </c>
      <c r="AY106" s="25" t="str">
        <f t="shared" si="29"/>
        <v/>
      </c>
      <c r="AZ106" s="25" t="str">
        <f t="shared" si="30"/>
        <v/>
      </c>
      <c r="BA106" s="25" t="str">
        <f t="shared" si="31"/>
        <v/>
      </c>
      <c r="BB106" s="25" t="str">
        <f t="shared" si="32"/>
        <v/>
      </c>
      <c r="BC106" s="25">
        <f t="shared" si="33"/>
        <v>46294</v>
      </c>
    </row>
    <row r="107" spans="1:55" x14ac:dyDescent="0.25">
      <c r="A107" s="151">
        <f t="shared" si="17"/>
        <v>105</v>
      </c>
      <c r="B107" s="151" t="s">
        <v>216</v>
      </c>
      <c r="C107" s="152" t="s">
        <v>217</v>
      </c>
      <c r="D107" s="151">
        <f t="shared" si="18"/>
        <v>15</v>
      </c>
      <c r="E107" s="151" t="s">
        <v>100</v>
      </c>
      <c r="F107" s="173">
        <v>46293</v>
      </c>
      <c r="G107" s="173"/>
      <c r="H107" s="173"/>
      <c r="I107" s="173"/>
      <c r="J107" s="173"/>
      <c r="K107" s="173">
        <v>46293</v>
      </c>
      <c r="L107" s="173">
        <v>46293</v>
      </c>
      <c r="M107" s="173"/>
      <c r="N107" s="173"/>
      <c r="O107" s="173"/>
      <c r="P107" s="173"/>
      <c r="Q107" s="173"/>
      <c r="R107" s="173"/>
      <c r="S107" s="173"/>
      <c r="T107" s="174">
        <v>46293</v>
      </c>
      <c r="U107" s="151"/>
      <c r="V107" s="152"/>
      <c r="W107" s="175"/>
      <c r="X107" s="173"/>
      <c r="Y107" s="173"/>
      <c r="Z107" s="176" t="str">
        <f>IF(B107="","",IF(S107&lt;&gt;"","Sevk Edildi",IF(AND(X107&lt;&gt;"",Y107=""),"Reworkte",IF(T107&lt;&gt;"","Kapandı"&amp;IF(COUNT(G107:R107)=0,""," – "&amp;LOOKUP(2,1/(G107:R107=MAX(G107:R107)),{"Tasarım","Ply Cutter","Üretim","Kalite (Üretim sonrası)","Talaşlı","Kalite (Talaşlı sonrası)","Montaj","Kalite (Montaj sonrası)","Boya","Kalite (Boya sonrası)","Yarı Mamül","KM"})),IF(COUNT(G107:R107)=0,"Başlamadı",LOOKUP(2,1/(G107:R107=MAX(G107:R107)),{"Tasarımda","Ply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107" s="177">
        <f t="shared" ca="1" si="19"/>
        <v>0</v>
      </c>
      <c r="AB107" s="175"/>
      <c r="AD107" t="str">
        <f>IF(OR($B107="",NOT(ISNUMBER(G107))),"",IF(COUNTIF(H107:$T107,G107)&gt;0,0,IF(COUNTIF($G107:$T107,"&gt;"&amp;G107)=0,"",SMALL($G107:$T107,COUNTIF($G107:$T107,"&lt;="&amp;G107)+1)-G107)))</f>
        <v/>
      </c>
      <c r="AE107" t="str">
        <f>IF(OR($B107="",NOT(ISNUMBER(H107))),"",IF(COUNTIF(I107:$T107,H107)&gt;0,0,IF(COUNTIF($G107:$T107,"&gt;"&amp;H107)=0,"",SMALL($G107:$T107,COUNTIF($G107:$T107,"&lt;="&amp;H107)+1)-H107)))</f>
        <v/>
      </c>
      <c r="AF107" t="str">
        <f>IF(OR($B107="",NOT(ISNUMBER(I107))),"",IF(COUNTIF(J107:$T107,I107)&gt;0,0,IF(COUNTIF($G107:$T107,"&gt;"&amp;I107)=0,"",SMALL($G107:$T107,COUNTIF($G107:$T107,"&lt;="&amp;I107)+1)-I107)))</f>
        <v/>
      </c>
      <c r="AG107" t="str">
        <f>IF(OR($B107="",NOT(ISNUMBER(J107))),"",IF(COUNTIF(K107:$T107,J107)&gt;0,0,IF(COUNTIF($G107:$T107,"&gt;"&amp;J107)=0,"",SMALL($G107:$T107,COUNTIF($G107:$T107,"&lt;="&amp;J107)+1)-J107)))</f>
        <v/>
      </c>
      <c r="AH107">
        <f>IF(OR($B107="",NOT(ISNUMBER(K107))),"",IF(COUNTIF(L107:$T107,K107)&gt;0,0,IF(COUNTIF($G107:$T107,"&gt;"&amp;K107)=0,"",SMALL($G107:$T107,COUNTIF($G107:$T107,"&lt;="&amp;K107)+1)-K107)))</f>
        <v>0</v>
      </c>
      <c r="AI107">
        <f>IF(OR($B107="",NOT(ISNUMBER(L107))),"",IF(COUNTIF(M107:$T107,L107)&gt;0,0,IF(COUNTIF($G107:$T107,"&gt;"&amp;L107)=0,"",SMALL($G107:$T107,COUNTIF($G107:$T107,"&lt;="&amp;L107)+1)-L107)))</f>
        <v>0</v>
      </c>
      <c r="AJ107" t="str">
        <f>IF(OR($B107="",NOT(ISNUMBER(M107))),"",IF(COUNTIF(N107:$T107,M107)&gt;0,0,IF(COUNTIF($G107:$T107,"&gt;"&amp;M107)=0,"",SMALL($G107:$T107,COUNTIF($G107:$T107,"&lt;="&amp;M107)+1)-M107)))</f>
        <v/>
      </c>
      <c r="AK107" t="str">
        <f>IF(OR($B107="",NOT(ISNUMBER(N107))),"",IF(COUNTIF(O107:$T107,N107)&gt;0,0,IF(COUNTIF($G107:$T107,"&gt;"&amp;N107)=0,"",SMALL($G107:$T107,COUNTIF($G107:$T107,"&lt;="&amp;N107)+1)-N107)))</f>
        <v/>
      </c>
      <c r="AL107" t="str">
        <f>IF(OR($B107="",NOT(ISNUMBER(O107))),"",IF(COUNTIF(P107:$T107,O107)&gt;0,0,IF(COUNTIF($G107:$T107,"&gt;"&amp;O107)=0,"",SMALL($G107:$T107,COUNTIF($G107:$T107,"&lt;="&amp;O107)+1)-O107)))</f>
        <v/>
      </c>
      <c r="AM107" t="str">
        <f>IF(OR($B107="",NOT(ISNUMBER(P107))),"",IF(COUNTIF(Q107:$T107,P107)&gt;0,0,IF(COUNTIF($G107:$T107,"&gt;"&amp;P107)=0,"",SMALL($G107:$T107,COUNTIF($G107:$T107,"&lt;="&amp;P107)+1)-P107)))</f>
        <v/>
      </c>
      <c r="AN107" t="str">
        <f>IF(OR($B107="",NOT(ISNUMBER(Q107))),"",IF(COUNTIF(R107:$T107,Q107)&gt;0,0,IF(COUNTIF($G107:$T107,"&gt;"&amp;Q107)=0,"",SMALL($G107:$T107,COUNTIF($G107:$T107,"&lt;="&amp;Q107)+1)-Q107)))</f>
        <v/>
      </c>
      <c r="AO107" t="str">
        <f>IF(OR($B107="",NOT(ISNUMBER(R107))),"",IF(COUNTIF(S107:$T107,R107)&gt;0,0,IF(COUNTIF($G107:$T107,"&gt;"&amp;R107)=0,"",SMALL($G107:$T107,COUNTIF($G107:$T107,"&lt;="&amp;R107)+1)-R107)))</f>
        <v/>
      </c>
      <c r="AP107">
        <f t="shared" ca="1" si="20"/>
        <v>0</v>
      </c>
      <c r="AQ107" s="25" t="str">
        <f t="shared" si="21"/>
        <v/>
      </c>
      <c r="AR107" s="25" t="str">
        <f t="shared" si="22"/>
        <v/>
      </c>
      <c r="AS107" s="25" t="str">
        <f t="shared" si="23"/>
        <v/>
      </c>
      <c r="AT107" s="25" t="str">
        <f t="shared" si="24"/>
        <v/>
      </c>
      <c r="AU107" s="25">
        <f t="shared" si="25"/>
        <v>46293</v>
      </c>
      <c r="AV107" s="25">
        <f t="shared" si="26"/>
        <v>46293</v>
      </c>
      <c r="AW107" s="25" t="str">
        <f t="shared" si="27"/>
        <v/>
      </c>
      <c r="AX107" s="25" t="str">
        <f t="shared" si="28"/>
        <v/>
      </c>
      <c r="AY107" s="25" t="str">
        <f t="shared" si="29"/>
        <v/>
      </c>
      <c r="AZ107" s="25" t="str">
        <f t="shared" si="30"/>
        <v/>
      </c>
      <c r="BA107" s="25" t="str">
        <f t="shared" si="31"/>
        <v/>
      </c>
      <c r="BB107" s="25" t="str">
        <f t="shared" si="32"/>
        <v/>
      </c>
      <c r="BC107" s="25">
        <f t="shared" si="33"/>
        <v>46293</v>
      </c>
    </row>
    <row r="108" spans="1:55" x14ac:dyDescent="0.25">
      <c r="A108" s="151">
        <f t="shared" si="17"/>
        <v>106</v>
      </c>
      <c r="B108" s="151" t="s">
        <v>218</v>
      </c>
      <c r="C108" s="152" t="s">
        <v>107</v>
      </c>
      <c r="D108" s="151">
        <f t="shared" si="18"/>
        <v>1</v>
      </c>
      <c r="E108" s="151" t="s">
        <v>61</v>
      </c>
      <c r="F108" s="173">
        <v>46293</v>
      </c>
      <c r="G108" s="173"/>
      <c r="H108" s="173"/>
      <c r="I108" s="173">
        <v>46293</v>
      </c>
      <c r="J108" s="173">
        <v>46294</v>
      </c>
      <c r="K108" s="173"/>
      <c r="L108" s="173"/>
      <c r="M108" s="173"/>
      <c r="N108" s="173"/>
      <c r="O108" s="173"/>
      <c r="P108" s="173"/>
      <c r="Q108" s="173"/>
      <c r="R108" s="173"/>
      <c r="S108" s="173"/>
      <c r="T108" s="174">
        <v>46294</v>
      </c>
      <c r="U108" s="151"/>
      <c r="V108" s="152"/>
      <c r="W108" s="175"/>
      <c r="X108" s="173"/>
      <c r="Y108" s="173"/>
      <c r="Z108" s="176" t="str">
        <f>IF(B108="","",IF(S108&lt;&gt;"","Sevk Edildi",IF(AND(X108&lt;&gt;"",Y108=""),"Reworkte",IF(T108&lt;&gt;"","Kapandı"&amp;IF(COUNT(G108:R108)=0,""," – "&amp;LOOKUP(2,1/(G108:R108=MAX(G108:R108)),{"Tasarım","Ply Cutter","Üretim","Kalite (Üretim sonrası)","Talaşlı","Kalite (Talaşlı sonrası)","Montaj","Kalite (Montaj sonrası)","Boya","Kalite (Boya sonrası)","Yarı Mamül","KM"})),IF(COUNT(G108:R108)=0,"Başlamadı",LOOKUP(2,1/(G108:R108=MAX(G108:R108)),{"Tasarımda","Ply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08" s="177">
        <f t="shared" ca="1" si="19"/>
        <v>1</v>
      </c>
      <c r="AB108" s="175"/>
      <c r="AD108" t="str">
        <f>IF(OR($B108="",NOT(ISNUMBER(G108))),"",IF(COUNTIF(H108:$T108,G108)&gt;0,0,IF(COUNTIF($G108:$T108,"&gt;"&amp;G108)=0,"",SMALL($G108:$T108,COUNTIF($G108:$T108,"&lt;="&amp;G108)+1)-G108)))</f>
        <v/>
      </c>
      <c r="AE108" t="str">
        <f>IF(OR($B108="",NOT(ISNUMBER(H108))),"",IF(COUNTIF(I108:$T108,H108)&gt;0,0,IF(COUNTIF($G108:$T108,"&gt;"&amp;H108)=0,"",SMALL($G108:$T108,COUNTIF($G108:$T108,"&lt;="&amp;H108)+1)-H108)))</f>
        <v/>
      </c>
      <c r="AF108">
        <f>IF(OR($B108="",NOT(ISNUMBER(I108))),"",IF(COUNTIF(J108:$T108,I108)&gt;0,0,IF(COUNTIF($G108:$T108,"&gt;"&amp;I108)=0,"",SMALL($G108:$T108,COUNTIF($G108:$T108,"&lt;="&amp;I108)+1)-I108)))</f>
        <v>1</v>
      </c>
      <c r="AG108">
        <f>IF(OR($B108="",NOT(ISNUMBER(J108))),"",IF(COUNTIF(K108:$T108,J108)&gt;0,0,IF(COUNTIF($G108:$T108,"&gt;"&amp;J108)=0,"",SMALL($G108:$T108,COUNTIF($G108:$T108,"&lt;="&amp;J108)+1)-J108)))</f>
        <v>0</v>
      </c>
      <c r="AH108" t="str">
        <f>IF(OR($B108="",NOT(ISNUMBER(K108))),"",IF(COUNTIF(L108:$T108,K108)&gt;0,0,IF(COUNTIF($G108:$T108,"&gt;"&amp;K108)=0,"",SMALL($G108:$T108,COUNTIF($G108:$T108,"&lt;="&amp;K108)+1)-K108)))</f>
        <v/>
      </c>
      <c r="AI108" t="str">
        <f>IF(OR($B108="",NOT(ISNUMBER(L108))),"",IF(COUNTIF(M108:$T108,L108)&gt;0,0,IF(COUNTIF($G108:$T108,"&gt;"&amp;L108)=0,"",SMALL($G108:$T108,COUNTIF($G108:$T108,"&lt;="&amp;L108)+1)-L108)))</f>
        <v/>
      </c>
      <c r="AJ108" t="str">
        <f>IF(OR($B108="",NOT(ISNUMBER(M108))),"",IF(COUNTIF(N108:$T108,M108)&gt;0,0,IF(COUNTIF($G108:$T108,"&gt;"&amp;M108)=0,"",SMALL($G108:$T108,COUNTIF($G108:$T108,"&lt;="&amp;M108)+1)-M108)))</f>
        <v/>
      </c>
      <c r="AK108" t="str">
        <f>IF(OR($B108="",NOT(ISNUMBER(N108))),"",IF(COUNTIF(O108:$T108,N108)&gt;0,0,IF(COUNTIF($G108:$T108,"&gt;"&amp;N108)=0,"",SMALL($G108:$T108,COUNTIF($G108:$T108,"&lt;="&amp;N108)+1)-N108)))</f>
        <v/>
      </c>
      <c r="AL108" t="str">
        <f>IF(OR($B108="",NOT(ISNUMBER(O108))),"",IF(COUNTIF(P108:$T108,O108)&gt;0,0,IF(COUNTIF($G108:$T108,"&gt;"&amp;O108)=0,"",SMALL($G108:$T108,COUNTIF($G108:$T108,"&lt;="&amp;O108)+1)-O108)))</f>
        <v/>
      </c>
      <c r="AM108" t="str">
        <f>IF(OR($B108="",NOT(ISNUMBER(P108))),"",IF(COUNTIF(Q108:$T108,P108)&gt;0,0,IF(COUNTIF($G108:$T108,"&gt;"&amp;P108)=0,"",SMALL($G108:$T108,COUNTIF($G108:$T108,"&lt;="&amp;P108)+1)-P108)))</f>
        <v/>
      </c>
      <c r="AN108" t="str">
        <f>IF(OR($B108="",NOT(ISNUMBER(Q108))),"",IF(COUNTIF(R108:$T108,Q108)&gt;0,0,IF(COUNTIF($G108:$T108,"&gt;"&amp;Q108)=0,"",SMALL($G108:$T108,COUNTIF($G108:$T108,"&lt;="&amp;Q108)+1)-Q108)))</f>
        <v/>
      </c>
      <c r="AO108" t="str">
        <f>IF(OR($B108="",NOT(ISNUMBER(R108))),"",IF(COUNTIF(S108:$T108,R108)&gt;0,0,IF(COUNTIF($G108:$T108,"&gt;"&amp;R108)=0,"",SMALL($G108:$T108,COUNTIF($G108:$T108,"&lt;="&amp;R108)+1)-R108)))</f>
        <v/>
      </c>
      <c r="AP108">
        <f t="shared" ca="1" si="20"/>
        <v>0</v>
      </c>
      <c r="AQ108" s="25" t="str">
        <f t="shared" si="21"/>
        <v/>
      </c>
      <c r="AR108" s="25" t="str">
        <f t="shared" si="22"/>
        <v/>
      </c>
      <c r="AS108" s="25">
        <f t="shared" si="23"/>
        <v>46294</v>
      </c>
      <c r="AT108" s="25">
        <f t="shared" si="24"/>
        <v>46294</v>
      </c>
      <c r="AU108" s="25" t="str">
        <f t="shared" si="25"/>
        <v/>
      </c>
      <c r="AV108" s="25" t="str">
        <f t="shared" si="26"/>
        <v/>
      </c>
      <c r="AW108" s="25" t="str">
        <f t="shared" si="27"/>
        <v/>
      </c>
      <c r="AX108" s="25" t="str">
        <f t="shared" si="28"/>
        <v/>
      </c>
      <c r="AY108" s="25" t="str">
        <f t="shared" si="29"/>
        <v/>
      </c>
      <c r="AZ108" s="25" t="str">
        <f t="shared" si="30"/>
        <v/>
      </c>
      <c r="BA108" s="25" t="str">
        <f t="shared" si="31"/>
        <v/>
      </c>
      <c r="BB108" s="25" t="str">
        <f t="shared" si="32"/>
        <v/>
      </c>
      <c r="BC108" s="25">
        <f t="shared" si="33"/>
        <v>46294</v>
      </c>
    </row>
    <row r="109" spans="1:55" x14ac:dyDescent="0.25">
      <c r="A109" s="151">
        <f t="shared" si="17"/>
        <v>107</v>
      </c>
      <c r="B109" s="151" t="s">
        <v>219</v>
      </c>
      <c r="C109" s="152" t="s">
        <v>107</v>
      </c>
      <c r="D109" s="151">
        <f t="shared" si="18"/>
        <v>1</v>
      </c>
      <c r="E109" s="151" t="s">
        <v>61</v>
      </c>
      <c r="F109" s="173">
        <v>46293</v>
      </c>
      <c r="G109" s="173"/>
      <c r="H109" s="173"/>
      <c r="I109" s="173">
        <v>46293</v>
      </c>
      <c r="J109" s="173">
        <v>46294</v>
      </c>
      <c r="K109" s="173"/>
      <c r="L109" s="173"/>
      <c r="M109" s="173"/>
      <c r="N109" s="173"/>
      <c r="O109" s="173"/>
      <c r="P109" s="173"/>
      <c r="Q109" s="173"/>
      <c r="R109" s="173"/>
      <c r="S109" s="173"/>
      <c r="T109" s="174">
        <v>46294</v>
      </c>
      <c r="U109" s="151"/>
      <c r="V109" s="152"/>
      <c r="W109" s="175"/>
      <c r="X109" s="173"/>
      <c r="Y109" s="173"/>
      <c r="Z109" s="176" t="str">
        <f>IF(B109="","",IF(S109&lt;&gt;"","Sevk Edildi",IF(AND(X109&lt;&gt;"",Y109=""),"Reworkte",IF(T109&lt;&gt;"","Kapandı"&amp;IF(COUNT(G109:R109)=0,""," – "&amp;LOOKUP(2,1/(G109:R109=MAX(G109:R109)),{"Tasarım","Ply Cutter","Üretim","Kalite (Üretim sonrası)","Talaşlı","Kalite (Talaşlı sonrası)","Montaj","Kalite (Montaj sonrası)","Boya","Kalite (Boya sonrası)","Yarı Mamül","KM"})),IF(COUNT(G109:R109)=0,"Başlamadı",LOOKUP(2,1/(G109:R109=MAX(G109:R109)),{"Tasarımda","Ply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09" s="177">
        <f t="shared" ca="1" si="19"/>
        <v>1</v>
      </c>
      <c r="AB109" s="175"/>
      <c r="AD109" t="str">
        <f>IF(OR($B109="",NOT(ISNUMBER(G109))),"",IF(COUNTIF(H109:$T109,G109)&gt;0,0,IF(COUNTIF($G109:$T109,"&gt;"&amp;G109)=0,"",SMALL($G109:$T109,COUNTIF($G109:$T109,"&lt;="&amp;G109)+1)-G109)))</f>
        <v/>
      </c>
      <c r="AE109" t="str">
        <f>IF(OR($B109="",NOT(ISNUMBER(H109))),"",IF(COUNTIF(I109:$T109,H109)&gt;0,0,IF(COUNTIF($G109:$T109,"&gt;"&amp;H109)=0,"",SMALL($G109:$T109,COUNTIF($G109:$T109,"&lt;="&amp;H109)+1)-H109)))</f>
        <v/>
      </c>
      <c r="AF109">
        <f>IF(OR($B109="",NOT(ISNUMBER(I109))),"",IF(COUNTIF(J109:$T109,I109)&gt;0,0,IF(COUNTIF($G109:$T109,"&gt;"&amp;I109)=0,"",SMALL($G109:$T109,COUNTIF($G109:$T109,"&lt;="&amp;I109)+1)-I109)))</f>
        <v>1</v>
      </c>
      <c r="AG109">
        <f>IF(OR($B109="",NOT(ISNUMBER(J109))),"",IF(COUNTIF(K109:$T109,J109)&gt;0,0,IF(COUNTIF($G109:$T109,"&gt;"&amp;J109)=0,"",SMALL($G109:$T109,COUNTIF($G109:$T109,"&lt;="&amp;J109)+1)-J109)))</f>
        <v>0</v>
      </c>
      <c r="AH109" t="str">
        <f>IF(OR($B109="",NOT(ISNUMBER(K109))),"",IF(COUNTIF(L109:$T109,K109)&gt;0,0,IF(COUNTIF($G109:$T109,"&gt;"&amp;K109)=0,"",SMALL($G109:$T109,COUNTIF($G109:$T109,"&lt;="&amp;K109)+1)-K109)))</f>
        <v/>
      </c>
      <c r="AI109" t="str">
        <f>IF(OR($B109="",NOT(ISNUMBER(L109))),"",IF(COUNTIF(M109:$T109,L109)&gt;0,0,IF(COUNTIF($G109:$T109,"&gt;"&amp;L109)=0,"",SMALL($G109:$T109,COUNTIF($G109:$T109,"&lt;="&amp;L109)+1)-L109)))</f>
        <v/>
      </c>
      <c r="AJ109" t="str">
        <f>IF(OR($B109="",NOT(ISNUMBER(M109))),"",IF(COUNTIF(N109:$T109,M109)&gt;0,0,IF(COUNTIF($G109:$T109,"&gt;"&amp;M109)=0,"",SMALL($G109:$T109,COUNTIF($G109:$T109,"&lt;="&amp;M109)+1)-M109)))</f>
        <v/>
      </c>
      <c r="AK109" t="str">
        <f>IF(OR($B109="",NOT(ISNUMBER(N109))),"",IF(COUNTIF(O109:$T109,N109)&gt;0,0,IF(COUNTIF($G109:$T109,"&gt;"&amp;N109)=0,"",SMALL($G109:$T109,COUNTIF($G109:$T109,"&lt;="&amp;N109)+1)-N109)))</f>
        <v/>
      </c>
      <c r="AL109" t="str">
        <f>IF(OR($B109="",NOT(ISNUMBER(O109))),"",IF(COUNTIF(P109:$T109,O109)&gt;0,0,IF(COUNTIF($G109:$T109,"&gt;"&amp;O109)=0,"",SMALL($G109:$T109,COUNTIF($G109:$T109,"&lt;="&amp;O109)+1)-O109)))</f>
        <v/>
      </c>
      <c r="AM109" t="str">
        <f>IF(OR($B109="",NOT(ISNUMBER(P109))),"",IF(COUNTIF(Q109:$T109,P109)&gt;0,0,IF(COUNTIF($G109:$T109,"&gt;"&amp;P109)=0,"",SMALL($G109:$T109,COUNTIF($G109:$T109,"&lt;="&amp;P109)+1)-P109)))</f>
        <v/>
      </c>
      <c r="AN109" t="str">
        <f>IF(OR($B109="",NOT(ISNUMBER(Q109))),"",IF(COUNTIF(R109:$T109,Q109)&gt;0,0,IF(COUNTIF($G109:$T109,"&gt;"&amp;Q109)=0,"",SMALL($G109:$T109,COUNTIF($G109:$T109,"&lt;="&amp;Q109)+1)-Q109)))</f>
        <v/>
      </c>
      <c r="AO109" t="str">
        <f>IF(OR($B109="",NOT(ISNUMBER(R109))),"",IF(COUNTIF(S109:$T109,R109)&gt;0,0,IF(COUNTIF($G109:$T109,"&gt;"&amp;R109)=0,"",SMALL($G109:$T109,COUNTIF($G109:$T109,"&lt;="&amp;R109)+1)-R109)))</f>
        <v/>
      </c>
      <c r="AP109">
        <f t="shared" ca="1" si="20"/>
        <v>0</v>
      </c>
      <c r="AQ109" s="25" t="str">
        <f t="shared" si="21"/>
        <v/>
      </c>
      <c r="AR109" s="25" t="str">
        <f t="shared" si="22"/>
        <v/>
      </c>
      <c r="AS109" s="25">
        <f t="shared" si="23"/>
        <v>46294</v>
      </c>
      <c r="AT109" s="25">
        <f t="shared" si="24"/>
        <v>46294</v>
      </c>
      <c r="AU109" s="25" t="str">
        <f t="shared" si="25"/>
        <v/>
      </c>
      <c r="AV109" s="25" t="str">
        <f t="shared" si="26"/>
        <v/>
      </c>
      <c r="AW109" s="25" t="str">
        <f t="shared" si="27"/>
        <v/>
      </c>
      <c r="AX109" s="25" t="str">
        <f t="shared" si="28"/>
        <v/>
      </c>
      <c r="AY109" s="25" t="str">
        <f t="shared" si="29"/>
        <v/>
      </c>
      <c r="AZ109" s="25" t="str">
        <f t="shared" si="30"/>
        <v/>
      </c>
      <c r="BA109" s="25" t="str">
        <f t="shared" si="31"/>
        <v/>
      </c>
      <c r="BB109" s="25" t="str">
        <f t="shared" si="32"/>
        <v/>
      </c>
      <c r="BC109" s="25">
        <f t="shared" si="33"/>
        <v>46294</v>
      </c>
    </row>
    <row r="110" spans="1:55" x14ac:dyDescent="0.25">
      <c r="A110" s="151">
        <f t="shared" si="17"/>
        <v>108</v>
      </c>
      <c r="B110" s="151" t="s">
        <v>220</v>
      </c>
      <c r="C110" s="152" t="s">
        <v>64</v>
      </c>
      <c r="D110" s="151">
        <f t="shared" si="18"/>
        <v>1</v>
      </c>
      <c r="E110" s="151" t="s">
        <v>61</v>
      </c>
      <c r="F110" s="173">
        <v>46293</v>
      </c>
      <c r="G110" s="173"/>
      <c r="H110" s="173"/>
      <c r="I110" s="173">
        <v>46293</v>
      </c>
      <c r="J110" s="173">
        <v>46295</v>
      </c>
      <c r="K110" s="173"/>
      <c r="L110" s="173"/>
      <c r="M110" s="173"/>
      <c r="N110" s="173"/>
      <c r="O110" s="173"/>
      <c r="P110" s="173"/>
      <c r="Q110" s="173"/>
      <c r="R110" s="173"/>
      <c r="S110" s="173"/>
      <c r="T110" s="174">
        <v>46295</v>
      </c>
      <c r="U110" s="151"/>
      <c r="V110" s="152"/>
      <c r="W110" s="175"/>
      <c r="X110" s="173"/>
      <c r="Y110" s="173"/>
      <c r="Z110" s="176" t="str">
        <f>IF(B110="","",IF(S110&lt;&gt;"","Sevk Edildi",IF(AND(X110&lt;&gt;"",Y110=""),"Reworkte",IF(T110&lt;&gt;"","Kapandı"&amp;IF(COUNT(G110:R110)=0,""," – "&amp;LOOKUP(2,1/(G110:R110=MAX(G110:R110)),{"Tasarım","Ply Cutter","Üretim","Kalite (Üretim sonrası)","Talaşlı","Kalite (Talaşlı sonrası)","Montaj","Kalite (Montaj sonrası)","Boya","Kalite (Boya sonrası)","Yarı Mamül","KM"})),IF(COUNT(G110:R110)=0,"Başlamadı",LOOKUP(2,1/(G110:R110=MAX(G110:R110)),{"Tasarımda","Ply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10" s="177">
        <f t="shared" ca="1" si="19"/>
        <v>2</v>
      </c>
      <c r="AB110" s="175"/>
      <c r="AD110" t="str">
        <f>IF(OR($B110="",NOT(ISNUMBER(G110))),"",IF(COUNTIF(H110:$T110,G110)&gt;0,0,IF(COUNTIF($G110:$T110,"&gt;"&amp;G110)=0,"",SMALL($G110:$T110,COUNTIF($G110:$T110,"&lt;="&amp;G110)+1)-G110)))</f>
        <v/>
      </c>
      <c r="AE110" t="str">
        <f>IF(OR($B110="",NOT(ISNUMBER(H110))),"",IF(COUNTIF(I110:$T110,H110)&gt;0,0,IF(COUNTIF($G110:$T110,"&gt;"&amp;H110)=0,"",SMALL($G110:$T110,COUNTIF($G110:$T110,"&lt;="&amp;H110)+1)-H110)))</f>
        <v/>
      </c>
      <c r="AF110">
        <f>IF(OR($B110="",NOT(ISNUMBER(I110))),"",IF(COUNTIF(J110:$T110,I110)&gt;0,0,IF(COUNTIF($G110:$T110,"&gt;"&amp;I110)=0,"",SMALL($G110:$T110,COUNTIF($G110:$T110,"&lt;="&amp;I110)+1)-I110)))</f>
        <v>2</v>
      </c>
      <c r="AG110">
        <f>IF(OR($B110="",NOT(ISNUMBER(J110))),"",IF(COUNTIF(K110:$T110,J110)&gt;0,0,IF(COUNTIF($G110:$T110,"&gt;"&amp;J110)=0,"",SMALL($G110:$T110,COUNTIF($G110:$T110,"&lt;="&amp;J110)+1)-J110)))</f>
        <v>0</v>
      </c>
      <c r="AH110" t="str">
        <f>IF(OR($B110="",NOT(ISNUMBER(K110))),"",IF(COUNTIF(L110:$T110,K110)&gt;0,0,IF(COUNTIF($G110:$T110,"&gt;"&amp;K110)=0,"",SMALL($G110:$T110,COUNTIF($G110:$T110,"&lt;="&amp;K110)+1)-K110)))</f>
        <v/>
      </c>
      <c r="AI110" t="str">
        <f>IF(OR($B110="",NOT(ISNUMBER(L110))),"",IF(COUNTIF(M110:$T110,L110)&gt;0,0,IF(COUNTIF($G110:$T110,"&gt;"&amp;L110)=0,"",SMALL($G110:$T110,COUNTIF($G110:$T110,"&lt;="&amp;L110)+1)-L110)))</f>
        <v/>
      </c>
      <c r="AJ110" t="str">
        <f>IF(OR($B110="",NOT(ISNUMBER(M110))),"",IF(COUNTIF(N110:$T110,M110)&gt;0,0,IF(COUNTIF($G110:$T110,"&gt;"&amp;M110)=0,"",SMALL($G110:$T110,COUNTIF($G110:$T110,"&lt;="&amp;M110)+1)-M110)))</f>
        <v/>
      </c>
      <c r="AK110" t="str">
        <f>IF(OR($B110="",NOT(ISNUMBER(N110))),"",IF(COUNTIF(O110:$T110,N110)&gt;0,0,IF(COUNTIF($G110:$T110,"&gt;"&amp;N110)=0,"",SMALL($G110:$T110,COUNTIF($G110:$T110,"&lt;="&amp;N110)+1)-N110)))</f>
        <v/>
      </c>
      <c r="AL110" t="str">
        <f>IF(OR($B110="",NOT(ISNUMBER(O110))),"",IF(COUNTIF(P110:$T110,O110)&gt;0,0,IF(COUNTIF($G110:$T110,"&gt;"&amp;O110)=0,"",SMALL($G110:$T110,COUNTIF($G110:$T110,"&lt;="&amp;O110)+1)-O110)))</f>
        <v/>
      </c>
      <c r="AM110" t="str">
        <f>IF(OR($B110="",NOT(ISNUMBER(P110))),"",IF(COUNTIF(Q110:$T110,P110)&gt;0,0,IF(COUNTIF($G110:$T110,"&gt;"&amp;P110)=0,"",SMALL($G110:$T110,COUNTIF($G110:$T110,"&lt;="&amp;P110)+1)-P110)))</f>
        <v/>
      </c>
      <c r="AN110" t="str">
        <f>IF(OR($B110="",NOT(ISNUMBER(Q110))),"",IF(COUNTIF(R110:$T110,Q110)&gt;0,0,IF(COUNTIF($G110:$T110,"&gt;"&amp;Q110)=0,"",SMALL($G110:$T110,COUNTIF($G110:$T110,"&lt;="&amp;Q110)+1)-Q110)))</f>
        <v/>
      </c>
      <c r="AO110" t="str">
        <f>IF(OR($B110="",NOT(ISNUMBER(R110))),"",IF(COUNTIF(S110:$T110,R110)&gt;0,0,IF(COUNTIF($G110:$T110,"&gt;"&amp;R110)=0,"",SMALL($G110:$T110,COUNTIF($G110:$T110,"&lt;="&amp;R110)+1)-R110)))</f>
        <v/>
      </c>
      <c r="AP110">
        <f t="shared" ca="1" si="20"/>
        <v>0</v>
      </c>
      <c r="AQ110" s="25" t="str">
        <f t="shared" si="21"/>
        <v/>
      </c>
      <c r="AR110" s="25" t="str">
        <f t="shared" si="22"/>
        <v/>
      </c>
      <c r="AS110" s="25">
        <f t="shared" si="23"/>
        <v>46295</v>
      </c>
      <c r="AT110" s="25">
        <f t="shared" si="24"/>
        <v>46295</v>
      </c>
      <c r="AU110" s="25" t="str">
        <f t="shared" si="25"/>
        <v/>
      </c>
      <c r="AV110" s="25" t="str">
        <f t="shared" si="26"/>
        <v/>
      </c>
      <c r="AW110" s="25" t="str">
        <f t="shared" si="27"/>
        <v/>
      </c>
      <c r="AX110" s="25" t="str">
        <f t="shared" si="28"/>
        <v/>
      </c>
      <c r="AY110" s="25" t="str">
        <f t="shared" si="29"/>
        <v/>
      </c>
      <c r="AZ110" s="25" t="str">
        <f t="shared" si="30"/>
        <v/>
      </c>
      <c r="BA110" s="25" t="str">
        <f t="shared" si="31"/>
        <v/>
      </c>
      <c r="BB110" s="25" t="str">
        <f t="shared" si="32"/>
        <v/>
      </c>
      <c r="BC110" s="25">
        <f t="shared" si="33"/>
        <v>46295</v>
      </c>
    </row>
    <row r="111" spans="1:55" x14ac:dyDescent="0.25">
      <c r="A111" s="151">
        <f t="shared" si="17"/>
        <v>109</v>
      </c>
      <c r="B111" s="151" t="s">
        <v>221</v>
      </c>
      <c r="C111" s="152" t="s">
        <v>74</v>
      </c>
      <c r="D111" s="151">
        <f t="shared" si="18"/>
        <v>1</v>
      </c>
      <c r="E111" s="151" t="s">
        <v>61</v>
      </c>
      <c r="F111" s="173">
        <v>46293</v>
      </c>
      <c r="G111" s="173"/>
      <c r="H111" s="173"/>
      <c r="I111" s="173">
        <v>46293</v>
      </c>
      <c r="J111" s="173">
        <v>46294</v>
      </c>
      <c r="K111" s="173"/>
      <c r="L111" s="173"/>
      <c r="M111" s="173"/>
      <c r="N111" s="173"/>
      <c r="O111" s="173"/>
      <c r="P111" s="173"/>
      <c r="Q111" s="173">
        <v>46295</v>
      </c>
      <c r="R111" s="173"/>
      <c r="S111" s="173"/>
      <c r="T111" s="174">
        <v>46295</v>
      </c>
      <c r="U111" s="151"/>
      <c r="V111" s="152"/>
      <c r="W111" s="175"/>
      <c r="X111" s="173"/>
      <c r="Y111" s="173"/>
      <c r="Z111" s="176" t="str">
        <f>IF(B111="","",IF(S111&lt;&gt;"","Sevk Edildi",IF(AND(X111&lt;&gt;"",Y111=""),"Reworkte",IF(T111&lt;&gt;"","Kapandı"&amp;IF(COUNT(G111:R111)=0,""," – "&amp;LOOKUP(2,1/(G111:R111=MAX(G111:R111)),{"Tasarım","Ply Cutter","Üretim","Kalite (Üretim sonrası)","Talaşlı","Kalite (Talaşlı sonrası)","Montaj","Kalite (Montaj sonrası)","Boya","Kalite (Boya sonrası)","Yarı Mamül","KM"})),IF(COUNT(G111:R111)=0,"Başlamadı",LOOKUP(2,1/(G111:R111=MAX(G111:R111)),{"Tasarımda","Ply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11" s="177">
        <f t="shared" ca="1" si="19"/>
        <v>2</v>
      </c>
      <c r="AB111" s="175"/>
      <c r="AD111" t="str">
        <f>IF(OR($B111="",NOT(ISNUMBER(G111))),"",IF(COUNTIF(H111:$T111,G111)&gt;0,0,IF(COUNTIF($G111:$T111,"&gt;"&amp;G111)=0,"",SMALL($G111:$T111,COUNTIF($G111:$T111,"&lt;="&amp;G111)+1)-G111)))</f>
        <v/>
      </c>
      <c r="AE111" t="str">
        <f>IF(OR($B111="",NOT(ISNUMBER(H111))),"",IF(COUNTIF(I111:$T111,H111)&gt;0,0,IF(COUNTIF($G111:$T111,"&gt;"&amp;H111)=0,"",SMALL($G111:$T111,COUNTIF($G111:$T111,"&lt;="&amp;H111)+1)-H111)))</f>
        <v/>
      </c>
      <c r="AF111">
        <f>IF(OR($B111="",NOT(ISNUMBER(I111))),"",IF(COUNTIF(J111:$T111,I111)&gt;0,0,IF(COUNTIF($G111:$T111,"&gt;"&amp;I111)=0,"",SMALL($G111:$T111,COUNTIF($G111:$T111,"&lt;="&amp;I111)+1)-I111)))</f>
        <v>1</v>
      </c>
      <c r="AG111">
        <f>IF(OR($B111="",NOT(ISNUMBER(J111))),"",IF(COUNTIF(K111:$T111,J111)&gt;0,0,IF(COUNTIF($G111:$T111,"&gt;"&amp;J111)=0,"",SMALL($G111:$T111,COUNTIF($G111:$T111,"&lt;="&amp;J111)+1)-J111)))</f>
        <v>1</v>
      </c>
      <c r="AH111" t="str">
        <f>IF(OR($B111="",NOT(ISNUMBER(K111))),"",IF(COUNTIF(L111:$T111,K111)&gt;0,0,IF(COUNTIF($G111:$T111,"&gt;"&amp;K111)=0,"",SMALL($G111:$T111,COUNTIF($G111:$T111,"&lt;="&amp;K111)+1)-K111)))</f>
        <v/>
      </c>
      <c r="AI111" t="str">
        <f>IF(OR($B111="",NOT(ISNUMBER(L111))),"",IF(COUNTIF(M111:$T111,L111)&gt;0,0,IF(COUNTIF($G111:$T111,"&gt;"&amp;L111)=0,"",SMALL($G111:$T111,COUNTIF($G111:$T111,"&lt;="&amp;L111)+1)-L111)))</f>
        <v/>
      </c>
      <c r="AJ111" t="str">
        <f>IF(OR($B111="",NOT(ISNUMBER(M111))),"",IF(COUNTIF(N111:$T111,M111)&gt;0,0,IF(COUNTIF($G111:$T111,"&gt;"&amp;M111)=0,"",SMALL($G111:$T111,COUNTIF($G111:$T111,"&lt;="&amp;M111)+1)-M111)))</f>
        <v/>
      </c>
      <c r="AK111" t="str">
        <f>IF(OR($B111="",NOT(ISNUMBER(N111))),"",IF(COUNTIF(O111:$T111,N111)&gt;0,0,IF(COUNTIF($G111:$T111,"&gt;"&amp;N111)=0,"",SMALL($G111:$T111,COUNTIF($G111:$T111,"&lt;="&amp;N111)+1)-N111)))</f>
        <v/>
      </c>
      <c r="AL111" t="str">
        <f>IF(OR($B111="",NOT(ISNUMBER(O111))),"",IF(COUNTIF(P111:$T111,O111)&gt;0,0,IF(COUNTIF($G111:$T111,"&gt;"&amp;O111)=0,"",SMALL($G111:$T111,COUNTIF($G111:$T111,"&lt;="&amp;O111)+1)-O111)))</f>
        <v/>
      </c>
      <c r="AM111" t="str">
        <f>IF(OR($B111="",NOT(ISNUMBER(P111))),"",IF(COUNTIF(Q111:$T111,P111)&gt;0,0,IF(COUNTIF($G111:$T111,"&gt;"&amp;P111)=0,"",SMALL($G111:$T111,COUNTIF($G111:$T111,"&lt;="&amp;P111)+1)-P111)))</f>
        <v/>
      </c>
      <c r="AN111">
        <f>IF(OR($B111="",NOT(ISNUMBER(Q111))),"",IF(COUNTIF(R111:$T111,Q111)&gt;0,0,IF(COUNTIF($G111:$T111,"&gt;"&amp;Q111)=0,"",SMALL($G111:$T111,COUNTIF($G111:$T111,"&lt;="&amp;Q111)+1)-Q111)))</f>
        <v>0</v>
      </c>
      <c r="AO111" t="str">
        <f>IF(OR($B111="",NOT(ISNUMBER(R111))),"",IF(COUNTIF(S111:$T111,R111)&gt;0,0,IF(COUNTIF($G111:$T111,"&gt;"&amp;R111)=0,"",SMALL($G111:$T111,COUNTIF($G111:$T111,"&lt;="&amp;R111)+1)-R111)))</f>
        <v/>
      </c>
      <c r="AP111">
        <f t="shared" ca="1" si="20"/>
        <v>0</v>
      </c>
      <c r="AQ111" s="25" t="str">
        <f t="shared" si="21"/>
        <v/>
      </c>
      <c r="AR111" s="25" t="str">
        <f t="shared" si="22"/>
        <v/>
      </c>
      <c r="AS111" s="25">
        <f t="shared" si="23"/>
        <v>46294</v>
      </c>
      <c r="AT111" s="25">
        <f t="shared" si="24"/>
        <v>46295</v>
      </c>
      <c r="AU111" s="25" t="str">
        <f t="shared" si="25"/>
        <v/>
      </c>
      <c r="AV111" s="25" t="str">
        <f t="shared" si="26"/>
        <v/>
      </c>
      <c r="AW111" s="25" t="str">
        <f t="shared" si="27"/>
        <v/>
      </c>
      <c r="AX111" s="25" t="str">
        <f t="shared" si="28"/>
        <v/>
      </c>
      <c r="AY111" s="25" t="str">
        <f t="shared" si="29"/>
        <v/>
      </c>
      <c r="AZ111" s="25" t="str">
        <f t="shared" si="30"/>
        <v/>
      </c>
      <c r="BA111" s="25">
        <f t="shared" si="31"/>
        <v>46295</v>
      </c>
      <c r="BB111" s="25" t="str">
        <f t="shared" si="32"/>
        <v/>
      </c>
      <c r="BC111" s="25">
        <f t="shared" si="33"/>
        <v>46295</v>
      </c>
    </row>
    <row r="112" spans="1:55" x14ac:dyDescent="0.25">
      <c r="A112" s="151">
        <f t="shared" si="17"/>
        <v>110</v>
      </c>
      <c r="B112" s="151" t="s">
        <v>222</v>
      </c>
      <c r="C112" s="152" t="s">
        <v>72</v>
      </c>
      <c r="D112" s="151">
        <f t="shared" si="18"/>
        <v>1</v>
      </c>
      <c r="E112" s="151" t="s">
        <v>61</v>
      </c>
      <c r="F112" s="173">
        <v>46293</v>
      </c>
      <c r="G112" s="173"/>
      <c r="H112" s="173"/>
      <c r="I112" s="173">
        <v>46293</v>
      </c>
      <c r="J112" s="173">
        <v>46294</v>
      </c>
      <c r="K112" s="173"/>
      <c r="L112" s="173"/>
      <c r="M112" s="173"/>
      <c r="N112" s="173"/>
      <c r="O112" s="173"/>
      <c r="P112" s="173"/>
      <c r="Q112" s="173">
        <v>46295</v>
      </c>
      <c r="R112" s="173"/>
      <c r="S112" s="173"/>
      <c r="T112" s="174">
        <v>46295</v>
      </c>
      <c r="U112" s="151"/>
      <c r="V112" s="152"/>
      <c r="W112" s="175"/>
      <c r="X112" s="173"/>
      <c r="Y112" s="173"/>
      <c r="Z112" s="176" t="str">
        <f>IF(B112="","",IF(S112&lt;&gt;"","Sevk Edildi",IF(AND(X112&lt;&gt;"",Y112=""),"Reworkte",IF(T112&lt;&gt;"","Kapandı"&amp;IF(COUNT(G112:R112)=0,""," – "&amp;LOOKUP(2,1/(G112:R112=MAX(G112:R112)),{"Tasarım","Ply Cutter","Üretim","Kalite (Üretim sonrası)","Talaşlı","Kalite (Talaşlı sonrası)","Montaj","Kalite (Montaj sonrası)","Boya","Kalite (Boya sonrası)","Yarı Mamül","KM"})),IF(COUNT(G112:R112)=0,"Başlamadı",LOOKUP(2,1/(G112:R112=MAX(G112:R112)),{"Tasarımda","Ply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12" s="177">
        <f t="shared" ca="1" si="19"/>
        <v>2</v>
      </c>
      <c r="AB112" s="175"/>
      <c r="AD112" t="str">
        <f>IF(OR($B112="",NOT(ISNUMBER(G112))),"",IF(COUNTIF(H112:$T112,G112)&gt;0,0,IF(COUNTIF($G112:$T112,"&gt;"&amp;G112)=0,"",SMALL($G112:$T112,COUNTIF($G112:$T112,"&lt;="&amp;G112)+1)-G112)))</f>
        <v/>
      </c>
      <c r="AE112" t="str">
        <f>IF(OR($B112="",NOT(ISNUMBER(H112))),"",IF(COUNTIF(I112:$T112,H112)&gt;0,0,IF(COUNTIF($G112:$T112,"&gt;"&amp;H112)=0,"",SMALL($G112:$T112,COUNTIF($G112:$T112,"&lt;="&amp;H112)+1)-H112)))</f>
        <v/>
      </c>
      <c r="AF112">
        <f>IF(OR($B112="",NOT(ISNUMBER(I112))),"",IF(COUNTIF(J112:$T112,I112)&gt;0,0,IF(COUNTIF($G112:$T112,"&gt;"&amp;I112)=0,"",SMALL($G112:$T112,COUNTIF($G112:$T112,"&lt;="&amp;I112)+1)-I112)))</f>
        <v>1</v>
      </c>
      <c r="AG112">
        <f>IF(OR($B112="",NOT(ISNUMBER(J112))),"",IF(COUNTIF(K112:$T112,J112)&gt;0,0,IF(COUNTIF($G112:$T112,"&gt;"&amp;J112)=0,"",SMALL($G112:$T112,COUNTIF($G112:$T112,"&lt;="&amp;J112)+1)-J112)))</f>
        <v>1</v>
      </c>
      <c r="AH112" t="str">
        <f>IF(OR($B112="",NOT(ISNUMBER(K112))),"",IF(COUNTIF(L112:$T112,K112)&gt;0,0,IF(COUNTIF($G112:$T112,"&gt;"&amp;K112)=0,"",SMALL($G112:$T112,COUNTIF($G112:$T112,"&lt;="&amp;K112)+1)-K112)))</f>
        <v/>
      </c>
      <c r="AI112" t="str">
        <f>IF(OR($B112="",NOT(ISNUMBER(L112))),"",IF(COUNTIF(M112:$T112,L112)&gt;0,0,IF(COUNTIF($G112:$T112,"&gt;"&amp;L112)=0,"",SMALL($G112:$T112,COUNTIF($G112:$T112,"&lt;="&amp;L112)+1)-L112)))</f>
        <v/>
      </c>
      <c r="AJ112" t="str">
        <f>IF(OR($B112="",NOT(ISNUMBER(M112))),"",IF(COUNTIF(N112:$T112,M112)&gt;0,0,IF(COUNTIF($G112:$T112,"&gt;"&amp;M112)=0,"",SMALL($G112:$T112,COUNTIF($G112:$T112,"&lt;="&amp;M112)+1)-M112)))</f>
        <v/>
      </c>
      <c r="AK112" t="str">
        <f>IF(OR($B112="",NOT(ISNUMBER(N112))),"",IF(COUNTIF(O112:$T112,N112)&gt;0,0,IF(COUNTIF($G112:$T112,"&gt;"&amp;N112)=0,"",SMALL($G112:$T112,COUNTIF($G112:$T112,"&lt;="&amp;N112)+1)-N112)))</f>
        <v/>
      </c>
      <c r="AL112" t="str">
        <f>IF(OR($B112="",NOT(ISNUMBER(O112))),"",IF(COUNTIF(P112:$T112,O112)&gt;0,0,IF(COUNTIF($G112:$T112,"&gt;"&amp;O112)=0,"",SMALL($G112:$T112,COUNTIF($G112:$T112,"&lt;="&amp;O112)+1)-O112)))</f>
        <v/>
      </c>
      <c r="AM112" t="str">
        <f>IF(OR($B112="",NOT(ISNUMBER(P112))),"",IF(COUNTIF(Q112:$T112,P112)&gt;0,0,IF(COUNTIF($G112:$T112,"&gt;"&amp;P112)=0,"",SMALL($G112:$T112,COUNTIF($G112:$T112,"&lt;="&amp;P112)+1)-P112)))</f>
        <v/>
      </c>
      <c r="AN112">
        <f>IF(OR($B112="",NOT(ISNUMBER(Q112))),"",IF(COUNTIF(R112:$T112,Q112)&gt;0,0,IF(COUNTIF($G112:$T112,"&gt;"&amp;Q112)=0,"",SMALL($G112:$T112,COUNTIF($G112:$T112,"&lt;="&amp;Q112)+1)-Q112)))</f>
        <v>0</v>
      </c>
      <c r="AO112" t="str">
        <f>IF(OR($B112="",NOT(ISNUMBER(R112))),"",IF(COUNTIF(S112:$T112,R112)&gt;0,0,IF(COUNTIF($G112:$T112,"&gt;"&amp;R112)=0,"",SMALL($G112:$T112,COUNTIF($G112:$T112,"&lt;="&amp;R112)+1)-R112)))</f>
        <v/>
      </c>
      <c r="AP112">
        <f t="shared" ca="1" si="20"/>
        <v>0</v>
      </c>
      <c r="AQ112" s="25" t="str">
        <f t="shared" si="21"/>
        <v/>
      </c>
      <c r="AR112" s="25" t="str">
        <f t="shared" si="22"/>
        <v/>
      </c>
      <c r="AS112" s="25">
        <f t="shared" si="23"/>
        <v>46294</v>
      </c>
      <c r="AT112" s="25">
        <f t="shared" si="24"/>
        <v>46295</v>
      </c>
      <c r="AU112" s="25" t="str">
        <f t="shared" si="25"/>
        <v/>
      </c>
      <c r="AV112" s="25" t="str">
        <f t="shared" si="26"/>
        <v/>
      </c>
      <c r="AW112" s="25" t="str">
        <f t="shared" si="27"/>
        <v/>
      </c>
      <c r="AX112" s="25" t="str">
        <f t="shared" si="28"/>
        <v/>
      </c>
      <c r="AY112" s="25" t="str">
        <f t="shared" si="29"/>
        <v/>
      </c>
      <c r="AZ112" s="25" t="str">
        <f t="shared" si="30"/>
        <v/>
      </c>
      <c r="BA112" s="25">
        <f t="shared" si="31"/>
        <v>46295</v>
      </c>
      <c r="BB112" s="25" t="str">
        <f t="shared" si="32"/>
        <v/>
      </c>
      <c r="BC112" s="25">
        <f t="shared" si="33"/>
        <v>46295</v>
      </c>
    </row>
    <row r="113" spans="1:55" x14ac:dyDescent="0.25">
      <c r="A113" s="151">
        <f t="shared" si="17"/>
        <v>111</v>
      </c>
      <c r="B113" s="151" t="s">
        <v>223</v>
      </c>
      <c r="C113" s="152" t="s">
        <v>224</v>
      </c>
      <c r="D113" s="151">
        <f t="shared" si="18"/>
        <v>1</v>
      </c>
      <c r="E113" s="151" t="s">
        <v>61</v>
      </c>
      <c r="F113" s="173">
        <v>46293</v>
      </c>
      <c r="G113" s="173"/>
      <c r="H113" s="173"/>
      <c r="I113" s="173">
        <v>46294</v>
      </c>
      <c r="J113" s="173">
        <v>46295</v>
      </c>
      <c r="K113" s="173"/>
      <c r="L113" s="173"/>
      <c r="M113" s="173"/>
      <c r="N113" s="173"/>
      <c r="O113" s="173"/>
      <c r="P113" s="173"/>
      <c r="Q113" s="173"/>
      <c r="R113" s="173"/>
      <c r="S113" s="173"/>
      <c r="T113" s="174">
        <v>46295</v>
      </c>
      <c r="U113" s="151"/>
      <c r="V113" s="152"/>
      <c r="W113" s="175"/>
      <c r="X113" s="173"/>
      <c r="Y113" s="173"/>
      <c r="Z113" s="176" t="str">
        <f>IF(B113="","",IF(S113&lt;&gt;"","Sevk Edildi",IF(AND(X113&lt;&gt;"",Y113=""),"Reworkte",IF(T113&lt;&gt;"","Kapandı"&amp;IF(COUNT(G113:R113)=0,""," – "&amp;LOOKUP(2,1/(G113:R113=MAX(G113:R113)),{"Tasarım","Ply Cutter","Üretim","Kalite (Üretim sonrası)","Talaşlı","Kalite (Talaşlı sonrası)","Montaj","Kalite (Montaj sonrası)","Boya","Kalite (Boya sonrası)","Yarı Mamül","KM"})),IF(COUNT(G113:R113)=0,"Başlamadı",LOOKUP(2,1/(G113:R113=MAX(G113:R113)),{"Tasarımda","Ply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13" s="177">
        <f t="shared" ca="1" si="19"/>
        <v>2</v>
      </c>
      <c r="AB113" s="175" t="s">
        <v>225</v>
      </c>
      <c r="AD113" t="str">
        <f>IF(OR($B113="",NOT(ISNUMBER(G113))),"",IF(COUNTIF(H113:$T113,G113)&gt;0,0,IF(COUNTIF($G113:$T113,"&gt;"&amp;G113)=0,"",SMALL($G113:$T113,COUNTIF($G113:$T113,"&lt;="&amp;G113)+1)-G113)))</f>
        <v/>
      </c>
      <c r="AE113" t="str">
        <f>IF(OR($B113="",NOT(ISNUMBER(H113))),"",IF(COUNTIF(I113:$T113,H113)&gt;0,0,IF(COUNTIF($G113:$T113,"&gt;"&amp;H113)=0,"",SMALL($G113:$T113,COUNTIF($G113:$T113,"&lt;="&amp;H113)+1)-H113)))</f>
        <v/>
      </c>
      <c r="AF113">
        <f>IF(OR($B113="",NOT(ISNUMBER(I113))),"",IF(COUNTIF(J113:$T113,I113)&gt;0,0,IF(COUNTIF($G113:$T113,"&gt;"&amp;I113)=0,"",SMALL($G113:$T113,COUNTIF($G113:$T113,"&lt;="&amp;I113)+1)-I113)))</f>
        <v>1</v>
      </c>
      <c r="AG113">
        <f>IF(OR($B113="",NOT(ISNUMBER(J113))),"",IF(COUNTIF(K113:$T113,J113)&gt;0,0,IF(COUNTIF($G113:$T113,"&gt;"&amp;J113)=0,"",SMALL($G113:$T113,COUNTIF($G113:$T113,"&lt;="&amp;J113)+1)-J113)))</f>
        <v>0</v>
      </c>
      <c r="AH113" t="str">
        <f>IF(OR($B113="",NOT(ISNUMBER(K113))),"",IF(COUNTIF(L113:$T113,K113)&gt;0,0,IF(COUNTIF($G113:$T113,"&gt;"&amp;K113)=0,"",SMALL($G113:$T113,COUNTIF($G113:$T113,"&lt;="&amp;K113)+1)-K113)))</f>
        <v/>
      </c>
      <c r="AI113" t="str">
        <f>IF(OR($B113="",NOT(ISNUMBER(L113))),"",IF(COUNTIF(M113:$T113,L113)&gt;0,0,IF(COUNTIF($G113:$T113,"&gt;"&amp;L113)=0,"",SMALL($G113:$T113,COUNTIF($G113:$T113,"&lt;="&amp;L113)+1)-L113)))</f>
        <v/>
      </c>
      <c r="AJ113" t="str">
        <f>IF(OR($B113="",NOT(ISNUMBER(M113))),"",IF(COUNTIF(N113:$T113,M113)&gt;0,0,IF(COUNTIF($G113:$T113,"&gt;"&amp;M113)=0,"",SMALL($G113:$T113,COUNTIF($G113:$T113,"&lt;="&amp;M113)+1)-M113)))</f>
        <v/>
      </c>
      <c r="AK113" t="str">
        <f>IF(OR($B113="",NOT(ISNUMBER(N113))),"",IF(COUNTIF(O113:$T113,N113)&gt;0,0,IF(COUNTIF($G113:$T113,"&gt;"&amp;N113)=0,"",SMALL($G113:$T113,COUNTIF($G113:$T113,"&lt;="&amp;N113)+1)-N113)))</f>
        <v/>
      </c>
      <c r="AL113" t="str">
        <f>IF(OR($B113="",NOT(ISNUMBER(O113))),"",IF(COUNTIF(P113:$T113,O113)&gt;0,0,IF(COUNTIF($G113:$T113,"&gt;"&amp;O113)=0,"",SMALL($G113:$T113,COUNTIF($G113:$T113,"&lt;="&amp;O113)+1)-O113)))</f>
        <v/>
      </c>
      <c r="AM113" t="str">
        <f>IF(OR($B113="",NOT(ISNUMBER(P113))),"",IF(COUNTIF(Q113:$T113,P113)&gt;0,0,IF(COUNTIF($G113:$T113,"&gt;"&amp;P113)=0,"",SMALL($G113:$T113,COUNTIF($G113:$T113,"&lt;="&amp;P113)+1)-P113)))</f>
        <v/>
      </c>
      <c r="AN113" t="str">
        <f>IF(OR($B113="",NOT(ISNUMBER(Q113))),"",IF(COUNTIF(R113:$T113,Q113)&gt;0,0,IF(COUNTIF($G113:$T113,"&gt;"&amp;Q113)=0,"",SMALL($G113:$T113,COUNTIF($G113:$T113,"&lt;="&amp;Q113)+1)-Q113)))</f>
        <v/>
      </c>
      <c r="AO113" t="str">
        <f>IF(OR($B113="",NOT(ISNUMBER(R113))),"",IF(COUNTIF(S113:$T113,R113)&gt;0,0,IF(COUNTIF($G113:$T113,"&gt;"&amp;R113)=0,"",SMALL($G113:$T113,COUNTIF($G113:$T113,"&lt;="&amp;R113)+1)-R113)))</f>
        <v/>
      </c>
      <c r="AP113">
        <f t="shared" ca="1" si="20"/>
        <v>0</v>
      </c>
      <c r="AQ113" s="25" t="str">
        <f t="shared" si="21"/>
        <v/>
      </c>
      <c r="AR113" s="25" t="str">
        <f t="shared" si="22"/>
        <v/>
      </c>
      <c r="AS113" s="25">
        <f t="shared" si="23"/>
        <v>46295</v>
      </c>
      <c r="AT113" s="25">
        <f t="shared" si="24"/>
        <v>46295</v>
      </c>
      <c r="AU113" s="25" t="str">
        <f t="shared" si="25"/>
        <v/>
      </c>
      <c r="AV113" s="25" t="str">
        <f t="shared" si="26"/>
        <v/>
      </c>
      <c r="AW113" s="25" t="str">
        <f t="shared" si="27"/>
        <v/>
      </c>
      <c r="AX113" s="25" t="str">
        <f t="shared" si="28"/>
        <v/>
      </c>
      <c r="AY113" s="25" t="str">
        <f t="shared" si="29"/>
        <v/>
      </c>
      <c r="AZ113" s="25" t="str">
        <f t="shared" si="30"/>
        <v/>
      </c>
      <c r="BA113" s="25" t="str">
        <f t="shared" si="31"/>
        <v/>
      </c>
      <c r="BB113" s="25" t="str">
        <f t="shared" si="32"/>
        <v/>
      </c>
      <c r="BC113" s="25">
        <f t="shared" si="33"/>
        <v>46295</v>
      </c>
    </row>
    <row r="114" spans="1:55" x14ac:dyDescent="0.25">
      <c r="A114" s="151">
        <f t="shared" si="17"/>
        <v>112</v>
      </c>
      <c r="B114" s="151" t="s">
        <v>226</v>
      </c>
      <c r="C114" s="152" t="s">
        <v>227</v>
      </c>
      <c r="D114" s="151">
        <f t="shared" si="18"/>
        <v>1</v>
      </c>
      <c r="E114" s="151" t="s">
        <v>100</v>
      </c>
      <c r="F114" s="173">
        <v>46293</v>
      </c>
      <c r="G114" s="173"/>
      <c r="H114" s="173"/>
      <c r="I114" s="173"/>
      <c r="J114" s="173"/>
      <c r="K114" s="173"/>
      <c r="L114" s="173"/>
      <c r="M114" s="173">
        <v>46295</v>
      </c>
      <c r="N114" s="173">
        <v>46300</v>
      </c>
      <c r="O114" s="173"/>
      <c r="P114" s="173"/>
      <c r="Q114" s="173"/>
      <c r="R114" s="173"/>
      <c r="S114" s="173"/>
      <c r="T114" s="174">
        <v>46300</v>
      </c>
      <c r="U114" s="151"/>
      <c r="V114" s="152"/>
      <c r="W114" s="175"/>
      <c r="X114" s="173"/>
      <c r="Y114" s="173"/>
      <c r="Z114" s="176" t="str">
        <f>IF(B114="","",IF(S114&lt;&gt;"","Sevk Edildi",IF(AND(X114&lt;&gt;"",Y114=""),"Reworkte",IF(T114&lt;&gt;"","Kapandı"&amp;IF(COUNT(G114:R114)=0,""," – "&amp;LOOKUP(2,1/(G114:R114=MAX(G114:R114)),{"Tasarım","Ply Cutter","Üretim","Kalite (Üretim sonrası)","Talaşlı","Kalite (Talaşlı sonrası)","Montaj","Kalite (Montaj sonrası)","Boya","Kalite (Boya sonrası)","Yarı Mamül","KM"})),IF(COUNT(G114:R114)=0,"Başlamadı",LOOKUP(2,1/(G114:R114=MAX(G114:R114)),{"Tasarımda","Ply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14" s="177">
        <f t="shared" ca="1" si="19"/>
        <v>7</v>
      </c>
      <c r="AB114" s="175"/>
      <c r="AD114" t="str">
        <f>IF(OR($B114="",NOT(ISNUMBER(G114))),"",IF(COUNTIF(H114:$T114,G114)&gt;0,0,IF(COUNTIF($G114:$T114,"&gt;"&amp;G114)=0,"",SMALL($G114:$T114,COUNTIF($G114:$T114,"&lt;="&amp;G114)+1)-G114)))</f>
        <v/>
      </c>
      <c r="AE114" t="str">
        <f>IF(OR($B114="",NOT(ISNUMBER(H114))),"",IF(COUNTIF(I114:$T114,H114)&gt;0,0,IF(COUNTIF($G114:$T114,"&gt;"&amp;H114)=0,"",SMALL($G114:$T114,COUNTIF($G114:$T114,"&lt;="&amp;H114)+1)-H114)))</f>
        <v/>
      </c>
      <c r="AF114" t="str">
        <f>IF(OR($B114="",NOT(ISNUMBER(I114))),"",IF(COUNTIF(J114:$T114,I114)&gt;0,0,IF(COUNTIF($G114:$T114,"&gt;"&amp;I114)=0,"",SMALL($G114:$T114,COUNTIF($G114:$T114,"&lt;="&amp;I114)+1)-I114)))</f>
        <v/>
      </c>
      <c r="AG114" t="str">
        <f>IF(OR($B114="",NOT(ISNUMBER(J114))),"",IF(COUNTIF(K114:$T114,J114)&gt;0,0,IF(COUNTIF($G114:$T114,"&gt;"&amp;J114)=0,"",SMALL($G114:$T114,COUNTIF($G114:$T114,"&lt;="&amp;J114)+1)-J114)))</f>
        <v/>
      </c>
      <c r="AH114" t="str">
        <f>IF(OR($B114="",NOT(ISNUMBER(K114))),"",IF(COUNTIF(L114:$T114,K114)&gt;0,0,IF(COUNTIF($G114:$T114,"&gt;"&amp;K114)=0,"",SMALL($G114:$T114,COUNTIF($G114:$T114,"&lt;="&amp;K114)+1)-K114)))</f>
        <v/>
      </c>
      <c r="AI114" t="str">
        <f>IF(OR($B114="",NOT(ISNUMBER(L114))),"",IF(COUNTIF(M114:$T114,L114)&gt;0,0,IF(COUNTIF($G114:$T114,"&gt;"&amp;L114)=0,"",SMALL($G114:$T114,COUNTIF($G114:$T114,"&lt;="&amp;L114)+1)-L114)))</f>
        <v/>
      </c>
      <c r="AJ114">
        <f>IF(OR($B114="",NOT(ISNUMBER(M114))),"",IF(COUNTIF(N114:$T114,M114)&gt;0,0,IF(COUNTIF($G114:$T114,"&gt;"&amp;M114)=0,"",SMALL($G114:$T114,COUNTIF($G114:$T114,"&lt;="&amp;M114)+1)-M114)))</f>
        <v>5</v>
      </c>
      <c r="AK114">
        <f>IF(OR($B114="",NOT(ISNUMBER(N114))),"",IF(COUNTIF(O114:$T114,N114)&gt;0,0,IF(COUNTIF($G114:$T114,"&gt;"&amp;N114)=0,"",SMALL($G114:$T114,COUNTIF($G114:$T114,"&lt;="&amp;N114)+1)-N114)))</f>
        <v>0</v>
      </c>
      <c r="AL114" t="str">
        <f>IF(OR($B114="",NOT(ISNUMBER(O114))),"",IF(COUNTIF(P114:$T114,O114)&gt;0,0,IF(COUNTIF($G114:$T114,"&gt;"&amp;O114)=0,"",SMALL($G114:$T114,COUNTIF($G114:$T114,"&lt;="&amp;O114)+1)-O114)))</f>
        <v/>
      </c>
      <c r="AM114" t="str">
        <f>IF(OR($B114="",NOT(ISNUMBER(P114))),"",IF(COUNTIF(Q114:$T114,P114)&gt;0,0,IF(COUNTIF($G114:$T114,"&gt;"&amp;P114)=0,"",SMALL($G114:$T114,COUNTIF($G114:$T114,"&lt;="&amp;P114)+1)-P114)))</f>
        <v/>
      </c>
      <c r="AN114" t="str">
        <f>IF(OR($B114="",NOT(ISNUMBER(Q114))),"",IF(COUNTIF(R114:$T114,Q114)&gt;0,0,IF(COUNTIF($G114:$T114,"&gt;"&amp;Q114)=0,"",SMALL($G114:$T114,COUNTIF($G114:$T114,"&lt;="&amp;Q114)+1)-Q114)))</f>
        <v/>
      </c>
      <c r="AO114" t="str">
        <f>IF(OR($B114="",NOT(ISNUMBER(R114))),"",IF(COUNTIF(S114:$T114,R114)&gt;0,0,IF(COUNTIF($G114:$T114,"&gt;"&amp;R114)=0,"",SMALL($G114:$T114,COUNTIF($G114:$T114,"&lt;="&amp;R114)+1)-R114)))</f>
        <v/>
      </c>
      <c r="AP114">
        <f t="shared" ca="1" si="20"/>
        <v>0</v>
      </c>
      <c r="AQ114" s="25" t="str">
        <f t="shared" si="21"/>
        <v/>
      </c>
      <c r="AR114" s="25" t="str">
        <f t="shared" si="22"/>
        <v/>
      </c>
      <c r="AS114" s="25" t="str">
        <f t="shared" si="23"/>
        <v/>
      </c>
      <c r="AT114" s="25" t="str">
        <f t="shared" si="24"/>
        <v/>
      </c>
      <c r="AU114" s="25" t="str">
        <f t="shared" si="25"/>
        <v/>
      </c>
      <c r="AV114" s="25" t="str">
        <f t="shared" si="26"/>
        <v/>
      </c>
      <c r="AW114" s="25">
        <f t="shared" si="27"/>
        <v>46300</v>
      </c>
      <c r="AX114" s="25">
        <f t="shared" si="28"/>
        <v>46300</v>
      </c>
      <c r="AY114" s="25" t="str">
        <f t="shared" si="29"/>
        <v/>
      </c>
      <c r="AZ114" s="25" t="str">
        <f t="shared" si="30"/>
        <v/>
      </c>
      <c r="BA114" s="25" t="str">
        <f t="shared" si="31"/>
        <v/>
      </c>
      <c r="BB114" s="25" t="str">
        <f t="shared" si="32"/>
        <v/>
      </c>
      <c r="BC114" s="25">
        <f t="shared" si="33"/>
        <v>46300</v>
      </c>
    </row>
    <row r="115" spans="1:55" x14ac:dyDescent="0.25">
      <c r="A115" s="151">
        <f t="shared" si="17"/>
        <v>113</v>
      </c>
      <c r="B115" s="151" t="s">
        <v>228</v>
      </c>
      <c r="C115" s="152" t="s">
        <v>229</v>
      </c>
      <c r="D115" s="151">
        <f t="shared" si="18"/>
        <v>1</v>
      </c>
      <c r="E115" s="151" t="s">
        <v>100</v>
      </c>
      <c r="F115" s="173">
        <v>46293</v>
      </c>
      <c r="G115" s="173"/>
      <c r="H115" s="173"/>
      <c r="I115" s="173"/>
      <c r="J115" s="173"/>
      <c r="K115" s="173"/>
      <c r="L115" s="173"/>
      <c r="M115" s="173">
        <v>46295</v>
      </c>
      <c r="N115" s="173">
        <v>46300</v>
      </c>
      <c r="O115" s="173"/>
      <c r="P115" s="173"/>
      <c r="Q115" s="173"/>
      <c r="R115" s="173"/>
      <c r="S115" s="173"/>
      <c r="T115" s="174">
        <v>46300</v>
      </c>
      <c r="U115" s="151"/>
      <c r="V115" s="152"/>
      <c r="W115" s="175"/>
      <c r="X115" s="173"/>
      <c r="Y115" s="173"/>
      <c r="Z115" s="176" t="str">
        <f>IF(B115="","",IF(S115&lt;&gt;"","Sevk Edildi",IF(AND(X115&lt;&gt;"",Y115=""),"Reworkte",IF(T115&lt;&gt;"","Kapandı"&amp;IF(COUNT(G115:R115)=0,""," – "&amp;LOOKUP(2,1/(G115:R115=MAX(G115:R115)),{"Tasarım","Ply Cutter","Üretim","Kalite (Üretim sonrası)","Talaşlı","Kalite (Talaşlı sonrası)","Montaj","Kalite (Montaj sonrası)","Boya","Kalite (Boya sonrası)","Yarı Mamül","KM"})),IF(COUNT(G115:R115)=0,"Başlamadı",LOOKUP(2,1/(G115:R115=MAX(G115:R115)),{"Tasarımda","Ply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15" s="177">
        <f t="shared" ca="1" si="19"/>
        <v>7</v>
      </c>
      <c r="AB115" s="175"/>
      <c r="AD115" t="str">
        <f>IF(OR($B115="",NOT(ISNUMBER(G115))),"",IF(COUNTIF(H115:$T115,G115)&gt;0,0,IF(COUNTIF($G115:$T115,"&gt;"&amp;G115)=0,"",SMALL($G115:$T115,COUNTIF($G115:$T115,"&lt;="&amp;G115)+1)-G115)))</f>
        <v/>
      </c>
      <c r="AE115" t="str">
        <f>IF(OR($B115="",NOT(ISNUMBER(H115))),"",IF(COUNTIF(I115:$T115,H115)&gt;0,0,IF(COUNTIF($G115:$T115,"&gt;"&amp;H115)=0,"",SMALL($G115:$T115,COUNTIF($G115:$T115,"&lt;="&amp;H115)+1)-H115)))</f>
        <v/>
      </c>
      <c r="AF115" t="str">
        <f>IF(OR($B115="",NOT(ISNUMBER(I115))),"",IF(COUNTIF(J115:$T115,I115)&gt;0,0,IF(COUNTIF($G115:$T115,"&gt;"&amp;I115)=0,"",SMALL($G115:$T115,COUNTIF($G115:$T115,"&lt;="&amp;I115)+1)-I115)))</f>
        <v/>
      </c>
      <c r="AG115" t="str">
        <f>IF(OR($B115="",NOT(ISNUMBER(J115))),"",IF(COUNTIF(K115:$T115,J115)&gt;0,0,IF(COUNTIF($G115:$T115,"&gt;"&amp;J115)=0,"",SMALL($G115:$T115,COUNTIF($G115:$T115,"&lt;="&amp;J115)+1)-J115)))</f>
        <v/>
      </c>
      <c r="AH115" t="str">
        <f>IF(OR($B115="",NOT(ISNUMBER(K115))),"",IF(COUNTIF(L115:$T115,K115)&gt;0,0,IF(COUNTIF($G115:$T115,"&gt;"&amp;K115)=0,"",SMALL($G115:$T115,COUNTIF($G115:$T115,"&lt;="&amp;K115)+1)-K115)))</f>
        <v/>
      </c>
      <c r="AI115" t="str">
        <f>IF(OR($B115="",NOT(ISNUMBER(L115))),"",IF(COUNTIF(M115:$T115,L115)&gt;0,0,IF(COUNTIF($G115:$T115,"&gt;"&amp;L115)=0,"",SMALL($G115:$T115,COUNTIF($G115:$T115,"&lt;="&amp;L115)+1)-L115)))</f>
        <v/>
      </c>
      <c r="AJ115">
        <f>IF(OR($B115="",NOT(ISNUMBER(M115))),"",IF(COUNTIF(N115:$T115,M115)&gt;0,0,IF(COUNTIF($G115:$T115,"&gt;"&amp;M115)=0,"",SMALL($G115:$T115,COUNTIF($G115:$T115,"&lt;="&amp;M115)+1)-M115)))</f>
        <v>5</v>
      </c>
      <c r="AK115">
        <f>IF(OR($B115="",NOT(ISNUMBER(N115))),"",IF(COUNTIF(O115:$T115,N115)&gt;0,0,IF(COUNTIF($G115:$T115,"&gt;"&amp;N115)=0,"",SMALL($G115:$T115,COUNTIF($G115:$T115,"&lt;="&amp;N115)+1)-N115)))</f>
        <v>0</v>
      </c>
      <c r="AL115" t="str">
        <f>IF(OR($B115="",NOT(ISNUMBER(O115))),"",IF(COUNTIF(P115:$T115,O115)&gt;0,0,IF(COUNTIF($G115:$T115,"&gt;"&amp;O115)=0,"",SMALL($G115:$T115,COUNTIF($G115:$T115,"&lt;="&amp;O115)+1)-O115)))</f>
        <v/>
      </c>
      <c r="AM115" t="str">
        <f>IF(OR($B115="",NOT(ISNUMBER(P115))),"",IF(COUNTIF(Q115:$T115,P115)&gt;0,0,IF(COUNTIF($G115:$T115,"&gt;"&amp;P115)=0,"",SMALL($G115:$T115,COUNTIF($G115:$T115,"&lt;="&amp;P115)+1)-P115)))</f>
        <v/>
      </c>
      <c r="AN115" t="str">
        <f>IF(OR($B115="",NOT(ISNUMBER(Q115))),"",IF(COUNTIF(R115:$T115,Q115)&gt;0,0,IF(COUNTIF($G115:$T115,"&gt;"&amp;Q115)=0,"",SMALL($G115:$T115,COUNTIF($G115:$T115,"&lt;="&amp;Q115)+1)-Q115)))</f>
        <v/>
      </c>
      <c r="AO115" t="str">
        <f>IF(OR($B115="",NOT(ISNUMBER(R115))),"",IF(COUNTIF(S115:$T115,R115)&gt;0,0,IF(COUNTIF($G115:$T115,"&gt;"&amp;R115)=0,"",SMALL($G115:$T115,COUNTIF($G115:$T115,"&lt;="&amp;R115)+1)-R115)))</f>
        <v/>
      </c>
      <c r="AP115">
        <f t="shared" ca="1" si="20"/>
        <v>0</v>
      </c>
      <c r="AQ115" s="25" t="str">
        <f t="shared" si="21"/>
        <v/>
      </c>
      <c r="AR115" s="25" t="str">
        <f t="shared" si="22"/>
        <v/>
      </c>
      <c r="AS115" s="25" t="str">
        <f t="shared" si="23"/>
        <v/>
      </c>
      <c r="AT115" s="25" t="str">
        <f t="shared" si="24"/>
        <v/>
      </c>
      <c r="AU115" s="25" t="str">
        <f t="shared" si="25"/>
        <v/>
      </c>
      <c r="AV115" s="25" t="str">
        <f t="shared" si="26"/>
        <v/>
      </c>
      <c r="AW115" s="25">
        <f t="shared" si="27"/>
        <v>46300</v>
      </c>
      <c r="AX115" s="25">
        <f t="shared" si="28"/>
        <v>46300</v>
      </c>
      <c r="AY115" s="25" t="str">
        <f t="shared" si="29"/>
        <v/>
      </c>
      <c r="AZ115" s="25" t="str">
        <f t="shared" si="30"/>
        <v/>
      </c>
      <c r="BA115" s="25" t="str">
        <f t="shared" si="31"/>
        <v/>
      </c>
      <c r="BB115" s="25" t="str">
        <f t="shared" si="32"/>
        <v/>
      </c>
      <c r="BC115" s="25">
        <f t="shared" si="33"/>
        <v>46300</v>
      </c>
    </row>
    <row r="116" spans="1:55" x14ac:dyDescent="0.25">
      <c r="A116" s="151">
        <f t="shared" si="17"/>
        <v>114</v>
      </c>
      <c r="B116" s="151" t="s">
        <v>230</v>
      </c>
      <c r="C116" s="152" t="s">
        <v>227</v>
      </c>
      <c r="D116" s="151">
        <f t="shared" si="18"/>
        <v>1</v>
      </c>
      <c r="E116" s="151" t="s">
        <v>100</v>
      </c>
      <c r="F116" s="173">
        <v>46293</v>
      </c>
      <c r="G116" s="173"/>
      <c r="H116" s="173"/>
      <c r="I116" s="173"/>
      <c r="J116" s="173"/>
      <c r="K116" s="173"/>
      <c r="L116" s="173"/>
      <c r="M116" s="173">
        <v>46295</v>
      </c>
      <c r="N116" s="173">
        <v>46300</v>
      </c>
      <c r="O116" s="173"/>
      <c r="P116" s="173"/>
      <c r="Q116" s="173"/>
      <c r="R116" s="173"/>
      <c r="S116" s="173"/>
      <c r="T116" s="174">
        <v>46300</v>
      </c>
      <c r="U116" s="151"/>
      <c r="V116" s="152"/>
      <c r="W116" s="175"/>
      <c r="X116" s="173"/>
      <c r="Y116" s="173"/>
      <c r="Z116" s="176" t="str">
        <f>IF(B116="","",IF(S116&lt;&gt;"","Sevk Edildi",IF(AND(X116&lt;&gt;"",Y116=""),"Reworkte",IF(T116&lt;&gt;"","Kapandı"&amp;IF(COUNT(G116:R116)=0,""," – "&amp;LOOKUP(2,1/(G116:R116=MAX(G116:R116)),{"Tasarım","Ply Cutter","Üretim","Kalite (Üretim sonrası)","Talaşlı","Kalite (Talaşlı sonrası)","Montaj","Kalite (Montaj sonrası)","Boya","Kalite (Boya sonrası)","Yarı Mamül","KM"})),IF(COUNT(G116:R116)=0,"Başlamadı",LOOKUP(2,1/(G116:R116=MAX(G116:R116)),{"Tasarımda","Ply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16" s="177">
        <f t="shared" ca="1" si="19"/>
        <v>7</v>
      </c>
      <c r="AB116" s="175"/>
      <c r="AD116" t="str">
        <f>IF(OR($B116="",NOT(ISNUMBER(G116))),"",IF(COUNTIF(H116:$T116,G116)&gt;0,0,IF(COUNTIF($G116:$T116,"&gt;"&amp;G116)=0,"",SMALL($G116:$T116,COUNTIF($G116:$T116,"&lt;="&amp;G116)+1)-G116)))</f>
        <v/>
      </c>
      <c r="AE116" t="str">
        <f>IF(OR($B116="",NOT(ISNUMBER(H116))),"",IF(COUNTIF(I116:$T116,H116)&gt;0,0,IF(COUNTIF($G116:$T116,"&gt;"&amp;H116)=0,"",SMALL($G116:$T116,COUNTIF($G116:$T116,"&lt;="&amp;H116)+1)-H116)))</f>
        <v/>
      </c>
      <c r="AF116" t="str">
        <f>IF(OR($B116="",NOT(ISNUMBER(I116))),"",IF(COUNTIF(J116:$T116,I116)&gt;0,0,IF(COUNTIF($G116:$T116,"&gt;"&amp;I116)=0,"",SMALL($G116:$T116,COUNTIF($G116:$T116,"&lt;="&amp;I116)+1)-I116)))</f>
        <v/>
      </c>
      <c r="AG116" t="str">
        <f>IF(OR($B116="",NOT(ISNUMBER(J116))),"",IF(COUNTIF(K116:$T116,J116)&gt;0,0,IF(COUNTIF($G116:$T116,"&gt;"&amp;J116)=0,"",SMALL($G116:$T116,COUNTIF($G116:$T116,"&lt;="&amp;J116)+1)-J116)))</f>
        <v/>
      </c>
      <c r="AH116" t="str">
        <f>IF(OR($B116="",NOT(ISNUMBER(K116))),"",IF(COUNTIF(L116:$T116,K116)&gt;0,0,IF(COUNTIF($G116:$T116,"&gt;"&amp;K116)=0,"",SMALL($G116:$T116,COUNTIF($G116:$T116,"&lt;="&amp;K116)+1)-K116)))</f>
        <v/>
      </c>
      <c r="AI116" t="str">
        <f>IF(OR($B116="",NOT(ISNUMBER(L116))),"",IF(COUNTIF(M116:$T116,L116)&gt;0,0,IF(COUNTIF($G116:$T116,"&gt;"&amp;L116)=0,"",SMALL($G116:$T116,COUNTIF($G116:$T116,"&lt;="&amp;L116)+1)-L116)))</f>
        <v/>
      </c>
      <c r="AJ116">
        <f>IF(OR($B116="",NOT(ISNUMBER(M116))),"",IF(COUNTIF(N116:$T116,M116)&gt;0,0,IF(COUNTIF($G116:$T116,"&gt;"&amp;M116)=0,"",SMALL($G116:$T116,COUNTIF($G116:$T116,"&lt;="&amp;M116)+1)-M116)))</f>
        <v>5</v>
      </c>
      <c r="AK116">
        <f>IF(OR($B116="",NOT(ISNUMBER(N116))),"",IF(COUNTIF(O116:$T116,N116)&gt;0,0,IF(COUNTIF($G116:$T116,"&gt;"&amp;N116)=0,"",SMALL($G116:$T116,COUNTIF($G116:$T116,"&lt;="&amp;N116)+1)-N116)))</f>
        <v>0</v>
      </c>
      <c r="AL116" t="str">
        <f>IF(OR($B116="",NOT(ISNUMBER(O116))),"",IF(COUNTIF(P116:$T116,O116)&gt;0,0,IF(COUNTIF($G116:$T116,"&gt;"&amp;O116)=0,"",SMALL($G116:$T116,COUNTIF($G116:$T116,"&lt;="&amp;O116)+1)-O116)))</f>
        <v/>
      </c>
      <c r="AM116" t="str">
        <f>IF(OR($B116="",NOT(ISNUMBER(P116))),"",IF(COUNTIF(Q116:$T116,P116)&gt;0,0,IF(COUNTIF($G116:$T116,"&gt;"&amp;P116)=0,"",SMALL($G116:$T116,COUNTIF($G116:$T116,"&lt;="&amp;P116)+1)-P116)))</f>
        <v/>
      </c>
      <c r="AN116" t="str">
        <f>IF(OR($B116="",NOT(ISNUMBER(Q116))),"",IF(COUNTIF(R116:$T116,Q116)&gt;0,0,IF(COUNTIF($G116:$T116,"&gt;"&amp;Q116)=0,"",SMALL($G116:$T116,COUNTIF($G116:$T116,"&lt;="&amp;Q116)+1)-Q116)))</f>
        <v/>
      </c>
      <c r="AO116" t="str">
        <f>IF(OR($B116="",NOT(ISNUMBER(R116))),"",IF(COUNTIF(S116:$T116,R116)&gt;0,0,IF(COUNTIF($G116:$T116,"&gt;"&amp;R116)=0,"",SMALL($G116:$T116,COUNTIF($G116:$T116,"&lt;="&amp;R116)+1)-R116)))</f>
        <v/>
      </c>
      <c r="AP116">
        <f t="shared" ca="1" si="20"/>
        <v>0</v>
      </c>
      <c r="AQ116" s="25" t="str">
        <f t="shared" si="21"/>
        <v/>
      </c>
      <c r="AR116" s="25" t="str">
        <f t="shared" si="22"/>
        <v/>
      </c>
      <c r="AS116" s="25" t="str">
        <f t="shared" si="23"/>
        <v/>
      </c>
      <c r="AT116" s="25" t="str">
        <f t="shared" si="24"/>
        <v/>
      </c>
      <c r="AU116" s="25" t="str">
        <f t="shared" si="25"/>
        <v/>
      </c>
      <c r="AV116" s="25" t="str">
        <f t="shared" si="26"/>
        <v/>
      </c>
      <c r="AW116" s="25">
        <f t="shared" si="27"/>
        <v>46300</v>
      </c>
      <c r="AX116" s="25">
        <f t="shared" si="28"/>
        <v>46300</v>
      </c>
      <c r="AY116" s="25" t="str">
        <f t="shared" si="29"/>
        <v/>
      </c>
      <c r="AZ116" s="25" t="str">
        <f t="shared" si="30"/>
        <v/>
      </c>
      <c r="BA116" s="25" t="str">
        <f t="shared" si="31"/>
        <v/>
      </c>
      <c r="BB116" s="25" t="str">
        <f t="shared" si="32"/>
        <v/>
      </c>
      <c r="BC116" s="25">
        <f t="shared" si="33"/>
        <v>46300</v>
      </c>
    </row>
    <row r="117" spans="1:55" x14ac:dyDescent="0.25">
      <c r="A117" s="151">
        <f t="shared" si="17"/>
        <v>115</v>
      </c>
      <c r="B117" s="151" t="s">
        <v>231</v>
      </c>
      <c r="C117" s="152" t="s">
        <v>229</v>
      </c>
      <c r="D117" s="151">
        <f t="shared" si="18"/>
        <v>1</v>
      </c>
      <c r="E117" s="151" t="s">
        <v>100</v>
      </c>
      <c r="F117" s="173">
        <v>46293</v>
      </c>
      <c r="G117" s="173"/>
      <c r="H117" s="173"/>
      <c r="I117" s="173"/>
      <c r="J117" s="173"/>
      <c r="K117" s="173"/>
      <c r="L117" s="173"/>
      <c r="M117" s="173">
        <v>46295</v>
      </c>
      <c r="N117" s="173">
        <v>46300</v>
      </c>
      <c r="O117" s="173"/>
      <c r="P117" s="173"/>
      <c r="Q117" s="173"/>
      <c r="R117" s="173"/>
      <c r="S117" s="173"/>
      <c r="T117" s="174">
        <v>46300</v>
      </c>
      <c r="U117" s="151"/>
      <c r="V117" s="152"/>
      <c r="W117" s="175"/>
      <c r="X117" s="173"/>
      <c r="Y117" s="173"/>
      <c r="Z117" s="176" t="str">
        <f>IF(B117="","",IF(S117&lt;&gt;"","Sevk Edildi",IF(AND(X117&lt;&gt;"",Y117=""),"Reworkte",IF(T117&lt;&gt;"","Kapandı"&amp;IF(COUNT(G117:R117)=0,""," – "&amp;LOOKUP(2,1/(G117:R117=MAX(G117:R117)),{"Tasarım","Ply Cutter","Üretim","Kalite (Üretim sonrası)","Talaşlı","Kalite (Talaşlı sonrası)","Montaj","Kalite (Montaj sonrası)","Boya","Kalite (Boya sonrası)","Yarı Mamül","KM"})),IF(COUNT(G117:R117)=0,"Başlamadı",LOOKUP(2,1/(G117:R117=MAX(G117:R117)),{"Tasarımda","Ply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17" s="177">
        <f t="shared" ca="1" si="19"/>
        <v>7</v>
      </c>
      <c r="AB117" s="175"/>
      <c r="AD117" t="str">
        <f>IF(OR($B117="",NOT(ISNUMBER(G117))),"",IF(COUNTIF(H117:$T117,G117)&gt;0,0,IF(COUNTIF($G117:$T117,"&gt;"&amp;G117)=0,"",SMALL($G117:$T117,COUNTIF($G117:$T117,"&lt;="&amp;G117)+1)-G117)))</f>
        <v/>
      </c>
      <c r="AE117" t="str">
        <f>IF(OR($B117="",NOT(ISNUMBER(H117))),"",IF(COUNTIF(I117:$T117,H117)&gt;0,0,IF(COUNTIF($G117:$T117,"&gt;"&amp;H117)=0,"",SMALL($G117:$T117,COUNTIF($G117:$T117,"&lt;="&amp;H117)+1)-H117)))</f>
        <v/>
      </c>
      <c r="AF117" t="str">
        <f>IF(OR($B117="",NOT(ISNUMBER(I117))),"",IF(COUNTIF(J117:$T117,I117)&gt;0,0,IF(COUNTIF($G117:$T117,"&gt;"&amp;I117)=0,"",SMALL($G117:$T117,COUNTIF($G117:$T117,"&lt;="&amp;I117)+1)-I117)))</f>
        <v/>
      </c>
      <c r="AG117" t="str">
        <f>IF(OR($B117="",NOT(ISNUMBER(J117))),"",IF(COUNTIF(K117:$T117,J117)&gt;0,0,IF(COUNTIF($G117:$T117,"&gt;"&amp;J117)=0,"",SMALL($G117:$T117,COUNTIF($G117:$T117,"&lt;="&amp;J117)+1)-J117)))</f>
        <v/>
      </c>
      <c r="AH117" t="str">
        <f>IF(OR($B117="",NOT(ISNUMBER(K117))),"",IF(COUNTIF(L117:$T117,K117)&gt;0,0,IF(COUNTIF($G117:$T117,"&gt;"&amp;K117)=0,"",SMALL($G117:$T117,COUNTIF($G117:$T117,"&lt;="&amp;K117)+1)-K117)))</f>
        <v/>
      </c>
      <c r="AI117" t="str">
        <f>IF(OR($B117="",NOT(ISNUMBER(L117))),"",IF(COUNTIF(M117:$T117,L117)&gt;0,0,IF(COUNTIF($G117:$T117,"&gt;"&amp;L117)=0,"",SMALL($G117:$T117,COUNTIF($G117:$T117,"&lt;="&amp;L117)+1)-L117)))</f>
        <v/>
      </c>
      <c r="AJ117">
        <f>IF(OR($B117="",NOT(ISNUMBER(M117))),"",IF(COUNTIF(N117:$T117,M117)&gt;0,0,IF(COUNTIF($G117:$T117,"&gt;"&amp;M117)=0,"",SMALL($G117:$T117,COUNTIF($G117:$T117,"&lt;="&amp;M117)+1)-M117)))</f>
        <v>5</v>
      </c>
      <c r="AK117">
        <f>IF(OR($B117="",NOT(ISNUMBER(N117))),"",IF(COUNTIF(O117:$T117,N117)&gt;0,0,IF(COUNTIF($G117:$T117,"&gt;"&amp;N117)=0,"",SMALL($G117:$T117,COUNTIF($G117:$T117,"&lt;="&amp;N117)+1)-N117)))</f>
        <v>0</v>
      </c>
      <c r="AL117" t="str">
        <f>IF(OR($B117="",NOT(ISNUMBER(O117))),"",IF(COUNTIF(P117:$T117,O117)&gt;0,0,IF(COUNTIF($G117:$T117,"&gt;"&amp;O117)=0,"",SMALL($G117:$T117,COUNTIF($G117:$T117,"&lt;="&amp;O117)+1)-O117)))</f>
        <v/>
      </c>
      <c r="AM117" t="str">
        <f>IF(OR($B117="",NOT(ISNUMBER(P117))),"",IF(COUNTIF(Q117:$T117,P117)&gt;0,0,IF(COUNTIF($G117:$T117,"&gt;"&amp;P117)=0,"",SMALL($G117:$T117,COUNTIF($G117:$T117,"&lt;="&amp;P117)+1)-P117)))</f>
        <v/>
      </c>
      <c r="AN117" t="str">
        <f>IF(OR($B117="",NOT(ISNUMBER(Q117))),"",IF(COUNTIF(R117:$T117,Q117)&gt;0,0,IF(COUNTIF($G117:$T117,"&gt;"&amp;Q117)=0,"",SMALL($G117:$T117,COUNTIF($G117:$T117,"&lt;="&amp;Q117)+1)-Q117)))</f>
        <v/>
      </c>
      <c r="AO117" t="str">
        <f>IF(OR($B117="",NOT(ISNUMBER(R117))),"",IF(COUNTIF(S117:$T117,R117)&gt;0,0,IF(COUNTIF($G117:$T117,"&gt;"&amp;R117)=0,"",SMALL($G117:$T117,COUNTIF($G117:$T117,"&lt;="&amp;R117)+1)-R117)))</f>
        <v/>
      </c>
      <c r="AP117">
        <f t="shared" ca="1" si="20"/>
        <v>0</v>
      </c>
      <c r="AQ117" s="25" t="str">
        <f t="shared" si="21"/>
        <v/>
      </c>
      <c r="AR117" s="25" t="str">
        <f t="shared" si="22"/>
        <v/>
      </c>
      <c r="AS117" s="25" t="str">
        <f t="shared" si="23"/>
        <v/>
      </c>
      <c r="AT117" s="25" t="str">
        <f t="shared" si="24"/>
        <v/>
      </c>
      <c r="AU117" s="25" t="str">
        <f t="shared" si="25"/>
        <v/>
      </c>
      <c r="AV117" s="25" t="str">
        <f t="shared" si="26"/>
        <v/>
      </c>
      <c r="AW117" s="25">
        <f t="shared" si="27"/>
        <v>46300</v>
      </c>
      <c r="AX117" s="25">
        <f t="shared" si="28"/>
        <v>46300</v>
      </c>
      <c r="AY117" s="25" t="str">
        <f t="shared" si="29"/>
        <v/>
      </c>
      <c r="AZ117" s="25" t="str">
        <f t="shared" si="30"/>
        <v/>
      </c>
      <c r="BA117" s="25" t="str">
        <f t="shared" si="31"/>
        <v/>
      </c>
      <c r="BB117" s="25" t="str">
        <f t="shared" si="32"/>
        <v/>
      </c>
      <c r="BC117" s="25">
        <f t="shared" si="33"/>
        <v>46300</v>
      </c>
    </row>
    <row r="118" spans="1:55" x14ac:dyDescent="0.25">
      <c r="A118" s="151">
        <f t="shared" si="17"/>
        <v>116</v>
      </c>
      <c r="B118" s="151" t="s">
        <v>232</v>
      </c>
      <c r="C118" s="152" t="s">
        <v>227</v>
      </c>
      <c r="D118" s="151">
        <f t="shared" si="18"/>
        <v>1</v>
      </c>
      <c r="E118" s="151" t="s">
        <v>100</v>
      </c>
      <c r="F118" s="173">
        <v>46293</v>
      </c>
      <c r="G118" s="173"/>
      <c r="H118" s="173"/>
      <c r="I118" s="173"/>
      <c r="J118" s="173"/>
      <c r="K118" s="173"/>
      <c r="L118" s="173"/>
      <c r="M118" s="173">
        <v>46295</v>
      </c>
      <c r="N118" s="173">
        <v>46300</v>
      </c>
      <c r="O118" s="173"/>
      <c r="P118" s="173"/>
      <c r="Q118" s="173"/>
      <c r="R118" s="173"/>
      <c r="S118" s="173"/>
      <c r="T118" s="174">
        <v>46300</v>
      </c>
      <c r="U118" s="151"/>
      <c r="V118" s="152"/>
      <c r="W118" s="175"/>
      <c r="X118" s="173"/>
      <c r="Y118" s="173"/>
      <c r="Z118" s="176" t="str">
        <f>IF(B118="","",IF(S118&lt;&gt;"","Sevk Edildi",IF(AND(X118&lt;&gt;"",Y118=""),"Reworkte",IF(T118&lt;&gt;"","Kapandı"&amp;IF(COUNT(G118:R118)=0,""," – "&amp;LOOKUP(2,1/(G118:R118=MAX(G118:R118)),{"Tasarım","Ply Cutter","Üretim","Kalite (Üretim sonrası)","Talaşlı","Kalite (Talaşlı sonrası)","Montaj","Kalite (Montaj sonrası)","Boya","Kalite (Boya sonrası)","Yarı Mamül","KM"})),IF(COUNT(G118:R118)=0,"Başlamadı",LOOKUP(2,1/(G118:R118=MAX(G118:R118)),{"Tasarımda","Ply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18" s="177">
        <f t="shared" ca="1" si="19"/>
        <v>7</v>
      </c>
      <c r="AB118" s="175"/>
      <c r="AD118" t="str">
        <f>IF(OR($B118="",NOT(ISNUMBER(G118))),"",IF(COUNTIF(H118:$T118,G118)&gt;0,0,IF(COUNTIF($G118:$T118,"&gt;"&amp;G118)=0,"",SMALL($G118:$T118,COUNTIF($G118:$T118,"&lt;="&amp;G118)+1)-G118)))</f>
        <v/>
      </c>
      <c r="AE118" t="str">
        <f>IF(OR($B118="",NOT(ISNUMBER(H118))),"",IF(COUNTIF(I118:$T118,H118)&gt;0,0,IF(COUNTIF($G118:$T118,"&gt;"&amp;H118)=0,"",SMALL($G118:$T118,COUNTIF($G118:$T118,"&lt;="&amp;H118)+1)-H118)))</f>
        <v/>
      </c>
      <c r="AF118" t="str">
        <f>IF(OR($B118="",NOT(ISNUMBER(I118))),"",IF(COUNTIF(J118:$T118,I118)&gt;0,0,IF(COUNTIF($G118:$T118,"&gt;"&amp;I118)=0,"",SMALL($G118:$T118,COUNTIF($G118:$T118,"&lt;="&amp;I118)+1)-I118)))</f>
        <v/>
      </c>
      <c r="AG118" t="str">
        <f>IF(OR($B118="",NOT(ISNUMBER(J118))),"",IF(COUNTIF(K118:$T118,J118)&gt;0,0,IF(COUNTIF($G118:$T118,"&gt;"&amp;J118)=0,"",SMALL($G118:$T118,COUNTIF($G118:$T118,"&lt;="&amp;J118)+1)-J118)))</f>
        <v/>
      </c>
      <c r="AH118" t="str">
        <f>IF(OR($B118="",NOT(ISNUMBER(K118))),"",IF(COUNTIF(L118:$T118,K118)&gt;0,0,IF(COUNTIF($G118:$T118,"&gt;"&amp;K118)=0,"",SMALL($G118:$T118,COUNTIF($G118:$T118,"&lt;="&amp;K118)+1)-K118)))</f>
        <v/>
      </c>
      <c r="AI118" t="str">
        <f>IF(OR($B118="",NOT(ISNUMBER(L118))),"",IF(COUNTIF(M118:$T118,L118)&gt;0,0,IF(COUNTIF($G118:$T118,"&gt;"&amp;L118)=0,"",SMALL($G118:$T118,COUNTIF($G118:$T118,"&lt;="&amp;L118)+1)-L118)))</f>
        <v/>
      </c>
      <c r="AJ118">
        <f>IF(OR($B118="",NOT(ISNUMBER(M118))),"",IF(COUNTIF(N118:$T118,M118)&gt;0,0,IF(COUNTIF($G118:$T118,"&gt;"&amp;M118)=0,"",SMALL($G118:$T118,COUNTIF($G118:$T118,"&lt;="&amp;M118)+1)-M118)))</f>
        <v>5</v>
      </c>
      <c r="AK118">
        <f>IF(OR($B118="",NOT(ISNUMBER(N118))),"",IF(COUNTIF(O118:$T118,N118)&gt;0,0,IF(COUNTIF($G118:$T118,"&gt;"&amp;N118)=0,"",SMALL($G118:$T118,COUNTIF($G118:$T118,"&lt;="&amp;N118)+1)-N118)))</f>
        <v>0</v>
      </c>
      <c r="AL118" t="str">
        <f>IF(OR($B118="",NOT(ISNUMBER(O118))),"",IF(COUNTIF(P118:$T118,O118)&gt;0,0,IF(COUNTIF($G118:$T118,"&gt;"&amp;O118)=0,"",SMALL($G118:$T118,COUNTIF($G118:$T118,"&lt;="&amp;O118)+1)-O118)))</f>
        <v/>
      </c>
      <c r="AM118" t="str">
        <f>IF(OR($B118="",NOT(ISNUMBER(P118))),"",IF(COUNTIF(Q118:$T118,P118)&gt;0,0,IF(COUNTIF($G118:$T118,"&gt;"&amp;P118)=0,"",SMALL($G118:$T118,COUNTIF($G118:$T118,"&lt;="&amp;P118)+1)-P118)))</f>
        <v/>
      </c>
      <c r="AN118" t="str">
        <f>IF(OR($B118="",NOT(ISNUMBER(Q118))),"",IF(COUNTIF(R118:$T118,Q118)&gt;0,0,IF(COUNTIF($G118:$T118,"&gt;"&amp;Q118)=0,"",SMALL($G118:$T118,COUNTIF($G118:$T118,"&lt;="&amp;Q118)+1)-Q118)))</f>
        <v/>
      </c>
      <c r="AO118" t="str">
        <f>IF(OR($B118="",NOT(ISNUMBER(R118))),"",IF(COUNTIF(S118:$T118,R118)&gt;0,0,IF(COUNTIF($G118:$T118,"&gt;"&amp;R118)=0,"",SMALL($G118:$T118,COUNTIF($G118:$T118,"&lt;="&amp;R118)+1)-R118)))</f>
        <v/>
      </c>
      <c r="AP118">
        <f t="shared" ca="1" si="20"/>
        <v>0</v>
      </c>
      <c r="AQ118" s="25" t="str">
        <f t="shared" si="21"/>
        <v/>
      </c>
      <c r="AR118" s="25" t="str">
        <f t="shared" si="22"/>
        <v/>
      </c>
      <c r="AS118" s="25" t="str">
        <f t="shared" si="23"/>
        <v/>
      </c>
      <c r="AT118" s="25" t="str">
        <f t="shared" si="24"/>
        <v/>
      </c>
      <c r="AU118" s="25" t="str">
        <f t="shared" si="25"/>
        <v/>
      </c>
      <c r="AV118" s="25" t="str">
        <f t="shared" si="26"/>
        <v/>
      </c>
      <c r="AW118" s="25">
        <f t="shared" si="27"/>
        <v>46300</v>
      </c>
      <c r="AX118" s="25">
        <f t="shared" si="28"/>
        <v>46300</v>
      </c>
      <c r="AY118" s="25" t="str">
        <f t="shared" si="29"/>
        <v/>
      </c>
      <c r="AZ118" s="25" t="str">
        <f t="shared" si="30"/>
        <v/>
      </c>
      <c r="BA118" s="25" t="str">
        <f t="shared" si="31"/>
        <v/>
      </c>
      <c r="BB118" s="25" t="str">
        <f t="shared" si="32"/>
        <v/>
      </c>
      <c r="BC118" s="25">
        <f t="shared" si="33"/>
        <v>46300</v>
      </c>
    </row>
    <row r="119" spans="1:55" x14ac:dyDescent="0.25">
      <c r="A119" s="151">
        <f t="shared" si="17"/>
        <v>117</v>
      </c>
      <c r="B119" s="151" t="s">
        <v>233</v>
      </c>
      <c r="C119" s="152" t="s">
        <v>229</v>
      </c>
      <c r="D119" s="151">
        <f t="shared" si="18"/>
        <v>1</v>
      </c>
      <c r="E119" s="151" t="s">
        <v>100</v>
      </c>
      <c r="F119" s="173">
        <v>46293</v>
      </c>
      <c r="G119" s="173"/>
      <c r="H119" s="173"/>
      <c r="I119" s="173"/>
      <c r="J119" s="173"/>
      <c r="K119" s="173"/>
      <c r="L119" s="173"/>
      <c r="M119" s="173">
        <v>46295</v>
      </c>
      <c r="N119" s="173">
        <v>46300</v>
      </c>
      <c r="O119" s="173"/>
      <c r="P119" s="173"/>
      <c r="Q119" s="173"/>
      <c r="R119" s="173"/>
      <c r="S119" s="173"/>
      <c r="T119" s="174">
        <v>46300</v>
      </c>
      <c r="U119" s="151"/>
      <c r="V119" s="152"/>
      <c r="W119" s="175"/>
      <c r="X119" s="173"/>
      <c r="Y119" s="173"/>
      <c r="Z119" s="176" t="str">
        <f>IF(B119="","",IF(S119&lt;&gt;"","Sevk Edildi",IF(AND(X119&lt;&gt;"",Y119=""),"Reworkte",IF(T119&lt;&gt;"","Kapandı"&amp;IF(COUNT(G119:R119)=0,""," – "&amp;LOOKUP(2,1/(G119:R119=MAX(G119:R119)),{"Tasarım","Ply Cutter","Üretim","Kalite (Üretim sonrası)","Talaşlı","Kalite (Talaşlı sonrası)","Montaj","Kalite (Montaj sonrası)","Boya","Kalite (Boya sonrası)","Yarı Mamül","KM"})),IF(COUNT(G119:R119)=0,"Başlamadı",LOOKUP(2,1/(G119:R119=MAX(G119:R119)),{"Tasarımda","Ply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19" s="177">
        <f t="shared" ca="1" si="19"/>
        <v>7</v>
      </c>
      <c r="AB119" s="175"/>
      <c r="AD119" t="str">
        <f>IF(OR($B119="",NOT(ISNUMBER(G119))),"",IF(COUNTIF(H119:$T119,G119)&gt;0,0,IF(COUNTIF($G119:$T119,"&gt;"&amp;G119)=0,"",SMALL($G119:$T119,COUNTIF($G119:$T119,"&lt;="&amp;G119)+1)-G119)))</f>
        <v/>
      </c>
      <c r="AE119" t="str">
        <f>IF(OR($B119="",NOT(ISNUMBER(H119))),"",IF(COUNTIF(I119:$T119,H119)&gt;0,0,IF(COUNTIF($G119:$T119,"&gt;"&amp;H119)=0,"",SMALL($G119:$T119,COUNTIF($G119:$T119,"&lt;="&amp;H119)+1)-H119)))</f>
        <v/>
      </c>
      <c r="AF119" t="str">
        <f>IF(OR($B119="",NOT(ISNUMBER(I119))),"",IF(COUNTIF(J119:$T119,I119)&gt;0,0,IF(COUNTIF($G119:$T119,"&gt;"&amp;I119)=0,"",SMALL($G119:$T119,COUNTIF($G119:$T119,"&lt;="&amp;I119)+1)-I119)))</f>
        <v/>
      </c>
      <c r="AG119" t="str">
        <f>IF(OR($B119="",NOT(ISNUMBER(J119))),"",IF(COUNTIF(K119:$T119,J119)&gt;0,0,IF(COUNTIF($G119:$T119,"&gt;"&amp;J119)=0,"",SMALL($G119:$T119,COUNTIF($G119:$T119,"&lt;="&amp;J119)+1)-J119)))</f>
        <v/>
      </c>
      <c r="AH119" t="str">
        <f>IF(OR($B119="",NOT(ISNUMBER(K119))),"",IF(COUNTIF(L119:$T119,K119)&gt;0,0,IF(COUNTIF($G119:$T119,"&gt;"&amp;K119)=0,"",SMALL($G119:$T119,COUNTIF($G119:$T119,"&lt;="&amp;K119)+1)-K119)))</f>
        <v/>
      </c>
      <c r="AI119" t="str">
        <f>IF(OR($B119="",NOT(ISNUMBER(L119))),"",IF(COUNTIF(M119:$T119,L119)&gt;0,0,IF(COUNTIF($G119:$T119,"&gt;"&amp;L119)=0,"",SMALL($G119:$T119,COUNTIF($G119:$T119,"&lt;="&amp;L119)+1)-L119)))</f>
        <v/>
      </c>
      <c r="AJ119">
        <f>IF(OR($B119="",NOT(ISNUMBER(M119))),"",IF(COUNTIF(N119:$T119,M119)&gt;0,0,IF(COUNTIF($G119:$T119,"&gt;"&amp;M119)=0,"",SMALL($G119:$T119,COUNTIF($G119:$T119,"&lt;="&amp;M119)+1)-M119)))</f>
        <v>5</v>
      </c>
      <c r="AK119">
        <f>IF(OR($B119="",NOT(ISNUMBER(N119))),"",IF(COUNTIF(O119:$T119,N119)&gt;0,0,IF(COUNTIF($G119:$T119,"&gt;"&amp;N119)=0,"",SMALL($G119:$T119,COUNTIF($G119:$T119,"&lt;="&amp;N119)+1)-N119)))</f>
        <v>0</v>
      </c>
      <c r="AL119" t="str">
        <f>IF(OR($B119="",NOT(ISNUMBER(O119))),"",IF(COUNTIF(P119:$T119,O119)&gt;0,0,IF(COUNTIF($G119:$T119,"&gt;"&amp;O119)=0,"",SMALL($G119:$T119,COUNTIF($G119:$T119,"&lt;="&amp;O119)+1)-O119)))</f>
        <v/>
      </c>
      <c r="AM119" t="str">
        <f>IF(OR($B119="",NOT(ISNUMBER(P119))),"",IF(COUNTIF(Q119:$T119,P119)&gt;0,0,IF(COUNTIF($G119:$T119,"&gt;"&amp;P119)=0,"",SMALL($G119:$T119,COUNTIF($G119:$T119,"&lt;="&amp;P119)+1)-P119)))</f>
        <v/>
      </c>
      <c r="AN119" t="str">
        <f>IF(OR($B119="",NOT(ISNUMBER(Q119))),"",IF(COUNTIF(R119:$T119,Q119)&gt;0,0,IF(COUNTIF($G119:$T119,"&gt;"&amp;Q119)=0,"",SMALL($G119:$T119,COUNTIF($G119:$T119,"&lt;="&amp;Q119)+1)-Q119)))</f>
        <v/>
      </c>
      <c r="AO119" t="str">
        <f>IF(OR($B119="",NOT(ISNUMBER(R119))),"",IF(COUNTIF(S119:$T119,R119)&gt;0,0,IF(COUNTIF($G119:$T119,"&gt;"&amp;R119)=0,"",SMALL($G119:$T119,COUNTIF($G119:$T119,"&lt;="&amp;R119)+1)-R119)))</f>
        <v/>
      </c>
      <c r="AP119">
        <f t="shared" ca="1" si="20"/>
        <v>0</v>
      </c>
      <c r="AQ119" s="25" t="str">
        <f t="shared" si="21"/>
        <v/>
      </c>
      <c r="AR119" s="25" t="str">
        <f t="shared" si="22"/>
        <v/>
      </c>
      <c r="AS119" s="25" t="str">
        <f t="shared" si="23"/>
        <v/>
      </c>
      <c r="AT119" s="25" t="str">
        <f t="shared" si="24"/>
        <v/>
      </c>
      <c r="AU119" s="25" t="str">
        <f t="shared" si="25"/>
        <v/>
      </c>
      <c r="AV119" s="25" t="str">
        <f t="shared" si="26"/>
        <v/>
      </c>
      <c r="AW119" s="25">
        <f t="shared" si="27"/>
        <v>46300</v>
      </c>
      <c r="AX119" s="25">
        <f t="shared" si="28"/>
        <v>46300</v>
      </c>
      <c r="AY119" s="25" t="str">
        <f t="shared" si="29"/>
        <v/>
      </c>
      <c r="AZ119" s="25" t="str">
        <f t="shared" si="30"/>
        <v/>
      </c>
      <c r="BA119" s="25" t="str">
        <f t="shared" si="31"/>
        <v/>
      </c>
      <c r="BB119" s="25" t="str">
        <f t="shared" si="32"/>
        <v/>
      </c>
      <c r="BC119" s="25">
        <f t="shared" si="33"/>
        <v>46300</v>
      </c>
    </row>
    <row r="120" spans="1:55" x14ac:dyDescent="0.25">
      <c r="A120" s="151">
        <f t="shared" si="17"/>
        <v>118</v>
      </c>
      <c r="B120" s="151" t="s">
        <v>234</v>
      </c>
      <c r="C120" s="152" t="s">
        <v>180</v>
      </c>
      <c r="D120" s="151">
        <f t="shared" si="18"/>
        <v>1</v>
      </c>
      <c r="E120" s="151" t="s">
        <v>61</v>
      </c>
      <c r="F120" s="173">
        <v>46293</v>
      </c>
      <c r="G120" s="173"/>
      <c r="H120" s="173"/>
      <c r="I120" s="173">
        <v>46293</v>
      </c>
      <c r="J120" s="173">
        <v>46294</v>
      </c>
      <c r="K120" s="173"/>
      <c r="L120" s="173"/>
      <c r="M120" s="173"/>
      <c r="N120" s="173"/>
      <c r="O120" s="173"/>
      <c r="P120" s="173"/>
      <c r="Q120" s="173">
        <v>46295</v>
      </c>
      <c r="R120" s="173"/>
      <c r="S120" s="173"/>
      <c r="T120" s="174">
        <v>46295</v>
      </c>
      <c r="U120" s="151"/>
      <c r="V120" s="152"/>
      <c r="W120" s="175"/>
      <c r="X120" s="173"/>
      <c r="Y120" s="173"/>
      <c r="Z120" s="176" t="str">
        <f>IF(B120="","",IF(S120&lt;&gt;"","Sevk Edildi",IF(AND(X120&lt;&gt;"",Y120=""),"Reworkte",IF(T120&lt;&gt;"","Kapandı"&amp;IF(COUNT(G120:R120)=0,""," – "&amp;LOOKUP(2,1/(G120:R120=MAX(G120:R120)),{"Tasarım","Ply Cutter","Üretim","Kalite (Üretim sonrası)","Talaşlı","Kalite (Talaşlı sonrası)","Montaj","Kalite (Montaj sonrası)","Boya","Kalite (Boya sonrası)","Yarı Mamül","KM"})),IF(COUNT(G120:R120)=0,"Başlamadı",LOOKUP(2,1/(G120:R120=MAX(G120:R120)),{"Tasarımda","Ply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20" s="177">
        <f t="shared" ca="1" si="19"/>
        <v>2</v>
      </c>
      <c r="AB120" s="175"/>
      <c r="AD120" t="str">
        <f>IF(OR($B120="",NOT(ISNUMBER(G120))),"",IF(COUNTIF(H120:$T120,G120)&gt;0,0,IF(COUNTIF($G120:$T120,"&gt;"&amp;G120)=0,"",SMALL($G120:$T120,COUNTIF($G120:$T120,"&lt;="&amp;G120)+1)-G120)))</f>
        <v/>
      </c>
      <c r="AE120" t="str">
        <f>IF(OR($B120="",NOT(ISNUMBER(H120))),"",IF(COUNTIF(I120:$T120,H120)&gt;0,0,IF(COUNTIF($G120:$T120,"&gt;"&amp;H120)=0,"",SMALL($G120:$T120,COUNTIF($G120:$T120,"&lt;="&amp;H120)+1)-H120)))</f>
        <v/>
      </c>
      <c r="AF120">
        <f>IF(OR($B120="",NOT(ISNUMBER(I120))),"",IF(COUNTIF(J120:$T120,I120)&gt;0,0,IF(COUNTIF($G120:$T120,"&gt;"&amp;I120)=0,"",SMALL($G120:$T120,COUNTIF($G120:$T120,"&lt;="&amp;I120)+1)-I120)))</f>
        <v>1</v>
      </c>
      <c r="AG120">
        <f>IF(OR($B120="",NOT(ISNUMBER(J120))),"",IF(COUNTIF(K120:$T120,J120)&gt;0,0,IF(COUNTIF($G120:$T120,"&gt;"&amp;J120)=0,"",SMALL($G120:$T120,COUNTIF($G120:$T120,"&lt;="&amp;J120)+1)-J120)))</f>
        <v>1</v>
      </c>
      <c r="AH120" t="str">
        <f>IF(OR($B120="",NOT(ISNUMBER(K120))),"",IF(COUNTIF(L120:$T120,K120)&gt;0,0,IF(COUNTIF($G120:$T120,"&gt;"&amp;K120)=0,"",SMALL($G120:$T120,COUNTIF($G120:$T120,"&lt;="&amp;K120)+1)-K120)))</f>
        <v/>
      </c>
      <c r="AI120" t="str">
        <f>IF(OR($B120="",NOT(ISNUMBER(L120))),"",IF(COUNTIF(M120:$T120,L120)&gt;0,0,IF(COUNTIF($G120:$T120,"&gt;"&amp;L120)=0,"",SMALL($G120:$T120,COUNTIF($G120:$T120,"&lt;="&amp;L120)+1)-L120)))</f>
        <v/>
      </c>
      <c r="AJ120" t="str">
        <f>IF(OR($B120="",NOT(ISNUMBER(M120))),"",IF(COUNTIF(N120:$T120,M120)&gt;0,0,IF(COUNTIF($G120:$T120,"&gt;"&amp;M120)=0,"",SMALL($G120:$T120,COUNTIF($G120:$T120,"&lt;="&amp;M120)+1)-M120)))</f>
        <v/>
      </c>
      <c r="AK120" t="str">
        <f>IF(OR($B120="",NOT(ISNUMBER(N120))),"",IF(COUNTIF(O120:$T120,N120)&gt;0,0,IF(COUNTIF($G120:$T120,"&gt;"&amp;N120)=0,"",SMALL($G120:$T120,COUNTIF($G120:$T120,"&lt;="&amp;N120)+1)-N120)))</f>
        <v/>
      </c>
      <c r="AL120" t="str">
        <f>IF(OR($B120="",NOT(ISNUMBER(O120))),"",IF(COUNTIF(P120:$T120,O120)&gt;0,0,IF(COUNTIF($G120:$T120,"&gt;"&amp;O120)=0,"",SMALL($G120:$T120,COUNTIF($G120:$T120,"&lt;="&amp;O120)+1)-O120)))</f>
        <v/>
      </c>
      <c r="AM120" t="str">
        <f>IF(OR($B120="",NOT(ISNUMBER(P120))),"",IF(COUNTIF(Q120:$T120,P120)&gt;0,0,IF(COUNTIF($G120:$T120,"&gt;"&amp;P120)=0,"",SMALL($G120:$T120,COUNTIF($G120:$T120,"&lt;="&amp;P120)+1)-P120)))</f>
        <v/>
      </c>
      <c r="AN120">
        <f>IF(OR($B120="",NOT(ISNUMBER(Q120))),"",IF(COUNTIF(R120:$T120,Q120)&gt;0,0,IF(COUNTIF($G120:$T120,"&gt;"&amp;Q120)=0,"",SMALL($G120:$T120,COUNTIF($G120:$T120,"&lt;="&amp;Q120)+1)-Q120)))</f>
        <v>0</v>
      </c>
      <c r="AO120" t="str">
        <f>IF(OR($B120="",NOT(ISNUMBER(R120))),"",IF(COUNTIF(S120:$T120,R120)&gt;0,0,IF(COUNTIF($G120:$T120,"&gt;"&amp;R120)=0,"",SMALL($G120:$T120,COUNTIF($G120:$T120,"&lt;="&amp;R120)+1)-R120)))</f>
        <v/>
      </c>
      <c r="AP120">
        <f t="shared" ca="1" si="20"/>
        <v>0</v>
      </c>
      <c r="AQ120" s="25" t="str">
        <f t="shared" si="21"/>
        <v/>
      </c>
      <c r="AR120" s="25" t="str">
        <f t="shared" si="22"/>
        <v/>
      </c>
      <c r="AS120" s="25">
        <f t="shared" si="23"/>
        <v>46294</v>
      </c>
      <c r="AT120" s="25">
        <f t="shared" si="24"/>
        <v>46295</v>
      </c>
      <c r="AU120" s="25" t="str">
        <f t="shared" si="25"/>
        <v/>
      </c>
      <c r="AV120" s="25" t="str">
        <f t="shared" si="26"/>
        <v/>
      </c>
      <c r="AW120" s="25" t="str">
        <f t="shared" si="27"/>
        <v/>
      </c>
      <c r="AX120" s="25" t="str">
        <f t="shared" si="28"/>
        <v/>
      </c>
      <c r="AY120" s="25" t="str">
        <f t="shared" si="29"/>
        <v/>
      </c>
      <c r="AZ120" s="25" t="str">
        <f t="shared" si="30"/>
        <v/>
      </c>
      <c r="BA120" s="25">
        <f t="shared" si="31"/>
        <v>46295</v>
      </c>
      <c r="BB120" s="25" t="str">
        <f t="shared" si="32"/>
        <v/>
      </c>
      <c r="BC120" s="25">
        <f t="shared" si="33"/>
        <v>46295</v>
      </c>
    </row>
    <row r="121" spans="1:55" x14ac:dyDescent="0.25">
      <c r="A121" s="151">
        <f t="shared" si="17"/>
        <v>119</v>
      </c>
      <c r="B121" s="151" t="s">
        <v>235</v>
      </c>
      <c r="C121" s="152" t="s">
        <v>227</v>
      </c>
      <c r="D121" s="151">
        <f t="shared" si="18"/>
        <v>1</v>
      </c>
      <c r="E121" s="151" t="s">
        <v>100</v>
      </c>
      <c r="F121" s="173">
        <v>46293</v>
      </c>
      <c r="G121" s="173"/>
      <c r="H121" s="173"/>
      <c r="I121" s="173"/>
      <c r="J121" s="173"/>
      <c r="K121" s="173"/>
      <c r="L121" s="173"/>
      <c r="M121" s="173">
        <v>46294</v>
      </c>
      <c r="N121" s="173">
        <v>46300</v>
      </c>
      <c r="O121" s="173"/>
      <c r="P121" s="173"/>
      <c r="Q121" s="173"/>
      <c r="R121" s="173"/>
      <c r="S121" s="173"/>
      <c r="T121" s="174">
        <v>46300</v>
      </c>
      <c r="U121" s="151"/>
      <c r="V121" s="152"/>
      <c r="W121" s="175"/>
      <c r="X121" s="173"/>
      <c r="Y121" s="173"/>
      <c r="Z121" s="176" t="str">
        <f>IF(B121="","",IF(S121&lt;&gt;"","Sevk Edildi",IF(AND(X121&lt;&gt;"",Y121=""),"Reworkte",IF(T121&lt;&gt;"","Kapandı"&amp;IF(COUNT(G121:R121)=0,""," – "&amp;LOOKUP(2,1/(G121:R121=MAX(G121:R121)),{"Tasarım","Ply Cutter","Üretim","Kalite (Üretim sonrası)","Talaşlı","Kalite (Talaşlı sonrası)","Montaj","Kalite (Montaj sonrası)","Boya","Kalite (Boya sonrası)","Yarı Mamül","KM"})),IF(COUNT(G121:R121)=0,"Başlamadı",LOOKUP(2,1/(G121:R121=MAX(G121:R121)),{"Tasarımda","Ply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21" s="177">
        <f t="shared" ca="1" si="19"/>
        <v>7</v>
      </c>
      <c r="AB121" s="175"/>
      <c r="AD121" t="str">
        <f>IF(OR($B121="",NOT(ISNUMBER(G121))),"",IF(COUNTIF(H121:$T121,G121)&gt;0,0,IF(COUNTIF($G121:$T121,"&gt;"&amp;G121)=0,"",SMALL($G121:$T121,COUNTIF($G121:$T121,"&lt;="&amp;G121)+1)-G121)))</f>
        <v/>
      </c>
      <c r="AE121" t="str">
        <f>IF(OR($B121="",NOT(ISNUMBER(H121))),"",IF(COUNTIF(I121:$T121,H121)&gt;0,0,IF(COUNTIF($G121:$T121,"&gt;"&amp;H121)=0,"",SMALL($G121:$T121,COUNTIF($G121:$T121,"&lt;="&amp;H121)+1)-H121)))</f>
        <v/>
      </c>
      <c r="AF121" t="str">
        <f>IF(OR($B121="",NOT(ISNUMBER(I121))),"",IF(COUNTIF(J121:$T121,I121)&gt;0,0,IF(COUNTIF($G121:$T121,"&gt;"&amp;I121)=0,"",SMALL($G121:$T121,COUNTIF($G121:$T121,"&lt;="&amp;I121)+1)-I121)))</f>
        <v/>
      </c>
      <c r="AG121" t="str">
        <f>IF(OR($B121="",NOT(ISNUMBER(J121))),"",IF(COUNTIF(K121:$T121,J121)&gt;0,0,IF(COUNTIF($G121:$T121,"&gt;"&amp;J121)=0,"",SMALL($G121:$T121,COUNTIF($G121:$T121,"&lt;="&amp;J121)+1)-J121)))</f>
        <v/>
      </c>
      <c r="AH121" t="str">
        <f>IF(OR($B121="",NOT(ISNUMBER(K121))),"",IF(COUNTIF(L121:$T121,K121)&gt;0,0,IF(COUNTIF($G121:$T121,"&gt;"&amp;K121)=0,"",SMALL($G121:$T121,COUNTIF($G121:$T121,"&lt;="&amp;K121)+1)-K121)))</f>
        <v/>
      </c>
      <c r="AI121" t="str">
        <f>IF(OR($B121="",NOT(ISNUMBER(L121))),"",IF(COUNTIF(M121:$T121,L121)&gt;0,0,IF(COUNTIF($G121:$T121,"&gt;"&amp;L121)=0,"",SMALL($G121:$T121,COUNTIF($G121:$T121,"&lt;="&amp;L121)+1)-L121)))</f>
        <v/>
      </c>
      <c r="AJ121">
        <f>IF(OR($B121="",NOT(ISNUMBER(M121))),"",IF(COUNTIF(N121:$T121,M121)&gt;0,0,IF(COUNTIF($G121:$T121,"&gt;"&amp;M121)=0,"",SMALL($G121:$T121,COUNTIF($G121:$T121,"&lt;="&amp;M121)+1)-M121)))</f>
        <v>6</v>
      </c>
      <c r="AK121">
        <f>IF(OR($B121="",NOT(ISNUMBER(N121))),"",IF(COUNTIF(O121:$T121,N121)&gt;0,0,IF(COUNTIF($G121:$T121,"&gt;"&amp;N121)=0,"",SMALL($G121:$T121,COUNTIF($G121:$T121,"&lt;="&amp;N121)+1)-N121)))</f>
        <v>0</v>
      </c>
      <c r="AL121" t="str">
        <f>IF(OR($B121="",NOT(ISNUMBER(O121))),"",IF(COUNTIF(P121:$T121,O121)&gt;0,0,IF(COUNTIF($G121:$T121,"&gt;"&amp;O121)=0,"",SMALL($G121:$T121,COUNTIF($G121:$T121,"&lt;="&amp;O121)+1)-O121)))</f>
        <v/>
      </c>
      <c r="AM121" t="str">
        <f>IF(OR($B121="",NOT(ISNUMBER(P121))),"",IF(COUNTIF(Q121:$T121,P121)&gt;0,0,IF(COUNTIF($G121:$T121,"&gt;"&amp;P121)=0,"",SMALL($G121:$T121,COUNTIF($G121:$T121,"&lt;="&amp;P121)+1)-P121)))</f>
        <v/>
      </c>
      <c r="AN121" t="str">
        <f>IF(OR($B121="",NOT(ISNUMBER(Q121))),"",IF(COUNTIF(R121:$T121,Q121)&gt;0,0,IF(COUNTIF($G121:$T121,"&gt;"&amp;Q121)=0,"",SMALL($G121:$T121,COUNTIF($G121:$T121,"&lt;="&amp;Q121)+1)-Q121)))</f>
        <v/>
      </c>
      <c r="AO121" t="str">
        <f>IF(OR($B121="",NOT(ISNUMBER(R121))),"",IF(COUNTIF(S121:$T121,R121)&gt;0,0,IF(COUNTIF($G121:$T121,"&gt;"&amp;R121)=0,"",SMALL($G121:$T121,COUNTIF($G121:$T121,"&lt;="&amp;R121)+1)-R121)))</f>
        <v/>
      </c>
      <c r="AP121">
        <f t="shared" ca="1" si="20"/>
        <v>0</v>
      </c>
      <c r="AQ121" s="25" t="str">
        <f t="shared" si="21"/>
        <v/>
      </c>
      <c r="AR121" s="25" t="str">
        <f t="shared" si="22"/>
        <v/>
      </c>
      <c r="AS121" s="25" t="str">
        <f t="shared" si="23"/>
        <v/>
      </c>
      <c r="AT121" s="25" t="str">
        <f t="shared" si="24"/>
        <v/>
      </c>
      <c r="AU121" s="25" t="str">
        <f t="shared" si="25"/>
        <v/>
      </c>
      <c r="AV121" s="25" t="str">
        <f t="shared" si="26"/>
        <v/>
      </c>
      <c r="AW121" s="25">
        <f t="shared" si="27"/>
        <v>46300</v>
      </c>
      <c r="AX121" s="25">
        <f t="shared" si="28"/>
        <v>46300</v>
      </c>
      <c r="AY121" s="25" t="str">
        <f t="shared" si="29"/>
        <v/>
      </c>
      <c r="AZ121" s="25" t="str">
        <f t="shared" si="30"/>
        <v/>
      </c>
      <c r="BA121" s="25" t="str">
        <f t="shared" si="31"/>
        <v/>
      </c>
      <c r="BB121" s="25" t="str">
        <f t="shared" si="32"/>
        <v/>
      </c>
      <c r="BC121" s="25">
        <f t="shared" si="33"/>
        <v>46300</v>
      </c>
    </row>
    <row r="122" spans="1:55" x14ac:dyDescent="0.25">
      <c r="A122" s="151">
        <f t="shared" si="17"/>
        <v>120</v>
      </c>
      <c r="B122" s="151" t="s">
        <v>236</v>
      </c>
      <c r="C122" s="152" t="s">
        <v>229</v>
      </c>
      <c r="D122" s="151">
        <f t="shared" si="18"/>
        <v>1</v>
      </c>
      <c r="E122" s="151" t="s">
        <v>100</v>
      </c>
      <c r="F122" s="173">
        <v>46293</v>
      </c>
      <c r="G122" s="173"/>
      <c r="H122" s="173"/>
      <c r="I122" s="173"/>
      <c r="J122" s="173"/>
      <c r="K122" s="173"/>
      <c r="L122" s="173"/>
      <c r="M122" s="173">
        <v>46294</v>
      </c>
      <c r="N122" s="173">
        <v>46300</v>
      </c>
      <c r="O122" s="173"/>
      <c r="P122" s="173"/>
      <c r="Q122" s="173"/>
      <c r="R122" s="173"/>
      <c r="S122" s="173"/>
      <c r="T122" s="174">
        <v>46300</v>
      </c>
      <c r="U122" s="151"/>
      <c r="V122" s="152"/>
      <c r="W122" s="175"/>
      <c r="X122" s="173"/>
      <c r="Y122" s="173"/>
      <c r="Z122" s="176" t="str">
        <f>IF(B122="","",IF(S122&lt;&gt;"","Sevk Edildi",IF(AND(X122&lt;&gt;"",Y122=""),"Reworkte",IF(T122&lt;&gt;"","Kapandı"&amp;IF(COUNT(G122:R122)=0,""," – "&amp;LOOKUP(2,1/(G122:R122=MAX(G122:R122)),{"Tasarım","Ply Cutter","Üretim","Kalite (Üretim sonrası)","Talaşlı","Kalite (Talaşlı sonrası)","Montaj","Kalite (Montaj sonrası)","Boya","Kalite (Boya sonrası)","Yarı Mamül","KM"})),IF(COUNT(G122:R122)=0,"Başlamadı",LOOKUP(2,1/(G122:R122=MAX(G122:R122)),{"Tasarımda","Ply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22" s="177">
        <f t="shared" ca="1" si="19"/>
        <v>7</v>
      </c>
      <c r="AB122" s="175"/>
      <c r="AD122" t="str">
        <f>IF(OR($B122="",NOT(ISNUMBER(G122))),"",IF(COUNTIF(H122:$T122,G122)&gt;0,0,IF(COUNTIF($G122:$T122,"&gt;"&amp;G122)=0,"",SMALL($G122:$T122,COUNTIF($G122:$T122,"&lt;="&amp;G122)+1)-G122)))</f>
        <v/>
      </c>
      <c r="AE122" t="str">
        <f>IF(OR($B122="",NOT(ISNUMBER(H122))),"",IF(COUNTIF(I122:$T122,H122)&gt;0,0,IF(COUNTIF($G122:$T122,"&gt;"&amp;H122)=0,"",SMALL($G122:$T122,COUNTIF($G122:$T122,"&lt;="&amp;H122)+1)-H122)))</f>
        <v/>
      </c>
      <c r="AF122" t="str">
        <f>IF(OR($B122="",NOT(ISNUMBER(I122))),"",IF(COUNTIF(J122:$T122,I122)&gt;0,0,IF(COUNTIF($G122:$T122,"&gt;"&amp;I122)=0,"",SMALL($G122:$T122,COUNTIF($G122:$T122,"&lt;="&amp;I122)+1)-I122)))</f>
        <v/>
      </c>
      <c r="AG122" t="str">
        <f>IF(OR($B122="",NOT(ISNUMBER(J122))),"",IF(COUNTIF(K122:$T122,J122)&gt;0,0,IF(COUNTIF($G122:$T122,"&gt;"&amp;J122)=0,"",SMALL($G122:$T122,COUNTIF($G122:$T122,"&lt;="&amp;J122)+1)-J122)))</f>
        <v/>
      </c>
      <c r="AH122" t="str">
        <f>IF(OR($B122="",NOT(ISNUMBER(K122))),"",IF(COUNTIF(L122:$T122,K122)&gt;0,0,IF(COUNTIF($G122:$T122,"&gt;"&amp;K122)=0,"",SMALL($G122:$T122,COUNTIF($G122:$T122,"&lt;="&amp;K122)+1)-K122)))</f>
        <v/>
      </c>
      <c r="AI122" t="str">
        <f>IF(OR($B122="",NOT(ISNUMBER(L122))),"",IF(COUNTIF(M122:$T122,L122)&gt;0,0,IF(COUNTIF($G122:$T122,"&gt;"&amp;L122)=0,"",SMALL($G122:$T122,COUNTIF($G122:$T122,"&lt;="&amp;L122)+1)-L122)))</f>
        <v/>
      </c>
      <c r="AJ122">
        <f>IF(OR($B122="",NOT(ISNUMBER(M122))),"",IF(COUNTIF(N122:$T122,M122)&gt;0,0,IF(COUNTIF($G122:$T122,"&gt;"&amp;M122)=0,"",SMALL($G122:$T122,COUNTIF($G122:$T122,"&lt;="&amp;M122)+1)-M122)))</f>
        <v>6</v>
      </c>
      <c r="AK122">
        <f>IF(OR($B122="",NOT(ISNUMBER(N122))),"",IF(COUNTIF(O122:$T122,N122)&gt;0,0,IF(COUNTIF($G122:$T122,"&gt;"&amp;N122)=0,"",SMALL($G122:$T122,COUNTIF($G122:$T122,"&lt;="&amp;N122)+1)-N122)))</f>
        <v>0</v>
      </c>
      <c r="AL122" t="str">
        <f>IF(OR($B122="",NOT(ISNUMBER(O122))),"",IF(COUNTIF(P122:$T122,O122)&gt;0,0,IF(COUNTIF($G122:$T122,"&gt;"&amp;O122)=0,"",SMALL($G122:$T122,COUNTIF($G122:$T122,"&lt;="&amp;O122)+1)-O122)))</f>
        <v/>
      </c>
      <c r="AM122" t="str">
        <f>IF(OR($B122="",NOT(ISNUMBER(P122))),"",IF(COUNTIF(Q122:$T122,P122)&gt;0,0,IF(COUNTIF($G122:$T122,"&gt;"&amp;P122)=0,"",SMALL($G122:$T122,COUNTIF($G122:$T122,"&lt;="&amp;P122)+1)-P122)))</f>
        <v/>
      </c>
      <c r="AN122" t="str">
        <f>IF(OR($B122="",NOT(ISNUMBER(Q122))),"",IF(COUNTIF(R122:$T122,Q122)&gt;0,0,IF(COUNTIF($G122:$T122,"&gt;"&amp;Q122)=0,"",SMALL($G122:$T122,COUNTIF($G122:$T122,"&lt;="&amp;Q122)+1)-Q122)))</f>
        <v/>
      </c>
      <c r="AO122" t="str">
        <f>IF(OR($B122="",NOT(ISNUMBER(R122))),"",IF(COUNTIF(S122:$T122,R122)&gt;0,0,IF(COUNTIF($G122:$T122,"&gt;"&amp;R122)=0,"",SMALL($G122:$T122,COUNTIF($G122:$T122,"&lt;="&amp;R122)+1)-R122)))</f>
        <v/>
      </c>
      <c r="AP122">
        <f t="shared" ca="1" si="20"/>
        <v>0</v>
      </c>
      <c r="AQ122" s="25" t="str">
        <f t="shared" si="21"/>
        <v/>
      </c>
      <c r="AR122" s="25" t="str">
        <f t="shared" si="22"/>
        <v/>
      </c>
      <c r="AS122" s="25" t="str">
        <f t="shared" si="23"/>
        <v/>
      </c>
      <c r="AT122" s="25" t="str">
        <f t="shared" si="24"/>
        <v/>
      </c>
      <c r="AU122" s="25" t="str">
        <f t="shared" si="25"/>
        <v/>
      </c>
      <c r="AV122" s="25" t="str">
        <f t="shared" si="26"/>
        <v/>
      </c>
      <c r="AW122" s="25">
        <f t="shared" si="27"/>
        <v>46300</v>
      </c>
      <c r="AX122" s="25">
        <f t="shared" si="28"/>
        <v>46300</v>
      </c>
      <c r="AY122" s="25" t="str">
        <f t="shared" si="29"/>
        <v/>
      </c>
      <c r="AZ122" s="25" t="str">
        <f t="shared" si="30"/>
        <v/>
      </c>
      <c r="BA122" s="25" t="str">
        <f t="shared" si="31"/>
        <v/>
      </c>
      <c r="BB122" s="25" t="str">
        <f t="shared" si="32"/>
        <v/>
      </c>
      <c r="BC122" s="25">
        <f t="shared" si="33"/>
        <v>46300</v>
      </c>
    </row>
    <row r="123" spans="1:55" x14ac:dyDescent="0.25">
      <c r="A123" s="151">
        <f t="shared" si="17"/>
        <v>121</v>
      </c>
      <c r="B123" s="151" t="s">
        <v>237</v>
      </c>
      <c r="C123" s="152" t="s">
        <v>84</v>
      </c>
      <c r="D123" s="151">
        <f t="shared" si="18"/>
        <v>1</v>
      </c>
      <c r="E123" s="151" t="s">
        <v>100</v>
      </c>
      <c r="F123" s="173">
        <v>46293</v>
      </c>
      <c r="G123" s="173"/>
      <c r="H123" s="173"/>
      <c r="I123" s="173"/>
      <c r="J123" s="173"/>
      <c r="K123" s="173"/>
      <c r="L123" s="173"/>
      <c r="M123" s="173">
        <v>46294</v>
      </c>
      <c r="N123" s="173">
        <v>46300</v>
      </c>
      <c r="O123" s="173"/>
      <c r="P123" s="173"/>
      <c r="Q123" s="173"/>
      <c r="R123" s="173"/>
      <c r="S123" s="173"/>
      <c r="T123" s="174">
        <v>46300</v>
      </c>
      <c r="U123" s="151"/>
      <c r="V123" s="152"/>
      <c r="W123" s="175"/>
      <c r="X123" s="173"/>
      <c r="Y123" s="173"/>
      <c r="Z123" s="176" t="str">
        <f>IF(B123="","",IF(S123&lt;&gt;"","Sevk Edildi",IF(AND(X123&lt;&gt;"",Y123=""),"Reworkte",IF(T123&lt;&gt;"","Kapandı"&amp;IF(COUNT(G123:R123)=0,""," – "&amp;LOOKUP(2,1/(G123:R123=MAX(G123:R123)),{"Tasarım","Ply Cutter","Üretim","Kalite (Üretim sonrası)","Talaşlı","Kalite (Talaşlı sonrası)","Montaj","Kalite (Montaj sonrası)","Boya","Kalite (Boya sonrası)","Yarı Mamül","KM"})),IF(COUNT(G123:R123)=0,"Başlamadı",LOOKUP(2,1/(G123:R123=MAX(G123:R123)),{"Tasarımda","Ply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23" s="177">
        <f t="shared" ca="1" si="19"/>
        <v>7</v>
      </c>
      <c r="AB123" s="175" t="s">
        <v>238</v>
      </c>
      <c r="AD123" t="str">
        <f>IF(OR($B123="",NOT(ISNUMBER(G123))),"",IF(COUNTIF(H123:$T123,G123)&gt;0,0,IF(COUNTIF($G123:$T123,"&gt;"&amp;G123)=0,"",SMALL($G123:$T123,COUNTIF($G123:$T123,"&lt;="&amp;G123)+1)-G123)))</f>
        <v/>
      </c>
      <c r="AE123" t="str">
        <f>IF(OR($B123="",NOT(ISNUMBER(H123))),"",IF(COUNTIF(I123:$T123,H123)&gt;0,0,IF(COUNTIF($G123:$T123,"&gt;"&amp;H123)=0,"",SMALL($G123:$T123,COUNTIF($G123:$T123,"&lt;="&amp;H123)+1)-H123)))</f>
        <v/>
      </c>
      <c r="AF123" t="str">
        <f>IF(OR($B123="",NOT(ISNUMBER(I123))),"",IF(COUNTIF(J123:$T123,I123)&gt;0,0,IF(COUNTIF($G123:$T123,"&gt;"&amp;I123)=0,"",SMALL($G123:$T123,COUNTIF($G123:$T123,"&lt;="&amp;I123)+1)-I123)))</f>
        <v/>
      </c>
      <c r="AG123" t="str">
        <f>IF(OR($B123="",NOT(ISNUMBER(J123))),"",IF(COUNTIF(K123:$T123,J123)&gt;0,0,IF(COUNTIF($G123:$T123,"&gt;"&amp;J123)=0,"",SMALL($G123:$T123,COUNTIF($G123:$T123,"&lt;="&amp;J123)+1)-J123)))</f>
        <v/>
      </c>
      <c r="AH123" t="str">
        <f>IF(OR($B123="",NOT(ISNUMBER(K123))),"",IF(COUNTIF(L123:$T123,K123)&gt;0,0,IF(COUNTIF($G123:$T123,"&gt;"&amp;K123)=0,"",SMALL($G123:$T123,COUNTIF($G123:$T123,"&lt;="&amp;K123)+1)-K123)))</f>
        <v/>
      </c>
      <c r="AI123" t="str">
        <f>IF(OR($B123="",NOT(ISNUMBER(L123))),"",IF(COUNTIF(M123:$T123,L123)&gt;0,0,IF(COUNTIF($G123:$T123,"&gt;"&amp;L123)=0,"",SMALL($G123:$T123,COUNTIF($G123:$T123,"&lt;="&amp;L123)+1)-L123)))</f>
        <v/>
      </c>
      <c r="AJ123">
        <f>IF(OR($B123="",NOT(ISNUMBER(M123))),"",IF(COUNTIF(N123:$T123,M123)&gt;0,0,IF(COUNTIF($G123:$T123,"&gt;"&amp;M123)=0,"",SMALL($G123:$T123,COUNTIF($G123:$T123,"&lt;="&amp;M123)+1)-M123)))</f>
        <v>6</v>
      </c>
      <c r="AK123">
        <f>IF(OR($B123="",NOT(ISNUMBER(N123))),"",IF(COUNTIF(O123:$T123,N123)&gt;0,0,IF(COUNTIF($G123:$T123,"&gt;"&amp;N123)=0,"",SMALL($G123:$T123,COUNTIF($G123:$T123,"&lt;="&amp;N123)+1)-N123)))</f>
        <v>0</v>
      </c>
      <c r="AL123" t="str">
        <f>IF(OR($B123="",NOT(ISNUMBER(O123))),"",IF(COUNTIF(P123:$T123,O123)&gt;0,0,IF(COUNTIF($G123:$T123,"&gt;"&amp;O123)=0,"",SMALL($G123:$T123,COUNTIF($G123:$T123,"&lt;="&amp;O123)+1)-O123)))</f>
        <v/>
      </c>
      <c r="AM123" t="str">
        <f>IF(OR($B123="",NOT(ISNUMBER(P123))),"",IF(COUNTIF(Q123:$T123,P123)&gt;0,0,IF(COUNTIF($G123:$T123,"&gt;"&amp;P123)=0,"",SMALL($G123:$T123,COUNTIF($G123:$T123,"&lt;="&amp;P123)+1)-P123)))</f>
        <v/>
      </c>
      <c r="AN123" t="str">
        <f>IF(OR($B123="",NOT(ISNUMBER(Q123))),"",IF(COUNTIF(R123:$T123,Q123)&gt;0,0,IF(COUNTIF($G123:$T123,"&gt;"&amp;Q123)=0,"",SMALL($G123:$T123,COUNTIF($G123:$T123,"&lt;="&amp;Q123)+1)-Q123)))</f>
        <v/>
      </c>
      <c r="AO123" t="str">
        <f>IF(OR($B123="",NOT(ISNUMBER(R123))),"",IF(COUNTIF(S123:$T123,R123)&gt;0,0,IF(COUNTIF($G123:$T123,"&gt;"&amp;R123)=0,"",SMALL($G123:$T123,COUNTIF($G123:$T123,"&lt;="&amp;R123)+1)-R123)))</f>
        <v/>
      </c>
      <c r="AP123">
        <f t="shared" ca="1" si="20"/>
        <v>0</v>
      </c>
      <c r="AQ123" s="25" t="str">
        <f t="shared" si="21"/>
        <v/>
      </c>
      <c r="AR123" s="25" t="str">
        <f t="shared" si="22"/>
        <v/>
      </c>
      <c r="AS123" s="25" t="str">
        <f t="shared" si="23"/>
        <v/>
      </c>
      <c r="AT123" s="25" t="str">
        <f t="shared" si="24"/>
        <v/>
      </c>
      <c r="AU123" s="25" t="str">
        <f t="shared" si="25"/>
        <v/>
      </c>
      <c r="AV123" s="25" t="str">
        <f t="shared" si="26"/>
        <v/>
      </c>
      <c r="AW123" s="25">
        <f t="shared" si="27"/>
        <v>46300</v>
      </c>
      <c r="AX123" s="25">
        <f t="shared" si="28"/>
        <v>46300</v>
      </c>
      <c r="AY123" s="25" t="str">
        <f t="shared" si="29"/>
        <v/>
      </c>
      <c r="AZ123" s="25" t="str">
        <f t="shared" si="30"/>
        <v/>
      </c>
      <c r="BA123" s="25" t="str">
        <f t="shared" si="31"/>
        <v/>
      </c>
      <c r="BB123" s="25" t="str">
        <f t="shared" si="32"/>
        <v/>
      </c>
      <c r="BC123" s="25">
        <f t="shared" si="33"/>
        <v>46300</v>
      </c>
    </row>
    <row r="124" spans="1:55" x14ac:dyDescent="0.25">
      <c r="A124" s="151">
        <f t="shared" si="17"/>
        <v>122</v>
      </c>
      <c r="B124" s="151" t="s">
        <v>239</v>
      </c>
      <c r="C124" s="152" t="s">
        <v>80</v>
      </c>
      <c r="D124" s="151">
        <f t="shared" si="18"/>
        <v>1</v>
      </c>
      <c r="E124" s="151" t="s">
        <v>61</v>
      </c>
      <c r="F124" s="173">
        <v>46293</v>
      </c>
      <c r="G124" s="173"/>
      <c r="H124" s="173"/>
      <c r="I124" s="173">
        <v>46293</v>
      </c>
      <c r="J124" s="173">
        <v>46295</v>
      </c>
      <c r="K124" s="173"/>
      <c r="L124" s="173"/>
      <c r="M124" s="173"/>
      <c r="N124" s="173"/>
      <c r="O124" s="173"/>
      <c r="P124" s="173"/>
      <c r="Q124" s="173">
        <v>46296</v>
      </c>
      <c r="R124" s="173"/>
      <c r="S124" s="173"/>
      <c r="T124" s="174">
        <v>46296</v>
      </c>
      <c r="U124" s="151"/>
      <c r="V124" s="152"/>
      <c r="W124" s="175"/>
      <c r="X124" s="173"/>
      <c r="Y124" s="173"/>
      <c r="Z124" s="176" t="str">
        <f>IF(B124="","",IF(S124&lt;&gt;"","Sevk Edildi",IF(AND(X124&lt;&gt;"",Y124=""),"Reworkte",IF(T124&lt;&gt;"","Kapandı"&amp;IF(COUNT(G124:R124)=0,""," – "&amp;LOOKUP(2,1/(G124:R124=MAX(G124:R124)),{"Tasarım","Ply Cutter","Üretim","Kalite (Üretim sonrası)","Talaşlı","Kalite (Talaşlı sonrası)","Montaj","Kalite (Montaj sonrası)","Boya","Kalite (Boya sonrası)","Yarı Mamül","KM"})),IF(COUNT(G124:R124)=0,"Başlamadı",LOOKUP(2,1/(G124:R124=MAX(G124:R124)),{"Tasarımda","Ply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24" s="177">
        <f t="shared" ca="1" si="19"/>
        <v>3</v>
      </c>
      <c r="AB124" s="175"/>
      <c r="AD124" t="str">
        <f>IF(OR($B124="",NOT(ISNUMBER(G124))),"",IF(COUNTIF(H124:$T124,G124)&gt;0,0,IF(COUNTIF($G124:$T124,"&gt;"&amp;G124)=0,"",SMALL($G124:$T124,COUNTIF($G124:$T124,"&lt;="&amp;G124)+1)-G124)))</f>
        <v/>
      </c>
      <c r="AE124" t="str">
        <f>IF(OR($B124="",NOT(ISNUMBER(H124))),"",IF(COUNTIF(I124:$T124,H124)&gt;0,0,IF(COUNTIF($G124:$T124,"&gt;"&amp;H124)=0,"",SMALL($G124:$T124,COUNTIF($G124:$T124,"&lt;="&amp;H124)+1)-H124)))</f>
        <v/>
      </c>
      <c r="AF124">
        <f>IF(OR($B124="",NOT(ISNUMBER(I124))),"",IF(COUNTIF(J124:$T124,I124)&gt;0,0,IF(COUNTIF($G124:$T124,"&gt;"&amp;I124)=0,"",SMALL($G124:$T124,COUNTIF($G124:$T124,"&lt;="&amp;I124)+1)-I124)))</f>
        <v>2</v>
      </c>
      <c r="AG124">
        <f>IF(OR($B124="",NOT(ISNUMBER(J124))),"",IF(COUNTIF(K124:$T124,J124)&gt;0,0,IF(COUNTIF($G124:$T124,"&gt;"&amp;J124)=0,"",SMALL($G124:$T124,COUNTIF($G124:$T124,"&lt;="&amp;J124)+1)-J124)))</f>
        <v>1</v>
      </c>
      <c r="AH124" t="str">
        <f>IF(OR($B124="",NOT(ISNUMBER(K124))),"",IF(COUNTIF(L124:$T124,K124)&gt;0,0,IF(COUNTIF($G124:$T124,"&gt;"&amp;K124)=0,"",SMALL($G124:$T124,COUNTIF($G124:$T124,"&lt;="&amp;K124)+1)-K124)))</f>
        <v/>
      </c>
      <c r="AI124" t="str">
        <f>IF(OR($B124="",NOT(ISNUMBER(L124))),"",IF(COUNTIF(M124:$T124,L124)&gt;0,0,IF(COUNTIF($G124:$T124,"&gt;"&amp;L124)=0,"",SMALL($G124:$T124,COUNTIF($G124:$T124,"&lt;="&amp;L124)+1)-L124)))</f>
        <v/>
      </c>
      <c r="AJ124" t="str">
        <f>IF(OR($B124="",NOT(ISNUMBER(M124))),"",IF(COUNTIF(N124:$T124,M124)&gt;0,0,IF(COUNTIF($G124:$T124,"&gt;"&amp;M124)=0,"",SMALL($G124:$T124,COUNTIF($G124:$T124,"&lt;="&amp;M124)+1)-M124)))</f>
        <v/>
      </c>
      <c r="AK124" t="str">
        <f>IF(OR($B124="",NOT(ISNUMBER(N124))),"",IF(COUNTIF(O124:$T124,N124)&gt;0,0,IF(COUNTIF($G124:$T124,"&gt;"&amp;N124)=0,"",SMALL($G124:$T124,COUNTIF($G124:$T124,"&lt;="&amp;N124)+1)-N124)))</f>
        <v/>
      </c>
      <c r="AL124" t="str">
        <f>IF(OR($B124="",NOT(ISNUMBER(O124))),"",IF(COUNTIF(P124:$T124,O124)&gt;0,0,IF(COUNTIF($G124:$T124,"&gt;"&amp;O124)=0,"",SMALL($G124:$T124,COUNTIF($G124:$T124,"&lt;="&amp;O124)+1)-O124)))</f>
        <v/>
      </c>
      <c r="AM124" t="str">
        <f>IF(OR($B124="",NOT(ISNUMBER(P124))),"",IF(COUNTIF(Q124:$T124,P124)&gt;0,0,IF(COUNTIF($G124:$T124,"&gt;"&amp;P124)=0,"",SMALL($G124:$T124,COUNTIF($G124:$T124,"&lt;="&amp;P124)+1)-P124)))</f>
        <v/>
      </c>
      <c r="AN124">
        <f>IF(OR($B124="",NOT(ISNUMBER(Q124))),"",IF(COUNTIF(R124:$T124,Q124)&gt;0,0,IF(COUNTIF($G124:$T124,"&gt;"&amp;Q124)=0,"",SMALL($G124:$T124,COUNTIF($G124:$T124,"&lt;="&amp;Q124)+1)-Q124)))</f>
        <v>0</v>
      </c>
      <c r="AO124" t="str">
        <f>IF(OR($B124="",NOT(ISNUMBER(R124))),"",IF(COUNTIF(S124:$T124,R124)&gt;0,0,IF(COUNTIF($G124:$T124,"&gt;"&amp;R124)=0,"",SMALL($G124:$T124,COUNTIF($G124:$T124,"&lt;="&amp;R124)+1)-R124)))</f>
        <v/>
      </c>
      <c r="AP124">
        <f t="shared" ca="1" si="20"/>
        <v>0</v>
      </c>
      <c r="AQ124" s="25" t="str">
        <f t="shared" si="21"/>
        <v/>
      </c>
      <c r="AR124" s="25" t="str">
        <f t="shared" si="22"/>
        <v/>
      </c>
      <c r="AS124" s="25">
        <f t="shared" si="23"/>
        <v>46295</v>
      </c>
      <c r="AT124" s="25">
        <f t="shared" si="24"/>
        <v>46296</v>
      </c>
      <c r="AU124" s="25" t="str">
        <f t="shared" si="25"/>
        <v/>
      </c>
      <c r="AV124" s="25" t="str">
        <f t="shared" si="26"/>
        <v/>
      </c>
      <c r="AW124" s="25" t="str">
        <f t="shared" si="27"/>
        <v/>
      </c>
      <c r="AX124" s="25" t="str">
        <f t="shared" si="28"/>
        <v/>
      </c>
      <c r="AY124" s="25" t="str">
        <f t="shared" si="29"/>
        <v/>
      </c>
      <c r="AZ124" s="25" t="str">
        <f t="shared" si="30"/>
        <v/>
      </c>
      <c r="BA124" s="25">
        <f t="shared" si="31"/>
        <v>46296</v>
      </c>
      <c r="BB124" s="25" t="str">
        <f t="shared" si="32"/>
        <v/>
      </c>
      <c r="BC124" s="25">
        <f t="shared" si="33"/>
        <v>46296</v>
      </c>
    </row>
    <row r="125" spans="1:55" x14ac:dyDescent="0.25">
      <c r="A125" s="151">
        <f t="shared" si="17"/>
        <v>123</v>
      </c>
      <c r="B125" s="151" t="s">
        <v>240</v>
      </c>
      <c r="C125" s="152" t="s">
        <v>64</v>
      </c>
      <c r="D125" s="151">
        <f t="shared" si="18"/>
        <v>1</v>
      </c>
      <c r="E125" s="151" t="s">
        <v>61</v>
      </c>
      <c r="F125" s="173">
        <v>46293</v>
      </c>
      <c r="G125" s="173"/>
      <c r="H125" s="173"/>
      <c r="I125" s="173">
        <v>46293</v>
      </c>
      <c r="J125" s="173">
        <v>46294</v>
      </c>
      <c r="K125" s="173"/>
      <c r="L125" s="173"/>
      <c r="M125" s="173"/>
      <c r="N125" s="173"/>
      <c r="O125" s="173"/>
      <c r="P125" s="173"/>
      <c r="Q125" s="173">
        <v>46296</v>
      </c>
      <c r="R125" s="173"/>
      <c r="S125" s="173"/>
      <c r="T125" s="174">
        <v>46296</v>
      </c>
      <c r="U125" s="151"/>
      <c r="V125" s="152"/>
      <c r="W125" s="175"/>
      <c r="X125" s="173"/>
      <c r="Y125" s="173"/>
      <c r="Z125" s="176" t="str">
        <f>IF(B125="","",IF(S125&lt;&gt;"","Sevk Edildi",IF(AND(X125&lt;&gt;"",Y125=""),"Reworkte",IF(T125&lt;&gt;"","Kapandı"&amp;IF(COUNT(G125:R125)=0,""," – "&amp;LOOKUP(2,1/(G125:R125=MAX(G125:R125)),{"Tasarım","Ply Cutter","Üretim","Kalite (Üretim sonrası)","Talaşlı","Kalite (Talaşlı sonrası)","Montaj","Kalite (Montaj sonrası)","Boya","Kalite (Boya sonrası)","Yarı Mamül","KM"})),IF(COUNT(G125:R125)=0,"Başlamadı",LOOKUP(2,1/(G125:R125=MAX(G125:R125)),{"Tasarımda","Ply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25" s="177">
        <f t="shared" ca="1" si="19"/>
        <v>3</v>
      </c>
      <c r="AB125" s="175"/>
      <c r="AD125" t="str">
        <f>IF(OR($B125="",NOT(ISNUMBER(G125))),"",IF(COUNTIF(H125:$T125,G125)&gt;0,0,IF(COUNTIF($G125:$T125,"&gt;"&amp;G125)=0,"",SMALL($G125:$T125,COUNTIF($G125:$T125,"&lt;="&amp;G125)+1)-G125)))</f>
        <v/>
      </c>
      <c r="AE125" t="str">
        <f>IF(OR($B125="",NOT(ISNUMBER(H125))),"",IF(COUNTIF(I125:$T125,H125)&gt;0,0,IF(COUNTIF($G125:$T125,"&gt;"&amp;H125)=0,"",SMALL($G125:$T125,COUNTIF($G125:$T125,"&lt;="&amp;H125)+1)-H125)))</f>
        <v/>
      </c>
      <c r="AF125">
        <f>IF(OR($B125="",NOT(ISNUMBER(I125))),"",IF(COUNTIF(J125:$T125,I125)&gt;0,0,IF(COUNTIF($G125:$T125,"&gt;"&amp;I125)=0,"",SMALL($G125:$T125,COUNTIF($G125:$T125,"&lt;="&amp;I125)+1)-I125)))</f>
        <v>1</v>
      </c>
      <c r="AG125">
        <f>IF(OR($B125="",NOT(ISNUMBER(J125))),"",IF(COUNTIF(K125:$T125,J125)&gt;0,0,IF(COUNTIF($G125:$T125,"&gt;"&amp;J125)=0,"",SMALL($G125:$T125,COUNTIF($G125:$T125,"&lt;="&amp;J125)+1)-J125)))</f>
        <v>2</v>
      </c>
      <c r="AH125" t="str">
        <f>IF(OR($B125="",NOT(ISNUMBER(K125))),"",IF(COUNTIF(L125:$T125,K125)&gt;0,0,IF(COUNTIF($G125:$T125,"&gt;"&amp;K125)=0,"",SMALL($G125:$T125,COUNTIF($G125:$T125,"&lt;="&amp;K125)+1)-K125)))</f>
        <v/>
      </c>
      <c r="AI125" t="str">
        <f>IF(OR($B125="",NOT(ISNUMBER(L125))),"",IF(COUNTIF(M125:$T125,L125)&gt;0,0,IF(COUNTIF($G125:$T125,"&gt;"&amp;L125)=0,"",SMALL($G125:$T125,COUNTIF($G125:$T125,"&lt;="&amp;L125)+1)-L125)))</f>
        <v/>
      </c>
      <c r="AJ125" t="str">
        <f>IF(OR($B125="",NOT(ISNUMBER(M125))),"",IF(COUNTIF(N125:$T125,M125)&gt;0,0,IF(COUNTIF($G125:$T125,"&gt;"&amp;M125)=0,"",SMALL($G125:$T125,COUNTIF($G125:$T125,"&lt;="&amp;M125)+1)-M125)))</f>
        <v/>
      </c>
      <c r="AK125" t="str">
        <f>IF(OR($B125="",NOT(ISNUMBER(N125))),"",IF(COUNTIF(O125:$T125,N125)&gt;0,0,IF(COUNTIF($G125:$T125,"&gt;"&amp;N125)=0,"",SMALL($G125:$T125,COUNTIF($G125:$T125,"&lt;="&amp;N125)+1)-N125)))</f>
        <v/>
      </c>
      <c r="AL125" t="str">
        <f>IF(OR($B125="",NOT(ISNUMBER(O125))),"",IF(COUNTIF(P125:$T125,O125)&gt;0,0,IF(COUNTIF($G125:$T125,"&gt;"&amp;O125)=0,"",SMALL($G125:$T125,COUNTIF($G125:$T125,"&lt;="&amp;O125)+1)-O125)))</f>
        <v/>
      </c>
      <c r="AM125" t="str">
        <f>IF(OR($B125="",NOT(ISNUMBER(P125))),"",IF(COUNTIF(Q125:$T125,P125)&gt;0,0,IF(COUNTIF($G125:$T125,"&gt;"&amp;P125)=0,"",SMALL($G125:$T125,COUNTIF($G125:$T125,"&lt;="&amp;P125)+1)-P125)))</f>
        <v/>
      </c>
      <c r="AN125">
        <f>IF(OR($B125="",NOT(ISNUMBER(Q125))),"",IF(COUNTIF(R125:$T125,Q125)&gt;0,0,IF(COUNTIF($G125:$T125,"&gt;"&amp;Q125)=0,"",SMALL($G125:$T125,COUNTIF($G125:$T125,"&lt;="&amp;Q125)+1)-Q125)))</f>
        <v>0</v>
      </c>
      <c r="AO125" t="str">
        <f>IF(OR($B125="",NOT(ISNUMBER(R125))),"",IF(COUNTIF(S125:$T125,R125)&gt;0,0,IF(COUNTIF($G125:$T125,"&gt;"&amp;R125)=0,"",SMALL($G125:$T125,COUNTIF($G125:$T125,"&lt;="&amp;R125)+1)-R125)))</f>
        <v/>
      </c>
      <c r="AP125">
        <f t="shared" ca="1" si="20"/>
        <v>0</v>
      </c>
      <c r="AQ125" s="25" t="str">
        <f t="shared" si="21"/>
        <v/>
      </c>
      <c r="AR125" s="25" t="str">
        <f t="shared" si="22"/>
        <v/>
      </c>
      <c r="AS125" s="25">
        <f t="shared" si="23"/>
        <v>46294</v>
      </c>
      <c r="AT125" s="25">
        <f t="shared" si="24"/>
        <v>46296</v>
      </c>
      <c r="AU125" s="25" t="str">
        <f t="shared" si="25"/>
        <v/>
      </c>
      <c r="AV125" s="25" t="str">
        <f t="shared" si="26"/>
        <v/>
      </c>
      <c r="AW125" s="25" t="str">
        <f t="shared" si="27"/>
        <v/>
      </c>
      <c r="AX125" s="25" t="str">
        <f t="shared" si="28"/>
        <v/>
      </c>
      <c r="AY125" s="25" t="str">
        <f t="shared" si="29"/>
        <v/>
      </c>
      <c r="AZ125" s="25" t="str">
        <f t="shared" si="30"/>
        <v/>
      </c>
      <c r="BA125" s="25">
        <f t="shared" si="31"/>
        <v>46296</v>
      </c>
      <c r="BB125" s="25" t="str">
        <f t="shared" si="32"/>
        <v/>
      </c>
      <c r="BC125" s="25">
        <f t="shared" si="33"/>
        <v>46296</v>
      </c>
    </row>
    <row r="126" spans="1:55" x14ac:dyDescent="0.25">
      <c r="A126" s="151">
        <f t="shared" si="17"/>
        <v>124</v>
      </c>
      <c r="B126" s="151" t="s">
        <v>241</v>
      </c>
      <c r="C126" s="152" t="s">
        <v>242</v>
      </c>
      <c r="D126" s="151">
        <f t="shared" si="18"/>
        <v>2</v>
      </c>
      <c r="E126" s="151" t="s">
        <v>61</v>
      </c>
      <c r="F126" s="173">
        <v>46293</v>
      </c>
      <c r="G126" s="173"/>
      <c r="H126" s="173">
        <v>46293</v>
      </c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4">
        <v>46293</v>
      </c>
      <c r="U126" s="151"/>
      <c r="V126" s="152"/>
      <c r="W126" s="175"/>
      <c r="X126" s="173"/>
      <c r="Y126" s="173"/>
      <c r="Z126" s="176" t="str">
        <f>IF(B126="","",IF(S126&lt;&gt;"","Sevk Edildi",IF(AND(X126&lt;&gt;"",Y126=""),"Reworkte",IF(T126&lt;&gt;"","Kapandı"&amp;IF(COUNT(G126:R126)=0,""," – "&amp;LOOKUP(2,1/(G126:R126=MAX(G126:R126)),{"Tasarım","Ply Cutter","Üretim","Kalite (Üretim sonrası)","Talaşlı","Kalite (Talaşlı sonrası)","Montaj","Kalite (Montaj sonrası)","Boya","Kalite (Boya sonrası)","Yarı Mamül","KM"})),IF(COUNT(G126:R126)=0,"Başlamadı",LOOKUP(2,1/(G126:R126=MAX(G126:R126)),{"Tasarımda","Ply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126" s="177">
        <f t="shared" ca="1" si="19"/>
        <v>0</v>
      </c>
      <c r="AB126" s="175"/>
      <c r="AD126" t="str">
        <f>IF(OR($B126="",NOT(ISNUMBER(G126))),"",IF(COUNTIF(H126:$T126,G126)&gt;0,0,IF(COUNTIF($G126:$T126,"&gt;"&amp;G126)=0,"",SMALL($G126:$T126,COUNTIF($G126:$T126,"&lt;="&amp;G126)+1)-G126)))</f>
        <v/>
      </c>
      <c r="AE126">
        <f>IF(OR($B126="",NOT(ISNUMBER(H126))),"",IF(COUNTIF(I126:$T126,H126)&gt;0,0,IF(COUNTIF($G126:$T126,"&gt;"&amp;H126)=0,"",SMALL($G126:$T126,COUNTIF($G126:$T126,"&lt;="&amp;H126)+1)-H126)))</f>
        <v>0</v>
      </c>
      <c r="AF126" t="str">
        <f>IF(OR($B126="",NOT(ISNUMBER(I126))),"",IF(COUNTIF(J126:$T126,I126)&gt;0,0,IF(COUNTIF($G126:$T126,"&gt;"&amp;I126)=0,"",SMALL($G126:$T126,COUNTIF($G126:$T126,"&lt;="&amp;I126)+1)-I126)))</f>
        <v/>
      </c>
      <c r="AG126" t="str">
        <f>IF(OR($B126="",NOT(ISNUMBER(J126))),"",IF(COUNTIF(K126:$T126,J126)&gt;0,0,IF(COUNTIF($G126:$T126,"&gt;"&amp;J126)=0,"",SMALL($G126:$T126,COUNTIF($G126:$T126,"&lt;="&amp;J126)+1)-J126)))</f>
        <v/>
      </c>
      <c r="AH126" t="str">
        <f>IF(OR($B126="",NOT(ISNUMBER(K126))),"",IF(COUNTIF(L126:$T126,K126)&gt;0,0,IF(COUNTIF($G126:$T126,"&gt;"&amp;K126)=0,"",SMALL($G126:$T126,COUNTIF($G126:$T126,"&lt;="&amp;K126)+1)-K126)))</f>
        <v/>
      </c>
      <c r="AI126" t="str">
        <f>IF(OR($B126="",NOT(ISNUMBER(L126))),"",IF(COUNTIF(M126:$T126,L126)&gt;0,0,IF(COUNTIF($G126:$T126,"&gt;"&amp;L126)=0,"",SMALL($G126:$T126,COUNTIF($G126:$T126,"&lt;="&amp;L126)+1)-L126)))</f>
        <v/>
      </c>
      <c r="AJ126" t="str">
        <f>IF(OR($B126="",NOT(ISNUMBER(M126))),"",IF(COUNTIF(N126:$T126,M126)&gt;0,0,IF(COUNTIF($G126:$T126,"&gt;"&amp;M126)=0,"",SMALL($G126:$T126,COUNTIF($G126:$T126,"&lt;="&amp;M126)+1)-M126)))</f>
        <v/>
      </c>
      <c r="AK126" t="str">
        <f>IF(OR($B126="",NOT(ISNUMBER(N126))),"",IF(COUNTIF(O126:$T126,N126)&gt;0,0,IF(COUNTIF($G126:$T126,"&gt;"&amp;N126)=0,"",SMALL($G126:$T126,COUNTIF($G126:$T126,"&lt;="&amp;N126)+1)-N126)))</f>
        <v/>
      </c>
      <c r="AL126" t="str">
        <f>IF(OR($B126="",NOT(ISNUMBER(O126))),"",IF(COUNTIF(P126:$T126,O126)&gt;0,0,IF(COUNTIF($G126:$T126,"&gt;"&amp;O126)=0,"",SMALL($G126:$T126,COUNTIF($G126:$T126,"&lt;="&amp;O126)+1)-O126)))</f>
        <v/>
      </c>
      <c r="AM126" t="str">
        <f>IF(OR($B126="",NOT(ISNUMBER(P126))),"",IF(COUNTIF(Q126:$T126,P126)&gt;0,0,IF(COUNTIF($G126:$T126,"&gt;"&amp;P126)=0,"",SMALL($G126:$T126,COUNTIF($G126:$T126,"&lt;="&amp;P126)+1)-P126)))</f>
        <v/>
      </c>
      <c r="AN126" t="str">
        <f>IF(OR($B126="",NOT(ISNUMBER(Q126))),"",IF(COUNTIF(R126:$T126,Q126)&gt;0,0,IF(COUNTIF($G126:$T126,"&gt;"&amp;Q126)=0,"",SMALL($G126:$T126,COUNTIF($G126:$T126,"&lt;="&amp;Q126)+1)-Q126)))</f>
        <v/>
      </c>
      <c r="AO126" t="str">
        <f>IF(OR($B126="",NOT(ISNUMBER(R126))),"",IF(COUNTIF(S126:$T126,R126)&gt;0,0,IF(COUNTIF($G126:$T126,"&gt;"&amp;R126)=0,"",SMALL($G126:$T126,COUNTIF($G126:$T126,"&lt;="&amp;R126)+1)-R126)))</f>
        <v/>
      </c>
      <c r="AP126">
        <f t="shared" ca="1" si="20"/>
        <v>0</v>
      </c>
      <c r="AQ126" s="25" t="str">
        <f t="shared" si="21"/>
        <v/>
      </c>
      <c r="AR126" s="25">
        <f t="shared" si="22"/>
        <v>46293</v>
      </c>
      <c r="AS126" s="25" t="str">
        <f t="shared" si="23"/>
        <v/>
      </c>
      <c r="AT126" s="25" t="str">
        <f t="shared" si="24"/>
        <v/>
      </c>
      <c r="AU126" s="25" t="str">
        <f t="shared" si="25"/>
        <v/>
      </c>
      <c r="AV126" s="25" t="str">
        <f t="shared" si="26"/>
        <v/>
      </c>
      <c r="AW126" s="25" t="str">
        <f t="shared" si="27"/>
        <v/>
      </c>
      <c r="AX126" s="25" t="str">
        <f t="shared" si="28"/>
        <v/>
      </c>
      <c r="AY126" s="25" t="str">
        <f t="shared" si="29"/>
        <v/>
      </c>
      <c r="AZ126" s="25" t="str">
        <f t="shared" si="30"/>
        <v/>
      </c>
      <c r="BA126" s="25" t="str">
        <f t="shared" si="31"/>
        <v/>
      </c>
      <c r="BB126" s="25" t="str">
        <f t="shared" si="32"/>
        <v/>
      </c>
      <c r="BC126" s="25">
        <f t="shared" si="33"/>
        <v>46293</v>
      </c>
    </row>
    <row r="127" spans="1:55" x14ac:dyDescent="0.25">
      <c r="A127" s="151">
        <f t="shared" si="17"/>
        <v>125</v>
      </c>
      <c r="B127" s="151" t="s">
        <v>243</v>
      </c>
      <c r="C127" s="152" t="s">
        <v>244</v>
      </c>
      <c r="D127" s="151">
        <f t="shared" si="18"/>
        <v>15</v>
      </c>
      <c r="E127" s="151" t="s">
        <v>61</v>
      </c>
      <c r="F127" s="173">
        <v>46293</v>
      </c>
      <c r="G127" s="173"/>
      <c r="H127" s="173">
        <v>46293</v>
      </c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4">
        <v>46293</v>
      </c>
      <c r="U127" s="151"/>
      <c r="V127" s="152"/>
      <c r="W127" s="175"/>
      <c r="X127" s="173"/>
      <c r="Y127" s="173"/>
      <c r="Z127" s="176" t="str">
        <f>IF(B127="","",IF(S127&lt;&gt;"","Sevk Edildi",IF(AND(X127&lt;&gt;"",Y127=""),"Reworkte",IF(T127&lt;&gt;"","Kapandı"&amp;IF(COUNT(G127:R127)=0,""," – "&amp;LOOKUP(2,1/(G127:R127=MAX(G127:R127)),{"Tasarım","Ply Cutter","Üretim","Kalite (Üretim sonrası)","Talaşlı","Kalite (Talaşlı sonrası)","Montaj","Kalite (Montaj sonrası)","Boya","Kalite (Boya sonrası)","Yarı Mamül","KM"})),IF(COUNT(G127:R127)=0,"Başlamadı",LOOKUP(2,1/(G127:R127=MAX(G127:R127)),{"Tasarımda","Ply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127" s="177">
        <f t="shared" ca="1" si="19"/>
        <v>0</v>
      </c>
      <c r="AB127" s="175"/>
      <c r="AD127" t="str">
        <f>IF(OR($B127="",NOT(ISNUMBER(G127))),"",IF(COUNTIF(H127:$T127,G127)&gt;0,0,IF(COUNTIF($G127:$T127,"&gt;"&amp;G127)=0,"",SMALL($G127:$T127,COUNTIF($G127:$T127,"&lt;="&amp;G127)+1)-G127)))</f>
        <v/>
      </c>
      <c r="AE127">
        <f>IF(OR($B127="",NOT(ISNUMBER(H127))),"",IF(COUNTIF(I127:$T127,H127)&gt;0,0,IF(COUNTIF($G127:$T127,"&gt;"&amp;H127)=0,"",SMALL($G127:$T127,COUNTIF($G127:$T127,"&lt;="&amp;H127)+1)-H127)))</f>
        <v>0</v>
      </c>
      <c r="AF127" t="str">
        <f>IF(OR($B127="",NOT(ISNUMBER(I127))),"",IF(COUNTIF(J127:$T127,I127)&gt;0,0,IF(COUNTIF($G127:$T127,"&gt;"&amp;I127)=0,"",SMALL($G127:$T127,COUNTIF($G127:$T127,"&lt;="&amp;I127)+1)-I127)))</f>
        <v/>
      </c>
      <c r="AG127" t="str">
        <f>IF(OR($B127="",NOT(ISNUMBER(J127))),"",IF(COUNTIF(K127:$T127,J127)&gt;0,0,IF(COUNTIF($G127:$T127,"&gt;"&amp;J127)=0,"",SMALL($G127:$T127,COUNTIF($G127:$T127,"&lt;="&amp;J127)+1)-J127)))</f>
        <v/>
      </c>
      <c r="AH127" t="str">
        <f>IF(OR($B127="",NOT(ISNUMBER(K127))),"",IF(COUNTIF(L127:$T127,K127)&gt;0,0,IF(COUNTIF($G127:$T127,"&gt;"&amp;K127)=0,"",SMALL($G127:$T127,COUNTIF($G127:$T127,"&lt;="&amp;K127)+1)-K127)))</f>
        <v/>
      </c>
      <c r="AI127" t="str">
        <f>IF(OR($B127="",NOT(ISNUMBER(L127))),"",IF(COUNTIF(M127:$T127,L127)&gt;0,0,IF(COUNTIF($G127:$T127,"&gt;"&amp;L127)=0,"",SMALL($G127:$T127,COUNTIF($G127:$T127,"&lt;="&amp;L127)+1)-L127)))</f>
        <v/>
      </c>
      <c r="AJ127" t="str">
        <f>IF(OR($B127="",NOT(ISNUMBER(M127))),"",IF(COUNTIF(N127:$T127,M127)&gt;0,0,IF(COUNTIF($G127:$T127,"&gt;"&amp;M127)=0,"",SMALL($G127:$T127,COUNTIF($G127:$T127,"&lt;="&amp;M127)+1)-M127)))</f>
        <v/>
      </c>
      <c r="AK127" t="str">
        <f>IF(OR($B127="",NOT(ISNUMBER(N127))),"",IF(COUNTIF(O127:$T127,N127)&gt;0,0,IF(COUNTIF($G127:$T127,"&gt;"&amp;N127)=0,"",SMALL($G127:$T127,COUNTIF($G127:$T127,"&lt;="&amp;N127)+1)-N127)))</f>
        <v/>
      </c>
      <c r="AL127" t="str">
        <f>IF(OR($B127="",NOT(ISNUMBER(O127))),"",IF(COUNTIF(P127:$T127,O127)&gt;0,0,IF(COUNTIF($G127:$T127,"&gt;"&amp;O127)=0,"",SMALL($G127:$T127,COUNTIF($G127:$T127,"&lt;="&amp;O127)+1)-O127)))</f>
        <v/>
      </c>
      <c r="AM127" t="str">
        <f>IF(OR($B127="",NOT(ISNUMBER(P127))),"",IF(COUNTIF(Q127:$T127,P127)&gt;0,0,IF(COUNTIF($G127:$T127,"&gt;"&amp;P127)=0,"",SMALL($G127:$T127,COUNTIF($G127:$T127,"&lt;="&amp;P127)+1)-P127)))</f>
        <v/>
      </c>
      <c r="AN127" t="str">
        <f>IF(OR($B127="",NOT(ISNUMBER(Q127))),"",IF(COUNTIF(R127:$T127,Q127)&gt;0,0,IF(COUNTIF($G127:$T127,"&gt;"&amp;Q127)=0,"",SMALL($G127:$T127,COUNTIF($G127:$T127,"&lt;="&amp;Q127)+1)-Q127)))</f>
        <v/>
      </c>
      <c r="AO127" t="str">
        <f>IF(OR($B127="",NOT(ISNUMBER(R127))),"",IF(COUNTIF(S127:$T127,R127)&gt;0,0,IF(COUNTIF($G127:$T127,"&gt;"&amp;R127)=0,"",SMALL($G127:$T127,COUNTIF($G127:$T127,"&lt;="&amp;R127)+1)-R127)))</f>
        <v/>
      </c>
      <c r="AP127">
        <f t="shared" ca="1" si="20"/>
        <v>0</v>
      </c>
      <c r="AQ127" s="25" t="str">
        <f t="shared" si="21"/>
        <v/>
      </c>
      <c r="AR127" s="25">
        <f t="shared" si="22"/>
        <v>46293</v>
      </c>
      <c r="AS127" s="25" t="str">
        <f t="shared" si="23"/>
        <v/>
      </c>
      <c r="AT127" s="25" t="str">
        <f t="shared" si="24"/>
        <v/>
      </c>
      <c r="AU127" s="25" t="str">
        <f t="shared" si="25"/>
        <v/>
      </c>
      <c r="AV127" s="25" t="str">
        <f t="shared" si="26"/>
        <v/>
      </c>
      <c r="AW127" s="25" t="str">
        <f t="shared" si="27"/>
        <v/>
      </c>
      <c r="AX127" s="25" t="str">
        <f t="shared" si="28"/>
        <v/>
      </c>
      <c r="AY127" s="25" t="str">
        <f t="shared" si="29"/>
        <v/>
      </c>
      <c r="AZ127" s="25" t="str">
        <f t="shared" si="30"/>
        <v/>
      </c>
      <c r="BA127" s="25" t="str">
        <f t="shared" si="31"/>
        <v/>
      </c>
      <c r="BB127" s="25" t="str">
        <f t="shared" si="32"/>
        <v/>
      </c>
      <c r="BC127" s="25">
        <f t="shared" si="33"/>
        <v>46293</v>
      </c>
    </row>
    <row r="128" spans="1:55" x14ac:dyDescent="0.25">
      <c r="A128" s="151">
        <f t="shared" si="17"/>
        <v>126</v>
      </c>
      <c r="B128" s="151" t="s">
        <v>245</v>
      </c>
      <c r="C128" s="152" t="s">
        <v>246</v>
      </c>
      <c r="D128" s="151">
        <f t="shared" si="18"/>
        <v>30</v>
      </c>
      <c r="E128" s="151" t="s">
        <v>61</v>
      </c>
      <c r="F128" s="173">
        <v>46293</v>
      </c>
      <c r="G128" s="173"/>
      <c r="H128" s="173">
        <v>46293</v>
      </c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4">
        <v>46293</v>
      </c>
      <c r="U128" s="151"/>
      <c r="V128" s="152"/>
      <c r="W128" s="175"/>
      <c r="X128" s="173"/>
      <c r="Y128" s="173"/>
      <c r="Z128" s="176" t="str">
        <f>IF(B128="","",IF(S128&lt;&gt;"","Sevk Edildi",IF(AND(X128&lt;&gt;"",Y128=""),"Reworkte",IF(T128&lt;&gt;"","Kapandı"&amp;IF(COUNT(G128:R128)=0,""," – "&amp;LOOKUP(2,1/(G128:R128=MAX(G128:R128)),{"Tasarım","Ply Cutter","Üretim","Kalite (Üretim sonrası)","Talaşlı","Kalite (Talaşlı sonrası)","Montaj","Kalite (Montaj sonrası)","Boya","Kalite (Boya sonrası)","Yarı Mamül","KM"})),IF(COUNT(G128:R128)=0,"Başlamadı",LOOKUP(2,1/(G128:R128=MAX(G128:R128)),{"Tasarımda","Ply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128" s="177">
        <f t="shared" ca="1" si="19"/>
        <v>0</v>
      </c>
      <c r="AB128" s="175"/>
      <c r="AD128" t="str">
        <f>IF(OR($B128="",NOT(ISNUMBER(G128))),"",IF(COUNTIF(H128:$T128,G128)&gt;0,0,IF(COUNTIF($G128:$T128,"&gt;"&amp;G128)=0,"",SMALL($G128:$T128,COUNTIF($G128:$T128,"&lt;="&amp;G128)+1)-G128)))</f>
        <v/>
      </c>
      <c r="AE128">
        <f>IF(OR($B128="",NOT(ISNUMBER(H128))),"",IF(COUNTIF(I128:$T128,H128)&gt;0,0,IF(COUNTIF($G128:$T128,"&gt;"&amp;H128)=0,"",SMALL($G128:$T128,COUNTIF($G128:$T128,"&lt;="&amp;H128)+1)-H128)))</f>
        <v>0</v>
      </c>
      <c r="AF128" t="str">
        <f>IF(OR($B128="",NOT(ISNUMBER(I128))),"",IF(COUNTIF(J128:$T128,I128)&gt;0,0,IF(COUNTIF($G128:$T128,"&gt;"&amp;I128)=0,"",SMALL($G128:$T128,COUNTIF($G128:$T128,"&lt;="&amp;I128)+1)-I128)))</f>
        <v/>
      </c>
      <c r="AG128" t="str">
        <f>IF(OR($B128="",NOT(ISNUMBER(J128))),"",IF(COUNTIF(K128:$T128,J128)&gt;0,0,IF(COUNTIF($G128:$T128,"&gt;"&amp;J128)=0,"",SMALL($G128:$T128,COUNTIF($G128:$T128,"&lt;="&amp;J128)+1)-J128)))</f>
        <v/>
      </c>
      <c r="AH128" t="str">
        <f>IF(OR($B128="",NOT(ISNUMBER(K128))),"",IF(COUNTIF(L128:$T128,K128)&gt;0,0,IF(COUNTIF($G128:$T128,"&gt;"&amp;K128)=0,"",SMALL($G128:$T128,COUNTIF($G128:$T128,"&lt;="&amp;K128)+1)-K128)))</f>
        <v/>
      </c>
      <c r="AI128" t="str">
        <f>IF(OR($B128="",NOT(ISNUMBER(L128))),"",IF(COUNTIF(M128:$T128,L128)&gt;0,0,IF(COUNTIF($G128:$T128,"&gt;"&amp;L128)=0,"",SMALL($G128:$T128,COUNTIF($G128:$T128,"&lt;="&amp;L128)+1)-L128)))</f>
        <v/>
      </c>
      <c r="AJ128" t="str">
        <f>IF(OR($B128="",NOT(ISNUMBER(M128))),"",IF(COUNTIF(N128:$T128,M128)&gt;0,0,IF(COUNTIF($G128:$T128,"&gt;"&amp;M128)=0,"",SMALL($G128:$T128,COUNTIF($G128:$T128,"&lt;="&amp;M128)+1)-M128)))</f>
        <v/>
      </c>
      <c r="AK128" t="str">
        <f>IF(OR($B128="",NOT(ISNUMBER(N128))),"",IF(COUNTIF(O128:$T128,N128)&gt;0,0,IF(COUNTIF($G128:$T128,"&gt;"&amp;N128)=0,"",SMALL($G128:$T128,COUNTIF($G128:$T128,"&lt;="&amp;N128)+1)-N128)))</f>
        <v/>
      </c>
      <c r="AL128" t="str">
        <f>IF(OR($B128="",NOT(ISNUMBER(O128))),"",IF(COUNTIF(P128:$T128,O128)&gt;0,0,IF(COUNTIF($G128:$T128,"&gt;"&amp;O128)=0,"",SMALL($G128:$T128,COUNTIF($G128:$T128,"&lt;="&amp;O128)+1)-O128)))</f>
        <v/>
      </c>
      <c r="AM128" t="str">
        <f>IF(OR($B128="",NOT(ISNUMBER(P128))),"",IF(COUNTIF(Q128:$T128,P128)&gt;0,0,IF(COUNTIF($G128:$T128,"&gt;"&amp;P128)=0,"",SMALL($G128:$T128,COUNTIF($G128:$T128,"&lt;="&amp;P128)+1)-P128)))</f>
        <v/>
      </c>
      <c r="AN128" t="str">
        <f>IF(OR($B128="",NOT(ISNUMBER(Q128))),"",IF(COUNTIF(R128:$T128,Q128)&gt;0,0,IF(COUNTIF($G128:$T128,"&gt;"&amp;Q128)=0,"",SMALL($G128:$T128,COUNTIF($G128:$T128,"&lt;="&amp;Q128)+1)-Q128)))</f>
        <v/>
      </c>
      <c r="AO128" t="str">
        <f>IF(OR($B128="",NOT(ISNUMBER(R128))),"",IF(COUNTIF(S128:$T128,R128)&gt;0,0,IF(COUNTIF($G128:$T128,"&gt;"&amp;R128)=0,"",SMALL($G128:$T128,COUNTIF($G128:$T128,"&lt;="&amp;R128)+1)-R128)))</f>
        <v/>
      </c>
      <c r="AP128">
        <f t="shared" ca="1" si="20"/>
        <v>0</v>
      </c>
      <c r="AQ128" s="25" t="str">
        <f t="shared" si="21"/>
        <v/>
      </c>
      <c r="AR128" s="25">
        <f t="shared" si="22"/>
        <v>46293</v>
      </c>
      <c r="AS128" s="25" t="str">
        <f t="shared" si="23"/>
        <v/>
      </c>
      <c r="AT128" s="25" t="str">
        <f t="shared" si="24"/>
        <v/>
      </c>
      <c r="AU128" s="25" t="str">
        <f t="shared" si="25"/>
        <v/>
      </c>
      <c r="AV128" s="25" t="str">
        <f t="shared" si="26"/>
        <v/>
      </c>
      <c r="AW128" s="25" t="str">
        <f t="shared" si="27"/>
        <v/>
      </c>
      <c r="AX128" s="25" t="str">
        <f t="shared" si="28"/>
        <v/>
      </c>
      <c r="AY128" s="25" t="str">
        <f t="shared" si="29"/>
        <v/>
      </c>
      <c r="AZ128" s="25" t="str">
        <f t="shared" si="30"/>
        <v/>
      </c>
      <c r="BA128" s="25" t="str">
        <f t="shared" si="31"/>
        <v/>
      </c>
      <c r="BB128" s="25" t="str">
        <f t="shared" si="32"/>
        <v/>
      </c>
      <c r="BC128" s="25">
        <f t="shared" si="33"/>
        <v>46293</v>
      </c>
    </row>
    <row r="129" spans="1:55" x14ac:dyDescent="0.25">
      <c r="A129" s="151">
        <f t="shared" si="17"/>
        <v>127</v>
      </c>
      <c r="B129" s="151" t="s">
        <v>247</v>
      </c>
      <c r="C129" s="152" t="s">
        <v>248</v>
      </c>
      <c r="D129" s="151">
        <f t="shared" si="18"/>
        <v>1</v>
      </c>
      <c r="E129" s="151" t="s">
        <v>61</v>
      </c>
      <c r="F129" s="173">
        <v>46293</v>
      </c>
      <c r="G129" s="173"/>
      <c r="H129" s="173"/>
      <c r="I129" s="173">
        <v>46293</v>
      </c>
      <c r="J129" s="173">
        <v>46296</v>
      </c>
      <c r="K129" s="173"/>
      <c r="L129" s="173"/>
      <c r="M129" s="173"/>
      <c r="N129" s="173"/>
      <c r="O129" s="173"/>
      <c r="P129" s="173"/>
      <c r="Q129" s="173"/>
      <c r="R129" s="173"/>
      <c r="S129" s="173"/>
      <c r="T129" s="174">
        <v>46296</v>
      </c>
      <c r="U129" s="151"/>
      <c r="V129" s="152"/>
      <c r="W129" s="175"/>
      <c r="X129" s="173"/>
      <c r="Y129" s="173"/>
      <c r="Z129" s="176" t="str">
        <f>IF(B129="","",IF(S129&lt;&gt;"","Sevk Edildi",IF(AND(X129&lt;&gt;"",Y129=""),"Reworkte",IF(T129&lt;&gt;"","Kapandı"&amp;IF(COUNT(G129:R129)=0,""," – "&amp;LOOKUP(2,1/(G129:R129=MAX(G129:R129)),{"Tasarım","Ply Cutter","Üretim","Kalite (Üretim sonrası)","Talaşlı","Kalite (Talaşlı sonrası)","Montaj","Kalite (Montaj sonrası)","Boya","Kalite (Boya sonrası)","Yarı Mamül","KM"})),IF(COUNT(G129:R129)=0,"Başlamadı",LOOKUP(2,1/(G129:R129=MAX(G129:R129)),{"Tasarımda","Ply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29" s="177">
        <f t="shared" ca="1" si="19"/>
        <v>3</v>
      </c>
      <c r="AB129" s="175"/>
      <c r="AD129" t="str">
        <f>IF(OR($B129="",NOT(ISNUMBER(G129))),"",IF(COUNTIF(H129:$T129,G129)&gt;0,0,IF(COUNTIF($G129:$T129,"&gt;"&amp;G129)=0,"",SMALL($G129:$T129,COUNTIF($G129:$T129,"&lt;="&amp;G129)+1)-G129)))</f>
        <v/>
      </c>
      <c r="AE129" t="str">
        <f>IF(OR($B129="",NOT(ISNUMBER(H129))),"",IF(COUNTIF(I129:$T129,H129)&gt;0,0,IF(COUNTIF($G129:$T129,"&gt;"&amp;H129)=0,"",SMALL($G129:$T129,COUNTIF($G129:$T129,"&lt;="&amp;H129)+1)-H129)))</f>
        <v/>
      </c>
      <c r="AF129">
        <f>IF(OR($B129="",NOT(ISNUMBER(I129))),"",IF(COUNTIF(J129:$T129,I129)&gt;0,0,IF(COUNTIF($G129:$T129,"&gt;"&amp;I129)=0,"",SMALL($G129:$T129,COUNTIF($G129:$T129,"&lt;="&amp;I129)+1)-I129)))</f>
        <v>3</v>
      </c>
      <c r="AG129">
        <f>IF(OR($B129="",NOT(ISNUMBER(J129))),"",IF(COUNTIF(K129:$T129,J129)&gt;0,0,IF(COUNTIF($G129:$T129,"&gt;"&amp;J129)=0,"",SMALL($G129:$T129,COUNTIF($G129:$T129,"&lt;="&amp;J129)+1)-J129)))</f>
        <v>0</v>
      </c>
      <c r="AH129" t="str">
        <f>IF(OR($B129="",NOT(ISNUMBER(K129))),"",IF(COUNTIF(L129:$T129,K129)&gt;0,0,IF(COUNTIF($G129:$T129,"&gt;"&amp;K129)=0,"",SMALL($G129:$T129,COUNTIF($G129:$T129,"&lt;="&amp;K129)+1)-K129)))</f>
        <v/>
      </c>
      <c r="AI129" t="str">
        <f>IF(OR($B129="",NOT(ISNUMBER(L129))),"",IF(COUNTIF(M129:$T129,L129)&gt;0,0,IF(COUNTIF($G129:$T129,"&gt;"&amp;L129)=0,"",SMALL($G129:$T129,COUNTIF($G129:$T129,"&lt;="&amp;L129)+1)-L129)))</f>
        <v/>
      </c>
      <c r="AJ129" t="str">
        <f>IF(OR($B129="",NOT(ISNUMBER(M129))),"",IF(COUNTIF(N129:$T129,M129)&gt;0,0,IF(COUNTIF($G129:$T129,"&gt;"&amp;M129)=0,"",SMALL($G129:$T129,COUNTIF($G129:$T129,"&lt;="&amp;M129)+1)-M129)))</f>
        <v/>
      </c>
      <c r="AK129" t="str">
        <f>IF(OR($B129="",NOT(ISNUMBER(N129))),"",IF(COUNTIF(O129:$T129,N129)&gt;0,0,IF(COUNTIF($G129:$T129,"&gt;"&amp;N129)=0,"",SMALL($G129:$T129,COUNTIF($G129:$T129,"&lt;="&amp;N129)+1)-N129)))</f>
        <v/>
      </c>
      <c r="AL129" t="str">
        <f>IF(OR($B129="",NOT(ISNUMBER(O129))),"",IF(COUNTIF(P129:$T129,O129)&gt;0,0,IF(COUNTIF($G129:$T129,"&gt;"&amp;O129)=0,"",SMALL($G129:$T129,COUNTIF($G129:$T129,"&lt;="&amp;O129)+1)-O129)))</f>
        <v/>
      </c>
      <c r="AM129" t="str">
        <f>IF(OR($B129="",NOT(ISNUMBER(P129))),"",IF(COUNTIF(Q129:$T129,P129)&gt;0,0,IF(COUNTIF($G129:$T129,"&gt;"&amp;P129)=0,"",SMALL($G129:$T129,COUNTIF($G129:$T129,"&lt;="&amp;P129)+1)-P129)))</f>
        <v/>
      </c>
      <c r="AN129" t="str">
        <f>IF(OR($B129="",NOT(ISNUMBER(Q129))),"",IF(COUNTIF(R129:$T129,Q129)&gt;0,0,IF(COUNTIF($G129:$T129,"&gt;"&amp;Q129)=0,"",SMALL($G129:$T129,COUNTIF($G129:$T129,"&lt;="&amp;Q129)+1)-Q129)))</f>
        <v/>
      </c>
      <c r="AO129" t="str">
        <f>IF(OR($B129="",NOT(ISNUMBER(R129))),"",IF(COUNTIF(S129:$T129,R129)&gt;0,0,IF(COUNTIF($G129:$T129,"&gt;"&amp;R129)=0,"",SMALL($G129:$T129,COUNTIF($G129:$T129,"&lt;="&amp;R129)+1)-R129)))</f>
        <v/>
      </c>
      <c r="AP129">
        <f t="shared" ca="1" si="20"/>
        <v>0</v>
      </c>
      <c r="AQ129" s="25" t="str">
        <f t="shared" si="21"/>
        <v/>
      </c>
      <c r="AR129" s="25" t="str">
        <f t="shared" si="22"/>
        <v/>
      </c>
      <c r="AS129" s="25">
        <f t="shared" si="23"/>
        <v>46296</v>
      </c>
      <c r="AT129" s="25">
        <f t="shared" si="24"/>
        <v>46296</v>
      </c>
      <c r="AU129" s="25" t="str">
        <f t="shared" si="25"/>
        <v/>
      </c>
      <c r="AV129" s="25" t="str">
        <f t="shared" si="26"/>
        <v/>
      </c>
      <c r="AW129" s="25" t="str">
        <f t="shared" si="27"/>
        <v/>
      </c>
      <c r="AX129" s="25" t="str">
        <f t="shared" si="28"/>
        <v/>
      </c>
      <c r="AY129" s="25" t="str">
        <f t="shared" si="29"/>
        <v/>
      </c>
      <c r="AZ129" s="25" t="str">
        <f t="shared" si="30"/>
        <v/>
      </c>
      <c r="BA129" s="25" t="str">
        <f t="shared" si="31"/>
        <v/>
      </c>
      <c r="BB129" s="25" t="str">
        <f t="shared" si="32"/>
        <v/>
      </c>
      <c r="BC129" s="25">
        <f t="shared" si="33"/>
        <v>46296</v>
      </c>
    </row>
    <row r="130" spans="1:55" x14ac:dyDescent="0.25">
      <c r="A130" s="151">
        <f t="shared" si="17"/>
        <v>128</v>
      </c>
      <c r="B130" s="151" t="s">
        <v>249</v>
      </c>
      <c r="C130" s="152" t="s">
        <v>250</v>
      </c>
      <c r="D130" s="151">
        <f t="shared" si="18"/>
        <v>7</v>
      </c>
      <c r="E130" s="151" t="s">
        <v>61</v>
      </c>
      <c r="F130" s="173">
        <v>46293</v>
      </c>
      <c r="G130" s="173"/>
      <c r="H130" s="173">
        <v>46293</v>
      </c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4">
        <v>46293</v>
      </c>
      <c r="U130" s="151"/>
      <c r="V130" s="152"/>
      <c r="W130" s="175"/>
      <c r="X130" s="173"/>
      <c r="Y130" s="173"/>
      <c r="Z130" s="176" t="str">
        <f>IF(B130="","",IF(S130&lt;&gt;"","Sevk Edildi",IF(AND(X130&lt;&gt;"",Y130=""),"Reworkte",IF(T130&lt;&gt;"","Kapandı"&amp;IF(COUNT(G130:R130)=0,""," – "&amp;LOOKUP(2,1/(G130:R130=MAX(G130:R130)),{"Tasarım","Ply Cutter","Üretim","Kalite (Üretim sonrası)","Talaşlı","Kalite (Talaşlı sonrası)","Montaj","Kalite (Montaj sonrası)","Boya","Kalite (Boya sonrası)","Yarı Mamül","KM"})),IF(COUNT(G130:R130)=0,"Başlamadı",LOOKUP(2,1/(G130:R130=MAX(G130:R130)),{"Tasarımda","Ply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130" s="177">
        <f t="shared" ca="1" si="19"/>
        <v>0</v>
      </c>
      <c r="AB130" s="175"/>
      <c r="AD130" t="str">
        <f>IF(OR($B130="",NOT(ISNUMBER(G130))),"",IF(COUNTIF(H130:$T130,G130)&gt;0,0,IF(COUNTIF($G130:$T130,"&gt;"&amp;G130)=0,"",SMALL($G130:$T130,COUNTIF($G130:$T130,"&lt;="&amp;G130)+1)-G130)))</f>
        <v/>
      </c>
      <c r="AE130">
        <f>IF(OR($B130="",NOT(ISNUMBER(H130))),"",IF(COUNTIF(I130:$T130,H130)&gt;0,0,IF(COUNTIF($G130:$T130,"&gt;"&amp;H130)=0,"",SMALL($G130:$T130,COUNTIF($G130:$T130,"&lt;="&amp;H130)+1)-H130)))</f>
        <v>0</v>
      </c>
      <c r="AF130" t="str">
        <f>IF(OR($B130="",NOT(ISNUMBER(I130))),"",IF(COUNTIF(J130:$T130,I130)&gt;0,0,IF(COUNTIF($G130:$T130,"&gt;"&amp;I130)=0,"",SMALL($G130:$T130,COUNTIF($G130:$T130,"&lt;="&amp;I130)+1)-I130)))</f>
        <v/>
      </c>
      <c r="AG130" t="str">
        <f>IF(OR($B130="",NOT(ISNUMBER(J130))),"",IF(COUNTIF(K130:$T130,J130)&gt;0,0,IF(COUNTIF($G130:$T130,"&gt;"&amp;J130)=0,"",SMALL($G130:$T130,COUNTIF($G130:$T130,"&lt;="&amp;J130)+1)-J130)))</f>
        <v/>
      </c>
      <c r="AH130" t="str">
        <f>IF(OR($B130="",NOT(ISNUMBER(K130))),"",IF(COUNTIF(L130:$T130,K130)&gt;0,0,IF(COUNTIF($G130:$T130,"&gt;"&amp;K130)=0,"",SMALL($G130:$T130,COUNTIF($G130:$T130,"&lt;="&amp;K130)+1)-K130)))</f>
        <v/>
      </c>
      <c r="AI130" t="str">
        <f>IF(OR($B130="",NOT(ISNUMBER(L130))),"",IF(COUNTIF(M130:$T130,L130)&gt;0,0,IF(COUNTIF($G130:$T130,"&gt;"&amp;L130)=0,"",SMALL($G130:$T130,COUNTIF($G130:$T130,"&lt;="&amp;L130)+1)-L130)))</f>
        <v/>
      </c>
      <c r="AJ130" t="str">
        <f>IF(OR($B130="",NOT(ISNUMBER(M130))),"",IF(COUNTIF(N130:$T130,M130)&gt;0,0,IF(COUNTIF($G130:$T130,"&gt;"&amp;M130)=0,"",SMALL($G130:$T130,COUNTIF($G130:$T130,"&lt;="&amp;M130)+1)-M130)))</f>
        <v/>
      </c>
      <c r="AK130" t="str">
        <f>IF(OR($B130="",NOT(ISNUMBER(N130))),"",IF(COUNTIF(O130:$T130,N130)&gt;0,0,IF(COUNTIF($G130:$T130,"&gt;"&amp;N130)=0,"",SMALL($G130:$T130,COUNTIF($G130:$T130,"&lt;="&amp;N130)+1)-N130)))</f>
        <v/>
      </c>
      <c r="AL130" t="str">
        <f>IF(OR($B130="",NOT(ISNUMBER(O130))),"",IF(COUNTIF(P130:$T130,O130)&gt;0,0,IF(COUNTIF($G130:$T130,"&gt;"&amp;O130)=0,"",SMALL($G130:$T130,COUNTIF($G130:$T130,"&lt;="&amp;O130)+1)-O130)))</f>
        <v/>
      </c>
      <c r="AM130" t="str">
        <f>IF(OR($B130="",NOT(ISNUMBER(P130))),"",IF(COUNTIF(Q130:$T130,P130)&gt;0,0,IF(COUNTIF($G130:$T130,"&gt;"&amp;P130)=0,"",SMALL($G130:$T130,COUNTIF($G130:$T130,"&lt;="&amp;P130)+1)-P130)))</f>
        <v/>
      </c>
      <c r="AN130" t="str">
        <f>IF(OR($B130="",NOT(ISNUMBER(Q130))),"",IF(COUNTIF(R130:$T130,Q130)&gt;0,0,IF(COUNTIF($G130:$T130,"&gt;"&amp;Q130)=0,"",SMALL($G130:$T130,COUNTIF($G130:$T130,"&lt;="&amp;Q130)+1)-Q130)))</f>
        <v/>
      </c>
      <c r="AO130" t="str">
        <f>IF(OR($B130="",NOT(ISNUMBER(R130))),"",IF(COUNTIF(S130:$T130,R130)&gt;0,0,IF(COUNTIF($G130:$T130,"&gt;"&amp;R130)=0,"",SMALL($G130:$T130,COUNTIF($G130:$T130,"&lt;="&amp;R130)+1)-R130)))</f>
        <v/>
      </c>
      <c r="AP130">
        <f t="shared" ca="1" si="20"/>
        <v>0</v>
      </c>
      <c r="AQ130" s="25" t="str">
        <f t="shared" si="21"/>
        <v/>
      </c>
      <c r="AR130" s="25">
        <f t="shared" si="22"/>
        <v>46293</v>
      </c>
      <c r="AS130" s="25" t="str">
        <f t="shared" si="23"/>
        <v/>
      </c>
      <c r="AT130" s="25" t="str">
        <f t="shared" si="24"/>
        <v/>
      </c>
      <c r="AU130" s="25" t="str">
        <f t="shared" si="25"/>
        <v/>
      </c>
      <c r="AV130" s="25" t="str">
        <f t="shared" si="26"/>
        <v/>
      </c>
      <c r="AW130" s="25" t="str">
        <f t="shared" si="27"/>
        <v/>
      </c>
      <c r="AX130" s="25" t="str">
        <f t="shared" si="28"/>
        <v/>
      </c>
      <c r="AY130" s="25" t="str">
        <f t="shared" si="29"/>
        <v/>
      </c>
      <c r="AZ130" s="25" t="str">
        <f t="shared" si="30"/>
        <v/>
      </c>
      <c r="BA130" s="25" t="str">
        <f t="shared" si="31"/>
        <v/>
      </c>
      <c r="BB130" s="25" t="str">
        <f t="shared" si="32"/>
        <v/>
      </c>
      <c r="BC130" s="25">
        <f t="shared" si="33"/>
        <v>46293</v>
      </c>
    </row>
    <row r="131" spans="1:55" x14ac:dyDescent="0.25">
      <c r="A131" s="151">
        <f t="shared" ref="A131:A194" si="34">IF(B131="","",ROW()-2)</f>
        <v>129</v>
      </c>
      <c r="B131" s="151" t="s">
        <v>251</v>
      </c>
      <c r="C131" s="152" t="s">
        <v>252</v>
      </c>
      <c r="D131" s="151">
        <f t="shared" ref="D131:D194" si="35">IFERROR(VALUE(TRIM(MID(C131,FIND(" - ",C131)+3,FIND(" - ",C131,FIND(" - ",C131)+3)-FIND(" - ",C131)-3))),"")</f>
        <v>2</v>
      </c>
      <c r="E131" s="151" t="s">
        <v>61</v>
      </c>
      <c r="F131" s="173">
        <v>46293</v>
      </c>
      <c r="G131" s="173"/>
      <c r="H131" s="173"/>
      <c r="I131" s="173">
        <v>46293</v>
      </c>
      <c r="J131" s="173">
        <v>46294</v>
      </c>
      <c r="K131" s="173"/>
      <c r="L131" s="173"/>
      <c r="M131" s="173"/>
      <c r="N131" s="173"/>
      <c r="O131" s="173"/>
      <c r="P131" s="173"/>
      <c r="Q131" s="173"/>
      <c r="R131" s="173"/>
      <c r="S131" s="173"/>
      <c r="T131" s="174">
        <v>46294</v>
      </c>
      <c r="U131" s="151"/>
      <c r="V131" s="152"/>
      <c r="W131" s="175"/>
      <c r="X131" s="173"/>
      <c r="Y131" s="173"/>
      <c r="Z131" s="176" t="str">
        <f>IF(B131="","",IF(S131&lt;&gt;"","Sevk Edildi",IF(AND(X131&lt;&gt;"",Y131=""),"Reworkte",IF(T131&lt;&gt;"","Kapandı"&amp;IF(COUNT(G131:R131)=0,""," – "&amp;LOOKUP(2,1/(G131:R131=MAX(G131:R131)),{"Tasarım","Ply Cutter","Üretim","Kalite (Üretim sonrası)","Talaşlı","Kalite (Talaşlı sonrası)","Montaj","Kalite (Montaj sonrası)","Boya","Kalite (Boya sonrası)","Yarı Mamül","KM"})),IF(COUNT(G131:R131)=0,"Başlamadı",LOOKUP(2,1/(G131:R131=MAX(G131:R131)),{"Tasarımda","Ply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31" s="177">
        <f t="shared" ref="AA131:AA194" ca="1" si="36">IF(OR(B131="",F131=""),"",IFERROR(IF(S131&lt;&gt;"",S131-F131,IF(T131&lt;&gt;"",T131-F131,TODAY()-F131)),""))</f>
        <v>1</v>
      </c>
      <c r="AB131" s="175"/>
      <c r="AD131" t="str">
        <f>IF(OR($B131="",NOT(ISNUMBER(G131))),"",IF(COUNTIF(H131:$T131,G131)&gt;0,0,IF(COUNTIF($G131:$T131,"&gt;"&amp;G131)=0,"",SMALL($G131:$T131,COUNTIF($G131:$T131,"&lt;="&amp;G131)+1)-G131)))</f>
        <v/>
      </c>
      <c r="AE131" t="str">
        <f>IF(OR($B131="",NOT(ISNUMBER(H131))),"",IF(COUNTIF(I131:$T131,H131)&gt;0,0,IF(COUNTIF($G131:$T131,"&gt;"&amp;H131)=0,"",SMALL($G131:$T131,COUNTIF($G131:$T131,"&lt;="&amp;H131)+1)-H131)))</f>
        <v/>
      </c>
      <c r="AF131">
        <f>IF(OR($B131="",NOT(ISNUMBER(I131))),"",IF(COUNTIF(J131:$T131,I131)&gt;0,0,IF(COUNTIF($G131:$T131,"&gt;"&amp;I131)=0,"",SMALL($G131:$T131,COUNTIF($G131:$T131,"&lt;="&amp;I131)+1)-I131)))</f>
        <v>1</v>
      </c>
      <c r="AG131">
        <f>IF(OR($B131="",NOT(ISNUMBER(J131))),"",IF(COUNTIF(K131:$T131,J131)&gt;0,0,IF(COUNTIF($G131:$T131,"&gt;"&amp;J131)=0,"",SMALL($G131:$T131,COUNTIF($G131:$T131,"&lt;="&amp;J131)+1)-J131)))</f>
        <v>0</v>
      </c>
      <c r="AH131" t="str">
        <f>IF(OR($B131="",NOT(ISNUMBER(K131))),"",IF(COUNTIF(L131:$T131,K131)&gt;0,0,IF(COUNTIF($G131:$T131,"&gt;"&amp;K131)=0,"",SMALL($G131:$T131,COUNTIF($G131:$T131,"&lt;="&amp;K131)+1)-K131)))</f>
        <v/>
      </c>
      <c r="AI131" t="str">
        <f>IF(OR($B131="",NOT(ISNUMBER(L131))),"",IF(COUNTIF(M131:$T131,L131)&gt;0,0,IF(COUNTIF($G131:$T131,"&gt;"&amp;L131)=0,"",SMALL($G131:$T131,COUNTIF($G131:$T131,"&lt;="&amp;L131)+1)-L131)))</f>
        <v/>
      </c>
      <c r="AJ131" t="str">
        <f>IF(OR($B131="",NOT(ISNUMBER(M131))),"",IF(COUNTIF(N131:$T131,M131)&gt;0,0,IF(COUNTIF($G131:$T131,"&gt;"&amp;M131)=0,"",SMALL($G131:$T131,COUNTIF($G131:$T131,"&lt;="&amp;M131)+1)-M131)))</f>
        <v/>
      </c>
      <c r="AK131" t="str">
        <f>IF(OR($B131="",NOT(ISNUMBER(N131))),"",IF(COUNTIF(O131:$T131,N131)&gt;0,0,IF(COUNTIF($G131:$T131,"&gt;"&amp;N131)=0,"",SMALL($G131:$T131,COUNTIF($G131:$T131,"&lt;="&amp;N131)+1)-N131)))</f>
        <v/>
      </c>
      <c r="AL131" t="str">
        <f>IF(OR($B131="",NOT(ISNUMBER(O131))),"",IF(COUNTIF(P131:$T131,O131)&gt;0,0,IF(COUNTIF($G131:$T131,"&gt;"&amp;O131)=0,"",SMALL($G131:$T131,COUNTIF($G131:$T131,"&lt;="&amp;O131)+1)-O131)))</f>
        <v/>
      </c>
      <c r="AM131" t="str">
        <f>IF(OR($B131="",NOT(ISNUMBER(P131))),"",IF(COUNTIF(Q131:$T131,P131)&gt;0,0,IF(COUNTIF($G131:$T131,"&gt;"&amp;P131)=0,"",SMALL($G131:$T131,COUNTIF($G131:$T131,"&lt;="&amp;P131)+1)-P131)))</f>
        <v/>
      </c>
      <c r="AN131" t="str">
        <f>IF(OR($B131="",NOT(ISNUMBER(Q131))),"",IF(COUNTIF(R131:$T131,Q131)&gt;0,0,IF(COUNTIF($G131:$T131,"&gt;"&amp;Q131)=0,"",SMALL($G131:$T131,COUNTIF($G131:$T131,"&lt;="&amp;Q131)+1)-Q131)))</f>
        <v/>
      </c>
      <c r="AO131" t="str">
        <f>IF(OR($B131="",NOT(ISNUMBER(R131))),"",IF(COUNTIF(S131:$T131,R131)&gt;0,0,IF(COUNTIF($G131:$T131,"&gt;"&amp;R131)=0,"",SMALL($G131:$T131,COUNTIF($G131:$T131,"&lt;="&amp;R131)+1)-R131)))</f>
        <v/>
      </c>
      <c r="AP131">
        <f t="shared" ref="AP131:AP194" ca="1" si="37">IF(OR($B131="",Z131="",Z131="Başlamadı",Z131="Sevk Edildi",Z131="Reworkte",LEFT(Z131,7)="Kapandı"),0,TODAY()-MAX($G131:$R131))</f>
        <v>0</v>
      </c>
      <c r="AQ131" s="25" t="str">
        <f t="shared" ref="AQ131:AQ194" si="38">IF(AND(ISNUMBER(G131),ISNUMBER(AD131)),G131+AD131,"")</f>
        <v/>
      </c>
      <c r="AR131" s="25" t="str">
        <f t="shared" ref="AR131:AR194" si="39">IF(AND(ISNUMBER(H131),ISNUMBER(AE131)),H131+AE131,"")</f>
        <v/>
      </c>
      <c r="AS131" s="25">
        <f t="shared" ref="AS131:AS194" si="40">IF(AND(ISNUMBER(I131),ISNUMBER(AF131)),I131+AF131,"")</f>
        <v>46294</v>
      </c>
      <c r="AT131" s="25">
        <f t="shared" ref="AT131:AT194" si="41">IF(AND(ISNUMBER(J131),ISNUMBER(AG131)),J131+AG131,"")</f>
        <v>46294</v>
      </c>
      <c r="AU131" s="25" t="str">
        <f t="shared" ref="AU131:AU194" si="42">IF(AND(ISNUMBER(K131),ISNUMBER(AH131)),K131+AH131,"")</f>
        <v/>
      </c>
      <c r="AV131" s="25" t="str">
        <f t="shared" ref="AV131:AV194" si="43">IF(AND(ISNUMBER(L131),ISNUMBER(AI131)),L131+AI131,"")</f>
        <v/>
      </c>
      <c r="AW131" s="25" t="str">
        <f t="shared" ref="AW131:AW194" si="44">IF(AND(ISNUMBER(M131),ISNUMBER(AJ131)),M131+AJ131,"")</f>
        <v/>
      </c>
      <c r="AX131" s="25" t="str">
        <f t="shared" ref="AX131:AX194" si="45">IF(AND(ISNUMBER(N131),ISNUMBER(AK131)),N131+AK131,"")</f>
        <v/>
      </c>
      <c r="AY131" s="25" t="str">
        <f t="shared" ref="AY131:AY194" si="46">IF(AND(ISNUMBER(O131),ISNUMBER(AL131)),O131+AL131,"")</f>
        <v/>
      </c>
      <c r="AZ131" s="25" t="str">
        <f t="shared" ref="AZ131:AZ194" si="47">IF(AND(ISNUMBER(P131),ISNUMBER(AM131)),P131+AM131,"")</f>
        <v/>
      </c>
      <c r="BA131" s="25" t="str">
        <f t="shared" ref="BA131:BA194" si="48">IF(AND(ISNUMBER(Q131),ISNUMBER(AN131)),Q131+AN131,"")</f>
        <v/>
      </c>
      <c r="BB131" s="25" t="str">
        <f t="shared" ref="BB131:BB194" si="49">IF(AND(ISNUMBER(R131),ISNUMBER(AO131)),R131+AO131,"")</f>
        <v/>
      </c>
      <c r="BC131" s="25">
        <f t="shared" ref="BC131:BC194" si="50">IF(AND(S131="",T131=""),"",MIN(S131,T131))</f>
        <v>46294</v>
      </c>
    </row>
    <row r="132" spans="1:55" x14ac:dyDescent="0.25">
      <c r="A132" s="151">
        <f t="shared" si="34"/>
        <v>130</v>
      </c>
      <c r="B132" s="151" t="s">
        <v>253</v>
      </c>
      <c r="C132" s="152" t="s">
        <v>133</v>
      </c>
      <c r="D132" s="151">
        <f t="shared" si="35"/>
        <v>3</v>
      </c>
      <c r="E132" s="151" t="s">
        <v>100</v>
      </c>
      <c r="F132" s="173">
        <v>46293</v>
      </c>
      <c r="G132" s="173"/>
      <c r="H132" s="173"/>
      <c r="I132" s="173"/>
      <c r="J132" s="173"/>
      <c r="K132" s="173"/>
      <c r="L132" s="173"/>
      <c r="M132" s="173">
        <v>46294</v>
      </c>
      <c r="N132" s="173">
        <v>46300</v>
      </c>
      <c r="O132" s="173"/>
      <c r="P132" s="173"/>
      <c r="Q132" s="173"/>
      <c r="R132" s="173"/>
      <c r="S132" s="173"/>
      <c r="T132" s="174">
        <v>46300</v>
      </c>
      <c r="U132" s="151"/>
      <c r="V132" s="152"/>
      <c r="W132" s="175"/>
      <c r="X132" s="173"/>
      <c r="Y132" s="173"/>
      <c r="Z132" s="176" t="str">
        <f>IF(B132="","",IF(S132&lt;&gt;"","Sevk Edildi",IF(AND(X132&lt;&gt;"",Y132=""),"Reworkte",IF(T132&lt;&gt;"","Kapandı"&amp;IF(COUNT(G132:R132)=0,""," – "&amp;LOOKUP(2,1/(G132:R132=MAX(G132:R132)),{"Tasarım","Ply Cutter","Üretim","Kalite (Üretim sonrası)","Talaşlı","Kalite (Talaşlı sonrası)","Montaj","Kalite (Montaj sonrası)","Boya","Kalite (Boya sonrası)","Yarı Mamül","KM"})),IF(COUNT(G132:R132)=0,"Başlamadı",LOOKUP(2,1/(G132:R132=MAX(G132:R132)),{"Tasarımda","Ply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32" s="177">
        <f t="shared" ca="1" si="36"/>
        <v>7</v>
      </c>
      <c r="AB132" s="175"/>
      <c r="AD132" t="str">
        <f>IF(OR($B132="",NOT(ISNUMBER(G132))),"",IF(COUNTIF(H132:$T132,G132)&gt;0,0,IF(COUNTIF($G132:$T132,"&gt;"&amp;G132)=0,"",SMALL($G132:$T132,COUNTIF($G132:$T132,"&lt;="&amp;G132)+1)-G132)))</f>
        <v/>
      </c>
      <c r="AE132" t="str">
        <f>IF(OR($B132="",NOT(ISNUMBER(H132))),"",IF(COUNTIF(I132:$T132,H132)&gt;0,0,IF(COUNTIF($G132:$T132,"&gt;"&amp;H132)=0,"",SMALL($G132:$T132,COUNTIF($G132:$T132,"&lt;="&amp;H132)+1)-H132)))</f>
        <v/>
      </c>
      <c r="AF132" t="str">
        <f>IF(OR($B132="",NOT(ISNUMBER(I132))),"",IF(COUNTIF(J132:$T132,I132)&gt;0,0,IF(COUNTIF($G132:$T132,"&gt;"&amp;I132)=0,"",SMALL($G132:$T132,COUNTIF($G132:$T132,"&lt;="&amp;I132)+1)-I132)))</f>
        <v/>
      </c>
      <c r="AG132" t="str">
        <f>IF(OR($B132="",NOT(ISNUMBER(J132))),"",IF(COUNTIF(K132:$T132,J132)&gt;0,0,IF(COUNTIF($G132:$T132,"&gt;"&amp;J132)=0,"",SMALL($G132:$T132,COUNTIF($G132:$T132,"&lt;="&amp;J132)+1)-J132)))</f>
        <v/>
      </c>
      <c r="AH132" t="str">
        <f>IF(OR($B132="",NOT(ISNUMBER(K132))),"",IF(COUNTIF(L132:$T132,K132)&gt;0,0,IF(COUNTIF($G132:$T132,"&gt;"&amp;K132)=0,"",SMALL($G132:$T132,COUNTIF($G132:$T132,"&lt;="&amp;K132)+1)-K132)))</f>
        <v/>
      </c>
      <c r="AI132" t="str">
        <f>IF(OR($B132="",NOT(ISNUMBER(L132))),"",IF(COUNTIF(M132:$T132,L132)&gt;0,0,IF(COUNTIF($G132:$T132,"&gt;"&amp;L132)=0,"",SMALL($G132:$T132,COUNTIF($G132:$T132,"&lt;="&amp;L132)+1)-L132)))</f>
        <v/>
      </c>
      <c r="AJ132">
        <f>IF(OR($B132="",NOT(ISNUMBER(M132))),"",IF(COUNTIF(N132:$T132,M132)&gt;0,0,IF(COUNTIF($G132:$T132,"&gt;"&amp;M132)=0,"",SMALL($G132:$T132,COUNTIF($G132:$T132,"&lt;="&amp;M132)+1)-M132)))</f>
        <v>6</v>
      </c>
      <c r="AK132">
        <f>IF(OR($B132="",NOT(ISNUMBER(N132))),"",IF(COUNTIF(O132:$T132,N132)&gt;0,0,IF(COUNTIF($G132:$T132,"&gt;"&amp;N132)=0,"",SMALL($G132:$T132,COUNTIF($G132:$T132,"&lt;="&amp;N132)+1)-N132)))</f>
        <v>0</v>
      </c>
      <c r="AL132" t="str">
        <f>IF(OR($B132="",NOT(ISNUMBER(O132))),"",IF(COUNTIF(P132:$T132,O132)&gt;0,0,IF(COUNTIF($G132:$T132,"&gt;"&amp;O132)=0,"",SMALL($G132:$T132,COUNTIF($G132:$T132,"&lt;="&amp;O132)+1)-O132)))</f>
        <v/>
      </c>
      <c r="AM132" t="str">
        <f>IF(OR($B132="",NOT(ISNUMBER(P132))),"",IF(COUNTIF(Q132:$T132,P132)&gt;0,0,IF(COUNTIF($G132:$T132,"&gt;"&amp;P132)=0,"",SMALL($G132:$T132,COUNTIF($G132:$T132,"&lt;="&amp;P132)+1)-P132)))</f>
        <v/>
      </c>
      <c r="AN132" t="str">
        <f>IF(OR($B132="",NOT(ISNUMBER(Q132))),"",IF(COUNTIF(R132:$T132,Q132)&gt;0,0,IF(COUNTIF($G132:$T132,"&gt;"&amp;Q132)=0,"",SMALL($G132:$T132,COUNTIF($G132:$T132,"&lt;="&amp;Q132)+1)-Q132)))</f>
        <v/>
      </c>
      <c r="AO132" t="str">
        <f>IF(OR($B132="",NOT(ISNUMBER(R132))),"",IF(COUNTIF(S132:$T132,R132)&gt;0,0,IF(COUNTIF($G132:$T132,"&gt;"&amp;R132)=0,"",SMALL($G132:$T132,COUNTIF($G132:$T132,"&lt;="&amp;R132)+1)-R132)))</f>
        <v/>
      </c>
      <c r="AP132">
        <f t="shared" ca="1" si="37"/>
        <v>0</v>
      </c>
      <c r="AQ132" s="25" t="str">
        <f t="shared" si="38"/>
        <v/>
      </c>
      <c r="AR132" s="25" t="str">
        <f t="shared" si="39"/>
        <v/>
      </c>
      <c r="AS132" s="25" t="str">
        <f t="shared" si="40"/>
        <v/>
      </c>
      <c r="AT132" s="25" t="str">
        <f t="shared" si="41"/>
        <v/>
      </c>
      <c r="AU132" s="25" t="str">
        <f t="shared" si="42"/>
        <v/>
      </c>
      <c r="AV132" s="25" t="str">
        <f t="shared" si="43"/>
        <v/>
      </c>
      <c r="AW132" s="25">
        <f t="shared" si="44"/>
        <v>46300</v>
      </c>
      <c r="AX132" s="25">
        <f t="shared" si="45"/>
        <v>46300</v>
      </c>
      <c r="AY132" s="25" t="str">
        <f t="shared" si="46"/>
        <v/>
      </c>
      <c r="AZ132" s="25" t="str">
        <f t="shared" si="47"/>
        <v/>
      </c>
      <c r="BA132" s="25" t="str">
        <f t="shared" si="48"/>
        <v/>
      </c>
      <c r="BB132" s="25" t="str">
        <f t="shared" si="49"/>
        <v/>
      </c>
      <c r="BC132" s="25">
        <f t="shared" si="50"/>
        <v>46300</v>
      </c>
    </row>
    <row r="133" spans="1:55" x14ac:dyDescent="0.25">
      <c r="A133" s="151">
        <f t="shared" si="34"/>
        <v>131</v>
      </c>
      <c r="B133" s="151" t="s">
        <v>254</v>
      </c>
      <c r="C133" s="152" t="s">
        <v>133</v>
      </c>
      <c r="D133" s="151">
        <f t="shared" si="35"/>
        <v>3</v>
      </c>
      <c r="E133" s="151" t="s">
        <v>100</v>
      </c>
      <c r="F133" s="173">
        <v>46293</v>
      </c>
      <c r="G133" s="173"/>
      <c r="H133" s="173"/>
      <c r="I133" s="173"/>
      <c r="J133" s="173"/>
      <c r="K133" s="173"/>
      <c r="L133" s="173"/>
      <c r="M133" s="173">
        <v>46294</v>
      </c>
      <c r="N133" s="173">
        <v>46300</v>
      </c>
      <c r="O133" s="173"/>
      <c r="P133" s="173"/>
      <c r="Q133" s="173"/>
      <c r="R133" s="173"/>
      <c r="S133" s="173"/>
      <c r="T133" s="174">
        <v>46300</v>
      </c>
      <c r="U133" s="151"/>
      <c r="V133" s="152"/>
      <c r="W133" s="175"/>
      <c r="X133" s="173"/>
      <c r="Y133" s="173"/>
      <c r="Z133" s="176" t="str">
        <f>IF(B133="","",IF(S133&lt;&gt;"","Sevk Edildi",IF(AND(X133&lt;&gt;"",Y133=""),"Reworkte",IF(T133&lt;&gt;"","Kapandı"&amp;IF(COUNT(G133:R133)=0,""," – "&amp;LOOKUP(2,1/(G133:R133=MAX(G133:R133)),{"Tasarım","Ply Cutter","Üretim","Kalite (Üretim sonrası)","Talaşlı","Kalite (Talaşlı sonrası)","Montaj","Kalite (Montaj sonrası)","Boya","Kalite (Boya sonrası)","Yarı Mamül","KM"})),IF(COUNT(G133:R133)=0,"Başlamadı",LOOKUP(2,1/(G133:R133=MAX(G133:R133)),{"Tasarımda","Ply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33" s="177">
        <f t="shared" ca="1" si="36"/>
        <v>7</v>
      </c>
      <c r="AB133" s="175"/>
      <c r="AD133" t="str">
        <f>IF(OR($B133="",NOT(ISNUMBER(G133))),"",IF(COUNTIF(H133:$T133,G133)&gt;0,0,IF(COUNTIF($G133:$T133,"&gt;"&amp;G133)=0,"",SMALL($G133:$T133,COUNTIF($G133:$T133,"&lt;="&amp;G133)+1)-G133)))</f>
        <v/>
      </c>
      <c r="AE133" t="str">
        <f>IF(OR($B133="",NOT(ISNUMBER(H133))),"",IF(COUNTIF(I133:$T133,H133)&gt;0,0,IF(COUNTIF($G133:$T133,"&gt;"&amp;H133)=0,"",SMALL($G133:$T133,COUNTIF($G133:$T133,"&lt;="&amp;H133)+1)-H133)))</f>
        <v/>
      </c>
      <c r="AF133" t="str">
        <f>IF(OR($B133="",NOT(ISNUMBER(I133))),"",IF(COUNTIF(J133:$T133,I133)&gt;0,0,IF(COUNTIF($G133:$T133,"&gt;"&amp;I133)=0,"",SMALL($G133:$T133,COUNTIF($G133:$T133,"&lt;="&amp;I133)+1)-I133)))</f>
        <v/>
      </c>
      <c r="AG133" t="str">
        <f>IF(OR($B133="",NOT(ISNUMBER(J133))),"",IF(COUNTIF(K133:$T133,J133)&gt;0,0,IF(COUNTIF($G133:$T133,"&gt;"&amp;J133)=0,"",SMALL($G133:$T133,COUNTIF($G133:$T133,"&lt;="&amp;J133)+1)-J133)))</f>
        <v/>
      </c>
      <c r="AH133" t="str">
        <f>IF(OR($B133="",NOT(ISNUMBER(K133))),"",IF(COUNTIF(L133:$T133,K133)&gt;0,0,IF(COUNTIF($G133:$T133,"&gt;"&amp;K133)=0,"",SMALL($G133:$T133,COUNTIF($G133:$T133,"&lt;="&amp;K133)+1)-K133)))</f>
        <v/>
      </c>
      <c r="AI133" t="str">
        <f>IF(OR($B133="",NOT(ISNUMBER(L133))),"",IF(COUNTIF(M133:$T133,L133)&gt;0,0,IF(COUNTIF($G133:$T133,"&gt;"&amp;L133)=0,"",SMALL($G133:$T133,COUNTIF($G133:$T133,"&lt;="&amp;L133)+1)-L133)))</f>
        <v/>
      </c>
      <c r="AJ133">
        <f>IF(OR($B133="",NOT(ISNUMBER(M133))),"",IF(COUNTIF(N133:$T133,M133)&gt;0,0,IF(COUNTIF($G133:$T133,"&gt;"&amp;M133)=0,"",SMALL($G133:$T133,COUNTIF($G133:$T133,"&lt;="&amp;M133)+1)-M133)))</f>
        <v>6</v>
      </c>
      <c r="AK133">
        <f>IF(OR($B133="",NOT(ISNUMBER(N133))),"",IF(COUNTIF(O133:$T133,N133)&gt;0,0,IF(COUNTIF($G133:$T133,"&gt;"&amp;N133)=0,"",SMALL($G133:$T133,COUNTIF($G133:$T133,"&lt;="&amp;N133)+1)-N133)))</f>
        <v>0</v>
      </c>
      <c r="AL133" t="str">
        <f>IF(OR($B133="",NOT(ISNUMBER(O133))),"",IF(COUNTIF(P133:$T133,O133)&gt;0,0,IF(COUNTIF($G133:$T133,"&gt;"&amp;O133)=0,"",SMALL($G133:$T133,COUNTIF($G133:$T133,"&lt;="&amp;O133)+1)-O133)))</f>
        <v/>
      </c>
      <c r="AM133" t="str">
        <f>IF(OR($B133="",NOT(ISNUMBER(P133))),"",IF(COUNTIF(Q133:$T133,P133)&gt;0,0,IF(COUNTIF($G133:$T133,"&gt;"&amp;P133)=0,"",SMALL($G133:$T133,COUNTIF($G133:$T133,"&lt;="&amp;P133)+1)-P133)))</f>
        <v/>
      </c>
      <c r="AN133" t="str">
        <f>IF(OR($B133="",NOT(ISNUMBER(Q133))),"",IF(COUNTIF(R133:$T133,Q133)&gt;0,0,IF(COUNTIF($G133:$T133,"&gt;"&amp;Q133)=0,"",SMALL($G133:$T133,COUNTIF($G133:$T133,"&lt;="&amp;Q133)+1)-Q133)))</f>
        <v/>
      </c>
      <c r="AO133" t="str">
        <f>IF(OR($B133="",NOT(ISNUMBER(R133))),"",IF(COUNTIF(S133:$T133,R133)&gt;0,0,IF(COUNTIF($G133:$T133,"&gt;"&amp;R133)=0,"",SMALL($G133:$T133,COUNTIF($G133:$T133,"&lt;="&amp;R133)+1)-R133)))</f>
        <v/>
      </c>
      <c r="AP133">
        <f t="shared" ca="1" si="37"/>
        <v>0</v>
      </c>
      <c r="AQ133" s="25" t="str">
        <f t="shared" si="38"/>
        <v/>
      </c>
      <c r="AR133" s="25" t="str">
        <f t="shared" si="39"/>
        <v/>
      </c>
      <c r="AS133" s="25" t="str">
        <f t="shared" si="40"/>
        <v/>
      </c>
      <c r="AT133" s="25" t="str">
        <f t="shared" si="41"/>
        <v/>
      </c>
      <c r="AU133" s="25" t="str">
        <f t="shared" si="42"/>
        <v/>
      </c>
      <c r="AV133" s="25" t="str">
        <f t="shared" si="43"/>
        <v/>
      </c>
      <c r="AW133" s="25">
        <f t="shared" si="44"/>
        <v>46300</v>
      </c>
      <c r="AX133" s="25">
        <f t="shared" si="45"/>
        <v>46300</v>
      </c>
      <c r="AY133" s="25" t="str">
        <f t="shared" si="46"/>
        <v/>
      </c>
      <c r="AZ133" s="25" t="str">
        <f t="shared" si="47"/>
        <v/>
      </c>
      <c r="BA133" s="25" t="str">
        <f t="shared" si="48"/>
        <v/>
      </c>
      <c r="BB133" s="25" t="str">
        <f t="shared" si="49"/>
        <v/>
      </c>
      <c r="BC133" s="25">
        <f t="shared" si="50"/>
        <v>46300</v>
      </c>
    </row>
    <row r="134" spans="1:55" x14ac:dyDescent="0.25">
      <c r="A134" s="151">
        <f t="shared" si="34"/>
        <v>132</v>
      </c>
      <c r="B134" s="151" t="s">
        <v>255</v>
      </c>
      <c r="C134" s="152" t="s">
        <v>133</v>
      </c>
      <c r="D134" s="151">
        <f t="shared" si="35"/>
        <v>3</v>
      </c>
      <c r="E134" s="151" t="s">
        <v>100</v>
      </c>
      <c r="F134" s="173">
        <v>46293</v>
      </c>
      <c r="G134" s="173"/>
      <c r="H134" s="173"/>
      <c r="I134" s="173"/>
      <c r="J134" s="173"/>
      <c r="K134" s="173"/>
      <c r="L134" s="173"/>
      <c r="M134" s="173">
        <v>46294</v>
      </c>
      <c r="N134" s="173">
        <v>46300</v>
      </c>
      <c r="O134" s="173"/>
      <c r="P134" s="173"/>
      <c r="Q134" s="173"/>
      <c r="R134" s="173"/>
      <c r="S134" s="173"/>
      <c r="T134" s="174">
        <v>46300</v>
      </c>
      <c r="U134" s="151"/>
      <c r="V134" s="152"/>
      <c r="W134" s="175"/>
      <c r="X134" s="173"/>
      <c r="Y134" s="173"/>
      <c r="Z134" s="176" t="str">
        <f>IF(B134="","",IF(S134&lt;&gt;"","Sevk Edildi",IF(AND(X134&lt;&gt;"",Y134=""),"Reworkte",IF(T134&lt;&gt;"","Kapandı"&amp;IF(COUNT(G134:R134)=0,""," – "&amp;LOOKUP(2,1/(G134:R134=MAX(G134:R134)),{"Tasarım","Ply Cutter","Üretim","Kalite (Üretim sonrası)","Talaşlı","Kalite (Talaşlı sonrası)","Montaj","Kalite (Montaj sonrası)","Boya","Kalite (Boya sonrası)","Yarı Mamül","KM"})),IF(COUNT(G134:R134)=0,"Başlamadı",LOOKUP(2,1/(G134:R134=MAX(G134:R134)),{"Tasarımda","Ply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34" s="177">
        <f t="shared" ca="1" si="36"/>
        <v>7</v>
      </c>
      <c r="AB134" s="175"/>
      <c r="AD134" t="str">
        <f>IF(OR($B134="",NOT(ISNUMBER(G134))),"",IF(COUNTIF(H134:$T134,G134)&gt;0,0,IF(COUNTIF($G134:$T134,"&gt;"&amp;G134)=0,"",SMALL($G134:$T134,COUNTIF($G134:$T134,"&lt;="&amp;G134)+1)-G134)))</f>
        <v/>
      </c>
      <c r="AE134" t="str">
        <f>IF(OR($B134="",NOT(ISNUMBER(H134))),"",IF(COUNTIF(I134:$T134,H134)&gt;0,0,IF(COUNTIF($G134:$T134,"&gt;"&amp;H134)=0,"",SMALL($G134:$T134,COUNTIF($G134:$T134,"&lt;="&amp;H134)+1)-H134)))</f>
        <v/>
      </c>
      <c r="AF134" t="str">
        <f>IF(OR($B134="",NOT(ISNUMBER(I134))),"",IF(COUNTIF(J134:$T134,I134)&gt;0,0,IF(COUNTIF($G134:$T134,"&gt;"&amp;I134)=0,"",SMALL($G134:$T134,COUNTIF($G134:$T134,"&lt;="&amp;I134)+1)-I134)))</f>
        <v/>
      </c>
      <c r="AG134" t="str">
        <f>IF(OR($B134="",NOT(ISNUMBER(J134))),"",IF(COUNTIF(K134:$T134,J134)&gt;0,0,IF(COUNTIF($G134:$T134,"&gt;"&amp;J134)=0,"",SMALL($G134:$T134,COUNTIF($G134:$T134,"&lt;="&amp;J134)+1)-J134)))</f>
        <v/>
      </c>
      <c r="AH134" t="str">
        <f>IF(OR($B134="",NOT(ISNUMBER(K134))),"",IF(COUNTIF(L134:$T134,K134)&gt;0,0,IF(COUNTIF($G134:$T134,"&gt;"&amp;K134)=0,"",SMALL($G134:$T134,COUNTIF($G134:$T134,"&lt;="&amp;K134)+1)-K134)))</f>
        <v/>
      </c>
      <c r="AI134" t="str">
        <f>IF(OR($B134="",NOT(ISNUMBER(L134))),"",IF(COUNTIF(M134:$T134,L134)&gt;0,0,IF(COUNTIF($G134:$T134,"&gt;"&amp;L134)=0,"",SMALL($G134:$T134,COUNTIF($G134:$T134,"&lt;="&amp;L134)+1)-L134)))</f>
        <v/>
      </c>
      <c r="AJ134">
        <f>IF(OR($B134="",NOT(ISNUMBER(M134))),"",IF(COUNTIF(N134:$T134,M134)&gt;0,0,IF(COUNTIF($G134:$T134,"&gt;"&amp;M134)=0,"",SMALL($G134:$T134,COUNTIF($G134:$T134,"&lt;="&amp;M134)+1)-M134)))</f>
        <v>6</v>
      </c>
      <c r="AK134">
        <f>IF(OR($B134="",NOT(ISNUMBER(N134))),"",IF(COUNTIF(O134:$T134,N134)&gt;0,0,IF(COUNTIF($G134:$T134,"&gt;"&amp;N134)=0,"",SMALL($G134:$T134,COUNTIF($G134:$T134,"&lt;="&amp;N134)+1)-N134)))</f>
        <v>0</v>
      </c>
      <c r="AL134" t="str">
        <f>IF(OR($B134="",NOT(ISNUMBER(O134))),"",IF(COUNTIF(P134:$T134,O134)&gt;0,0,IF(COUNTIF($G134:$T134,"&gt;"&amp;O134)=0,"",SMALL($G134:$T134,COUNTIF($G134:$T134,"&lt;="&amp;O134)+1)-O134)))</f>
        <v/>
      </c>
      <c r="AM134" t="str">
        <f>IF(OR($B134="",NOT(ISNUMBER(P134))),"",IF(COUNTIF(Q134:$T134,P134)&gt;0,0,IF(COUNTIF($G134:$T134,"&gt;"&amp;P134)=0,"",SMALL($G134:$T134,COUNTIF($G134:$T134,"&lt;="&amp;P134)+1)-P134)))</f>
        <v/>
      </c>
      <c r="AN134" t="str">
        <f>IF(OR($B134="",NOT(ISNUMBER(Q134))),"",IF(COUNTIF(R134:$T134,Q134)&gt;0,0,IF(COUNTIF($G134:$T134,"&gt;"&amp;Q134)=0,"",SMALL($G134:$T134,COUNTIF($G134:$T134,"&lt;="&amp;Q134)+1)-Q134)))</f>
        <v/>
      </c>
      <c r="AO134" t="str">
        <f>IF(OR($B134="",NOT(ISNUMBER(R134))),"",IF(COUNTIF(S134:$T134,R134)&gt;0,0,IF(COUNTIF($G134:$T134,"&gt;"&amp;R134)=0,"",SMALL($G134:$T134,COUNTIF($G134:$T134,"&lt;="&amp;R134)+1)-R134)))</f>
        <v/>
      </c>
      <c r="AP134">
        <f t="shared" ca="1" si="37"/>
        <v>0</v>
      </c>
      <c r="AQ134" s="25" t="str">
        <f t="shared" si="38"/>
        <v/>
      </c>
      <c r="AR134" s="25" t="str">
        <f t="shared" si="39"/>
        <v/>
      </c>
      <c r="AS134" s="25" t="str">
        <f t="shared" si="40"/>
        <v/>
      </c>
      <c r="AT134" s="25" t="str">
        <f t="shared" si="41"/>
        <v/>
      </c>
      <c r="AU134" s="25" t="str">
        <f t="shared" si="42"/>
        <v/>
      </c>
      <c r="AV134" s="25" t="str">
        <f t="shared" si="43"/>
        <v/>
      </c>
      <c r="AW134" s="25">
        <f t="shared" si="44"/>
        <v>46300</v>
      </c>
      <c r="AX134" s="25">
        <f t="shared" si="45"/>
        <v>46300</v>
      </c>
      <c r="AY134" s="25" t="str">
        <f t="shared" si="46"/>
        <v/>
      </c>
      <c r="AZ134" s="25" t="str">
        <f t="shared" si="47"/>
        <v/>
      </c>
      <c r="BA134" s="25" t="str">
        <f t="shared" si="48"/>
        <v/>
      </c>
      <c r="BB134" s="25" t="str">
        <f t="shared" si="49"/>
        <v/>
      </c>
      <c r="BC134" s="25">
        <f t="shared" si="50"/>
        <v>46300</v>
      </c>
    </row>
    <row r="135" spans="1:55" x14ac:dyDescent="0.25">
      <c r="A135" s="151">
        <f t="shared" si="34"/>
        <v>133</v>
      </c>
      <c r="B135" s="151" t="s">
        <v>256</v>
      </c>
      <c r="C135" s="152" t="s">
        <v>257</v>
      </c>
      <c r="D135" s="151">
        <f t="shared" si="35"/>
        <v>3</v>
      </c>
      <c r="E135" s="151" t="s">
        <v>100</v>
      </c>
      <c r="F135" s="173">
        <v>46293</v>
      </c>
      <c r="G135" s="173"/>
      <c r="H135" s="173"/>
      <c r="I135" s="173"/>
      <c r="J135" s="173"/>
      <c r="K135" s="173"/>
      <c r="L135" s="173"/>
      <c r="M135" s="173">
        <v>46294</v>
      </c>
      <c r="N135" s="173">
        <v>46296</v>
      </c>
      <c r="O135" s="173"/>
      <c r="P135" s="173"/>
      <c r="Q135" s="173"/>
      <c r="R135" s="173"/>
      <c r="S135" s="173"/>
      <c r="T135" s="174">
        <v>46304</v>
      </c>
      <c r="U135" s="151"/>
      <c r="V135" s="152"/>
      <c r="W135" s="175"/>
      <c r="X135" s="173"/>
      <c r="Y135" s="173"/>
      <c r="Z135" s="176" t="str">
        <f>IF(B135="","",IF(S135&lt;&gt;"","Sevk Edildi",IF(AND(X135&lt;&gt;"",Y135=""),"Reworkte",IF(T135&lt;&gt;"","Kapandı"&amp;IF(COUNT(G135:R135)=0,""," – "&amp;LOOKUP(2,1/(G135:R135=MAX(G135:R135)),{"Tasarım","Ply Cutter","Üretim","Kalite (Üretim sonrası)","Talaşlı","Kalite (Talaşlı sonrası)","Montaj","Kalite (Montaj sonrası)","Boya","Kalite (Boya sonrası)","Yarı Mamül","KM"})),IF(COUNT(G135:R135)=0,"Başlamadı",LOOKUP(2,1/(G135:R135=MAX(G135:R135)),{"Tasarımda","Ply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35" s="177">
        <f t="shared" ca="1" si="36"/>
        <v>11</v>
      </c>
      <c r="AB135" s="175"/>
      <c r="AD135" t="str">
        <f>IF(OR($B135="",NOT(ISNUMBER(G135))),"",IF(COUNTIF(H135:$T135,G135)&gt;0,0,IF(COUNTIF($G135:$T135,"&gt;"&amp;G135)=0,"",SMALL($G135:$T135,COUNTIF($G135:$T135,"&lt;="&amp;G135)+1)-G135)))</f>
        <v/>
      </c>
      <c r="AE135" t="str">
        <f>IF(OR($B135="",NOT(ISNUMBER(H135))),"",IF(COUNTIF(I135:$T135,H135)&gt;0,0,IF(COUNTIF($G135:$T135,"&gt;"&amp;H135)=0,"",SMALL($G135:$T135,COUNTIF($G135:$T135,"&lt;="&amp;H135)+1)-H135)))</f>
        <v/>
      </c>
      <c r="AF135" t="str">
        <f>IF(OR($B135="",NOT(ISNUMBER(I135))),"",IF(COUNTIF(J135:$T135,I135)&gt;0,0,IF(COUNTIF($G135:$T135,"&gt;"&amp;I135)=0,"",SMALL($G135:$T135,COUNTIF($G135:$T135,"&lt;="&amp;I135)+1)-I135)))</f>
        <v/>
      </c>
      <c r="AG135" t="str">
        <f>IF(OR($B135="",NOT(ISNUMBER(J135))),"",IF(COUNTIF(K135:$T135,J135)&gt;0,0,IF(COUNTIF($G135:$T135,"&gt;"&amp;J135)=0,"",SMALL($G135:$T135,COUNTIF($G135:$T135,"&lt;="&amp;J135)+1)-J135)))</f>
        <v/>
      </c>
      <c r="AH135" t="str">
        <f>IF(OR($B135="",NOT(ISNUMBER(K135))),"",IF(COUNTIF(L135:$T135,K135)&gt;0,0,IF(COUNTIF($G135:$T135,"&gt;"&amp;K135)=0,"",SMALL($G135:$T135,COUNTIF($G135:$T135,"&lt;="&amp;K135)+1)-K135)))</f>
        <v/>
      </c>
      <c r="AI135" t="str">
        <f>IF(OR($B135="",NOT(ISNUMBER(L135))),"",IF(COUNTIF(M135:$T135,L135)&gt;0,0,IF(COUNTIF($G135:$T135,"&gt;"&amp;L135)=0,"",SMALL($G135:$T135,COUNTIF($G135:$T135,"&lt;="&amp;L135)+1)-L135)))</f>
        <v/>
      </c>
      <c r="AJ135">
        <f>IF(OR($B135="",NOT(ISNUMBER(M135))),"",IF(COUNTIF(N135:$T135,M135)&gt;0,0,IF(COUNTIF($G135:$T135,"&gt;"&amp;M135)=0,"",SMALL($G135:$T135,COUNTIF($G135:$T135,"&lt;="&amp;M135)+1)-M135)))</f>
        <v>2</v>
      </c>
      <c r="AK135">
        <f>IF(OR($B135="",NOT(ISNUMBER(N135))),"",IF(COUNTIF(O135:$T135,N135)&gt;0,0,IF(COUNTIF($G135:$T135,"&gt;"&amp;N135)=0,"",SMALL($G135:$T135,COUNTIF($G135:$T135,"&lt;="&amp;N135)+1)-N135)))</f>
        <v>8</v>
      </c>
      <c r="AL135" t="str">
        <f>IF(OR($B135="",NOT(ISNUMBER(O135))),"",IF(COUNTIF(P135:$T135,O135)&gt;0,0,IF(COUNTIF($G135:$T135,"&gt;"&amp;O135)=0,"",SMALL($G135:$T135,COUNTIF($G135:$T135,"&lt;="&amp;O135)+1)-O135)))</f>
        <v/>
      </c>
      <c r="AM135" t="str">
        <f>IF(OR($B135="",NOT(ISNUMBER(P135))),"",IF(COUNTIF(Q135:$T135,P135)&gt;0,0,IF(COUNTIF($G135:$T135,"&gt;"&amp;P135)=0,"",SMALL($G135:$T135,COUNTIF($G135:$T135,"&lt;="&amp;P135)+1)-P135)))</f>
        <v/>
      </c>
      <c r="AN135" t="str">
        <f>IF(OR($B135="",NOT(ISNUMBER(Q135))),"",IF(COUNTIF(R135:$T135,Q135)&gt;0,0,IF(COUNTIF($G135:$T135,"&gt;"&amp;Q135)=0,"",SMALL($G135:$T135,COUNTIF($G135:$T135,"&lt;="&amp;Q135)+1)-Q135)))</f>
        <v/>
      </c>
      <c r="AO135" t="str">
        <f>IF(OR($B135="",NOT(ISNUMBER(R135))),"",IF(COUNTIF(S135:$T135,R135)&gt;0,0,IF(COUNTIF($G135:$T135,"&gt;"&amp;R135)=0,"",SMALL($G135:$T135,COUNTIF($G135:$T135,"&lt;="&amp;R135)+1)-R135)))</f>
        <v/>
      </c>
      <c r="AP135">
        <f t="shared" ca="1" si="37"/>
        <v>0</v>
      </c>
      <c r="AQ135" s="25" t="str">
        <f t="shared" si="38"/>
        <v/>
      </c>
      <c r="AR135" s="25" t="str">
        <f t="shared" si="39"/>
        <v/>
      </c>
      <c r="AS135" s="25" t="str">
        <f t="shared" si="40"/>
        <v/>
      </c>
      <c r="AT135" s="25" t="str">
        <f t="shared" si="41"/>
        <v/>
      </c>
      <c r="AU135" s="25" t="str">
        <f t="shared" si="42"/>
        <v/>
      </c>
      <c r="AV135" s="25" t="str">
        <f t="shared" si="43"/>
        <v/>
      </c>
      <c r="AW135" s="25">
        <f t="shared" si="44"/>
        <v>46296</v>
      </c>
      <c r="AX135" s="25">
        <f t="shared" si="45"/>
        <v>46304</v>
      </c>
      <c r="AY135" s="25" t="str">
        <f t="shared" si="46"/>
        <v/>
      </c>
      <c r="AZ135" s="25" t="str">
        <f t="shared" si="47"/>
        <v/>
      </c>
      <c r="BA135" s="25" t="str">
        <f t="shared" si="48"/>
        <v/>
      </c>
      <c r="BB135" s="25" t="str">
        <f t="shared" si="49"/>
        <v/>
      </c>
      <c r="BC135" s="25">
        <f t="shared" si="50"/>
        <v>46304</v>
      </c>
    </row>
    <row r="136" spans="1:55" x14ac:dyDescent="0.25">
      <c r="A136" s="151">
        <f t="shared" si="34"/>
        <v>134</v>
      </c>
      <c r="B136" s="151" t="s">
        <v>258</v>
      </c>
      <c r="C136" s="152" t="s">
        <v>257</v>
      </c>
      <c r="D136" s="151">
        <f t="shared" si="35"/>
        <v>3</v>
      </c>
      <c r="E136" s="151" t="s">
        <v>100</v>
      </c>
      <c r="F136" s="173">
        <v>46293</v>
      </c>
      <c r="G136" s="173"/>
      <c r="H136" s="173"/>
      <c r="I136" s="173"/>
      <c r="J136" s="173"/>
      <c r="K136" s="173"/>
      <c r="L136" s="173"/>
      <c r="M136" s="173">
        <v>46294</v>
      </c>
      <c r="N136" s="173">
        <v>46296</v>
      </c>
      <c r="O136" s="173"/>
      <c r="P136" s="173"/>
      <c r="Q136" s="173"/>
      <c r="R136" s="173"/>
      <c r="S136" s="173"/>
      <c r="T136" s="174">
        <v>46304</v>
      </c>
      <c r="U136" s="151"/>
      <c r="V136" s="152"/>
      <c r="W136" s="175"/>
      <c r="X136" s="173"/>
      <c r="Y136" s="173"/>
      <c r="Z136" s="176" t="str">
        <f>IF(B136="","",IF(S136&lt;&gt;"","Sevk Edildi",IF(AND(X136&lt;&gt;"",Y136=""),"Reworkte",IF(T136&lt;&gt;"","Kapandı"&amp;IF(COUNT(G136:R136)=0,""," – "&amp;LOOKUP(2,1/(G136:R136=MAX(G136:R136)),{"Tasarım","Ply Cutter","Üretim","Kalite (Üretim sonrası)","Talaşlı","Kalite (Talaşlı sonrası)","Montaj","Kalite (Montaj sonrası)","Boya","Kalite (Boya sonrası)","Yarı Mamül","KM"})),IF(COUNT(G136:R136)=0,"Başlamadı",LOOKUP(2,1/(G136:R136=MAX(G136:R136)),{"Tasarımda","Ply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36" s="177">
        <f t="shared" ca="1" si="36"/>
        <v>11</v>
      </c>
      <c r="AB136" s="175"/>
      <c r="AD136" t="str">
        <f>IF(OR($B136="",NOT(ISNUMBER(G136))),"",IF(COUNTIF(H136:$T136,G136)&gt;0,0,IF(COUNTIF($G136:$T136,"&gt;"&amp;G136)=0,"",SMALL($G136:$T136,COUNTIF($G136:$T136,"&lt;="&amp;G136)+1)-G136)))</f>
        <v/>
      </c>
      <c r="AE136" t="str">
        <f>IF(OR($B136="",NOT(ISNUMBER(H136))),"",IF(COUNTIF(I136:$T136,H136)&gt;0,0,IF(COUNTIF($G136:$T136,"&gt;"&amp;H136)=0,"",SMALL($G136:$T136,COUNTIF($G136:$T136,"&lt;="&amp;H136)+1)-H136)))</f>
        <v/>
      </c>
      <c r="AF136" t="str">
        <f>IF(OR($B136="",NOT(ISNUMBER(I136))),"",IF(COUNTIF(J136:$T136,I136)&gt;0,0,IF(COUNTIF($G136:$T136,"&gt;"&amp;I136)=0,"",SMALL($G136:$T136,COUNTIF($G136:$T136,"&lt;="&amp;I136)+1)-I136)))</f>
        <v/>
      </c>
      <c r="AG136" t="str">
        <f>IF(OR($B136="",NOT(ISNUMBER(J136))),"",IF(COUNTIF(K136:$T136,J136)&gt;0,0,IF(COUNTIF($G136:$T136,"&gt;"&amp;J136)=0,"",SMALL($G136:$T136,COUNTIF($G136:$T136,"&lt;="&amp;J136)+1)-J136)))</f>
        <v/>
      </c>
      <c r="AH136" t="str">
        <f>IF(OR($B136="",NOT(ISNUMBER(K136))),"",IF(COUNTIF(L136:$T136,K136)&gt;0,0,IF(COUNTIF($G136:$T136,"&gt;"&amp;K136)=0,"",SMALL($G136:$T136,COUNTIF($G136:$T136,"&lt;="&amp;K136)+1)-K136)))</f>
        <v/>
      </c>
      <c r="AI136" t="str">
        <f>IF(OR($B136="",NOT(ISNUMBER(L136))),"",IF(COUNTIF(M136:$T136,L136)&gt;0,0,IF(COUNTIF($G136:$T136,"&gt;"&amp;L136)=0,"",SMALL($G136:$T136,COUNTIF($G136:$T136,"&lt;="&amp;L136)+1)-L136)))</f>
        <v/>
      </c>
      <c r="AJ136">
        <f>IF(OR($B136="",NOT(ISNUMBER(M136))),"",IF(COUNTIF(N136:$T136,M136)&gt;0,0,IF(COUNTIF($G136:$T136,"&gt;"&amp;M136)=0,"",SMALL($G136:$T136,COUNTIF($G136:$T136,"&lt;="&amp;M136)+1)-M136)))</f>
        <v>2</v>
      </c>
      <c r="AK136">
        <f>IF(OR($B136="",NOT(ISNUMBER(N136))),"",IF(COUNTIF(O136:$T136,N136)&gt;0,0,IF(COUNTIF($G136:$T136,"&gt;"&amp;N136)=0,"",SMALL($G136:$T136,COUNTIF($G136:$T136,"&lt;="&amp;N136)+1)-N136)))</f>
        <v>8</v>
      </c>
      <c r="AL136" t="str">
        <f>IF(OR($B136="",NOT(ISNUMBER(O136))),"",IF(COUNTIF(P136:$T136,O136)&gt;0,0,IF(COUNTIF($G136:$T136,"&gt;"&amp;O136)=0,"",SMALL($G136:$T136,COUNTIF($G136:$T136,"&lt;="&amp;O136)+1)-O136)))</f>
        <v/>
      </c>
      <c r="AM136" t="str">
        <f>IF(OR($B136="",NOT(ISNUMBER(P136))),"",IF(COUNTIF(Q136:$T136,P136)&gt;0,0,IF(COUNTIF($G136:$T136,"&gt;"&amp;P136)=0,"",SMALL($G136:$T136,COUNTIF($G136:$T136,"&lt;="&amp;P136)+1)-P136)))</f>
        <v/>
      </c>
      <c r="AN136" t="str">
        <f>IF(OR($B136="",NOT(ISNUMBER(Q136))),"",IF(COUNTIF(R136:$T136,Q136)&gt;0,0,IF(COUNTIF($G136:$T136,"&gt;"&amp;Q136)=0,"",SMALL($G136:$T136,COUNTIF($G136:$T136,"&lt;="&amp;Q136)+1)-Q136)))</f>
        <v/>
      </c>
      <c r="AO136" t="str">
        <f>IF(OR($B136="",NOT(ISNUMBER(R136))),"",IF(COUNTIF(S136:$T136,R136)&gt;0,0,IF(COUNTIF($G136:$T136,"&gt;"&amp;R136)=0,"",SMALL($G136:$T136,COUNTIF($G136:$T136,"&lt;="&amp;R136)+1)-R136)))</f>
        <v/>
      </c>
      <c r="AP136">
        <f t="shared" ca="1" si="37"/>
        <v>0</v>
      </c>
      <c r="AQ136" s="25" t="str">
        <f t="shared" si="38"/>
        <v/>
      </c>
      <c r="AR136" s="25" t="str">
        <f t="shared" si="39"/>
        <v/>
      </c>
      <c r="AS136" s="25" t="str">
        <f t="shared" si="40"/>
        <v/>
      </c>
      <c r="AT136" s="25" t="str">
        <f t="shared" si="41"/>
        <v/>
      </c>
      <c r="AU136" s="25" t="str">
        <f t="shared" si="42"/>
        <v/>
      </c>
      <c r="AV136" s="25" t="str">
        <f t="shared" si="43"/>
        <v/>
      </c>
      <c r="AW136" s="25">
        <f t="shared" si="44"/>
        <v>46296</v>
      </c>
      <c r="AX136" s="25">
        <f t="shared" si="45"/>
        <v>46304</v>
      </c>
      <c r="AY136" s="25" t="str">
        <f t="shared" si="46"/>
        <v/>
      </c>
      <c r="AZ136" s="25" t="str">
        <f t="shared" si="47"/>
        <v/>
      </c>
      <c r="BA136" s="25" t="str">
        <f t="shared" si="48"/>
        <v/>
      </c>
      <c r="BB136" s="25" t="str">
        <f t="shared" si="49"/>
        <v/>
      </c>
      <c r="BC136" s="25">
        <f t="shared" si="50"/>
        <v>46304</v>
      </c>
    </row>
    <row r="137" spans="1:55" x14ac:dyDescent="0.25">
      <c r="A137" s="151">
        <f t="shared" si="34"/>
        <v>135</v>
      </c>
      <c r="B137" s="151" t="s">
        <v>259</v>
      </c>
      <c r="C137" s="152" t="s">
        <v>163</v>
      </c>
      <c r="D137" s="151">
        <f t="shared" si="35"/>
        <v>1</v>
      </c>
      <c r="E137" s="151" t="s">
        <v>61</v>
      </c>
      <c r="F137" s="173">
        <v>46293</v>
      </c>
      <c r="G137" s="173"/>
      <c r="H137" s="173"/>
      <c r="I137" s="173">
        <v>46293</v>
      </c>
      <c r="J137" s="173">
        <v>46294</v>
      </c>
      <c r="K137" s="173"/>
      <c r="L137" s="173"/>
      <c r="M137" s="173"/>
      <c r="N137" s="173"/>
      <c r="O137" s="173"/>
      <c r="P137" s="173"/>
      <c r="Q137" s="173"/>
      <c r="R137" s="173"/>
      <c r="S137" s="173"/>
      <c r="T137" s="174">
        <v>46294</v>
      </c>
      <c r="U137" s="151"/>
      <c r="V137" s="152"/>
      <c r="W137" s="175"/>
      <c r="X137" s="173"/>
      <c r="Y137" s="173"/>
      <c r="Z137" s="176" t="str">
        <f>IF(B137="","",IF(S137&lt;&gt;"","Sevk Edildi",IF(AND(X137&lt;&gt;"",Y137=""),"Reworkte",IF(T137&lt;&gt;"","Kapandı"&amp;IF(COUNT(G137:R137)=0,""," – "&amp;LOOKUP(2,1/(G137:R137=MAX(G137:R137)),{"Tasarım","Ply Cutter","Üretim","Kalite (Üretim sonrası)","Talaşlı","Kalite (Talaşlı sonrası)","Montaj","Kalite (Montaj sonrası)","Boya","Kalite (Boya sonrası)","Yarı Mamül","KM"})),IF(COUNT(G137:R137)=0,"Başlamadı",LOOKUP(2,1/(G137:R137=MAX(G137:R137)),{"Tasarımda","Ply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37" s="177">
        <f t="shared" ca="1" si="36"/>
        <v>1</v>
      </c>
      <c r="AB137" s="175"/>
      <c r="AD137" t="str">
        <f>IF(OR($B137="",NOT(ISNUMBER(G137))),"",IF(COUNTIF(H137:$T137,G137)&gt;0,0,IF(COUNTIF($G137:$T137,"&gt;"&amp;G137)=0,"",SMALL($G137:$T137,COUNTIF($G137:$T137,"&lt;="&amp;G137)+1)-G137)))</f>
        <v/>
      </c>
      <c r="AE137" t="str">
        <f>IF(OR($B137="",NOT(ISNUMBER(H137))),"",IF(COUNTIF(I137:$T137,H137)&gt;0,0,IF(COUNTIF($G137:$T137,"&gt;"&amp;H137)=0,"",SMALL($G137:$T137,COUNTIF($G137:$T137,"&lt;="&amp;H137)+1)-H137)))</f>
        <v/>
      </c>
      <c r="AF137">
        <f>IF(OR($B137="",NOT(ISNUMBER(I137))),"",IF(COUNTIF(J137:$T137,I137)&gt;0,0,IF(COUNTIF($G137:$T137,"&gt;"&amp;I137)=0,"",SMALL($G137:$T137,COUNTIF($G137:$T137,"&lt;="&amp;I137)+1)-I137)))</f>
        <v>1</v>
      </c>
      <c r="AG137">
        <f>IF(OR($B137="",NOT(ISNUMBER(J137))),"",IF(COUNTIF(K137:$T137,J137)&gt;0,0,IF(COUNTIF($G137:$T137,"&gt;"&amp;J137)=0,"",SMALL($G137:$T137,COUNTIF($G137:$T137,"&lt;="&amp;J137)+1)-J137)))</f>
        <v>0</v>
      </c>
      <c r="AH137" t="str">
        <f>IF(OR($B137="",NOT(ISNUMBER(K137))),"",IF(COUNTIF(L137:$T137,K137)&gt;0,0,IF(COUNTIF($G137:$T137,"&gt;"&amp;K137)=0,"",SMALL($G137:$T137,COUNTIF($G137:$T137,"&lt;="&amp;K137)+1)-K137)))</f>
        <v/>
      </c>
      <c r="AI137" t="str">
        <f>IF(OR($B137="",NOT(ISNUMBER(L137))),"",IF(COUNTIF(M137:$T137,L137)&gt;0,0,IF(COUNTIF($G137:$T137,"&gt;"&amp;L137)=0,"",SMALL($G137:$T137,COUNTIF($G137:$T137,"&lt;="&amp;L137)+1)-L137)))</f>
        <v/>
      </c>
      <c r="AJ137" t="str">
        <f>IF(OR($B137="",NOT(ISNUMBER(M137))),"",IF(COUNTIF(N137:$T137,M137)&gt;0,0,IF(COUNTIF($G137:$T137,"&gt;"&amp;M137)=0,"",SMALL($G137:$T137,COUNTIF($G137:$T137,"&lt;="&amp;M137)+1)-M137)))</f>
        <v/>
      </c>
      <c r="AK137" t="str">
        <f>IF(OR($B137="",NOT(ISNUMBER(N137))),"",IF(COUNTIF(O137:$T137,N137)&gt;0,0,IF(COUNTIF($G137:$T137,"&gt;"&amp;N137)=0,"",SMALL($G137:$T137,COUNTIF($G137:$T137,"&lt;="&amp;N137)+1)-N137)))</f>
        <v/>
      </c>
      <c r="AL137" t="str">
        <f>IF(OR($B137="",NOT(ISNUMBER(O137))),"",IF(COUNTIF(P137:$T137,O137)&gt;0,0,IF(COUNTIF($G137:$T137,"&gt;"&amp;O137)=0,"",SMALL($G137:$T137,COUNTIF($G137:$T137,"&lt;="&amp;O137)+1)-O137)))</f>
        <v/>
      </c>
      <c r="AM137" t="str">
        <f>IF(OR($B137="",NOT(ISNUMBER(P137))),"",IF(COUNTIF(Q137:$T137,P137)&gt;0,0,IF(COUNTIF($G137:$T137,"&gt;"&amp;P137)=0,"",SMALL($G137:$T137,COUNTIF($G137:$T137,"&lt;="&amp;P137)+1)-P137)))</f>
        <v/>
      </c>
      <c r="AN137" t="str">
        <f>IF(OR($B137="",NOT(ISNUMBER(Q137))),"",IF(COUNTIF(R137:$T137,Q137)&gt;0,0,IF(COUNTIF($G137:$T137,"&gt;"&amp;Q137)=0,"",SMALL($G137:$T137,COUNTIF($G137:$T137,"&lt;="&amp;Q137)+1)-Q137)))</f>
        <v/>
      </c>
      <c r="AO137" t="str">
        <f>IF(OR($B137="",NOT(ISNUMBER(R137))),"",IF(COUNTIF(S137:$T137,R137)&gt;0,0,IF(COUNTIF($G137:$T137,"&gt;"&amp;R137)=0,"",SMALL($G137:$T137,COUNTIF($G137:$T137,"&lt;="&amp;R137)+1)-R137)))</f>
        <v/>
      </c>
      <c r="AP137">
        <f t="shared" ca="1" si="37"/>
        <v>0</v>
      </c>
      <c r="AQ137" s="25" t="str">
        <f t="shared" si="38"/>
        <v/>
      </c>
      <c r="AR137" s="25" t="str">
        <f t="shared" si="39"/>
        <v/>
      </c>
      <c r="AS137" s="25">
        <f t="shared" si="40"/>
        <v>46294</v>
      </c>
      <c r="AT137" s="25">
        <f t="shared" si="41"/>
        <v>46294</v>
      </c>
      <c r="AU137" s="25" t="str">
        <f t="shared" si="42"/>
        <v/>
      </c>
      <c r="AV137" s="25" t="str">
        <f t="shared" si="43"/>
        <v/>
      </c>
      <c r="AW137" s="25" t="str">
        <f t="shared" si="44"/>
        <v/>
      </c>
      <c r="AX137" s="25" t="str">
        <f t="shared" si="45"/>
        <v/>
      </c>
      <c r="AY137" s="25" t="str">
        <f t="shared" si="46"/>
        <v/>
      </c>
      <c r="AZ137" s="25" t="str">
        <f t="shared" si="47"/>
        <v/>
      </c>
      <c r="BA137" s="25" t="str">
        <f t="shared" si="48"/>
        <v/>
      </c>
      <c r="BB137" s="25" t="str">
        <f t="shared" si="49"/>
        <v/>
      </c>
      <c r="BC137" s="25">
        <f t="shared" si="50"/>
        <v>46294</v>
      </c>
    </row>
    <row r="138" spans="1:55" x14ac:dyDescent="0.25">
      <c r="A138" s="151">
        <f t="shared" si="34"/>
        <v>136</v>
      </c>
      <c r="B138" s="151" t="s">
        <v>260</v>
      </c>
      <c r="C138" s="152" t="s">
        <v>90</v>
      </c>
      <c r="D138" s="151">
        <f t="shared" si="35"/>
        <v>1</v>
      </c>
      <c r="E138" s="151" t="s">
        <v>61</v>
      </c>
      <c r="F138" s="173">
        <v>46293</v>
      </c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51"/>
      <c r="U138" s="151"/>
      <c r="V138" s="152"/>
      <c r="W138" s="175"/>
      <c r="X138" s="173"/>
      <c r="Y138" s="173"/>
      <c r="Z138" s="176" t="str">
        <f>IF(B138="","",IF(S138&lt;&gt;"","Sevk Edildi",IF(AND(X138&lt;&gt;"",Y138=""),"Reworkte",IF(T138&lt;&gt;"","Kapandı"&amp;IF(COUNT(G138:R138)=0,""," – "&amp;LOOKUP(2,1/(G138:R138=MAX(G138:R138)),{"Tasarım","Ply Cutter","Üretim","Kalite (Üretim sonrası)","Talaşlı","Kalite (Talaşlı sonrası)","Montaj","Kalite (Montaj sonrası)","Boya","Kalite (Boya sonrası)","Yarı Mamül","KM"})),IF(COUNT(G138:R138)=0,"Başlamadı",LOOKUP(2,1/(G138:R138=MAX(G138:R138)),{"Tasarımda","Ply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138" s="177">
        <f t="shared" ca="1" si="36"/>
        <v>14</v>
      </c>
      <c r="AB138" s="175" t="s">
        <v>261</v>
      </c>
      <c r="AD138" t="str">
        <f>IF(OR($B138="",NOT(ISNUMBER(G138))),"",IF(COUNTIF(H138:$T138,G138)&gt;0,0,IF(COUNTIF($G138:$T138,"&gt;"&amp;G138)=0,"",SMALL($G138:$T138,COUNTIF($G138:$T138,"&lt;="&amp;G138)+1)-G138)))</f>
        <v/>
      </c>
      <c r="AE138" t="str">
        <f>IF(OR($B138="",NOT(ISNUMBER(H138))),"",IF(COUNTIF(I138:$T138,H138)&gt;0,0,IF(COUNTIF($G138:$T138,"&gt;"&amp;H138)=0,"",SMALL($G138:$T138,COUNTIF($G138:$T138,"&lt;="&amp;H138)+1)-H138)))</f>
        <v/>
      </c>
      <c r="AF138" t="str">
        <f>IF(OR($B138="",NOT(ISNUMBER(I138))),"",IF(COUNTIF(J138:$T138,I138)&gt;0,0,IF(COUNTIF($G138:$T138,"&gt;"&amp;I138)=0,"",SMALL($G138:$T138,COUNTIF($G138:$T138,"&lt;="&amp;I138)+1)-I138)))</f>
        <v/>
      </c>
      <c r="AG138" t="str">
        <f>IF(OR($B138="",NOT(ISNUMBER(J138))),"",IF(COUNTIF(K138:$T138,J138)&gt;0,0,IF(COUNTIF($G138:$T138,"&gt;"&amp;J138)=0,"",SMALL($G138:$T138,COUNTIF($G138:$T138,"&lt;="&amp;J138)+1)-J138)))</f>
        <v/>
      </c>
      <c r="AH138" t="str">
        <f>IF(OR($B138="",NOT(ISNUMBER(K138))),"",IF(COUNTIF(L138:$T138,K138)&gt;0,0,IF(COUNTIF($G138:$T138,"&gt;"&amp;K138)=0,"",SMALL($G138:$T138,COUNTIF($G138:$T138,"&lt;="&amp;K138)+1)-K138)))</f>
        <v/>
      </c>
      <c r="AI138" t="str">
        <f>IF(OR($B138="",NOT(ISNUMBER(L138))),"",IF(COUNTIF(M138:$T138,L138)&gt;0,0,IF(COUNTIF($G138:$T138,"&gt;"&amp;L138)=0,"",SMALL($G138:$T138,COUNTIF($G138:$T138,"&lt;="&amp;L138)+1)-L138)))</f>
        <v/>
      </c>
      <c r="AJ138" t="str">
        <f>IF(OR($B138="",NOT(ISNUMBER(M138))),"",IF(COUNTIF(N138:$T138,M138)&gt;0,0,IF(COUNTIF($G138:$T138,"&gt;"&amp;M138)=0,"",SMALL($G138:$T138,COUNTIF($G138:$T138,"&lt;="&amp;M138)+1)-M138)))</f>
        <v/>
      </c>
      <c r="AK138" t="str">
        <f>IF(OR($B138="",NOT(ISNUMBER(N138))),"",IF(COUNTIF(O138:$T138,N138)&gt;0,0,IF(COUNTIF($G138:$T138,"&gt;"&amp;N138)=0,"",SMALL($G138:$T138,COUNTIF($G138:$T138,"&lt;="&amp;N138)+1)-N138)))</f>
        <v/>
      </c>
      <c r="AL138" t="str">
        <f>IF(OR($B138="",NOT(ISNUMBER(O138))),"",IF(COUNTIF(P138:$T138,O138)&gt;0,0,IF(COUNTIF($G138:$T138,"&gt;"&amp;O138)=0,"",SMALL($G138:$T138,COUNTIF($G138:$T138,"&lt;="&amp;O138)+1)-O138)))</f>
        <v/>
      </c>
      <c r="AM138" t="str">
        <f>IF(OR($B138="",NOT(ISNUMBER(P138))),"",IF(COUNTIF(Q138:$T138,P138)&gt;0,0,IF(COUNTIF($G138:$T138,"&gt;"&amp;P138)=0,"",SMALL($G138:$T138,COUNTIF($G138:$T138,"&lt;="&amp;P138)+1)-P138)))</f>
        <v/>
      </c>
      <c r="AN138" t="str">
        <f>IF(OR($B138="",NOT(ISNUMBER(Q138))),"",IF(COUNTIF(R138:$T138,Q138)&gt;0,0,IF(COUNTIF($G138:$T138,"&gt;"&amp;Q138)=0,"",SMALL($G138:$T138,COUNTIF($G138:$T138,"&lt;="&amp;Q138)+1)-Q138)))</f>
        <v/>
      </c>
      <c r="AO138" t="str">
        <f>IF(OR($B138="",NOT(ISNUMBER(R138))),"",IF(COUNTIF(S138:$T138,R138)&gt;0,0,IF(COUNTIF($G138:$T138,"&gt;"&amp;R138)=0,"",SMALL($G138:$T138,COUNTIF($G138:$T138,"&lt;="&amp;R138)+1)-R138)))</f>
        <v/>
      </c>
      <c r="AP138">
        <f t="shared" ca="1" si="37"/>
        <v>0</v>
      </c>
      <c r="AQ138" s="25" t="str">
        <f t="shared" si="38"/>
        <v/>
      </c>
      <c r="AR138" s="25" t="str">
        <f t="shared" si="39"/>
        <v/>
      </c>
      <c r="AS138" s="25" t="str">
        <f t="shared" si="40"/>
        <v/>
      </c>
      <c r="AT138" s="25" t="str">
        <f t="shared" si="41"/>
        <v/>
      </c>
      <c r="AU138" s="25" t="str">
        <f t="shared" si="42"/>
        <v/>
      </c>
      <c r="AV138" s="25" t="str">
        <f t="shared" si="43"/>
        <v/>
      </c>
      <c r="AW138" s="25" t="str">
        <f t="shared" si="44"/>
        <v/>
      </c>
      <c r="AX138" s="25" t="str">
        <f t="shared" si="45"/>
        <v/>
      </c>
      <c r="AY138" s="25" t="str">
        <f t="shared" si="46"/>
        <v/>
      </c>
      <c r="AZ138" s="25" t="str">
        <f t="shared" si="47"/>
        <v/>
      </c>
      <c r="BA138" s="25" t="str">
        <f t="shared" si="48"/>
        <v/>
      </c>
      <c r="BB138" s="25" t="str">
        <f t="shared" si="49"/>
        <v/>
      </c>
      <c r="BC138" s="25" t="str">
        <f t="shared" si="50"/>
        <v/>
      </c>
    </row>
    <row r="139" spans="1:55" x14ac:dyDescent="0.25">
      <c r="A139" s="151">
        <f t="shared" si="34"/>
        <v>137</v>
      </c>
      <c r="B139" s="151" t="s">
        <v>262</v>
      </c>
      <c r="C139" s="152" t="s">
        <v>92</v>
      </c>
      <c r="D139" s="151">
        <f t="shared" si="35"/>
        <v>2</v>
      </c>
      <c r="E139" s="151" t="s">
        <v>61</v>
      </c>
      <c r="F139" s="173">
        <v>46293</v>
      </c>
      <c r="G139" s="173"/>
      <c r="H139" s="173"/>
      <c r="I139" s="173">
        <v>46293</v>
      </c>
      <c r="J139" s="173">
        <v>46294</v>
      </c>
      <c r="K139" s="173"/>
      <c r="L139" s="173"/>
      <c r="M139" s="173"/>
      <c r="N139" s="173"/>
      <c r="O139" s="173"/>
      <c r="P139" s="173"/>
      <c r="Q139" s="173"/>
      <c r="R139" s="173"/>
      <c r="S139" s="173"/>
      <c r="T139" s="174">
        <v>46294</v>
      </c>
      <c r="U139" s="151"/>
      <c r="V139" s="152"/>
      <c r="W139" s="175"/>
      <c r="X139" s="173"/>
      <c r="Y139" s="173"/>
      <c r="Z139" s="176" t="str">
        <f>IF(B139="","",IF(S139&lt;&gt;"","Sevk Edildi",IF(AND(X139&lt;&gt;"",Y139=""),"Reworkte",IF(T139&lt;&gt;"","Kapandı"&amp;IF(COUNT(G139:R139)=0,""," – "&amp;LOOKUP(2,1/(G139:R139=MAX(G139:R139)),{"Tasarım","Ply Cutter","Üretim","Kalite (Üretim sonrası)","Talaşlı","Kalite (Talaşlı sonrası)","Montaj","Kalite (Montaj sonrası)","Boya","Kalite (Boya sonrası)","Yarı Mamül","KM"})),IF(COUNT(G139:R139)=0,"Başlamadı",LOOKUP(2,1/(G139:R139=MAX(G139:R139)),{"Tasarımda","Ply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39" s="177">
        <f t="shared" ca="1" si="36"/>
        <v>1</v>
      </c>
      <c r="AB139" s="175"/>
      <c r="AD139" t="str">
        <f>IF(OR($B139="",NOT(ISNUMBER(G139))),"",IF(COUNTIF(H139:$T139,G139)&gt;0,0,IF(COUNTIF($G139:$T139,"&gt;"&amp;G139)=0,"",SMALL($G139:$T139,COUNTIF($G139:$T139,"&lt;="&amp;G139)+1)-G139)))</f>
        <v/>
      </c>
      <c r="AE139" t="str">
        <f>IF(OR($B139="",NOT(ISNUMBER(H139))),"",IF(COUNTIF(I139:$T139,H139)&gt;0,0,IF(COUNTIF($G139:$T139,"&gt;"&amp;H139)=0,"",SMALL($G139:$T139,COUNTIF($G139:$T139,"&lt;="&amp;H139)+1)-H139)))</f>
        <v/>
      </c>
      <c r="AF139">
        <f>IF(OR($B139="",NOT(ISNUMBER(I139))),"",IF(COUNTIF(J139:$T139,I139)&gt;0,0,IF(COUNTIF($G139:$T139,"&gt;"&amp;I139)=0,"",SMALL($G139:$T139,COUNTIF($G139:$T139,"&lt;="&amp;I139)+1)-I139)))</f>
        <v>1</v>
      </c>
      <c r="AG139">
        <f>IF(OR($B139="",NOT(ISNUMBER(J139))),"",IF(COUNTIF(K139:$T139,J139)&gt;0,0,IF(COUNTIF($G139:$T139,"&gt;"&amp;J139)=0,"",SMALL($G139:$T139,COUNTIF($G139:$T139,"&lt;="&amp;J139)+1)-J139)))</f>
        <v>0</v>
      </c>
      <c r="AH139" t="str">
        <f>IF(OR($B139="",NOT(ISNUMBER(K139))),"",IF(COUNTIF(L139:$T139,K139)&gt;0,0,IF(COUNTIF($G139:$T139,"&gt;"&amp;K139)=0,"",SMALL($G139:$T139,COUNTIF($G139:$T139,"&lt;="&amp;K139)+1)-K139)))</f>
        <v/>
      </c>
      <c r="AI139" t="str">
        <f>IF(OR($B139="",NOT(ISNUMBER(L139))),"",IF(COUNTIF(M139:$T139,L139)&gt;0,0,IF(COUNTIF($G139:$T139,"&gt;"&amp;L139)=0,"",SMALL($G139:$T139,COUNTIF($G139:$T139,"&lt;="&amp;L139)+1)-L139)))</f>
        <v/>
      </c>
      <c r="AJ139" t="str">
        <f>IF(OR($B139="",NOT(ISNUMBER(M139))),"",IF(COUNTIF(N139:$T139,M139)&gt;0,0,IF(COUNTIF($G139:$T139,"&gt;"&amp;M139)=0,"",SMALL($G139:$T139,COUNTIF($G139:$T139,"&lt;="&amp;M139)+1)-M139)))</f>
        <v/>
      </c>
      <c r="AK139" t="str">
        <f>IF(OR($B139="",NOT(ISNUMBER(N139))),"",IF(COUNTIF(O139:$T139,N139)&gt;0,0,IF(COUNTIF($G139:$T139,"&gt;"&amp;N139)=0,"",SMALL($G139:$T139,COUNTIF($G139:$T139,"&lt;="&amp;N139)+1)-N139)))</f>
        <v/>
      </c>
      <c r="AL139" t="str">
        <f>IF(OR($B139="",NOT(ISNUMBER(O139))),"",IF(COUNTIF(P139:$T139,O139)&gt;0,0,IF(COUNTIF($G139:$T139,"&gt;"&amp;O139)=0,"",SMALL($G139:$T139,COUNTIF($G139:$T139,"&lt;="&amp;O139)+1)-O139)))</f>
        <v/>
      </c>
      <c r="AM139" t="str">
        <f>IF(OR($B139="",NOT(ISNUMBER(P139))),"",IF(COUNTIF(Q139:$T139,P139)&gt;0,0,IF(COUNTIF($G139:$T139,"&gt;"&amp;P139)=0,"",SMALL($G139:$T139,COUNTIF($G139:$T139,"&lt;="&amp;P139)+1)-P139)))</f>
        <v/>
      </c>
      <c r="AN139" t="str">
        <f>IF(OR($B139="",NOT(ISNUMBER(Q139))),"",IF(COUNTIF(R139:$T139,Q139)&gt;0,0,IF(COUNTIF($G139:$T139,"&gt;"&amp;Q139)=0,"",SMALL($G139:$T139,COUNTIF($G139:$T139,"&lt;="&amp;Q139)+1)-Q139)))</f>
        <v/>
      </c>
      <c r="AO139" t="str">
        <f>IF(OR($B139="",NOT(ISNUMBER(R139))),"",IF(COUNTIF(S139:$T139,R139)&gt;0,0,IF(COUNTIF($G139:$T139,"&gt;"&amp;R139)=0,"",SMALL($G139:$T139,COUNTIF($G139:$T139,"&lt;="&amp;R139)+1)-R139)))</f>
        <v/>
      </c>
      <c r="AP139">
        <f t="shared" ca="1" si="37"/>
        <v>0</v>
      </c>
      <c r="AQ139" s="25" t="str">
        <f t="shared" si="38"/>
        <v/>
      </c>
      <c r="AR139" s="25" t="str">
        <f t="shared" si="39"/>
        <v/>
      </c>
      <c r="AS139" s="25">
        <f t="shared" si="40"/>
        <v>46294</v>
      </c>
      <c r="AT139" s="25">
        <f t="shared" si="41"/>
        <v>46294</v>
      </c>
      <c r="AU139" s="25" t="str">
        <f t="shared" si="42"/>
        <v/>
      </c>
      <c r="AV139" s="25" t="str">
        <f t="shared" si="43"/>
        <v/>
      </c>
      <c r="AW139" s="25" t="str">
        <f t="shared" si="44"/>
        <v/>
      </c>
      <c r="AX139" s="25" t="str">
        <f t="shared" si="45"/>
        <v/>
      </c>
      <c r="AY139" s="25" t="str">
        <f t="shared" si="46"/>
        <v/>
      </c>
      <c r="AZ139" s="25" t="str">
        <f t="shared" si="47"/>
        <v/>
      </c>
      <c r="BA139" s="25" t="str">
        <f t="shared" si="48"/>
        <v/>
      </c>
      <c r="BB139" s="25" t="str">
        <f t="shared" si="49"/>
        <v/>
      </c>
      <c r="BC139" s="25">
        <f t="shared" si="50"/>
        <v>46294</v>
      </c>
    </row>
    <row r="140" spans="1:55" x14ac:dyDescent="0.25">
      <c r="A140" s="151">
        <f t="shared" si="34"/>
        <v>138</v>
      </c>
      <c r="B140" s="151" t="s">
        <v>263</v>
      </c>
      <c r="C140" s="152" t="s">
        <v>94</v>
      </c>
      <c r="D140" s="151">
        <f t="shared" si="35"/>
        <v>1</v>
      </c>
      <c r="E140" s="151" t="s">
        <v>61</v>
      </c>
      <c r="F140" s="173">
        <v>46293</v>
      </c>
      <c r="G140" s="173"/>
      <c r="H140" s="173"/>
      <c r="I140" s="173">
        <v>46293</v>
      </c>
      <c r="J140" s="173">
        <v>46294</v>
      </c>
      <c r="K140" s="173"/>
      <c r="L140" s="173"/>
      <c r="M140" s="173"/>
      <c r="N140" s="173"/>
      <c r="O140" s="173"/>
      <c r="P140" s="173"/>
      <c r="Q140" s="173">
        <v>46296</v>
      </c>
      <c r="R140" s="173"/>
      <c r="S140" s="173"/>
      <c r="T140" s="174">
        <v>46296</v>
      </c>
      <c r="U140" s="151"/>
      <c r="V140" s="152"/>
      <c r="W140" s="175"/>
      <c r="X140" s="173"/>
      <c r="Y140" s="173"/>
      <c r="Z140" s="176" t="str">
        <f>IF(B140="","",IF(S140&lt;&gt;"","Sevk Edildi",IF(AND(X140&lt;&gt;"",Y140=""),"Reworkte",IF(T140&lt;&gt;"","Kapandı"&amp;IF(COUNT(G140:R140)=0,""," – "&amp;LOOKUP(2,1/(G140:R140=MAX(G140:R140)),{"Tasarım","Ply Cutter","Üretim","Kalite (Üretim sonrası)","Talaşlı","Kalite (Talaşlı sonrası)","Montaj","Kalite (Montaj sonrası)","Boya","Kalite (Boya sonrası)","Yarı Mamül","KM"})),IF(COUNT(G140:R140)=0,"Başlamadı",LOOKUP(2,1/(G140:R140=MAX(G140:R140)),{"Tasarımda","Ply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40" s="177">
        <f t="shared" ca="1" si="36"/>
        <v>3</v>
      </c>
      <c r="AB140" s="175"/>
      <c r="AD140" t="str">
        <f>IF(OR($B140="",NOT(ISNUMBER(G140))),"",IF(COUNTIF(H140:$T140,G140)&gt;0,0,IF(COUNTIF($G140:$T140,"&gt;"&amp;G140)=0,"",SMALL($G140:$T140,COUNTIF($G140:$T140,"&lt;="&amp;G140)+1)-G140)))</f>
        <v/>
      </c>
      <c r="AE140" t="str">
        <f>IF(OR($B140="",NOT(ISNUMBER(H140))),"",IF(COUNTIF(I140:$T140,H140)&gt;0,0,IF(COUNTIF($G140:$T140,"&gt;"&amp;H140)=0,"",SMALL($G140:$T140,COUNTIF($G140:$T140,"&lt;="&amp;H140)+1)-H140)))</f>
        <v/>
      </c>
      <c r="AF140">
        <f>IF(OR($B140="",NOT(ISNUMBER(I140))),"",IF(COUNTIF(J140:$T140,I140)&gt;0,0,IF(COUNTIF($G140:$T140,"&gt;"&amp;I140)=0,"",SMALL($G140:$T140,COUNTIF($G140:$T140,"&lt;="&amp;I140)+1)-I140)))</f>
        <v>1</v>
      </c>
      <c r="AG140">
        <f>IF(OR($B140="",NOT(ISNUMBER(J140))),"",IF(COUNTIF(K140:$T140,J140)&gt;0,0,IF(COUNTIF($G140:$T140,"&gt;"&amp;J140)=0,"",SMALL($G140:$T140,COUNTIF($G140:$T140,"&lt;="&amp;J140)+1)-J140)))</f>
        <v>2</v>
      </c>
      <c r="AH140" t="str">
        <f>IF(OR($B140="",NOT(ISNUMBER(K140))),"",IF(COUNTIF(L140:$T140,K140)&gt;0,0,IF(COUNTIF($G140:$T140,"&gt;"&amp;K140)=0,"",SMALL($G140:$T140,COUNTIF($G140:$T140,"&lt;="&amp;K140)+1)-K140)))</f>
        <v/>
      </c>
      <c r="AI140" t="str">
        <f>IF(OR($B140="",NOT(ISNUMBER(L140))),"",IF(COUNTIF(M140:$T140,L140)&gt;0,0,IF(COUNTIF($G140:$T140,"&gt;"&amp;L140)=0,"",SMALL($G140:$T140,COUNTIF($G140:$T140,"&lt;="&amp;L140)+1)-L140)))</f>
        <v/>
      </c>
      <c r="AJ140" t="str">
        <f>IF(OR($B140="",NOT(ISNUMBER(M140))),"",IF(COUNTIF(N140:$T140,M140)&gt;0,0,IF(COUNTIF($G140:$T140,"&gt;"&amp;M140)=0,"",SMALL($G140:$T140,COUNTIF($G140:$T140,"&lt;="&amp;M140)+1)-M140)))</f>
        <v/>
      </c>
      <c r="AK140" t="str">
        <f>IF(OR($B140="",NOT(ISNUMBER(N140))),"",IF(COUNTIF(O140:$T140,N140)&gt;0,0,IF(COUNTIF($G140:$T140,"&gt;"&amp;N140)=0,"",SMALL($G140:$T140,COUNTIF($G140:$T140,"&lt;="&amp;N140)+1)-N140)))</f>
        <v/>
      </c>
      <c r="AL140" t="str">
        <f>IF(OR($B140="",NOT(ISNUMBER(O140))),"",IF(COUNTIF(P140:$T140,O140)&gt;0,0,IF(COUNTIF($G140:$T140,"&gt;"&amp;O140)=0,"",SMALL($G140:$T140,COUNTIF($G140:$T140,"&lt;="&amp;O140)+1)-O140)))</f>
        <v/>
      </c>
      <c r="AM140" t="str">
        <f>IF(OR($B140="",NOT(ISNUMBER(P140))),"",IF(COUNTIF(Q140:$T140,P140)&gt;0,0,IF(COUNTIF($G140:$T140,"&gt;"&amp;P140)=0,"",SMALL($G140:$T140,COUNTIF($G140:$T140,"&lt;="&amp;P140)+1)-P140)))</f>
        <v/>
      </c>
      <c r="AN140">
        <f>IF(OR($B140="",NOT(ISNUMBER(Q140))),"",IF(COUNTIF(R140:$T140,Q140)&gt;0,0,IF(COUNTIF($G140:$T140,"&gt;"&amp;Q140)=0,"",SMALL($G140:$T140,COUNTIF($G140:$T140,"&lt;="&amp;Q140)+1)-Q140)))</f>
        <v>0</v>
      </c>
      <c r="AO140" t="str">
        <f>IF(OR($B140="",NOT(ISNUMBER(R140))),"",IF(COUNTIF(S140:$T140,R140)&gt;0,0,IF(COUNTIF($G140:$T140,"&gt;"&amp;R140)=0,"",SMALL($G140:$T140,COUNTIF($G140:$T140,"&lt;="&amp;R140)+1)-R140)))</f>
        <v/>
      </c>
      <c r="AP140">
        <f t="shared" ca="1" si="37"/>
        <v>0</v>
      </c>
      <c r="AQ140" s="25" t="str">
        <f t="shared" si="38"/>
        <v/>
      </c>
      <c r="AR140" s="25" t="str">
        <f t="shared" si="39"/>
        <v/>
      </c>
      <c r="AS140" s="25">
        <f t="shared" si="40"/>
        <v>46294</v>
      </c>
      <c r="AT140" s="25">
        <f t="shared" si="41"/>
        <v>46296</v>
      </c>
      <c r="AU140" s="25" t="str">
        <f t="shared" si="42"/>
        <v/>
      </c>
      <c r="AV140" s="25" t="str">
        <f t="shared" si="43"/>
        <v/>
      </c>
      <c r="AW140" s="25" t="str">
        <f t="shared" si="44"/>
        <v/>
      </c>
      <c r="AX140" s="25" t="str">
        <f t="shared" si="45"/>
        <v/>
      </c>
      <c r="AY140" s="25" t="str">
        <f t="shared" si="46"/>
        <v/>
      </c>
      <c r="AZ140" s="25" t="str">
        <f t="shared" si="47"/>
        <v/>
      </c>
      <c r="BA140" s="25">
        <f t="shared" si="48"/>
        <v>46296</v>
      </c>
      <c r="BB140" s="25" t="str">
        <f t="shared" si="49"/>
        <v/>
      </c>
      <c r="BC140" s="25">
        <f t="shared" si="50"/>
        <v>46296</v>
      </c>
    </row>
    <row r="141" spans="1:55" x14ac:dyDescent="0.25">
      <c r="A141" s="151">
        <f t="shared" si="34"/>
        <v>139</v>
      </c>
      <c r="B141" s="151" t="s">
        <v>264</v>
      </c>
      <c r="C141" s="152" t="s">
        <v>94</v>
      </c>
      <c r="D141" s="151">
        <f t="shared" si="35"/>
        <v>1</v>
      </c>
      <c r="E141" s="151" t="s">
        <v>61</v>
      </c>
      <c r="F141" s="173">
        <v>46293</v>
      </c>
      <c r="G141" s="173"/>
      <c r="H141" s="173"/>
      <c r="I141" s="173">
        <v>46293</v>
      </c>
      <c r="J141" s="173">
        <v>46294</v>
      </c>
      <c r="K141" s="173"/>
      <c r="L141" s="173"/>
      <c r="M141" s="173"/>
      <c r="N141" s="173"/>
      <c r="O141" s="173"/>
      <c r="P141" s="173"/>
      <c r="Q141" s="173">
        <v>46295</v>
      </c>
      <c r="R141" s="173"/>
      <c r="S141" s="173"/>
      <c r="T141" s="174">
        <v>46295</v>
      </c>
      <c r="U141" s="151"/>
      <c r="V141" s="152"/>
      <c r="W141" s="175"/>
      <c r="X141" s="173"/>
      <c r="Y141" s="173"/>
      <c r="Z141" s="176" t="str">
        <f>IF(B141="","",IF(S141&lt;&gt;"","Sevk Edildi",IF(AND(X141&lt;&gt;"",Y141=""),"Reworkte",IF(T141&lt;&gt;"","Kapandı"&amp;IF(COUNT(G141:R141)=0,""," – "&amp;LOOKUP(2,1/(G141:R141=MAX(G141:R141)),{"Tasarım","Ply Cutter","Üretim","Kalite (Üretim sonrası)","Talaşlı","Kalite (Talaşlı sonrası)","Montaj","Kalite (Montaj sonrası)","Boya","Kalite (Boya sonrası)","Yarı Mamül","KM"})),IF(COUNT(G141:R141)=0,"Başlamadı",LOOKUP(2,1/(G141:R141=MAX(G141:R141)),{"Tasarımda","Ply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41" s="177">
        <f t="shared" ca="1" si="36"/>
        <v>2</v>
      </c>
      <c r="AB141" s="175"/>
      <c r="AD141" t="str">
        <f>IF(OR($B141="",NOT(ISNUMBER(G141))),"",IF(COUNTIF(H141:$T141,G141)&gt;0,0,IF(COUNTIF($G141:$T141,"&gt;"&amp;G141)=0,"",SMALL($G141:$T141,COUNTIF($G141:$T141,"&lt;="&amp;G141)+1)-G141)))</f>
        <v/>
      </c>
      <c r="AE141" t="str">
        <f>IF(OR($B141="",NOT(ISNUMBER(H141))),"",IF(COUNTIF(I141:$T141,H141)&gt;0,0,IF(COUNTIF($G141:$T141,"&gt;"&amp;H141)=0,"",SMALL($G141:$T141,COUNTIF($G141:$T141,"&lt;="&amp;H141)+1)-H141)))</f>
        <v/>
      </c>
      <c r="AF141">
        <f>IF(OR($B141="",NOT(ISNUMBER(I141))),"",IF(COUNTIF(J141:$T141,I141)&gt;0,0,IF(COUNTIF($G141:$T141,"&gt;"&amp;I141)=0,"",SMALL($G141:$T141,COUNTIF($G141:$T141,"&lt;="&amp;I141)+1)-I141)))</f>
        <v>1</v>
      </c>
      <c r="AG141">
        <f>IF(OR($B141="",NOT(ISNUMBER(J141))),"",IF(COUNTIF(K141:$T141,J141)&gt;0,0,IF(COUNTIF($G141:$T141,"&gt;"&amp;J141)=0,"",SMALL($G141:$T141,COUNTIF($G141:$T141,"&lt;="&amp;J141)+1)-J141)))</f>
        <v>1</v>
      </c>
      <c r="AH141" t="str">
        <f>IF(OR($B141="",NOT(ISNUMBER(K141))),"",IF(COUNTIF(L141:$T141,K141)&gt;0,0,IF(COUNTIF($G141:$T141,"&gt;"&amp;K141)=0,"",SMALL($G141:$T141,COUNTIF($G141:$T141,"&lt;="&amp;K141)+1)-K141)))</f>
        <v/>
      </c>
      <c r="AI141" t="str">
        <f>IF(OR($B141="",NOT(ISNUMBER(L141))),"",IF(COUNTIF(M141:$T141,L141)&gt;0,0,IF(COUNTIF($G141:$T141,"&gt;"&amp;L141)=0,"",SMALL($G141:$T141,COUNTIF($G141:$T141,"&lt;="&amp;L141)+1)-L141)))</f>
        <v/>
      </c>
      <c r="AJ141" t="str">
        <f>IF(OR($B141="",NOT(ISNUMBER(M141))),"",IF(COUNTIF(N141:$T141,M141)&gt;0,0,IF(COUNTIF($G141:$T141,"&gt;"&amp;M141)=0,"",SMALL($G141:$T141,COUNTIF($G141:$T141,"&lt;="&amp;M141)+1)-M141)))</f>
        <v/>
      </c>
      <c r="AK141" t="str">
        <f>IF(OR($B141="",NOT(ISNUMBER(N141))),"",IF(COUNTIF(O141:$T141,N141)&gt;0,0,IF(COUNTIF($G141:$T141,"&gt;"&amp;N141)=0,"",SMALL($G141:$T141,COUNTIF($G141:$T141,"&lt;="&amp;N141)+1)-N141)))</f>
        <v/>
      </c>
      <c r="AL141" t="str">
        <f>IF(OR($B141="",NOT(ISNUMBER(O141))),"",IF(COUNTIF(P141:$T141,O141)&gt;0,0,IF(COUNTIF($G141:$T141,"&gt;"&amp;O141)=0,"",SMALL($G141:$T141,COUNTIF($G141:$T141,"&lt;="&amp;O141)+1)-O141)))</f>
        <v/>
      </c>
      <c r="AM141" t="str">
        <f>IF(OR($B141="",NOT(ISNUMBER(P141))),"",IF(COUNTIF(Q141:$T141,P141)&gt;0,0,IF(COUNTIF($G141:$T141,"&gt;"&amp;P141)=0,"",SMALL($G141:$T141,COUNTIF($G141:$T141,"&lt;="&amp;P141)+1)-P141)))</f>
        <v/>
      </c>
      <c r="AN141">
        <f>IF(OR($B141="",NOT(ISNUMBER(Q141))),"",IF(COUNTIF(R141:$T141,Q141)&gt;0,0,IF(COUNTIF($G141:$T141,"&gt;"&amp;Q141)=0,"",SMALL($G141:$T141,COUNTIF($G141:$T141,"&lt;="&amp;Q141)+1)-Q141)))</f>
        <v>0</v>
      </c>
      <c r="AO141" t="str">
        <f>IF(OR($B141="",NOT(ISNUMBER(R141))),"",IF(COUNTIF(S141:$T141,R141)&gt;0,0,IF(COUNTIF($G141:$T141,"&gt;"&amp;R141)=0,"",SMALL($G141:$T141,COUNTIF($G141:$T141,"&lt;="&amp;R141)+1)-R141)))</f>
        <v/>
      </c>
      <c r="AP141">
        <f t="shared" ca="1" si="37"/>
        <v>0</v>
      </c>
      <c r="AQ141" s="25" t="str">
        <f t="shared" si="38"/>
        <v/>
      </c>
      <c r="AR141" s="25" t="str">
        <f t="shared" si="39"/>
        <v/>
      </c>
      <c r="AS141" s="25">
        <f t="shared" si="40"/>
        <v>46294</v>
      </c>
      <c r="AT141" s="25">
        <f t="shared" si="41"/>
        <v>46295</v>
      </c>
      <c r="AU141" s="25" t="str">
        <f t="shared" si="42"/>
        <v/>
      </c>
      <c r="AV141" s="25" t="str">
        <f t="shared" si="43"/>
        <v/>
      </c>
      <c r="AW141" s="25" t="str">
        <f t="shared" si="44"/>
        <v/>
      </c>
      <c r="AX141" s="25" t="str">
        <f t="shared" si="45"/>
        <v/>
      </c>
      <c r="AY141" s="25" t="str">
        <f t="shared" si="46"/>
        <v/>
      </c>
      <c r="AZ141" s="25" t="str">
        <f t="shared" si="47"/>
        <v/>
      </c>
      <c r="BA141" s="25">
        <f t="shared" si="48"/>
        <v>46295</v>
      </c>
      <c r="BB141" s="25" t="str">
        <f t="shared" si="49"/>
        <v/>
      </c>
      <c r="BC141" s="25">
        <f t="shared" si="50"/>
        <v>46295</v>
      </c>
    </row>
    <row r="142" spans="1:55" x14ac:dyDescent="0.25">
      <c r="A142" s="151">
        <f t="shared" si="34"/>
        <v>140</v>
      </c>
      <c r="B142" s="151" t="s">
        <v>265</v>
      </c>
      <c r="C142" s="152" t="s">
        <v>84</v>
      </c>
      <c r="D142" s="151">
        <f t="shared" si="35"/>
        <v>1</v>
      </c>
      <c r="E142" s="151" t="s">
        <v>61</v>
      </c>
      <c r="F142" s="173">
        <v>46293</v>
      </c>
      <c r="G142" s="173"/>
      <c r="H142" s="173"/>
      <c r="I142" s="173"/>
      <c r="J142" s="173"/>
      <c r="K142" s="173"/>
      <c r="L142" s="173"/>
      <c r="M142" s="173">
        <v>46295</v>
      </c>
      <c r="N142" s="173"/>
      <c r="O142" s="173"/>
      <c r="P142" s="173"/>
      <c r="Q142" s="173"/>
      <c r="R142" s="173"/>
      <c r="S142" s="173"/>
      <c r="T142" s="151"/>
      <c r="U142" s="151"/>
      <c r="V142" s="152"/>
      <c r="W142" s="175"/>
      <c r="X142" s="173"/>
      <c r="Y142" s="173"/>
      <c r="Z142" s="176" t="str">
        <f>IF(B142="","",IF(S142&lt;&gt;"","Sevk Edildi",IF(AND(X142&lt;&gt;"",Y142=""),"Reworkte",IF(T142&lt;&gt;"","Kapandı"&amp;IF(COUNT(G142:R142)=0,""," – "&amp;LOOKUP(2,1/(G142:R142=MAX(G142:R142)),{"Tasarım","Ply Cutter","Üretim","Kalite (Üretim sonrası)","Talaşlı","Kalite (Talaşlı sonrası)","Montaj","Kalite (Montaj sonrası)","Boya","Kalite (Boya sonrası)","Yarı Mamül","KM"})),IF(COUNT(G142:R142)=0,"Başlamadı",LOOKUP(2,1/(G142:R142=MAX(G142:R142)),{"Tasarımda","Ply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142" s="177">
        <f t="shared" ca="1" si="36"/>
        <v>14</v>
      </c>
      <c r="AB142" s="175"/>
      <c r="AD142" t="str">
        <f>IF(OR($B142="",NOT(ISNUMBER(G142))),"",IF(COUNTIF(H142:$T142,G142)&gt;0,0,IF(COUNTIF($G142:$T142,"&gt;"&amp;G142)=0,"",SMALL($G142:$T142,COUNTIF($G142:$T142,"&lt;="&amp;G142)+1)-G142)))</f>
        <v/>
      </c>
      <c r="AE142" t="str">
        <f>IF(OR($B142="",NOT(ISNUMBER(H142))),"",IF(COUNTIF(I142:$T142,H142)&gt;0,0,IF(COUNTIF($G142:$T142,"&gt;"&amp;H142)=0,"",SMALL($G142:$T142,COUNTIF($G142:$T142,"&lt;="&amp;H142)+1)-H142)))</f>
        <v/>
      </c>
      <c r="AF142" t="str">
        <f>IF(OR($B142="",NOT(ISNUMBER(I142))),"",IF(COUNTIF(J142:$T142,I142)&gt;0,0,IF(COUNTIF($G142:$T142,"&gt;"&amp;I142)=0,"",SMALL($G142:$T142,COUNTIF($G142:$T142,"&lt;="&amp;I142)+1)-I142)))</f>
        <v/>
      </c>
      <c r="AG142" t="str">
        <f>IF(OR($B142="",NOT(ISNUMBER(J142))),"",IF(COUNTIF(K142:$T142,J142)&gt;0,0,IF(COUNTIF($G142:$T142,"&gt;"&amp;J142)=0,"",SMALL($G142:$T142,COUNTIF($G142:$T142,"&lt;="&amp;J142)+1)-J142)))</f>
        <v/>
      </c>
      <c r="AH142" t="str">
        <f>IF(OR($B142="",NOT(ISNUMBER(K142))),"",IF(COUNTIF(L142:$T142,K142)&gt;0,0,IF(COUNTIF($G142:$T142,"&gt;"&amp;K142)=0,"",SMALL($G142:$T142,COUNTIF($G142:$T142,"&lt;="&amp;K142)+1)-K142)))</f>
        <v/>
      </c>
      <c r="AI142" t="str">
        <f>IF(OR($B142="",NOT(ISNUMBER(L142))),"",IF(COUNTIF(M142:$T142,L142)&gt;0,0,IF(COUNTIF($G142:$T142,"&gt;"&amp;L142)=0,"",SMALL($G142:$T142,COUNTIF($G142:$T142,"&lt;="&amp;L142)+1)-L142)))</f>
        <v/>
      </c>
      <c r="AJ142" t="str">
        <f>IF(OR($B142="",NOT(ISNUMBER(M142))),"",IF(COUNTIF(N142:$T142,M142)&gt;0,0,IF(COUNTIF($G142:$T142,"&gt;"&amp;M142)=0,"",SMALL($G142:$T142,COUNTIF($G142:$T142,"&lt;="&amp;M142)+1)-M142)))</f>
        <v/>
      </c>
      <c r="AK142" t="str">
        <f>IF(OR($B142="",NOT(ISNUMBER(N142))),"",IF(COUNTIF(O142:$T142,N142)&gt;0,0,IF(COUNTIF($G142:$T142,"&gt;"&amp;N142)=0,"",SMALL($G142:$T142,COUNTIF($G142:$T142,"&lt;="&amp;N142)+1)-N142)))</f>
        <v/>
      </c>
      <c r="AL142" t="str">
        <f>IF(OR($B142="",NOT(ISNUMBER(O142))),"",IF(COUNTIF(P142:$T142,O142)&gt;0,0,IF(COUNTIF($G142:$T142,"&gt;"&amp;O142)=0,"",SMALL($G142:$T142,COUNTIF($G142:$T142,"&lt;="&amp;O142)+1)-O142)))</f>
        <v/>
      </c>
      <c r="AM142" t="str">
        <f>IF(OR($B142="",NOT(ISNUMBER(P142))),"",IF(COUNTIF(Q142:$T142,P142)&gt;0,0,IF(COUNTIF($G142:$T142,"&gt;"&amp;P142)=0,"",SMALL($G142:$T142,COUNTIF($G142:$T142,"&lt;="&amp;P142)+1)-P142)))</f>
        <v/>
      </c>
      <c r="AN142" t="str">
        <f>IF(OR($B142="",NOT(ISNUMBER(Q142))),"",IF(COUNTIF(R142:$T142,Q142)&gt;0,0,IF(COUNTIF($G142:$T142,"&gt;"&amp;Q142)=0,"",SMALL($G142:$T142,COUNTIF($G142:$T142,"&lt;="&amp;Q142)+1)-Q142)))</f>
        <v/>
      </c>
      <c r="AO142" t="str">
        <f>IF(OR($B142="",NOT(ISNUMBER(R142))),"",IF(COUNTIF(S142:$T142,R142)&gt;0,0,IF(COUNTIF($G142:$T142,"&gt;"&amp;R142)=0,"",SMALL($G142:$T142,COUNTIF($G142:$T142,"&lt;="&amp;R142)+1)-R142)))</f>
        <v/>
      </c>
      <c r="AP142">
        <f t="shared" ca="1" si="37"/>
        <v>12</v>
      </c>
      <c r="AQ142" s="25" t="str">
        <f t="shared" si="38"/>
        <v/>
      </c>
      <c r="AR142" s="25" t="str">
        <f t="shared" si="39"/>
        <v/>
      </c>
      <c r="AS142" s="25" t="str">
        <f t="shared" si="40"/>
        <v/>
      </c>
      <c r="AT142" s="25" t="str">
        <f t="shared" si="41"/>
        <v/>
      </c>
      <c r="AU142" s="25" t="str">
        <f t="shared" si="42"/>
        <v/>
      </c>
      <c r="AV142" s="25" t="str">
        <f t="shared" si="43"/>
        <v/>
      </c>
      <c r="AW142" s="25" t="str">
        <f t="shared" si="44"/>
        <v/>
      </c>
      <c r="AX142" s="25" t="str">
        <f t="shared" si="45"/>
        <v/>
      </c>
      <c r="AY142" s="25" t="str">
        <f t="shared" si="46"/>
        <v/>
      </c>
      <c r="AZ142" s="25" t="str">
        <f t="shared" si="47"/>
        <v/>
      </c>
      <c r="BA142" s="25" t="str">
        <f t="shared" si="48"/>
        <v/>
      </c>
      <c r="BB142" s="25" t="str">
        <f t="shared" si="49"/>
        <v/>
      </c>
      <c r="BC142" s="25" t="str">
        <f t="shared" si="50"/>
        <v/>
      </c>
    </row>
    <row r="143" spans="1:55" x14ac:dyDescent="0.25">
      <c r="A143" s="151">
        <f t="shared" si="34"/>
        <v>141</v>
      </c>
      <c r="B143" s="151" t="s">
        <v>266</v>
      </c>
      <c r="C143" s="152" t="s">
        <v>267</v>
      </c>
      <c r="D143" s="151">
        <f t="shared" si="35"/>
        <v>12</v>
      </c>
      <c r="E143" s="151" t="s">
        <v>61</v>
      </c>
      <c r="F143" s="173">
        <v>46293</v>
      </c>
      <c r="G143" s="173"/>
      <c r="H143" s="173"/>
      <c r="I143" s="173"/>
      <c r="J143" s="173"/>
      <c r="K143" s="173">
        <v>46293</v>
      </c>
      <c r="L143" s="173">
        <v>46293</v>
      </c>
      <c r="M143" s="173"/>
      <c r="N143" s="173"/>
      <c r="O143" s="173"/>
      <c r="P143" s="173"/>
      <c r="Q143" s="173"/>
      <c r="R143" s="173"/>
      <c r="S143" s="173"/>
      <c r="T143" s="174">
        <v>46293</v>
      </c>
      <c r="U143" s="151"/>
      <c r="V143" s="152"/>
      <c r="W143" s="175"/>
      <c r="X143" s="173"/>
      <c r="Y143" s="173"/>
      <c r="Z143" s="176" t="str">
        <f>IF(B143="","",IF(S143&lt;&gt;"","Sevk Edildi",IF(AND(X143&lt;&gt;"",Y143=""),"Reworkte",IF(T143&lt;&gt;"","Kapandı"&amp;IF(COUNT(G143:R143)=0,""," – "&amp;LOOKUP(2,1/(G143:R143=MAX(G143:R143)),{"Tasarım","Ply Cutter","Üretim","Kalite (Üretim sonrası)","Talaşlı","Kalite (Talaşlı sonrası)","Montaj","Kalite (Montaj sonrası)","Boya","Kalite (Boya sonrası)","Yarı Mamül","KM"})),IF(COUNT(G143:R143)=0,"Başlamadı",LOOKUP(2,1/(G143:R143=MAX(G143:R143)),{"Tasarımda","Ply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143" s="177">
        <f t="shared" ca="1" si="36"/>
        <v>0</v>
      </c>
      <c r="AB143" s="175"/>
      <c r="AD143" t="str">
        <f>IF(OR($B143="",NOT(ISNUMBER(G143))),"",IF(COUNTIF(H143:$T143,G143)&gt;0,0,IF(COUNTIF($G143:$T143,"&gt;"&amp;G143)=0,"",SMALL($G143:$T143,COUNTIF($G143:$T143,"&lt;="&amp;G143)+1)-G143)))</f>
        <v/>
      </c>
      <c r="AE143" t="str">
        <f>IF(OR($B143="",NOT(ISNUMBER(H143))),"",IF(COUNTIF(I143:$T143,H143)&gt;0,0,IF(COUNTIF($G143:$T143,"&gt;"&amp;H143)=0,"",SMALL($G143:$T143,COUNTIF($G143:$T143,"&lt;="&amp;H143)+1)-H143)))</f>
        <v/>
      </c>
      <c r="AF143" t="str">
        <f>IF(OR($B143="",NOT(ISNUMBER(I143))),"",IF(COUNTIF(J143:$T143,I143)&gt;0,0,IF(COUNTIF($G143:$T143,"&gt;"&amp;I143)=0,"",SMALL($G143:$T143,COUNTIF($G143:$T143,"&lt;="&amp;I143)+1)-I143)))</f>
        <v/>
      </c>
      <c r="AG143" t="str">
        <f>IF(OR($B143="",NOT(ISNUMBER(J143))),"",IF(COUNTIF(K143:$T143,J143)&gt;0,0,IF(COUNTIF($G143:$T143,"&gt;"&amp;J143)=0,"",SMALL($G143:$T143,COUNTIF($G143:$T143,"&lt;="&amp;J143)+1)-J143)))</f>
        <v/>
      </c>
      <c r="AH143">
        <f>IF(OR($B143="",NOT(ISNUMBER(K143))),"",IF(COUNTIF(L143:$T143,K143)&gt;0,0,IF(COUNTIF($G143:$T143,"&gt;"&amp;K143)=0,"",SMALL($G143:$T143,COUNTIF($G143:$T143,"&lt;="&amp;K143)+1)-K143)))</f>
        <v>0</v>
      </c>
      <c r="AI143">
        <f>IF(OR($B143="",NOT(ISNUMBER(L143))),"",IF(COUNTIF(M143:$T143,L143)&gt;0,0,IF(COUNTIF($G143:$T143,"&gt;"&amp;L143)=0,"",SMALL($G143:$T143,COUNTIF($G143:$T143,"&lt;="&amp;L143)+1)-L143)))</f>
        <v>0</v>
      </c>
      <c r="AJ143" t="str">
        <f>IF(OR($B143="",NOT(ISNUMBER(M143))),"",IF(COUNTIF(N143:$T143,M143)&gt;0,0,IF(COUNTIF($G143:$T143,"&gt;"&amp;M143)=0,"",SMALL($G143:$T143,COUNTIF($G143:$T143,"&lt;="&amp;M143)+1)-M143)))</f>
        <v/>
      </c>
      <c r="AK143" t="str">
        <f>IF(OR($B143="",NOT(ISNUMBER(N143))),"",IF(COUNTIF(O143:$T143,N143)&gt;0,0,IF(COUNTIF($G143:$T143,"&gt;"&amp;N143)=0,"",SMALL($G143:$T143,COUNTIF($G143:$T143,"&lt;="&amp;N143)+1)-N143)))</f>
        <v/>
      </c>
      <c r="AL143" t="str">
        <f>IF(OR($B143="",NOT(ISNUMBER(O143))),"",IF(COUNTIF(P143:$T143,O143)&gt;0,0,IF(COUNTIF($G143:$T143,"&gt;"&amp;O143)=0,"",SMALL($G143:$T143,COUNTIF($G143:$T143,"&lt;="&amp;O143)+1)-O143)))</f>
        <v/>
      </c>
      <c r="AM143" t="str">
        <f>IF(OR($B143="",NOT(ISNUMBER(P143))),"",IF(COUNTIF(Q143:$T143,P143)&gt;0,0,IF(COUNTIF($G143:$T143,"&gt;"&amp;P143)=0,"",SMALL($G143:$T143,COUNTIF($G143:$T143,"&lt;="&amp;P143)+1)-P143)))</f>
        <v/>
      </c>
      <c r="AN143" t="str">
        <f>IF(OR($B143="",NOT(ISNUMBER(Q143))),"",IF(COUNTIF(R143:$T143,Q143)&gt;0,0,IF(COUNTIF($G143:$T143,"&gt;"&amp;Q143)=0,"",SMALL($G143:$T143,COUNTIF($G143:$T143,"&lt;="&amp;Q143)+1)-Q143)))</f>
        <v/>
      </c>
      <c r="AO143" t="str">
        <f>IF(OR($B143="",NOT(ISNUMBER(R143))),"",IF(COUNTIF(S143:$T143,R143)&gt;0,0,IF(COUNTIF($G143:$T143,"&gt;"&amp;R143)=0,"",SMALL($G143:$T143,COUNTIF($G143:$T143,"&lt;="&amp;R143)+1)-R143)))</f>
        <v/>
      </c>
      <c r="AP143">
        <f t="shared" ca="1" si="37"/>
        <v>0</v>
      </c>
      <c r="AQ143" s="25" t="str">
        <f t="shared" si="38"/>
        <v/>
      </c>
      <c r="AR143" s="25" t="str">
        <f t="shared" si="39"/>
        <v/>
      </c>
      <c r="AS143" s="25" t="str">
        <f t="shared" si="40"/>
        <v/>
      </c>
      <c r="AT143" s="25" t="str">
        <f t="shared" si="41"/>
        <v/>
      </c>
      <c r="AU143" s="25">
        <f t="shared" si="42"/>
        <v>46293</v>
      </c>
      <c r="AV143" s="25">
        <f t="shared" si="43"/>
        <v>46293</v>
      </c>
      <c r="AW143" s="25" t="str">
        <f t="shared" si="44"/>
        <v/>
      </c>
      <c r="AX143" s="25" t="str">
        <f t="shared" si="45"/>
        <v/>
      </c>
      <c r="AY143" s="25" t="str">
        <f t="shared" si="46"/>
        <v/>
      </c>
      <c r="AZ143" s="25" t="str">
        <f t="shared" si="47"/>
        <v/>
      </c>
      <c r="BA143" s="25" t="str">
        <f t="shared" si="48"/>
        <v/>
      </c>
      <c r="BB143" s="25" t="str">
        <f t="shared" si="49"/>
        <v/>
      </c>
      <c r="BC143" s="25">
        <f t="shared" si="50"/>
        <v>46293</v>
      </c>
    </row>
    <row r="144" spans="1:55" x14ac:dyDescent="0.25">
      <c r="A144" s="151">
        <f t="shared" si="34"/>
        <v>142</v>
      </c>
      <c r="B144" s="151" t="s">
        <v>268</v>
      </c>
      <c r="C144" s="152" t="s">
        <v>107</v>
      </c>
      <c r="D144" s="151">
        <f t="shared" si="35"/>
        <v>1</v>
      </c>
      <c r="E144" s="151" t="s">
        <v>100</v>
      </c>
      <c r="F144" s="173">
        <v>46293</v>
      </c>
      <c r="G144" s="173"/>
      <c r="H144" s="173"/>
      <c r="I144" s="173">
        <v>46293</v>
      </c>
      <c r="J144" s="173">
        <v>46294</v>
      </c>
      <c r="K144" s="173"/>
      <c r="L144" s="173"/>
      <c r="M144" s="173"/>
      <c r="N144" s="173"/>
      <c r="O144" s="173"/>
      <c r="P144" s="173"/>
      <c r="Q144" s="173"/>
      <c r="R144" s="173"/>
      <c r="S144" s="173"/>
      <c r="T144" s="174">
        <v>46294</v>
      </c>
      <c r="U144" s="151"/>
      <c r="V144" s="152"/>
      <c r="W144" s="175"/>
      <c r="X144" s="173"/>
      <c r="Y144" s="173"/>
      <c r="Z144" s="176" t="str">
        <f>IF(B144="","",IF(S144&lt;&gt;"","Sevk Edildi",IF(AND(X144&lt;&gt;"",Y144=""),"Reworkte",IF(T144&lt;&gt;"","Kapandı"&amp;IF(COUNT(G144:R144)=0,""," – "&amp;LOOKUP(2,1/(G144:R144=MAX(G144:R144)),{"Tasarım","Ply Cutter","Üretim","Kalite (Üretim sonrası)","Talaşlı","Kalite (Talaşlı sonrası)","Montaj","Kalite (Montaj sonrası)","Boya","Kalite (Boya sonrası)","Yarı Mamül","KM"})),IF(COUNT(G144:R144)=0,"Başlamadı",LOOKUP(2,1/(G144:R144=MAX(G144:R144)),{"Tasarımda","Ply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44" s="177">
        <f t="shared" ca="1" si="36"/>
        <v>1</v>
      </c>
      <c r="AB144" s="175"/>
      <c r="AD144" t="str">
        <f>IF(OR($B144="",NOT(ISNUMBER(G144))),"",IF(COUNTIF(H144:$T144,G144)&gt;0,0,IF(COUNTIF($G144:$T144,"&gt;"&amp;G144)=0,"",SMALL($G144:$T144,COUNTIF($G144:$T144,"&lt;="&amp;G144)+1)-G144)))</f>
        <v/>
      </c>
      <c r="AE144" t="str">
        <f>IF(OR($B144="",NOT(ISNUMBER(H144))),"",IF(COUNTIF(I144:$T144,H144)&gt;0,0,IF(COUNTIF($G144:$T144,"&gt;"&amp;H144)=0,"",SMALL($G144:$T144,COUNTIF($G144:$T144,"&lt;="&amp;H144)+1)-H144)))</f>
        <v/>
      </c>
      <c r="AF144">
        <f>IF(OR($B144="",NOT(ISNUMBER(I144))),"",IF(COUNTIF(J144:$T144,I144)&gt;0,0,IF(COUNTIF($G144:$T144,"&gt;"&amp;I144)=0,"",SMALL($G144:$T144,COUNTIF($G144:$T144,"&lt;="&amp;I144)+1)-I144)))</f>
        <v>1</v>
      </c>
      <c r="AG144">
        <f>IF(OR($B144="",NOT(ISNUMBER(J144))),"",IF(COUNTIF(K144:$T144,J144)&gt;0,0,IF(COUNTIF($G144:$T144,"&gt;"&amp;J144)=0,"",SMALL($G144:$T144,COUNTIF($G144:$T144,"&lt;="&amp;J144)+1)-J144)))</f>
        <v>0</v>
      </c>
      <c r="AH144" t="str">
        <f>IF(OR($B144="",NOT(ISNUMBER(K144))),"",IF(COUNTIF(L144:$T144,K144)&gt;0,0,IF(COUNTIF($G144:$T144,"&gt;"&amp;K144)=0,"",SMALL($G144:$T144,COUNTIF($G144:$T144,"&lt;="&amp;K144)+1)-K144)))</f>
        <v/>
      </c>
      <c r="AI144" t="str">
        <f>IF(OR($B144="",NOT(ISNUMBER(L144))),"",IF(COUNTIF(M144:$T144,L144)&gt;0,0,IF(COUNTIF($G144:$T144,"&gt;"&amp;L144)=0,"",SMALL($G144:$T144,COUNTIF($G144:$T144,"&lt;="&amp;L144)+1)-L144)))</f>
        <v/>
      </c>
      <c r="AJ144" t="str">
        <f>IF(OR($B144="",NOT(ISNUMBER(M144))),"",IF(COUNTIF(N144:$T144,M144)&gt;0,0,IF(COUNTIF($G144:$T144,"&gt;"&amp;M144)=0,"",SMALL($G144:$T144,COUNTIF($G144:$T144,"&lt;="&amp;M144)+1)-M144)))</f>
        <v/>
      </c>
      <c r="AK144" t="str">
        <f>IF(OR($B144="",NOT(ISNUMBER(N144))),"",IF(COUNTIF(O144:$T144,N144)&gt;0,0,IF(COUNTIF($G144:$T144,"&gt;"&amp;N144)=0,"",SMALL($G144:$T144,COUNTIF($G144:$T144,"&lt;="&amp;N144)+1)-N144)))</f>
        <v/>
      </c>
      <c r="AL144" t="str">
        <f>IF(OR($B144="",NOT(ISNUMBER(O144))),"",IF(COUNTIF(P144:$T144,O144)&gt;0,0,IF(COUNTIF($G144:$T144,"&gt;"&amp;O144)=0,"",SMALL($G144:$T144,COUNTIF($G144:$T144,"&lt;="&amp;O144)+1)-O144)))</f>
        <v/>
      </c>
      <c r="AM144" t="str">
        <f>IF(OR($B144="",NOT(ISNUMBER(P144))),"",IF(COUNTIF(Q144:$T144,P144)&gt;0,0,IF(COUNTIF($G144:$T144,"&gt;"&amp;P144)=0,"",SMALL($G144:$T144,COUNTIF($G144:$T144,"&lt;="&amp;P144)+1)-P144)))</f>
        <v/>
      </c>
      <c r="AN144" t="str">
        <f>IF(OR($B144="",NOT(ISNUMBER(Q144))),"",IF(COUNTIF(R144:$T144,Q144)&gt;0,0,IF(COUNTIF($G144:$T144,"&gt;"&amp;Q144)=0,"",SMALL($G144:$T144,COUNTIF($G144:$T144,"&lt;="&amp;Q144)+1)-Q144)))</f>
        <v/>
      </c>
      <c r="AO144" t="str">
        <f>IF(OR($B144="",NOT(ISNUMBER(R144))),"",IF(COUNTIF(S144:$T144,R144)&gt;0,0,IF(COUNTIF($G144:$T144,"&gt;"&amp;R144)=0,"",SMALL($G144:$T144,COUNTIF($G144:$T144,"&lt;="&amp;R144)+1)-R144)))</f>
        <v/>
      </c>
      <c r="AP144">
        <f t="shared" ca="1" si="37"/>
        <v>0</v>
      </c>
      <c r="AQ144" s="25" t="str">
        <f t="shared" si="38"/>
        <v/>
      </c>
      <c r="AR144" s="25" t="str">
        <f t="shared" si="39"/>
        <v/>
      </c>
      <c r="AS144" s="25">
        <f t="shared" si="40"/>
        <v>46294</v>
      </c>
      <c r="AT144" s="25">
        <f t="shared" si="41"/>
        <v>46294</v>
      </c>
      <c r="AU144" s="25" t="str">
        <f t="shared" si="42"/>
        <v/>
      </c>
      <c r="AV144" s="25" t="str">
        <f t="shared" si="43"/>
        <v/>
      </c>
      <c r="AW144" s="25" t="str">
        <f t="shared" si="44"/>
        <v/>
      </c>
      <c r="AX144" s="25" t="str">
        <f t="shared" si="45"/>
        <v/>
      </c>
      <c r="AY144" s="25" t="str">
        <f t="shared" si="46"/>
        <v/>
      </c>
      <c r="AZ144" s="25" t="str">
        <f t="shared" si="47"/>
        <v/>
      </c>
      <c r="BA144" s="25" t="str">
        <f t="shared" si="48"/>
        <v/>
      </c>
      <c r="BB144" s="25" t="str">
        <f t="shared" si="49"/>
        <v/>
      </c>
      <c r="BC144" s="25">
        <f t="shared" si="50"/>
        <v>46294</v>
      </c>
    </row>
    <row r="145" spans="1:55" x14ac:dyDescent="0.25">
      <c r="A145" s="151">
        <f t="shared" si="34"/>
        <v>143</v>
      </c>
      <c r="B145" s="151" t="s">
        <v>269</v>
      </c>
      <c r="C145" s="152" t="s">
        <v>107</v>
      </c>
      <c r="D145" s="151">
        <f t="shared" si="35"/>
        <v>1</v>
      </c>
      <c r="E145" s="151" t="s">
        <v>100</v>
      </c>
      <c r="F145" s="173">
        <v>46293</v>
      </c>
      <c r="G145" s="173"/>
      <c r="H145" s="173"/>
      <c r="I145" s="173">
        <v>46293</v>
      </c>
      <c r="J145" s="173">
        <v>46294</v>
      </c>
      <c r="K145" s="173"/>
      <c r="L145" s="173"/>
      <c r="M145" s="173"/>
      <c r="N145" s="173"/>
      <c r="O145" s="173"/>
      <c r="P145" s="173"/>
      <c r="Q145" s="173"/>
      <c r="R145" s="173"/>
      <c r="S145" s="173"/>
      <c r="T145" s="174">
        <v>46294</v>
      </c>
      <c r="U145" s="151"/>
      <c r="V145" s="152"/>
      <c r="W145" s="175"/>
      <c r="X145" s="173"/>
      <c r="Y145" s="173"/>
      <c r="Z145" s="176" t="str">
        <f>IF(B145="","",IF(S145&lt;&gt;"","Sevk Edildi",IF(AND(X145&lt;&gt;"",Y145=""),"Reworkte",IF(T145&lt;&gt;"","Kapandı"&amp;IF(COUNT(G145:R145)=0,""," – "&amp;LOOKUP(2,1/(G145:R145=MAX(G145:R145)),{"Tasarım","Ply Cutter","Üretim","Kalite (Üretim sonrası)","Talaşlı","Kalite (Talaşlı sonrası)","Montaj","Kalite (Montaj sonrası)","Boya","Kalite (Boya sonrası)","Yarı Mamül","KM"})),IF(COUNT(G145:R145)=0,"Başlamadı",LOOKUP(2,1/(G145:R145=MAX(G145:R145)),{"Tasarımda","Ply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45" s="177">
        <f t="shared" ca="1" si="36"/>
        <v>1</v>
      </c>
      <c r="AB145" s="175"/>
      <c r="AD145" t="str">
        <f>IF(OR($B145="",NOT(ISNUMBER(G145))),"",IF(COUNTIF(H145:$T145,G145)&gt;0,0,IF(COUNTIF($G145:$T145,"&gt;"&amp;G145)=0,"",SMALL($G145:$T145,COUNTIF($G145:$T145,"&lt;="&amp;G145)+1)-G145)))</f>
        <v/>
      </c>
      <c r="AE145" t="str">
        <f>IF(OR($B145="",NOT(ISNUMBER(H145))),"",IF(COUNTIF(I145:$T145,H145)&gt;0,0,IF(COUNTIF($G145:$T145,"&gt;"&amp;H145)=0,"",SMALL($G145:$T145,COUNTIF($G145:$T145,"&lt;="&amp;H145)+1)-H145)))</f>
        <v/>
      </c>
      <c r="AF145">
        <f>IF(OR($B145="",NOT(ISNUMBER(I145))),"",IF(COUNTIF(J145:$T145,I145)&gt;0,0,IF(COUNTIF($G145:$T145,"&gt;"&amp;I145)=0,"",SMALL($G145:$T145,COUNTIF($G145:$T145,"&lt;="&amp;I145)+1)-I145)))</f>
        <v>1</v>
      </c>
      <c r="AG145">
        <f>IF(OR($B145="",NOT(ISNUMBER(J145))),"",IF(COUNTIF(K145:$T145,J145)&gt;0,0,IF(COUNTIF($G145:$T145,"&gt;"&amp;J145)=0,"",SMALL($G145:$T145,COUNTIF($G145:$T145,"&lt;="&amp;J145)+1)-J145)))</f>
        <v>0</v>
      </c>
      <c r="AH145" t="str">
        <f>IF(OR($B145="",NOT(ISNUMBER(K145))),"",IF(COUNTIF(L145:$T145,K145)&gt;0,0,IF(COUNTIF($G145:$T145,"&gt;"&amp;K145)=0,"",SMALL($G145:$T145,COUNTIF($G145:$T145,"&lt;="&amp;K145)+1)-K145)))</f>
        <v/>
      </c>
      <c r="AI145" t="str">
        <f>IF(OR($B145="",NOT(ISNUMBER(L145))),"",IF(COUNTIF(M145:$T145,L145)&gt;0,0,IF(COUNTIF($G145:$T145,"&gt;"&amp;L145)=0,"",SMALL($G145:$T145,COUNTIF($G145:$T145,"&lt;="&amp;L145)+1)-L145)))</f>
        <v/>
      </c>
      <c r="AJ145" t="str">
        <f>IF(OR($B145="",NOT(ISNUMBER(M145))),"",IF(COUNTIF(N145:$T145,M145)&gt;0,0,IF(COUNTIF($G145:$T145,"&gt;"&amp;M145)=0,"",SMALL($G145:$T145,COUNTIF($G145:$T145,"&lt;="&amp;M145)+1)-M145)))</f>
        <v/>
      </c>
      <c r="AK145" t="str">
        <f>IF(OR($B145="",NOT(ISNUMBER(N145))),"",IF(COUNTIF(O145:$T145,N145)&gt;0,0,IF(COUNTIF($G145:$T145,"&gt;"&amp;N145)=0,"",SMALL($G145:$T145,COUNTIF($G145:$T145,"&lt;="&amp;N145)+1)-N145)))</f>
        <v/>
      </c>
      <c r="AL145" t="str">
        <f>IF(OR($B145="",NOT(ISNUMBER(O145))),"",IF(COUNTIF(P145:$T145,O145)&gt;0,0,IF(COUNTIF($G145:$T145,"&gt;"&amp;O145)=0,"",SMALL($G145:$T145,COUNTIF($G145:$T145,"&lt;="&amp;O145)+1)-O145)))</f>
        <v/>
      </c>
      <c r="AM145" t="str">
        <f>IF(OR($B145="",NOT(ISNUMBER(P145))),"",IF(COUNTIF(Q145:$T145,P145)&gt;0,0,IF(COUNTIF($G145:$T145,"&gt;"&amp;P145)=0,"",SMALL($G145:$T145,COUNTIF($G145:$T145,"&lt;="&amp;P145)+1)-P145)))</f>
        <v/>
      </c>
      <c r="AN145" t="str">
        <f>IF(OR($B145="",NOT(ISNUMBER(Q145))),"",IF(COUNTIF(R145:$T145,Q145)&gt;0,0,IF(COUNTIF($G145:$T145,"&gt;"&amp;Q145)=0,"",SMALL($G145:$T145,COUNTIF($G145:$T145,"&lt;="&amp;Q145)+1)-Q145)))</f>
        <v/>
      </c>
      <c r="AO145" t="str">
        <f>IF(OR($B145="",NOT(ISNUMBER(R145))),"",IF(COUNTIF(S145:$T145,R145)&gt;0,0,IF(COUNTIF($G145:$T145,"&gt;"&amp;R145)=0,"",SMALL($G145:$T145,COUNTIF($G145:$T145,"&lt;="&amp;R145)+1)-R145)))</f>
        <v/>
      </c>
      <c r="AP145">
        <f t="shared" ca="1" si="37"/>
        <v>0</v>
      </c>
      <c r="AQ145" s="25" t="str">
        <f t="shared" si="38"/>
        <v/>
      </c>
      <c r="AR145" s="25" t="str">
        <f t="shared" si="39"/>
        <v/>
      </c>
      <c r="AS145" s="25">
        <f t="shared" si="40"/>
        <v>46294</v>
      </c>
      <c r="AT145" s="25">
        <f t="shared" si="41"/>
        <v>46294</v>
      </c>
      <c r="AU145" s="25" t="str">
        <f t="shared" si="42"/>
        <v/>
      </c>
      <c r="AV145" s="25" t="str">
        <f t="shared" si="43"/>
        <v/>
      </c>
      <c r="AW145" s="25" t="str">
        <f t="shared" si="44"/>
        <v/>
      </c>
      <c r="AX145" s="25" t="str">
        <f t="shared" si="45"/>
        <v/>
      </c>
      <c r="AY145" s="25" t="str">
        <f t="shared" si="46"/>
        <v/>
      </c>
      <c r="AZ145" s="25" t="str">
        <f t="shared" si="47"/>
        <v/>
      </c>
      <c r="BA145" s="25" t="str">
        <f t="shared" si="48"/>
        <v/>
      </c>
      <c r="BB145" s="25" t="str">
        <f t="shared" si="49"/>
        <v/>
      </c>
      <c r="BC145" s="25">
        <f t="shared" si="50"/>
        <v>46294</v>
      </c>
    </row>
    <row r="146" spans="1:55" x14ac:dyDescent="0.25">
      <c r="A146" s="151">
        <f t="shared" si="34"/>
        <v>144</v>
      </c>
      <c r="B146" s="151" t="s">
        <v>270</v>
      </c>
      <c r="C146" s="152" t="s">
        <v>271</v>
      </c>
      <c r="D146" s="151">
        <f t="shared" si="35"/>
        <v>1</v>
      </c>
      <c r="E146" s="151" t="s">
        <v>100</v>
      </c>
      <c r="F146" s="173">
        <v>46293</v>
      </c>
      <c r="G146" s="173"/>
      <c r="H146" s="173"/>
      <c r="I146" s="173"/>
      <c r="J146" s="173"/>
      <c r="K146" s="173">
        <v>46294</v>
      </c>
      <c r="L146" s="173">
        <v>46294</v>
      </c>
      <c r="M146" s="173"/>
      <c r="N146" s="173"/>
      <c r="O146" s="173"/>
      <c r="P146" s="173"/>
      <c r="Q146" s="173"/>
      <c r="R146" s="173"/>
      <c r="S146" s="173"/>
      <c r="T146" s="174">
        <v>46294</v>
      </c>
      <c r="U146" s="151"/>
      <c r="V146" s="152"/>
      <c r="W146" s="175"/>
      <c r="X146" s="173"/>
      <c r="Y146" s="173"/>
      <c r="Z146" s="176" t="str">
        <f>IF(B146="","",IF(S146&lt;&gt;"","Sevk Edildi",IF(AND(X146&lt;&gt;"",Y146=""),"Reworkte",IF(T146&lt;&gt;"","Kapandı"&amp;IF(COUNT(G146:R146)=0,""," – "&amp;LOOKUP(2,1/(G146:R146=MAX(G146:R146)),{"Tasarım","Ply Cutter","Üretim","Kalite (Üretim sonrası)","Talaşlı","Kalite (Talaşlı sonrası)","Montaj","Kalite (Montaj sonrası)","Boya","Kalite (Boya sonrası)","Yarı Mamül","KM"})),IF(COUNT(G146:R146)=0,"Başlamadı",LOOKUP(2,1/(G146:R146=MAX(G146:R146)),{"Tasarımda","Ply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146" s="177">
        <f t="shared" ca="1" si="36"/>
        <v>1</v>
      </c>
      <c r="AB146" s="175"/>
      <c r="AD146" t="str">
        <f>IF(OR($B146="",NOT(ISNUMBER(G146))),"",IF(COUNTIF(H146:$T146,G146)&gt;0,0,IF(COUNTIF($G146:$T146,"&gt;"&amp;G146)=0,"",SMALL($G146:$T146,COUNTIF($G146:$T146,"&lt;="&amp;G146)+1)-G146)))</f>
        <v/>
      </c>
      <c r="AE146" t="str">
        <f>IF(OR($B146="",NOT(ISNUMBER(H146))),"",IF(COUNTIF(I146:$T146,H146)&gt;0,0,IF(COUNTIF($G146:$T146,"&gt;"&amp;H146)=0,"",SMALL($G146:$T146,COUNTIF($G146:$T146,"&lt;="&amp;H146)+1)-H146)))</f>
        <v/>
      </c>
      <c r="AF146" t="str">
        <f>IF(OR($B146="",NOT(ISNUMBER(I146))),"",IF(COUNTIF(J146:$T146,I146)&gt;0,0,IF(COUNTIF($G146:$T146,"&gt;"&amp;I146)=0,"",SMALL($G146:$T146,COUNTIF($G146:$T146,"&lt;="&amp;I146)+1)-I146)))</f>
        <v/>
      </c>
      <c r="AG146" t="str">
        <f>IF(OR($B146="",NOT(ISNUMBER(J146))),"",IF(COUNTIF(K146:$T146,J146)&gt;0,0,IF(COUNTIF($G146:$T146,"&gt;"&amp;J146)=0,"",SMALL($G146:$T146,COUNTIF($G146:$T146,"&lt;="&amp;J146)+1)-J146)))</f>
        <v/>
      </c>
      <c r="AH146">
        <f>IF(OR($B146="",NOT(ISNUMBER(K146))),"",IF(COUNTIF(L146:$T146,K146)&gt;0,0,IF(COUNTIF($G146:$T146,"&gt;"&amp;K146)=0,"",SMALL($G146:$T146,COUNTIF($G146:$T146,"&lt;="&amp;K146)+1)-K146)))</f>
        <v>0</v>
      </c>
      <c r="AI146">
        <f>IF(OR($B146="",NOT(ISNUMBER(L146))),"",IF(COUNTIF(M146:$T146,L146)&gt;0,0,IF(COUNTIF($G146:$T146,"&gt;"&amp;L146)=0,"",SMALL($G146:$T146,COUNTIF($G146:$T146,"&lt;="&amp;L146)+1)-L146)))</f>
        <v>0</v>
      </c>
      <c r="AJ146" t="str">
        <f>IF(OR($B146="",NOT(ISNUMBER(M146))),"",IF(COUNTIF(N146:$T146,M146)&gt;0,0,IF(COUNTIF($G146:$T146,"&gt;"&amp;M146)=0,"",SMALL($G146:$T146,COUNTIF($G146:$T146,"&lt;="&amp;M146)+1)-M146)))</f>
        <v/>
      </c>
      <c r="AK146" t="str">
        <f>IF(OR($B146="",NOT(ISNUMBER(N146))),"",IF(COUNTIF(O146:$T146,N146)&gt;0,0,IF(COUNTIF($G146:$T146,"&gt;"&amp;N146)=0,"",SMALL($G146:$T146,COUNTIF($G146:$T146,"&lt;="&amp;N146)+1)-N146)))</f>
        <v/>
      </c>
      <c r="AL146" t="str">
        <f>IF(OR($B146="",NOT(ISNUMBER(O146))),"",IF(COUNTIF(P146:$T146,O146)&gt;0,0,IF(COUNTIF($G146:$T146,"&gt;"&amp;O146)=0,"",SMALL($G146:$T146,COUNTIF($G146:$T146,"&lt;="&amp;O146)+1)-O146)))</f>
        <v/>
      </c>
      <c r="AM146" t="str">
        <f>IF(OR($B146="",NOT(ISNUMBER(P146))),"",IF(COUNTIF(Q146:$T146,P146)&gt;0,0,IF(COUNTIF($G146:$T146,"&gt;"&amp;P146)=0,"",SMALL($G146:$T146,COUNTIF($G146:$T146,"&lt;="&amp;P146)+1)-P146)))</f>
        <v/>
      </c>
      <c r="AN146" t="str">
        <f>IF(OR($B146="",NOT(ISNUMBER(Q146))),"",IF(COUNTIF(R146:$T146,Q146)&gt;0,0,IF(COUNTIF($G146:$T146,"&gt;"&amp;Q146)=0,"",SMALL($G146:$T146,COUNTIF($G146:$T146,"&lt;="&amp;Q146)+1)-Q146)))</f>
        <v/>
      </c>
      <c r="AO146" t="str">
        <f>IF(OR($B146="",NOT(ISNUMBER(R146))),"",IF(COUNTIF(S146:$T146,R146)&gt;0,0,IF(COUNTIF($G146:$T146,"&gt;"&amp;R146)=0,"",SMALL($G146:$T146,COUNTIF($G146:$T146,"&lt;="&amp;R146)+1)-R146)))</f>
        <v/>
      </c>
      <c r="AP146">
        <f t="shared" ca="1" si="37"/>
        <v>0</v>
      </c>
      <c r="AQ146" s="25" t="str">
        <f t="shared" si="38"/>
        <v/>
      </c>
      <c r="AR146" s="25" t="str">
        <f t="shared" si="39"/>
        <v/>
      </c>
      <c r="AS146" s="25" t="str">
        <f t="shared" si="40"/>
        <v/>
      </c>
      <c r="AT146" s="25" t="str">
        <f t="shared" si="41"/>
        <v/>
      </c>
      <c r="AU146" s="25">
        <f t="shared" si="42"/>
        <v>46294</v>
      </c>
      <c r="AV146" s="25">
        <f t="shared" si="43"/>
        <v>46294</v>
      </c>
      <c r="AW146" s="25" t="str">
        <f t="shared" si="44"/>
        <v/>
      </c>
      <c r="AX146" s="25" t="str">
        <f t="shared" si="45"/>
        <v/>
      </c>
      <c r="AY146" s="25" t="str">
        <f t="shared" si="46"/>
        <v/>
      </c>
      <c r="AZ146" s="25" t="str">
        <f t="shared" si="47"/>
        <v/>
      </c>
      <c r="BA146" s="25" t="str">
        <f t="shared" si="48"/>
        <v/>
      </c>
      <c r="BB146" s="25" t="str">
        <f t="shared" si="49"/>
        <v/>
      </c>
      <c r="BC146" s="25">
        <f t="shared" si="50"/>
        <v>46294</v>
      </c>
    </row>
    <row r="147" spans="1:55" x14ac:dyDescent="0.25">
      <c r="A147" s="151">
        <f t="shared" si="34"/>
        <v>145</v>
      </c>
      <c r="B147" s="151" t="s">
        <v>272</v>
      </c>
      <c r="C147" s="152" t="s">
        <v>76</v>
      </c>
      <c r="D147" s="151">
        <f t="shared" si="35"/>
        <v>1</v>
      </c>
      <c r="E147" s="151" t="s">
        <v>100</v>
      </c>
      <c r="F147" s="173">
        <v>46293</v>
      </c>
      <c r="G147" s="173"/>
      <c r="H147" s="173"/>
      <c r="I147" s="173">
        <v>46293</v>
      </c>
      <c r="J147" s="173">
        <v>46294</v>
      </c>
      <c r="K147" s="173"/>
      <c r="L147" s="173"/>
      <c r="M147" s="173"/>
      <c r="N147" s="173"/>
      <c r="O147" s="173"/>
      <c r="P147" s="173"/>
      <c r="Q147" s="173">
        <v>46295</v>
      </c>
      <c r="R147" s="173"/>
      <c r="S147" s="173"/>
      <c r="T147" s="174">
        <v>46295</v>
      </c>
      <c r="U147" s="151"/>
      <c r="V147" s="152"/>
      <c r="W147" s="175"/>
      <c r="X147" s="173"/>
      <c r="Y147" s="173"/>
      <c r="Z147" s="176" t="str">
        <f>IF(B147="","",IF(S147&lt;&gt;"","Sevk Edildi",IF(AND(X147&lt;&gt;"",Y147=""),"Reworkte",IF(T147&lt;&gt;"","Kapandı"&amp;IF(COUNT(G147:R147)=0,""," – "&amp;LOOKUP(2,1/(G147:R147=MAX(G147:R147)),{"Tasarım","Ply Cutter","Üretim","Kalite (Üretim sonrası)","Talaşlı","Kalite (Talaşlı sonrası)","Montaj","Kalite (Montaj sonrası)","Boya","Kalite (Boya sonrası)","Yarı Mamül","KM"})),IF(COUNT(G147:R147)=0,"Başlamadı",LOOKUP(2,1/(G147:R147=MAX(G147:R147)),{"Tasarımda","Ply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47" s="177">
        <f t="shared" ca="1" si="36"/>
        <v>2</v>
      </c>
      <c r="AB147" s="175"/>
      <c r="AD147" t="str">
        <f>IF(OR($B147="",NOT(ISNUMBER(G147))),"",IF(COUNTIF(H147:$T147,G147)&gt;0,0,IF(COUNTIF($G147:$T147,"&gt;"&amp;G147)=0,"",SMALL($G147:$T147,COUNTIF($G147:$T147,"&lt;="&amp;G147)+1)-G147)))</f>
        <v/>
      </c>
      <c r="AE147" t="str">
        <f>IF(OR($B147="",NOT(ISNUMBER(H147))),"",IF(COUNTIF(I147:$T147,H147)&gt;0,0,IF(COUNTIF($G147:$T147,"&gt;"&amp;H147)=0,"",SMALL($G147:$T147,COUNTIF($G147:$T147,"&lt;="&amp;H147)+1)-H147)))</f>
        <v/>
      </c>
      <c r="AF147">
        <f>IF(OR($B147="",NOT(ISNUMBER(I147))),"",IF(COUNTIF(J147:$T147,I147)&gt;0,0,IF(COUNTIF($G147:$T147,"&gt;"&amp;I147)=0,"",SMALL($G147:$T147,COUNTIF($G147:$T147,"&lt;="&amp;I147)+1)-I147)))</f>
        <v>1</v>
      </c>
      <c r="AG147">
        <f>IF(OR($B147="",NOT(ISNUMBER(J147))),"",IF(COUNTIF(K147:$T147,J147)&gt;0,0,IF(COUNTIF($G147:$T147,"&gt;"&amp;J147)=0,"",SMALL($G147:$T147,COUNTIF($G147:$T147,"&lt;="&amp;J147)+1)-J147)))</f>
        <v>1</v>
      </c>
      <c r="AH147" t="str">
        <f>IF(OR($B147="",NOT(ISNUMBER(K147))),"",IF(COUNTIF(L147:$T147,K147)&gt;0,0,IF(COUNTIF($G147:$T147,"&gt;"&amp;K147)=0,"",SMALL($G147:$T147,COUNTIF($G147:$T147,"&lt;="&amp;K147)+1)-K147)))</f>
        <v/>
      </c>
      <c r="AI147" t="str">
        <f>IF(OR($B147="",NOT(ISNUMBER(L147))),"",IF(COUNTIF(M147:$T147,L147)&gt;0,0,IF(COUNTIF($G147:$T147,"&gt;"&amp;L147)=0,"",SMALL($G147:$T147,COUNTIF($G147:$T147,"&lt;="&amp;L147)+1)-L147)))</f>
        <v/>
      </c>
      <c r="AJ147" t="str">
        <f>IF(OR($B147="",NOT(ISNUMBER(M147))),"",IF(COUNTIF(N147:$T147,M147)&gt;0,0,IF(COUNTIF($G147:$T147,"&gt;"&amp;M147)=0,"",SMALL($G147:$T147,COUNTIF($G147:$T147,"&lt;="&amp;M147)+1)-M147)))</f>
        <v/>
      </c>
      <c r="AK147" t="str">
        <f>IF(OR($B147="",NOT(ISNUMBER(N147))),"",IF(COUNTIF(O147:$T147,N147)&gt;0,0,IF(COUNTIF($G147:$T147,"&gt;"&amp;N147)=0,"",SMALL($G147:$T147,COUNTIF($G147:$T147,"&lt;="&amp;N147)+1)-N147)))</f>
        <v/>
      </c>
      <c r="AL147" t="str">
        <f>IF(OR($B147="",NOT(ISNUMBER(O147))),"",IF(COUNTIF(P147:$T147,O147)&gt;0,0,IF(COUNTIF($G147:$T147,"&gt;"&amp;O147)=0,"",SMALL($G147:$T147,COUNTIF($G147:$T147,"&lt;="&amp;O147)+1)-O147)))</f>
        <v/>
      </c>
      <c r="AM147" t="str">
        <f>IF(OR($B147="",NOT(ISNUMBER(P147))),"",IF(COUNTIF(Q147:$T147,P147)&gt;0,0,IF(COUNTIF($G147:$T147,"&gt;"&amp;P147)=0,"",SMALL($G147:$T147,COUNTIF($G147:$T147,"&lt;="&amp;P147)+1)-P147)))</f>
        <v/>
      </c>
      <c r="AN147">
        <f>IF(OR($B147="",NOT(ISNUMBER(Q147))),"",IF(COUNTIF(R147:$T147,Q147)&gt;0,0,IF(COUNTIF($G147:$T147,"&gt;"&amp;Q147)=0,"",SMALL($G147:$T147,COUNTIF($G147:$T147,"&lt;="&amp;Q147)+1)-Q147)))</f>
        <v>0</v>
      </c>
      <c r="AO147" t="str">
        <f>IF(OR($B147="",NOT(ISNUMBER(R147))),"",IF(COUNTIF(S147:$T147,R147)&gt;0,0,IF(COUNTIF($G147:$T147,"&gt;"&amp;R147)=0,"",SMALL($G147:$T147,COUNTIF($G147:$T147,"&lt;="&amp;R147)+1)-R147)))</f>
        <v/>
      </c>
      <c r="AP147">
        <f t="shared" ca="1" si="37"/>
        <v>0</v>
      </c>
      <c r="AQ147" s="25" t="str">
        <f t="shared" si="38"/>
        <v/>
      </c>
      <c r="AR147" s="25" t="str">
        <f t="shared" si="39"/>
        <v/>
      </c>
      <c r="AS147" s="25">
        <f t="shared" si="40"/>
        <v>46294</v>
      </c>
      <c r="AT147" s="25">
        <f t="shared" si="41"/>
        <v>46295</v>
      </c>
      <c r="AU147" s="25" t="str">
        <f t="shared" si="42"/>
        <v/>
      </c>
      <c r="AV147" s="25" t="str">
        <f t="shared" si="43"/>
        <v/>
      </c>
      <c r="AW147" s="25" t="str">
        <f t="shared" si="44"/>
        <v/>
      </c>
      <c r="AX147" s="25" t="str">
        <f t="shared" si="45"/>
        <v/>
      </c>
      <c r="AY147" s="25" t="str">
        <f t="shared" si="46"/>
        <v/>
      </c>
      <c r="AZ147" s="25" t="str">
        <f t="shared" si="47"/>
        <v/>
      </c>
      <c r="BA147" s="25">
        <f t="shared" si="48"/>
        <v>46295</v>
      </c>
      <c r="BB147" s="25" t="str">
        <f t="shared" si="49"/>
        <v/>
      </c>
      <c r="BC147" s="25">
        <f t="shared" si="50"/>
        <v>46295</v>
      </c>
    </row>
    <row r="148" spans="1:55" s="147" customFormat="1" x14ac:dyDescent="0.25">
      <c r="A148" s="178">
        <f t="shared" si="34"/>
        <v>146</v>
      </c>
      <c r="B148" s="178" t="s">
        <v>273</v>
      </c>
      <c r="C148" s="179" t="s">
        <v>274</v>
      </c>
      <c r="D148" s="178">
        <f t="shared" si="35"/>
        <v>10</v>
      </c>
      <c r="E148" s="178" t="s">
        <v>100</v>
      </c>
      <c r="F148" s="180">
        <v>46294</v>
      </c>
      <c r="G148" s="180"/>
      <c r="H148" s="180"/>
      <c r="I148" s="180"/>
      <c r="J148" s="180"/>
      <c r="K148" s="180">
        <v>46294</v>
      </c>
      <c r="L148" s="180"/>
      <c r="M148" s="180"/>
      <c r="N148" s="180"/>
      <c r="O148" s="180"/>
      <c r="P148" s="180"/>
      <c r="Q148" s="180"/>
      <c r="R148" s="180"/>
      <c r="S148" s="180">
        <v>46294</v>
      </c>
      <c r="T148" s="181">
        <v>46294</v>
      </c>
      <c r="U148" s="178"/>
      <c r="V148" s="179"/>
      <c r="W148" s="182"/>
      <c r="X148" s="180"/>
      <c r="Y148" s="180"/>
      <c r="Z148" s="183" t="str">
        <f>IF(B148="","",IF(S148&lt;&gt;"","Sevk Edildi",IF(AND(X148&lt;&gt;"",Y148=""),"Reworkte",IF(T148&lt;&gt;"","Kapandı"&amp;IF(COUNT(G148:R148)=0,""," – "&amp;LOOKUP(2,1/(G148:R148=MAX(G148:R148)),{"Tasarım","Ply Cutter","Üretim","Kalite (Üretim sonrası)","Talaşlı","Kalite (Talaşlı sonrası)","Montaj","Kalite (Montaj sonrası)","Boya","Kalite (Boya sonrası)","Yarı Mamül","KM"})),IF(COUNT(G148:R148)=0,"Başlamadı",LOOKUP(2,1/(G148:R148=MAX(G148:R148)),{"Tasarımda","Ply Cutter'da","Üretimde","Kalitede (Üretim sonrası)","Talaşlıda","Kalitede (Talaşlı sonrası)","Montajda","Kalitede (Montaj sonrası)","Boyada","Kalitede (Boya sonrası)","Yarı Mamülde","KM'de"}))))))</f>
        <v>Sevk Edildi</v>
      </c>
      <c r="AA148" s="184">
        <f t="shared" ca="1" si="36"/>
        <v>0</v>
      </c>
      <c r="AB148" s="182"/>
      <c r="AD148" s="147" t="str">
        <f>IF(OR($B148="",NOT(ISNUMBER(G148))),"",IF(COUNTIF(H148:$T148,G148)&gt;0,0,IF(COUNTIF($G148:$T148,"&gt;"&amp;G148)=0,"",SMALL($G148:$T148,COUNTIF($G148:$T148,"&lt;="&amp;G148)+1)-G148)))</f>
        <v/>
      </c>
      <c r="AE148" s="147" t="str">
        <f>IF(OR($B148="",NOT(ISNUMBER(H148))),"",IF(COUNTIF(I148:$T148,H148)&gt;0,0,IF(COUNTIF($G148:$T148,"&gt;"&amp;H148)=0,"",SMALL($G148:$T148,COUNTIF($G148:$T148,"&lt;="&amp;H148)+1)-H148)))</f>
        <v/>
      </c>
      <c r="AF148" s="147" t="str">
        <f>IF(OR($B148="",NOT(ISNUMBER(I148))),"",IF(COUNTIF(J148:$T148,I148)&gt;0,0,IF(COUNTIF($G148:$T148,"&gt;"&amp;I148)=0,"",SMALL($G148:$T148,COUNTIF($G148:$T148,"&lt;="&amp;I148)+1)-I148)))</f>
        <v/>
      </c>
      <c r="AG148" s="147" t="str">
        <f>IF(OR($B148="",NOT(ISNUMBER(J148))),"",IF(COUNTIF(K148:$T148,J148)&gt;0,0,IF(COUNTIF($G148:$T148,"&gt;"&amp;J148)=0,"",SMALL($G148:$T148,COUNTIF($G148:$T148,"&lt;="&amp;J148)+1)-J148)))</f>
        <v/>
      </c>
      <c r="AH148" s="147">
        <f>IF(OR($B148="",NOT(ISNUMBER(K148))),"",IF(COUNTIF(L148:$T148,K148)&gt;0,0,IF(COUNTIF($G148:$T148,"&gt;"&amp;K148)=0,"",SMALL($G148:$T148,COUNTIF($G148:$T148,"&lt;="&amp;K148)+1)-K148)))</f>
        <v>0</v>
      </c>
      <c r="AI148" s="147" t="str">
        <f>IF(OR($B148="",NOT(ISNUMBER(L148))),"",IF(COUNTIF(M148:$T148,L148)&gt;0,0,IF(COUNTIF($G148:$T148,"&gt;"&amp;L148)=0,"",SMALL($G148:$T148,COUNTIF($G148:$T148,"&lt;="&amp;L148)+1)-L148)))</f>
        <v/>
      </c>
      <c r="AJ148" s="147" t="str">
        <f>IF(OR($B148="",NOT(ISNUMBER(M148))),"",IF(COUNTIF(N148:$T148,M148)&gt;0,0,IF(COUNTIF($G148:$T148,"&gt;"&amp;M148)=0,"",SMALL($G148:$T148,COUNTIF($G148:$T148,"&lt;="&amp;M148)+1)-M148)))</f>
        <v/>
      </c>
      <c r="AK148" s="147" t="str">
        <f>IF(OR($B148="",NOT(ISNUMBER(N148))),"",IF(COUNTIF(O148:$T148,N148)&gt;0,0,IF(COUNTIF($G148:$T148,"&gt;"&amp;N148)=0,"",SMALL($G148:$T148,COUNTIF($G148:$T148,"&lt;="&amp;N148)+1)-N148)))</f>
        <v/>
      </c>
      <c r="AL148" s="147" t="str">
        <f>IF(OR($B148="",NOT(ISNUMBER(O148))),"",IF(COUNTIF(P148:$T148,O148)&gt;0,0,IF(COUNTIF($G148:$T148,"&gt;"&amp;O148)=0,"",SMALL($G148:$T148,COUNTIF($G148:$T148,"&lt;="&amp;O148)+1)-O148)))</f>
        <v/>
      </c>
      <c r="AM148" s="147" t="str">
        <f>IF(OR($B148="",NOT(ISNUMBER(P148))),"",IF(COUNTIF(Q148:$T148,P148)&gt;0,0,IF(COUNTIF($G148:$T148,"&gt;"&amp;P148)=0,"",SMALL($G148:$T148,COUNTIF($G148:$T148,"&lt;="&amp;P148)+1)-P148)))</f>
        <v/>
      </c>
      <c r="AN148" s="147" t="str">
        <f>IF(OR($B148="",NOT(ISNUMBER(Q148))),"",IF(COUNTIF(R148:$T148,Q148)&gt;0,0,IF(COUNTIF($G148:$T148,"&gt;"&amp;Q148)=0,"",SMALL($G148:$T148,COUNTIF($G148:$T148,"&lt;="&amp;Q148)+1)-Q148)))</f>
        <v/>
      </c>
      <c r="AO148" s="147" t="str">
        <f>IF(OR($B148="",NOT(ISNUMBER(R148))),"",IF(COUNTIF(S148:$T148,R148)&gt;0,0,IF(COUNTIF($G148:$T148,"&gt;"&amp;R148)=0,"",SMALL($G148:$T148,COUNTIF($G148:$T148,"&lt;="&amp;R148)+1)-R148)))</f>
        <v/>
      </c>
      <c r="AP148" s="147">
        <f t="shared" ca="1" si="37"/>
        <v>0</v>
      </c>
      <c r="AQ148" s="148" t="str">
        <f t="shared" si="38"/>
        <v/>
      </c>
      <c r="AR148" s="148" t="str">
        <f t="shared" si="39"/>
        <v/>
      </c>
      <c r="AS148" s="148" t="str">
        <f t="shared" si="40"/>
        <v/>
      </c>
      <c r="AT148" s="148" t="str">
        <f t="shared" si="41"/>
        <v/>
      </c>
      <c r="AU148" s="148">
        <f t="shared" si="42"/>
        <v>46294</v>
      </c>
      <c r="AV148" s="148" t="str">
        <f t="shared" si="43"/>
        <v/>
      </c>
      <c r="AW148" s="148" t="str">
        <f t="shared" si="44"/>
        <v/>
      </c>
      <c r="AX148" s="148" t="str">
        <f t="shared" si="45"/>
        <v/>
      </c>
      <c r="AY148" s="148" t="str">
        <f t="shared" si="46"/>
        <v/>
      </c>
      <c r="AZ148" s="148" t="str">
        <f t="shared" si="47"/>
        <v/>
      </c>
      <c r="BA148" s="148" t="str">
        <f t="shared" si="48"/>
        <v/>
      </c>
      <c r="BB148" s="148" t="str">
        <f t="shared" si="49"/>
        <v/>
      </c>
      <c r="BC148" s="148">
        <f t="shared" si="50"/>
        <v>46294</v>
      </c>
    </row>
    <row r="149" spans="1:55" s="147" customFormat="1" x14ac:dyDescent="0.25">
      <c r="A149" s="178">
        <f t="shared" si="34"/>
        <v>147</v>
      </c>
      <c r="B149" s="178" t="s">
        <v>275</v>
      </c>
      <c r="C149" s="179" t="s">
        <v>276</v>
      </c>
      <c r="D149" s="178">
        <f t="shared" si="35"/>
        <v>4</v>
      </c>
      <c r="E149" s="178" t="s">
        <v>100</v>
      </c>
      <c r="F149" s="180">
        <v>46294</v>
      </c>
      <c r="G149" s="180"/>
      <c r="H149" s="180"/>
      <c r="I149" s="180"/>
      <c r="J149" s="180"/>
      <c r="K149" s="180">
        <v>46294</v>
      </c>
      <c r="L149" s="180"/>
      <c r="M149" s="180"/>
      <c r="N149" s="180"/>
      <c r="O149" s="180"/>
      <c r="P149" s="180"/>
      <c r="Q149" s="180"/>
      <c r="R149" s="180"/>
      <c r="S149" s="180">
        <v>46294</v>
      </c>
      <c r="T149" s="181">
        <v>46294</v>
      </c>
      <c r="U149" s="178"/>
      <c r="V149" s="179"/>
      <c r="W149" s="182"/>
      <c r="X149" s="180"/>
      <c r="Y149" s="180"/>
      <c r="Z149" s="183" t="str">
        <f>IF(B149="","",IF(S149&lt;&gt;"","Sevk Edildi",IF(AND(X149&lt;&gt;"",Y149=""),"Reworkte",IF(T149&lt;&gt;"","Kapandı"&amp;IF(COUNT(G149:R149)=0,""," – "&amp;LOOKUP(2,1/(G149:R149=MAX(G149:R149)),{"Tasarım","Ply Cutter","Üretim","Kalite (Üretim sonrası)","Talaşlı","Kalite (Talaşlı sonrası)","Montaj","Kalite (Montaj sonrası)","Boya","Kalite (Boya sonrası)","Yarı Mamül","KM"})),IF(COUNT(G149:R149)=0,"Başlamadı",LOOKUP(2,1/(G149:R149=MAX(G149:R149)),{"Tasarımda","Ply Cutter'da","Üretimde","Kalitede (Üretim sonrası)","Talaşlıda","Kalitede (Talaşlı sonrası)","Montajda","Kalitede (Montaj sonrası)","Boyada","Kalitede (Boya sonrası)","Yarı Mamülde","KM'de"}))))))</f>
        <v>Sevk Edildi</v>
      </c>
      <c r="AA149" s="184">
        <f t="shared" ca="1" si="36"/>
        <v>0</v>
      </c>
      <c r="AB149" s="182"/>
      <c r="AD149" s="147" t="str">
        <f>IF(OR($B149="",NOT(ISNUMBER(G149))),"",IF(COUNTIF(H149:$T149,G149)&gt;0,0,IF(COUNTIF($G149:$T149,"&gt;"&amp;G149)=0,"",SMALL($G149:$T149,COUNTIF($G149:$T149,"&lt;="&amp;G149)+1)-G149)))</f>
        <v/>
      </c>
      <c r="AE149" s="147" t="str">
        <f>IF(OR($B149="",NOT(ISNUMBER(H149))),"",IF(COUNTIF(I149:$T149,H149)&gt;0,0,IF(COUNTIF($G149:$T149,"&gt;"&amp;H149)=0,"",SMALL($G149:$T149,COUNTIF($G149:$T149,"&lt;="&amp;H149)+1)-H149)))</f>
        <v/>
      </c>
      <c r="AF149" s="147" t="str">
        <f>IF(OR($B149="",NOT(ISNUMBER(I149))),"",IF(COUNTIF(J149:$T149,I149)&gt;0,0,IF(COUNTIF($G149:$T149,"&gt;"&amp;I149)=0,"",SMALL($G149:$T149,COUNTIF($G149:$T149,"&lt;="&amp;I149)+1)-I149)))</f>
        <v/>
      </c>
      <c r="AG149" s="147" t="str">
        <f>IF(OR($B149="",NOT(ISNUMBER(J149))),"",IF(COUNTIF(K149:$T149,J149)&gt;0,0,IF(COUNTIF($G149:$T149,"&gt;"&amp;J149)=0,"",SMALL($G149:$T149,COUNTIF($G149:$T149,"&lt;="&amp;J149)+1)-J149)))</f>
        <v/>
      </c>
      <c r="AH149" s="147">
        <f>IF(OR($B149="",NOT(ISNUMBER(K149))),"",IF(COUNTIF(L149:$T149,K149)&gt;0,0,IF(COUNTIF($G149:$T149,"&gt;"&amp;K149)=0,"",SMALL($G149:$T149,COUNTIF($G149:$T149,"&lt;="&amp;K149)+1)-K149)))</f>
        <v>0</v>
      </c>
      <c r="AI149" s="147" t="str">
        <f>IF(OR($B149="",NOT(ISNUMBER(L149))),"",IF(COUNTIF(M149:$T149,L149)&gt;0,0,IF(COUNTIF($G149:$T149,"&gt;"&amp;L149)=0,"",SMALL($G149:$T149,COUNTIF($G149:$T149,"&lt;="&amp;L149)+1)-L149)))</f>
        <v/>
      </c>
      <c r="AJ149" s="147" t="str">
        <f>IF(OR($B149="",NOT(ISNUMBER(M149))),"",IF(COUNTIF(N149:$T149,M149)&gt;0,0,IF(COUNTIF($G149:$T149,"&gt;"&amp;M149)=0,"",SMALL($G149:$T149,COUNTIF($G149:$T149,"&lt;="&amp;M149)+1)-M149)))</f>
        <v/>
      </c>
      <c r="AK149" s="147" t="str">
        <f>IF(OR($B149="",NOT(ISNUMBER(N149))),"",IF(COUNTIF(O149:$T149,N149)&gt;0,0,IF(COUNTIF($G149:$T149,"&gt;"&amp;N149)=0,"",SMALL($G149:$T149,COUNTIF($G149:$T149,"&lt;="&amp;N149)+1)-N149)))</f>
        <v/>
      </c>
      <c r="AL149" s="147" t="str">
        <f>IF(OR($B149="",NOT(ISNUMBER(O149))),"",IF(COUNTIF(P149:$T149,O149)&gt;0,0,IF(COUNTIF($G149:$T149,"&gt;"&amp;O149)=0,"",SMALL($G149:$T149,COUNTIF($G149:$T149,"&lt;="&amp;O149)+1)-O149)))</f>
        <v/>
      </c>
      <c r="AM149" s="147" t="str">
        <f>IF(OR($B149="",NOT(ISNUMBER(P149))),"",IF(COUNTIF(Q149:$T149,P149)&gt;0,0,IF(COUNTIF($G149:$T149,"&gt;"&amp;P149)=0,"",SMALL($G149:$T149,COUNTIF($G149:$T149,"&lt;="&amp;P149)+1)-P149)))</f>
        <v/>
      </c>
      <c r="AN149" s="147" t="str">
        <f>IF(OR($B149="",NOT(ISNUMBER(Q149))),"",IF(COUNTIF(R149:$T149,Q149)&gt;0,0,IF(COUNTIF($G149:$T149,"&gt;"&amp;Q149)=0,"",SMALL($G149:$T149,COUNTIF($G149:$T149,"&lt;="&amp;Q149)+1)-Q149)))</f>
        <v/>
      </c>
      <c r="AO149" s="147" t="str">
        <f>IF(OR($B149="",NOT(ISNUMBER(R149))),"",IF(COUNTIF(S149:$T149,R149)&gt;0,0,IF(COUNTIF($G149:$T149,"&gt;"&amp;R149)=0,"",SMALL($G149:$T149,COUNTIF($G149:$T149,"&lt;="&amp;R149)+1)-R149)))</f>
        <v/>
      </c>
      <c r="AP149" s="147">
        <f t="shared" ca="1" si="37"/>
        <v>0</v>
      </c>
      <c r="AQ149" s="148" t="str">
        <f t="shared" si="38"/>
        <v/>
      </c>
      <c r="AR149" s="148" t="str">
        <f t="shared" si="39"/>
        <v/>
      </c>
      <c r="AS149" s="148" t="str">
        <f t="shared" si="40"/>
        <v/>
      </c>
      <c r="AT149" s="148" t="str">
        <f t="shared" si="41"/>
        <v/>
      </c>
      <c r="AU149" s="148">
        <f t="shared" si="42"/>
        <v>46294</v>
      </c>
      <c r="AV149" s="148" t="str">
        <f t="shared" si="43"/>
        <v/>
      </c>
      <c r="AW149" s="148" t="str">
        <f t="shared" si="44"/>
        <v/>
      </c>
      <c r="AX149" s="148" t="str">
        <f t="shared" si="45"/>
        <v/>
      </c>
      <c r="AY149" s="148" t="str">
        <f t="shared" si="46"/>
        <v/>
      </c>
      <c r="AZ149" s="148" t="str">
        <f t="shared" si="47"/>
        <v/>
      </c>
      <c r="BA149" s="148" t="str">
        <f t="shared" si="48"/>
        <v/>
      </c>
      <c r="BB149" s="148" t="str">
        <f t="shared" si="49"/>
        <v/>
      </c>
      <c r="BC149" s="148">
        <f t="shared" si="50"/>
        <v>46294</v>
      </c>
    </row>
    <row r="150" spans="1:55" s="147" customFormat="1" x14ac:dyDescent="0.25">
      <c r="A150" s="178">
        <f t="shared" si="34"/>
        <v>148</v>
      </c>
      <c r="B150" s="178" t="s">
        <v>277</v>
      </c>
      <c r="C150" s="179" t="s">
        <v>278</v>
      </c>
      <c r="D150" s="178">
        <f t="shared" si="35"/>
        <v>10</v>
      </c>
      <c r="E150" s="178" t="s">
        <v>100</v>
      </c>
      <c r="F150" s="180">
        <v>46294</v>
      </c>
      <c r="G150" s="180"/>
      <c r="H150" s="180"/>
      <c r="I150" s="180"/>
      <c r="J150" s="180"/>
      <c r="K150" s="180">
        <v>46294</v>
      </c>
      <c r="L150" s="180"/>
      <c r="M150" s="180"/>
      <c r="N150" s="180"/>
      <c r="O150" s="180"/>
      <c r="P150" s="180"/>
      <c r="Q150" s="180"/>
      <c r="R150" s="180"/>
      <c r="S150" s="180">
        <v>46294</v>
      </c>
      <c r="T150" s="181">
        <v>46294</v>
      </c>
      <c r="U150" s="178"/>
      <c r="V150" s="179"/>
      <c r="W150" s="182"/>
      <c r="X150" s="180"/>
      <c r="Y150" s="180"/>
      <c r="Z150" s="183" t="str">
        <f>IF(B150="","",IF(S150&lt;&gt;"","Sevk Edildi",IF(AND(X150&lt;&gt;"",Y150=""),"Reworkte",IF(T150&lt;&gt;"","Kapandı"&amp;IF(COUNT(G150:R150)=0,""," – "&amp;LOOKUP(2,1/(G150:R150=MAX(G150:R150)),{"Tasarım","Ply Cutter","Üretim","Kalite (Üretim sonrası)","Talaşlı","Kalite (Talaşlı sonrası)","Montaj","Kalite (Montaj sonrası)","Boya","Kalite (Boya sonrası)","Yarı Mamül","KM"})),IF(COUNT(G150:R150)=0,"Başlamadı",LOOKUP(2,1/(G150:R150=MAX(G150:R150)),{"Tasarımda","Ply Cutter'da","Üretimde","Kalitede (Üretim sonrası)","Talaşlıda","Kalitede (Talaşlı sonrası)","Montajda","Kalitede (Montaj sonrası)","Boyada","Kalitede (Boya sonrası)","Yarı Mamülde","KM'de"}))))))</f>
        <v>Sevk Edildi</v>
      </c>
      <c r="AA150" s="184">
        <f t="shared" ca="1" si="36"/>
        <v>0</v>
      </c>
      <c r="AB150" s="182"/>
      <c r="AD150" s="147" t="str">
        <f>IF(OR($B150="",NOT(ISNUMBER(G150))),"",IF(COUNTIF(H150:$T150,G150)&gt;0,0,IF(COUNTIF($G150:$T150,"&gt;"&amp;G150)=0,"",SMALL($G150:$T150,COUNTIF($G150:$T150,"&lt;="&amp;G150)+1)-G150)))</f>
        <v/>
      </c>
      <c r="AE150" s="147" t="str">
        <f>IF(OR($B150="",NOT(ISNUMBER(H150))),"",IF(COUNTIF(I150:$T150,H150)&gt;0,0,IF(COUNTIF($G150:$T150,"&gt;"&amp;H150)=0,"",SMALL($G150:$T150,COUNTIF($G150:$T150,"&lt;="&amp;H150)+1)-H150)))</f>
        <v/>
      </c>
      <c r="AF150" s="147" t="str">
        <f>IF(OR($B150="",NOT(ISNUMBER(I150))),"",IF(COUNTIF(J150:$T150,I150)&gt;0,0,IF(COUNTIF($G150:$T150,"&gt;"&amp;I150)=0,"",SMALL($G150:$T150,COUNTIF($G150:$T150,"&lt;="&amp;I150)+1)-I150)))</f>
        <v/>
      </c>
      <c r="AG150" s="147" t="str">
        <f>IF(OR($B150="",NOT(ISNUMBER(J150))),"",IF(COUNTIF(K150:$T150,J150)&gt;0,0,IF(COUNTIF($G150:$T150,"&gt;"&amp;J150)=0,"",SMALL($G150:$T150,COUNTIF($G150:$T150,"&lt;="&amp;J150)+1)-J150)))</f>
        <v/>
      </c>
      <c r="AH150" s="147">
        <f>IF(OR($B150="",NOT(ISNUMBER(K150))),"",IF(COUNTIF(L150:$T150,K150)&gt;0,0,IF(COUNTIF($G150:$T150,"&gt;"&amp;K150)=0,"",SMALL($G150:$T150,COUNTIF($G150:$T150,"&lt;="&amp;K150)+1)-K150)))</f>
        <v>0</v>
      </c>
      <c r="AI150" s="147" t="str">
        <f>IF(OR($B150="",NOT(ISNUMBER(L150))),"",IF(COUNTIF(M150:$T150,L150)&gt;0,0,IF(COUNTIF($G150:$T150,"&gt;"&amp;L150)=0,"",SMALL($G150:$T150,COUNTIF($G150:$T150,"&lt;="&amp;L150)+1)-L150)))</f>
        <v/>
      </c>
      <c r="AJ150" s="147" t="str">
        <f>IF(OR($B150="",NOT(ISNUMBER(M150))),"",IF(COUNTIF(N150:$T150,M150)&gt;0,0,IF(COUNTIF($G150:$T150,"&gt;"&amp;M150)=0,"",SMALL($G150:$T150,COUNTIF($G150:$T150,"&lt;="&amp;M150)+1)-M150)))</f>
        <v/>
      </c>
      <c r="AK150" s="147" t="str">
        <f>IF(OR($B150="",NOT(ISNUMBER(N150))),"",IF(COUNTIF(O150:$T150,N150)&gt;0,0,IF(COUNTIF($G150:$T150,"&gt;"&amp;N150)=0,"",SMALL($G150:$T150,COUNTIF($G150:$T150,"&lt;="&amp;N150)+1)-N150)))</f>
        <v/>
      </c>
      <c r="AL150" s="147" t="str">
        <f>IF(OR($B150="",NOT(ISNUMBER(O150))),"",IF(COUNTIF(P150:$T150,O150)&gt;0,0,IF(COUNTIF($G150:$T150,"&gt;"&amp;O150)=0,"",SMALL($G150:$T150,COUNTIF($G150:$T150,"&lt;="&amp;O150)+1)-O150)))</f>
        <v/>
      </c>
      <c r="AM150" s="147" t="str">
        <f>IF(OR($B150="",NOT(ISNUMBER(P150))),"",IF(COUNTIF(Q150:$T150,P150)&gt;0,0,IF(COUNTIF($G150:$T150,"&gt;"&amp;P150)=0,"",SMALL($G150:$T150,COUNTIF($G150:$T150,"&lt;="&amp;P150)+1)-P150)))</f>
        <v/>
      </c>
      <c r="AN150" s="147" t="str">
        <f>IF(OR($B150="",NOT(ISNUMBER(Q150))),"",IF(COUNTIF(R150:$T150,Q150)&gt;0,0,IF(COUNTIF($G150:$T150,"&gt;"&amp;Q150)=0,"",SMALL($G150:$T150,COUNTIF($G150:$T150,"&lt;="&amp;Q150)+1)-Q150)))</f>
        <v/>
      </c>
      <c r="AO150" s="147" t="str">
        <f>IF(OR($B150="",NOT(ISNUMBER(R150))),"",IF(COUNTIF(S150:$T150,R150)&gt;0,0,IF(COUNTIF($G150:$T150,"&gt;"&amp;R150)=0,"",SMALL($G150:$T150,COUNTIF($G150:$T150,"&lt;="&amp;R150)+1)-R150)))</f>
        <v/>
      </c>
      <c r="AP150" s="147">
        <f t="shared" ca="1" si="37"/>
        <v>0</v>
      </c>
      <c r="AQ150" s="148" t="str">
        <f t="shared" si="38"/>
        <v/>
      </c>
      <c r="AR150" s="148" t="str">
        <f t="shared" si="39"/>
        <v/>
      </c>
      <c r="AS150" s="148" t="str">
        <f t="shared" si="40"/>
        <v/>
      </c>
      <c r="AT150" s="148" t="str">
        <f t="shared" si="41"/>
        <v/>
      </c>
      <c r="AU150" s="148">
        <f t="shared" si="42"/>
        <v>46294</v>
      </c>
      <c r="AV150" s="148" t="str">
        <f t="shared" si="43"/>
        <v/>
      </c>
      <c r="AW150" s="148" t="str">
        <f t="shared" si="44"/>
        <v/>
      </c>
      <c r="AX150" s="148" t="str">
        <f t="shared" si="45"/>
        <v/>
      </c>
      <c r="AY150" s="148" t="str">
        <f t="shared" si="46"/>
        <v/>
      </c>
      <c r="AZ150" s="148" t="str">
        <f t="shared" si="47"/>
        <v/>
      </c>
      <c r="BA150" s="148" t="str">
        <f t="shared" si="48"/>
        <v/>
      </c>
      <c r="BB150" s="148" t="str">
        <f t="shared" si="49"/>
        <v/>
      </c>
      <c r="BC150" s="148">
        <f t="shared" si="50"/>
        <v>46294</v>
      </c>
    </row>
    <row r="151" spans="1:55" x14ac:dyDescent="0.25">
      <c r="A151" s="151">
        <f t="shared" si="34"/>
        <v>149</v>
      </c>
      <c r="B151" s="151" t="s">
        <v>279</v>
      </c>
      <c r="C151" s="152" t="s">
        <v>113</v>
      </c>
      <c r="D151" s="151">
        <f t="shared" si="35"/>
        <v>1</v>
      </c>
      <c r="E151" s="151" t="s">
        <v>61</v>
      </c>
      <c r="F151" s="173">
        <v>46294</v>
      </c>
      <c r="G151" s="173"/>
      <c r="H151" s="173"/>
      <c r="I151" s="173">
        <v>46294</v>
      </c>
      <c r="J151" s="173">
        <v>46295</v>
      </c>
      <c r="K151" s="173"/>
      <c r="L151" s="173"/>
      <c r="M151" s="173"/>
      <c r="N151" s="173"/>
      <c r="O151" s="173"/>
      <c r="P151" s="173"/>
      <c r="Q151" s="173"/>
      <c r="R151" s="173"/>
      <c r="S151" s="173"/>
      <c r="T151" s="174">
        <v>46295</v>
      </c>
      <c r="U151" s="151"/>
      <c r="V151" s="152"/>
      <c r="W151" s="175"/>
      <c r="X151" s="173"/>
      <c r="Y151" s="173"/>
      <c r="Z151" s="176" t="str">
        <f>IF(B151="","",IF(S151&lt;&gt;"","Sevk Edildi",IF(AND(X151&lt;&gt;"",Y151=""),"Reworkte",IF(T151&lt;&gt;"","Kapandı"&amp;IF(COUNT(G151:R151)=0,""," – "&amp;LOOKUP(2,1/(G151:R151=MAX(G151:R151)),{"Tasarım","Ply Cutter","Üretim","Kalite (Üretim sonrası)","Talaşlı","Kalite (Talaşlı sonrası)","Montaj","Kalite (Montaj sonrası)","Boya","Kalite (Boya sonrası)","Yarı Mamül","KM"})),IF(COUNT(G151:R151)=0,"Başlamadı",LOOKUP(2,1/(G151:R151=MAX(G151:R151)),{"Tasarımda","Ply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51" s="177">
        <f t="shared" ca="1" si="36"/>
        <v>1</v>
      </c>
      <c r="AB151" s="175"/>
      <c r="AD151" t="str">
        <f>IF(OR($B151="",NOT(ISNUMBER(G151))),"",IF(COUNTIF(H151:$T151,G151)&gt;0,0,IF(COUNTIF($G151:$T151,"&gt;"&amp;G151)=0,"",SMALL($G151:$T151,COUNTIF($G151:$T151,"&lt;="&amp;G151)+1)-G151)))</f>
        <v/>
      </c>
      <c r="AE151" t="str">
        <f>IF(OR($B151="",NOT(ISNUMBER(H151))),"",IF(COUNTIF(I151:$T151,H151)&gt;0,0,IF(COUNTIF($G151:$T151,"&gt;"&amp;H151)=0,"",SMALL($G151:$T151,COUNTIF($G151:$T151,"&lt;="&amp;H151)+1)-H151)))</f>
        <v/>
      </c>
      <c r="AF151">
        <f>IF(OR($B151="",NOT(ISNUMBER(I151))),"",IF(COUNTIF(J151:$T151,I151)&gt;0,0,IF(COUNTIF($G151:$T151,"&gt;"&amp;I151)=0,"",SMALL($G151:$T151,COUNTIF($G151:$T151,"&lt;="&amp;I151)+1)-I151)))</f>
        <v>1</v>
      </c>
      <c r="AG151">
        <f>IF(OR($B151="",NOT(ISNUMBER(J151))),"",IF(COUNTIF(K151:$T151,J151)&gt;0,0,IF(COUNTIF($G151:$T151,"&gt;"&amp;J151)=0,"",SMALL($G151:$T151,COUNTIF($G151:$T151,"&lt;="&amp;J151)+1)-J151)))</f>
        <v>0</v>
      </c>
      <c r="AH151" t="str">
        <f>IF(OR($B151="",NOT(ISNUMBER(K151))),"",IF(COUNTIF(L151:$T151,K151)&gt;0,0,IF(COUNTIF($G151:$T151,"&gt;"&amp;K151)=0,"",SMALL($G151:$T151,COUNTIF($G151:$T151,"&lt;="&amp;K151)+1)-K151)))</f>
        <v/>
      </c>
      <c r="AI151" t="str">
        <f>IF(OR($B151="",NOT(ISNUMBER(L151))),"",IF(COUNTIF(M151:$T151,L151)&gt;0,0,IF(COUNTIF($G151:$T151,"&gt;"&amp;L151)=0,"",SMALL($G151:$T151,COUNTIF($G151:$T151,"&lt;="&amp;L151)+1)-L151)))</f>
        <v/>
      </c>
      <c r="AJ151" t="str">
        <f>IF(OR($B151="",NOT(ISNUMBER(M151))),"",IF(COUNTIF(N151:$T151,M151)&gt;0,0,IF(COUNTIF($G151:$T151,"&gt;"&amp;M151)=0,"",SMALL($G151:$T151,COUNTIF($G151:$T151,"&lt;="&amp;M151)+1)-M151)))</f>
        <v/>
      </c>
      <c r="AK151" t="str">
        <f>IF(OR($B151="",NOT(ISNUMBER(N151))),"",IF(COUNTIF(O151:$T151,N151)&gt;0,0,IF(COUNTIF($G151:$T151,"&gt;"&amp;N151)=0,"",SMALL($G151:$T151,COUNTIF($G151:$T151,"&lt;="&amp;N151)+1)-N151)))</f>
        <v/>
      </c>
      <c r="AL151" t="str">
        <f>IF(OR($B151="",NOT(ISNUMBER(O151))),"",IF(COUNTIF(P151:$T151,O151)&gt;0,0,IF(COUNTIF($G151:$T151,"&gt;"&amp;O151)=0,"",SMALL($G151:$T151,COUNTIF($G151:$T151,"&lt;="&amp;O151)+1)-O151)))</f>
        <v/>
      </c>
      <c r="AM151" t="str">
        <f>IF(OR($B151="",NOT(ISNUMBER(P151))),"",IF(COUNTIF(Q151:$T151,P151)&gt;0,0,IF(COUNTIF($G151:$T151,"&gt;"&amp;P151)=0,"",SMALL($G151:$T151,COUNTIF($G151:$T151,"&lt;="&amp;P151)+1)-P151)))</f>
        <v/>
      </c>
      <c r="AN151" t="str">
        <f>IF(OR($B151="",NOT(ISNUMBER(Q151))),"",IF(COUNTIF(R151:$T151,Q151)&gt;0,0,IF(COUNTIF($G151:$T151,"&gt;"&amp;Q151)=0,"",SMALL($G151:$T151,COUNTIF($G151:$T151,"&lt;="&amp;Q151)+1)-Q151)))</f>
        <v/>
      </c>
      <c r="AO151" t="str">
        <f>IF(OR($B151="",NOT(ISNUMBER(R151))),"",IF(COUNTIF(S151:$T151,R151)&gt;0,0,IF(COUNTIF($G151:$T151,"&gt;"&amp;R151)=0,"",SMALL($G151:$T151,COUNTIF($G151:$T151,"&lt;="&amp;R151)+1)-R151)))</f>
        <v/>
      </c>
      <c r="AP151">
        <f t="shared" ca="1" si="37"/>
        <v>0</v>
      </c>
      <c r="AQ151" s="25" t="str">
        <f t="shared" si="38"/>
        <v/>
      </c>
      <c r="AR151" s="25" t="str">
        <f t="shared" si="39"/>
        <v/>
      </c>
      <c r="AS151" s="25">
        <f t="shared" si="40"/>
        <v>46295</v>
      </c>
      <c r="AT151" s="25">
        <f t="shared" si="41"/>
        <v>46295</v>
      </c>
      <c r="AU151" s="25" t="str">
        <f t="shared" si="42"/>
        <v/>
      </c>
      <c r="AV151" s="25" t="str">
        <f t="shared" si="43"/>
        <v/>
      </c>
      <c r="AW151" s="25" t="str">
        <f t="shared" si="44"/>
        <v/>
      </c>
      <c r="AX151" s="25" t="str">
        <f t="shared" si="45"/>
        <v/>
      </c>
      <c r="AY151" s="25" t="str">
        <f t="shared" si="46"/>
        <v/>
      </c>
      <c r="AZ151" s="25" t="str">
        <f t="shared" si="47"/>
        <v/>
      </c>
      <c r="BA151" s="25" t="str">
        <f t="shared" si="48"/>
        <v/>
      </c>
      <c r="BB151" s="25" t="str">
        <f t="shared" si="49"/>
        <v/>
      </c>
      <c r="BC151" s="25">
        <f t="shared" si="50"/>
        <v>46295</v>
      </c>
    </row>
    <row r="152" spans="1:55" x14ac:dyDescent="0.25">
      <c r="A152" s="151">
        <f t="shared" si="34"/>
        <v>150</v>
      </c>
      <c r="B152" s="151" t="s">
        <v>280</v>
      </c>
      <c r="C152" s="152" t="s">
        <v>64</v>
      </c>
      <c r="D152" s="151">
        <f t="shared" si="35"/>
        <v>1</v>
      </c>
      <c r="E152" s="151" t="s">
        <v>61</v>
      </c>
      <c r="F152" s="173">
        <v>46294</v>
      </c>
      <c r="G152" s="173"/>
      <c r="H152" s="173"/>
      <c r="I152" s="173">
        <v>46294</v>
      </c>
      <c r="J152" s="173">
        <v>46296</v>
      </c>
      <c r="K152" s="173"/>
      <c r="L152" s="173"/>
      <c r="M152" s="173"/>
      <c r="N152" s="173"/>
      <c r="O152" s="173"/>
      <c r="P152" s="173"/>
      <c r="Q152" s="173">
        <v>46296</v>
      </c>
      <c r="R152" s="173"/>
      <c r="S152" s="173"/>
      <c r="T152" s="174">
        <v>46296</v>
      </c>
      <c r="U152" s="151"/>
      <c r="V152" s="152"/>
      <c r="W152" s="175"/>
      <c r="X152" s="173"/>
      <c r="Y152" s="173"/>
      <c r="Z152" s="176" t="str">
        <f>IF(B152="","",IF(S152&lt;&gt;"","Sevk Edildi",IF(AND(X152&lt;&gt;"",Y152=""),"Reworkte",IF(T152&lt;&gt;"","Kapandı"&amp;IF(COUNT(G152:R152)=0,""," – "&amp;LOOKUP(2,1/(G152:R152=MAX(G152:R152)),{"Tasarım","Ply Cutter","Üretim","Kalite (Üretim sonrası)","Talaşlı","Kalite (Talaşlı sonrası)","Montaj","Kalite (Montaj sonrası)","Boya","Kalite (Boya sonrası)","Yarı Mamül","KM"})),IF(COUNT(G152:R152)=0,"Başlamadı",LOOKUP(2,1/(G152:R152=MAX(G152:R152)),{"Tasarımda","Ply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52" s="177">
        <f t="shared" ca="1" si="36"/>
        <v>2</v>
      </c>
      <c r="AB152" s="175"/>
      <c r="AD152" t="str">
        <f>IF(OR($B152="",NOT(ISNUMBER(G152))),"",IF(COUNTIF(H152:$T152,G152)&gt;0,0,IF(COUNTIF($G152:$T152,"&gt;"&amp;G152)=0,"",SMALL($G152:$T152,COUNTIF($G152:$T152,"&lt;="&amp;G152)+1)-G152)))</f>
        <v/>
      </c>
      <c r="AE152" t="str">
        <f>IF(OR($B152="",NOT(ISNUMBER(H152))),"",IF(COUNTIF(I152:$T152,H152)&gt;0,0,IF(COUNTIF($G152:$T152,"&gt;"&amp;H152)=0,"",SMALL($G152:$T152,COUNTIF($G152:$T152,"&lt;="&amp;H152)+1)-H152)))</f>
        <v/>
      </c>
      <c r="AF152">
        <f>IF(OR($B152="",NOT(ISNUMBER(I152))),"",IF(COUNTIF(J152:$T152,I152)&gt;0,0,IF(COUNTIF($G152:$T152,"&gt;"&amp;I152)=0,"",SMALL($G152:$T152,COUNTIF($G152:$T152,"&lt;="&amp;I152)+1)-I152)))</f>
        <v>2</v>
      </c>
      <c r="AG152">
        <f>IF(OR($B152="",NOT(ISNUMBER(J152))),"",IF(COUNTIF(K152:$T152,J152)&gt;0,0,IF(COUNTIF($G152:$T152,"&gt;"&amp;J152)=0,"",SMALL($G152:$T152,COUNTIF($G152:$T152,"&lt;="&amp;J152)+1)-J152)))</f>
        <v>0</v>
      </c>
      <c r="AH152" t="str">
        <f>IF(OR($B152="",NOT(ISNUMBER(K152))),"",IF(COUNTIF(L152:$T152,K152)&gt;0,0,IF(COUNTIF($G152:$T152,"&gt;"&amp;K152)=0,"",SMALL($G152:$T152,COUNTIF($G152:$T152,"&lt;="&amp;K152)+1)-K152)))</f>
        <v/>
      </c>
      <c r="AI152" t="str">
        <f>IF(OR($B152="",NOT(ISNUMBER(L152))),"",IF(COUNTIF(M152:$T152,L152)&gt;0,0,IF(COUNTIF($G152:$T152,"&gt;"&amp;L152)=0,"",SMALL($G152:$T152,COUNTIF($G152:$T152,"&lt;="&amp;L152)+1)-L152)))</f>
        <v/>
      </c>
      <c r="AJ152" t="str">
        <f>IF(OR($B152="",NOT(ISNUMBER(M152))),"",IF(COUNTIF(N152:$T152,M152)&gt;0,0,IF(COUNTIF($G152:$T152,"&gt;"&amp;M152)=0,"",SMALL($G152:$T152,COUNTIF($G152:$T152,"&lt;="&amp;M152)+1)-M152)))</f>
        <v/>
      </c>
      <c r="AK152" t="str">
        <f>IF(OR($B152="",NOT(ISNUMBER(N152))),"",IF(COUNTIF(O152:$T152,N152)&gt;0,0,IF(COUNTIF($G152:$T152,"&gt;"&amp;N152)=0,"",SMALL($G152:$T152,COUNTIF($G152:$T152,"&lt;="&amp;N152)+1)-N152)))</f>
        <v/>
      </c>
      <c r="AL152" t="str">
        <f>IF(OR($B152="",NOT(ISNUMBER(O152))),"",IF(COUNTIF(P152:$T152,O152)&gt;0,0,IF(COUNTIF($G152:$T152,"&gt;"&amp;O152)=0,"",SMALL($G152:$T152,COUNTIF($G152:$T152,"&lt;="&amp;O152)+1)-O152)))</f>
        <v/>
      </c>
      <c r="AM152" t="str">
        <f>IF(OR($B152="",NOT(ISNUMBER(P152))),"",IF(COUNTIF(Q152:$T152,P152)&gt;0,0,IF(COUNTIF($G152:$T152,"&gt;"&amp;P152)=0,"",SMALL($G152:$T152,COUNTIF($G152:$T152,"&lt;="&amp;P152)+1)-P152)))</f>
        <v/>
      </c>
      <c r="AN152">
        <f>IF(OR($B152="",NOT(ISNUMBER(Q152))),"",IF(COUNTIF(R152:$T152,Q152)&gt;0,0,IF(COUNTIF($G152:$T152,"&gt;"&amp;Q152)=0,"",SMALL($G152:$T152,COUNTIF($G152:$T152,"&lt;="&amp;Q152)+1)-Q152)))</f>
        <v>0</v>
      </c>
      <c r="AO152" t="str">
        <f>IF(OR($B152="",NOT(ISNUMBER(R152))),"",IF(COUNTIF(S152:$T152,R152)&gt;0,0,IF(COUNTIF($G152:$T152,"&gt;"&amp;R152)=0,"",SMALL($G152:$T152,COUNTIF($G152:$T152,"&lt;="&amp;R152)+1)-R152)))</f>
        <v/>
      </c>
      <c r="AP152">
        <f t="shared" ca="1" si="37"/>
        <v>0</v>
      </c>
      <c r="AQ152" s="25" t="str">
        <f t="shared" si="38"/>
        <v/>
      </c>
      <c r="AR152" s="25" t="str">
        <f t="shared" si="39"/>
        <v/>
      </c>
      <c r="AS152" s="25">
        <f t="shared" si="40"/>
        <v>46296</v>
      </c>
      <c r="AT152" s="25">
        <f t="shared" si="41"/>
        <v>46296</v>
      </c>
      <c r="AU152" s="25" t="str">
        <f t="shared" si="42"/>
        <v/>
      </c>
      <c r="AV152" s="25" t="str">
        <f t="shared" si="43"/>
        <v/>
      </c>
      <c r="AW152" s="25" t="str">
        <f t="shared" si="44"/>
        <v/>
      </c>
      <c r="AX152" s="25" t="str">
        <f t="shared" si="45"/>
        <v/>
      </c>
      <c r="AY152" s="25" t="str">
        <f t="shared" si="46"/>
        <v/>
      </c>
      <c r="AZ152" s="25" t="str">
        <f t="shared" si="47"/>
        <v/>
      </c>
      <c r="BA152" s="25">
        <f t="shared" si="48"/>
        <v>46296</v>
      </c>
      <c r="BB152" s="25" t="str">
        <f t="shared" si="49"/>
        <v/>
      </c>
      <c r="BC152" s="25">
        <f t="shared" si="50"/>
        <v>46296</v>
      </c>
    </row>
    <row r="153" spans="1:55" x14ac:dyDescent="0.25">
      <c r="A153" s="151">
        <f t="shared" si="34"/>
        <v>151</v>
      </c>
      <c r="B153" s="151" t="s">
        <v>281</v>
      </c>
      <c r="C153" s="152" t="s">
        <v>64</v>
      </c>
      <c r="D153" s="151">
        <f t="shared" si="35"/>
        <v>1</v>
      </c>
      <c r="E153" s="151" t="s">
        <v>61</v>
      </c>
      <c r="F153" s="173">
        <v>46294</v>
      </c>
      <c r="G153" s="173"/>
      <c r="H153" s="173"/>
      <c r="I153" s="173">
        <v>46294</v>
      </c>
      <c r="J153" s="173">
        <v>46296</v>
      </c>
      <c r="K153" s="173"/>
      <c r="L153" s="173"/>
      <c r="M153" s="173"/>
      <c r="N153" s="173"/>
      <c r="O153" s="173"/>
      <c r="P153" s="173"/>
      <c r="Q153" s="173">
        <v>46296</v>
      </c>
      <c r="R153" s="173"/>
      <c r="S153" s="173"/>
      <c r="T153" s="174">
        <v>46296</v>
      </c>
      <c r="U153" s="151"/>
      <c r="V153" s="152"/>
      <c r="W153" s="175"/>
      <c r="X153" s="173"/>
      <c r="Y153" s="173"/>
      <c r="Z153" s="176" t="str">
        <f>IF(B153="","",IF(S153&lt;&gt;"","Sevk Edildi",IF(AND(X153&lt;&gt;"",Y153=""),"Reworkte",IF(T153&lt;&gt;"","Kapandı"&amp;IF(COUNT(G153:R153)=0,""," – "&amp;LOOKUP(2,1/(G153:R153=MAX(G153:R153)),{"Tasarım","Ply Cutter","Üretim","Kalite (Üretim sonrası)","Talaşlı","Kalite (Talaşlı sonrası)","Montaj","Kalite (Montaj sonrası)","Boya","Kalite (Boya sonrası)","Yarı Mamül","KM"})),IF(COUNT(G153:R153)=0,"Başlamadı",LOOKUP(2,1/(G153:R153=MAX(G153:R153)),{"Tasarımda","Ply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53" s="177">
        <f t="shared" ca="1" si="36"/>
        <v>2</v>
      </c>
      <c r="AB153" s="175"/>
      <c r="AD153" t="str">
        <f>IF(OR($B153="",NOT(ISNUMBER(G153))),"",IF(COUNTIF(H153:$T153,G153)&gt;0,0,IF(COUNTIF($G153:$T153,"&gt;"&amp;G153)=0,"",SMALL($G153:$T153,COUNTIF($G153:$T153,"&lt;="&amp;G153)+1)-G153)))</f>
        <v/>
      </c>
      <c r="AE153" t="str">
        <f>IF(OR($B153="",NOT(ISNUMBER(H153))),"",IF(COUNTIF(I153:$T153,H153)&gt;0,0,IF(COUNTIF($G153:$T153,"&gt;"&amp;H153)=0,"",SMALL($G153:$T153,COUNTIF($G153:$T153,"&lt;="&amp;H153)+1)-H153)))</f>
        <v/>
      </c>
      <c r="AF153">
        <f>IF(OR($B153="",NOT(ISNUMBER(I153))),"",IF(COUNTIF(J153:$T153,I153)&gt;0,0,IF(COUNTIF($G153:$T153,"&gt;"&amp;I153)=0,"",SMALL($G153:$T153,COUNTIF($G153:$T153,"&lt;="&amp;I153)+1)-I153)))</f>
        <v>2</v>
      </c>
      <c r="AG153">
        <f>IF(OR($B153="",NOT(ISNUMBER(J153))),"",IF(COUNTIF(K153:$T153,J153)&gt;0,0,IF(COUNTIF($G153:$T153,"&gt;"&amp;J153)=0,"",SMALL($G153:$T153,COUNTIF($G153:$T153,"&lt;="&amp;J153)+1)-J153)))</f>
        <v>0</v>
      </c>
      <c r="AH153" t="str">
        <f>IF(OR($B153="",NOT(ISNUMBER(K153))),"",IF(COUNTIF(L153:$T153,K153)&gt;0,0,IF(COUNTIF($G153:$T153,"&gt;"&amp;K153)=0,"",SMALL($G153:$T153,COUNTIF($G153:$T153,"&lt;="&amp;K153)+1)-K153)))</f>
        <v/>
      </c>
      <c r="AI153" t="str">
        <f>IF(OR($B153="",NOT(ISNUMBER(L153))),"",IF(COUNTIF(M153:$T153,L153)&gt;0,0,IF(COUNTIF($G153:$T153,"&gt;"&amp;L153)=0,"",SMALL($G153:$T153,COUNTIF($G153:$T153,"&lt;="&amp;L153)+1)-L153)))</f>
        <v/>
      </c>
      <c r="AJ153" t="str">
        <f>IF(OR($B153="",NOT(ISNUMBER(M153))),"",IF(COUNTIF(N153:$T153,M153)&gt;0,0,IF(COUNTIF($G153:$T153,"&gt;"&amp;M153)=0,"",SMALL($G153:$T153,COUNTIF($G153:$T153,"&lt;="&amp;M153)+1)-M153)))</f>
        <v/>
      </c>
      <c r="AK153" t="str">
        <f>IF(OR($B153="",NOT(ISNUMBER(N153))),"",IF(COUNTIF(O153:$T153,N153)&gt;0,0,IF(COUNTIF($G153:$T153,"&gt;"&amp;N153)=0,"",SMALL($G153:$T153,COUNTIF($G153:$T153,"&lt;="&amp;N153)+1)-N153)))</f>
        <v/>
      </c>
      <c r="AL153" t="str">
        <f>IF(OR($B153="",NOT(ISNUMBER(O153))),"",IF(COUNTIF(P153:$T153,O153)&gt;0,0,IF(COUNTIF($G153:$T153,"&gt;"&amp;O153)=0,"",SMALL($G153:$T153,COUNTIF($G153:$T153,"&lt;="&amp;O153)+1)-O153)))</f>
        <v/>
      </c>
      <c r="AM153" t="str">
        <f>IF(OR($B153="",NOT(ISNUMBER(P153))),"",IF(COUNTIF(Q153:$T153,P153)&gt;0,0,IF(COUNTIF($G153:$T153,"&gt;"&amp;P153)=0,"",SMALL($G153:$T153,COUNTIF($G153:$T153,"&lt;="&amp;P153)+1)-P153)))</f>
        <v/>
      </c>
      <c r="AN153">
        <f>IF(OR($B153="",NOT(ISNUMBER(Q153))),"",IF(COUNTIF(R153:$T153,Q153)&gt;0,0,IF(COUNTIF($G153:$T153,"&gt;"&amp;Q153)=0,"",SMALL($G153:$T153,COUNTIF($G153:$T153,"&lt;="&amp;Q153)+1)-Q153)))</f>
        <v>0</v>
      </c>
      <c r="AO153" t="str">
        <f>IF(OR($B153="",NOT(ISNUMBER(R153))),"",IF(COUNTIF(S153:$T153,R153)&gt;0,0,IF(COUNTIF($G153:$T153,"&gt;"&amp;R153)=0,"",SMALL($G153:$T153,COUNTIF($G153:$T153,"&lt;="&amp;R153)+1)-R153)))</f>
        <v/>
      </c>
      <c r="AP153">
        <f t="shared" ca="1" si="37"/>
        <v>0</v>
      </c>
      <c r="AQ153" s="25" t="str">
        <f t="shared" si="38"/>
        <v/>
      </c>
      <c r="AR153" s="25" t="str">
        <f t="shared" si="39"/>
        <v/>
      </c>
      <c r="AS153" s="25">
        <f t="shared" si="40"/>
        <v>46296</v>
      </c>
      <c r="AT153" s="25">
        <f t="shared" si="41"/>
        <v>46296</v>
      </c>
      <c r="AU153" s="25" t="str">
        <f t="shared" si="42"/>
        <v/>
      </c>
      <c r="AV153" s="25" t="str">
        <f t="shared" si="43"/>
        <v/>
      </c>
      <c r="AW153" s="25" t="str">
        <f t="shared" si="44"/>
        <v/>
      </c>
      <c r="AX153" s="25" t="str">
        <f t="shared" si="45"/>
        <v/>
      </c>
      <c r="AY153" s="25" t="str">
        <f t="shared" si="46"/>
        <v/>
      </c>
      <c r="AZ153" s="25" t="str">
        <f t="shared" si="47"/>
        <v/>
      </c>
      <c r="BA153" s="25">
        <f t="shared" si="48"/>
        <v>46296</v>
      </c>
      <c r="BB153" s="25" t="str">
        <f t="shared" si="49"/>
        <v/>
      </c>
      <c r="BC153" s="25">
        <f t="shared" si="50"/>
        <v>46296</v>
      </c>
    </row>
    <row r="154" spans="1:55" x14ac:dyDescent="0.25">
      <c r="A154" s="151">
        <f t="shared" si="34"/>
        <v>152</v>
      </c>
      <c r="B154" s="151" t="s">
        <v>282</v>
      </c>
      <c r="C154" s="152" t="s">
        <v>107</v>
      </c>
      <c r="D154" s="151">
        <f t="shared" si="35"/>
        <v>1</v>
      </c>
      <c r="E154" s="151" t="s">
        <v>61</v>
      </c>
      <c r="F154" s="173">
        <v>46294</v>
      </c>
      <c r="G154" s="173"/>
      <c r="H154" s="173"/>
      <c r="I154" s="173">
        <v>46294</v>
      </c>
      <c r="J154" s="173">
        <v>46296</v>
      </c>
      <c r="K154" s="173"/>
      <c r="L154" s="173"/>
      <c r="M154" s="173"/>
      <c r="N154" s="173"/>
      <c r="O154" s="173"/>
      <c r="P154" s="173"/>
      <c r="Q154" s="173"/>
      <c r="R154" s="173"/>
      <c r="S154" s="173"/>
      <c r="T154" s="174">
        <v>46296</v>
      </c>
      <c r="U154" s="151"/>
      <c r="V154" s="152"/>
      <c r="W154" s="175"/>
      <c r="X154" s="173"/>
      <c r="Y154" s="173"/>
      <c r="Z154" s="176" t="str">
        <f>IF(B154="","",IF(S154&lt;&gt;"","Sevk Edildi",IF(AND(X154&lt;&gt;"",Y154=""),"Reworkte",IF(T154&lt;&gt;"","Kapandı"&amp;IF(COUNT(G154:R154)=0,""," – "&amp;LOOKUP(2,1/(G154:R154=MAX(G154:R154)),{"Tasarım","Ply Cutter","Üretim","Kalite (Üretim sonrası)","Talaşlı","Kalite (Talaşlı sonrası)","Montaj","Kalite (Montaj sonrası)","Boya","Kalite (Boya sonrası)","Yarı Mamül","KM"})),IF(COUNT(G154:R154)=0,"Başlamadı",LOOKUP(2,1/(G154:R154=MAX(G154:R154)),{"Tasarımda","Ply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54" s="177">
        <f t="shared" ca="1" si="36"/>
        <v>2</v>
      </c>
      <c r="AB154" s="175"/>
      <c r="AD154" t="str">
        <f>IF(OR($B154="",NOT(ISNUMBER(G154))),"",IF(COUNTIF(H154:$T154,G154)&gt;0,0,IF(COUNTIF($G154:$T154,"&gt;"&amp;G154)=0,"",SMALL($G154:$T154,COUNTIF($G154:$T154,"&lt;="&amp;G154)+1)-G154)))</f>
        <v/>
      </c>
      <c r="AE154" t="str">
        <f>IF(OR($B154="",NOT(ISNUMBER(H154))),"",IF(COUNTIF(I154:$T154,H154)&gt;0,0,IF(COUNTIF($G154:$T154,"&gt;"&amp;H154)=0,"",SMALL($G154:$T154,COUNTIF($G154:$T154,"&lt;="&amp;H154)+1)-H154)))</f>
        <v/>
      </c>
      <c r="AF154">
        <f>IF(OR($B154="",NOT(ISNUMBER(I154))),"",IF(COUNTIF(J154:$T154,I154)&gt;0,0,IF(COUNTIF($G154:$T154,"&gt;"&amp;I154)=0,"",SMALL($G154:$T154,COUNTIF($G154:$T154,"&lt;="&amp;I154)+1)-I154)))</f>
        <v>2</v>
      </c>
      <c r="AG154">
        <f>IF(OR($B154="",NOT(ISNUMBER(J154))),"",IF(COUNTIF(K154:$T154,J154)&gt;0,0,IF(COUNTIF($G154:$T154,"&gt;"&amp;J154)=0,"",SMALL($G154:$T154,COUNTIF($G154:$T154,"&lt;="&amp;J154)+1)-J154)))</f>
        <v>0</v>
      </c>
      <c r="AH154" t="str">
        <f>IF(OR($B154="",NOT(ISNUMBER(K154))),"",IF(COUNTIF(L154:$T154,K154)&gt;0,0,IF(COUNTIF($G154:$T154,"&gt;"&amp;K154)=0,"",SMALL($G154:$T154,COUNTIF($G154:$T154,"&lt;="&amp;K154)+1)-K154)))</f>
        <v/>
      </c>
      <c r="AI154" t="str">
        <f>IF(OR($B154="",NOT(ISNUMBER(L154))),"",IF(COUNTIF(M154:$T154,L154)&gt;0,0,IF(COUNTIF($G154:$T154,"&gt;"&amp;L154)=0,"",SMALL($G154:$T154,COUNTIF($G154:$T154,"&lt;="&amp;L154)+1)-L154)))</f>
        <v/>
      </c>
      <c r="AJ154" t="str">
        <f>IF(OR($B154="",NOT(ISNUMBER(M154))),"",IF(COUNTIF(N154:$T154,M154)&gt;0,0,IF(COUNTIF($G154:$T154,"&gt;"&amp;M154)=0,"",SMALL($G154:$T154,COUNTIF($G154:$T154,"&lt;="&amp;M154)+1)-M154)))</f>
        <v/>
      </c>
      <c r="AK154" t="str">
        <f>IF(OR($B154="",NOT(ISNUMBER(N154))),"",IF(COUNTIF(O154:$T154,N154)&gt;0,0,IF(COUNTIF($G154:$T154,"&gt;"&amp;N154)=0,"",SMALL($G154:$T154,COUNTIF($G154:$T154,"&lt;="&amp;N154)+1)-N154)))</f>
        <v/>
      </c>
      <c r="AL154" t="str">
        <f>IF(OR($B154="",NOT(ISNUMBER(O154))),"",IF(COUNTIF(P154:$T154,O154)&gt;0,0,IF(COUNTIF($G154:$T154,"&gt;"&amp;O154)=0,"",SMALL($G154:$T154,COUNTIF($G154:$T154,"&lt;="&amp;O154)+1)-O154)))</f>
        <v/>
      </c>
      <c r="AM154" t="str">
        <f>IF(OR($B154="",NOT(ISNUMBER(P154))),"",IF(COUNTIF(Q154:$T154,P154)&gt;0,0,IF(COUNTIF($G154:$T154,"&gt;"&amp;P154)=0,"",SMALL($G154:$T154,COUNTIF($G154:$T154,"&lt;="&amp;P154)+1)-P154)))</f>
        <v/>
      </c>
      <c r="AN154" t="str">
        <f>IF(OR($B154="",NOT(ISNUMBER(Q154))),"",IF(COUNTIF(R154:$T154,Q154)&gt;0,0,IF(COUNTIF($G154:$T154,"&gt;"&amp;Q154)=0,"",SMALL($G154:$T154,COUNTIF($G154:$T154,"&lt;="&amp;Q154)+1)-Q154)))</f>
        <v/>
      </c>
      <c r="AO154" t="str">
        <f>IF(OR($B154="",NOT(ISNUMBER(R154))),"",IF(COUNTIF(S154:$T154,R154)&gt;0,0,IF(COUNTIF($G154:$T154,"&gt;"&amp;R154)=0,"",SMALL($G154:$T154,COUNTIF($G154:$T154,"&lt;="&amp;R154)+1)-R154)))</f>
        <v/>
      </c>
      <c r="AP154">
        <f t="shared" ca="1" si="37"/>
        <v>0</v>
      </c>
      <c r="AQ154" s="25" t="str">
        <f t="shared" si="38"/>
        <v/>
      </c>
      <c r="AR154" s="25" t="str">
        <f t="shared" si="39"/>
        <v/>
      </c>
      <c r="AS154" s="25">
        <f t="shared" si="40"/>
        <v>46296</v>
      </c>
      <c r="AT154" s="25">
        <f t="shared" si="41"/>
        <v>46296</v>
      </c>
      <c r="AU154" s="25" t="str">
        <f t="shared" si="42"/>
        <v/>
      </c>
      <c r="AV154" s="25" t="str">
        <f t="shared" si="43"/>
        <v/>
      </c>
      <c r="AW154" s="25" t="str">
        <f t="shared" si="44"/>
        <v/>
      </c>
      <c r="AX154" s="25" t="str">
        <f t="shared" si="45"/>
        <v/>
      </c>
      <c r="AY154" s="25" t="str">
        <f t="shared" si="46"/>
        <v/>
      </c>
      <c r="AZ154" s="25" t="str">
        <f t="shared" si="47"/>
        <v/>
      </c>
      <c r="BA154" s="25" t="str">
        <f t="shared" si="48"/>
        <v/>
      </c>
      <c r="BB154" s="25" t="str">
        <f t="shared" si="49"/>
        <v/>
      </c>
      <c r="BC154" s="25">
        <f t="shared" si="50"/>
        <v>46296</v>
      </c>
    </row>
    <row r="155" spans="1:55" x14ac:dyDescent="0.25">
      <c r="A155" s="151">
        <f t="shared" si="34"/>
        <v>153</v>
      </c>
      <c r="B155" s="151" t="s">
        <v>283</v>
      </c>
      <c r="C155" s="152" t="s">
        <v>107</v>
      </c>
      <c r="D155" s="151">
        <f t="shared" si="35"/>
        <v>1</v>
      </c>
      <c r="E155" s="151" t="s">
        <v>61</v>
      </c>
      <c r="F155" s="173">
        <v>46294</v>
      </c>
      <c r="G155" s="173"/>
      <c r="H155" s="173"/>
      <c r="I155" s="173">
        <v>46294</v>
      </c>
      <c r="J155" s="173">
        <v>46295</v>
      </c>
      <c r="K155" s="173"/>
      <c r="L155" s="173"/>
      <c r="M155" s="173"/>
      <c r="N155" s="173"/>
      <c r="O155" s="173"/>
      <c r="P155" s="173"/>
      <c r="Q155" s="173">
        <v>46296</v>
      </c>
      <c r="R155" s="173"/>
      <c r="S155" s="173"/>
      <c r="T155" s="174">
        <v>46296</v>
      </c>
      <c r="U155" s="151"/>
      <c r="V155" s="152"/>
      <c r="W155" s="175"/>
      <c r="X155" s="173"/>
      <c r="Y155" s="173"/>
      <c r="Z155" s="176" t="str">
        <f>IF(B155="","",IF(S155&lt;&gt;"","Sevk Edildi",IF(AND(X155&lt;&gt;"",Y155=""),"Reworkte",IF(T155&lt;&gt;"","Kapandı"&amp;IF(COUNT(G155:R155)=0,""," – "&amp;LOOKUP(2,1/(G155:R155=MAX(G155:R155)),{"Tasarım","Ply Cutter","Üretim","Kalite (Üretim sonrası)","Talaşlı","Kalite (Talaşlı sonrası)","Montaj","Kalite (Montaj sonrası)","Boya","Kalite (Boya sonrası)","Yarı Mamül","KM"})),IF(COUNT(G155:R155)=0,"Başlamadı",LOOKUP(2,1/(G155:R155=MAX(G155:R155)),{"Tasarımda","Ply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55" s="177">
        <f t="shared" ca="1" si="36"/>
        <v>2</v>
      </c>
      <c r="AB155" s="175"/>
      <c r="AD155" t="str">
        <f>IF(OR($B155="",NOT(ISNUMBER(G155))),"",IF(COUNTIF(H155:$T155,G155)&gt;0,0,IF(COUNTIF($G155:$T155,"&gt;"&amp;G155)=0,"",SMALL($G155:$T155,COUNTIF($G155:$T155,"&lt;="&amp;G155)+1)-G155)))</f>
        <v/>
      </c>
      <c r="AE155" t="str">
        <f>IF(OR($B155="",NOT(ISNUMBER(H155))),"",IF(COUNTIF(I155:$T155,H155)&gt;0,0,IF(COUNTIF($G155:$T155,"&gt;"&amp;H155)=0,"",SMALL($G155:$T155,COUNTIF($G155:$T155,"&lt;="&amp;H155)+1)-H155)))</f>
        <v/>
      </c>
      <c r="AF155">
        <f>IF(OR($B155="",NOT(ISNUMBER(I155))),"",IF(COUNTIF(J155:$T155,I155)&gt;0,0,IF(COUNTIF($G155:$T155,"&gt;"&amp;I155)=0,"",SMALL($G155:$T155,COUNTIF($G155:$T155,"&lt;="&amp;I155)+1)-I155)))</f>
        <v>1</v>
      </c>
      <c r="AG155">
        <f>IF(OR($B155="",NOT(ISNUMBER(J155))),"",IF(COUNTIF(K155:$T155,J155)&gt;0,0,IF(COUNTIF($G155:$T155,"&gt;"&amp;J155)=0,"",SMALL($G155:$T155,COUNTIF($G155:$T155,"&lt;="&amp;J155)+1)-J155)))</f>
        <v>1</v>
      </c>
      <c r="AH155" t="str">
        <f>IF(OR($B155="",NOT(ISNUMBER(K155))),"",IF(COUNTIF(L155:$T155,K155)&gt;0,0,IF(COUNTIF($G155:$T155,"&gt;"&amp;K155)=0,"",SMALL($G155:$T155,COUNTIF($G155:$T155,"&lt;="&amp;K155)+1)-K155)))</f>
        <v/>
      </c>
      <c r="AI155" t="str">
        <f>IF(OR($B155="",NOT(ISNUMBER(L155))),"",IF(COUNTIF(M155:$T155,L155)&gt;0,0,IF(COUNTIF($G155:$T155,"&gt;"&amp;L155)=0,"",SMALL($G155:$T155,COUNTIF($G155:$T155,"&lt;="&amp;L155)+1)-L155)))</f>
        <v/>
      </c>
      <c r="AJ155" t="str">
        <f>IF(OR($B155="",NOT(ISNUMBER(M155))),"",IF(COUNTIF(N155:$T155,M155)&gt;0,0,IF(COUNTIF($G155:$T155,"&gt;"&amp;M155)=0,"",SMALL($G155:$T155,COUNTIF($G155:$T155,"&lt;="&amp;M155)+1)-M155)))</f>
        <v/>
      </c>
      <c r="AK155" t="str">
        <f>IF(OR($B155="",NOT(ISNUMBER(N155))),"",IF(COUNTIF(O155:$T155,N155)&gt;0,0,IF(COUNTIF($G155:$T155,"&gt;"&amp;N155)=0,"",SMALL($G155:$T155,COUNTIF($G155:$T155,"&lt;="&amp;N155)+1)-N155)))</f>
        <v/>
      </c>
      <c r="AL155" t="str">
        <f>IF(OR($B155="",NOT(ISNUMBER(O155))),"",IF(COUNTIF(P155:$T155,O155)&gt;0,0,IF(COUNTIF($G155:$T155,"&gt;"&amp;O155)=0,"",SMALL($G155:$T155,COUNTIF($G155:$T155,"&lt;="&amp;O155)+1)-O155)))</f>
        <v/>
      </c>
      <c r="AM155" t="str">
        <f>IF(OR($B155="",NOT(ISNUMBER(P155))),"",IF(COUNTIF(Q155:$T155,P155)&gt;0,0,IF(COUNTIF($G155:$T155,"&gt;"&amp;P155)=0,"",SMALL($G155:$T155,COUNTIF($G155:$T155,"&lt;="&amp;P155)+1)-P155)))</f>
        <v/>
      </c>
      <c r="AN155">
        <f>IF(OR($B155="",NOT(ISNUMBER(Q155))),"",IF(COUNTIF(R155:$T155,Q155)&gt;0,0,IF(COUNTIF($G155:$T155,"&gt;"&amp;Q155)=0,"",SMALL($G155:$T155,COUNTIF($G155:$T155,"&lt;="&amp;Q155)+1)-Q155)))</f>
        <v>0</v>
      </c>
      <c r="AO155" t="str">
        <f>IF(OR($B155="",NOT(ISNUMBER(R155))),"",IF(COUNTIF(S155:$T155,R155)&gt;0,0,IF(COUNTIF($G155:$T155,"&gt;"&amp;R155)=0,"",SMALL($G155:$T155,COUNTIF($G155:$T155,"&lt;="&amp;R155)+1)-R155)))</f>
        <v/>
      </c>
      <c r="AP155">
        <f t="shared" ca="1" si="37"/>
        <v>0</v>
      </c>
      <c r="AQ155" s="25" t="str">
        <f t="shared" si="38"/>
        <v/>
      </c>
      <c r="AR155" s="25" t="str">
        <f t="shared" si="39"/>
        <v/>
      </c>
      <c r="AS155" s="25">
        <f t="shared" si="40"/>
        <v>46295</v>
      </c>
      <c r="AT155" s="25">
        <f t="shared" si="41"/>
        <v>46296</v>
      </c>
      <c r="AU155" s="25" t="str">
        <f t="shared" si="42"/>
        <v/>
      </c>
      <c r="AV155" s="25" t="str">
        <f t="shared" si="43"/>
        <v/>
      </c>
      <c r="AW155" s="25" t="str">
        <f t="shared" si="44"/>
        <v/>
      </c>
      <c r="AX155" s="25" t="str">
        <f t="shared" si="45"/>
        <v/>
      </c>
      <c r="AY155" s="25" t="str">
        <f t="shared" si="46"/>
        <v/>
      </c>
      <c r="AZ155" s="25" t="str">
        <f t="shared" si="47"/>
        <v/>
      </c>
      <c r="BA155" s="25">
        <f t="shared" si="48"/>
        <v>46296</v>
      </c>
      <c r="BB155" s="25" t="str">
        <f t="shared" si="49"/>
        <v/>
      </c>
      <c r="BC155" s="25">
        <f t="shared" si="50"/>
        <v>46296</v>
      </c>
    </row>
    <row r="156" spans="1:55" x14ac:dyDescent="0.25">
      <c r="A156" s="151">
        <f t="shared" si="34"/>
        <v>154</v>
      </c>
      <c r="B156" s="151" t="s">
        <v>284</v>
      </c>
      <c r="C156" s="152" t="s">
        <v>285</v>
      </c>
      <c r="D156" s="151">
        <f t="shared" si="35"/>
        <v>1</v>
      </c>
      <c r="E156" s="151" t="s">
        <v>61</v>
      </c>
      <c r="F156" s="173">
        <v>46294</v>
      </c>
      <c r="G156" s="173"/>
      <c r="H156" s="173"/>
      <c r="I156" s="173">
        <v>46294</v>
      </c>
      <c r="J156" s="173">
        <v>46295</v>
      </c>
      <c r="K156" s="173"/>
      <c r="L156" s="173"/>
      <c r="M156" s="173"/>
      <c r="N156" s="173"/>
      <c r="O156" s="173"/>
      <c r="P156" s="173"/>
      <c r="Q156" s="173">
        <v>46295</v>
      </c>
      <c r="R156" s="173"/>
      <c r="S156" s="173"/>
      <c r="T156" s="174">
        <v>46295</v>
      </c>
      <c r="U156" s="151"/>
      <c r="V156" s="152"/>
      <c r="W156" s="175"/>
      <c r="X156" s="173"/>
      <c r="Y156" s="173"/>
      <c r="Z156" s="176" t="str">
        <f>IF(B156="","",IF(S156&lt;&gt;"","Sevk Edildi",IF(AND(X156&lt;&gt;"",Y156=""),"Reworkte",IF(T156&lt;&gt;"","Kapandı"&amp;IF(COUNT(G156:R156)=0,""," – "&amp;LOOKUP(2,1/(G156:R156=MAX(G156:R156)),{"Tasarım","Ply Cutter","Üretim","Kalite (Üretim sonrası)","Talaşlı","Kalite (Talaşlı sonrası)","Montaj","Kalite (Montaj sonrası)","Boya","Kalite (Boya sonrası)","Yarı Mamül","KM"})),IF(COUNT(G156:R156)=0,"Başlamadı",LOOKUP(2,1/(G156:R156=MAX(G156:R156)),{"Tasarımda","Ply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56" s="177">
        <f t="shared" ca="1" si="36"/>
        <v>1</v>
      </c>
      <c r="AB156" s="175"/>
      <c r="AD156" t="str">
        <f>IF(OR($B156="",NOT(ISNUMBER(G156))),"",IF(COUNTIF(H156:$T156,G156)&gt;0,0,IF(COUNTIF($G156:$T156,"&gt;"&amp;G156)=0,"",SMALL($G156:$T156,COUNTIF($G156:$T156,"&lt;="&amp;G156)+1)-G156)))</f>
        <v/>
      </c>
      <c r="AE156" t="str">
        <f>IF(OR($B156="",NOT(ISNUMBER(H156))),"",IF(COUNTIF(I156:$T156,H156)&gt;0,0,IF(COUNTIF($G156:$T156,"&gt;"&amp;H156)=0,"",SMALL($G156:$T156,COUNTIF($G156:$T156,"&lt;="&amp;H156)+1)-H156)))</f>
        <v/>
      </c>
      <c r="AF156">
        <f>IF(OR($B156="",NOT(ISNUMBER(I156))),"",IF(COUNTIF(J156:$T156,I156)&gt;0,0,IF(COUNTIF($G156:$T156,"&gt;"&amp;I156)=0,"",SMALL($G156:$T156,COUNTIF($G156:$T156,"&lt;="&amp;I156)+1)-I156)))</f>
        <v>1</v>
      </c>
      <c r="AG156">
        <f>IF(OR($B156="",NOT(ISNUMBER(J156))),"",IF(COUNTIF(K156:$T156,J156)&gt;0,0,IF(COUNTIF($G156:$T156,"&gt;"&amp;J156)=0,"",SMALL($G156:$T156,COUNTIF($G156:$T156,"&lt;="&amp;J156)+1)-J156)))</f>
        <v>0</v>
      </c>
      <c r="AH156" t="str">
        <f>IF(OR($B156="",NOT(ISNUMBER(K156))),"",IF(COUNTIF(L156:$T156,K156)&gt;0,0,IF(COUNTIF($G156:$T156,"&gt;"&amp;K156)=0,"",SMALL($G156:$T156,COUNTIF($G156:$T156,"&lt;="&amp;K156)+1)-K156)))</f>
        <v/>
      </c>
      <c r="AI156" t="str">
        <f>IF(OR($B156="",NOT(ISNUMBER(L156))),"",IF(COUNTIF(M156:$T156,L156)&gt;0,0,IF(COUNTIF($G156:$T156,"&gt;"&amp;L156)=0,"",SMALL($G156:$T156,COUNTIF($G156:$T156,"&lt;="&amp;L156)+1)-L156)))</f>
        <v/>
      </c>
      <c r="AJ156" t="str">
        <f>IF(OR($B156="",NOT(ISNUMBER(M156))),"",IF(COUNTIF(N156:$T156,M156)&gt;0,0,IF(COUNTIF($G156:$T156,"&gt;"&amp;M156)=0,"",SMALL($G156:$T156,COUNTIF($G156:$T156,"&lt;="&amp;M156)+1)-M156)))</f>
        <v/>
      </c>
      <c r="AK156" t="str">
        <f>IF(OR($B156="",NOT(ISNUMBER(N156))),"",IF(COUNTIF(O156:$T156,N156)&gt;0,0,IF(COUNTIF($G156:$T156,"&gt;"&amp;N156)=0,"",SMALL($G156:$T156,COUNTIF($G156:$T156,"&lt;="&amp;N156)+1)-N156)))</f>
        <v/>
      </c>
      <c r="AL156" t="str">
        <f>IF(OR($B156="",NOT(ISNUMBER(O156))),"",IF(COUNTIF(P156:$T156,O156)&gt;0,0,IF(COUNTIF($G156:$T156,"&gt;"&amp;O156)=0,"",SMALL($G156:$T156,COUNTIF($G156:$T156,"&lt;="&amp;O156)+1)-O156)))</f>
        <v/>
      </c>
      <c r="AM156" t="str">
        <f>IF(OR($B156="",NOT(ISNUMBER(P156))),"",IF(COUNTIF(Q156:$T156,P156)&gt;0,0,IF(COUNTIF($G156:$T156,"&gt;"&amp;P156)=0,"",SMALL($G156:$T156,COUNTIF($G156:$T156,"&lt;="&amp;P156)+1)-P156)))</f>
        <v/>
      </c>
      <c r="AN156">
        <f>IF(OR($B156="",NOT(ISNUMBER(Q156))),"",IF(COUNTIF(R156:$T156,Q156)&gt;0,0,IF(COUNTIF($G156:$T156,"&gt;"&amp;Q156)=0,"",SMALL($G156:$T156,COUNTIF($G156:$T156,"&lt;="&amp;Q156)+1)-Q156)))</f>
        <v>0</v>
      </c>
      <c r="AO156" t="str">
        <f>IF(OR($B156="",NOT(ISNUMBER(R156))),"",IF(COUNTIF(S156:$T156,R156)&gt;0,0,IF(COUNTIF($G156:$T156,"&gt;"&amp;R156)=0,"",SMALL($G156:$T156,COUNTIF($G156:$T156,"&lt;="&amp;R156)+1)-R156)))</f>
        <v/>
      </c>
      <c r="AP156">
        <f t="shared" ca="1" si="37"/>
        <v>0</v>
      </c>
      <c r="AQ156" s="25" t="str">
        <f t="shared" si="38"/>
        <v/>
      </c>
      <c r="AR156" s="25" t="str">
        <f t="shared" si="39"/>
        <v/>
      </c>
      <c r="AS156" s="25">
        <f t="shared" si="40"/>
        <v>46295</v>
      </c>
      <c r="AT156" s="25">
        <f t="shared" si="41"/>
        <v>46295</v>
      </c>
      <c r="AU156" s="25" t="str">
        <f t="shared" si="42"/>
        <v/>
      </c>
      <c r="AV156" s="25" t="str">
        <f t="shared" si="43"/>
        <v/>
      </c>
      <c r="AW156" s="25" t="str">
        <f t="shared" si="44"/>
        <v/>
      </c>
      <c r="AX156" s="25" t="str">
        <f t="shared" si="45"/>
        <v/>
      </c>
      <c r="AY156" s="25" t="str">
        <f t="shared" si="46"/>
        <v/>
      </c>
      <c r="AZ156" s="25" t="str">
        <f t="shared" si="47"/>
        <v/>
      </c>
      <c r="BA156" s="25">
        <f t="shared" si="48"/>
        <v>46295</v>
      </c>
      <c r="BB156" s="25" t="str">
        <f t="shared" si="49"/>
        <v/>
      </c>
      <c r="BC156" s="25">
        <f t="shared" si="50"/>
        <v>46295</v>
      </c>
    </row>
    <row r="157" spans="1:55" x14ac:dyDescent="0.25">
      <c r="A157" s="151">
        <f t="shared" si="34"/>
        <v>155</v>
      </c>
      <c r="B157" s="151" t="s">
        <v>286</v>
      </c>
      <c r="C157" s="152" t="s">
        <v>285</v>
      </c>
      <c r="D157" s="151">
        <f t="shared" si="35"/>
        <v>1</v>
      </c>
      <c r="E157" s="151" t="s">
        <v>61</v>
      </c>
      <c r="F157" s="173">
        <v>46294</v>
      </c>
      <c r="G157" s="173"/>
      <c r="H157" s="173"/>
      <c r="I157" s="173">
        <v>46294</v>
      </c>
      <c r="J157" s="173">
        <v>46295</v>
      </c>
      <c r="K157" s="173"/>
      <c r="L157" s="173"/>
      <c r="M157" s="173"/>
      <c r="N157" s="173"/>
      <c r="O157" s="173"/>
      <c r="P157" s="173"/>
      <c r="Q157" s="173">
        <v>46295</v>
      </c>
      <c r="R157" s="173"/>
      <c r="S157" s="173"/>
      <c r="T157" s="174">
        <v>46295</v>
      </c>
      <c r="U157" s="151"/>
      <c r="V157" s="152"/>
      <c r="W157" s="175"/>
      <c r="X157" s="173"/>
      <c r="Y157" s="173"/>
      <c r="Z157" s="176" t="str">
        <f>IF(B157="","",IF(S157&lt;&gt;"","Sevk Edildi",IF(AND(X157&lt;&gt;"",Y157=""),"Reworkte",IF(T157&lt;&gt;"","Kapandı"&amp;IF(COUNT(G157:R157)=0,""," – "&amp;LOOKUP(2,1/(G157:R157=MAX(G157:R157)),{"Tasarım","Ply Cutter","Üretim","Kalite (Üretim sonrası)","Talaşlı","Kalite (Talaşlı sonrası)","Montaj","Kalite (Montaj sonrası)","Boya","Kalite (Boya sonrası)","Yarı Mamül","KM"})),IF(COUNT(G157:R157)=0,"Başlamadı",LOOKUP(2,1/(G157:R157=MAX(G157:R157)),{"Tasarımda","Ply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57" s="177">
        <f t="shared" ca="1" si="36"/>
        <v>1</v>
      </c>
      <c r="AB157" s="175"/>
      <c r="AD157" t="str">
        <f>IF(OR($B157="",NOT(ISNUMBER(G157))),"",IF(COUNTIF(H157:$T157,G157)&gt;0,0,IF(COUNTIF($G157:$T157,"&gt;"&amp;G157)=0,"",SMALL($G157:$T157,COUNTIF($G157:$T157,"&lt;="&amp;G157)+1)-G157)))</f>
        <v/>
      </c>
      <c r="AE157" t="str">
        <f>IF(OR($B157="",NOT(ISNUMBER(H157))),"",IF(COUNTIF(I157:$T157,H157)&gt;0,0,IF(COUNTIF($G157:$T157,"&gt;"&amp;H157)=0,"",SMALL($G157:$T157,COUNTIF($G157:$T157,"&lt;="&amp;H157)+1)-H157)))</f>
        <v/>
      </c>
      <c r="AF157">
        <f>IF(OR($B157="",NOT(ISNUMBER(I157))),"",IF(COUNTIF(J157:$T157,I157)&gt;0,0,IF(COUNTIF($G157:$T157,"&gt;"&amp;I157)=0,"",SMALL($G157:$T157,COUNTIF($G157:$T157,"&lt;="&amp;I157)+1)-I157)))</f>
        <v>1</v>
      </c>
      <c r="AG157">
        <f>IF(OR($B157="",NOT(ISNUMBER(J157))),"",IF(COUNTIF(K157:$T157,J157)&gt;0,0,IF(COUNTIF($G157:$T157,"&gt;"&amp;J157)=0,"",SMALL($G157:$T157,COUNTIF($G157:$T157,"&lt;="&amp;J157)+1)-J157)))</f>
        <v>0</v>
      </c>
      <c r="AH157" t="str">
        <f>IF(OR($B157="",NOT(ISNUMBER(K157))),"",IF(COUNTIF(L157:$T157,K157)&gt;0,0,IF(COUNTIF($G157:$T157,"&gt;"&amp;K157)=0,"",SMALL($G157:$T157,COUNTIF($G157:$T157,"&lt;="&amp;K157)+1)-K157)))</f>
        <v/>
      </c>
      <c r="AI157" t="str">
        <f>IF(OR($B157="",NOT(ISNUMBER(L157))),"",IF(COUNTIF(M157:$T157,L157)&gt;0,0,IF(COUNTIF($G157:$T157,"&gt;"&amp;L157)=0,"",SMALL($G157:$T157,COUNTIF($G157:$T157,"&lt;="&amp;L157)+1)-L157)))</f>
        <v/>
      </c>
      <c r="AJ157" t="str">
        <f>IF(OR($B157="",NOT(ISNUMBER(M157))),"",IF(COUNTIF(N157:$T157,M157)&gt;0,0,IF(COUNTIF($G157:$T157,"&gt;"&amp;M157)=0,"",SMALL($G157:$T157,COUNTIF($G157:$T157,"&lt;="&amp;M157)+1)-M157)))</f>
        <v/>
      </c>
      <c r="AK157" t="str">
        <f>IF(OR($B157="",NOT(ISNUMBER(N157))),"",IF(COUNTIF(O157:$T157,N157)&gt;0,0,IF(COUNTIF($G157:$T157,"&gt;"&amp;N157)=0,"",SMALL($G157:$T157,COUNTIF($G157:$T157,"&lt;="&amp;N157)+1)-N157)))</f>
        <v/>
      </c>
      <c r="AL157" t="str">
        <f>IF(OR($B157="",NOT(ISNUMBER(O157))),"",IF(COUNTIF(P157:$T157,O157)&gt;0,0,IF(COUNTIF($G157:$T157,"&gt;"&amp;O157)=0,"",SMALL($G157:$T157,COUNTIF($G157:$T157,"&lt;="&amp;O157)+1)-O157)))</f>
        <v/>
      </c>
      <c r="AM157" t="str">
        <f>IF(OR($B157="",NOT(ISNUMBER(P157))),"",IF(COUNTIF(Q157:$T157,P157)&gt;0,0,IF(COUNTIF($G157:$T157,"&gt;"&amp;P157)=0,"",SMALL($G157:$T157,COUNTIF($G157:$T157,"&lt;="&amp;P157)+1)-P157)))</f>
        <v/>
      </c>
      <c r="AN157">
        <f>IF(OR($B157="",NOT(ISNUMBER(Q157))),"",IF(COUNTIF(R157:$T157,Q157)&gt;0,0,IF(COUNTIF($G157:$T157,"&gt;"&amp;Q157)=0,"",SMALL($G157:$T157,COUNTIF($G157:$T157,"&lt;="&amp;Q157)+1)-Q157)))</f>
        <v>0</v>
      </c>
      <c r="AO157" t="str">
        <f>IF(OR($B157="",NOT(ISNUMBER(R157))),"",IF(COUNTIF(S157:$T157,R157)&gt;0,0,IF(COUNTIF($G157:$T157,"&gt;"&amp;R157)=0,"",SMALL($G157:$T157,COUNTIF($G157:$T157,"&lt;="&amp;R157)+1)-R157)))</f>
        <v/>
      </c>
      <c r="AP157">
        <f t="shared" ca="1" si="37"/>
        <v>0</v>
      </c>
      <c r="AQ157" s="25" t="str">
        <f t="shared" si="38"/>
        <v/>
      </c>
      <c r="AR157" s="25" t="str">
        <f t="shared" si="39"/>
        <v/>
      </c>
      <c r="AS157" s="25">
        <f t="shared" si="40"/>
        <v>46295</v>
      </c>
      <c r="AT157" s="25">
        <f t="shared" si="41"/>
        <v>46295</v>
      </c>
      <c r="AU157" s="25" t="str">
        <f t="shared" si="42"/>
        <v/>
      </c>
      <c r="AV157" s="25" t="str">
        <f t="shared" si="43"/>
        <v/>
      </c>
      <c r="AW157" s="25" t="str">
        <f t="shared" si="44"/>
        <v/>
      </c>
      <c r="AX157" s="25" t="str">
        <f t="shared" si="45"/>
        <v/>
      </c>
      <c r="AY157" s="25" t="str">
        <f t="shared" si="46"/>
        <v/>
      </c>
      <c r="AZ157" s="25" t="str">
        <f t="shared" si="47"/>
        <v/>
      </c>
      <c r="BA157" s="25">
        <f t="shared" si="48"/>
        <v>46295</v>
      </c>
      <c r="BB157" s="25" t="str">
        <f t="shared" si="49"/>
        <v/>
      </c>
      <c r="BC157" s="25">
        <f t="shared" si="50"/>
        <v>46295</v>
      </c>
    </row>
    <row r="158" spans="1:55" x14ac:dyDescent="0.25">
      <c r="A158" s="151">
        <f t="shared" si="34"/>
        <v>156</v>
      </c>
      <c r="B158" s="151" t="s">
        <v>287</v>
      </c>
      <c r="C158" s="152" t="s">
        <v>285</v>
      </c>
      <c r="D158" s="151">
        <f t="shared" si="35"/>
        <v>1</v>
      </c>
      <c r="E158" s="151" t="s">
        <v>61</v>
      </c>
      <c r="F158" s="173">
        <v>46294</v>
      </c>
      <c r="G158" s="173"/>
      <c r="H158" s="173"/>
      <c r="I158" s="173">
        <v>46294</v>
      </c>
      <c r="J158" s="173">
        <v>46295</v>
      </c>
      <c r="K158" s="173"/>
      <c r="L158" s="173"/>
      <c r="M158" s="173"/>
      <c r="N158" s="173"/>
      <c r="O158" s="173"/>
      <c r="P158" s="173"/>
      <c r="Q158" s="173">
        <v>46295</v>
      </c>
      <c r="R158" s="173"/>
      <c r="S158" s="173"/>
      <c r="T158" s="174">
        <v>46295</v>
      </c>
      <c r="U158" s="151"/>
      <c r="V158" s="152"/>
      <c r="W158" s="175"/>
      <c r="X158" s="173"/>
      <c r="Y158" s="173"/>
      <c r="Z158" s="176" t="str">
        <f>IF(B158="","",IF(S158&lt;&gt;"","Sevk Edildi",IF(AND(X158&lt;&gt;"",Y158=""),"Reworkte",IF(T158&lt;&gt;"","Kapandı"&amp;IF(COUNT(G158:R158)=0,""," – "&amp;LOOKUP(2,1/(G158:R158=MAX(G158:R158)),{"Tasarım","Ply Cutter","Üretim","Kalite (Üretim sonrası)","Talaşlı","Kalite (Talaşlı sonrası)","Montaj","Kalite (Montaj sonrası)","Boya","Kalite (Boya sonrası)","Yarı Mamül","KM"})),IF(COUNT(G158:R158)=0,"Başlamadı",LOOKUP(2,1/(G158:R158=MAX(G158:R158)),{"Tasarımda","Ply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58" s="177">
        <f t="shared" ca="1" si="36"/>
        <v>1</v>
      </c>
      <c r="AB158" s="175"/>
      <c r="AD158" t="str">
        <f>IF(OR($B158="",NOT(ISNUMBER(G158))),"",IF(COUNTIF(H158:$T158,G158)&gt;0,0,IF(COUNTIF($G158:$T158,"&gt;"&amp;G158)=0,"",SMALL($G158:$T158,COUNTIF($G158:$T158,"&lt;="&amp;G158)+1)-G158)))</f>
        <v/>
      </c>
      <c r="AE158" t="str">
        <f>IF(OR($B158="",NOT(ISNUMBER(H158))),"",IF(COUNTIF(I158:$T158,H158)&gt;0,0,IF(COUNTIF($G158:$T158,"&gt;"&amp;H158)=0,"",SMALL($G158:$T158,COUNTIF($G158:$T158,"&lt;="&amp;H158)+1)-H158)))</f>
        <v/>
      </c>
      <c r="AF158">
        <f>IF(OR($B158="",NOT(ISNUMBER(I158))),"",IF(COUNTIF(J158:$T158,I158)&gt;0,0,IF(COUNTIF($G158:$T158,"&gt;"&amp;I158)=0,"",SMALL($G158:$T158,COUNTIF($G158:$T158,"&lt;="&amp;I158)+1)-I158)))</f>
        <v>1</v>
      </c>
      <c r="AG158">
        <f>IF(OR($B158="",NOT(ISNUMBER(J158))),"",IF(COUNTIF(K158:$T158,J158)&gt;0,0,IF(COUNTIF($G158:$T158,"&gt;"&amp;J158)=0,"",SMALL($G158:$T158,COUNTIF($G158:$T158,"&lt;="&amp;J158)+1)-J158)))</f>
        <v>0</v>
      </c>
      <c r="AH158" t="str">
        <f>IF(OR($B158="",NOT(ISNUMBER(K158))),"",IF(COUNTIF(L158:$T158,K158)&gt;0,0,IF(COUNTIF($G158:$T158,"&gt;"&amp;K158)=0,"",SMALL($G158:$T158,COUNTIF($G158:$T158,"&lt;="&amp;K158)+1)-K158)))</f>
        <v/>
      </c>
      <c r="AI158" t="str">
        <f>IF(OR($B158="",NOT(ISNUMBER(L158))),"",IF(COUNTIF(M158:$T158,L158)&gt;0,0,IF(COUNTIF($G158:$T158,"&gt;"&amp;L158)=0,"",SMALL($G158:$T158,COUNTIF($G158:$T158,"&lt;="&amp;L158)+1)-L158)))</f>
        <v/>
      </c>
      <c r="AJ158" t="str">
        <f>IF(OR($B158="",NOT(ISNUMBER(M158))),"",IF(COUNTIF(N158:$T158,M158)&gt;0,0,IF(COUNTIF($G158:$T158,"&gt;"&amp;M158)=0,"",SMALL($G158:$T158,COUNTIF($G158:$T158,"&lt;="&amp;M158)+1)-M158)))</f>
        <v/>
      </c>
      <c r="AK158" t="str">
        <f>IF(OR($B158="",NOT(ISNUMBER(N158))),"",IF(COUNTIF(O158:$T158,N158)&gt;0,0,IF(COUNTIF($G158:$T158,"&gt;"&amp;N158)=0,"",SMALL($G158:$T158,COUNTIF($G158:$T158,"&lt;="&amp;N158)+1)-N158)))</f>
        <v/>
      </c>
      <c r="AL158" t="str">
        <f>IF(OR($B158="",NOT(ISNUMBER(O158))),"",IF(COUNTIF(P158:$T158,O158)&gt;0,0,IF(COUNTIF($G158:$T158,"&gt;"&amp;O158)=0,"",SMALL($G158:$T158,COUNTIF($G158:$T158,"&lt;="&amp;O158)+1)-O158)))</f>
        <v/>
      </c>
      <c r="AM158" t="str">
        <f>IF(OR($B158="",NOT(ISNUMBER(P158))),"",IF(COUNTIF(Q158:$T158,P158)&gt;0,0,IF(COUNTIF($G158:$T158,"&gt;"&amp;P158)=0,"",SMALL($G158:$T158,COUNTIF($G158:$T158,"&lt;="&amp;P158)+1)-P158)))</f>
        <v/>
      </c>
      <c r="AN158">
        <f>IF(OR($B158="",NOT(ISNUMBER(Q158))),"",IF(COUNTIF(R158:$T158,Q158)&gt;0,0,IF(COUNTIF($G158:$T158,"&gt;"&amp;Q158)=0,"",SMALL($G158:$T158,COUNTIF($G158:$T158,"&lt;="&amp;Q158)+1)-Q158)))</f>
        <v>0</v>
      </c>
      <c r="AO158" t="str">
        <f>IF(OR($B158="",NOT(ISNUMBER(R158))),"",IF(COUNTIF(S158:$T158,R158)&gt;0,0,IF(COUNTIF($G158:$T158,"&gt;"&amp;R158)=0,"",SMALL($G158:$T158,COUNTIF($G158:$T158,"&lt;="&amp;R158)+1)-R158)))</f>
        <v/>
      </c>
      <c r="AP158">
        <f t="shared" ca="1" si="37"/>
        <v>0</v>
      </c>
      <c r="AQ158" s="25" t="str">
        <f t="shared" si="38"/>
        <v/>
      </c>
      <c r="AR158" s="25" t="str">
        <f t="shared" si="39"/>
        <v/>
      </c>
      <c r="AS158" s="25">
        <f t="shared" si="40"/>
        <v>46295</v>
      </c>
      <c r="AT158" s="25">
        <f t="shared" si="41"/>
        <v>46295</v>
      </c>
      <c r="AU158" s="25" t="str">
        <f t="shared" si="42"/>
        <v/>
      </c>
      <c r="AV158" s="25" t="str">
        <f t="shared" si="43"/>
        <v/>
      </c>
      <c r="AW158" s="25" t="str">
        <f t="shared" si="44"/>
        <v/>
      </c>
      <c r="AX158" s="25" t="str">
        <f t="shared" si="45"/>
        <v/>
      </c>
      <c r="AY158" s="25" t="str">
        <f t="shared" si="46"/>
        <v/>
      </c>
      <c r="AZ158" s="25" t="str">
        <f t="shared" si="47"/>
        <v/>
      </c>
      <c r="BA158" s="25">
        <f t="shared" si="48"/>
        <v>46295</v>
      </c>
      <c r="BB158" s="25" t="str">
        <f t="shared" si="49"/>
        <v/>
      </c>
      <c r="BC158" s="25">
        <f t="shared" si="50"/>
        <v>46295</v>
      </c>
    </row>
    <row r="159" spans="1:55" x14ac:dyDescent="0.25">
      <c r="A159" s="151">
        <f t="shared" si="34"/>
        <v>157</v>
      </c>
      <c r="B159" s="151" t="s">
        <v>288</v>
      </c>
      <c r="C159" s="152" t="s">
        <v>163</v>
      </c>
      <c r="D159" s="151">
        <f t="shared" si="35"/>
        <v>1</v>
      </c>
      <c r="E159" s="151" t="s">
        <v>61</v>
      </c>
      <c r="F159" s="173">
        <v>46294</v>
      </c>
      <c r="G159" s="173"/>
      <c r="H159" s="173"/>
      <c r="I159" s="173">
        <v>46294</v>
      </c>
      <c r="J159" s="173">
        <v>46295</v>
      </c>
      <c r="K159" s="173"/>
      <c r="L159" s="173"/>
      <c r="M159" s="173"/>
      <c r="N159" s="173"/>
      <c r="O159" s="173"/>
      <c r="P159" s="173"/>
      <c r="Q159" s="173"/>
      <c r="R159" s="173"/>
      <c r="S159" s="173"/>
      <c r="T159" s="174">
        <v>46295</v>
      </c>
      <c r="U159" s="151"/>
      <c r="V159" s="152"/>
      <c r="W159" s="175"/>
      <c r="X159" s="173"/>
      <c r="Y159" s="173"/>
      <c r="Z159" s="176" t="str">
        <f>IF(B159="","",IF(S159&lt;&gt;"","Sevk Edildi",IF(AND(X159&lt;&gt;"",Y159=""),"Reworkte",IF(T159&lt;&gt;"","Kapandı"&amp;IF(COUNT(G159:R159)=0,""," – "&amp;LOOKUP(2,1/(G159:R159=MAX(G159:R159)),{"Tasarım","Ply Cutter","Üretim","Kalite (Üretim sonrası)","Talaşlı","Kalite (Talaşlı sonrası)","Montaj","Kalite (Montaj sonrası)","Boya","Kalite (Boya sonrası)","Yarı Mamül","KM"})),IF(COUNT(G159:R159)=0,"Başlamadı",LOOKUP(2,1/(G159:R159=MAX(G159:R159)),{"Tasarımda","Ply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59" s="177">
        <f t="shared" ca="1" si="36"/>
        <v>1</v>
      </c>
      <c r="AB159" s="175"/>
      <c r="AD159" t="str">
        <f>IF(OR($B159="",NOT(ISNUMBER(G159))),"",IF(COUNTIF(H159:$T159,G159)&gt;0,0,IF(COUNTIF($G159:$T159,"&gt;"&amp;G159)=0,"",SMALL($G159:$T159,COUNTIF($G159:$T159,"&lt;="&amp;G159)+1)-G159)))</f>
        <v/>
      </c>
      <c r="AE159" t="str">
        <f>IF(OR($B159="",NOT(ISNUMBER(H159))),"",IF(COUNTIF(I159:$T159,H159)&gt;0,0,IF(COUNTIF($G159:$T159,"&gt;"&amp;H159)=0,"",SMALL($G159:$T159,COUNTIF($G159:$T159,"&lt;="&amp;H159)+1)-H159)))</f>
        <v/>
      </c>
      <c r="AF159">
        <f>IF(OR($B159="",NOT(ISNUMBER(I159))),"",IF(COUNTIF(J159:$T159,I159)&gt;0,0,IF(COUNTIF($G159:$T159,"&gt;"&amp;I159)=0,"",SMALL($G159:$T159,COUNTIF($G159:$T159,"&lt;="&amp;I159)+1)-I159)))</f>
        <v>1</v>
      </c>
      <c r="AG159">
        <f>IF(OR($B159="",NOT(ISNUMBER(J159))),"",IF(COUNTIF(K159:$T159,J159)&gt;0,0,IF(COUNTIF($G159:$T159,"&gt;"&amp;J159)=0,"",SMALL($G159:$T159,COUNTIF($G159:$T159,"&lt;="&amp;J159)+1)-J159)))</f>
        <v>0</v>
      </c>
      <c r="AH159" t="str">
        <f>IF(OR($B159="",NOT(ISNUMBER(K159))),"",IF(COUNTIF(L159:$T159,K159)&gt;0,0,IF(COUNTIF($G159:$T159,"&gt;"&amp;K159)=0,"",SMALL($G159:$T159,COUNTIF($G159:$T159,"&lt;="&amp;K159)+1)-K159)))</f>
        <v/>
      </c>
      <c r="AI159" t="str">
        <f>IF(OR($B159="",NOT(ISNUMBER(L159))),"",IF(COUNTIF(M159:$T159,L159)&gt;0,0,IF(COUNTIF($G159:$T159,"&gt;"&amp;L159)=0,"",SMALL($G159:$T159,COUNTIF($G159:$T159,"&lt;="&amp;L159)+1)-L159)))</f>
        <v/>
      </c>
      <c r="AJ159" t="str">
        <f>IF(OR($B159="",NOT(ISNUMBER(M159))),"",IF(COUNTIF(N159:$T159,M159)&gt;0,0,IF(COUNTIF($G159:$T159,"&gt;"&amp;M159)=0,"",SMALL($G159:$T159,COUNTIF($G159:$T159,"&lt;="&amp;M159)+1)-M159)))</f>
        <v/>
      </c>
      <c r="AK159" t="str">
        <f>IF(OR($B159="",NOT(ISNUMBER(N159))),"",IF(COUNTIF(O159:$T159,N159)&gt;0,0,IF(COUNTIF($G159:$T159,"&gt;"&amp;N159)=0,"",SMALL($G159:$T159,COUNTIF($G159:$T159,"&lt;="&amp;N159)+1)-N159)))</f>
        <v/>
      </c>
      <c r="AL159" t="str">
        <f>IF(OR($B159="",NOT(ISNUMBER(O159))),"",IF(COUNTIF(P159:$T159,O159)&gt;0,0,IF(COUNTIF($G159:$T159,"&gt;"&amp;O159)=0,"",SMALL($G159:$T159,COUNTIF($G159:$T159,"&lt;="&amp;O159)+1)-O159)))</f>
        <v/>
      </c>
      <c r="AM159" t="str">
        <f>IF(OR($B159="",NOT(ISNUMBER(P159))),"",IF(COUNTIF(Q159:$T159,P159)&gt;0,0,IF(COUNTIF($G159:$T159,"&gt;"&amp;P159)=0,"",SMALL($G159:$T159,COUNTIF($G159:$T159,"&lt;="&amp;P159)+1)-P159)))</f>
        <v/>
      </c>
      <c r="AN159" t="str">
        <f>IF(OR($B159="",NOT(ISNUMBER(Q159))),"",IF(COUNTIF(R159:$T159,Q159)&gt;0,0,IF(COUNTIF($G159:$T159,"&gt;"&amp;Q159)=0,"",SMALL($G159:$T159,COUNTIF($G159:$T159,"&lt;="&amp;Q159)+1)-Q159)))</f>
        <v/>
      </c>
      <c r="AO159" t="str">
        <f>IF(OR($B159="",NOT(ISNUMBER(R159))),"",IF(COUNTIF(S159:$T159,R159)&gt;0,0,IF(COUNTIF($G159:$T159,"&gt;"&amp;R159)=0,"",SMALL($G159:$T159,COUNTIF($G159:$T159,"&lt;="&amp;R159)+1)-R159)))</f>
        <v/>
      </c>
      <c r="AP159">
        <f t="shared" ca="1" si="37"/>
        <v>0</v>
      </c>
      <c r="AQ159" s="25" t="str">
        <f t="shared" si="38"/>
        <v/>
      </c>
      <c r="AR159" s="25" t="str">
        <f t="shared" si="39"/>
        <v/>
      </c>
      <c r="AS159" s="25">
        <f t="shared" si="40"/>
        <v>46295</v>
      </c>
      <c r="AT159" s="25">
        <f t="shared" si="41"/>
        <v>46295</v>
      </c>
      <c r="AU159" s="25" t="str">
        <f t="shared" si="42"/>
        <v/>
      </c>
      <c r="AV159" s="25" t="str">
        <f t="shared" si="43"/>
        <v/>
      </c>
      <c r="AW159" s="25" t="str">
        <f t="shared" si="44"/>
        <v/>
      </c>
      <c r="AX159" s="25" t="str">
        <f t="shared" si="45"/>
        <v/>
      </c>
      <c r="AY159" s="25" t="str">
        <f t="shared" si="46"/>
        <v/>
      </c>
      <c r="AZ159" s="25" t="str">
        <f t="shared" si="47"/>
        <v/>
      </c>
      <c r="BA159" s="25" t="str">
        <f t="shared" si="48"/>
        <v/>
      </c>
      <c r="BB159" s="25" t="str">
        <f t="shared" si="49"/>
        <v/>
      </c>
      <c r="BC159" s="25">
        <f t="shared" si="50"/>
        <v>46295</v>
      </c>
    </row>
    <row r="160" spans="1:55" x14ac:dyDescent="0.25">
      <c r="A160" s="151">
        <f t="shared" si="34"/>
        <v>158</v>
      </c>
      <c r="B160" s="151" t="s">
        <v>289</v>
      </c>
      <c r="C160" s="152" t="s">
        <v>252</v>
      </c>
      <c r="D160" s="151">
        <f t="shared" si="35"/>
        <v>2</v>
      </c>
      <c r="E160" s="151" t="s">
        <v>61</v>
      </c>
      <c r="F160" s="173">
        <v>46294</v>
      </c>
      <c r="G160" s="173"/>
      <c r="H160" s="173"/>
      <c r="I160" s="173">
        <v>46294</v>
      </c>
      <c r="J160" s="173">
        <v>46295</v>
      </c>
      <c r="K160" s="173"/>
      <c r="L160" s="173"/>
      <c r="M160" s="173"/>
      <c r="N160" s="173"/>
      <c r="O160" s="173"/>
      <c r="P160" s="173"/>
      <c r="Q160" s="173">
        <v>46295</v>
      </c>
      <c r="R160" s="173"/>
      <c r="S160" s="173"/>
      <c r="T160" s="174">
        <v>46295</v>
      </c>
      <c r="U160" s="151"/>
      <c r="V160" s="152"/>
      <c r="W160" s="175"/>
      <c r="X160" s="173"/>
      <c r="Y160" s="173"/>
      <c r="Z160" s="176" t="str">
        <f>IF(B160="","",IF(S160&lt;&gt;"","Sevk Edildi",IF(AND(X160&lt;&gt;"",Y160=""),"Reworkte",IF(T160&lt;&gt;"","Kapandı"&amp;IF(COUNT(G160:R160)=0,""," – "&amp;LOOKUP(2,1/(G160:R160=MAX(G160:R160)),{"Tasarım","Ply Cutter","Üretim","Kalite (Üretim sonrası)","Talaşlı","Kalite (Talaşlı sonrası)","Montaj","Kalite (Montaj sonrası)","Boya","Kalite (Boya sonrası)","Yarı Mamül","KM"})),IF(COUNT(G160:R160)=0,"Başlamadı",LOOKUP(2,1/(G160:R160=MAX(G160:R160)),{"Tasarımda","Ply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60" s="177">
        <f t="shared" ca="1" si="36"/>
        <v>1</v>
      </c>
      <c r="AB160" s="175"/>
      <c r="AD160" t="str">
        <f>IF(OR($B160="",NOT(ISNUMBER(G160))),"",IF(COUNTIF(H160:$T160,G160)&gt;0,0,IF(COUNTIF($G160:$T160,"&gt;"&amp;G160)=0,"",SMALL($G160:$T160,COUNTIF($G160:$T160,"&lt;="&amp;G160)+1)-G160)))</f>
        <v/>
      </c>
      <c r="AE160" t="str">
        <f>IF(OR($B160="",NOT(ISNUMBER(H160))),"",IF(COUNTIF(I160:$T160,H160)&gt;0,0,IF(COUNTIF($G160:$T160,"&gt;"&amp;H160)=0,"",SMALL($G160:$T160,COUNTIF($G160:$T160,"&lt;="&amp;H160)+1)-H160)))</f>
        <v/>
      </c>
      <c r="AF160">
        <f>IF(OR($B160="",NOT(ISNUMBER(I160))),"",IF(COUNTIF(J160:$T160,I160)&gt;0,0,IF(COUNTIF($G160:$T160,"&gt;"&amp;I160)=0,"",SMALL($G160:$T160,COUNTIF($G160:$T160,"&lt;="&amp;I160)+1)-I160)))</f>
        <v>1</v>
      </c>
      <c r="AG160">
        <f>IF(OR($B160="",NOT(ISNUMBER(J160))),"",IF(COUNTIF(K160:$T160,J160)&gt;0,0,IF(COUNTIF($G160:$T160,"&gt;"&amp;J160)=0,"",SMALL($G160:$T160,COUNTIF($G160:$T160,"&lt;="&amp;J160)+1)-J160)))</f>
        <v>0</v>
      </c>
      <c r="AH160" t="str">
        <f>IF(OR($B160="",NOT(ISNUMBER(K160))),"",IF(COUNTIF(L160:$T160,K160)&gt;0,0,IF(COUNTIF($G160:$T160,"&gt;"&amp;K160)=0,"",SMALL($G160:$T160,COUNTIF($G160:$T160,"&lt;="&amp;K160)+1)-K160)))</f>
        <v/>
      </c>
      <c r="AI160" t="str">
        <f>IF(OR($B160="",NOT(ISNUMBER(L160))),"",IF(COUNTIF(M160:$T160,L160)&gt;0,0,IF(COUNTIF($G160:$T160,"&gt;"&amp;L160)=0,"",SMALL($G160:$T160,COUNTIF($G160:$T160,"&lt;="&amp;L160)+1)-L160)))</f>
        <v/>
      </c>
      <c r="AJ160" t="str">
        <f>IF(OR($B160="",NOT(ISNUMBER(M160))),"",IF(COUNTIF(N160:$T160,M160)&gt;0,0,IF(COUNTIF($G160:$T160,"&gt;"&amp;M160)=0,"",SMALL($G160:$T160,COUNTIF($G160:$T160,"&lt;="&amp;M160)+1)-M160)))</f>
        <v/>
      </c>
      <c r="AK160" t="str">
        <f>IF(OR($B160="",NOT(ISNUMBER(N160))),"",IF(COUNTIF(O160:$T160,N160)&gt;0,0,IF(COUNTIF($G160:$T160,"&gt;"&amp;N160)=0,"",SMALL($G160:$T160,COUNTIF($G160:$T160,"&lt;="&amp;N160)+1)-N160)))</f>
        <v/>
      </c>
      <c r="AL160" t="str">
        <f>IF(OR($B160="",NOT(ISNUMBER(O160))),"",IF(COUNTIF(P160:$T160,O160)&gt;0,0,IF(COUNTIF($G160:$T160,"&gt;"&amp;O160)=0,"",SMALL($G160:$T160,COUNTIF($G160:$T160,"&lt;="&amp;O160)+1)-O160)))</f>
        <v/>
      </c>
      <c r="AM160" t="str">
        <f>IF(OR($B160="",NOT(ISNUMBER(P160))),"",IF(COUNTIF(Q160:$T160,P160)&gt;0,0,IF(COUNTIF($G160:$T160,"&gt;"&amp;P160)=0,"",SMALL($G160:$T160,COUNTIF($G160:$T160,"&lt;="&amp;P160)+1)-P160)))</f>
        <v/>
      </c>
      <c r="AN160">
        <f>IF(OR($B160="",NOT(ISNUMBER(Q160))),"",IF(COUNTIF(R160:$T160,Q160)&gt;0,0,IF(COUNTIF($G160:$T160,"&gt;"&amp;Q160)=0,"",SMALL($G160:$T160,COUNTIF($G160:$T160,"&lt;="&amp;Q160)+1)-Q160)))</f>
        <v>0</v>
      </c>
      <c r="AO160" t="str">
        <f>IF(OR($B160="",NOT(ISNUMBER(R160))),"",IF(COUNTIF(S160:$T160,R160)&gt;0,0,IF(COUNTIF($G160:$T160,"&gt;"&amp;R160)=0,"",SMALL($G160:$T160,COUNTIF($G160:$T160,"&lt;="&amp;R160)+1)-R160)))</f>
        <v/>
      </c>
      <c r="AP160">
        <f t="shared" ca="1" si="37"/>
        <v>0</v>
      </c>
      <c r="AQ160" s="25" t="str">
        <f t="shared" si="38"/>
        <v/>
      </c>
      <c r="AR160" s="25" t="str">
        <f t="shared" si="39"/>
        <v/>
      </c>
      <c r="AS160" s="25">
        <f t="shared" si="40"/>
        <v>46295</v>
      </c>
      <c r="AT160" s="25">
        <f t="shared" si="41"/>
        <v>46295</v>
      </c>
      <c r="AU160" s="25" t="str">
        <f t="shared" si="42"/>
        <v/>
      </c>
      <c r="AV160" s="25" t="str">
        <f t="shared" si="43"/>
        <v/>
      </c>
      <c r="AW160" s="25" t="str">
        <f t="shared" si="44"/>
        <v/>
      </c>
      <c r="AX160" s="25" t="str">
        <f t="shared" si="45"/>
        <v/>
      </c>
      <c r="AY160" s="25" t="str">
        <f t="shared" si="46"/>
        <v/>
      </c>
      <c r="AZ160" s="25" t="str">
        <f t="shared" si="47"/>
        <v/>
      </c>
      <c r="BA160" s="25">
        <f t="shared" si="48"/>
        <v>46295</v>
      </c>
      <c r="BB160" s="25" t="str">
        <f t="shared" si="49"/>
        <v/>
      </c>
      <c r="BC160" s="25">
        <f t="shared" si="50"/>
        <v>46295</v>
      </c>
    </row>
    <row r="161" spans="1:55" x14ac:dyDescent="0.25">
      <c r="A161" s="151">
        <f t="shared" si="34"/>
        <v>159</v>
      </c>
      <c r="B161" s="151" t="s">
        <v>290</v>
      </c>
      <c r="C161" s="152" t="s">
        <v>180</v>
      </c>
      <c r="D161" s="151">
        <f t="shared" si="35"/>
        <v>1</v>
      </c>
      <c r="E161" s="151" t="s">
        <v>61</v>
      </c>
      <c r="F161" s="173">
        <v>46294</v>
      </c>
      <c r="G161" s="173"/>
      <c r="H161" s="173"/>
      <c r="I161" s="173">
        <v>46294</v>
      </c>
      <c r="J161" s="173">
        <v>46295</v>
      </c>
      <c r="K161" s="173"/>
      <c r="L161" s="173"/>
      <c r="M161" s="173"/>
      <c r="N161" s="173"/>
      <c r="O161" s="173"/>
      <c r="P161" s="173"/>
      <c r="Q161" s="173">
        <v>46296</v>
      </c>
      <c r="R161" s="173"/>
      <c r="S161" s="173"/>
      <c r="T161" s="174">
        <v>46296</v>
      </c>
      <c r="U161" s="151"/>
      <c r="V161" s="152"/>
      <c r="W161" s="175"/>
      <c r="X161" s="173"/>
      <c r="Y161" s="173"/>
      <c r="Z161" s="176" t="str">
        <f>IF(B161="","",IF(S161&lt;&gt;"","Sevk Edildi",IF(AND(X161&lt;&gt;"",Y161=""),"Reworkte",IF(T161&lt;&gt;"","Kapandı"&amp;IF(COUNT(G161:R161)=0,""," – "&amp;LOOKUP(2,1/(G161:R161=MAX(G161:R161)),{"Tasarım","Ply Cutter","Üretim","Kalite (Üretim sonrası)","Talaşlı","Kalite (Talaşlı sonrası)","Montaj","Kalite (Montaj sonrası)","Boya","Kalite (Boya sonrası)","Yarı Mamül","KM"})),IF(COUNT(G161:R161)=0,"Başlamadı",LOOKUP(2,1/(G161:R161=MAX(G161:R161)),{"Tasarımda","Ply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61" s="177">
        <f t="shared" ca="1" si="36"/>
        <v>2</v>
      </c>
      <c r="AB161" s="175"/>
      <c r="AD161" t="str">
        <f>IF(OR($B161="",NOT(ISNUMBER(G161))),"",IF(COUNTIF(H161:$T161,G161)&gt;0,0,IF(COUNTIF($G161:$T161,"&gt;"&amp;G161)=0,"",SMALL($G161:$T161,COUNTIF($G161:$T161,"&lt;="&amp;G161)+1)-G161)))</f>
        <v/>
      </c>
      <c r="AE161" t="str">
        <f>IF(OR($B161="",NOT(ISNUMBER(H161))),"",IF(COUNTIF(I161:$T161,H161)&gt;0,0,IF(COUNTIF($G161:$T161,"&gt;"&amp;H161)=0,"",SMALL($G161:$T161,COUNTIF($G161:$T161,"&lt;="&amp;H161)+1)-H161)))</f>
        <v/>
      </c>
      <c r="AF161">
        <f>IF(OR($B161="",NOT(ISNUMBER(I161))),"",IF(COUNTIF(J161:$T161,I161)&gt;0,0,IF(COUNTIF($G161:$T161,"&gt;"&amp;I161)=0,"",SMALL($G161:$T161,COUNTIF($G161:$T161,"&lt;="&amp;I161)+1)-I161)))</f>
        <v>1</v>
      </c>
      <c r="AG161">
        <f>IF(OR($B161="",NOT(ISNUMBER(J161))),"",IF(COUNTIF(K161:$T161,J161)&gt;0,0,IF(COUNTIF($G161:$T161,"&gt;"&amp;J161)=0,"",SMALL($G161:$T161,COUNTIF($G161:$T161,"&lt;="&amp;J161)+1)-J161)))</f>
        <v>1</v>
      </c>
      <c r="AH161" t="str">
        <f>IF(OR($B161="",NOT(ISNUMBER(K161))),"",IF(COUNTIF(L161:$T161,K161)&gt;0,0,IF(COUNTIF($G161:$T161,"&gt;"&amp;K161)=0,"",SMALL($G161:$T161,COUNTIF($G161:$T161,"&lt;="&amp;K161)+1)-K161)))</f>
        <v/>
      </c>
      <c r="AI161" t="str">
        <f>IF(OR($B161="",NOT(ISNUMBER(L161))),"",IF(COUNTIF(M161:$T161,L161)&gt;0,0,IF(COUNTIF($G161:$T161,"&gt;"&amp;L161)=0,"",SMALL($G161:$T161,COUNTIF($G161:$T161,"&lt;="&amp;L161)+1)-L161)))</f>
        <v/>
      </c>
      <c r="AJ161" t="str">
        <f>IF(OR($B161="",NOT(ISNUMBER(M161))),"",IF(COUNTIF(N161:$T161,M161)&gt;0,0,IF(COUNTIF($G161:$T161,"&gt;"&amp;M161)=0,"",SMALL($G161:$T161,COUNTIF($G161:$T161,"&lt;="&amp;M161)+1)-M161)))</f>
        <v/>
      </c>
      <c r="AK161" t="str">
        <f>IF(OR($B161="",NOT(ISNUMBER(N161))),"",IF(COUNTIF(O161:$T161,N161)&gt;0,0,IF(COUNTIF($G161:$T161,"&gt;"&amp;N161)=0,"",SMALL($G161:$T161,COUNTIF($G161:$T161,"&lt;="&amp;N161)+1)-N161)))</f>
        <v/>
      </c>
      <c r="AL161" t="str">
        <f>IF(OR($B161="",NOT(ISNUMBER(O161))),"",IF(COUNTIF(P161:$T161,O161)&gt;0,0,IF(COUNTIF($G161:$T161,"&gt;"&amp;O161)=0,"",SMALL($G161:$T161,COUNTIF($G161:$T161,"&lt;="&amp;O161)+1)-O161)))</f>
        <v/>
      </c>
      <c r="AM161" t="str">
        <f>IF(OR($B161="",NOT(ISNUMBER(P161))),"",IF(COUNTIF(Q161:$T161,P161)&gt;0,0,IF(COUNTIF($G161:$T161,"&gt;"&amp;P161)=0,"",SMALL($G161:$T161,COUNTIF($G161:$T161,"&lt;="&amp;P161)+1)-P161)))</f>
        <v/>
      </c>
      <c r="AN161">
        <f>IF(OR($B161="",NOT(ISNUMBER(Q161))),"",IF(COUNTIF(R161:$T161,Q161)&gt;0,0,IF(COUNTIF($G161:$T161,"&gt;"&amp;Q161)=0,"",SMALL($G161:$T161,COUNTIF($G161:$T161,"&lt;="&amp;Q161)+1)-Q161)))</f>
        <v>0</v>
      </c>
      <c r="AO161" t="str">
        <f>IF(OR($B161="",NOT(ISNUMBER(R161))),"",IF(COUNTIF(S161:$T161,R161)&gt;0,0,IF(COUNTIF($G161:$T161,"&gt;"&amp;R161)=0,"",SMALL($G161:$T161,COUNTIF($G161:$T161,"&lt;="&amp;R161)+1)-R161)))</f>
        <v/>
      </c>
      <c r="AP161">
        <f t="shared" ca="1" si="37"/>
        <v>0</v>
      </c>
      <c r="AQ161" s="25" t="str">
        <f t="shared" si="38"/>
        <v/>
      </c>
      <c r="AR161" s="25" t="str">
        <f t="shared" si="39"/>
        <v/>
      </c>
      <c r="AS161" s="25">
        <f t="shared" si="40"/>
        <v>46295</v>
      </c>
      <c r="AT161" s="25">
        <f t="shared" si="41"/>
        <v>46296</v>
      </c>
      <c r="AU161" s="25" t="str">
        <f t="shared" si="42"/>
        <v/>
      </c>
      <c r="AV161" s="25" t="str">
        <f t="shared" si="43"/>
        <v/>
      </c>
      <c r="AW161" s="25" t="str">
        <f t="shared" si="44"/>
        <v/>
      </c>
      <c r="AX161" s="25" t="str">
        <f t="shared" si="45"/>
        <v/>
      </c>
      <c r="AY161" s="25" t="str">
        <f t="shared" si="46"/>
        <v/>
      </c>
      <c r="AZ161" s="25" t="str">
        <f t="shared" si="47"/>
        <v/>
      </c>
      <c r="BA161" s="25">
        <f t="shared" si="48"/>
        <v>46296</v>
      </c>
      <c r="BB161" s="25" t="str">
        <f t="shared" si="49"/>
        <v/>
      </c>
      <c r="BC161" s="25">
        <f t="shared" si="50"/>
        <v>46296</v>
      </c>
    </row>
    <row r="162" spans="1:55" x14ac:dyDescent="0.25">
      <c r="A162" s="151">
        <f t="shared" si="34"/>
        <v>160</v>
      </c>
      <c r="B162" s="151" t="s">
        <v>291</v>
      </c>
      <c r="C162" s="152" t="s">
        <v>121</v>
      </c>
      <c r="D162" s="151">
        <f t="shared" si="35"/>
        <v>1</v>
      </c>
      <c r="E162" s="151" t="s">
        <v>61</v>
      </c>
      <c r="F162" s="173">
        <v>46294</v>
      </c>
      <c r="G162" s="173"/>
      <c r="H162" s="173"/>
      <c r="I162" s="173">
        <v>46294</v>
      </c>
      <c r="J162" s="173">
        <v>46296</v>
      </c>
      <c r="K162" s="173"/>
      <c r="L162" s="173"/>
      <c r="M162" s="173"/>
      <c r="N162" s="173"/>
      <c r="O162" s="173"/>
      <c r="P162" s="173"/>
      <c r="Q162" s="173">
        <v>46296</v>
      </c>
      <c r="R162" s="173"/>
      <c r="S162" s="173"/>
      <c r="T162" s="174">
        <v>46296</v>
      </c>
      <c r="U162" s="151"/>
      <c r="V162" s="152"/>
      <c r="W162" s="175"/>
      <c r="X162" s="173"/>
      <c r="Y162" s="173"/>
      <c r="Z162" s="176" t="str">
        <f>IF(B162="","",IF(S162&lt;&gt;"","Sevk Edildi",IF(AND(X162&lt;&gt;"",Y162=""),"Reworkte",IF(T162&lt;&gt;"","Kapandı"&amp;IF(COUNT(G162:R162)=0,""," – "&amp;LOOKUP(2,1/(G162:R162=MAX(G162:R162)),{"Tasarım","Ply Cutter","Üretim","Kalite (Üretim sonrası)","Talaşlı","Kalite (Talaşlı sonrası)","Montaj","Kalite (Montaj sonrası)","Boya","Kalite (Boya sonrası)","Yarı Mamül","KM"})),IF(COUNT(G162:R162)=0,"Başlamadı",LOOKUP(2,1/(G162:R162=MAX(G162:R162)),{"Tasarımda","Ply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62" s="177">
        <f t="shared" ca="1" si="36"/>
        <v>2</v>
      </c>
      <c r="AB162" s="175"/>
      <c r="AD162" t="str">
        <f>IF(OR($B162="",NOT(ISNUMBER(G162))),"",IF(COUNTIF(H162:$T162,G162)&gt;0,0,IF(COUNTIF($G162:$T162,"&gt;"&amp;G162)=0,"",SMALL($G162:$T162,COUNTIF($G162:$T162,"&lt;="&amp;G162)+1)-G162)))</f>
        <v/>
      </c>
      <c r="AE162" t="str">
        <f>IF(OR($B162="",NOT(ISNUMBER(H162))),"",IF(COUNTIF(I162:$T162,H162)&gt;0,0,IF(COUNTIF($G162:$T162,"&gt;"&amp;H162)=0,"",SMALL($G162:$T162,COUNTIF($G162:$T162,"&lt;="&amp;H162)+1)-H162)))</f>
        <v/>
      </c>
      <c r="AF162">
        <f>IF(OR($B162="",NOT(ISNUMBER(I162))),"",IF(COUNTIF(J162:$T162,I162)&gt;0,0,IF(COUNTIF($G162:$T162,"&gt;"&amp;I162)=0,"",SMALL($G162:$T162,COUNTIF($G162:$T162,"&lt;="&amp;I162)+1)-I162)))</f>
        <v>2</v>
      </c>
      <c r="AG162">
        <f>IF(OR($B162="",NOT(ISNUMBER(J162))),"",IF(COUNTIF(K162:$T162,J162)&gt;0,0,IF(COUNTIF($G162:$T162,"&gt;"&amp;J162)=0,"",SMALL($G162:$T162,COUNTIF($G162:$T162,"&lt;="&amp;J162)+1)-J162)))</f>
        <v>0</v>
      </c>
      <c r="AH162" t="str">
        <f>IF(OR($B162="",NOT(ISNUMBER(K162))),"",IF(COUNTIF(L162:$T162,K162)&gt;0,0,IF(COUNTIF($G162:$T162,"&gt;"&amp;K162)=0,"",SMALL($G162:$T162,COUNTIF($G162:$T162,"&lt;="&amp;K162)+1)-K162)))</f>
        <v/>
      </c>
      <c r="AI162" t="str">
        <f>IF(OR($B162="",NOT(ISNUMBER(L162))),"",IF(COUNTIF(M162:$T162,L162)&gt;0,0,IF(COUNTIF($G162:$T162,"&gt;"&amp;L162)=0,"",SMALL($G162:$T162,COUNTIF($G162:$T162,"&lt;="&amp;L162)+1)-L162)))</f>
        <v/>
      </c>
      <c r="AJ162" t="str">
        <f>IF(OR($B162="",NOT(ISNUMBER(M162))),"",IF(COUNTIF(N162:$T162,M162)&gt;0,0,IF(COUNTIF($G162:$T162,"&gt;"&amp;M162)=0,"",SMALL($G162:$T162,COUNTIF($G162:$T162,"&lt;="&amp;M162)+1)-M162)))</f>
        <v/>
      </c>
      <c r="AK162" t="str">
        <f>IF(OR($B162="",NOT(ISNUMBER(N162))),"",IF(COUNTIF(O162:$T162,N162)&gt;0,0,IF(COUNTIF($G162:$T162,"&gt;"&amp;N162)=0,"",SMALL($G162:$T162,COUNTIF($G162:$T162,"&lt;="&amp;N162)+1)-N162)))</f>
        <v/>
      </c>
      <c r="AL162" t="str">
        <f>IF(OR($B162="",NOT(ISNUMBER(O162))),"",IF(COUNTIF(P162:$T162,O162)&gt;0,0,IF(COUNTIF($G162:$T162,"&gt;"&amp;O162)=0,"",SMALL($G162:$T162,COUNTIF($G162:$T162,"&lt;="&amp;O162)+1)-O162)))</f>
        <v/>
      </c>
      <c r="AM162" t="str">
        <f>IF(OR($B162="",NOT(ISNUMBER(P162))),"",IF(COUNTIF(Q162:$T162,P162)&gt;0,0,IF(COUNTIF($G162:$T162,"&gt;"&amp;P162)=0,"",SMALL($G162:$T162,COUNTIF($G162:$T162,"&lt;="&amp;P162)+1)-P162)))</f>
        <v/>
      </c>
      <c r="AN162">
        <f>IF(OR($B162="",NOT(ISNUMBER(Q162))),"",IF(COUNTIF(R162:$T162,Q162)&gt;0,0,IF(COUNTIF($G162:$T162,"&gt;"&amp;Q162)=0,"",SMALL($G162:$T162,COUNTIF($G162:$T162,"&lt;="&amp;Q162)+1)-Q162)))</f>
        <v>0</v>
      </c>
      <c r="AO162" t="str">
        <f>IF(OR($B162="",NOT(ISNUMBER(R162))),"",IF(COUNTIF(S162:$T162,R162)&gt;0,0,IF(COUNTIF($G162:$T162,"&gt;"&amp;R162)=0,"",SMALL($G162:$T162,COUNTIF($G162:$T162,"&lt;="&amp;R162)+1)-R162)))</f>
        <v/>
      </c>
      <c r="AP162">
        <f t="shared" ca="1" si="37"/>
        <v>0</v>
      </c>
      <c r="AQ162" s="25" t="str">
        <f t="shared" si="38"/>
        <v/>
      </c>
      <c r="AR162" s="25" t="str">
        <f t="shared" si="39"/>
        <v/>
      </c>
      <c r="AS162" s="25">
        <f t="shared" si="40"/>
        <v>46296</v>
      </c>
      <c r="AT162" s="25">
        <f t="shared" si="41"/>
        <v>46296</v>
      </c>
      <c r="AU162" s="25" t="str">
        <f t="shared" si="42"/>
        <v/>
      </c>
      <c r="AV162" s="25" t="str">
        <f t="shared" si="43"/>
        <v/>
      </c>
      <c r="AW162" s="25" t="str">
        <f t="shared" si="44"/>
        <v/>
      </c>
      <c r="AX162" s="25" t="str">
        <f t="shared" si="45"/>
        <v/>
      </c>
      <c r="AY162" s="25" t="str">
        <f t="shared" si="46"/>
        <v/>
      </c>
      <c r="AZ162" s="25" t="str">
        <f t="shared" si="47"/>
        <v/>
      </c>
      <c r="BA162" s="25">
        <f t="shared" si="48"/>
        <v>46296</v>
      </c>
      <c r="BB162" s="25" t="str">
        <f t="shared" si="49"/>
        <v/>
      </c>
      <c r="BC162" s="25">
        <f t="shared" si="50"/>
        <v>46296</v>
      </c>
    </row>
    <row r="163" spans="1:55" x14ac:dyDescent="0.25">
      <c r="A163" s="151">
        <f t="shared" si="34"/>
        <v>161</v>
      </c>
      <c r="B163" s="151" t="s">
        <v>292</v>
      </c>
      <c r="C163" s="152" t="s">
        <v>119</v>
      </c>
      <c r="D163" s="151">
        <f t="shared" si="35"/>
        <v>1</v>
      </c>
      <c r="E163" s="151" t="s">
        <v>61</v>
      </c>
      <c r="F163" s="173">
        <v>46294</v>
      </c>
      <c r="G163" s="173"/>
      <c r="H163" s="173"/>
      <c r="I163" s="173">
        <v>46294</v>
      </c>
      <c r="J163" s="173">
        <v>46296</v>
      </c>
      <c r="K163" s="173"/>
      <c r="L163" s="173"/>
      <c r="M163" s="173"/>
      <c r="N163" s="173"/>
      <c r="O163" s="173"/>
      <c r="P163" s="173"/>
      <c r="Q163" s="173">
        <v>46296</v>
      </c>
      <c r="R163" s="173"/>
      <c r="S163" s="173"/>
      <c r="T163" s="174">
        <v>46296</v>
      </c>
      <c r="U163" s="151"/>
      <c r="V163" s="152"/>
      <c r="W163" s="175"/>
      <c r="X163" s="173"/>
      <c r="Y163" s="173"/>
      <c r="Z163" s="176" t="str">
        <f>IF(B163="","",IF(S163&lt;&gt;"","Sevk Edildi",IF(AND(X163&lt;&gt;"",Y163=""),"Reworkte",IF(T163&lt;&gt;"","Kapandı"&amp;IF(COUNT(G163:R163)=0,""," – "&amp;LOOKUP(2,1/(G163:R163=MAX(G163:R163)),{"Tasarım","Ply Cutter","Üretim","Kalite (Üretim sonrası)","Talaşlı","Kalite (Talaşlı sonrası)","Montaj","Kalite (Montaj sonrası)","Boya","Kalite (Boya sonrası)","Yarı Mamül","KM"})),IF(COUNT(G163:R163)=0,"Başlamadı",LOOKUP(2,1/(G163:R163=MAX(G163:R163)),{"Tasarımda","Ply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63" s="177">
        <f t="shared" ca="1" si="36"/>
        <v>2</v>
      </c>
      <c r="AB163" s="175"/>
      <c r="AD163" t="str">
        <f>IF(OR($B163="",NOT(ISNUMBER(G163))),"",IF(COUNTIF(H163:$T163,G163)&gt;0,0,IF(COUNTIF($G163:$T163,"&gt;"&amp;G163)=0,"",SMALL($G163:$T163,COUNTIF($G163:$T163,"&lt;="&amp;G163)+1)-G163)))</f>
        <v/>
      </c>
      <c r="AE163" t="str">
        <f>IF(OR($B163="",NOT(ISNUMBER(H163))),"",IF(COUNTIF(I163:$T163,H163)&gt;0,0,IF(COUNTIF($G163:$T163,"&gt;"&amp;H163)=0,"",SMALL($G163:$T163,COUNTIF($G163:$T163,"&lt;="&amp;H163)+1)-H163)))</f>
        <v/>
      </c>
      <c r="AF163">
        <f>IF(OR($B163="",NOT(ISNUMBER(I163))),"",IF(COUNTIF(J163:$T163,I163)&gt;0,0,IF(COUNTIF($G163:$T163,"&gt;"&amp;I163)=0,"",SMALL($G163:$T163,COUNTIF($G163:$T163,"&lt;="&amp;I163)+1)-I163)))</f>
        <v>2</v>
      </c>
      <c r="AG163">
        <f>IF(OR($B163="",NOT(ISNUMBER(J163))),"",IF(COUNTIF(K163:$T163,J163)&gt;0,0,IF(COUNTIF($G163:$T163,"&gt;"&amp;J163)=0,"",SMALL($G163:$T163,COUNTIF($G163:$T163,"&lt;="&amp;J163)+1)-J163)))</f>
        <v>0</v>
      </c>
      <c r="AH163" t="str">
        <f>IF(OR($B163="",NOT(ISNUMBER(K163))),"",IF(COUNTIF(L163:$T163,K163)&gt;0,0,IF(COUNTIF($G163:$T163,"&gt;"&amp;K163)=0,"",SMALL($G163:$T163,COUNTIF($G163:$T163,"&lt;="&amp;K163)+1)-K163)))</f>
        <v/>
      </c>
      <c r="AI163" t="str">
        <f>IF(OR($B163="",NOT(ISNUMBER(L163))),"",IF(COUNTIF(M163:$T163,L163)&gt;0,0,IF(COUNTIF($G163:$T163,"&gt;"&amp;L163)=0,"",SMALL($G163:$T163,COUNTIF($G163:$T163,"&lt;="&amp;L163)+1)-L163)))</f>
        <v/>
      </c>
      <c r="AJ163" t="str">
        <f>IF(OR($B163="",NOT(ISNUMBER(M163))),"",IF(COUNTIF(N163:$T163,M163)&gt;0,0,IF(COUNTIF($G163:$T163,"&gt;"&amp;M163)=0,"",SMALL($G163:$T163,COUNTIF($G163:$T163,"&lt;="&amp;M163)+1)-M163)))</f>
        <v/>
      </c>
      <c r="AK163" t="str">
        <f>IF(OR($B163="",NOT(ISNUMBER(N163))),"",IF(COUNTIF(O163:$T163,N163)&gt;0,0,IF(COUNTIF($G163:$T163,"&gt;"&amp;N163)=0,"",SMALL($G163:$T163,COUNTIF($G163:$T163,"&lt;="&amp;N163)+1)-N163)))</f>
        <v/>
      </c>
      <c r="AL163" t="str">
        <f>IF(OR($B163="",NOT(ISNUMBER(O163))),"",IF(COUNTIF(P163:$T163,O163)&gt;0,0,IF(COUNTIF($G163:$T163,"&gt;"&amp;O163)=0,"",SMALL($G163:$T163,COUNTIF($G163:$T163,"&lt;="&amp;O163)+1)-O163)))</f>
        <v/>
      </c>
      <c r="AM163" t="str">
        <f>IF(OR($B163="",NOT(ISNUMBER(P163))),"",IF(COUNTIF(Q163:$T163,P163)&gt;0,0,IF(COUNTIF($G163:$T163,"&gt;"&amp;P163)=0,"",SMALL($G163:$T163,COUNTIF($G163:$T163,"&lt;="&amp;P163)+1)-P163)))</f>
        <v/>
      </c>
      <c r="AN163">
        <f>IF(OR($B163="",NOT(ISNUMBER(Q163))),"",IF(COUNTIF(R163:$T163,Q163)&gt;0,0,IF(COUNTIF($G163:$T163,"&gt;"&amp;Q163)=0,"",SMALL($G163:$T163,COUNTIF($G163:$T163,"&lt;="&amp;Q163)+1)-Q163)))</f>
        <v>0</v>
      </c>
      <c r="AO163" t="str">
        <f>IF(OR($B163="",NOT(ISNUMBER(R163))),"",IF(COUNTIF(S163:$T163,R163)&gt;0,0,IF(COUNTIF($G163:$T163,"&gt;"&amp;R163)=0,"",SMALL($G163:$T163,COUNTIF($G163:$T163,"&lt;="&amp;R163)+1)-R163)))</f>
        <v/>
      </c>
      <c r="AP163">
        <f t="shared" ca="1" si="37"/>
        <v>0</v>
      </c>
      <c r="AQ163" s="25" t="str">
        <f t="shared" si="38"/>
        <v/>
      </c>
      <c r="AR163" s="25" t="str">
        <f t="shared" si="39"/>
        <v/>
      </c>
      <c r="AS163" s="25">
        <f t="shared" si="40"/>
        <v>46296</v>
      </c>
      <c r="AT163" s="25">
        <f t="shared" si="41"/>
        <v>46296</v>
      </c>
      <c r="AU163" s="25" t="str">
        <f t="shared" si="42"/>
        <v/>
      </c>
      <c r="AV163" s="25" t="str">
        <f t="shared" si="43"/>
        <v/>
      </c>
      <c r="AW163" s="25" t="str">
        <f t="shared" si="44"/>
        <v/>
      </c>
      <c r="AX163" s="25" t="str">
        <f t="shared" si="45"/>
        <v/>
      </c>
      <c r="AY163" s="25" t="str">
        <f t="shared" si="46"/>
        <v/>
      </c>
      <c r="AZ163" s="25" t="str">
        <f t="shared" si="47"/>
        <v/>
      </c>
      <c r="BA163" s="25">
        <f t="shared" si="48"/>
        <v>46296</v>
      </c>
      <c r="BB163" s="25" t="str">
        <f t="shared" si="49"/>
        <v/>
      </c>
      <c r="BC163" s="25">
        <f t="shared" si="50"/>
        <v>46296</v>
      </c>
    </row>
    <row r="164" spans="1:55" x14ac:dyDescent="0.25">
      <c r="A164" s="151">
        <f t="shared" si="34"/>
        <v>162</v>
      </c>
      <c r="B164" s="151" t="s">
        <v>293</v>
      </c>
      <c r="C164" s="152" t="s">
        <v>294</v>
      </c>
      <c r="D164" s="151">
        <f t="shared" si="35"/>
        <v>12</v>
      </c>
      <c r="E164" s="151" t="s">
        <v>61</v>
      </c>
      <c r="F164" s="173">
        <v>46294</v>
      </c>
      <c r="G164" s="173"/>
      <c r="H164" s="173"/>
      <c r="I164" s="173"/>
      <c r="J164" s="173"/>
      <c r="K164" s="173">
        <v>46294</v>
      </c>
      <c r="L164" s="173">
        <v>46295</v>
      </c>
      <c r="M164" s="173"/>
      <c r="N164" s="173"/>
      <c r="O164" s="173"/>
      <c r="P164" s="173"/>
      <c r="Q164" s="173"/>
      <c r="R164" s="173"/>
      <c r="S164" s="173"/>
      <c r="T164" s="174">
        <v>46295</v>
      </c>
      <c r="U164" s="151"/>
      <c r="V164" s="152"/>
      <c r="W164" s="175"/>
      <c r="X164" s="173"/>
      <c r="Y164" s="173"/>
      <c r="Z164" s="176" t="str">
        <f>IF(B164="","",IF(S164&lt;&gt;"","Sevk Edildi",IF(AND(X164&lt;&gt;"",Y164=""),"Reworkte",IF(T164&lt;&gt;"","Kapandı"&amp;IF(COUNT(G164:R164)=0,""," – "&amp;LOOKUP(2,1/(G164:R164=MAX(G164:R164)),{"Tasarım","Ply Cutter","Üretim","Kalite (Üretim sonrası)","Talaşlı","Kalite (Talaşlı sonrası)","Montaj","Kalite (Montaj sonrası)","Boya","Kalite (Boya sonrası)","Yarı Mamül","KM"})),IF(COUNT(G164:R164)=0,"Başlamadı",LOOKUP(2,1/(G164:R164=MAX(G164:R164)),{"Tasarımda","Ply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164" s="177">
        <f t="shared" ca="1" si="36"/>
        <v>1</v>
      </c>
      <c r="AB164" s="175"/>
      <c r="AD164" t="str">
        <f>IF(OR($B164="",NOT(ISNUMBER(G164))),"",IF(COUNTIF(H164:$T164,G164)&gt;0,0,IF(COUNTIF($G164:$T164,"&gt;"&amp;G164)=0,"",SMALL($G164:$T164,COUNTIF($G164:$T164,"&lt;="&amp;G164)+1)-G164)))</f>
        <v/>
      </c>
      <c r="AE164" t="str">
        <f>IF(OR($B164="",NOT(ISNUMBER(H164))),"",IF(COUNTIF(I164:$T164,H164)&gt;0,0,IF(COUNTIF($G164:$T164,"&gt;"&amp;H164)=0,"",SMALL($G164:$T164,COUNTIF($G164:$T164,"&lt;="&amp;H164)+1)-H164)))</f>
        <v/>
      </c>
      <c r="AF164" t="str">
        <f>IF(OR($B164="",NOT(ISNUMBER(I164))),"",IF(COUNTIF(J164:$T164,I164)&gt;0,0,IF(COUNTIF($G164:$T164,"&gt;"&amp;I164)=0,"",SMALL($G164:$T164,COUNTIF($G164:$T164,"&lt;="&amp;I164)+1)-I164)))</f>
        <v/>
      </c>
      <c r="AG164" t="str">
        <f>IF(OR($B164="",NOT(ISNUMBER(J164))),"",IF(COUNTIF(K164:$T164,J164)&gt;0,0,IF(COUNTIF($G164:$T164,"&gt;"&amp;J164)=0,"",SMALL($G164:$T164,COUNTIF($G164:$T164,"&lt;="&amp;J164)+1)-J164)))</f>
        <v/>
      </c>
      <c r="AH164">
        <f>IF(OR($B164="",NOT(ISNUMBER(K164))),"",IF(COUNTIF(L164:$T164,K164)&gt;0,0,IF(COUNTIF($G164:$T164,"&gt;"&amp;K164)=0,"",SMALL($G164:$T164,COUNTIF($G164:$T164,"&lt;="&amp;K164)+1)-K164)))</f>
        <v>1</v>
      </c>
      <c r="AI164">
        <f>IF(OR($B164="",NOT(ISNUMBER(L164))),"",IF(COUNTIF(M164:$T164,L164)&gt;0,0,IF(COUNTIF($G164:$T164,"&gt;"&amp;L164)=0,"",SMALL($G164:$T164,COUNTIF($G164:$T164,"&lt;="&amp;L164)+1)-L164)))</f>
        <v>0</v>
      </c>
      <c r="AJ164" t="str">
        <f>IF(OR($B164="",NOT(ISNUMBER(M164))),"",IF(COUNTIF(N164:$T164,M164)&gt;0,0,IF(COUNTIF($G164:$T164,"&gt;"&amp;M164)=0,"",SMALL($G164:$T164,COUNTIF($G164:$T164,"&lt;="&amp;M164)+1)-M164)))</f>
        <v/>
      </c>
      <c r="AK164" t="str">
        <f>IF(OR($B164="",NOT(ISNUMBER(N164))),"",IF(COUNTIF(O164:$T164,N164)&gt;0,0,IF(COUNTIF($G164:$T164,"&gt;"&amp;N164)=0,"",SMALL($G164:$T164,COUNTIF($G164:$T164,"&lt;="&amp;N164)+1)-N164)))</f>
        <v/>
      </c>
      <c r="AL164" t="str">
        <f>IF(OR($B164="",NOT(ISNUMBER(O164))),"",IF(COUNTIF(P164:$T164,O164)&gt;0,0,IF(COUNTIF($G164:$T164,"&gt;"&amp;O164)=0,"",SMALL($G164:$T164,COUNTIF($G164:$T164,"&lt;="&amp;O164)+1)-O164)))</f>
        <v/>
      </c>
      <c r="AM164" t="str">
        <f>IF(OR($B164="",NOT(ISNUMBER(P164))),"",IF(COUNTIF(Q164:$T164,P164)&gt;0,0,IF(COUNTIF($G164:$T164,"&gt;"&amp;P164)=0,"",SMALL($G164:$T164,COUNTIF($G164:$T164,"&lt;="&amp;P164)+1)-P164)))</f>
        <v/>
      </c>
      <c r="AN164" t="str">
        <f>IF(OR($B164="",NOT(ISNUMBER(Q164))),"",IF(COUNTIF(R164:$T164,Q164)&gt;0,0,IF(COUNTIF($G164:$T164,"&gt;"&amp;Q164)=0,"",SMALL($G164:$T164,COUNTIF($G164:$T164,"&lt;="&amp;Q164)+1)-Q164)))</f>
        <v/>
      </c>
      <c r="AO164" t="str">
        <f>IF(OR($B164="",NOT(ISNUMBER(R164))),"",IF(COUNTIF(S164:$T164,R164)&gt;0,0,IF(COUNTIF($G164:$T164,"&gt;"&amp;R164)=0,"",SMALL($G164:$T164,COUNTIF($G164:$T164,"&lt;="&amp;R164)+1)-R164)))</f>
        <v/>
      </c>
      <c r="AP164">
        <f t="shared" ca="1" si="37"/>
        <v>0</v>
      </c>
      <c r="AQ164" s="25" t="str">
        <f t="shared" si="38"/>
        <v/>
      </c>
      <c r="AR164" s="25" t="str">
        <f t="shared" si="39"/>
        <v/>
      </c>
      <c r="AS164" s="25" t="str">
        <f t="shared" si="40"/>
        <v/>
      </c>
      <c r="AT164" s="25" t="str">
        <f t="shared" si="41"/>
        <v/>
      </c>
      <c r="AU164" s="25">
        <f t="shared" si="42"/>
        <v>46295</v>
      </c>
      <c r="AV164" s="25">
        <f t="shared" si="43"/>
        <v>46295</v>
      </c>
      <c r="AW164" s="25" t="str">
        <f t="shared" si="44"/>
        <v/>
      </c>
      <c r="AX164" s="25" t="str">
        <f t="shared" si="45"/>
        <v/>
      </c>
      <c r="AY164" s="25" t="str">
        <f t="shared" si="46"/>
        <v/>
      </c>
      <c r="AZ164" s="25" t="str">
        <f t="shared" si="47"/>
        <v/>
      </c>
      <c r="BA164" s="25" t="str">
        <f t="shared" si="48"/>
        <v/>
      </c>
      <c r="BB164" s="25" t="str">
        <f t="shared" si="49"/>
        <v/>
      </c>
      <c r="BC164" s="25">
        <f t="shared" si="50"/>
        <v>46295</v>
      </c>
    </row>
    <row r="165" spans="1:55" x14ac:dyDescent="0.25">
      <c r="A165" s="151">
        <f t="shared" si="34"/>
        <v>163</v>
      </c>
      <c r="B165" s="151" t="s">
        <v>295</v>
      </c>
      <c r="C165" s="152" t="s">
        <v>296</v>
      </c>
      <c r="D165" s="151">
        <f t="shared" si="35"/>
        <v>7</v>
      </c>
      <c r="E165" s="151" t="s">
        <v>61</v>
      </c>
      <c r="F165" s="173">
        <v>46294</v>
      </c>
      <c r="G165" s="173"/>
      <c r="H165" s="173"/>
      <c r="I165" s="173"/>
      <c r="J165" s="173"/>
      <c r="K165" s="173">
        <v>46294</v>
      </c>
      <c r="L165" s="173">
        <v>46295</v>
      </c>
      <c r="M165" s="173"/>
      <c r="N165" s="173"/>
      <c r="O165" s="173"/>
      <c r="P165" s="173"/>
      <c r="Q165" s="173"/>
      <c r="R165" s="173"/>
      <c r="S165" s="173"/>
      <c r="T165" s="174">
        <v>46295</v>
      </c>
      <c r="U165" s="151"/>
      <c r="V165" s="152"/>
      <c r="W165" s="175"/>
      <c r="X165" s="173"/>
      <c r="Y165" s="173"/>
      <c r="Z165" s="176" t="str">
        <f>IF(B165="","",IF(S165&lt;&gt;"","Sevk Edildi",IF(AND(X165&lt;&gt;"",Y165=""),"Reworkte",IF(T165&lt;&gt;"","Kapandı"&amp;IF(COUNT(G165:R165)=0,""," – "&amp;LOOKUP(2,1/(G165:R165=MAX(G165:R165)),{"Tasarım","Ply Cutter","Üretim","Kalite (Üretim sonrası)","Talaşlı","Kalite (Talaşlı sonrası)","Montaj","Kalite (Montaj sonrası)","Boya","Kalite (Boya sonrası)","Yarı Mamül","KM"})),IF(COUNT(G165:R165)=0,"Başlamadı",LOOKUP(2,1/(G165:R165=MAX(G165:R165)),{"Tasarımda","Ply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165" s="177">
        <f t="shared" ca="1" si="36"/>
        <v>1</v>
      </c>
      <c r="AB165" s="175"/>
      <c r="AD165" t="str">
        <f>IF(OR($B165="",NOT(ISNUMBER(G165))),"",IF(COUNTIF(H165:$T165,G165)&gt;0,0,IF(COUNTIF($G165:$T165,"&gt;"&amp;G165)=0,"",SMALL($G165:$T165,COUNTIF($G165:$T165,"&lt;="&amp;G165)+1)-G165)))</f>
        <v/>
      </c>
      <c r="AE165" t="str">
        <f>IF(OR($B165="",NOT(ISNUMBER(H165))),"",IF(COUNTIF(I165:$T165,H165)&gt;0,0,IF(COUNTIF($G165:$T165,"&gt;"&amp;H165)=0,"",SMALL($G165:$T165,COUNTIF($G165:$T165,"&lt;="&amp;H165)+1)-H165)))</f>
        <v/>
      </c>
      <c r="AF165" t="str">
        <f>IF(OR($B165="",NOT(ISNUMBER(I165))),"",IF(COUNTIF(J165:$T165,I165)&gt;0,0,IF(COUNTIF($G165:$T165,"&gt;"&amp;I165)=0,"",SMALL($G165:$T165,COUNTIF($G165:$T165,"&lt;="&amp;I165)+1)-I165)))</f>
        <v/>
      </c>
      <c r="AG165" t="str">
        <f>IF(OR($B165="",NOT(ISNUMBER(J165))),"",IF(COUNTIF(K165:$T165,J165)&gt;0,0,IF(COUNTIF($G165:$T165,"&gt;"&amp;J165)=0,"",SMALL($G165:$T165,COUNTIF($G165:$T165,"&lt;="&amp;J165)+1)-J165)))</f>
        <v/>
      </c>
      <c r="AH165">
        <f>IF(OR($B165="",NOT(ISNUMBER(K165))),"",IF(COUNTIF(L165:$T165,K165)&gt;0,0,IF(COUNTIF($G165:$T165,"&gt;"&amp;K165)=0,"",SMALL($G165:$T165,COUNTIF($G165:$T165,"&lt;="&amp;K165)+1)-K165)))</f>
        <v>1</v>
      </c>
      <c r="AI165">
        <f>IF(OR($B165="",NOT(ISNUMBER(L165))),"",IF(COUNTIF(M165:$T165,L165)&gt;0,0,IF(COUNTIF($G165:$T165,"&gt;"&amp;L165)=0,"",SMALL($G165:$T165,COUNTIF($G165:$T165,"&lt;="&amp;L165)+1)-L165)))</f>
        <v>0</v>
      </c>
      <c r="AJ165" t="str">
        <f>IF(OR($B165="",NOT(ISNUMBER(M165))),"",IF(COUNTIF(N165:$T165,M165)&gt;0,0,IF(COUNTIF($G165:$T165,"&gt;"&amp;M165)=0,"",SMALL($G165:$T165,COUNTIF($G165:$T165,"&lt;="&amp;M165)+1)-M165)))</f>
        <v/>
      </c>
      <c r="AK165" t="str">
        <f>IF(OR($B165="",NOT(ISNUMBER(N165))),"",IF(COUNTIF(O165:$T165,N165)&gt;0,0,IF(COUNTIF($G165:$T165,"&gt;"&amp;N165)=0,"",SMALL($G165:$T165,COUNTIF($G165:$T165,"&lt;="&amp;N165)+1)-N165)))</f>
        <v/>
      </c>
      <c r="AL165" t="str">
        <f>IF(OR($B165="",NOT(ISNUMBER(O165))),"",IF(COUNTIF(P165:$T165,O165)&gt;0,0,IF(COUNTIF($G165:$T165,"&gt;"&amp;O165)=0,"",SMALL($G165:$T165,COUNTIF($G165:$T165,"&lt;="&amp;O165)+1)-O165)))</f>
        <v/>
      </c>
      <c r="AM165" t="str">
        <f>IF(OR($B165="",NOT(ISNUMBER(P165))),"",IF(COUNTIF(Q165:$T165,P165)&gt;0,0,IF(COUNTIF($G165:$T165,"&gt;"&amp;P165)=0,"",SMALL($G165:$T165,COUNTIF($G165:$T165,"&lt;="&amp;P165)+1)-P165)))</f>
        <v/>
      </c>
      <c r="AN165" t="str">
        <f>IF(OR($B165="",NOT(ISNUMBER(Q165))),"",IF(COUNTIF(R165:$T165,Q165)&gt;0,0,IF(COUNTIF($G165:$T165,"&gt;"&amp;Q165)=0,"",SMALL($G165:$T165,COUNTIF($G165:$T165,"&lt;="&amp;Q165)+1)-Q165)))</f>
        <v/>
      </c>
      <c r="AO165" t="str">
        <f>IF(OR($B165="",NOT(ISNUMBER(R165))),"",IF(COUNTIF(S165:$T165,R165)&gt;0,0,IF(COUNTIF($G165:$T165,"&gt;"&amp;R165)=0,"",SMALL($G165:$T165,COUNTIF($G165:$T165,"&lt;="&amp;R165)+1)-R165)))</f>
        <v/>
      </c>
      <c r="AP165">
        <f t="shared" ca="1" si="37"/>
        <v>0</v>
      </c>
      <c r="AQ165" s="25" t="str">
        <f t="shared" si="38"/>
        <v/>
      </c>
      <c r="AR165" s="25" t="str">
        <f t="shared" si="39"/>
        <v/>
      </c>
      <c r="AS165" s="25" t="str">
        <f t="shared" si="40"/>
        <v/>
      </c>
      <c r="AT165" s="25" t="str">
        <f t="shared" si="41"/>
        <v/>
      </c>
      <c r="AU165" s="25">
        <f t="shared" si="42"/>
        <v>46295</v>
      </c>
      <c r="AV165" s="25">
        <f t="shared" si="43"/>
        <v>46295</v>
      </c>
      <c r="AW165" s="25" t="str">
        <f t="shared" si="44"/>
        <v/>
      </c>
      <c r="AX165" s="25" t="str">
        <f t="shared" si="45"/>
        <v/>
      </c>
      <c r="AY165" s="25" t="str">
        <f t="shared" si="46"/>
        <v/>
      </c>
      <c r="AZ165" s="25" t="str">
        <f t="shared" si="47"/>
        <v/>
      </c>
      <c r="BA165" s="25" t="str">
        <f t="shared" si="48"/>
        <v/>
      </c>
      <c r="BB165" s="25" t="str">
        <f t="shared" si="49"/>
        <v/>
      </c>
      <c r="BC165" s="25">
        <f t="shared" si="50"/>
        <v>46295</v>
      </c>
    </row>
    <row r="166" spans="1:55" x14ac:dyDescent="0.25">
      <c r="A166" s="151">
        <f t="shared" si="34"/>
        <v>164</v>
      </c>
      <c r="B166" s="151" t="s">
        <v>297</v>
      </c>
      <c r="C166" s="152" t="s">
        <v>78</v>
      </c>
      <c r="D166" s="151">
        <f t="shared" si="35"/>
        <v>1</v>
      </c>
      <c r="E166" s="151" t="s">
        <v>61</v>
      </c>
      <c r="F166" s="173">
        <v>46294</v>
      </c>
      <c r="G166" s="173"/>
      <c r="H166" s="173"/>
      <c r="I166" s="173">
        <v>46295</v>
      </c>
      <c r="J166" s="173">
        <v>46296</v>
      </c>
      <c r="K166" s="173"/>
      <c r="L166" s="173"/>
      <c r="M166" s="173"/>
      <c r="N166" s="173"/>
      <c r="O166" s="173"/>
      <c r="P166" s="173"/>
      <c r="Q166" s="173"/>
      <c r="R166" s="173"/>
      <c r="S166" s="173"/>
      <c r="T166" s="174">
        <v>46296</v>
      </c>
      <c r="U166" s="151"/>
      <c r="V166" s="152"/>
      <c r="W166" s="175"/>
      <c r="X166" s="173"/>
      <c r="Y166" s="173"/>
      <c r="Z166" s="176" t="str">
        <f>IF(B166="","",IF(S166&lt;&gt;"","Sevk Edildi",IF(AND(X166&lt;&gt;"",Y166=""),"Reworkte",IF(T166&lt;&gt;"","Kapandı"&amp;IF(COUNT(G166:R166)=0,""," – "&amp;LOOKUP(2,1/(G166:R166=MAX(G166:R166)),{"Tasarım","Ply Cutter","Üretim","Kalite (Üretim sonrası)","Talaşlı","Kalite (Talaşlı sonrası)","Montaj","Kalite (Montaj sonrası)","Boya","Kalite (Boya sonrası)","Yarı Mamül","KM"})),IF(COUNT(G166:R166)=0,"Başlamadı",LOOKUP(2,1/(G166:R166=MAX(G166:R166)),{"Tasarımda","Ply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66" s="177">
        <f t="shared" ca="1" si="36"/>
        <v>2</v>
      </c>
      <c r="AB166" s="175"/>
      <c r="AD166" t="str">
        <f>IF(OR($B166="",NOT(ISNUMBER(G166))),"",IF(COUNTIF(H166:$T166,G166)&gt;0,0,IF(COUNTIF($G166:$T166,"&gt;"&amp;G166)=0,"",SMALL($G166:$T166,COUNTIF($G166:$T166,"&lt;="&amp;G166)+1)-G166)))</f>
        <v/>
      </c>
      <c r="AE166" t="str">
        <f>IF(OR($B166="",NOT(ISNUMBER(H166))),"",IF(COUNTIF(I166:$T166,H166)&gt;0,0,IF(COUNTIF($G166:$T166,"&gt;"&amp;H166)=0,"",SMALL($G166:$T166,COUNTIF($G166:$T166,"&lt;="&amp;H166)+1)-H166)))</f>
        <v/>
      </c>
      <c r="AF166">
        <f>IF(OR($B166="",NOT(ISNUMBER(I166))),"",IF(COUNTIF(J166:$T166,I166)&gt;0,0,IF(COUNTIF($G166:$T166,"&gt;"&amp;I166)=0,"",SMALL($G166:$T166,COUNTIF($G166:$T166,"&lt;="&amp;I166)+1)-I166)))</f>
        <v>1</v>
      </c>
      <c r="AG166">
        <f>IF(OR($B166="",NOT(ISNUMBER(J166))),"",IF(COUNTIF(K166:$T166,J166)&gt;0,0,IF(COUNTIF($G166:$T166,"&gt;"&amp;J166)=0,"",SMALL($G166:$T166,COUNTIF($G166:$T166,"&lt;="&amp;J166)+1)-J166)))</f>
        <v>0</v>
      </c>
      <c r="AH166" t="str">
        <f>IF(OR($B166="",NOT(ISNUMBER(K166))),"",IF(COUNTIF(L166:$T166,K166)&gt;0,0,IF(COUNTIF($G166:$T166,"&gt;"&amp;K166)=0,"",SMALL($G166:$T166,COUNTIF($G166:$T166,"&lt;="&amp;K166)+1)-K166)))</f>
        <v/>
      </c>
      <c r="AI166" t="str">
        <f>IF(OR($B166="",NOT(ISNUMBER(L166))),"",IF(COUNTIF(M166:$T166,L166)&gt;0,0,IF(COUNTIF($G166:$T166,"&gt;"&amp;L166)=0,"",SMALL($G166:$T166,COUNTIF($G166:$T166,"&lt;="&amp;L166)+1)-L166)))</f>
        <v/>
      </c>
      <c r="AJ166" t="str">
        <f>IF(OR($B166="",NOT(ISNUMBER(M166))),"",IF(COUNTIF(N166:$T166,M166)&gt;0,0,IF(COUNTIF($G166:$T166,"&gt;"&amp;M166)=0,"",SMALL($G166:$T166,COUNTIF($G166:$T166,"&lt;="&amp;M166)+1)-M166)))</f>
        <v/>
      </c>
      <c r="AK166" t="str">
        <f>IF(OR($B166="",NOT(ISNUMBER(N166))),"",IF(COUNTIF(O166:$T166,N166)&gt;0,0,IF(COUNTIF($G166:$T166,"&gt;"&amp;N166)=0,"",SMALL($G166:$T166,COUNTIF($G166:$T166,"&lt;="&amp;N166)+1)-N166)))</f>
        <v/>
      </c>
      <c r="AL166" t="str">
        <f>IF(OR($B166="",NOT(ISNUMBER(O166))),"",IF(COUNTIF(P166:$T166,O166)&gt;0,0,IF(COUNTIF($G166:$T166,"&gt;"&amp;O166)=0,"",SMALL($G166:$T166,COUNTIF($G166:$T166,"&lt;="&amp;O166)+1)-O166)))</f>
        <v/>
      </c>
      <c r="AM166" t="str">
        <f>IF(OR($B166="",NOT(ISNUMBER(P166))),"",IF(COUNTIF(Q166:$T166,P166)&gt;0,0,IF(COUNTIF($G166:$T166,"&gt;"&amp;P166)=0,"",SMALL($G166:$T166,COUNTIF($G166:$T166,"&lt;="&amp;P166)+1)-P166)))</f>
        <v/>
      </c>
      <c r="AN166" t="str">
        <f>IF(OR($B166="",NOT(ISNUMBER(Q166))),"",IF(COUNTIF(R166:$T166,Q166)&gt;0,0,IF(COUNTIF($G166:$T166,"&gt;"&amp;Q166)=0,"",SMALL($G166:$T166,COUNTIF($G166:$T166,"&lt;="&amp;Q166)+1)-Q166)))</f>
        <v/>
      </c>
      <c r="AO166" t="str">
        <f>IF(OR($B166="",NOT(ISNUMBER(R166))),"",IF(COUNTIF(S166:$T166,R166)&gt;0,0,IF(COUNTIF($G166:$T166,"&gt;"&amp;R166)=0,"",SMALL($G166:$T166,COUNTIF($G166:$T166,"&lt;="&amp;R166)+1)-R166)))</f>
        <v/>
      </c>
      <c r="AP166">
        <f t="shared" ca="1" si="37"/>
        <v>0</v>
      </c>
      <c r="AQ166" s="25" t="str">
        <f t="shared" si="38"/>
        <v/>
      </c>
      <c r="AR166" s="25" t="str">
        <f t="shared" si="39"/>
        <v/>
      </c>
      <c r="AS166" s="25">
        <f t="shared" si="40"/>
        <v>46296</v>
      </c>
      <c r="AT166" s="25">
        <f t="shared" si="41"/>
        <v>46296</v>
      </c>
      <c r="AU166" s="25" t="str">
        <f t="shared" si="42"/>
        <v/>
      </c>
      <c r="AV166" s="25" t="str">
        <f t="shared" si="43"/>
        <v/>
      </c>
      <c r="AW166" s="25" t="str">
        <f t="shared" si="44"/>
        <v/>
      </c>
      <c r="AX166" s="25" t="str">
        <f t="shared" si="45"/>
        <v/>
      </c>
      <c r="AY166" s="25" t="str">
        <f t="shared" si="46"/>
        <v/>
      </c>
      <c r="AZ166" s="25" t="str">
        <f t="shared" si="47"/>
        <v/>
      </c>
      <c r="BA166" s="25" t="str">
        <f t="shared" si="48"/>
        <v/>
      </c>
      <c r="BB166" s="25" t="str">
        <f t="shared" si="49"/>
        <v/>
      </c>
      <c r="BC166" s="25">
        <f t="shared" si="50"/>
        <v>46296</v>
      </c>
    </row>
    <row r="167" spans="1:55" x14ac:dyDescent="0.25">
      <c r="A167" s="151">
        <f t="shared" si="34"/>
        <v>165</v>
      </c>
      <c r="B167" s="151" t="s">
        <v>298</v>
      </c>
      <c r="C167" s="152" t="s">
        <v>72</v>
      </c>
      <c r="D167" s="151">
        <f t="shared" si="35"/>
        <v>1</v>
      </c>
      <c r="E167" s="151" t="s">
        <v>61</v>
      </c>
      <c r="F167" s="173">
        <v>46294</v>
      </c>
      <c r="G167" s="173"/>
      <c r="H167" s="173"/>
      <c r="I167" s="173">
        <v>46294</v>
      </c>
      <c r="J167" s="173">
        <v>46295</v>
      </c>
      <c r="K167" s="173"/>
      <c r="L167" s="173"/>
      <c r="M167" s="173"/>
      <c r="N167" s="173"/>
      <c r="O167" s="173"/>
      <c r="P167" s="173"/>
      <c r="Q167" s="173">
        <v>46296</v>
      </c>
      <c r="R167" s="173"/>
      <c r="S167" s="173"/>
      <c r="T167" s="174">
        <v>46296</v>
      </c>
      <c r="U167" s="151"/>
      <c r="V167" s="152"/>
      <c r="W167" s="175"/>
      <c r="X167" s="173"/>
      <c r="Y167" s="173"/>
      <c r="Z167" s="176" t="str">
        <f>IF(B167="","",IF(S167&lt;&gt;"","Sevk Edildi",IF(AND(X167&lt;&gt;"",Y167=""),"Reworkte",IF(T167&lt;&gt;"","Kapandı"&amp;IF(COUNT(G167:R167)=0,""," – "&amp;LOOKUP(2,1/(G167:R167=MAX(G167:R167)),{"Tasarım","Ply Cutter","Üretim","Kalite (Üretim sonrası)","Talaşlı","Kalite (Talaşlı sonrası)","Montaj","Kalite (Montaj sonrası)","Boya","Kalite (Boya sonrası)","Yarı Mamül","KM"})),IF(COUNT(G167:R167)=0,"Başlamadı",LOOKUP(2,1/(G167:R167=MAX(G167:R167)),{"Tasarımda","Ply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67" s="177">
        <f t="shared" ca="1" si="36"/>
        <v>2</v>
      </c>
      <c r="AB167" s="175"/>
      <c r="AD167" t="str">
        <f>IF(OR($B167="",NOT(ISNUMBER(G167))),"",IF(COUNTIF(H167:$T167,G167)&gt;0,0,IF(COUNTIF($G167:$T167,"&gt;"&amp;G167)=0,"",SMALL($G167:$T167,COUNTIF($G167:$T167,"&lt;="&amp;G167)+1)-G167)))</f>
        <v/>
      </c>
      <c r="AE167" t="str">
        <f>IF(OR($B167="",NOT(ISNUMBER(H167))),"",IF(COUNTIF(I167:$T167,H167)&gt;0,0,IF(COUNTIF($G167:$T167,"&gt;"&amp;H167)=0,"",SMALL($G167:$T167,COUNTIF($G167:$T167,"&lt;="&amp;H167)+1)-H167)))</f>
        <v/>
      </c>
      <c r="AF167">
        <f>IF(OR($B167="",NOT(ISNUMBER(I167))),"",IF(COUNTIF(J167:$T167,I167)&gt;0,0,IF(COUNTIF($G167:$T167,"&gt;"&amp;I167)=0,"",SMALL($G167:$T167,COUNTIF($G167:$T167,"&lt;="&amp;I167)+1)-I167)))</f>
        <v>1</v>
      </c>
      <c r="AG167">
        <f>IF(OR($B167="",NOT(ISNUMBER(J167))),"",IF(COUNTIF(K167:$T167,J167)&gt;0,0,IF(COUNTIF($G167:$T167,"&gt;"&amp;J167)=0,"",SMALL($G167:$T167,COUNTIF($G167:$T167,"&lt;="&amp;J167)+1)-J167)))</f>
        <v>1</v>
      </c>
      <c r="AH167" t="str">
        <f>IF(OR($B167="",NOT(ISNUMBER(K167))),"",IF(COUNTIF(L167:$T167,K167)&gt;0,0,IF(COUNTIF($G167:$T167,"&gt;"&amp;K167)=0,"",SMALL($G167:$T167,COUNTIF($G167:$T167,"&lt;="&amp;K167)+1)-K167)))</f>
        <v/>
      </c>
      <c r="AI167" t="str">
        <f>IF(OR($B167="",NOT(ISNUMBER(L167))),"",IF(COUNTIF(M167:$T167,L167)&gt;0,0,IF(COUNTIF($G167:$T167,"&gt;"&amp;L167)=0,"",SMALL($G167:$T167,COUNTIF($G167:$T167,"&lt;="&amp;L167)+1)-L167)))</f>
        <v/>
      </c>
      <c r="AJ167" t="str">
        <f>IF(OR($B167="",NOT(ISNUMBER(M167))),"",IF(COUNTIF(N167:$T167,M167)&gt;0,0,IF(COUNTIF($G167:$T167,"&gt;"&amp;M167)=0,"",SMALL($G167:$T167,COUNTIF($G167:$T167,"&lt;="&amp;M167)+1)-M167)))</f>
        <v/>
      </c>
      <c r="AK167" t="str">
        <f>IF(OR($B167="",NOT(ISNUMBER(N167))),"",IF(COUNTIF(O167:$T167,N167)&gt;0,0,IF(COUNTIF($G167:$T167,"&gt;"&amp;N167)=0,"",SMALL($G167:$T167,COUNTIF($G167:$T167,"&lt;="&amp;N167)+1)-N167)))</f>
        <v/>
      </c>
      <c r="AL167" t="str">
        <f>IF(OR($B167="",NOT(ISNUMBER(O167))),"",IF(COUNTIF(P167:$T167,O167)&gt;0,0,IF(COUNTIF($G167:$T167,"&gt;"&amp;O167)=0,"",SMALL($G167:$T167,COUNTIF($G167:$T167,"&lt;="&amp;O167)+1)-O167)))</f>
        <v/>
      </c>
      <c r="AM167" t="str">
        <f>IF(OR($B167="",NOT(ISNUMBER(P167))),"",IF(COUNTIF(Q167:$T167,P167)&gt;0,0,IF(COUNTIF($G167:$T167,"&gt;"&amp;P167)=0,"",SMALL($G167:$T167,COUNTIF($G167:$T167,"&lt;="&amp;P167)+1)-P167)))</f>
        <v/>
      </c>
      <c r="AN167">
        <f>IF(OR($B167="",NOT(ISNUMBER(Q167))),"",IF(COUNTIF(R167:$T167,Q167)&gt;0,0,IF(COUNTIF($G167:$T167,"&gt;"&amp;Q167)=0,"",SMALL($G167:$T167,COUNTIF($G167:$T167,"&lt;="&amp;Q167)+1)-Q167)))</f>
        <v>0</v>
      </c>
      <c r="AO167" t="str">
        <f>IF(OR($B167="",NOT(ISNUMBER(R167))),"",IF(COUNTIF(S167:$T167,R167)&gt;0,0,IF(COUNTIF($G167:$T167,"&gt;"&amp;R167)=0,"",SMALL($G167:$T167,COUNTIF($G167:$T167,"&lt;="&amp;R167)+1)-R167)))</f>
        <v/>
      </c>
      <c r="AP167">
        <f t="shared" ca="1" si="37"/>
        <v>0</v>
      </c>
      <c r="AQ167" s="25" t="str">
        <f t="shared" si="38"/>
        <v/>
      </c>
      <c r="AR167" s="25" t="str">
        <f t="shared" si="39"/>
        <v/>
      </c>
      <c r="AS167" s="25">
        <f t="shared" si="40"/>
        <v>46295</v>
      </c>
      <c r="AT167" s="25">
        <f t="shared" si="41"/>
        <v>46296</v>
      </c>
      <c r="AU167" s="25" t="str">
        <f t="shared" si="42"/>
        <v/>
      </c>
      <c r="AV167" s="25" t="str">
        <f t="shared" si="43"/>
        <v/>
      </c>
      <c r="AW167" s="25" t="str">
        <f t="shared" si="44"/>
        <v/>
      </c>
      <c r="AX167" s="25" t="str">
        <f t="shared" si="45"/>
        <v/>
      </c>
      <c r="AY167" s="25" t="str">
        <f t="shared" si="46"/>
        <v/>
      </c>
      <c r="AZ167" s="25" t="str">
        <f t="shared" si="47"/>
        <v/>
      </c>
      <c r="BA167" s="25">
        <f t="shared" si="48"/>
        <v>46296</v>
      </c>
      <c r="BB167" s="25" t="str">
        <f t="shared" si="49"/>
        <v/>
      </c>
      <c r="BC167" s="25">
        <f t="shared" si="50"/>
        <v>46296</v>
      </c>
    </row>
    <row r="168" spans="1:55" ht="14.25" customHeight="1" x14ac:dyDescent="0.25">
      <c r="A168" s="151">
        <f t="shared" si="34"/>
        <v>166</v>
      </c>
      <c r="B168" s="151" t="s">
        <v>299</v>
      </c>
      <c r="C168" s="152" t="s">
        <v>300</v>
      </c>
      <c r="D168" s="151">
        <f t="shared" si="35"/>
        <v>1</v>
      </c>
      <c r="E168" s="151" t="s">
        <v>61</v>
      </c>
      <c r="F168" s="173">
        <v>46284</v>
      </c>
      <c r="G168" s="173"/>
      <c r="H168" s="173"/>
      <c r="I168" s="173">
        <v>46294</v>
      </c>
      <c r="J168" s="173">
        <v>46295</v>
      </c>
      <c r="K168" s="173"/>
      <c r="L168" s="173"/>
      <c r="M168" s="173"/>
      <c r="N168" s="173"/>
      <c r="O168" s="173"/>
      <c r="P168" s="173"/>
      <c r="Q168" s="173">
        <v>46295</v>
      </c>
      <c r="R168" s="173"/>
      <c r="S168" s="173"/>
      <c r="T168" s="174">
        <v>46295</v>
      </c>
      <c r="U168" s="151"/>
      <c r="V168" s="152"/>
      <c r="W168" s="175"/>
      <c r="X168" s="173"/>
      <c r="Y168" s="173"/>
      <c r="Z168" s="176" t="str">
        <f>IF(B168="","",IF(S168&lt;&gt;"","Sevk Edildi",IF(AND(X168&lt;&gt;"",Y168=""),"Reworkte",IF(T168&lt;&gt;"","Kapandı"&amp;IF(COUNT(G168:R168)=0,""," – "&amp;LOOKUP(2,1/(G168:R168=MAX(G168:R168)),{"Tasarım","Ply Cutter","Üretim","Kalite (Üretim sonrası)","Talaşlı","Kalite (Talaşlı sonrası)","Montaj","Kalite (Montaj sonrası)","Boya","Kalite (Boya sonrası)","Yarı Mamül","KM"})),IF(COUNT(G168:R168)=0,"Başlamadı",LOOKUP(2,1/(G168:R168=MAX(G168:R168)),{"Tasarımda","Ply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68" s="177">
        <f t="shared" ca="1" si="36"/>
        <v>11</v>
      </c>
      <c r="AB168" s="175"/>
      <c r="AD168" t="str">
        <f>IF(OR($B168="",NOT(ISNUMBER(G168))),"",IF(COUNTIF(H168:$T168,G168)&gt;0,0,IF(COUNTIF($G168:$T168,"&gt;"&amp;G168)=0,"",SMALL($G168:$T168,COUNTIF($G168:$T168,"&lt;="&amp;G168)+1)-G168)))</f>
        <v/>
      </c>
      <c r="AE168" t="str">
        <f>IF(OR($B168="",NOT(ISNUMBER(H168))),"",IF(COUNTIF(I168:$T168,H168)&gt;0,0,IF(COUNTIF($G168:$T168,"&gt;"&amp;H168)=0,"",SMALL($G168:$T168,COUNTIF($G168:$T168,"&lt;="&amp;H168)+1)-H168)))</f>
        <v/>
      </c>
      <c r="AF168">
        <f>IF(OR($B168="",NOT(ISNUMBER(I168))),"",IF(COUNTIF(J168:$T168,I168)&gt;0,0,IF(COUNTIF($G168:$T168,"&gt;"&amp;I168)=0,"",SMALL($G168:$T168,COUNTIF($G168:$T168,"&lt;="&amp;I168)+1)-I168)))</f>
        <v>1</v>
      </c>
      <c r="AG168">
        <f>IF(OR($B168="",NOT(ISNUMBER(J168))),"",IF(COUNTIF(K168:$T168,J168)&gt;0,0,IF(COUNTIF($G168:$T168,"&gt;"&amp;J168)=0,"",SMALL($G168:$T168,COUNTIF($G168:$T168,"&lt;="&amp;J168)+1)-J168)))</f>
        <v>0</v>
      </c>
      <c r="AH168" t="str">
        <f>IF(OR($B168="",NOT(ISNUMBER(K168))),"",IF(COUNTIF(L168:$T168,K168)&gt;0,0,IF(COUNTIF($G168:$T168,"&gt;"&amp;K168)=0,"",SMALL($G168:$T168,COUNTIF($G168:$T168,"&lt;="&amp;K168)+1)-K168)))</f>
        <v/>
      </c>
      <c r="AI168" t="str">
        <f>IF(OR($B168="",NOT(ISNUMBER(L168))),"",IF(COUNTIF(M168:$T168,L168)&gt;0,0,IF(COUNTIF($G168:$T168,"&gt;"&amp;L168)=0,"",SMALL($G168:$T168,COUNTIF($G168:$T168,"&lt;="&amp;L168)+1)-L168)))</f>
        <v/>
      </c>
      <c r="AJ168" t="str">
        <f>IF(OR($B168="",NOT(ISNUMBER(M168))),"",IF(COUNTIF(N168:$T168,M168)&gt;0,0,IF(COUNTIF($G168:$T168,"&gt;"&amp;M168)=0,"",SMALL($G168:$T168,COUNTIF($G168:$T168,"&lt;="&amp;M168)+1)-M168)))</f>
        <v/>
      </c>
      <c r="AK168" t="str">
        <f>IF(OR($B168="",NOT(ISNUMBER(N168))),"",IF(COUNTIF(O168:$T168,N168)&gt;0,0,IF(COUNTIF($G168:$T168,"&gt;"&amp;N168)=0,"",SMALL($G168:$T168,COUNTIF($G168:$T168,"&lt;="&amp;N168)+1)-N168)))</f>
        <v/>
      </c>
      <c r="AL168" t="str">
        <f>IF(OR($B168="",NOT(ISNUMBER(O168))),"",IF(COUNTIF(P168:$T168,O168)&gt;0,0,IF(COUNTIF($G168:$T168,"&gt;"&amp;O168)=0,"",SMALL($G168:$T168,COUNTIF($G168:$T168,"&lt;="&amp;O168)+1)-O168)))</f>
        <v/>
      </c>
      <c r="AM168" t="str">
        <f>IF(OR($B168="",NOT(ISNUMBER(P168))),"",IF(COUNTIF(Q168:$T168,P168)&gt;0,0,IF(COUNTIF($G168:$T168,"&gt;"&amp;P168)=0,"",SMALL($G168:$T168,COUNTIF($G168:$T168,"&lt;="&amp;P168)+1)-P168)))</f>
        <v/>
      </c>
      <c r="AN168">
        <f>IF(OR($B168="",NOT(ISNUMBER(Q168))),"",IF(COUNTIF(R168:$T168,Q168)&gt;0,0,IF(COUNTIF($G168:$T168,"&gt;"&amp;Q168)=0,"",SMALL($G168:$T168,COUNTIF($G168:$T168,"&lt;="&amp;Q168)+1)-Q168)))</f>
        <v>0</v>
      </c>
      <c r="AO168" t="str">
        <f>IF(OR($B168="",NOT(ISNUMBER(R168))),"",IF(COUNTIF(S168:$T168,R168)&gt;0,0,IF(COUNTIF($G168:$T168,"&gt;"&amp;R168)=0,"",SMALL($G168:$T168,COUNTIF($G168:$T168,"&lt;="&amp;R168)+1)-R168)))</f>
        <v/>
      </c>
      <c r="AP168">
        <f t="shared" ca="1" si="37"/>
        <v>0</v>
      </c>
      <c r="AQ168" s="25" t="str">
        <f t="shared" si="38"/>
        <v/>
      </c>
      <c r="AR168" s="25" t="str">
        <f t="shared" si="39"/>
        <v/>
      </c>
      <c r="AS168" s="25">
        <f t="shared" si="40"/>
        <v>46295</v>
      </c>
      <c r="AT168" s="25">
        <f t="shared" si="41"/>
        <v>46295</v>
      </c>
      <c r="AU168" s="25" t="str">
        <f t="shared" si="42"/>
        <v/>
      </c>
      <c r="AV168" s="25" t="str">
        <f t="shared" si="43"/>
        <v/>
      </c>
      <c r="AW168" s="25" t="str">
        <f t="shared" si="44"/>
        <v/>
      </c>
      <c r="AX168" s="25" t="str">
        <f t="shared" si="45"/>
        <v/>
      </c>
      <c r="AY168" s="25" t="str">
        <f t="shared" si="46"/>
        <v/>
      </c>
      <c r="AZ168" s="25" t="str">
        <f t="shared" si="47"/>
        <v/>
      </c>
      <c r="BA168" s="25">
        <f t="shared" si="48"/>
        <v>46295</v>
      </c>
      <c r="BB168" s="25" t="str">
        <f t="shared" si="49"/>
        <v/>
      </c>
      <c r="BC168" s="25">
        <f t="shared" si="50"/>
        <v>46295</v>
      </c>
    </row>
    <row r="169" spans="1:55" x14ac:dyDescent="0.25">
      <c r="A169" s="151">
        <f t="shared" si="34"/>
        <v>167</v>
      </c>
      <c r="B169" s="151" t="s">
        <v>301</v>
      </c>
      <c r="C169" s="152" t="s">
        <v>302</v>
      </c>
      <c r="D169" s="151">
        <f t="shared" si="35"/>
        <v>28</v>
      </c>
      <c r="E169" s="151" t="s">
        <v>100</v>
      </c>
      <c r="F169" s="173">
        <v>46294</v>
      </c>
      <c r="G169" s="173"/>
      <c r="H169" s="173"/>
      <c r="I169" s="173"/>
      <c r="J169" s="173"/>
      <c r="K169" s="173">
        <v>46294</v>
      </c>
      <c r="L169" s="173">
        <v>46300</v>
      </c>
      <c r="M169" s="173"/>
      <c r="N169" s="173"/>
      <c r="O169" s="173"/>
      <c r="P169" s="173"/>
      <c r="Q169" s="173">
        <v>46303</v>
      </c>
      <c r="R169" s="173"/>
      <c r="S169" s="173"/>
      <c r="T169" s="174">
        <v>46303</v>
      </c>
      <c r="U169" s="151"/>
      <c r="V169" s="152"/>
      <c r="W169" s="175"/>
      <c r="X169" s="173"/>
      <c r="Y169" s="173"/>
      <c r="Z169" s="176" t="str">
        <f>IF(B169="","",IF(S169&lt;&gt;"","Sevk Edildi",IF(AND(X169&lt;&gt;"",Y169=""),"Reworkte",IF(T169&lt;&gt;"","Kapandı"&amp;IF(COUNT(G169:R169)=0,""," – "&amp;LOOKUP(2,1/(G169:R169=MAX(G169:R169)),{"Tasarım","Ply Cutter","Üretim","Kalite (Üretim sonrası)","Talaşlı","Kalite (Talaşlı sonrası)","Montaj","Kalite (Montaj sonrası)","Boya","Kalite (Boya sonrası)","Yarı Mamül","KM"})),IF(COUNT(G169:R169)=0,"Başlamadı",LOOKUP(2,1/(G169:R169=MAX(G169:R169)),{"Tasarımda","Ply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69" s="177">
        <f t="shared" ca="1" si="36"/>
        <v>9</v>
      </c>
      <c r="AB169" s="175"/>
      <c r="AD169" t="str">
        <f>IF(OR($B169="",NOT(ISNUMBER(G169))),"",IF(COUNTIF(H169:$T169,G169)&gt;0,0,IF(COUNTIF($G169:$T169,"&gt;"&amp;G169)=0,"",SMALL($G169:$T169,COUNTIF($G169:$T169,"&lt;="&amp;G169)+1)-G169)))</f>
        <v/>
      </c>
      <c r="AE169" t="str">
        <f>IF(OR($B169="",NOT(ISNUMBER(H169))),"",IF(COUNTIF(I169:$T169,H169)&gt;0,0,IF(COUNTIF($G169:$T169,"&gt;"&amp;H169)=0,"",SMALL($G169:$T169,COUNTIF($G169:$T169,"&lt;="&amp;H169)+1)-H169)))</f>
        <v/>
      </c>
      <c r="AF169" t="str">
        <f>IF(OR($B169="",NOT(ISNUMBER(I169))),"",IF(COUNTIF(J169:$T169,I169)&gt;0,0,IF(COUNTIF($G169:$T169,"&gt;"&amp;I169)=0,"",SMALL($G169:$T169,COUNTIF($G169:$T169,"&lt;="&amp;I169)+1)-I169)))</f>
        <v/>
      </c>
      <c r="AG169" t="str">
        <f>IF(OR($B169="",NOT(ISNUMBER(J169))),"",IF(COUNTIF(K169:$T169,J169)&gt;0,0,IF(COUNTIF($G169:$T169,"&gt;"&amp;J169)=0,"",SMALL($G169:$T169,COUNTIF($G169:$T169,"&lt;="&amp;J169)+1)-J169)))</f>
        <v/>
      </c>
      <c r="AH169">
        <f>IF(OR($B169="",NOT(ISNUMBER(K169))),"",IF(COUNTIF(L169:$T169,K169)&gt;0,0,IF(COUNTIF($G169:$T169,"&gt;"&amp;K169)=0,"",SMALL($G169:$T169,COUNTIF($G169:$T169,"&lt;="&amp;K169)+1)-K169)))</f>
        <v>6</v>
      </c>
      <c r="AI169">
        <f>IF(OR($B169="",NOT(ISNUMBER(L169))),"",IF(COUNTIF(M169:$T169,L169)&gt;0,0,IF(COUNTIF($G169:$T169,"&gt;"&amp;L169)=0,"",SMALL($G169:$T169,COUNTIF($G169:$T169,"&lt;="&amp;L169)+1)-L169)))</f>
        <v>3</v>
      </c>
      <c r="AJ169" t="str">
        <f>IF(OR($B169="",NOT(ISNUMBER(M169))),"",IF(COUNTIF(N169:$T169,M169)&gt;0,0,IF(COUNTIF($G169:$T169,"&gt;"&amp;M169)=0,"",SMALL($G169:$T169,COUNTIF($G169:$T169,"&lt;="&amp;M169)+1)-M169)))</f>
        <v/>
      </c>
      <c r="AK169" t="str">
        <f>IF(OR($B169="",NOT(ISNUMBER(N169))),"",IF(COUNTIF(O169:$T169,N169)&gt;0,0,IF(COUNTIF($G169:$T169,"&gt;"&amp;N169)=0,"",SMALL($G169:$T169,COUNTIF($G169:$T169,"&lt;="&amp;N169)+1)-N169)))</f>
        <v/>
      </c>
      <c r="AL169" t="str">
        <f>IF(OR($B169="",NOT(ISNUMBER(O169))),"",IF(COUNTIF(P169:$T169,O169)&gt;0,0,IF(COUNTIF($G169:$T169,"&gt;"&amp;O169)=0,"",SMALL($G169:$T169,COUNTIF($G169:$T169,"&lt;="&amp;O169)+1)-O169)))</f>
        <v/>
      </c>
      <c r="AM169" t="str">
        <f>IF(OR($B169="",NOT(ISNUMBER(P169))),"",IF(COUNTIF(Q169:$T169,P169)&gt;0,0,IF(COUNTIF($G169:$T169,"&gt;"&amp;P169)=0,"",SMALL($G169:$T169,COUNTIF($G169:$T169,"&lt;="&amp;P169)+1)-P169)))</f>
        <v/>
      </c>
      <c r="AN169">
        <f>IF(OR($B169="",NOT(ISNUMBER(Q169))),"",IF(COUNTIF(R169:$T169,Q169)&gt;0,0,IF(COUNTIF($G169:$T169,"&gt;"&amp;Q169)=0,"",SMALL($G169:$T169,COUNTIF($G169:$T169,"&lt;="&amp;Q169)+1)-Q169)))</f>
        <v>0</v>
      </c>
      <c r="AO169" t="str">
        <f>IF(OR($B169="",NOT(ISNUMBER(R169))),"",IF(COUNTIF(S169:$T169,R169)&gt;0,0,IF(COUNTIF($G169:$T169,"&gt;"&amp;R169)=0,"",SMALL($G169:$T169,COUNTIF($G169:$T169,"&lt;="&amp;R169)+1)-R169)))</f>
        <v/>
      </c>
      <c r="AP169">
        <f t="shared" ca="1" si="37"/>
        <v>0</v>
      </c>
      <c r="AQ169" s="25" t="str">
        <f t="shared" si="38"/>
        <v/>
      </c>
      <c r="AR169" s="25" t="str">
        <f t="shared" si="39"/>
        <v/>
      </c>
      <c r="AS169" s="25" t="str">
        <f t="shared" si="40"/>
        <v/>
      </c>
      <c r="AT169" s="25" t="str">
        <f t="shared" si="41"/>
        <v/>
      </c>
      <c r="AU169" s="25">
        <f t="shared" si="42"/>
        <v>46300</v>
      </c>
      <c r="AV169" s="25">
        <f t="shared" si="43"/>
        <v>46303</v>
      </c>
      <c r="AW169" s="25" t="str">
        <f t="shared" si="44"/>
        <v/>
      </c>
      <c r="AX169" s="25" t="str">
        <f t="shared" si="45"/>
        <v/>
      </c>
      <c r="AY169" s="25" t="str">
        <f t="shared" si="46"/>
        <v/>
      </c>
      <c r="AZ169" s="25" t="str">
        <f t="shared" si="47"/>
        <v/>
      </c>
      <c r="BA169" s="25">
        <f t="shared" si="48"/>
        <v>46303</v>
      </c>
      <c r="BB169" s="25" t="str">
        <f t="shared" si="49"/>
        <v/>
      </c>
      <c r="BC169" s="25">
        <f t="shared" si="50"/>
        <v>46303</v>
      </c>
    </row>
    <row r="170" spans="1:55" x14ac:dyDescent="0.25">
      <c r="A170" s="151">
        <f t="shared" si="34"/>
        <v>168</v>
      </c>
      <c r="B170" s="151" t="s">
        <v>303</v>
      </c>
      <c r="C170" s="152" t="s">
        <v>304</v>
      </c>
      <c r="D170" s="151">
        <f t="shared" si="35"/>
        <v>5</v>
      </c>
      <c r="E170" s="151" t="s">
        <v>100</v>
      </c>
      <c r="F170" s="173">
        <v>46294</v>
      </c>
      <c r="G170" s="173"/>
      <c r="H170" s="173">
        <v>46294</v>
      </c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81">
        <v>46294</v>
      </c>
      <c r="U170" s="151"/>
      <c r="V170" s="152"/>
      <c r="W170" s="175"/>
      <c r="X170" s="173"/>
      <c r="Y170" s="173"/>
      <c r="Z170" s="176" t="str">
        <f>IF(B170="","",IF(S170&lt;&gt;"","Sevk Edildi",IF(AND(X170&lt;&gt;"",Y170=""),"Reworkte",IF(T170&lt;&gt;"","Kapandı"&amp;IF(COUNT(G170:R170)=0,""," – "&amp;LOOKUP(2,1/(G170:R170=MAX(G170:R170)),{"Tasarım","Ply Cutter","Üretim","Kalite (Üretim sonrası)","Talaşlı","Kalite (Talaşlı sonrası)","Montaj","Kalite (Montaj sonrası)","Boya","Kalite (Boya sonrası)","Yarı Mamül","KM"})),IF(COUNT(G170:R170)=0,"Başlamadı",LOOKUP(2,1/(G170:R170=MAX(G170:R170)),{"Tasarımda","Ply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170" s="177">
        <f t="shared" ca="1" si="36"/>
        <v>0</v>
      </c>
      <c r="AB170" s="175"/>
      <c r="AD170" t="str">
        <f>IF(OR($B170="",NOT(ISNUMBER(G170))),"",IF(COUNTIF(H170:$T170,G170)&gt;0,0,IF(COUNTIF($G170:$T170,"&gt;"&amp;G170)=0,"",SMALL($G170:$T170,COUNTIF($G170:$T170,"&lt;="&amp;G170)+1)-G170)))</f>
        <v/>
      </c>
      <c r="AE170">
        <f>IF(OR($B170="",NOT(ISNUMBER(H170))),"",IF(COUNTIF(I170:$T170,H170)&gt;0,0,IF(COUNTIF($G170:$T170,"&gt;"&amp;H170)=0,"",SMALL($G170:$T170,COUNTIF($G170:$T170,"&lt;="&amp;H170)+1)-H170)))</f>
        <v>0</v>
      </c>
      <c r="AF170" t="str">
        <f>IF(OR($B170="",NOT(ISNUMBER(I170))),"",IF(COUNTIF(J170:$T170,I170)&gt;0,0,IF(COUNTIF($G170:$T170,"&gt;"&amp;I170)=0,"",SMALL($G170:$T170,COUNTIF($G170:$T170,"&lt;="&amp;I170)+1)-I170)))</f>
        <v/>
      </c>
      <c r="AG170" t="str">
        <f>IF(OR($B170="",NOT(ISNUMBER(J170))),"",IF(COUNTIF(K170:$T170,J170)&gt;0,0,IF(COUNTIF($G170:$T170,"&gt;"&amp;J170)=0,"",SMALL($G170:$T170,COUNTIF($G170:$T170,"&lt;="&amp;J170)+1)-J170)))</f>
        <v/>
      </c>
      <c r="AH170" t="str">
        <f>IF(OR($B170="",NOT(ISNUMBER(K170))),"",IF(COUNTIF(L170:$T170,K170)&gt;0,0,IF(COUNTIF($G170:$T170,"&gt;"&amp;K170)=0,"",SMALL($G170:$T170,COUNTIF($G170:$T170,"&lt;="&amp;K170)+1)-K170)))</f>
        <v/>
      </c>
      <c r="AI170" t="str">
        <f>IF(OR($B170="",NOT(ISNUMBER(L170))),"",IF(COUNTIF(M170:$T170,L170)&gt;0,0,IF(COUNTIF($G170:$T170,"&gt;"&amp;L170)=0,"",SMALL($G170:$T170,COUNTIF($G170:$T170,"&lt;="&amp;L170)+1)-L170)))</f>
        <v/>
      </c>
      <c r="AJ170" t="str">
        <f>IF(OR($B170="",NOT(ISNUMBER(M170))),"",IF(COUNTIF(N170:$T170,M170)&gt;0,0,IF(COUNTIF($G170:$T170,"&gt;"&amp;M170)=0,"",SMALL($G170:$T170,COUNTIF($G170:$T170,"&lt;="&amp;M170)+1)-M170)))</f>
        <v/>
      </c>
      <c r="AK170" t="str">
        <f>IF(OR($B170="",NOT(ISNUMBER(N170))),"",IF(COUNTIF(O170:$T170,N170)&gt;0,0,IF(COUNTIF($G170:$T170,"&gt;"&amp;N170)=0,"",SMALL($G170:$T170,COUNTIF($G170:$T170,"&lt;="&amp;N170)+1)-N170)))</f>
        <v/>
      </c>
      <c r="AL170" t="str">
        <f>IF(OR($B170="",NOT(ISNUMBER(O170))),"",IF(COUNTIF(P170:$T170,O170)&gt;0,0,IF(COUNTIF($G170:$T170,"&gt;"&amp;O170)=0,"",SMALL($G170:$T170,COUNTIF($G170:$T170,"&lt;="&amp;O170)+1)-O170)))</f>
        <v/>
      </c>
      <c r="AM170" t="str">
        <f>IF(OR($B170="",NOT(ISNUMBER(P170))),"",IF(COUNTIF(Q170:$T170,P170)&gt;0,0,IF(COUNTIF($G170:$T170,"&gt;"&amp;P170)=0,"",SMALL($G170:$T170,COUNTIF($G170:$T170,"&lt;="&amp;P170)+1)-P170)))</f>
        <v/>
      </c>
      <c r="AN170" t="str">
        <f>IF(OR($B170="",NOT(ISNUMBER(Q170))),"",IF(COUNTIF(R170:$T170,Q170)&gt;0,0,IF(COUNTIF($G170:$T170,"&gt;"&amp;Q170)=0,"",SMALL($G170:$T170,COUNTIF($G170:$T170,"&lt;="&amp;Q170)+1)-Q170)))</f>
        <v/>
      </c>
      <c r="AO170" t="str">
        <f>IF(OR($B170="",NOT(ISNUMBER(R170))),"",IF(COUNTIF(S170:$T170,R170)&gt;0,0,IF(COUNTIF($G170:$T170,"&gt;"&amp;R170)=0,"",SMALL($G170:$T170,COUNTIF($G170:$T170,"&lt;="&amp;R170)+1)-R170)))</f>
        <v/>
      </c>
      <c r="AP170">
        <f t="shared" ca="1" si="37"/>
        <v>0</v>
      </c>
      <c r="AQ170" s="25" t="str">
        <f t="shared" si="38"/>
        <v/>
      </c>
      <c r="AR170" s="25">
        <f t="shared" si="39"/>
        <v>46294</v>
      </c>
      <c r="AS170" s="25" t="str">
        <f t="shared" si="40"/>
        <v/>
      </c>
      <c r="AT170" s="25" t="str">
        <f t="shared" si="41"/>
        <v/>
      </c>
      <c r="AU170" s="25" t="str">
        <f t="shared" si="42"/>
        <v/>
      </c>
      <c r="AV170" s="25" t="str">
        <f t="shared" si="43"/>
        <v/>
      </c>
      <c r="AW170" s="25" t="str">
        <f t="shared" si="44"/>
        <v/>
      </c>
      <c r="AX170" s="25" t="str">
        <f t="shared" si="45"/>
        <v/>
      </c>
      <c r="AY170" s="25" t="str">
        <f t="shared" si="46"/>
        <v/>
      </c>
      <c r="AZ170" s="25" t="str">
        <f t="shared" si="47"/>
        <v/>
      </c>
      <c r="BA170" s="25" t="str">
        <f t="shared" si="48"/>
        <v/>
      </c>
      <c r="BB170" s="25" t="str">
        <f t="shared" si="49"/>
        <v/>
      </c>
      <c r="BC170" s="25">
        <f t="shared" si="50"/>
        <v>46294</v>
      </c>
    </row>
    <row r="171" spans="1:55" x14ac:dyDescent="0.25">
      <c r="A171" s="151">
        <f t="shared" si="34"/>
        <v>169</v>
      </c>
      <c r="B171" s="151" t="s">
        <v>305</v>
      </c>
      <c r="C171" s="152" t="s">
        <v>306</v>
      </c>
      <c r="D171" s="151">
        <f t="shared" si="35"/>
        <v>5</v>
      </c>
      <c r="E171" s="151" t="s">
        <v>100</v>
      </c>
      <c r="F171" s="173">
        <v>46294</v>
      </c>
      <c r="G171" s="173"/>
      <c r="H171" s="173">
        <v>46294</v>
      </c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81">
        <v>46294</v>
      </c>
      <c r="U171" s="151"/>
      <c r="V171" s="152"/>
      <c r="W171" s="175"/>
      <c r="X171" s="173"/>
      <c r="Y171" s="173"/>
      <c r="Z171" s="176" t="str">
        <f>IF(B171="","",IF(S171&lt;&gt;"","Sevk Edildi",IF(AND(X171&lt;&gt;"",Y171=""),"Reworkte",IF(T171&lt;&gt;"","Kapandı"&amp;IF(COUNT(G171:R171)=0,""," – "&amp;LOOKUP(2,1/(G171:R171=MAX(G171:R171)),{"Tasarım","Ply Cutter","Üretim","Kalite (Üretim sonrası)","Talaşlı","Kalite (Talaşlı sonrası)","Montaj","Kalite (Montaj sonrası)","Boya","Kalite (Boya sonrası)","Yarı Mamül","KM"})),IF(COUNT(G171:R171)=0,"Başlamadı",LOOKUP(2,1/(G171:R171=MAX(G171:R171)),{"Tasarımda","Ply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171" s="177">
        <f t="shared" ca="1" si="36"/>
        <v>0</v>
      </c>
      <c r="AB171" s="175"/>
      <c r="AD171" t="str">
        <f>IF(OR($B171="",NOT(ISNUMBER(G171))),"",IF(COUNTIF(H171:$T171,G171)&gt;0,0,IF(COUNTIF($G171:$T171,"&gt;"&amp;G171)=0,"",SMALL($G171:$T171,COUNTIF($G171:$T171,"&lt;="&amp;G171)+1)-G171)))</f>
        <v/>
      </c>
      <c r="AE171">
        <f>IF(OR($B171="",NOT(ISNUMBER(H171))),"",IF(COUNTIF(I171:$T171,H171)&gt;0,0,IF(COUNTIF($G171:$T171,"&gt;"&amp;H171)=0,"",SMALL($G171:$T171,COUNTIF($G171:$T171,"&lt;="&amp;H171)+1)-H171)))</f>
        <v>0</v>
      </c>
      <c r="AF171" t="str">
        <f>IF(OR($B171="",NOT(ISNUMBER(I171))),"",IF(COUNTIF(J171:$T171,I171)&gt;0,0,IF(COUNTIF($G171:$T171,"&gt;"&amp;I171)=0,"",SMALL($G171:$T171,COUNTIF($G171:$T171,"&lt;="&amp;I171)+1)-I171)))</f>
        <v/>
      </c>
      <c r="AG171" t="str">
        <f>IF(OR($B171="",NOT(ISNUMBER(J171))),"",IF(COUNTIF(K171:$T171,J171)&gt;0,0,IF(COUNTIF($G171:$T171,"&gt;"&amp;J171)=0,"",SMALL($G171:$T171,COUNTIF($G171:$T171,"&lt;="&amp;J171)+1)-J171)))</f>
        <v/>
      </c>
      <c r="AH171" t="str">
        <f>IF(OR($B171="",NOT(ISNUMBER(K171))),"",IF(COUNTIF(L171:$T171,K171)&gt;0,0,IF(COUNTIF($G171:$T171,"&gt;"&amp;K171)=0,"",SMALL($G171:$T171,COUNTIF($G171:$T171,"&lt;="&amp;K171)+1)-K171)))</f>
        <v/>
      </c>
      <c r="AI171" t="str">
        <f>IF(OR($B171="",NOT(ISNUMBER(L171))),"",IF(COUNTIF(M171:$T171,L171)&gt;0,0,IF(COUNTIF($G171:$T171,"&gt;"&amp;L171)=0,"",SMALL($G171:$T171,COUNTIF($G171:$T171,"&lt;="&amp;L171)+1)-L171)))</f>
        <v/>
      </c>
      <c r="AJ171" t="str">
        <f>IF(OR($B171="",NOT(ISNUMBER(M171))),"",IF(COUNTIF(N171:$T171,M171)&gt;0,0,IF(COUNTIF($G171:$T171,"&gt;"&amp;M171)=0,"",SMALL($G171:$T171,COUNTIF($G171:$T171,"&lt;="&amp;M171)+1)-M171)))</f>
        <v/>
      </c>
      <c r="AK171" t="str">
        <f>IF(OR($B171="",NOT(ISNUMBER(N171))),"",IF(COUNTIF(O171:$T171,N171)&gt;0,0,IF(COUNTIF($G171:$T171,"&gt;"&amp;N171)=0,"",SMALL($G171:$T171,COUNTIF($G171:$T171,"&lt;="&amp;N171)+1)-N171)))</f>
        <v/>
      </c>
      <c r="AL171" t="str">
        <f>IF(OR($B171="",NOT(ISNUMBER(O171))),"",IF(COUNTIF(P171:$T171,O171)&gt;0,0,IF(COUNTIF($G171:$T171,"&gt;"&amp;O171)=0,"",SMALL($G171:$T171,COUNTIF($G171:$T171,"&lt;="&amp;O171)+1)-O171)))</f>
        <v/>
      </c>
      <c r="AM171" t="str">
        <f>IF(OR($B171="",NOT(ISNUMBER(P171))),"",IF(COUNTIF(Q171:$T171,P171)&gt;0,0,IF(COUNTIF($G171:$T171,"&gt;"&amp;P171)=0,"",SMALL($G171:$T171,COUNTIF($G171:$T171,"&lt;="&amp;P171)+1)-P171)))</f>
        <v/>
      </c>
      <c r="AN171" t="str">
        <f>IF(OR($B171="",NOT(ISNUMBER(Q171))),"",IF(COUNTIF(R171:$T171,Q171)&gt;0,0,IF(COUNTIF($G171:$T171,"&gt;"&amp;Q171)=0,"",SMALL($G171:$T171,COUNTIF($G171:$T171,"&lt;="&amp;Q171)+1)-Q171)))</f>
        <v/>
      </c>
      <c r="AO171" t="str">
        <f>IF(OR($B171="",NOT(ISNUMBER(R171))),"",IF(COUNTIF(S171:$T171,R171)&gt;0,0,IF(COUNTIF($G171:$T171,"&gt;"&amp;R171)=0,"",SMALL($G171:$T171,COUNTIF($G171:$T171,"&lt;="&amp;R171)+1)-R171)))</f>
        <v/>
      </c>
      <c r="AP171">
        <f t="shared" ca="1" si="37"/>
        <v>0</v>
      </c>
      <c r="AQ171" s="25" t="str">
        <f t="shared" si="38"/>
        <v/>
      </c>
      <c r="AR171" s="25">
        <f t="shared" si="39"/>
        <v>46294</v>
      </c>
      <c r="AS171" s="25" t="str">
        <f t="shared" si="40"/>
        <v/>
      </c>
      <c r="AT171" s="25" t="str">
        <f t="shared" si="41"/>
        <v/>
      </c>
      <c r="AU171" s="25" t="str">
        <f t="shared" si="42"/>
        <v/>
      </c>
      <c r="AV171" s="25" t="str">
        <f t="shared" si="43"/>
        <v/>
      </c>
      <c r="AW171" s="25" t="str">
        <f t="shared" si="44"/>
        <v/>
      </c>
      <c r="AX171" s="25" t="str">
        <f t="shared" si="45"/>
        <v/>
      </c>
      <c r="AY171" s="25" t="str">
        <f t="shared" si="46"/>
        <v/>
      </c>
      <c r="AZ171" s="25" t="str">
        <f t="shared" si="47"/>
        <v/>
      </c>
      <c r="BA171" s="25" t="str">
        <f t="shared" si="48"/>
        <v/>
      </c>
      <c r="BB171" s="25" t="str">
        <f t="shared" si="49"/>
        <v/>
      </c>
      <c r="BC171" s="25">
        <f t="shared" si="50"/>
        <v>46294</v>
      </c>
    </row>
    <row r="172" spans="1:55" x14ac:dyDescent="0.25">
      <c r="A172" s="151">
        <f t="shared" si="34"/>
        <v>170</v>
      </c>
      <c r="B172" s="151" t="s">
        <v>307</v>
      </c>
      <c r="C172" s="152" t="s">
        <v>205</v>
      </c>
      <c r="D172" s="151">
        <f t="shared" si="35"/>
        <v>1</v>
      </c>
      <c r="E172" s="151" t="s">
        <v>100</v>
      </c>
      <c r="F172" s="173">
        <v>46294</v>
      </c>
      <c r="G172" s="173"/>
      <c r="H172" s="173"/>
      <c r="I172" s="173"/>
      <c r="J172" s="173"/>
      <c r="K172" s="173">
        <v>46295</v>
      </c>
      <c r="L172" s="173">
        <v>46305</v>
      </c>
      <c r="M172" s="173"/>
      <c r="N172" s="173"/>
      <c r="O172" s="173"/>
      <c r="P172" s="173"/>
      <c r="Q172" s="173"/>
      <c r="R172" s="173"/>
      <c r="S172" s="173"/>
      <c r="T172" s="151"/>
      <c r="U172" s="151"/>
      <c r="V172" s="152"/>
      <c r="W172" s="175"/>
      <c r="X172" s="173"/>
      <c r="Y172" s="173"/>
      <c r="Z172" s="176" t="str">
        <f>IF(B172="","",IF(S172&lt;&gt;"","Sevk Edildi",IF(AND(X172&lt;&gt;"",Y172=""),"Reworkte",IF(T172&lt;&gt;"","Kapandı"&amp;IF(COUNT(G172:R172)=0,""," – "&amp;LOOKUP(2,1/(G172:R172=MAX(G172:R172)),{"Tasarım","Ply Cutter","Üretim","Kalite (Üretim sonrası)","Talaşlı","Kalite (Talaşlı sonrası)","Montaj","Kalite (Montaj sonrası)","Boya","Kalite (Boya sonrası)","Yarı Mamül","KM"})),IF(COUNT(G172:R172)=0,"Başlamadı",LOOKUP(2,1/(G172:R172=MAX(G172:R172)),{"Tasarımda","Ply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172" s="177">
        <f t="shared" ca="1" si="36"/>
        <v>13</v>
      </c>
      <c r="AB172" s="175"/>
      <c r="AD172" t="str">
        <f>IF(OR($B172="",NOT(ISNUMBER(G172))),"",IF(COUNTIF(H172:$T172,G172)&gt;0,0,IF(COUNTIF($G172:$T172,"&gt;"&amp;G172)=0,"",SMALL($G172:$T172,COUNTIF($G172:$T172,"&lt;="&amp;G172)+1)-G172)))</f>
        <v/>
      </c>
      <c r="AE172" t="str">
        <f>IF(OR($B172="",NOT(ISNUMBER(H172))),"",IF(COUNTIF(I172:$T172,H172)&gt;0,0,IF(COUNTIF($G172:$T172,"&gt;"&amp;H172)=0,"",SMALL($G172:$T172,COUNTIF($G172:$T172,"&lt;="&amp;H172)+1)-H172)))</f>
        <v/>
      </c>
      <c r="AF172" t="str">
        <f>IF(OR($B172="",NOT(ISNUMBER(I172))),"",IF(COUNTIF(J172:$T172,I172)&gt;0,0,IF(COUNTIF($G172:$T172,"&gt;"&amp;I172)=0,"",SMALL($G172:$T172,COUNTIF($G172:$T172,"&lt;="&amp;I172)+1)-I172)))</f>
        <v/>
      </c>
      <c r="AG172" t="str">
        <f>IF(OR($B172="",NOT(ISNUMBER(J172))),"",IF(COUNTIF(K172:$T172,J172)&gt;0,0,IF(COUNTIF($G172:$T172,"&gt;"&amp;J172)=0,"",SMALL($G172:$T172,COUNTIF($G172:$T172,"&lt;="&amp;J172)+1)-J172)))</f>
        <v/>
      </c>
      <c r="AH172">
        <f>IF(OR($B172="",NOT(ISNUMBER(K172))),"",IF(COUNTIF(L172:$T172,K172)&gt;0,0,IF(COUNTIF($G172:$T172,"&gt;"&amp;K172)=0,"",SMALL($G172:$T172,COUNTIF($G172:$T172,"&lt;="&amp;K172)+1)-K172)))</f>
        <v>10</v>
      </c>
      <c r="AI172" t="str">
        <f>IF(OR($B172="",NOT(ISNUMBER(L172))),"",IF(COUNTIF(M172:$T172,L172)&gt;0,0,IF(COUNTIF($G172:$T172,"&gt;"&amp;L172)=0,"",SMALL($G172:$T172,COUNTIF($G172:$T172,"&lt;="&amp;L172)+1)-L172)))</f>
        <v/>
      </c>
      <c r="AJ172" t="str">
        <f>IF(OR($B172="",NOT(ISNUMBER(M172))),"",IF(COUNTIF(N172:$T172,M172)&gt;0,0,IF(COUNTIF($G172:$T172,"&gt;"&amp;M172)=0,"",SMALL($G172:$T172,COUNTIF($G172:$T172,"&lt;="&amp;M172)+1)-M172)))</f>
        <v/>
      </c>
      <c r="AK172" t="str">
        <f>IF(OR($B172="",NOT(ISNUMBER(N172))),"",IF(COUNTIF(O172:$T172,N172)&gt;0,0,IF(COUNTIF($G172:$T172,"&gt;"&amp;N172)=0,"",SMALL($G172:$T172,COUNTIF($G172:$T172,"&lt;="&amp;N172)+1)-N172)))</f>
        <v/>
      </c>
      <c r="AL172" t="str">
        <f>IF(OR($B172="",NOT(ISNUMBER(O172))),"",IF(COUNTIF(P172:$T172,O172)&gt;0,0,IF(COUNTIF($G172:$T172,"&gt;"&amp;O172)=0,"",SMALL($G172:$T172,COUNTIF($G172:$T172,"&lt;="&amp;O172)+1)-O172)))</f>
        <v/>
      </c>
      <c r="AM172" t="str">
        <f>IF(OR($B172="",NOT(ISNUMBER(P172))),"",IF(COUNTIF(Q172:$T172,P172)&gt;0,0,IF(COUNTIF($G172:$T172,"&gt;"&amp;P172)=0,"",SMALL($G172:$T172,COUNTIF($G172:$T172,"&lt;="&amp;P172)+1)-P172)))</f>
        <v/>
      </c>
      <c r="AN172" t="str">
        <f>IF(OR($B172="",NOT(ISNUMBER(Q172))),"",IF(COUNTIF(R172:$T172,Q172)&gt;0,0,IF(COUNTIF($G172:$T172,"&gt;"&amp;Q172)=0,"",SMALL($G172:$T172,COUNTIF($G172:$T172,"&lt;="&amp;Q172)+1)-Q172)))</f>
        <v/>
      </c>
      <c r="AO172" t="str">
        <f>IF(OR($B172="",NOT(ISNUMBER(R172))),"",IF(COUNTIF(S172:$T172,R172)&gt;0,0,IF(COUNTIF($G172:$T172,"&gt;"&amp;R172)=0,"",SMALL($G172:$T172,COUNTIF($G172:$T172,"&lt;="&amp;R172)+1)-R172)))</f>
        <v/>
      </c>
      <c r="AP172">
        <f t="shared" ca="1" si="37"/>
        <v>2</v>
      </c>
      <c r="AQ172" s="25" t="str">
        <f t="shared" si="38"/>
        <v/>
      </c>
      <c r="AR172" s="25" t="str">
        <f t="shared" si="39"/>
        <v/>
      </c>
      <c r="AS172" s="25" t="str">
        <f t="shared" si="40"/>
        <v/>
      </c>
      <c r="AT172" s="25" t="str">
        <f t="shared" si="41"/>
        <v/>
      </c>
      <c r="AU172" s="25">
        <f t="shared" si="42"/>
        <v>46305</v>
      </c>
      <c r="AV172" s="25" t="str">
        <f t="shared" si="43"/>
        <v/>
      </c>
      <c r="AW172" s="25" t="str">
        <f t="shared" si="44"/>
        <v/>
      </c>
      <c r="AX172" s="25" t="str">
        <f t="shared" si="45"/>
        <v/>
      </c>
      <c r="AY172" s="25" t="str">
        <f t="shared" si="46"/>
        <v/>
      </c>
      <c r="AZ172" s="25" t="str">
        <f t="shared" si="47"/>
        <v/>
      </c>
      <c r="BA172" s="25" t="str">
        <f t="shared" si="48"/>
        <v/>
      </c>
      <c r="BB172" s="25" t="str">
        <f t="shared" si="49"/>
        <v/>
      </c>
      <c r="BC172" s="25" t="str">
        <f t="shared" si="50"/>
        <v/>
      </c>
    </row>
    <row r="173" spans="1:55" x14ac:dyDescent="0.25">
      <c r="A173" s="151">
        <f t="shared" si="34"/>
        <v>171</v>
      </c>
      <c r="B173" s="151" t="s">
        <v>308</v>
      </c>
      <c r="C173" s="152" t="s">
        <v>205</v>
      </c>
      <c r="D173" s="151">
        <f t="shared" si="35"/>
        <v>1</v>
      </c>
      <c r="E173" s="151" t="s">
        <v>100</v>
      </c>
      <c r="F173" s="173">
        <v>46294</v>
      </c>
      <c r="G173" s="173"/>
      <c r="H173" s="173"/>
      <c r="I173" s="173"/>
      <c r="J173" s="173"/>
      <c r="K173" s="173">
        <v>46295</v>
      </c>
      <c r="L173" s="173">
        <v>46305</v>
      </c>
      <c r="M173" s="173"/>
      <c r="N173" s="173"/>
      <c r="O173" s="173"/>
      <c r="P173" s="173"/>
      <c r="Q173" s="173"/>
      <c r="R173" s="173"/>
      <c r="S173" s="173"/>
      <c r="T173" s="151"/>
      <c r="U173" s="151"/>
      <c r="V173" s="152"/>
      <c r="W173" s="175"/>
      <c r="X173" s="173"/>
      <c r="Y173" s="173"/>
      <c r="Z173" s="176" t="str">
        <f>IF(B173="","",IF(S173&lt;&gt;"","Sevk Edildi",IF(AND(X173&lt;&gt;"",Y173=""),"Reworkte",IF(T173&lt;&gt;"","Kapandı"&amp;IF(COUNT(G173:R173)=0,""," – "&amp;LOOKUP(2,1/(G173:R173=MAX(G173:R173)),{"Tasarım","Ply Cutter","Üretim","Kalite (Üretim sonrası)","Talaşlı","Kalite (Talaşlı sonrası)","Montaj","Kalite (Montaj sonrası)","Boya","Kalite (Boya sonrası)","Yarı Mamül","KM"})),IF(COUNT(G173:R173)=0,"Başlamadı",LOOKUP(2,1/(G173:R173=MAX(G173:R173)),{"Tasarımda","Ply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173" s="177">
        <f t="shared" ca="1" si="36"/>
        <v>13</v>
      </c>
      <c r="AB173" s="175"/>
      <c r="AD173" t="str">
        <f>IF(OR($B173="",NOT(ISNUMBER(G173))),"",IF(COUNTIF(H173:$T173,G173)&gt;0,0,IF(COUNTIF($G173:$T173,"&gt;"&amp;G173)=0,"",SMALL($G173:$T173,COUNTIF($G173:$T173,"&lt;="&amp;G173)+1)-G173)))</f>
        <v/>
      </c>
      <c r="AE173" t="str">
        <f>IF(OR($B173="",NOT(ISNUMBER(H173))),"",IF(COUNTIF(I173:$T173,H173)&gt;0,0,IF(COUNTIF($G173:$T173,"&gt;"&amp;H173)=0,"",SMALL($G173:$T173,COUNTIF($G173:$T173,"&lt;="&amp;H173)+1)-H173)))</f>
        <v/>
      </c>
      <c r="AF173" t="str">
        <f>IF(OR($B173="",NOT(ISNUMBER(I173))),"",IF(COUNTIF(J173:$T173,I173)&gt;0,0,IF(COUNTIF($G173:$T173,"&gt;"&amp;I173)=0,"",SMALL($G173:$T173,COUNTIF($G173:$T173,"&lt;="&amp;I173)+1)-I173)))</f>
        <v/>
      </c>
      <c r="AG173" t="str">
        <f>IF(OR($B173="",NOT(ISNUMBER(J173))),"",IF(COUNTIF(K173:$T173,J173)&gt;0,0,IF(COUNTIF($G173:$T173,"&gt;"&amp;J173)=0,"",SMALL($G173:$T173,COUNTIF($G173:$T173,"&lt;="&amp;J173)+1)-J173)))</f>
        <v/>
      </c>
      <c r="AH173">
        <f>IF(OR($B173="",NOT(ISNUMBER(K173))),"",IF(COUNTIF(L173:$T173,K173)&gt;0,0,IF(COUNTIF($G173:$T173,"&gt;"&amp;K173)=0,"",SMALL($G173:$T173,COUNTIF($G173:$T173,"&lt;="&amp;K173)+1)-K173)))</f>
        <v>10</v>
      </c>
      <c r="AI173" t="str">
        <f>IF(OR($B173="",NOT(ISNUMBER(L173))),"",IF(COUNTIF(M173:$T173,L173)&gt;0,0,IF(COUNTIF($G173:$T173,"&gt;"&amp;L173)=0,"",SMALL($G173:$T173,COUNTIF($G173:$T173,"&lt;="&amp;L173)+1)-L173)))</f>
        <v/>
      </c>
      <c r="AJ173" t="str">
        <f>IF(OR($B173="",NOT(ISNUMBER(M173))),"",IF(COUNTIF(N173:$T173,M173)&gt;0,0,IF(COUNTIF($G173:$T173,"&gt;"&amp;M173)=0,"",SMALL($G173:$T173,COUNTIF($G173:$T173,"&lt;="&amp;M173)+1)-M173)))</f>
        <v/>
      </c>
      <c r="AK173" t="str">
        <f>IF(OR($B173="",NOT(ISNUMBER(N173))),"",IF(COUNTIF(O173:$T173,N173)&gt;0,0,IF(COUNTIF($G173:$T173,"&gt;"&amp;N173)=0,"",SMALL($G173:$T173,COUNTIF($G173:$T173,"&lt;="&amp;N173)+1)-N173)))</f>
        <v/>
      </c>
      <c r="AL173" t="str">
        <f>IF(OR($B173="",NOT(ISNUMBER(O173))),"",IF(COUNTIF(P173:$T173,O173)&gt;0,0,IF(COUNTIF($G173:$T173,"&gt;"&amp;O173)=0,"",SMALL($G173:$T173,COUNTIF($G173:$T173,"&lt;="&amp;O173)+1)-O173)))</f>
        <v/>
      </c>
      <c r="AM173" t="str">
        <f>IF(OR($B173="",NOT(ISNUMBER(P173))),"",IF(COUNTIF(Q173:$T173,P173)&gt;0,0,IF(COUNTIF($G173:$T173,"&gt;"&amp;P173)=0,"",SMALL($G173:$T173,COUNTIF($G173:$T173,"&lt;="&amp;P173)+1)-P173)))</f>
        <v/>
      </c>
      <c r="AN173" t="str">
        <f>IF(OR($B173="",NOT(ISNUMBER(Q173))),"",IF(COUNTIF(R173:$T173,Q173)&gt;0,0,IF(COUNTIF($G173:$T173,"&gt;"&amp;Q173)=0,"",SMALL($G173:$T173,COUNTIF($G173:$T173,"&lt;="&amp;Q173)+1)-Q173)))</f>
        <v/>
      </c>
      <c r="AO173" t="str">
        <f>IF(OR($B173="",NOT(ISNUMBER(R173))),"",IF(COUNTIF(S173:$T173,R173)&gt;0,0,IF(COUNTIF($G173:$T173,"&gt;"&amp;R173)=0,"",SMALL($G173:$T173,COUNTIF($G173:$T173,"&lt;="&amp;R173)+1)-R173)))</f>
        <v/>
      </c>
      <c r="AP173">
        <f t="shared" ca="1" si="37"/>
        <v>2</v>
      </c>
      <c r="AQ173" s="25" t="str">
        <f t="shared" si="38"/>
        <v/>
      </c>
      <c r="AR173" s="25" t="str">
        <f t="shared" si="39"/>
        <v/>
      </c>
      <c r="AS173" s="25" t="str">
        <f t="shared" si="40"/>
        <v/>
      </c>
      <c r="AT173" s="25" t="str">
        <f t="shared" si="41"/>
        <v/>
      </c>
      <c r="AU173" s="25">
        <f t="shared" si="42"/>
        <v>46305</v>
      </c>
      <c r="AV173" s="25" t="str">
        <f t="shared" si="43"/>
        <v/>
      </c>
      <c r="AW173" s="25" t="str">
        <f t="shared" si="44"/>
        <v/>
      </c>
      <c r="AX173" s="25" t="str">
        <f t="shared" si="45"/>
        <v/>
      </c>
      <c r="AY173" s="25" t="str">
        <f t="shared" si="46"/>
        <v/>
      </c>
      <c r="AZ173" s="25" t="str">
        <f t="shared" si="47"/>
        <v/>
      </c>
      <c r="BA173" s="25" t="str">
        <f t="shared" si="48"/>
        <v/>
      </c>
      <c r="BB173" s="25" t="str">
        <f t="shared" si="49"/>
        <v/>
      </c>
      <c r="BC173" s="25" t="str">
        <f t="shared" si="50"/>
        <v/>
      </c>
    </row>
    <row r="174" spans="1:55" x14ac:dyDescent="0.25">
      <c r="A174" s="151">
        <f t="shared" si="34"/>
        <v>172</v>
      </c>
      <c r="B174" s="151" t="s">
        <v>309</v>
      </c>
      <c r="C174" s="152" t="s">
        <v>205</v>
      </c>
      <c r="D174" s="151">
        <f t="shared" si="35"/>
        <v>1</v>
      </c>
      <c r="E174" s="151" t="s">
        <v>100</v>
      </c>
      <c r="F174" s="173">
        <v>46294</v>
      </c>
      <c r="G174" s="173"/>
      <c r="H174" s="173"/>
      <c r="I174" s="173"/>
      <c r="J174" s="173"/>
      <c r="K174" s="173">
        <v>46295</v>
      </c>
      <c r="L174" s="173">
        <v>46305</v>
      </c>
      <c r="M174" s="173"/>
      <c r="N174" s="173"/>
      <c r="O174" s="173"/>
      <c r="P174" s="173"/>
      <c r="Q174" s="173"/>
      <c r="R174" s="173"/>
      <c r="S174" s="173"/>
      <c r="T174" s="151"/>
      <c r="U174" s="151"/>
      <c r="V174" s="152"/>
      <c r="W174" s="175"/>
      <c r="X174" s="173"/>
      <c r="Y174" s="173"/>
      <c r="Z174" s="176" t="str">
        <f>IF(B174="","",IF(S174&lt;&gt;"","Sevk Edildi",IF(AND(X174&lt;&gt;"",Y174=""),"Reworkte",IF(T174&lt;&gt;"","Kapandı"&amp;IF(COUNT(G174:R174)=0,""," – "&amp;LOOKUP(2,1/(G174:R174=MAX(G174:R174)),{"Tasarım","Ply Cutter","Üretim","Kalite (Üretim sonrası)","Talaşlı","Kalite (Talaşlı sonrası)","Montaj","Kalite (Montaj sonrası)","Boya","Kalite (Boya sonrası)","Yarı Mamül","KM"})),IF(COUNT(G174:R174)=0,"Başlamadı",LOOKUP(2,1/(G174:R174=MAX(G174:R174)),{"Tasarımda","Ply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174" s="177">
        <f t="shared" ca="1" si="36"/>
        <v>13</v>
      </c>
      <c r="AB174" s="175"/>
      <c r="AD174" t="str">
        <f>IF(OR($B174="",NOT(ISNUMBER(G174))),"",IF(COUNTIF(H174:$T174,G174)&gt;0,0,IF(COUNTIF($G174:$T174,"&gt;"&amp;G174)=0,"",SMALL($G174:$T174,COUNTIF($G174:$T174,"&lt;="&amp;G174)+1)-G174)))</f>
        <v/>
      </c>
      <c r="AE174" t="str">
        <f>IF(OR($B174="",NOT(ISNUMBER(H174))),"",IF(COUNTIF(I174:$T174,H174)&gt;0,0,IF(COUNTIF($G174:$T174,"&gt;"&amp;H174)=0,"",SMALL($G174:$T174,COUNTIF($G174:$T174,"&lt;="&amp;H174)+1)-H174)))</f>
        <v/>
      </c>
      <c r="AF174" t="str">
        <f>IF(OR($B174="",NOT(ISNUMBER(I174))),"",IF(COUNTIF(J174:$T174,I174)&gt;0,0,IF(COUNTIF($G174:$T174,"&gt;"&amp;I174)=0,"",SMALL($G174:$T174,COUNTIF($G174:$T174,"&lt;="&amp;I174)+1)-I174)))</f>
        <v/>
      </c>
      <c r="AG174" t="str">
        <f>IF(OR($B174="",NOT(ISNUMBER(J174))),"",IF(COUNTIF(K174:$T174,J174)&gt;0,0,IF(COUNTIF($G174:$T174,"&gt;"&amp;J174)=0,"",SMALL($G174:$T174,COUNTIF($G174:$T174,"&lt;="&amp;J174)+1)-J174)))</f>
        <v/>
      </c>
      <c r="AH174">
        <f>IF(OR($B174="",NOT(ISNUMBER(K174))),"",IF(COUNTIF(L174:$T174,K174)&gt;0,0,IF(COUNTIF($G174:$T174,"&gt;"&amp;K174)=0,"",SMALL($G174:$T174,COUNTIF($G174:$T174,"&lt;="&amp;K174)+1)-K174)))</f>
        <v>10</v>
      </c>
      <c r="AI174" t="str">
        <f>IF(OR($B174="",NOT(ISNUMBER(L174))),"",IF(COUNTIF(M174:$T174,L174)&gt;0,0,IF(COUNTIF($G174:$T174,"&gt;"&amp;L174)=0,"",SMALL($G174:$T174,COUNTIF($G174:$T174,"&lt;="&amp;L174)+1)-L174)))</f>
        <v/>
      </c>
      <c r="AJ174" t="str">
        <f>IF(OR($B174="",NOT(ISNUMBER(M174))),"",IF(COUNTIF(N174:$T174,M174)&gt;0,0,IF(COUNTIF($G174:$T174,"&gt;"&amp;M174)=0,"",SMALL($G174:$T174,COUNTIF($G174:$T174,"&lt;="&amp;M174)+1)-M174)))</f>
        <v/>
      </c>
      <c r="AK174" t="str">
        <f>IF(OR($B174="",NOT(ISNUMBER(N174))),"",IF(COUNTIF(O174:$T174,N174)&gt;0,0,IF(COUNTIF($G174:$T174,"&gt;"&amp;N174)=0,"",SMALL($G174:$T174,COUNTIF($G174:$T174,"&lt;="&amp;N174)+1)-N174)))</f>
        <v/>
      </c>
      <c r="AL174" t="str">
        <f>IF(OR($B174="",NOT(ISNUMBER(O174))),"",IF(COUNTIF(P174:$T174,O174)&gt;0,0,IF(COUNTIF($G174:$T174,"&gt;"&amp;O174)=0,"",SMALL($G174:$T174,COUNTIF($G174:$T174,"&lt;="&amp;O174)+1)-O174)))</f>
        <v/>
      </c>
      <c r="AM174" t="str">
        <f>IF(OR($B174="",NOT(ISNUMBER(P174))),"",IF(COUNTIF(Q174:$T174,P174)&gt;0,0,IF(COUNTIF($G174:$T174,"&gt;"&amp;P174)=0,"",SMALL($G174:$T174,COUNTIF($G174:$T174,"&lt;="&amp;P174)+1)-P174)))</f>
        <v/>
      </c>
      <c r="AN174" t="str">
        <f>IF(OR($B174="",NOT(ISNUMBER(Q174))),"",IF(COUNTIF(R174:$T174,Q174)&gt;0,0,IF(COUNTIF($G174:$T174,"&gt;"&amp;Q174)=0,"",SMALL($G174:$T174,COUNTIF($G174:$T174,"&lt;="&amp;Q174)+1)-Q174)))</f>
        <v/>
      </c>
      <c r="AO174" t="str">
        <f>IF(OR($B174="",NOT(ISNUMBER(R174))),"",IF(COUNTIF(S174:$T174,R174)&gt;0,0,IF(COUNTIF($G174:$T174,"&gt;"&amp;R174)=0,"",SMALL($G174:$T174,COUNTIF($G174:$T174,"&lt;="&amp;R174)+1)-R174)))</f>
        <v/>
      </c>
      <c r="AP174">
        <f t="shared" ca="1" si="37"/>
        <v>2</v>
      </c>
      <c r="AQ174" s="25" t="str">
        <f t="shared" si="38"/>
        <v/>
      </c>
      <c r="AR174" s="25" t="str">
        <f t="shared" si="39"/>
        <v/>
      </c>
      <c r="AS174" s="25" t="str">
        <f t="shared" si="40"/>
        <v/>
      </c>
      <c r="AT174" s="25" t="str">
        <f t="shared" si="41"/>
        <v/>
      </c>
      <c r="AU174" s="25">
        <f t="shared" si="42"/>
        <v>46305</v>
      </c>
      <c r="AV174" s="25" t="str">
        <f t="shared" si="43"/>
        <v/>
      </c>
      <c r="AW174" s="25" t="str">
        <f t="shared" si="44"/>
        <v/>
      </c>
      <c r="AX174" s="25" t="str">
        <f t="shared" si="45"/>
        <v/>
      </c>
      <c r="AY174" s="25" t="str">
        <f t="shared" si="46"/>
        <v/>
      </c>
      <c r="AZ174" s="25" t="str">
        <f t="shared" si="47"/>
        <v/>
      </c>
      <c r="BA174" s="25" t="str">
        <f t="shared" si="48"/>
        <v/>
      </c>
      <c r="BB174" s="25" t="str">
        <f t="shared" si="49"/>
        <v/>
      </c>
      <c r="BC174" s="25" t="str">
        <f t="shared" si="50"/>
        <v/>
      </c>
    </row>
    <row r="175" spans="1:55" x14ac:dyDescent="0.25">
      <c r="A175" s="151">
        <f t="shared" si="34"/>
        <v>173</v>
      </c>
      <c r="B175" s="151" t="s">
        <v>310</v>
      </c>
      <c r="C175" s="152" t="s">
        <v>205</v>
      </c>
      <c r="D175" s="151">
        <f t="shared" si="35"/>
        <v>1</v>
      </c>
      <c r="E175" s="151" t="s">
        <v>100</v>
      </c>
      <c r="F175" s="173">
        <v>46294</v>
      </c>
      <c r="G175" s="173"/>
      <c r="H175" s="173"/>
      <c r="I175" s="173"/>
      <c r="J175" s="173"/>
      <c r="K175" s="173">
        <v>46295</v>
      </c>
      <c r="L175" s="173">
        <v>46305</v>
      </c>
      <c r="M175" s="173"/>
      <c r="N175" s="173"/>
      <c r="O175" s="173"/>
      <c r="P175" s="173"/>
      <c r="Q175" s="173"/>
      <c r="R175" s="173"/>
      <c r="S175" s="173"/>
      <c r="T175" s="151"/>
      <c r="U175" s="151"/>
      <c r="V175" s="152"/>
      <c r="W175" s="175"/>
      <c r="X175" s="173"/>
      <c r="Y175" s="173"/>
      <c r="Z175" s="176" t="str">
        <f>IF(B175="","",IF(S175&lt;&gt;"","Sevk Edildi",IF(AND(X175&lt;&gt;"",Y175=""),"Reworkte",IF(T175&lt;&gt;"","Kapandı"&amp;IF(COUNT(G175:R175)=0,""," – "&amp;LOOKUP(2,1/(G175:R175=MAX(G175:R175)),{"Tasarım","Ply Cutter","Üretim","Kalite (Üretim sonrası)","Talaşlı","Kalite (Talaşlı sonrası)","Montaj","Kalite (Montaj sonrası)","Boya","Kalite (Boya sonrası)","Yarı Mamül","KM"})),IF(COUNT(G175:R175)=0,"Başlamadı",LOOKUP(2,1/(G175:R175=MAX(G175:R175)),{"Tasarımda","Ply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175" s="177">
        <f t="shared" ca="1" si="36"/>
        <v>13</v>
      </c>
      <c r="AB175" s="175"/>
      <c r="AD175" t="str">
        <f>IF(OR($B175="",NOT(ISNUMBER(G175))),"",IF(COUNTIF(H175:$T175,G175)&gt;0,0,IF(COUNTIF($G175:$T175,"&gt;"&amp;G175)=0,"",SMALL($G175:$T175,COUNTIF($G175:$T175,"&lt;="&amp;G175)+1)-G175)))</f>
        <v/>
      </c>
      <c r="AE175" t="str">
        <f>IF(OR($B175="",NOT(ISNUMBER(H175))),"",IF(COUNTIF(I175:$T175,H175)&gt;0,0,IF(COUNTIF($G175:$T175,"&gt;"&amp;H175)=0,"",SMALL($G175:$T175,COUNTIF($G175:$T175,"&lt;="&amp;H175)+1)-H175)))</f>
        <v/>
      </c>
      <c r="AF175" t="str">
        <f>IF(OR($B175="",NOT(ISNUMBER(I175))),"",IF(COUNTIF(J175:$T175,I175)&gt;0,0,IF(COUNTIF($G175:$T175,"&gt;"&amp;I175)=0,"",SMALL($G175:$T175,COUNTIF($G175:$T175,"&lt;="&amp;I175)+1)-I175)))</f>
        <v/>
      </c>
      <c r="AG175" t="str">
        <f>IF(OR($B175="",NOT(ISNUMBER(J175))),"",IF(COUNTIF(K175:$T175,J175)&gt;0,0,IF(COUNTIF($G175:$T175,"&gt;"&amp;J175)=0,"",SMALL($G175:$T175,COUNTIF($G175:$T175,"&lt;="&amp;J175)+1)-J175)))</f>
        <v/>
      </c>
      <c r="AH175">
        <f>IF(OR($B175="",NOT(ISNUMBER(K175))),"",IF(COUNTIF(L175:$T175,K175)&gt;0,0,IF(COUNTIF($G175:$T175,"&gt;"&amp;K175)=0,"",SMALL($G175:$T175,COUNTIF($G175:$T175,"&lt;="&amp;K175)+1)-K175)))</f>
        <v>10</v>
      </c>
      <c r="AI175" t="str">
        <f>IF(OR($B175="",NOT(ISNUMBER(L175))),"",IF(COUNTIF(M175:$T175,L175)&gt;0,0,IF(COUNTIF($G175:$T175,"&gt;"&amp;L175)=0,"",SMALL($G175:$T175,COUNTIF($G175:$T175,"&lt;="&amp;L175)+1)-L175)))</f>
        <v/>
      </c>
      <c r="AJ175" t="str">
        <f>IF(OR($B175="",NOT(ISNUMBER(M175))),"",IF(COUNTIF(N175:$T175,M175)&gt;0,0,IF(COUNTIF($G175:$T175,"&gt;"&amp;M175)=0,"",SMALL($G175:$T175,COUNTIF($G175:$T175,"&lt;="&amp;M175)+1)-M175)))</f>
        <v/>
      </c>
      <c r="AK175" t="str">
        <f>IF(OR($B175="",NOT(ISNUMBER(N175))),"",IF(COUNTIF(O175:$T175,N175)&gt;0,0,IF(COUNTIF($G175:$T175,"&gt;"&amp;N175)=0,"",SMALL($G175:$T175,COUNTIF($G175:$T175,"&lt;="&amp;N175)+1)-N175)))</f>
        <v/>
      </c>
      <c r="AL175" t="str">
        <f>IF(OR($B175="",NOT(ISNUMBER(O175))),"",IF(COUNTIF(P175:$T175,O175)&gt;0,0,IF(COUNTIF($G175:$T175,"&gt;"&amp;O175)=0,"",SMALL($G175:$T175,COUNTIF($G175:$T175,"&lt;="&amp;O175)+1)-O175)))</f>
        <v/>
      </c>
      <c r="AM175" t="str">
        <f>IF(OR($B175="",NOT(ISNUMBER(P175))),"",IF(COUNTIF(Q175:$T175,P175)&gt;0,0,IF(COUNTIF($G175:$T175,"&gt;"&amp;P175)=0,"",SMALL($G175:$T175,COUNTIF($G175:$T175,"&lt;="&amp;P175)+1)-P175)))</f>
        <v/>
      </c>
      <c r="AN175" t="str">
        <f>IF(OR($B175="",NOT(ISNUMBER(Q175))),"",IF(COUNTIF(R175:$T175,Q175)&gt;0,0,IF(COUNTIF($G175:$T175,"&gt;"&amp;Q175)=0,"",SMALL($G175:$T175,COUNTIF($G175:$T175,"&lt;="&amp;Q175)+1)-Q175)))</f>
        <v/>
      </c>
      <c r="AO175" t="str">
        <f>IF(OR($B175="",NOT(ISNUMBER(R175))),"",IF(COUNTIF(S175:$T175,R175)&gt;0,0,IF(COUNTIF($G175:$T175,"&gt;"&amp;R175)=0,"",SMALL($G175:$T175,COUNTIF($G175:$T175,"&lt;="&amp;R175)+1)-R175)))</f>
        <v/>
      </c>
      <c r="AP175">
        <f t="shared" ca="1" si="37"/>
        <v>2</v>
      </c>
      <c r="AQ175" s="25" t="str">
        <f t="shared" si="38"/>
        <v/>
      </c>
      <c r="AR175" s="25" t="str">
        <f t="shared" si="39"/>
        <v/>
      </c>
      <c r="AS175" s="25" t="str">
        <f t="shared" si="40"/>
        <v/>
      </c>
      <c r="AT175" s="25" t="str">
        <f t="shared" si="41"/>
        <v/>
      </c>
      <c r="AU175" s="25">
        <f t="shared" si="42"/>
        <v>46305</v>
      </c>
      <c r="AV175" s="25" t="str">
        <f t="shared" si="43"/>
        <v/>
      </c>
      <c r="AW175" s="25" t="str">
        <f t="shared" si="44"/>
        <v/>
      </c>
      <c r="AX175" s="25" t="str">
        <f t="shared" si="45"/>
        <v/>
      </c>
      <c r="AY175" s="25" t="str">
        <f t="shared" si="46"/>
        <v/>
      </c>
      <c r="AZ175" s="25" t="str">
        <f t="shared" si="47"/>
        <v/>
      </c>
      <c r="BA175" s="25" t="str">
        <f t="shared" si="48"/>
        <v/>
      </c>
      <c r="BB175" s="25" t="str">
        <f t="shared" si="49"/>
        <v/>
      </c>
      <c r="BC175" s="25" t="str">
        <f t="shared" si="50"/>
        <v/>
      </c>
    </row>
    <row r="176" spans="1:55" x14ac:dyDescent="0.25">
      <c r="A176" s="151">
        <f t="shared" si="34"/>
        <v>174</v>
      </c>
      <c r="B176" s="151" t="s">
        <v>311</v>
      </c>
      <c r="C176" s="152" t="s">
        <v>205</v>
      </c>
      <c r="D176" s="151">
        <f t="shared" si="35"/>
        <v>1</v>
      </c>
      <c r="E176" s="151" t="s">
        <v>100</v>
      </c>
      <c r="F176" s="173">
        <v>46294</v>
      </c>
      <c r="G176" s="173"/>
      <c r="H176" s="173"/>
      <c r="I176" s="173"/>
      <c r="J176" s="173"/>
      <c r="K176" s="173">
        <v>46295</v>
      </c>
      <c r="L176" s="173">
        <v>46305</v>
      </c>
      <c r="M176" s="173"/>
      <c r="N176" s="173"/>
      <c r="O176" s="173"/>
      <c r="P176" s="173"/>
      <c r="Q176" s="173"/>
      <c r="R176" s="173"/>
      <c r="S176" s="173"/>
      <c r="T176" s="151"/>
      <c r="U176" s="151"/>
      <c r="V176" s="152"/>
      <c r="W176" s="175"/>
      <c r="X176" s="173"/>
      <c r="Y176" s="173"/>
      <c r="Z176" s="176" t="str">
        <f>IF(B176="","",IF(S176&lt;&gt;"","Sevk Edildi",IF(AND(X176&lt;&gt;"",Y176=""),"Reworkte",IF(T176&lt;&gt;"","Kapandı"&amp;IF(COUNT(G176:R176)=0,""," – "&amp;LOOKUP(2,1/(G176:R176=MAX(G176:R176)),{"Tasarım","Ply Cutter","Üretim","Kalite (Üretim sonrası)","Talaşlı","Kalite (Talaşlı sonrası)","Montaj","Kalite (Montaj sonrası)","Boya","Kalite (Boya sonrası)","Yarı Mamül","KM"})),IF(COUNT(G176:R176)=0,"Başlamadı",LOOKUP(2,1/(G176:R176=MAX(G176:R176)),{"Tasarımda","Ply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176" s="177">
        <f t="shared" ca="1" si="36"/>
        <v>13</v>
      </c>
      <c r="AB176" s="175"/>
      <c r="AD176" t="str">
        <f>IF(OR($B176="",NOT(ISNUMBER(G176))),"",IF(COUNTIF(H176:$T176,G176)&gt;0,0,IF(COUNTIF($G176:$T176,"&gt;"&amp;G176)=0,"",SMALL($G176:$T176,COUNTIF($G176:$T176,"&lt;="&amp;G176)+1)-G176)))</f>
        <v/>
      </c>
      <c r="AE176" t="str">
        <f>IF(OR($B176="",NOT(ISNUMBER(H176))),"",IF(COUNTIF(I176:$T176,H176)&gt;0,0,IF(COUNTIF($G176:$T176,"&gt;"&amp;H176)=0,"",SMALL($G176:$T176,COUNTIF($G176:$T176,"&lt;="&amp;H176)+1)-H176)))</f>
        <v/>
      </c>
      <c r="AF176" t="str">
        <f>IF(OR($B176="",NOT(ISNUMBER(I176))),"",IF(COUNTIF(J176:$T176,I176)&gt;0,0,IF(COUNTIF($G176:$T176,"&gt;"&amp;I176)=0,"",SMALL($G176:$T176,COUNTIF($G176:$T176,"&lt;="&amp;I176)+1)-I176)))</f>
        <v/>
      </c>
      <c r="AG176" t="str">
        <f>IF(OR($B176="",NOT(ISNUMBER(J176))),"",IF(COUNTIF(K176:$T176,J176)&gt;0,0,IF(COUNTIF($G176:$T176,"&gt;"&amp;J176)=0,"",SMALL($G176:$T176,COUNTIF($G176:$T176,"&lt;="&amp;J176)+1)-J176)))</f>
        <v/>
      </c>
      <c r="AH176">
        <f>IF(OR($B176="",NOT(ISNUMBER(K176))),"",IF(COUNTIF(L176:$T176,K176)&gt;0,0,IF(COUNTIF($G176:$T176,"&gt;"&amp;K176)=0,"",SMALL($G176:$T176,COUNTIF($G176:$T176,"&lt;="&amp;K176)+1)-K176)))</f>
        <v>10</v>
      </c>
      <c r="AI176" t="str">
        <f>IF(OR($B176="",NOT(ISNUMBER(L176))),"",IF(COUNTIF(M176:$T176,L176)&gt;0,0,IF(COUNTIF($G176:$T176,"&gt;"&amp;L176)=0,"",SMALL($G176:$T176,COUNTIF($G176:$T176,"&lt;="&amp;L176)+1)-L176)))</f>
        <v/>
      </c>
      <c r="AJ176" t="str">
        <f>IF(OR($B176="",NOT(ISNUMBER(M176))),"",IF(COUNTIF(N176:$T176,M176)&gt;0,0,IF(COUNTIF($G176:$T176,"&gt;"&amp;M176)=0,"",SMALL($G176:$T176,COUNTIF($G176:$T176,"&lt;="&amp;M176)+1)-M176)))</f>
        <v/>
      </c>
      <c r="AK176" t="str">
        <f>IF(OR($B176="",NOT(ISNUMBER(N176))),"",IF(COUNTIF(O176:$T176,N176)&gt;0,0,IF(COUNTIF($G176:$T176,"&gt;"&amp;N176)=0,"",SMALL($G176:$T176,COUNTIF($G176:$T176,"&lt;="&amp;N176)+1)-N176)))</f>
        <v/>
      </c>
      <c r="AL176" t="str">
        <f>IF(OR($B176="",NOT(ISNUMBER(O176))),"",IF(COUNTIF(P176:$T176,O176)&gt;0,0,IF(COUNTIF($G176:$T176,"&gt;"&amp;O176)=0,"",SMALL($G176:$T176,COUNTIF($G176:$T176,"&lt;="&amp;O176)+1)-O176)))</f>
        <v/>
      </c>
      <c r="AM176" t="str">
        <f>IF(OR($B176="",NOT(ISNUMBER(P176))),"",IF(COUNTIF(Q176:$T176,P176)&gt;0,0,IF(COUNTIF($G176:$T176,"&gt;"&amp;P176)=0,"",SMALL($G176:$T176,COUNTIF($G176:$T176,"&lt;="&amp;P176)+1)-P176)))</f>
        <v/>
      </c>
      <c r="AN176" t="str">
        <f>IF(OR($B176="",NOT(ISNUMBER(Q176))),"",IF(COUNTIF(R176:$T176,Q176)&gt;0,0,IF(COUNTIF($G176:$T176,"&gt;"&amp;Q176)=0,"",SMALL($G176:$T176,COUNTIF($G176:$T176,"&lt;="&amp;Q176)+1)-Q176)))</f>
        <v/>
      </c>
      <c r="AO176" t="str">
        <f>IF(OR($B176="",NOT(ISNUMBER(R176))),"",IF(COUNTIF(S176:$T176,R176)&gt;0,0,IF(COUNTIF($G176:$T176,"&gt;"&amp;R176)=0,"",SMALL($G176:$T176,COUNTIF($G176:$T176,"&lt;="&amp;R176)+1)-R176)))</f>
        <v/>
      </c>
      <c r="AP176">
        <f t="shared" ca="1" si="37"/>
        <v>2</v>
      </c>
      <c r="AQ176" s="25" t="str">
        <f t="shared" si="38"/>
        <v/>
      </c>
      <c r="AR176" s="25" t="str">
        <f t="shared" si="39"/>
        <v/>
      </c>
      <c r="AS176" s="25" t="str">
        <f t="shared" si="40"/>
        <v/>
      </c>
      <c r="AT176" s="25" t="str">
        <f t="shared" si="41"/>
        <v/>
      </c>
      <c r="AU176" s="25">
        <f t="shared" si="42"/>
        <v>46305</v>
      </c>
      <c r="AV176" s="25" t="str">
        <f t="shared" si="43"/>
        <v/>
      </c>
      <c r="AW176" s="25" t="str">
        <f t="shared" si="44"/>
        <v/>
      </c>
      <c r="AX176" s="25" t="str">
        <f t="shared" si="45"/>
        <v/>
      </c>
      <c r="AY176" s="25" t="str">
        <f t="shared" si="46"/>
        <v/>
      </c>
      <c r="AZ176" s="25" t="str">
        <f t="shared" si="47"/>
        <v/>
      </c>
      <c r="BA176" s="25" t="str">
        <f t="shared" si="48"/>
        <v/>
      </c>
      <c r="BB176" s="25" t="str">
        <f t="shared" si="49"/>
        <v/>
      </c>
      <c r="BC176" s="25" t="str">
        <f t="shared" si="50"/>
        <v/>
      </c>
    </row>
    <row r="177" spans="1:55" x14ac:dyDescent="0.25">
      <c r="A177" s="151">
        <f t="shared" si="34"/>
        <v>175</v>
      </c>
      <c r="B177" s="151" t="s">
        <v>312</v>
      </c>
      <c r="C177" s="152" t="s">
        <v>205</v>
      </c>
      <c r="D177" s="151">
        <f t="shared" si="35"/>
        <v>1</v>
      </c>
      <c r="E177" s="151" t="s">
        <v>100</v>
      </c>
      <c r="F177" s="173">
        <v>46294</v>
      </c>
      <c r="G177" s="173"/>
      <c r="H177" s="173"/>
      <c r="I177" s="173"/>
      <c r="J177" s="173"/>
      <c r="K177" s="173">
        <v>46295</v>
      </c>
      <c r="L177" s="173">
        <v>46305</v>
      </c>
      <c r="M177" s="173"/>
      <c r="N177" s="173"/>
      <c r="O177" s="173"/>
      <c r="P177" s="173"/>
      <c r="Q177" s="173"/>
      <c r="R177" s="173"/>
      <c r="S177" s="173"/>
      <c r="T177" s="151"/>
      <c r="U177" s="151"/>
      <c r="V177" s="152"/>
      <c r="W177" s="175"/>
      <c r="X177" s="173"/>
      <c r="Y177" s="173"/>
      <c r="Z177" s="176" t="str">
        <f>IF(B177="","",IF(S177&lt;&gt;"","Sevk Edildi",IF(AND(X177&lt;&gt;"",Y177=""),"Reworkte",IF(T177&lt;&gt;"","Kapandı"&amp;IF(COUNT(G177:R177)=0,""," – "&amp;LOOKUP(2,1/(G177:R177=MAX(G177:R177)),{"Tasarım","Ply Cutter","Üretim","Kalite (Üretim sonrası)","Talaşlı","Kalite (Talaşlı sonrası)","Montaj","Kalite (Montaj sonrası)","Boya","Kalite (Boya sonrası)","Yarı Mamül","KM"})),IF(COUNT(G177:R177)=0,"Başlamadı",LOOKUP(2,1/(G177:R177=MAX(G177:R177)),{"Tasarımda","Ply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177" s="177">
        <f t="shared" ca="1" si="36"/>
        <v>13</v>
      </c>
      <c r="AB177" s="175"/>
      <c r="AD177" t="str">
        <f>IF(OR($B177="",NOT(ISNUMBER(G177))),"",IF(COUNTIF(H177:$T177,G177)&gt;0,0,IF(COUNTIF($G177:$T177,"&gt;"&amp;G177)=0,"",SMALL($G177:$T177,COUNTIF($G177:$T177,"&lt;="&amp;G177)+1)-G177)))</f>
        <v/>
      </c>
      <c r="AE177" t="str">
        <f>IF(OR($B177="",NOT(ISNUMBER(H177))),"",IF(COUNTIF(I177:$T177,H177)&gt;0,0,IF(COUNTIF($G177:$T177,"&gt;"&amp;H177)=0,"",SMALL($G177:$T177,COUNTIF($G177:$T177,"&lt;="&amp;H177)+1)-H177)))</f>
        <v/>
      </c>
      <c r="AF177" t="str">
        <f>IF(OR($B177="",NOT(ISNUMBER(I177))),"",IF(COUNTIF(J177:$T177,I177)&gt;0,0,IF(COUNTIF($G177:$T177,"&gt;"&amp;I177)=0,"",SMALL($G177:$T177,COUNTIF($G177:$T177,"&lt;="&amp;I177)+1)-I177)))</f>
        <v/>
      </c>
      <c r="AG177" t="str">
        <f>IF(OR($B177="",NOT(ISNUMBER(J177))),"",IF(COUNTIF(K177:$T177,J177)&gt;0,0,IF(COUNTIF($G177:$T177,"&gt;"&amp;J177)=0,"",SMALL($G177:$T177,COUNTIF($G177:$T177,"&lt;="&amp;J177)+1)-J177)))</f>
        <v/>
      </c>
      <c r="AH177">
        <f>IF(OR($B177="",NOT(ISNUMBER(K177))),"",IF(COUNTIF(L177:$T177,K177)&gt;0,0,IF(COUNTIF($G177:$T177,"&gt;"&amp;K177)=0,"",SMALL($G177:$T177,COUNTIF($G177:$T177,"&lt;="&amp;K177)+1)-K177)))</f>
        <v>10</v>
      </c>
      <c r="AI177" t="str">
        <f>IF(OR($B177="",NOT(ISNUMBER(L177))),"",IF(COUNTIF(M177:$T177,L177)&gt;0,0,IF(COUNTIF($G177:$T177,"&gt;"&amp;L177)=0,"",SMALL($G177:$T177,COUNTIF($G177:$T177,"&lt;="&amp;L177)+1)-L177)))</f>
        <v/>
      </c>
      <c r="AJ177" t="str">
        <f>IF(OR($B177="",NOT(ISNUMBER(M177))),"",IF(COUNTIF(N177:$T177,M177)&gt;0,0,IF(COUNTIF($G177:$T177,"&gt;"&amp;M177)=0,"",SMALL($G177:$T177,COUNTIF($G177:$T177,"&lt;="&amp;M177)+1)-M177)))</f>
        <v/>
      </c>
      <c r="AK177" t="str">
        <f>IF(OR($B177="",NOT(ISNUMBER(N177))),"",IF(COUNTIF(O177:$T177,N177)&gt;0,0,IF(COUNTIF($G177:$T177,"&gt;"&amp;N177)=0,"",SMALL($G177:$T177,COUNTIF($G177:$T177,"&lt;="&amp;N177)+1)-N177)))</f>
        <v/>
      </c>
      <c r="AL177" t="str">
        <f>IF(OR($B177="",NOT(ISNUMBER(O177))),"",IF(COUNTIF(P177:$T177,O177)&gt;0,0,IF(COUNTIF($G177:$T177,"&gt;"&amp;O177)=0,"",SMALL($G177:$T177,COUNTIF($G177:$T177,"&lt;="&amp;O177)+1)-O177)))</f>
        <v/>
      </c>
      <c r="AM177" t="str">
        <f>IF(OR($B177="",NOT(ISNUMBER(P177))),"",IF(COUNTIF(Q177:$T177,P177)&gt;0,0,IF(COUNTIF($G177:$T177,"&gt;"&amp;P177)=0,"",SMALL($G177:$T177,COUNTIF($G177:$T177,"&lt;="&amp;P177)+1)-P177)))</f>
        <v/>
      </c>
      <c r="AN177" t="str">
        <f>IF(OR($B177="",NOT(ISNUMBER(Q177))),"",IF(COUNTIF(R177:$T177,Q177)&gt;0,0,IF(COUNTIF($G177:$T177,"&gt;"&amp;Q177)=0,"",SMALL($G177:$T177,COUNTIF($G177:$T177,"&lt;="&amp;Q177)+1)-Q177)))</f>
        <v/>
      </c>
      <c r="AO177" t="str">
        <f>IF(OR($B177="",NOT(ISNUMBER(R177))),"",IF(COUNTIF(S177:$T177,R177)&gt;0,0,IF(COUNTIF($G177:$T177,"&gt;"&amp;R177)=0,"",SMALL($G177:$T177,COUNTIF($G177:$T177,"&lt;="&amp;R177)+1)-R177)))</f>
        <v/>
      </c>
      <c r="AP177">
        <f t="shared" ca="1" si="37"/>
        <v>2</v>
      </c>
      <c r="AQ177" s="25" t="str">
        <f t="shared" si="38"/>
        <v/>
      </c>
      <c r="AR177" s="25" t="str">
        <f t="shared" si="39"/>
        <v/>
      </c>
      <c r="AS177" s="25" t="str">
        <f t="shared" si="40"/>
        <v/>
      </c>
      <c r="AT177" s="25" t="str">
        <f t="shared" si="41"/>
        <v/>
      </c>
      <c r="AU177" s="25">
        <f t="shared" si="42"/>
        <v>46305</v>
      </c>
      <c r="AV177" s="25" t="str">
        <f t="shared" si="43"/>
        <v/>
      </c>
      <c r="AW177" s="25" t="str">
        <f t="shared" si="44"/>
        <v/>
      </c>
      <c r="AX177" s="25" t="str">
        <f t="shared" si="45"/>
        <v/>
      </c>
      <c r="AY177" s="25" t="str">
        <f t="shared" si="46"/>
        <v/>
      </c>
      <c r="AZ177" s="25" t="str">
        <f t="shared" si="47"/>
        <v/>
      </c>
      <c r="BA177" s="25" t="str">
        <f t="shared" si="48"/>
        <v/>
      </c>
      <c r="BB177" s="25" t="str">
        <f t="shared" si="49"/>
        <v/>
      </c>
      <c r="BC177" s="25" t="str">
        <f t="shared" si="50"/>
        <v/>
      </c>
    </row>
    <row r="178" spans="1:55" x14ac:dyDescent="0.25">
      <c r="A178" s="151">
        <f t="shared" si="34"/>
        <v>176</v>
      </c>
      <c r="B178" s="151" t="s">
        <v>313</v>
      </c>
      <c r="C178" s="152" t="s">
        <v>205</v>
      </c>
      <c r="D178" s="151">
        <f t="shared" si="35"/>
        <v>1</v>
      </c>
      <c r="E178" s="151" t="s">
        <v>100</v>
      </c>
      <c r="F178" s="173">
        <v>46294</v>
      </c>
      <c r="G178" s="173"/>
      <c r="H178" s="173"/>
      <c r="I178" s="173"/>
      <c r="J178" s="173"/>
      <c r="K178" s="173">
        <v>46295</v>
      </c>
      <c r="L178" s="173">
        <v>46305</v>
      </c>
      <c r="M178" s="173"/>
      <c r="N178" s="173"/>
      <c r="O178" s="173"/>
      <c r="P178" s="173"/>
      <c r="Q178" s="173"/>
      <c r="R178" s="173"/>
      <c r="S178" s="173"/>
      <c r="T178" s="151"/>
      <c r="U178" s="151"/>
      <c r="V178" s="152"/>
      <c r="W178" s="175"/>
      <c r="X178" s="173"/>
      <c r="Y178" s="173"/>
      <c r="Z178" s="176" t="str">
        <f>IF(B178="","",IF(S178&lt;&gt;"","Sevk Edildi",IF(AND(X178&lt;&gt;"",Y178=""),"Reworkte",IF(T178&lt;&gt;"","Kapandı"&amp;IF(COUNT(G178:R178)=0,""," – "&amp;LOOKUP(2,1/(G178:R178=MAX(G178:R178)),{"Tasarım","Ply Cutter","Üretim","Kalite (Üretim sonrası)","Talaşlı","Kalite (Talaşlı sonrası)","Montaj","Kalite (Montaj sonrası)","Boya","Kalite (Boya sonrası)","Yarı Mamül","KM"})),IF(COUNT(G178:R178)=0,"Başlamadı",LOOKUP(2,1/(G178:R178=MAX(G178:R178)),{"Tasarımda","Ply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178" s="177">
        <f t="shared" ca="1" si="36"/>
        <v>13</v>
      </c>
      <c r="AB178" s="175"/>
      <c r="AD178" t="str">
        <f>IF(OR($B178="",NOT(ISNUMBER(G178))),"",IF(COUNTIF(H178:$T178,G178)&gt;0,0,IF(COUNTIF($G178:$T178,"&gt;"&amp;G178)=0,"",SMALL($G178:$T178,COUNTIF($G178:$T178,"&lt;="&amp;G178)+1)-G178)))</f>
        <v/>
      </c>
      <c r="AE178" t="str">
        <f>IF(OR($B178="",NOT(ISNUMBER(H178))),"",IF(COUNTIF(I178:$T178,H178)&gt;0,0,IF(COUNTIF($G178:$T178,"&gt;"&amp;H178)=0,"",SMALL($G178:$T178,COUNTIF($G178:$T178,"&lt;="&amp;H178)+1)-H178)))</f>
        <v/>
      </c>
      <c r="AF178" t="str">
        <f>IF(OR($B178="",NOT(ISNUMBER(I178))),"",IF(COUNTIF(J178:$T178,I178)&gt;0,0,IF(COUNTIF($G178:$T178,"&gt;"&amp;I178)=0,"",SMALL($G178:$T178,COUNTIF($G178:$T178,"&lt;="&amp;I178)+1)-I178)))</f>
        <v/>
      </c>
      <c r="AG178" t="str">
        <f>IF(OR($B178="",NOT(ISNUMBER(J178))),"",IF(COUNTIF(K178:$T178,J178)&gt;0,0,IF(COUNTIF($G178:$T178,"&gt;"&amp;J178)=0,"",SMALL($G178:$T178,COUNTIF($G178:$T178,"&lt;="&amp;J178)+1)-J178)))</f>
        <v/>
      </c>
      <c r="AH178">
        <f>IF(OR($B178="",NOT(ISNUMBER(K178))),"",IF(COUNTIF(L178:$T178,K178)&gt;0,0,IF(COUNTIF($G178:$T178,"&gt;"&amp;K178)=0,"",SMALL($G178:$T178,COUNTIF($G178:$T178,"&lt;="&amp;K178)+1)-K178)))</f>
        <v>10</v>
      </c>
      <c r="AI178" t="str">
        <f>IF(OR($B178="",NOT(ISNUMBER(L178))),"",IF(COUNTIF(M178:$T178,L178)&gt;0,0,IF(COUNTIF($G178:$T178,"&gt;"&amp;L178)=0,"",SMALL($G178:$T178,COUNTIF($G178:$T178,"&lt;="&amp;L178)+1)-L178)))</f>
        <v/>
      </c>
      <c r="AJ178" t="str">
        <f>IF(OR($B178="",NOT(ISNUMBER(M178))),"",IF(COUNTIF(N178:$T178,M178)&gt;0,0,IF(COUNTIF($G178:$T178,"&gt;"&amp;M178)=0,"",SMALL($G178:$T178,COUNTIF($G178:$T178,"&lt;="&amp;M178)+1)-M178)))</f>
        <v/>
      </c>
      <c r="AK178" t="str">
        <f>IF(OR($B178="",NOT(ISNUMBER(N178))),"",IF(COUNTIF(O178:$T178,N178)&gt;0,0,IF(COUNTIF($G178:$T178,"&gt;"&amp;N178)=0,"",SMALL($G178:$T178,COUNTIF($G178:$T178,"&lt;="&amp;N178)+1)-N178)))</f>
        <v/>
      </c>
      <c r="AL178" t="str">
        <f>IF(OR($B178="",NOT(ISNUMBER(O178))),"",IF(COUNTIF(P178:$T178,O178)&gt;0,0,IF(COUNTIF($G178:$T178,"&gt;"&amp;O178)=0,"",SMALL($G178:$T178,COUNTIF($G178:$T178,"&lt;="&amp;O178)+1)-O178)))</f>
        <v/>
      </c>
      <c r="AM178" t="str">
        <f>IF(OR($B178="",NOT(ISNUMBER(P178))),"",IF(COUNTIF(Q178:$T178,P178)&gt;0,0,IF(COUNTIF($G178:$T178,"&gt;"&amp;P178)=0,"",SMALL($G178:$T178,COUNTIF($G178:$T178,"&lt;="&amp;P178)+1)-P178)))</f>
        <v/>
      </c>
      <c r="AN178" t="str">
        <f>IF(OR($B178="",NOT(ISNUMBER(Q178))),"",IF(COUNTIF(R178:$T178,Q178)&gt;0,0,IF(COUNTIF($G178:$T178,"&gt;"&amp;Q178)=0,"",SMALL($G178:$T178,COUNTIF($G178:$T178,"&lt;="&amp;Q178)+1)-Q178)))</f>
        <v/>
      </c>
      <c r="AO178" t="str">
        <f>IF(OR($B178="",NOT(ISNUMBER(R178))),"",IF(COUNTIF(S178:$T178,R178)&gt;0,0,IF(COUNTIF($G178:$T178,"&gt;"&amp;R178)=0,"",SMALL($G178:$T178,COUNTIF($G178:$T178,"&lt;="&amp;R178)+1)-R178)))</f>
        <v/>
      </c>
      <c r="AP178">
        <f t="shared" ca="1" si="37"/>
        <v>2</v>
      </c>
      <c r="AQ178" s="25" t="str">
        <f t="shared" si="38"/>
        <v/>
      </c>
      <c r="AR178" s="25" t="str">
        <f t="shared" si="39"/>
        <v/>
      </c>
      <c r="AS178" s="25" t="str">
        <f t="shared" si="40"/>
        <v/>
      </c>
      <c r="AT178" s="25" t="str">
        <f t="shared" si="41"/>
        <v/>
      </c>
      <c r="AU178" s="25">
        <f t="shared" si="42"/>
        <v>46305</v>
      </c>
      <c r="AV178" s="25" t="str">
        <f t="shared" si="43"/>
        <v/>
      </c>
      <c r="AW178" s="25" t="str">
        <f t="shared" si="44"/>
        <v/>
      </c>
      <c r="AX178" s="25" t="str">
        <f t="shared" si="45"/>
        <v/>
      </c>
      <c r="AY178" s="25" t="str">
        <f t="shared" si="46"/>
        <v/>
      </c>
      <c r="AZ178" s="25" t="str">
        <f t="shared" si="47"/>
        <v/>
      </c>
      <c r="BA178" s="25" t="str">
        <f t="shared" si="48"/>
        <v/>
      </c>
      <c r="BB178" s="25" t="str">
        <f t="shared" si="49"/>
        <v/>
      </c>
      <c r="BC178" s="25" t="str">
        <f t="shared" si="50"/>
        <v/>
      </c>
    </row>
    <row r="179" spans="1:55" x14ac:dyDescent="0.25">
      <c r="A179" s="151">
        <f t="shared" si="34"/>
        <v>177</v>
      </c>
      <c r="B179" s="151" t="s">
        <v>314</v>
      </c>
      <c r="C179" s="152" t="s">
        <v>205</v>
      </c>
      <c r="D179" s="151">
        <f t="shared" si="35"/>
        <v>1</v>
      </c>
      <c r="E179" s="151" t="s">
        <v>100</v>
      </c>
      <c r="F179" s="173">
        <v>46294</v>
      </c>
      <c r="G179" s="173"/>
      <c r="H179" s="173"/>
      <c r="I179" s="173"/>
      <c r="J179" s="173"/>
      <c r="K179" s="173">
        <v>46295</v>
      </c>
      <c r="L179" s="173">
        <v>46305</v>
      </c>
      <c r="M179" s="173"/>
      <c r="N179" s="173"/>
      <c r="O179" s="173"/>
      <c r="P179" s="173"/>
      <c r="Q179" s="173"/>
      <c r="R179" s="173"/>
      <c r="S179" s="173"/>
      <c r="T179" s="151"/>
      <c r="U179" s="151"/>
      <c r="V179" s="152"/>
      <c r="W179" s="175"/>
      <c r="X179" s="173"/>
      <c r="Y179" s="173"/>
      <c r="Z179" s="176" t="str">
        <f>IF(B179="","",IF(S179&lt;&gt;"","Sevk Edildi",IF(AND(X179&lt;&gt;"",Y179=""),"Reworkte",IF(T179&lt;&gt;"","Kapandı"&amp;IF(COUNT(G179:R179)=0,""," – "&amp;LOOKUP(2,1/(G179:R179=MAX(G179:R179)),{"Tasarım","Ply Cutter","Üretim","Kalite (Üretim sonrası)","Talaşlı","Kalite (Talaşlı sonrası)","Montaj","Kalite (Montaj sonrası)","Boya","Kalite (Boya sonrası)","Yarı Mamül","KM"})),IF(COUNT(G179:R179)=0,"Başlamadı",LOOKUP(2,1/(G179:R179=MAX(G179:R179)),{"Tasarımda","Ply Cutter'da","Üretimde","Kalitede (Üretim sonrası)","Talaşlıda","Kalitede (Talaşlı sonrası)","Montajda","Kalitede (Montaj sonrası)","Boyada","Kalitede (Boya sonrası)","Yarı Mamülde","KM'de"}))))))</f>
        <v>Kalitede (Talaşlı sonrası)</v>
      </c>
      <c r="AA179" s="177">
        <f t="shared" ca="1" si="36"/>
        <v>13</v>
      </c>
      <c r="AB179" s="175"/>
      <c r="AD179" t="str">
        <f>IF(OR($B179="",NOT(ISNUMBER(G179))),"",IF(COUNTIF(H179:$T179,G179)&gt;0,0,IF(COUNTIF($G179:$T179,"&gt;"&amp;G179)=0,"",SMALL($G179:$T179,COUNTIF($G179:$T179,"&lt;="&amp;G179)+1)-G179)))</f>
        <v/>
      </c>
      <c r="AE179" t="str">
        <f>IF(OR($B179="",NOT(ISNUMBER(H179))),"",IF(COUNTIF(I179:$T179,H179)&gt;0,0,IF(COUNTIF($G179:$T179,"&gt;"&amp;H179)=0,"",SMALL($G179:$T179,COUNTIF($G179:$T179,"&lt;="&amp;H179)+1)-H179)))</f>
        <v/>
      </c>
      <c r="AF179" t="str">
        <f>IF(OR($B179="",NOT(ISNUMBER(I179))),"",IF(COUNTIF(J179:$T179,I179)&gt;0,0,IF(COUNTIF($G179:$T179,"&gt;"&amp;I179)=0,"",SMALL($G179:$T179,COUNTIF($G179:$T179,"&lt;="&amp;I179)+1)-I179)))</f>
        <v/>
      </c>
      <c r="AG179" t="str">
        <f>IF(OR($B179="",NOT(ISNUMBER(J179))),"",IF(COUNTIF(K179:$T179,J179)&gt;0,0,IF(COUNTIF($G179:$T179,"&gt;"&amp;J179)=0,"",SMALL($G179:$T179,COUNTIF($G179:$T179,"&lt;="&amp;J179)+1)-J179)))</f>
        <v/>
      </c>
      <c r="AH179">
        <f>IF(OR($B179="",NOT(ISNUMBER(K179))),"",IF(COUNTIF(L179:$T179,K179)&gt;0,0,IF(COUNTIF($G179:$T179,"&gt;"&amp;K179)=0,"",SMALL($G179:$T179,COUNTIF($G179:$T179,"&lt;="&amp;K179)+1)-K179)))</f>
        <v>10</v>
      </c>
      <c r="AI179" t="str">
        <f>IF(OR($B179="",NOT(ISNUMBER(L179))),"",IF(COUNTIF(M179:$T179,L179)&gt;0,0,IF(COUNTIF($G179:$T179,"&gt;"&amp;L179)=0,"",SMALL($G179:$T179,COUNTIF($G179:$T179,"&lt;="&amp;L179)+1)-L179)))</f>
        <v/>
      </c>
      <c r="AJ179" t="str">
        <f>IF(OR($B179="",NOT(ISNUMBER(M179))),"",IF(COUNTIF(N179:$T179,M179)&gt;0,0,IF(COUNTIF($G179:$T179,"&gt;"&amp;M179)=0,"",SMALL($G179:$T179,COUNTIF($G179:$T179,"&lt;="&amp;M179)+1)-M179)))</f>
        <v/>
      </c>
      <c r="AK179" t="str">
        <f>IF(OR($B179="",NOT(ISNUMBER(N179))),"",IF(COUNTIF(O179:$T179,N179)&gt;0,0,IF(COUNTIF($G179:$T179,"&gt;"&amp;N179)=0,"",SMALL($G179:$T179,COUNTIF($G179:$T179,"&lt;="&amp;N179)+1)-N179)))</f>
        <v/>
      </c>
      <c r="AL179" t="str">
        <f>IF(OR($B179="",NOT(ISNUMBER(O179))),"",IF(COUNTIF(P179:$T179,O179)&gt;0,0,IF(COUNTIF($G179:$T179,"&gt;"&amp;O179)=0,"",SMALL($G179:$T179,COUNTIF($G179:$T179,"&lt;="&amp;O179)+1)-O179)))</f>
        <v/>
      </c>
      <c r="AM179" t="str">
        <f>IF(OR($B179="",NOT(ISNUMBER(P179))),"",IF(COUNTIF(Q179:$T179,P179)&gt;0,0,IF(COUNTIF($G179:$T179,"&gt;"&amp;P179)=0,"",SMALL($G179:$T179,COUNTIF($G179:$T179,"&lt;="&amp;P179)+1)-P179)))</f>
        <v/>
      </c>
      <c r="AN179" t="str">
        <f>IF(OR($B179="",NOT(ISNUMBER(Q179))),"",IF(COUNTIF(R179:$T179,Q179)&gt;0,0,IF(COUNTIF($G179:$T179,"&gt;"&amp;Q179)=0,"",SMALL($G179:$T179,COUNTIF($G179:$T179,"&lt;="&amp;Q179)+1)-Q179)))</f>
        <v/>
      </c>
      <c r="AO179" t="str">
        <f>IF(OR($B179="",NOT(ISNUMBER(R179))),"",IF(COUNTIF(S179:$T179,R179)&gt;0,0,IF(COUNTIF($G179:$T179,"&gt;"&amp;R179)=0,"",SMALL($G179:$T179,COUNTIF($G179:$T179,"&lt;="&amp;R179)+1)-R179)))</f>
        <v/>
      </c>
      <c r="AP179">
        <f t="shared" ca="1" si="37"/>
        <v>2</v>
      </c>
      <c r="AQ179" s="25" t="str">
        <f t="shared" si="38"/>
        <v/>
      </c>
      <c r="AR179" s="25" t="str">
        <f t="shared" si="39"/>
        <v/>
      </c>
      <c r="AS179" s="25" t="str">
        <f t="shared" si="40"/>
        <v/>
      </c>
      <c r="AT179" s="25" t="str">
        <f t="shared" si="41"/>
        <v/>
      </c>
      <c r="AU179" s="25">
        <f t="shared" si="42"/>
        <v>46305</v>
      </c>
      <c r="AV179" s="25" t="str">
        <f t="shared" si="43"/>
        <v/>
      </c>
      <c r="AW179" s="25" t="str">
        <f t="shared" si="44"/>
        <v/>
      </c>
      <c r="AX179" s="25" t="str">
        <f t="shared" si="45"/>
        <v/>
      </c>
      <c r="AY179" s="25" t="str">
        <f t="shared" si="46"/>
        <v/>
      </c>
      <c r="AZ179" s="25" t="str">
        <f t="shared" si="47"/>
        <v/>
      </c>
      <c r="BA179" s="25" t="str">
        <f t="shared" si="48"/>
        <v/>
      </c>
      <c r="BB179" s="25" t="str">
        <f t="shared" si="49"/>
        <v/>
      </c>
      <c r="BC179" s="25" t="str">
        <f t="shared" si="50"/>
        <v/>
      </c>
    </row>
    <row r="180" spans="1:55" x14ac:dyDescent="0.25">
      <c r="A180" s="151">
        <f t="shared" si="34"/>
        <v>178</v>
      </c>
      <c r="B180" s="151" t="s">
        <v>315</v>
      </c>
      <c r="C180" s="152" t="s">
        <v>316</v>
      </c>
      <c r="D180" s="151">
        <f t="shared" si="35"/>
        <v>100</v>
      </c>
      <c r="E180" s="151" t="s">
        <v>100</v>
      </c>
      <c r="F180" s="173">
        <v>46294</v>
      </c>
      <c r="G180" s="173"/>
      <c r="H180" s="173"/>
      <c r="I180" s="173"/>
      <c r="J180" s="173"/>
      <c r="K180" s="173"/>
      <c r="L180" s="173"/>
      <c r="M180" s="173">
        <v>46294</v>
      </c>
      <c r="N180" s="173">
        <v>46295</v>
      </c>
      <c r="O180" s="173"/>
      <c r="P180" s="173"/>
      <c r="Q180" s="173"/>
      <c r="R180" s="173"/>
      <c r="S180" s="173"/>
      <c r="T180" s="174">
        <v>46295</v>
      </c>
      <c r="U180" s="151"/>
      <c r="V180" s="152"/>
      <c r="W180" s="175"/>
      <c r="X180" s="173"/>
      <c r="Y180" s="173"/>
      <c r="Z180" s="176" t="str">
        <f>IF(B180="","",IF(S180&lt;&gt;"","Sevk Edildi",IF(AND(X180&lt;&gt;"",Y180=""),"Reworkte",IF(T180&lt;&gt;"","Kapandı"&amp;IF(COUNT(G180:R180)=0,""," – "&amp;LOOKUP(2,1/(G180:R180=MAX(G180:R180)),{"Tasarım","Ply Cutter","Üretim","Kalite (Üretim sonrası)","Talaşlı","Kalite (Talaşlı sonrası)","Montaj","Kalite (Montaj sonrası)","Boya","Kalite (Boya sonrası)","Yarı Mamül","KM"})),IF(COUNT(G180:R180)=0,"Başlamadı",LOOKUP(2,1/(G180:R180=MAX(G180:R180)),{"Tasarımda","Ply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80" s="177">
        <f t="shared" ca="1" si="36"/>
        <v>1</v>
      </c>
      <c r="AB180" s="175"/>
      <c r="AD180" t="str">
        <f>IF(OR($B180="",NOT(ISNUMBER(G180))),"",IF(COUNTIF(H180:$T180,G180)&gt;0,0,IF(COUNTIF($G180:$T180,"&gt;"&amp;G180)=0,"",SMALL($G180:$T180,COUNTIF($G180:$T180,"&lt;="&amp;G180)+1)-G180)))</f>
        <v/>
      </c>
      <c r="AE180" t="str">
        <f>IF(OR($B180="",NOT(ISNUMBER(H180))),"",IF(COUNTIF(I180:$T180,H180)&gt;0,0,IF(COUNTIF($G180:$T180,"&gt;"&amp;H180)=0,"",SMALL($G180:$T180,COUNTIF($G180:$T180,"&lt;="&amp;H180)+1)-H180)))</f>
        <v/>
      </c>
      <c r="AF180" t="str">
        <f>IF(OR($B180="",NOT(ISNUMBER(I180))),"",IF(COUNTIF(J180:$T180,I180)&gt;0,0,IF(COUNTIF($G180:$T180,"&gt;"&amp;I180)=0,"",SMALL($G180:$T180,COUNTIF($G180:$T180,"&lt;="&amp;I180)+1)-I180)))</f>
        <v/>
      </c>
      <c r="AG180" t="str">
        <f>IF(OR($B180="",NOT(ISNUMBER(J180))),"",IF(COUNTIF(K180:$T180,J180)&gt;0,0,IF(COUNTIF($G180:$T180,"&gt;"&amp;J180)=0,"",SMALL($G180:$T180,COUNTIF($G180:$T180,"&lt;="&amp;J180)+1)-J180)))</f>
        <v/>
      </c>
      <c r="AH180" t="str">
        <f>IF(OR($B180="",NOT(ISNUMBER(K180))),"",IF(COUNTIF(L180:$T180,K180)&gt;0,0,IF(COUNTIF($G180:$T180,"&gt;"&amp;K180)=0,"",SMALL($G180:$T180,COUNTIF($G180:$T180,"&lt;="&amp;K180)+1)-K180)))</f>
        <v/>
      </c>
      <c r="AI180" t="str">
        <f>IF(OR($B180="",NOT(ISNUMBER(L180))),"",IF(COUNTIF(M180:$T180,L180)&gt;0,0,IF(COUNTIF($G180:$T180,"&gt;"&amp;L180)=0,"",SMALL($G180:$T180,COUNTIF($G180:$T180,"&lt;="&amp;L180)+1)-L180)))</f>
        <v/>
      </c>
      <c r="AJ180">
        <f>IF(OR($B180="",NOT(ISNUMBER(M180))),"",IF(COUNTIF(N180:$T180,M180)&gt;0,0,IF(COUNTIF($G180:$T180,"&gt;"&amp;M180)=0,"",SMALL($G180:$T180,COUNTIF($G180:$T180,"&lt;="&amp;M180)+1)-M180)))</f>
        <v>1</v>
      </c>
      <c r="AK180">
        <f>IF(OR($B180="",NOT(ISNUMBER(N180))),"",IF(COUNTIF(O180:$T180,N180)&gt;0,0,IF(COUNTIF($G180:$T180,"&gt;"&amp;N180)=0,"",SMALL($G180:$T180,COUNTIF($G180:$T180,"&lt;="&amp;N180)+1)-N180)))</f>
        <v>0</v>
      </c>
      <c r="AL180" t="str">
        <f>IF(OR($B180="",NOT(ISNUMBER(O180))),"",IF(COUNTIF(P180:$T180,O180)&gt;0,0,IF(COUNTIF($G180:$T180,"&gt;"&amp;O180)=0,"",SMALL($G180:$T180,COUNTIF($G180:$T180,"&lt;="&amp;O180)+1)-O180)))</f>
        <v/>
      </c>
      <c r="AM180" t="str">
        <f>IF(OR($B180="",NOT(ISNUMBER(P180))),"",IF(COUNTIF(Q180:$T180,P180)&gt;0,0,IF(COUNTIF($G180:$T180,"&gt;"&amp;P180)=0,"",SMALL($G180:$T180,COUNTIF($G180:$T180,"&lt;="&amp;P180)+1)-P180)))</f>
        <v/>
      </c>
      <c r="AN180" t="str">
        <f>IF(OR($B180="",NOT(ISNUMBER(Q180))),"",IF(COUNTIF(R180:$T180,Q180)&gt;0,0,IF(COUNTIF($G180:$T180,"&gt;"&amp;Q180)=0,"",SMALL($G180:$T180,COUNTIF($G180:$T180,"&lt;="&amp;Q180)+1)-Q180)))</f>
        <v/>
      </c>
      <c r="AO180" t="str">
        <f>IF(OR($B180="",NOT(ISNUMBER(R180))),"",IF(COUNTIF(S180:$T180,R180)&gt;0,0,IF(COUNTIF($G180:$T180,"&gt;"&amp;R180)=0,"",SMALL($G180:$T180,COUNTIF($G180:$T180,"&lt;="&amp;R180)+1)-R180)))</f>
        <v/>
      </c>
      <c r="AP180">
        <f t="shared" ca="1" si="37"/>
        <v>0</v>
      </c>
      <c r="AQ180" s="25" t="str">
        <f t="shared" si="38"/>
        <v/>
      </c>
      <c r="AR180" s="25" t="str">
        <f t="shared" si="39"/>
        <v/>
      </c>
      <c r="AS180" s="25" t="str">
        <f t="shared" si="40"/>
        <v/>
      </c>
      <c r="AT180" s="25" t="str">
        <f t="shared" si="41"/>
        <v/>
      </c>
      <c r="AU180" s="25" t="str">
        <f t="shared" si="42"/>
        <v/>
      </c>
      <c r="AV180" s="25" t="str">
        <f t="shared" si="43"/>
        <v/>
      </c>
      <c r="AW180" s="25">
        <f t="shared" si="44"/>
        <v>46295</v>
      </c>
      <c r="AX180" s="25">
        <f t="shared" si="45"/>
        <v>46295</v>
      </c>
      <c r="AY180" s="25" t="str">
        <f t="shared" si="46"/>
        <v/>
      </c>
      <c r="AZ180" s="25" t="str">
        <f t="shared" si="47"/>
        <v/>
      </c>
      <c r="BA180" s="25" t="str">
        <f t="shared" si="48"/>
        <v/>
      </c>
      <c r="BB180" s="25" t="str">
        <f t="shared" si="49"/>
        <v/>
      </c>
      <c r="BC180" s="25">
        <f t="shared" si="50"/>
        <v>46295</v>
      </c>
    </row>
    <row r="181" spans="1:55" x14ac:dyDescent="0.25">
      <c r="A181" s="151">
        <f t="shared" si="34"/>
        <v>179</v>
      </c>
      <c r="B181" s="151" t="s">
        <v>317</v>
      </c>
      <c r="C181" s="152" t="s">
        <v>318</v>
      </c>
      <c r="D181" s="151">
        <f t="shared" si="35"/>
        <v>1</v>
      </c>
      <c r="E181" s="151" t="s">
        <v>61</v>
      </c>
      <c r="F181" s="173">
        <v>46294</v>
      </c>
      <c r="G181" s="173"/>
      <c r="H181" s="173"/>
      <c r="I181" s="173">
        <v>46294</v>
      </c>
      <c r="J181" s="173">
        <v>46296</v>
      </c>
      <c r="K181" s="173"/>
      <c r="L181" s="173"/>
      <c r="M181" s="173"/>
      <c r="N181" s="173"/>
      <c r="O181" s="173"/>
      <c r="P181" s="173"/>
      <c r="Q181" s="173"/>
      <c r="R181" s="173"/>
      <c r="S181" s="173"/>
      <c r="T181" s="174">
        <v>46296</v>
      </c>
      <c r="U181" s="151"/>
      <c r="V181" s="152"/>
      <c r="W181" s="175"/>
      <c r="X181" s="173"/>
      <c r="Y181" s="173"/>
      <c r="Z181" s="176" t="str">
        <f>IF(B181="","",IF(S181&lt;&gt;"","Sevk Edildi",IF(AND(X181&lt;&gt;"",Y181=""),"Reworkte",IF(T181&lt;&gt;"","Kapandı"&amp;IF(COUNT(G181:R181)=0,""," – "&amp;LOOKUP(2,1/(G181:R181=MAX(G181:R181)),{"Tasarım","Ply Cutter","Üretim","Kalite (Üretim sonrası)","Talaşlı","Kalite (Talaşlı sonrası)","Montaj","Kalite (Montaj sonrası)","Boya","Kalite (Boya sonrası)","Yarı Mamül","KM"})),IF(COUNT(G181:R181)=0,"Başlamadı",LOOKUP(2,1/(G181:R181=MAX(G181:R181)),{"Tasarımda","Ply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81" s="177">
        <f t="shared" ca="1" si="36"/>
        <v>2</v>
      </c>
      <c r="AB181" s="175"/>
      <c r="AD181" t="str">
        <f>IF(OR($B181="",NOT(ISNUMBER(G181))),"",IF(COUNTIF(H181:$T181,G181)&gt;0,0,IF(COUNTIF($G181:$T181,"&gt;"&amp;G181)=0,"",SMALL($G181:$T181,COUNTIF($G181:$T181,"&lt;="&amp;G181)+1)-G181)))</f>
        <v/>
      </c>
      <c r="AE181" t="str">
        <f>IF(OR($B181="",NOT(ISNUMBER(H181))),"",IF(COUNTIF(I181:$T181,H181)&gt;0,0,IF(COUNTIF($G181:$T181,"&gt;"&amp;H181)=0,"",SMALL($G181:$T181,COUNTIF($G181:$T181,"&lt;="&amp;H181)+1)-H181)))</f>
        <v/>
      </c>
      <c r="AF181">
        <f>IF(OR($B181="",NOT(ISNUMBER(I181))),"",IF(COUNTIF(J181:$T181,I181)&gt;0,0,IF(COUNTIF($G181:$T181,"&gt;"&amp;I181)=0,"",SMALL($G181:$T181,COUNTIF($G181:$T181,"&lt;="&amp;I181)+1)-I181)))</f>
        <v>2</v>
      </c>
      <c r="AG181">
        <f>IF(OR($B181="",NOT(ISNUMBER(J181))),"",IF(COUNTIF(K181:$T181,J181)&gt;0,0,IF(COUNTIF($G181:$T181,"&gt;"&amp;J181)=0,"",SMALL($G181:$T181,COUNTIF($G181:$T181,"&lt;="&amp;J181)+1)-J181)))</f>
        <v>0</v>
      </c>
      <c r="AH181" t="str">
        <f>IF(OR($B181="",NOT(ISNUMBER(K181))),"",IF(COUNTIF(L181:$T181,K181)&gt;0,0,IF(COUNTIF($G181:$T181,"&gt;"&amp;K181)=0,"",SMALL($G181:$T181,COUNTIF($G181:$T181,"&lt;="&amp;K181)+1)-K181)))</f>
        <v/>
      </c>
      <c r="AI181" t="str">
        <f>IF(OR($B181="",NOT(ISNUMBER(L181))),"",IF(COUNTIF(M181:$T181,L181)&gt;0,0,IF(COUNTIF($G181:$T181,"&gt;"&amp;L181)=0,"",SMALL($G181:$T181,COUNTIF($G181:$T181,"&lt;="&amp;L181)+1)-L181)))</f>
        <v/>
      </c>
      <c r="AJ181" t="str">
        <f>IF(OR($B181="",NOT(ISNUMBER(M181))),"",IF(COUNTIF(N181:$T181,M181)&gt;0,0,IF(COUNTIF($G181:$T181,"&gt;"&amp;M181)=0,"",SMALL($G181:$T181,COUNTIF($G181:$T181,"&lt;="&amp;M181)+1)-M181)))</f>
        <v/>
      </c>
      <c r="AK181" t="str">
        <f>IF(OR($B181="",NOT(ISNUMBER(N181))),"",IF(COUNTIF(O181:$T181,N181)&gt;0,0,IF(COUNTIF($G181:$T181,"&gt;"&amp;N181)=0,"",SMALL($G181:$T181,COUNTIF($G181:$T181,"&lt;="&amp;N181)+1)-N181)))</f>
        <v/>
      </c>
      <c r="AL181" t="str">
        <f>IF(OR($B181="",NOT(ISNUMBER(O181))),"",IF(COUNTIF(P181:$T181,O181)&gt;0,0,IF(COUNTIF($G181:$T181,"&gt;"&amp;O181)=0,"",SMALL($G181:$T181,COUNTIF($G181:$T181,"&lt;="&amp;O181)+1)-O181)))</f>
        <v/>
      </c>
      <c r="AM181" t="str">
        <f>IF(OR($B181="",NOT(ISNUMBER(P181))),"",IF(COUNTIF(Q181:$T181,P181)&gt;0,0,IF(COUNTIF($G181:$T181,"&gt;"&amp;P181)=0,"",SMALL($G181:$T181,COUNTIF($G181:$T181,"&lt;="&amp;P181)+1)-P181)))</f>
        <v/>
      </c>
      <c r="AN181" t="str">
        <f>IF(OR($B181="",NOT(ISNUMBER(Q181))),"",IF(COUNTIF(R181:$T181,Q181)&gt;0,0,IF(COUNTIF($G181:$T181,"&gt;"&amp;Q181)=0,"",SMALL($G181:$T181,COUNTIF($G181:$T181,"&lt;="&amp;Q181)+1)-Q181)))</f>
        <v/>
      </c>
      <c r="AO181" t="str">
        <f>IF(OR($B181="",NOT(ISNUMBER(R181))),"",IF(COUNTIF(S181:$T181,R181)&gt;0,0,IF(COUNTIF($G181:$T181,"&gt;"&amp;R181)=0,"",SMALL($G181:$T181,COUNTIF($G181:$T181,"&lt;="&amp;R181)+1)-R181)))</f>
        <v/>
      </c>
      <c r="AP181">
        <f t="shared" ca="1" si="37"/>
        <v>0</v>
      </c>
      <c r="AQ181" s="25" t="str">
        <f t="shared" si="38"/>
        <v/>
      </c>
      <c r="AR181" s="25" t="str">
        <f t="shared" si="39"/>
        <v/>
      </c>
      <c r="AS181" s="25">
        <f t="shared" si="40"/>
        <v>46296</v>
      </c>
      <c r="AT181" s="25">
        <f t="shared" si="41"/>
        <v>46296</v>
      </c>
      <c r="AU181" s="25" t="str">
        <f t="shared" si="42"/>
        <v/>
      </c>
      <c r="AV181" s="25" t="str">
        <f t="shared" si="43"/>
        <v/>
      </c>
      <c r="AW181" s="25" t="str">
        <f t="shared" si="44"/>
        <v/>
      </c>
      <c r="AX181" s="25" t="str">
        <f t="shared" si="45"/>
        <v/>
      </c>
      <c r="AY181" s="25" t="str">
        <f t="shared" si="46"/>
        <v/>
      </c>
      <c r="AZ181" s="25" t="str">
        <f t="shared" si="47"/>
        <v/>
      </c>
      <c r="BA181" s="25" t="str">
        <f t="shared" si="48"/>
        <v/>
      </c>
      <c r="BB181" s="25" t="str">
        <f t="shared" si="49"/>
        <v/>
      </c>
      <c r="BC181" s="25">
        <f t="shared" si="50"/>
        <v>46296</v>
      </c>
    </row>
    <row r="182" spans="1:55" x14ac:dyDescent="0.25">
      <c r="A182" s="151">
        <f t="shared" si="34"/>
        <v>180</v>
      </c>
      <c r="B182" s="151" t="s">
        <v>319</v>
      </c>
      <c r="C182" s="152" t="s">
        <v>74</v>
      </c>
      <c r="D182" s="151">
        <f t="shared" si="35"/>
        <v>1</v>
      </c>
      <c r="E182" s="151" t="s">
        <v>61</v>
      </c>
      <c r="F182" s="173">
        <v>46294</v>
      </c>
      <c r="G182" s="173"/>
      <c r="H182" s="173"/>
      <c r="I182" s="173">
        <v>46294</v>
      </c>
      <c r="J182" s="173">
        <v>46295</v>
      </c>
      <c r="K182" s="173"/>
      <c r="L182" s="173"/>
      <c r="M182" s="173"/>
      <c r="N182" s="173"/>
      <c r="O182" s="173"/>
      <c r="P182" s="173"/>
      <c r="Q182" s="173">
        <v>46296</v>
      </c>
      <c r="R182" s="173"/>
      <c r="S182" s="173"/>
      <c r="T182" s="174">
        <v>46296</v>
      </c>
      <c r="U182" s="151"/>
      <c r="V182" s="152"/>
      <c r="W182" s="175"/>
      <c r="X182" s="173"/>
      <c r="Y182" s="173"/>
      <c r="Z182" s="176" t="str">
        <f>IF(B182="","",IF(S182&lt;&gt;"","Sevk Edildi",IF(AND(X182&lt;&gt;"",Y182=""),"Reworkte",IF(T182&lt;&gt;"","Kapandı"&amp;IF(COUNT(G182:R182)=0,""," – "&amp;LOOKUP(2,1/(G182:R182=MAX(G182:R182)),{"Tasarım","Ply Cutter","Üretim","Kalite (Üretim sonrası)","Talaşlı","Kalite (Talaşlı sonrası)","Montaj","Kalite (Montaj sonrası)","Boya","Kalite (Boya sonrası)","Yarı Mamül","KM"})),IF(COUNT(G182:R182)=0,"Başlamadı",LOOKUP(2,1/(G182:R182=MAX(G182:R182)),{"Tasarımda","Ply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82" s="177">
        <f t="shared" ca="1" si="36"/>
        <v>2</v>
      </c>
      <c r="AB182" s="175"/>
      <c r="AD182" t="str">
        <f>IF(OR($B182="",NOT(ISNUMBER(G182))),"",IF(COUNTIF(H182:$T182,G182)&gt;0,0,IF(COUNTIF($G182:$T182,"&gt;"&amp;G182)=0,"",SMALL($G182:$T182,COUNTIF($G182:$T182,"&lt;="&amp;G182)+1)-G182)))</f>
        <v/>
      </c>
      <c r="AE182" t="str">
        <f>IF(OR($B182="",NOT(ISNUMBER(H182))),"",IF(COUNTIF(I182:$T182,H182)&gt;0,0,IF(COUNTIF($G182:$T182,"&gt;"&amp;H182)=0,"",SMALL($G182:$T182,COUNTIF($G182:$T182,"&lt;="&amp;H182)+1)-H182)))</f>
        <v/>
      </c>
      <c r="AF182">
        <f>IF(OR($B182="",NOT(ISNUMBER(I182))),"",IF(COUNTIF(J182:$T182,I182)&gt;0,0,IF(COUNTIF($G182:$T182,"&gt;"&amp;I182)=0,"",SMALL($G182:$T182,COUNTIF($G182:$T182,"&lt;="&amp;I182)+1)-I182)))</f>
        <v>1</v>
      </c>
      <c r="AG182">
        <f>IF(OR($B182="",NOT(ISNUMBER(J182))),"",IF(COUNTIF(K182:$T182,J182)&gt;0,0,IF(COUNTIF($G182:$T182,"&gt;"&amp;J182)=0,"",SMALL($G182:$T182,COUNTIF($G182:$T182,"&lt;="&amp;J182)+1)-J182)))</f>
        <v>1</v>
      </c>
      <c r="AH182" t="str">
        <f>IF(OR($B182="",NOT(ISNUMBER(K182))),"",IF(COUNTIF(L182:$T182,K182)&gt;0,0,IF(COUNTIF($G182:$T182,"&gt;"&amp;K182)=0,"",SMALL($G182:$T182,COUNTIF($G182:$T182,"&lt;="&amp;K182)+1)-K182)))</f>
        <v/>
      </c>
      <c r="AI182" t="str">
        <f>IF(OR($B182="",NOT(ISNUMBER(L182))),"",IF(COUNTIF(M182:$T182,L182)&gt;0,0,IF(COUNTIF($G182:$T182,"&gt;"&amp;L182)=0,"",SMALL($G182:$T182,COUNTIF($G182:$T182,"&lt;="&amp;L182)+1)-L182)))</f>
        <v/>
      </c>
      <c r="AJ182" t="str">
        <f>IF(OR($B182="",NOT(ISNUMBER(M182))),"",IF(COUNTIF(N182:$T182,M182)&gt;0,0,IF(COUNTIF($G182:$T182,"&gt;"&amp;M182)=0,"",SMALL($G182:$T182,COUNTIF($G182:$T182,"&lt;="&amp;M182)+1)-M182)))</f>
        <v/>
      </c>
      <c r="AK182" t="str">
        <f>IF(OR($B182="",NOT(ISNUMBER(N182))),"",IF(COUNTIF(O182:$T182,N182)&gt;0,0,IF(COUNTIF($G182:$T182,"&gt;"&amp;N182)=0,"",SMALL($G182:$T182,COUNTIF($G182:$T182,"&lt;="&amp;N182)+1)-N182)))</f>
        <v/>
      </c>
      <c r="AL182" t="str">
        <f>IF(OR($B182="",NOT(ISNUMBER(O182))),"",IF(COUNTIF(P182:$T182,O182)&gt;0,0,IF(COUNTIF($G182:$T182,"&gt;"&amp;O182)=0,"",SMALL($G182:$T182,COUNTIF($G182:$T182,"&lt;="&amp;O182)+1)-O182)))</f>
        <v/>
      </c>
      <c r="AM182" t="str">
        <f>IF(OR($B182="",NOT(ISNUMBER(P182))),"",IF(COUNTIF(Q182:$T182,P182)&gt;0,0,IF(COUNTIF($G182:$T182,"&gt;"&amp;P182)=0,"",SMALL($G182:$T182,COUNTIF($G182:$T182,"&lt;="&amp;P182)+1)-P182)))</f>
        <v/>
      </c>
      <c r="AN182">
        <f>IF(OR($B182="",NOT(ISNUMBER(Q182))),"",IF(COUNTIF(R182:$T182,Q182)&gt;0,0,IF(COUNTIF($G182:$T182,"&gt;"&amp;Q182)=0,"",SMALL($G182:$T182,COUNTIF($G182:$T182,"&lt;="&amp;Q182)+1)-Q182)))</f>
        <v>0</v>
      </c>
      <c r="AO182" t="str">
        <f>IF(OR($B182="",NOT(ISNUMBER(R182))),"",IF(COUNTIF(S182:$T182,R182)&gt;0,0,IF(COUNTIF($G182:$T182,"&gt;"&amp;R182)=0,"",SMALL($G182:$T182,COUNTIF($G182:$T182,"&lt;="&amp;R182)+1)-R182)))</f>
        <v/>
      </c>
      <c r="AP182">
        <f t="shared" ca="1" si="37"/>
        <v>0</v>
      </c>
      <c r="AQ182" s="25" t="str">
        <f t="shared" si="38"/>
        <v/>
      </c>
      <c r="AR182" s="25" t="str">
        <f t="shared" si="39"/>
        <v/>
      </c>
      <c r="AS182" s="25">
        <f t="shared" si="40"/>
        <v>46295</v>
      </c>
      <c r="AT182" s="25">
        <f t="shared" si="41"/>
        <v>46296</v>
      </c>
      <c r="AU182" s="25" t="str">
        <f t="shared" si="42"/>
        <v/>
      </c>
      <c r="AV182" s="25" t="str">
        <f t="shared" si="43"/>
        <v/>
      </c>
      <c r="AW182" s="25" t="str">
        <f t="shared" si="44"/>
        <v/>
      </c>
      <c r="AX182" s="25" t="str">
        <f t="shared" si="45"/>
        <v/>
      </c>
      <c r="AY182" s="25" t="str">
        <f t="shared" si="46"/>
        <v/>
      </c>
      <c r="AZ182" s="25" t="str">
        <f t="shared" si="47"/>
        <v/>
      </c>
      <c r="BA182" s="25">
        <f t="shared" si="48"/>
        <v>46296</v>
      </c>
      <c r="BB182" s="25" t="str">
        <f t="shared" si="49"/>
        <v/>
      </c>
      <c r="BC182" s="25">
        <f t="shared" si="50"/>
        <v>46296</v>
      </c>
    </row>
    <row r="183" spans="1:55" x14ac:dyDescent="0.25">
      <c r="A183" s="151">
        <f t="shared" si="34"/>
        <v>181</v>
      </c>
      <c r="B183" s="151" t="s">
        <v>320</v>
      </c>
      <c r="C183" s="152" t="s">
        <v>321</v>
      </c>
      <c r="D183" s="151">
        <f t="shared" si="35"/>
        <v>1</v>
      </c>
      <c r="E183" s="151" t="s">
        <v>61</v>
      </c>
      <c r="F183" s="173">
        <v>46294</v>
      </c>
      <c r="G183" s="173"/>
      <c r="H183" s="173">
        <v>46294</v>
      </c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81">
        <v>46294</v>
      </c>
      <c r="U183" s="151"/>
      <c r="V183" s="152"/>
      <c r="W183" s="175"/>
      <c r="X183" s="173"/>
      <c r="Y183" s="173"/>
      <c r="Z183" s="176" t="str">
        <f>IF(B183="","",IF(S183&lt;&gt;"","Sevk Edildi",IF(AND(X183&lt;&gt;"",Y183=""),"Reworkte",IF(T183&lt;&gt;"","Kapandı"&amp;IF(COUNT(G183:R183)=0,""," – "&amp;LOOKUP(2,1/(G183:R183=MAX(G183:R183)),{"Tasarım","Ply Cutter","Üretim","Kalite (Üretim sonrası)","Talaşlı","Kalite (Talaşlı sonrası)","Montaj","Kalite (Montaj sonrası)","Boya","Kalite (Boya sonrası)","Yarı Mamül","KM"})),IF(COUNT(G183:R183)=0,"Başlamadı",LOOKUP(2,1/(G183:R183=MAX(G183:R183)),{"Tasarımda","Ply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183" s="177">
        <f t="shared" ca="1" si="36"/>
        <v>0</v>
      </c>
      <c r="AB183" s="175"/>
      <c r="AD183" t="str">
        <f>IF(OR($B183="",NOT(ISNUMBER(G183))),"",IF(COUNTIF(H183:$T183,G183)&gt;0,0,IF(COUNTIF($G183:$T183,"&gt;"&amp;G183)=0,"",SMALL($G183:$T183,COUNTIF($G183:$T183,"&lt;="&amp;G183)+1)-G183)))</f>
        <v/>
      </c>
      <c r="AE183">
        <f>IF(OR($B183="",NOT(ISNUMBER(H183))),"",IF(COUNTIF(I183:$T183,H183)&gt;0,0,IF(COUNTIF($G183:$T183,"&gt;"&amp;H183)=0,"",SMALL($G183:$T183,COUNTIF($G183:$T183,"&lt;="&amp;H183)+1)-H183)))</f>
        <v>0</v>
      </c>
      <c r="AF183" t="str">
        <f>IF(OR($B183="",NOT(ISNUMBER(I183))),"",IF(COUNTIF(J183:$T183,I183)&gt;0,0,IF(COUNTIF($G183:$T183,"&gt;"&amp;I183)=0,"",SMALL($G183:$T183,COUNTIF($G183:$T183,"&lt;="&amp;I183)+1)-I183)))</f>
        <v/>
      </c>
      <c r="AG183" t="str">
        <f>IF(OR($B183="",NOT(ISNUMBER(J183))),"",IF(COUNTIF(K183:$T183,J183)&gt;0,0,IF(COUNTIF($G183:$T183,"&gt;"&amp;J183)=0,"",SMALL($G183:$T183,COUNTIF($G183:$T183,"&lt;="&amp;J183)+1)-J183)))</f>
        <v/>
      </c>
      <c r="AH183" t="str">
        <f>IF(OR($B183="",NOT(ISNUMBER(K183))),"",IF(COUNTIF(L183:$T183,K183)&gt;0,0,IF(COUNTIF($G183:$T183,"&gt;"&amp;K183)=0,"",SMALL($G183:$T183,COUNTIF($G183:$T183,"&lt;="&amp;K183)+1)-K183)))</f>
        <v/>
      </c>
      <c r="AI183" t="str">
        <f>IF(OR($B183="",NOT(ISNUMBER(L183))),"",IF(COUNTIF(M183:$T183,L183)&gt;0,0,IF(COUNTIF($G183:$T183,"&gt;"&amp;L183)=0,"",SMALL($G183:$T183,COUNTIF($G183:$T183,"&lt;="&amp;L183)+1)-L183)))</f>
        <v/>
      </c>
      <c r="AJ183" t="str">
        <f>IF(OR($B183="",NOT(ISNUMBER(M183))),"",IF(COUNTIF(N183:$T183,M183)&gt;0,0,IF(COUNTIF($G183:$T183,"&gt;"&amp;M183)=0,"",SMALL($G183:$T183,COUNTIF($G183:$T183,"&lt;="&amp;M183)+1)-M183)))</f>
        <v/>
      </c>
      <c r="AK183" t="str">
        <f>IF(OR($B183="",NOT(ISNUMBER(N183))),"",IF(COUNTIF(O183:$T183,N183)&gt;0,0,IF(COUNTIF($G183:$T183,"&gt;"&amp;N183)=0,"",SMALL($G183:$T183,COUNTIF($G183:$T183,"&lt;="&amp;N183)+1)-N183)))</f>
        <v/>
      </c>
      <c r="AL183" t="str">
        <f>IF(OR($B183="",NOT(ISNUMBER(O183))),"",IF(COUNTIF(P183:$T183,O183)&gt;0,0,IF(COUNTIF($G183:$T183,"&gt;"&amp;O183)=0,"",SMALL($G183:$T183,COUNTIF($G183:$T183,"&lt;="&amp;O183)+1)-O183)))</f>
        <v/>
      </c>
      <c r="AM183" t="str">
        <f>IF(OR($B183="",NOT(ISNUMBER(P183))),"",IF(COUNTIF(Q183:$T183,P183)&gt;0,0,IF(COUNTIF($G183:$T183,"&gt;"&amp;P183)=0,"",SMALL($G183:$T183,COUNTIF($G183:$T183,"&lt;="&amp;P183)+1)-P183)))</f>
        <v/>
      </c>
      <c r="AN183" t="str">
        <f>IF(OR($B183="",NOT(ISNUMBER(Q183))),"",IF(COUNTIF(R183:$T183,Q183)&gt;0,0,IF(COUNTIF($G183:$T183,"&gt;"&amp;Q183)=0,"",SMALL($G183:$T183,COUNTIF($G183:$T183,"&lt;="&amp;Q183)+1)-Q183)))</f>
        <v/>
      </c>
      <c r="AO183" t="str">
        <f>IF(OR($B183="",NOT(ISNUMBER(R183))),"",IF(COUNTIF(S183:$T183,R183)&gt;0,0,IF(COUNTIF($G183:$T183,"&gt;"&amp;R183)=0,"",SMALL($G183:$T183,COUNTIF($G183:$T183,"&lt;="&amp;R183)+1)-R183)))</f>
        <v/>
      </c>
      <c r="AP183">
        <f t="shared" ca="1" si="37"/>
        <v>0</v>
      </c>
      <c r="AQ183" s="25" t="str">
        <f t="shared" si="38"/>
        <v/>
      </c>
      <c r="AR183" s="25">
        <f t="shared" si="39"/>
        <v>46294</v>
      </c>
      <c r="AS183" s="25" t="str">
        <f t="shared" si="40"/>
        <v/>
      </c>
      <c r="AT183" s="25" t="str">
        <f t="shared" si="41"/>
        <v/>
      </c>
      <c r="AU183" s="25" t="str">
        <f t="shared" si="42"/>
        <v/>
      </c>
      <c r="AV183" s="25" t="str">
        <f t="shared" si="43"/>
        <v/>
      </c>
      <c r="AW183" s="25" t="str">
        <f t="shared" si="44"/>
        <v/>
      </c>
      <c r="AX183" s="25" t="str">
        <f t="shared" si="45"/>
        <v/>
      </c>
      <c r="AY183" s="25" t="str">
        <f t="shared" si="46"/>
        <v/>
      </c>
      <c r="AZ183" s="25" t="str">
        <f t="shared" si="47"/>
        <v/>
      </c>
      <c r="BA183" s="25" t="str">
        <f t="shared" si="48"/>
        <v/>
      </c>
      <c r="BB183" s="25" t="str">
        <f t="shared" si="49"/>
        <v/>
      </c>
      <c r="BC183" s="25">
        <f t="shared" si="50"/>
        <v>46294</v>
      </c>
    </row>
    <row r="184" spans="1:55" x14ac:dyDescent="0.25">
      <c r="A184" s="151">
        <f t="shared" si="34"/>
        <v>182</v>
      </c>
      <c r="B184" s="151" t="s">
        <v>322</v>
      </c>
      <c r="C184" s="152" t="s">
        <v>323</v>
      </c>
      <c r="D184" s="151">
        <f t="shared" si="35"/>
        <v>2</v>
      </c>
      <c r="E184" s="151" t="s">
        <v>100</v>
      </c>
      <c r="F184" s="173">
        <v>46294</v>
      </c>
      <c r="G184" s="173"/>
      <c r="H184" s="173"/>
      <c r="I184" s="173"/>
      <c r="J184" s="173"/>
      <c r="K184" s="173">
        <v>46294</v>
      </c>
      <c r="L184" s="173">
        <v>46295</v>
      </c>
      <c r="M184" s="173"/>
      <c r="N184" s="173"/>
      <c r="O184" s="173"/>
      <c r="P184" s="173"/>
      <c r="Q184" s="173"/>
      <c r="R184" s="173"/>
      <c r="S184" s="173"/>
      <c r="T184" s="174">
        <v>46295</v>
      </c>
      <c r="U184" s="151"/>
      <c r="V184" s="152"/>
      <c r="W184" s="175"/>
      <c r="X184" s="173"/>
      <c r="Y184" s="173"/>
      <c r="Z184" s="176" t="str">
        <f>IF(B184="","",IF(S184&lt;&gt;"","Sevk Edildi",IF(AND(X184&lt;&gt;"",Y184=""),"Reworkte",IF(T184&lt;&gt;"","Kapandı"&amp;IF(COUNT(G184:R184)=0,""," – "&amp;LOOKUP(2,1/(G184:R184=MAX(G184:R184)),{"Tasarım","Ply Cutter","Üretim","Kalite (Üretim sonrası)","Talaşlı","Kalite (Talaşlı sonrası)","Montaj","Kalite (Montaj sonrası)","Boya","Kalite (Boya sonrası)","Yarı Mamül","KM"})),IF(COUNT(G184:R184)=0,"Başlamadı",LOOKUP(2,1/(G184:R184=MAX(G184:R184)),{"Tasarımda","Ply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184" s="177">
        <f t="shared" ca="1" si="36"/>
        <v>1</v>
      </c>
      <c r="AB184" s="175"/>
      <c r="AD184" t="str">
        <f>IF(OR($B184="",NOT(ISNUMBER(G184))),"",IF(COUNTIF(H184:$T184,G184)&gt;0,0,IF(COUNTIF($G184:$T184,"&gt;"&amp;G184)=0,"",SMALL($G184:$T184,COUNTIF($G184:$T184,"&lt;="&amp;G184)+1)-G184)))</f>
        <v/>
      </c>
      <c r="AE184" t="str">
        <f>IF(OR($B184="",NOT(ISNUMBER(H184))),"",IF(COUNTIF(I184:$T184,H184)&gt;0,0,IF(COUNTIF($G184:$T184,"&gt;"&amp;H184)=0,"",SMALL($G184:$T184,COUNTIF($G184:$T184,"&lt;="&amp;H184)+1)-H184)))</f>
        <v/>
      </c>
      <c r="AF184" t="str">
        <f>IF(OR($B184="",NOT(ISNUMBER(I184))),"",IF(COUNTIF(J184:$T184,I184)&gt;0,0,IF(COUNTIF($G184:$T184,"&gt;"&amp;I184)=0,"",SMALL($G184:$T184,COUNTIF($G184:$T184,"&lt;="&amp;I184)+1)-I184)))</f>
        <v/>
      </c>
      <c r="AG184" t="str">
        <f>IF(OR($B184="",NOT(ISNUMBER(J184))),"",IF(COUNTIF(K184:$T184,J184)&gt;0,0,IF(COUNTIF($G184:$T184,"&gt;"&amp;J184)=0,"",SMALL($G184:$T184,COUNTIF($G184:$T184,"&lt;="&amp;J184)+1)-J184)))</f>
        <v/>
      </c>
      <c r="AH184">
        <f>IF(OR($B184="",NOT(ISNUMBER(K184))),"",IF(COUNTIF(L184:$T184,K184)&gt;0,0,IF(COUNTIF($G184:$T184,"&gt;"&amp;K184)=0,"",SMALL($G184:$T184,COUNTIF($G184:$T184,"&lt;="&amp;K184)+1)-K184)))</f>
        <v>1</v>
      </c>
      <c r="AI184">
        <f>IF(OR($B184="",NOT(ISNUMBER(L184))),"",IF(COUNTIF(M184:$T184,L184)&gt;0,0,IF(COUNTIF($G184:$T184,"&gt;"&amp;L184)=0,"",SMALL($G184:$T184,COUNTIF($G184:$T184,"&lt;="&amp;L184)+1)-L184)))</f>
        <v>0</v>
      </c>
      <c r="AJ184" t="str">
        <f>IF(OR($B184="",NOT(ISNUMBER(M184))),"",IF(COUNTIF(N184:$T184,M184)&gt;0,0,IF(COUNTIF($G184:$T184,"&gt;"&amp;M184)=0,"",SMALL($G184:$T184,COUNTIF($G184:$T184,"&lt;="&amp;M184)+1)-M184)))</f>
        <v/>
      </c>
      <c r="AK184" t="str">
        <f>IF(OR($B184="",NOT(ISNUMBER(N184))),"",IF(COUNTIF(O184:$T184,N184)&gt;0,0,IF(COUNTIF($G184:$T184,"&gt;"&amp;N184)=0,"",SMALL($G184:$T184,COUNTIF($G184:$T184,"&lt;="&amp;N184)+1)-N184)))</f>
        <v/>
      </c>
      <c r="AL184" t="str">
        <f>IF(OR($B184="",NOT(ISNUMBER(O184))),"",IF(COUNTIF(P184:$T184,O184)&gt;0,0,IF(COUNTIF($G184:$T184,"&gt;"&amp;O184)=0,"",SMALL($G184:$T184,COUNTIF($G184:$T184,"&lt;="&amp;O184)+1)-O184)))</f>
        <v/>
      </c>
      <c r="AM184" t="str">
        <f>IF(OR($B184="",NOT(ISNUMBER(P184))),"",IF(COUNTIF(Q184:$T184,P184)&gt;0,0,IF(COUNTIF($G184:$T184,"&gt;"&amp;P184)=0,"",SMALL($G184:$T184,COUNTIF($G184:$T184,"&lt;="&amp;P184)+1)-P184)))</f>
        <v/>
      </c>
      <c r="AN184" t="str">
        <f>IF(OR($B184="",NOT(ISNUMBER(Q184))),"",IF(COUNTIF(R184:$T184,Q184)&gt;0,0,IF(COUNTIF($G184:$T184,"&gt;"&amp;Q184)=0,"",SMALL($G184:$T184,COUNTIF($G184:$T184,"&lt;="&amp;Q184)+1)-Q184)))</f>
        <v/>
      </c>
      <c r="AO184" t="str">
        <f>IF(OR($B184="",NOT(ISNUMBER(R184))),"",IF(COUNTIF(S184:$T184,R184)&gt;0,0,IF(COUNTIF($G184:$T184,"&gt;"&amp;R184)=0,"",SMALL($G184:$T184,COUNTIF($G184:$T184,"&lt;="&amp;R184)+1)-R184)))</f>
        <v/>
      </c>
      <c r="AP184">
        <f t="shared" ca="1" si="37"/>
        <v>0</v>
      </c>
      <c r="AQ184" s="25" t="str">
        <f t="shared" si="38"/>
        <v/>
      </c>
      <c r="AR184" s="25" t="str">
        <f t="shared" si="39"/>
        <v/>
      </c>
      <c r="AS184" s="25" t="str">
        <f t="shared" si="40"/>
        <v/>
      </c>
      <c r="AT184" s="25" t="str">
        <f t="shared" si="41"/>
        <v/>
      </c>
      <c r="AU184" s="25">
        <f t="shared" si="42"/>
        <v>46295</v>
      </c>
      <c r="AV184" s="25">
        <f t="shared" si="43"/>
        <v>46295</v>
      </c>
      <c r="AW184" s="25" t="str">
        <f t="shared" si="44"/>
        <v/>
      </c>
      <c r="AX184" s="25" t="str">
        <f t="shared" si="45"/>
        <v/>
      </c>
      <c r="AY184" s="25" t="str">
        <f t="shared" si="46"/>
        <v/>
      </c>
      <c r="AZ184" s="25" t="str">
        <f t="shared" si="47"/>
        <v/>
      </c>
      <c r="BA184" s="25" t="str">
        <f t="shared" si="48"/>
        <v/>
      </c>
      <c r="BB184" s="25" t="str">
        <f t="shared" si="49"/>
        <v/>
      </c>
      <c r="BC184" s="25">
        <f t="shared" si="50"/>
        <v>46295</v>
      </c>
    </row>
    <row r="185" spans="1:55" x14ac:dyDescent="0.25">
      <c r="A185" s="151">
        <f t="shared" si="34"/>
        <v>183</v>
      </c>
      <c r="B185" s="151" t="s">
        <v>324</v>
      </c>
      <c r="C185" s="152" t="s">
        <v>76</v>
      </c>
      <c r="D185" s="151">
        <f t="shared" si="35"/>
        <v>1</v>
      </c>
      <c r="E185" s="151" t="s">
        <v>61</v>
      </c>
      <c r="F185" s="173">
        <v>46294</v>
      </c>
      <c r="G185" s="173"/>
      <c r="H185" s="173"/>
      <c r="I185" s="173">
        <v>46294</v>
      </c>
      <c r="J185" s="173">
        <v>46295</v>
      </c>
      <c r="K185" s="173"/>
      <c r="L185" s="173"/>
      <c r="M185" s="173"/>
      <c r="N185" s="173"/>
      <c r="O185" s="173"/>
      <c r="P185" s="173"/>
      <c r="Q185" s="173">
        <v>46296</v>
      </c>
      <c r="R185" s="173"/>
      <c r="S185" s="173"/>
      <c r="T185" s="174">
        <v>46296</v>
      </c>
      <c r="U185" s="151"/>
      <c r="V185" s="152"/>
      <c r="W185" s="175"/>
      <c r="X185" s="173"/>
      <c r="Y185" s="173"/>
      <c r="Z185" s="176" t="str">
        <f>IF(B185="","",IF(S185&lt;&gt;"","Sevk Edildi",IF(AND(X185&lt;&gt;"",Y185=""),"Reworkte",IF(T185&lt;&gt;"","Kapandı"&amp;IF(COUNT(G185:R185)=0,""," – "&amp;LOOKUP(2,1/(G185:R185=MAX(G185:R185)),{"Tasarım","Ply Cutter","Üretim","Kalite (Üretim sonrası)","Talaşlı","Kalite (Talaşlı sonrası)","Montaj","Kalite (Montaj sonrası)","Boya","Kalite (Boya sonrası)","Yarı Mamül","KM"})),IF(COUNT(G185:R185)=0,"Başlamadı",LOOKUP(2,1/(G185:R185=MAX(G185:R185)),{"Tasarımda","Ply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85" s="177">
        <f t="shared" ca="1" si="36"/>
        <v>2</v>
      </c>
      <c r="AB185" s="175"/>
      <c r="AD185" t="str">
        <f>IF(OR($B185="",NOT(ISNUMBER(G185))),"",IF(COUNTIF(H185:$T185,G185)&gt;0,0,IF(COUNTIF($G185:$T185,"&gt;"&amp;G185)=0,"",SMALL($G185:$T185,COUNTIF($G185:$T185,"&lt;="&amp;G185)+1)-G185)))</f>
        <v/>
      </c>
      <c r="AE185" t="str">
        <f>IF(OR($B185="",NOT(ISNUMBER(H185))),"",IF(COUNTIF(I185:$T185,H185)&gt;0,0,IF(COUNTIF($G185:$T185,"&gt;"&amp;H185)=0,"",SMALL($G185:$T185,COUNTIF($G185:$T185,"&lt;="&amp;H185)+1)-H185)))</f>
        <v/>
      </c>
      <c r="AF185">
        <f>IF(OR($B185="",NOT(ISNUMBER(I185))),"",IF(COUNTIF(J185:$T185,I185)&gt;0,0,IF(COUNTIF($G185:$T185,"&gt;"&amp;I185)=0,"",SMALL($G185:$T185,COUNTIF($G185:$T185,"&lt;="&amp;I185)+1)-I185)))</f>
        <v>1</v>
      </c>
      <c r="AG185">
        <f>IF(OR($B185="",NOT(ISNUMBER(J185))),"",IF(COUNTIF(K185:$T185,J185)&gt;0,0,IF(COUNTIF($G185:$T185,"&gt;"&amp;J185)=0,"",SMALL($G185:$T185,COUNTIF($G185:$T185,"&lt;="&amp;J185)+1)-J185)))</f>
        <v>1</v>
      </c>
      <c r="AH185" t="str">
        <f>IF(OR($B185="",NOT(ISNUMBER(K185))),"",IF(COUNTIF(L185:$T185,K185)&gt;0,0,IF(COUNTIF($G185:$T185,"&gt;"&amp;K185)=0,"",SMALL($G185:$T185,COUNTIF($G185:$T185,"&lt;="&amp;K185)+1)-K185)))</f>
        <v/>
      </c>
      <c r="AI185" t="str">
        <f>IF(OR($B185="",NOT(ISNUMBER(L185))),"",IF(COUNTIF(M185:$T185,L185)&gt;0,0,IF(COUNTIF($G185:$T185,"&gt;"&amp;L185)=0,"",SMALL($G185:$T185,COUNTIF($G185:$T185,"&lt;="&amp;L185)+1)-L185)))</f>
        <v/>
      </c>
      <c r="AJ185" t="str">
        <f>IF(OR($B185="",NOT(ISNUMBER(M185))),"",IF(COUNTIF(N185:$T185,M185)&gt;0,0,IF(COUNTIF($G185:$T185,"&gt;"&amp;M185)=0,"",SMALL($G185:$T185,COUNTIF($G185:$T185,"&lt;="&amp;M185)+1)-M185)))</f>
        <v/>
      </c>
      <c r="AK185" t="str">
        <f>IF(OR($B185="",NOT(ISNUMBER(N185))),"",IF(COUNTIF(O185:$T185,N185)&gt;0,0,IF(COUNTIF($G185:$T185,"&gt;"&amp;N185)=0,"",SMALL($G185:$T185,COUNTIF($G185:$T185,"&lt;="&amp;N185)+1)-N185)))</f>
        <v/>
      </c>
      <c r="AL185" t="str">
        <f>IF(OR($B185="",NOT(ISNUMBER(O185))),"",IF(COUNTIF(P185:$T185,O185)&gt;0,0,IF(COUNTIF($G185:$T185,"&gt;"&amp;O185)=0,"",SMALL($G185:$T185,COUNTIF($G185:$T185,"&lt;="&amp;O185)+1)-O185)))</f>
        <v/>
      </c>
      <c r="AM185" t="str">
        <f>IF(OR($B185="",NOT(ISNUMBER(P185))),"",IF(COUNTIF(Q185:$T185,P185)&gt;0,0,IF(COUNTIF($G185:$T185,"&gt;"&amp;P185)=0,"",SMALL($G185:$T185,COUNTIF($G185:$T185,"&lt;="&amp;P185)+1)-P185)))</f>
        <v/>
      </c>
      <c r="AN185">
        <f>IF(OR($B185="",NOT(ISNUMBER(Q185))),"",IF(COUNTIF(R185:$T185,Q185)&gt;0,0,IF(COUNTIF($G185:$T185,"&gt;"&amp;Q185)=0,"",SMALL($G185:$T185,COUNTIF($G185:$T185,"&lt;="&amp;Q185)+1)-Q185)))</f>
        <v>0</v>
      </c>
      <c r="AO185" t="str">
        <f>IF(OR($B185="",NOT(ISNUMBER(R185))),"",IF(COUNTIF(S185:$T185,R185)&gt;0,0,IF(COUNTIF($G185:$T185,"&gt;"&amp;R185)=0,"",SMALL($G185:$T185,COUNTIF($G185:$T185,"&lt;="&amp;R185)+1)-R185)))</f>
        <v/>
      </c>
      <c r="AP185">
        <f t="shared" ca="1" si="37"/>
        <v>0</v>
      </c>
      <c r="AQ185" s="25" t="str">
        <f t="shared" si="38"/>
        <v/>
      </c>
      <c r="AR185" s="25" t="str">
        <f t="shared" si="39"/>
        <v/>
      </c>
      <c r="AS185" s="25">
        <f t="shared" si="40"/>
        <v>46295</v>
      </c>
      <c r="AT185" s="25">
        <f t="shared" si="41"/>
        <v>46296</v>
      </c>
      <c r="AU185" s="25" t="str">
        <f t="shared" si="42"/>
        <v/>
      </c>
      <c r="AV185" s="25" t="str">
        <f t="shared" si="43"/>
        <v/>
      </c>
      <c r="AW185" s="25" t="str">
        <f t="shared" si="44"/>
        <v/>
      </c>
      <c r="AX185" s="25" t="str">
        <f t="shared" si="45"/>
        <v/>
      </c>
      <c r="AY185" s="25" t="str">
        <f t="shared" si="46"/>
        <v/>
      </c>
      <c r="AZ185" s="25" t="str">
        <f t="shared" si="47"/>
        <v/>
      </c>
      <c r="BA185" s="25">
        <f t="shared" si="48"/>
        <v>46296</v>
      </c>
      <c r="BB185" s="25" t="str">
        <f t="shared" si="49"/>
        <v/>
      </c>
      <c r="BC185" s="25">
        <f t="shared" si="50"/>
        <v>46296</v>
      </c>
    </row>
    <row r="186" spans="1:55" x14ac:dyDescent="0.25">
      <c r="A186" s="151">
        <f t="shared" si="34"/>
        <v>184</v>
      </c>
      <c r="B186" s="151" t="s">
        <v>325</v>
      </c>
      <c r="C186" s="152" t="s">
        <v>94</v>
      </c>
      <c r="D186" s="151">
        <f t="shared" si="35"/>
        <v>1</v>
      </c>
      <c r="E186" s="151" t="s">
        <v>61</v>
      </c>
      <c r="F186" s="173">
        <v>46294</v>
      </c>
      <c r="G186" s="173"/>
      <c r="H186" s="173"/>
      <c r="I186" s="173">
        <v>46294</v>
      </c>
      <c r="J186" s="173">
        <v>46295</v>
      </c>
      <c r="K186" s="173"/>
      <c r="L186" s="173"/>
      <c r="M186" s="173"/>
      <c r="N186" s="173"/>
      <c r="O186" s="173"/>
      <c r="P186" s="173"/>
      <c r="Q186" s="173">
        <v>46298</v>
      </c>
      <c r="R186" s="173"/>
      <c r="S186" s="173"/>
      <c r="T186" s="174">
        <v>46298</v>
      </c>
      <c r="U186" s="151"/>
      <c r="V186" s="152"/>
      <c r="W186" s="175"/>
      <c r="X186" s="173"/>
      <c r="Y186" s="173"/>
      <c r="Z186" s="176" t="str">
        <f>IF(B186="","",IF(S186&lt;&gt;"","Sevk Edildi",IF(AND(X186&lt;&gt;"",Y186=""),"Reworkte",IF(T186&lt;&gt;"","Kapandı"&amp;IF(COUNT(G186:R186)=0,""," – "&amp;LOOKUP(2,1/(G186:R186=MAX(G186:R186)),{"Tasarım","Ply Cutter","Üretim","Kalite (Üretim sonrası)","Talaşlı","Kalite (Talaşlı sonrası)","Montaj","Kalite (Montaj sonrası)","Boya","Kalite (Boya sonrası)","Yarı Mamül","KM"})),IF(COUNT(G186:R186)=0,"Başlamadı",LOOKUP(2,1/(G186:R186=MAX(G186:R186)),{"Tasarımda","Ply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86" s="177">
        <f t="shared" ca="1" si="36"/>
        <v>4</v>
      </c>
      <c r="AB186" s="175" t="s">
        <v>326</v>
      </c>
      <c r="AD186" t="str">
        <f>IF(OR($B186="",NOT(ISNUMBER(G186))),"",IF(COUNTIF(H186:$T186,G186)&gt;0,0,IF(COUNTIF($G186:$T186,"&gt;"&amp;G186)=0,"",SMALL($G186:$T186,COUNTIF($G186:$T186,"&lt;="&amp;G186)+1)-G186)))</f>
        <v/>
      </c>
      <c r="AE186" t="str">
        <f>IF(OR($B186="",NOT(ISNUMBER(H186))),"",IF(COUNTIF(I186:$T186,H186)&gt;0,0,IF(COUNTIF($G186:$T186,"&gt;"&amp;H186)=0,"",SMALL($G186:$T186,COUNTIF($G186:$T186,"&lt;="&amp;H186)+1)-H186)))</f>
        <v/>
      </c>
      <c r="AF186">
        <f>IF(OR($B186="",NOT(ISNUMBER(I186))),"",IF(COUNTIF(J186:$T186,I186)&gt;0,0,IF(COUNTIF($G186:$T186,"&gt;"&amp;I186)=0,"",SMALL($G186:$T186,COUNTIF($G186:$T186,"&lt;="&amp;I186)+1)-I186)))</f>
        <v>1</v>
      </c>
      <c r="AG186">
        <f>IF(OR($B186="",NOT(ISNUMBER(J186))),"",IF(COUNTIF(K186:$T186,J186)&gt;0,0,IF(COUNTIF($G186:$T186,"&gt;"&amp;J186)=0,"",SMALL($G186:$T186,COUNTIF($G186:$T186,"&lt;="&amp;J186)+1)-J186)))</f>
        <v>3</v>
      </c>
      <c r="AH186" t="str">
        <f>IF(OR($B186="",NOT(ISNUMBER(K186))),"",IF(COUNTIF(L186:$T186,K186)&gt;0,0,IF(COUNTIF($G186:$T186,"&gt;"&amp;K186)=0,"",SMALL($G186:$T186,COUNTIF($G186:$T186,"&lt;="&amp;K186)+1)-K186)))</f>
        <v/>
      </c>
      <c r="AI186" t="str">
        <f>IF(OR($B186="",NOT(ISNUMBER(L186))),"",IF(COUNTIF(M186:$T186,L186)&gt;0,0,IF(COUNTIF($G186:$T186,"&gt;"&amp;L186)=0,"",SMALL($G186:$T186,COUNTIF($G186:$T186,"&lt;="&amp;L186)+1)-L186)))</f>
        <v/>
      </c>
      <c r="AJ186" t="str">
        <f>IF(OR($B186="",NOT(ISNUMBER(M186))),"",IF(COUNTIF(N186:$T186,M186)&gt;0,0,IF(COUNTIF($G186:$T186,"&gt;"&amp;M186)=0,"",SMALL($G186:$T186,COUNTIF($G186:$T186,"&lt;="&amp;M186)+1)-M186)))</f>
        <v/>
      </c>
      <c r="AK186" t="str">
        <f>IF(OR($B186="",NOT(ISNUMBER(N186))),"",IF(COUNTIF(O186:$T186,N186)&gt;0,0,IF(COUNTIF($G186:$T186,"&gt;"&amp;N186)=0,"",SMALL($G186:$T186,COUNTIF($G186:$T186,"&lt;="&amp;N186)+1)-N186)))</f>
        <v/>
      </c>
      <c r="AL186" t="str">
        <f>IF(OR($B186="",NOT(ISNUMBER(O186))),"",IF(COUNTIF(P186:$T186,O186)&gt;0,0,IF(COUNTIF($G186:$T186,"&gt;"&amp;O186)=0,"",SMALL($G186:$T186,COUNTIF($G186:$T186,"&lt;="&amp;O186)+1)-O186)))</f>
        <v/>
      </c>
      <c r="AM186" t="str">
        <f>IF(OR($B186="",NOT(ISNUMBER(P186))),"",IF(COUNTIF(Q186:$T186,P186)&gt;0,0,IF(COUNTIF($G186:$T186,"&gt;"&amp;P186)=0,"",SMALL($G186:$T186,COUNTIF($G186:$T186,"&lt;="&amp;P186)+1)-P186)))</f>
        <v/>
      </c>
      <c r="AN186">
        <f>IF(OR($B186="",NOT(ISNUMBER(Q186))),"",IF(COUNTIF(R186:$T186,Q186)&gt;0,0,IF(COUNTIF($G186:$T186,"&gt;"&amp;Q186)=0,"",SMALL($G186:$T186,COUNTIF($G186:$T186,"&lt;="&amp;Q186)+1)-Q186)))</f>
        <v>0</v>
      </c>
      <c r="AO186" t="str">
        <f>IF(OR($B186="",NOT(ISNUMBER(R186))),"",IF(COUNTIF(S186:$T186,R186)&gt;0,0,IF(COUNTIF($G186:$T186,"&gt;"&amp;R186)=0,"",SMALL($G186:$T186,COUNTIF($G186:$T186,"&lt;="&amp;R186)+1)-R186)))</f>
        <v/>
      </c>
      <c r="AP186">
        <f t="shared" ca="1" si="37"/>
        <v>0</v>
      </c>
      <c r="AQ186" s="25" t="str">
        <f t="shared" si="38"/>
        <v/>
      </c>
      <c r="AR186" s="25" t="str">
        <f t="shared" si="39"/>
        <v/>
      </c>
      <c r="AS186" s="25">
        <f t="shared" si="40"/>
        <v>46295</v>
      </c>
      <c r="AT186" s="25">
        <f t="shared" si="41"/>
        <v>46298</v>
      </c>
      <c r="AU186" s="25" t="str">
        <f t="shared" si="42"/>
        <v/>
      </c>
      <c r="AV186" s="25" t="str">
        <f t="shared" si="43"/>
        <v/>
      </c>
      <c r="AW186" s="25" t="str">
        <f t="shared" si="44"/>
        <v/>
      </c>
      <c r="AX186" s="25" t="str">
        <f t="shared" si="45"/>
        <v/>
      </c>
      <c r="AY186" s="25" t="str">
        <f t="shared" si="46"/>
        <v/>
      </c>
      <c r="AZ186" s="25" t="str">
        <f t="shared" si="47"/>
        <v/>
      </c>
      <c r="BA186" s="25">
        <f t="shared" si="48"/>
        <v>46298</v>
      </c>
      <c r="BB186" s="25" t="str">
        <f t="shared" si="49"/>
        <v/>
      </c>
      <c r="BC186" s="25">
        <f t="shared" si="50"/>
        <v>46298</v>
      </c>
    </row>
    <row r="187" spans="1:55" x14ac:dyDescent="0.25">
      <c r="A187" s="151">
        <f t="shared" si="34"/>
        <v>185</v>
      </c>
      <c r="B187" s="151" t="s">
        <v>327</v>
      </c>
      <c r="C187" s="152" t="s">
        <v>92</v>
      </c>
      <c r="D187" s="151">
        <f t="shared" si="35"/>
        <v>2</v>
      </c>
      <c r="E187" s="151" t="s">
        <v>61</v>
      </c>
      <c r="F187" s="173">
        <v>46294</v>
      </c>
      <c r="G187" s="173"/>
      <c r="H187" s="173"/>
      <c r="I187" s="173">
        <v>46294</v>
      </c>
      <c r="J187" s="173">
        <v>46295</v>
      </c>
      <c r="K187" s="173"/>
      <c r="L187" s="173"/>
      <c r="M187" s="173"/>
      <c r="N187" s="173"/>
      <c r="O187" s="173"/>
      <c r="P187" s="173"/>
      <c r="Q187" s="173"/>
      <c r="R187" s="173"/>
      <c r="S187" s="173"/>
      <c r="T187" s="174">
        <v>46295</v>
      </c>
      <c r="U187" s="151"/>
      <c r="V187" s="152"/>
      <c r="W187" s="175"/>
      <c r="X187" s="173"/>
      <c r="Y187" s="173"/>
      <c r="Z187" s="176" t="str">
        <f>IF(B187="","",IF(S187&lt;&gt;"","Sevk Edildi",IF(AND(X187&lt;&gt;"",Y187=""),"Reworkte",IF(T187&lt;&gt;"","Kapandı"&amp;IF(COUNT(G187:R187)=0,""," – "&amp;LOOKUP(2,1/(G187:R187=MAX(G187:R187)),{"Tasarım","Ply Cutter","Üretim","Kalite (Üretim sonrası)","Talaşlı","Kalite (Talaşlı sonrası)","Montaj","Kalite (Montaj sonrası)","Boya","Kalite (Boya sonrası)","Yarı Mamül","KM"})),IF(COUNT(G187:R187)=0,"Başlamadı",LOOKUP(2,1/(G187:R187=MAX(G187:R187)),{"Tasarımda","Ply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87" s="177">
        <f t="shared" ca="1" si="36"/>
        <v>1</v>
      </c>
      <c r="AB187" s="175"/>
      <c r="AD187" t="str">
        <f>IF(OR($B187="",NOT(ISNUMBER(G187))),"",IF(COUNTIF(H187:$T187,G187)&gt;0,0,IF(COUNTIF($G187:$T187,"&gt;"&amp;G187)=0,"",SMALL($G187:$T187,COUNTIF($G187:$T187,"&lt;="&amp;G187)+1)-G187)))</f>
        <v/>
      </c>
      <c r="AE187" t="str">
        <f>IF(OR($B187="",NOT(ISNUMBER(H187))),"",IF(COUNTIF(I187:$T187,H187)&gt;0,0,IF(COUNTIF($G187:$T187,"&gt;"&amp;H187)=0,"",SMALL($G187:$T187,COUNTIF($G187:$T187,"&lt;="&amp;H187)+1)-H187)))</f>
        <v/>
      </c>
      <c r="AF187">
        <f>IF(OR($B187="",NOT(ISNUMBER(I187))),"",IF(COUNTIF(J187:$T187,I187)&gt;0,0,IF(COUNTIF($G187:$T187,"&gt;"&amp;I187)=0,"",SMALL($G187:$T187,COUNTIF($G187:$T187,"&lt;="&amp;I187)+1)-I187)))</f>
        <v>1</v>
      </c>
      <c r="AG187">
        <f>IF(OR($B187="",NOT(ISNUMBER(J187))),"",IF(COUNTIF(K187:$T187,J187)&gt;0,0,IF(COUNTIF($G187:$T187,"&gt;"&amp;J187)=0,"",SMALL($G187:$T187,COUNTIF($G187:$T187,"&lt;="&amp;J187)+1)-J187)))</f>
        <v>0</v>
      </c>
      <c r="AH187" t="str">
        <f>IF(OR($B187="",NOT(ISNUMBER(K187))),"",IF(COUNTIF(L187:$T187,K187)&gt;0,0,IF(COUNTIF($G187:$T187,"&gt;"&amp;K187)=0,"",SMALL($G187:$T187,COUNTIF($G187:$T187,"&lt;="&amp;K187)+1)-K187)))</f>
        <v/>
      </c>
      <c r="AI187" t="str">
        <f>IF(OR($B187="",NOT(ISNUMBER(L187))),"",IF(COUNTIF(M187:$T187,L187)&gt;0,0,IF(COUNTIF($G187:$T187,"&gt;"&amp;L187)=0,"",SMALL($G187:$T187,COUNTIF($G187:$T187,"&lt;="&amp;L187)+1)-L187)))</f>
        <v/>
      </c>
      <c r="AJ187" t="str">
        <f>IF(OR($B187="",NOT(ISNUMBER(M187))),"",IF(COUNTIF(N187:$T187,M187)&gt;0,0,IF(COUNTIF($G187:$T187,"&gt;"&amp;M187)=0,"",SMALL($G187:$T187,COUNTIF($G187:$T187,"&lt;="&amp;M187)+1)-M187)))</f>
        <v/>
      </c>
      <c r="AK187" t="str">
        <f>IF(OR($B187="",NOT(ISNUMBER(N187))),"",IF(COUNTIF(O187:$T187,N187)&gt;0,0,IF(COUNTIF($G187:$T187,"&gt;"&amp;N187)=0,"",SMALL($G187:$T187,COUNTIF($G187:$T187,"&lt;="&amp;N187)+1)-N187)))</f>
        <v/>
      </c>
      <c r="AL187" t="str">
        <f>IF(OR($B187="",NOT(ISNUMBER(O187))),"",IF(COUNTIF(P187:$T187,O187)&gt;0,0,IF(COUNTIF($G187:$T187,"&gt;"&amp;O187)=0,"",SMALL($G187:$T187,COUNTIF($G187:$T187,"&lt;="&amp;O187)+1)-O187)))</f>
        <v/>
      </c>
      <c r="AM187" t="str">
        <f>IF(OR($B187="",NOT(ISNUMBER(P187))),"",IF(COUNTIF(Q187:$T187,P187)&gt;0,0,IF(COUNTIF($G187:$T187,"&gt;"&amp;P187)=0,"",SMALL($G187:$T187,COUNTIF($G187:$T187,"&lt;="&amp;P187)+1)-P187)))</f>
        <v/>
      </c>
      <c r="AN187" t="str">
        <f>IF(OR($B187="",NOT(ISNUMBER(Q187))),"",IF(COUNTIF(R187:$T187,Q187)&gt;0,0,IF(COUNTIF($G187:$T187,"&gt;"&amp;Q187)=0,"",SMALL($G187:$T187,COUNTIF($G187:$T187,"&lt;="&amp;Q187)+1)-Q187)))</f>
        <v/>
      </c>
      <c r="AO187" t="str">
        <f>IF(OR($B187="",NOT(ISNUMBER(R187))),"",IF(COUNTIF(S187:$T187,R187)&gt;0,0,IF(COUNTIF($G187:$T187,"&gt;"&amp;R187)=0,"",SMALL($G187:$T187,COUNTIF($G187:$T187,"&lt;="&amp;R187)+1)-R187)))</f>
        <v/>
      </c>
      <c r="AP187">
        <f t="shared" ca="1" si="37"/>
        <v>0</v>
      </c>
      <c r="AQ187" s="25" t="str">
        <f t="shared" si="38"/>
        <v/>
      </c>
      <c r="AR187" s="25" t="str">
        <f t="shared" si="39"/>
        <v/>
      </c>
      <c r="AS187" s="25">
        <f t="shared" si="40"/>
        <v>46295</v>
      </c>
      <c r="AT187" s="25">
        <f t="shared" si="41"/>
        <v>46295</v>
      </c>
      <c r="AU187" s="25" t="str">
        <f t="shared" si="42"/>
        <v/>
      </c>
      <c r="AV187" s="25" t="str">
        <f t="shared" si="43"/>
        <v/>
      </c>
      <c r="AW187" s="25" t="str">
        <f t="shared" si="44"/>
        <v/>
      </c>
      <c r="AX187" s="25" t="str">
        <f t="shared" si="45"/>
        <v/>
      </c>
      <c r="AY187" s="25" t="str">
        <f t="shared" si="46"/>
        <v/>
      </c>
      <c r="AZ187" s="25" t="str">
        <f t="shared" si="47"/>
        <v/>
      </c>
      <c r="BA187" s="25" t="str">
        <f t="shared" si="48"/>
        <v/>
      </c>
      <c r="BB187" s="25" t="str">
        <f t="shared" si="49"/>
        <v/>
      </c>
      <c r="BC187" s="25">
        <f t="shared" si="50"/>
        <v>46295</v>
      </c>
    </row>
    <row r="188" spans="1:55" x14ac:dyDescent="0.25">
      <c r="A188" s="151">
        <f t="shared" si="34"/>
        <v>186</v>
      </c>
      <c r="B188" s="151" t="s">
        <v>328</v>
      </c>
      <c r="C188" s="152" t="s">
        <v>329</v>
      </c>
      <c r="D188" s="151">
        <f t="shared" si="35"/>
        <v>11</v>
      </c>
      <c r="E188" s="151" t="s">
        <v>61</v>
      </c>
      <c r="F188" s="173">
        <v>46294</v>
      </c>
      <c r="G188" s="173"/>
      <c r="H188" s="173">
        <v>46294</v>
      </c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81">
        <v>46294</v>
      </c>
      <c r="U188" s="151"/>
      <c r="V188" s="152"/>
      <c r="W188" s="175"/>
      <c r="X188" s="173"/>
      <c r="Y188" s="173"/>
      <c r="Z188" s="176" t="str">
        <f>IF(B188="","",IF(S188&lt;&gt;"","Sevk Edildi",IF(AND(X188&lt;&gt;"",Y188=""),"Reworkte",IF(T188&lt;&gt;"","Kapandı"&amp;IF(COUNT(G188:R188)=0,""," – "&amp;LOOKUP(2,1/(G188:R188=MAX(G188:R188)),{"Tasarım","Ply Cutter","Üretim","Kalite (Üretim sonrası)","Talaşlı","Kalite (Talaşlı sonrası)","Montaj","Kalite (Montaj sonrası)","Boya","Kalite (Boya sonrası)","Yarı Mamül","KM"})),IF(COUNT(G188:R188)=0,"Başlamadı",LOOKUP(2,1/(G188:R188=MAX(G188:R188)),{"Tasarımda","Ply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188" s="177">
        <f t="shared" ca="1" si="36"/>
        <v>0</v>
      </c>
      <c r="AB188" s="175"/>
      <c r="AD188" t="str">
        <f>IF(OR($B188="",NOT(ISNUMBER(G188))),"",IF(COUNTIF(H188:$T188,G188)&gt;0,0,IF(COUNTIF($G188:$T188,"&gt;"&amp;G188)=0,"",SMALL($G188:$T188,COUNTIF($G188:$T188,"&lt;="&amp;G188)+1)-G188)))</f>
        <v/>
      </c>
      <c r="AE188">
        <f>IF(OR($B188="",NOT(ISNUMBER(H188))),"",IF(COUNTIF(I188:$T188,H188)&gt;0,0,IF(COUNTIF($G188:$T188,"&gt;"&amp;H188)=0,"",SMALL($G188:$T188,COUNTIF($G188:$T188,"&lt;="&amp;H188)+1)-H188)))</f>
        <v>0</v>
      </c>
      <c r="AF188" t="str">
        <f>IF(OR($B188="",NOT(ISNUMBER(I188))),"",IF(COUNTIF(J188:$T188,I188)&gt;0,0,IF(COUNTIF($G188:$T188,"&gt;"&amp;I188)=0,"",SMALL($G188:$T188,COUNTIF($G188:$T188,"&lt;="&amp;I188)+1)-I188)))</f>
        <v/>
      </c>
      <c r="AG188" t="str">
        <f>IF(OR($B188="",NOT(ISNUMBER(J188))),"",IF(COUNTIF(K188:$T188,J188)&gt;0,0,IF(COUNTIF($G188:$T188,"&gt;"&amp;J188)=0,"",SMALL($G188:$T188,COUNTIF($G188:$T188,"&lt;="&amp;J188)+1)-J188)))</f>
        <v/>
      </c>
      <c r="AH188" t="str">
        <f>IF(OR($B188="",NOT(ISNUMBER(K188))),"",IF(COUNTIF(L188:$T188,K188)&gt;0,0,IF(COUNTIF($G188:$T188,"&gt;"&amp;K188)=0,"",SMALL($G188:$T188,COUNTIF($G188:$T188,"&lt;="&amp;K188)+1)-K188)))</f>
        <v/>
      </c>
      <c r="AI188" t="str">
        <f>IF(OR($B188="",NOT(ISNUMBER(L188))),"",IF(COUNTIF(M188:$T188,L188)&gt;0,0,IF(COUNTIF($G188:$T188,"&gt;"&amp;L188)=0,"",SMALL($G188:$T188,COUNTIF($G188:$T188,"&lt;="&amp;L188)+1)-L188)))</f>
        <v/>
      </c>
      <c r="AJ188" t="str">
        <f>IF(OR($B188="",NOT(ISNUMBER(M188))),"",IF(COUNTIF(N188:$T188,M188)&gt;0,0,IF(COUNTIF($G188:$T188,"&gt;"&amp;M188)=0,"",SMALL($G188:$T188,COUNTIF($G188:$T188,"&lt;="&amp;M188)+1)-M188)))</f>
        <v/>
      </c>
      <c r="AK188" t="str">
        <f>IF(OR($B188="",NOT(ISNUMBER(N188))),"",IF(COUNTIF(O188:$T188,N188)&gt;0,0,IF(COUNTIF($G188:$T188,"&gt;"&amp;N188)=0,"",SMALL($G188:$T188,COUNTIF($G188:$T188,"&lt;="&amp;N188)+1)-N188)))</f>
        <v/>
      </c>
      <c r="AL188" t="str">
        <f>IF(OR($B188="",NOT(ISNUMBER(O188))),"",IF(COUNTIF(P188:$T188,O188)&gt;0,0,IF(COUNTIF($G188:$T188,"&gt;"&amp;O188)=0,"",SMALL($G188:$T188,COUNTIF($G188:$T188,"&lt;="&amp;O188)+1)-O188)))</f>
        <v/>
      </c>
      <c r="AM188" t="str">
        <f>IF(OR($B188="",NOT(ISNUMBER(P188))),"",IF(COUNTIF(Q188:$T188,P188)&gt;0,0,IF(COUNTIF($G188:$T188,"&gt;"&amp;P188)=0,"",SMALL($G188:$T188,COUNTIF($G188:$T188,"&lt;="&amp;P188)+1)-P188)))</f>
        <v/>
      </c>
      <c r="AN188" t="str">
        <f>IF(OR($B188="",NOT(ISNUMBER(Q188))),"",IF(COUNTIF(R188:$T188,Q188)&gt;0,0,IF(COUNTIF($G188:$T188,"&gt;"&amp;Q188)=0,"",SMALL($G188:$T188,COUNTIF($G188:$T188,"&lt;="&amp;Q188)+1)-Q188)))</f>
        <v/>
      </c>
      <c r="AO188" t="str">
        <f>IF(OR($B188="",NOT(ISNUMBER(R188))),"",IF(COUNTIF(S188:$T188,R188)&gt;0,0,IF(COUNTIF($G188:$T188,"&gt;"&amp;R188)=0,"",SMALL($G188:$T188,COUNTIF($G188:$T188,"&lt;="&amp;R188)+1)-R188)))</f>
        <v/>
      </c>
      <c r="AP188">
        <f t="shared" ca="1" si="37"/>
        <v>0</v>
      </c>
      <c r="AQ188" s="25" t="str">
        <f t="shared" si="38"/>
        <v/>
      </c>
      <c r="AR188" s="25">
        <f t="shared" si="39"/>
        <v>46294</v>
      </c>
      <c r="AS188" s="25" t="str">
        <f t="shared" si="40"/>
        <v/>
      </c>
      <c r="AT188" s="25" t="str">
        <f t="shared" si="41"/>
        <v/>
      </c>
      <c r="AU188" s="25" t="str">
        <f t="shared" si="42"/>
        <v/>
      </c>
      <c r="AV188" s="25" t="str">
        <f t="shared" si="43"/>
        <v/>
      </c>
      <c r="AW188" s="25" t="str">
        <f t="shared" si="44"/>
        <v/>
      </c>
      <c r="AX188" s="25" t="str">
        <f t="shared" si="45"/>
        <v/>
      </c>
      <c r="AY188" s="25" t="str">
        <f t="shared" si="46"/>
        <v/>
      </c>
      <c r="AZ188" s="25" t="str">
        <f t="shared" si="47"/>
        <v/>
      </c>
      <c r="BA188" s="25" t="str">
        <f t="shared" si="48"/>
        <v/>
      </c>
      <c r="BB188" s="25" t="str">
        <f t="shared" si="49"/>
        <v/>
      </c>
      <c r="BC188" s="25">
        <f t="shared" si="50"/>
        <v>46294</v>
      </c>
    </row>
    <row r="189" spans="1:55" x14ac:dyDescent="0.25">
      <c r="A189" s="151">
        <f t="shared" si="34"/>
        <v>187</v>
      </c>
      <c r="B189" s="151" t="s">
        <v>330</v>
      </c>
      <c r="C189" s="152" t="s">
        <v>331</v>
      </c>
      <c r="D189" s="151">
        <f t="shared" si="35"/>
        <v>1</v>
      </c>
      <c r="E189" s="151" t="s">
        <v>100</v>
      </c>
      <c r="F189" s="173">
        <v>46294</v>
      </c>
      <c r="G189" s="173"/>
      <c r="H189" s="173"/>
      <c r="I189" s="173"/>
      <c r="J189" s="173"/>
      <c r="K189" s="173">
        <v>46294</v>
      </c>
      <c r="L189" s="173">
        <v>46295</v>
      </c>
      <c r="M189" s="173"/>
      <c r="N189" s="173"/>
      <c r="O189" s="173"/>
      <c r="P189" s="173"/>
      <c r="Q189" s="173">
        <v>46295</v>
      </c>
      <c r="R189" s="173"/>
      <c r="S189" s="173"/>
      <c r="T189" s="174">
        <v>46295</v>
      </c>
      <c r="U189" s="151"/>
      <c r="V189" s="152"/>
      <c r="W189" s="175"/>
      <c r="X189" s="173"/>
      <c r="Y189" s="173"/>
      <c r="Z189" s="176" t="str">
        <f>IF(B189="","",IF(S189&lt;&gt;"","Sevk Edildi",IF(AND(X189&lt;&gt;"",Y189=""),"Reworkte",IF(T189&lt;&gt;"","Kapandı"&amp;IF(COUNT(G189:R189)=0,""," – "&amp;LOOKUP(2,1/(G189:R189=MAX(G189:R189)),{"Tasarım","Ply Cutter","Üretim","Kalite (Üretim sonrası)","Talaşlı","Kalite (Talaşlı sonrası)","Montaj","Kalite (Montaj sonrası)","Boya","Kalite (Boya sonrası)","Yarı Mamül","KM"})),IF(COUNT(G189:R189)=0,"Başlamadı",LOOKUP(2,1/(G189:R189=MAX(G189:R189)),{"Tasarımda","Ply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89" s="177">
        <f t="shared" ca="1" si="36"/>
        <v>1</v>
      </c>
      <c r="AB189" s="175"/>
      <c r="AD189" t="str">
        <f>IF(OR($B189="",NOT(ISNUMBER(G189))),"",IF(COUNTIF(H189:$T189,G189)&gt;0,0,IF(COUNTIF($G189:$T189,"&gt;"&amp;G189)=0,"",SMALL($G189:$T189,COUNTIF($G189:$T189,"&lt;="&amp;G189)+1)-G189)))</f>
        <v/>
      </c>
      <c r="AE189" t="str">
        <f>IF(OR($B189="",NOT(ISNUMBER(H189))),"",IF(COUNTIF(I189:$T189,H189)&gt;0,0,IF(COUNTIF($G189:$T189,"&gt;"&amp;H189)=0,"",SMALL($G189:$T189,COUNTIF($G189:$T189,"&lt;="&amp;H189)+1)-H189)))</f>
        <v/>
      </c>
      <c r="AF189" t="str">
        <f>IF(OR($B189="",NOT(ISNUMBER(I189))),"",IF(COUNTIF(J189:$T189,I189)&gt;0,0,IF(COUNTIF($G189:$T189,"&gt;"&amp;I189)=0,"",SMALL($G189:$T189,COUNTIF($G189:$T189,"&lt;="&amp;I189)+1)-I189)))</f>
        <v/>
      </c>
      <c r="AG189" t="str">
        <f>IF(OR($B189="",NOT(ISNUMBER(J189))),"",IF(COUNTIF(K189:$T189,J189)&gt;0,0,IF(COUNTIF($G189:$T189,"&gt;"&amp;J189)=0,"",SMALL($G189:$T189,COUNTIF($G189:$T189,"&lt;="&amp;J189)+1)-J189)))</f>
        <v/>
      </c>
      <c r="AH189">
        <f>IF(OR($B189="",NOT(ISNUMBER(K189))),"",IF(COUNTIF(L189:$T189,K189)&gt;0,0,IF(COUNTIF($G189:$T189,"&gt;"&amp;K189)=0,"",SMALL($G189:$T189,COUNTIF($G189:$T189,"&lt;="&amp;K189)+1)-K189)))</f>
        <v>1</v>
      </c>
      <c r="AI189">
        <f>IF(OR($B189="",NOT(ISNUMBER(L189))),"",IF(COUNTIF(M189:$T189,L189)&gt;0,0,IF(COUNTIF($G189:$T189,"&gt;"&amp;L189)=0,"",SMALL($G189:$T189,COUNTIF($G189:$T189,"&lt;="&amp;L189)+1)-L189)))</f>
        <v>0</v>
      </c>
      <c r="AJ189" t="str">
        <f>IF(OR($B189="",NOT(ISNUMBER(M189))),"",IF(COUNTIF(N189:$T189,M189)&gt;0,0,IF(COUNTIF($G189:$T189,"&gt;"&amp;M189)=0,"",SMALL($G189:$T189,COUNTIF($G189:$T189,"&lt;="&amp;M189)+1)-M189)))</f>
        <v/>
      </c>
      <c r="AK189" t="str">
        <f>IF(OR($B189="",NOT(ISNUMBER(N189))),"",IF(COUNTIF(O189:$T189,N189)&gt;0,0,IF(COUNTIF($G189:$T189,"&gt;"&amp;N189)=0,"",SMALL($G189:$T189,COUNTIF($G189:$T189,"&lt;="&amp;N189)+1)-N189)))</f>
        <v/>
      </c>
      <c r="AL189" t="str">
        <f>IF(OR($B189="",NOT(ISNUMBER(O189))),"",IF(COUNTIF(P189:$T189,O189)&gt;0,0,IF(COUNTIF($G189:$T189,"&gt;"&amp;O189)=0,"",SMALL($G189:$T189,COUNTIF($G189:$T189,"&lt;="&amp;O189)+1)-O189)))</f>
        <v/>
      </c>
      <c r="AM189" t="str">
        <f>IF(OR($B189="",NOT(ISNUMBER(P189))),"",IF(COUNTIF(Q189:$T189,P189)&gt;0,0,IF(COUNTIF($G189:$T189,"&gt;"&amp;P189)=0,"",SMALL($G189:$T189,COUNTIF($G189:$T189,"&lt;="&amp;P189)+1)-P189)))</f>
        <v/>
      </c>
      <c r="AN189">
        <f>IF(OR($B189="",NOT(ISNUMBER(Q189))),"",IF(COUNTIF(R189:$T189,Q189)&gt;0,0,IF(COUNTIF($G189:$T189,"&gt;"&amp;Q189)=0,"",SMALL($G189:$T189,COUNTIF($G189:$T189,"&lt;="&amp;Q189)+1)-Q189)))</f>
        <v>0</v>
      </c>
      <c r="AO189" t="str">
        <f>IF(OR($B189="",NOT(ISNUMBER(R189))),"",IF(COUNTIF(S189:$T189,R189)&gt;0,0,IF(COUNTIF($G189:$T189,"&gt;"&amp;R189)=0,"",SMALL($G189:$T189,COUNTIF($G189:$T189,"&lt;="&amp;R189)+1)-R189)))</f>
        <v/>
      </c>
      <c r="AP189">
        <f t="shared" ca="1" si="37"/>
        <v>0</v>
      </c>
      <c r="AQ189" s="25" t="str">
        <f t="shared" si="38"/>
        <v/>
      </c>
      <c r="AR189" s="25" t="str">
        <f t="shared" si="39"/>
        <v/>
      </c>
      <c r="AS189" s="25" t="str">
        <f t="shared" si="40"/>
        <v/>
      </c>
      <c r="AT189" s="25" t="str">
        <f t="shared" si="41"/>
        <v/>
      </c>
      <c r="AU189" s="25">
        <f t="shared" si="42"/>
        <v>46295</v>
      </c>
      <c r="AV189" s="25">
        <f t="shared" si="43"/>
        <v>46295</v>
      </c>
      <c r="AW189" s="25" t="str">
        <f t="shared" si="44"/>
        <v/>
      </c>
      <c r="AX189" s="25" t="str">
        <f t="shared" si="45"/>
        <v/>
      </c>
      <c r="AY189" s="25" t="str">
        <f t="shared" si="46"/>
        <v/>
      </c>
      <c r="AZ189" s="25" t="str">
        <f t="shared" si="47"/>
        <v/>
      </c>
      <c r="BA189" s="25">
        <f t="shared" si="48"/>
        <v>46295</v>
      </c>
      <c r="BB189" s="25" t="str">
        <f t="shared" si="49"/>
        <v/>
      </c>
      <c r="BC189" s="25">
        <f t="shared" si="50"/>
        <v>46295</v>
      </c>
    </row>
    <row r="190" spans="1:55" x14ac:dyDescent="0.25">
      <c r="A190" s="151">
        <f t="shared" si="34"/>
        <v>188</v>
      </c>
      <c r="B190" s="151" t="s">
        <v>332</v>
      </c>
      <c r="C190" s="152" t="s">
        <v>333</v>
      </c>
      <c r="D190" s="151">
        <f t="shared" si="35"/>
        <v>1</v>
      </c>
      <c r="E190" s="151" t="s">
        <v>100</v>
      </c>
      <c r="F190" s="173">
        <v>46294</v>
      </c>
      <c r="G190" s="173"/>
      <c r="H190" s="173"/>
      <c r="I190" s="173"/>
      <c r="J190" s="173"/>
      <c r="K190" s="173"/>
      <c r="L190" s="173"/>
      <c r="M190" s="173">
        <v>46294</v>
      </c>
      <c r="N190" s="173">
        <v>46295</v>
      </c>
      <c r="O190" s="173"/>
      <c r="P190" s="173"/>
      <c r="Q190" s="173"/>
      <c r="R190" s="173"/>
      <c r="S190" s="173"/>
      <c r="T190" s="174">
        <v>46295</v>
      </c>
      <c r="U190" s="151"/>
      <c r="V190" s="152"/>
      <c r="W190" s="175"/>
      <c r="X190" s="173"/>
      <c r="Y190" s="173"/>
      <c r="Z190" s="176" t="str">
        <f>IF(B190="","",IF(S190&lt;&gt;"","Sevk Edildi",IF(AND(X190&lt;&gt;"",Y190=""),"Reworkte",IF(T190&lt;&gt;"","Kapandı"&amp;IF(COUNT(G190:R190)=0,""," – "&amp;LOOKUP(2,1/(G190:R190=MAX(G190:R190)),{"Tasarım","Ply Cutter","Üretim","Kalite (Üretim sonrası)","Talaşlı","Kalite (Talaşlı sonrası)","Montaj","Kalite (Montaj sonrası)","Boya","Kalite (Boya sonrası)","Yarı Mamül","KM"})),IF(COUNT(G190:R190)=0,"Başlamadı",LOOKUP(2,1/(G190:R190=MAX(G190:R190)),{"Tasarımda","Ply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90" s="177">
        <f t="shared" ca="1" si="36"/>
        <v>1</v>
      </c>
      <c r="AB190" s="175"/>
      <c r="AD190" t="str">
        <f>IF(OR($B190="",NOT(ISNUMBER(G190))),"",IF(COUNTIF(H190:$T190,G190)&gt;0,0,IF(COUNTIF($G190:$T190,"&gt;"&amp;G190)=0,"",SMALL($G190:$T190,COUNTIF($G190:$T190,"&lt;="&amp;G190)+1)-G190)))</f>
        <v/>
      </c>
      <c r="AE190" t="str">
        <f>IF(OR($B190="",NOT(ISNUMBER(H190))),"",IF(COUNTIF(I190:$T190,H190)&gt;0,0,IF(COUNTIF($G190:$T190,"&gt;"&amp;H190)=0,"",SMALL($G190:$T190,COUNTIF($G190:$T190,"&lt;="&amp;H190)+1)-H190)))</f>
        <v/>
      </c>
      <c r="AF190" t="str">
        <f>IF(OR($B190="",NOT(ISNUMBER(I190))),"",IF(COUNTIF(J190:$T190,I190)&gt;0,0,IF(COUNTIF($G190:$T190,"&gt;"&amp;I190)=0,"",SMALL($G190:$T190,COUNTIF($G190:$T190,"&lt;="&amp;I190)+1)-I190)))</f>
        <v/>
      </c>
      <c r="AG190" t="str">
        <f>IF(OR($B190="",NOT(ISNUMBER(J190))),"",IF(COUNTIF(K190:$T190,J190)&gt;0,0,IF(COUNTIF($G190:$T190,"&gt;"&amp;J190)=0,"",SMALL($G190:$T190,COUNTIF($G190:$T190,"&lt;="&amp;J190)+1)-J190)))</f>
        <v/>
      </c>
      <c r="AH190" t="str">
        <f>IF(OR($B190="",NOT(ISNUMBER(K190))),"",IF(COUNTIF(L190:$T190,K190)&gt;0,0,IF(COUNTIF($G190:$T190,"&gt;"&amp;K190)=0,"",SMALL($G190:$T190,COUNTIF($G190:$T190,"&lt;="&amp;K190)+1)-K190)))</f>
        <v/>
      </c>
      <c r="AI190" t="str">
        <f>IF(OR($B190="",NOT(ISNUMBER(L190))),"",IF(COUNTIF(M190:$T190,L190)&gt;0,0,IF(COUNTIF($G190:$T190,"&gt;"&amp;L190)=0,"",SMALL($G190:$T190,COUNTIF($G190:$T190,"&lt;="&amp;L190)+1)-L190)))</f>
        <v/>
      </c>
      <c r="AJ190">
        <f>IF(OR($B190="",NOT(ISNUMBER(M190))),"",IF(COUNTIF(N190:$T190,M190)&gt;0,0,IF(COUNTIF($G190:$T190,"&gt;"&amp;M190)=0,"",SMALL($G190:$T190,COUNTIF($G190:$T190,"&lt;="&amp;M190)+1)-M190)))</f>
        <v>1</v>
      </c>
      <c r="AK190">
        <f>IF(OR($B190="",NOT(ISNUMBER(N190))),"",IF(COUNTIF(O190:$T190,N190)&gt;0,0,IF(COUNTIF($G190:$T190,"&gt;"&amp;N190)=0,"",SMALL($G190:$T190,COUNTIF($G190:$T190,"&lt;="&amp;N190)+1)-N190)))</f>
        <v>0</v>
      </c>
      <c r="AL190" t="str">
        <f>IF(OR($B190="",NOT(ISNUMBER(O190))),"",IF(COUNTIF(P190:$T190,O190)&gt;0,0,IF(COUNTIF($G190:$T190,"&gt;"&amp;O190)=0,"",SMALL($G190:$T190,COUNTIF($G190:$T190,"&lt;="&amp;O190)+1)-O190)))</f>
        <v/>
      </c>
      <c r="AM190" t="str">
        <f>IF(OR($B190="",NOT(ISNUMBER(P190))),"",IF(COUNTIF(Q190:$T190,P190)&gt;0,0,IF(COUNTIF($G190:$T190,"&gt;"&amp;P190)=0,"",SMALL($G190:$T190,COUNTIF($G190:$T190,"&lt;="&amp;P190)+1)-P190)))</f>
        <v/>
      </c>
      <c r="AN190" t="str">
        <f>IF(OR($B190="",NOT(ISNUMBER(Q190))),"",IF(COUNTIF(R190:$T190,Q190)&gt;0,0,IF(COUNTIF($G190:$T190,"&gt;"&amp;Q190)=0,"",SMALL($G190:$T190,COUNTIF($G190:$T190,"&lt;="&amp;Q190)+1)-Q190)))</f>
        <v/>
      </c>
      <c r="AO190" t="str">
        <f>IF(OR($B190="",NOT(ISNUMBER(R190))),"",IF(COUNTIF(S190:$T190,R190)&gt;0,0,IF(COUNTIF($G190:$T190,"&gt;"&amp;R190)=0,"",SMALL($G190:$T190,COUNTIF($G190:$T190,"&lt;="&amp;R190)+1)-R190)))</f>
        <v/>
      </c>
      <c r="AP190">
        <f t="shared" ca="1" si="37"/>
        <v>0</v>
      </c>
      <c r="AQ190" s="25" t="str">
        <f t="shared" si="38"/>
        <v/>
      </c>
      <c r="AR190" s="25" t="str">
        <f t="shared" si="39"/>
        <v/>
      </c>
      <c r="AS190" s="25" t="str">
        <f t="shared" si="40"/>
        <v/>
      </c>
      <c r="AT190" s="25" t="str">
        <f t="shared" si="41"/>
        <v/>
      </c>
      <c r="AU190" s="25" t="str">
        <f t="shared" si="42"/>
        <v/>
      </c>
      <c r="AV190" s="25" t="str">
        <f t="shared" si="43"/>
        <v/>
      </c>
      <c r="AW190" s="25">
        <f t="shared" si="44"/>
        <v>46295</v>
      </c>
      <c r="AX190" s="25">
        <f t="shared" si="45"/>
        <v>46295</v>
      </c>
      <c r="AY190" s="25" t="str">
        <f t="shared" si="46"/>
        <v/>
      </c>
      <c r="AZ190" s="25" t="str">
        <f t="shared" si="47"/>
        <v/>
      </c>
      <c r="BA190" s="25" t="str">
        <f t="shared" si="48"/>
        <v/>
      </c>
      <c r="BB190" s="25" t="str">
        <f t="shared" si="49"/>
        <v/>
      </c>
      <c r="BC190" s="25">
        <f t="shared" si="50"/>
        <v>46295</v>
      </c>
    </row>
    <row r="191" spans="1:55" x14ac:dyDescent="0.25">
      <c r="A191" s="151">
        <f t="shared" si="34"/>
        <v>189</v>
      </c>
      <c r="B191" s="151" t="s">
        <v>334</v>
      </c>
      <c r="C191" s="152" t="s">
        <v>333</v>
      </c>
      <c r="D191" s="151">
        <f t="shared" si="35"/>
        <v>1</v>
      </c>
      <c r="E191" s="151" t="s">
        <v>100</v>
      </c>
      <c r="F191" s="173">
        <v>46294</v>
      </c>
      <c r="G191" s="173"/>
      <c r="H191" s="173"/>
      <c r="I191" s="173"/>
      <c r="J191" s="173"/>
      <c r="K191" s="173"/>
      <c r="L191" s="173"/>
      <c r="M191" s="173">
        <v>46294</v>
      </c>
      <c r="N191" s="173">
        <v>46295</v>
      </c>
      <c r="O191" s="173"/>
      <c r="P191" s="173"/>
      <c r="Q191" s="173"/>
      <c r="R191" s="173"/>
      <c r="S191" s="173"/>
      <c r="T191" s="174">
        <v>46295</v>
      </c>
      <c r="U191" s="151"/>
      <c r="V191" s="152"/>
      <c r="W191" s="175"/>
      <c r="X191" s="173"/>
      <c r="Y191" s="173"/>
      <c r="Z191" s="176" t="str">
        <f>IF(B191="","",IF(S191&lt;&gt;"","Sevk Edildi",IF(AND(X191&lt;&gt;"",Y191=""),"Reworkte",IF(T191&lt;&gt;"","Kapandı"&amp;IF(COUNT(G191:R191)=0,""," – "&amp;LOOKUP(2,1/(G191:R191=MAX(G191:R191)),{"Tasarım","Ply Cutter","Üretim","Kalite (Üretim sonrası)","Talaşlı","Kalite (Talaşlı sonrası)","Montaj","Kalite (Montaj sonrası)","Boya","Kalite (Boya sonrası)","Yarı Mamül","KM"})),IF(COUNT(G191:R191)=0,"Başlamadı",LOOKUP(2,1/(G191:R191=MAX(G191:R191)),{"Tasarımda","Ply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191" s="177">
        <f t="shared" ca="1" si="36"/>
        <v>1</v>
      </c>
      <c r="AB191" s="175"/>
      <c r="AD191" t="str">
        <f>IF(OR($B191="",NOT(ISNUMBER(G191))),"",IF(COUNTIF(H191:$T191,G191)&gt;0,0,IF(COUNTIF($G191:$T191,"&gt;"&amp;G191)=0,"",SMALL($G191:$T191,COUNTIF($G191:$T191,"&lt;="&amp;G191)+1)-G191)))</f>
        <v/>
      </c>
      <c r="AE191" t="str">
        <f>IF(OR($B191="",NOT(ISNUMBER(H191))),"",IF(COUNTIF(I191:$T191,H191)&gt;0,0,IF(COUNTIF($G191:$T191,"&gt;"&amp;H191)=0,"",SMALL($G191:$T191,COUNTIF($G191:$T191,"&lt;="&amp;H191)+1)-H191)))</f>
        <v/>
      </c>
      <c r="AF191" t="str">
        <f>IF(OR($B191="",NOT(ISNUMBER(I191))),"",IF(COUNTIF(J191:$T191,I191)&gt;0,0,IF(COUNTIF($G191:$T191,"&gt;"&amp;I191)=0,"",SMALL($G191:$T191,COUNTIF($G191:$T191,"&lt;="&amp;I191)+1)-I191)))</f>
        <v/>
      </c>
      <c r="AG191" t="str">
        <f>IF(OR($B191="",NOT(ISNUMBER(J191))),"",IF(COUNTIF(K191:$T191,J191)&gt;0,0,IF(COUNTIF($G191:$T191,"&gt;"&amp;J191)=0,"",SMALL($G191:$T191,COUNTIF($G191:$T191,"&lt;="&amp;J191)+1)-J191)))</f>
        <v/>
      </c>
      <c r="AH191" t="str">
        <f>IF(OR($B191="",NOT(ISNUMBER(K191))),"",IF(COUNTIF(L191:$T191,K191)&gt;0,0,IF(COUNTIF($G191:$T191,"&gt;"&amp;K191)=0,"",SMALL($G191:$T191,COUNTIF($G191:$T191,"&lt;="&amp;K191)+1)-K191)))</f>
        <v/>
      </c>
      <c r="AI191" t="str">
        <f>IF(OR($B191="",NOT(ISNUMBER(L191))),"",IF(COUNTIF(M191:$T191,L191)&gt;0,0,IF(COUNTIF($G191:$T191,"&gt;"&amp;L191)=0,"",SMALL($G191:$T191,COUNTIF($G191:$T191,"&lt;="&amp;L191)+1)-L191)))</f>
        <v/>
      </c>
      <c r="AJ191">
        <f>IF(OR($B191="",NOT(ISNUMBER(M191))),"",IF(COUNTIF(N191:$T191,M191)&gt;0,0,IF(COUNTIF($G191:$T191,"&gt;"&amp;M191)=0,"",SMALL($G191:$T191,COUNTIF($G191:$T191,"&lt;="&amp;M191)+1)-M191)))</f>
        <v>1</v>
      </c>
      <c r="AK191">
        <f>IF(OR($B191="",NOT(ISNUMBER(N191))),"",IF(COUNTIF(O191:$T191,N191)&gt;0,0,IF(COUNTIF($G191:$T191,"&gt;"&amp;N191)=0,"",SMALL($G191:$T191,COUNTIF($G191:$T191,"&lt;="&amp;N191)+1)-N191)))</f>
        <v>0</v>
      </c>
      <c r="AL191" t="str">
        <f>IF(OR($B191="",NOT(ISNUMBER(O191))),"",IF(COUNTIF(P191:$T191,O191)&gt;0,0,IF(COUNTIF($G191:$T191,"&gt;"&amp;O191)=0,"",SMALL($G191:$T191,COUNTIF($G191:$T191,"&lt;="&amp;O191)+1)-O191)))</f>
        <v/>
      </c>
      <c r="AM191" t="str">
        <f>IF(OR($B191="",NOT(ISNUMBER(P191))),"",IF(COUNTIF(Q191:$T191,P191)&gt;0,0,IF(COUNTIF($G191:$T191,"&gt;"&amp;P191)=0,"",SMALL($G191:$T191,COUNTIF($G191:$T191,"&lt;="&amp;P191)+1)-P191)))</f>
        <v/>
      </c>
      <c r="AN191" t="str">
        <f>IF(OR($B191="",NOT(ISNUMBER(Q191))),"",IF(COUNTIF(R191:$T191,Q191)&gt;0,0,IF(COUNTIF($G191:$T191,"&gt;"&amp;Q191)=0,"",SMALL($G191:$T191,COUNTIF($G191:$T191,"&lt;="&amp;Q191)+1)-Q191)))</f>
        <v/>
      </c>
      <c r="AO191" t="str">
        <f>IF(OR($B191="",NOT(ISNUMBER(R191))),"",IF(COUNTIF(S191:$T191,R191)&gt;0,0,IF(COUNTIF($G191:$T191,"&gt;"&amp;R191)=0,"",SMALL($G191:$T191,COUNTIF($G191:$T191,"&lt;="&amp;R191)+1)-R191)))</f>
        <v/>
      </c>
      <c r="AP191">
        <f t="shared" ca="1" si="37"/>
        <v>0</v>
      </c>
      <c r="AQ191" s="25" t="str">
        <f t="shared" si="38"/>
        <v/>
      </c>
      <c r="AR191" s="25" t="str">
        <f t="shared" si="39"/>
        <v/>
      </c>
      <c r="AS191" s="25" t="str">
        <f t="shared" si="40"/>
        <v/>
      </c>
      <c r="AT191" s="25" t="str">
        <f t="shared" si="41"/>
        <v/>
      </c>
      <c r="AU191" s="25" t="str">
        <f t="shared" si="42"/>
        <v/>
      </c>
      <c r="AV191" s="25" t="str">
        <f t="shared" si="43"/>
        <v/>
      </c>
      <c r="AW191" s="25">
        <f t="shared" si="44"/>
        <v>46295</v>
      </c>
      <c r="AX191" s="25">
        <f t="shared" si="45"/>
        <v>46295</v>
      </c>
      <c r="AY191" s="25" t="str">
        <f t="shared" si="46"/>
        <v/>
      </c>
      <c r="AZ191" s="25" t="str">
        <f t="shared" si="47"/>
        <v/>
      </c>
      <c r="BA191" s="25" t="str">
        <f t="shared" si="48"/>
        <v/>
      </c>
      <c r="BB191" s="25" t="str">
        <f t="shared" si="49"/>
        <v/>
      </c>
      <c r="BC191" s="25">
        <f t="shared" si="50"/>
        <v>46295</v>
      </c>
    </row>
    <row r="192" spans="1:55" x14ac:dyDescent="0.25">
      <c r="A192" s="151">
        <f t="shared" si="34"/>
        <v>190</v>
      </c>
      <c r="B192" s="151" t="s">
        <v>335</v>
      </c>
      <c r="C192" s="152" t="s">
        <v>336</v>
      </c>
      <c r="D192" s="151">
        <f t="shared" si="35"/>
        <v>10</v>
      </c>
      <c r="E192" s="151" t="s">
        <v>100</v>
      </c>
      <c r="F192" s="173">
        <v>46294</v>
      </c>
      <c r="G192" s="173"/>
      <c r="H192" s="173"/>
      <c r="I192" s="173">
        <v>46295</v>
      </c>
      <c r="J192" s="173">
        <v>46296</v>
      </c>
      <c r="K192" s="173"/>
      <c r="L192" s="173"/>
      <c r="M192" s="173"/>
      <c r="N192" s="173"/>
      <c r="O192" s="173"/>
      <c r="P192" s="173"/>
      <c r="Q192" s="173"/>
      <c r="R192" s="173"/>
      <c r="S192" s="173"/>
      <c r="T192" s="174">
        <v>46296</v>
      </c>
      <c r="U192" s="151"/>
      <c r="V192" s="152"/>
      <c r="W192" s="175"/>
      <c r="X192" s="173"/>
      <c r="Y192" s="173"/>
      <c r="Z192" s="176" t="str">
        <f>IF(B192="","",IF(S192&lt;&gt;"","Sevk Edildi",IF(AND(X192&lt;&gt;"",Y192=""),"Reworkte",IF(T192&lt;&gt;"","Kapandı"&amp;IF(COUNT(G192:R192)=0,""," – "&amp;LOOKUP(2,1/(G192:R192=MAX(G192:R192)),{"Tasarım","Ply Cutter","Üretim","Kalite (Üretim sonrası)","Talaşlı","Kalite (Talaşlı sonrası)","Montaj","Kalite (Montaj sonrası)","Boya","Kalite (Boya sonrası)","Yarı Mamül","KM"})),IF(COUNT(G192:R192)=0,"Başlamadı",LOOKUP(2,1/(G192:R192=MAX(G192:R192)),{"Tasarımda","Ply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192" s="177">
        <f t="shared" ca="1" si="36"/>
        <v>2</v>
      </c>
      <c r="AB192" s="175" t="s">
        <v>337</v>
      </c>
      <c r="AD192" t="str">
        <f>IF(OR($B192="",NOT(ISNUMBER(G192))),"",IF(COUNTIF(H192:$T192,G192)&gt;0,0,IF(COUNTIF($G192:$T192,"&gt;"&amp;G192)=0,"",SMALL($G192:$T192,COUNTIF($G192:$T192,"&lt;="&amp;G192)+1)-G192)))</f>
        <v/>
      </c>
      <c r="AE192" t="str">
        <f>IF(OR($B192="",NOT(ISNUMBER(H192))),"",IF(COUNTIF(I192:$T192,H192)&gt;0,0,IF(COUNTIF($G192:$T192,"&gt;"&amp;H192)=0,"",SMALL($G192:$T192,COUNTIF($G192:$T192,"&lt;="&amp;H192)+1)-H192)))</f>
        <v/>
      </c>
      <c r="AF192">
        <f>IF(OR($B192="",NOT(ISNUMBER(I192))),"",IF(COUNTIF(J192:$T192,I192)&gt;0,0,IF(COUNTIF($G192:$T192,"&gt;"&amp;I192)=0,"",SMALL($G192:$T192,COUNTIF($G192:$T192,"&lt;="&amp;I192)+1)-I192)))</f>
        <v>1</v>
      </c>
      <c r="AG192">
        <f>IF(OR($B192="",NOT(ISNUMBER(J192))),"",IF(COUNTIF(K192:$T192,J192)&gt;0,0,IF(COUNTIF($G192:$T192,"&gt;"&amp;J192)=0,"",SMALL($G192:$T192,COUNTIF($G192:$T192,"&lt;="&amp;J192)+1)-J192)))</f>
        <v>0</v>
      </c>
      <c r="AH192" t="str">
        <f>IF(OR($B192="",NOT(ISNUMBER(K192))),"",IF(COUNTIF(L192:$T192,K192)&gt;0,0,IF(COUNTIF($G192:$T192,"&gt;"&amp;K192)=0,"",SMALL($G192:$T192,COUNTIF($G192:$T192,"&lt;="&amp;K192)+1)-K192)))</f>
        <v/>
      </c>
      <c r="AI192" t="str">
        <f>IF(OR($B192="",NOT(ISNUMBER(L192))),"",IF(COUNTIF(M192:$T192,L192)&gt;0,0,IF(COUNTIF($G192:$T192,"&gt;"&amp;L192)=0,"",SMALL($G192:$T192,COUNTIF($G192:$T192,"&lt;="&amp;L192)+1)-L192)))</f>
        <v/>
      </c>
      <c r="AJ192" t="str">
        <f>IF(OR($B192="",NOT(ISNUMBER(M192))),"",IF(COUNTIF(N192:$T192,M192)&gt;0,0,IF(COUNTIF($G192:$T192,"&gt;"&amp;M192)=0,"",SMALL($G192:$T192,COUNTIF($G192:$T192,"&lt;="&amp;M192)+1)-M192)))</f>
        <v/>
      </c>
      <c r="AK192" t="str">
        <f>IF(OR($B192="",NOT(ISNUMBER(N192))),"",IF(COUNTIF(O192:$T192,N192)&gt;0,0,IF(COUNTIF($G192:$T192,"&gt;"&amp;N192)=0,"",SMALL($G192:$T192,COUNTIF($G192:$T192,"&lt;="&amp;N192)+1)-N192)))</f>
        <v/>
      </c>
      <c r="AL192" t="str">
        <f>IF(OR($B192="",NOT(ISNUMBER(O192))),"",IF(COUNTIF(P192:$T192,O192)&gt;0,0,IF(COUNTIF($G192:$T192,"&gt;"&amp;O192)=0,"",SMALL($G192:$T192,COUNTIF($G192:$T192,"&lt;="&amp;O192)+1)-O192)))</f>
        <v/>
      </c>
      <c r="AM192" t="str">
        <f>IF(OR($B192="",NOT(ISNUMBER(P192))),"",IF(COUNTIF(Q192:$T192,P192)&gt;0,0,IF(COUNTIF($G192:$T192,"&gt;"&amp;P192)=0,"",SMALL($G192:$T192,COUNTIF($G192:$T192,"&lt;="&amp;P192)+1)-P192)))</f>
        <v/>
      </c>
      <c r="AN192" t="str">
        <f>IF(OR($B192="",NOT(ISNUMBER(Q192))),"",IF(COUNTIF(R192:$T192,Q192)&gt;0,0,IF(COUNTIF($G192:$T192,"&gt;"&amp;Q192)=0,"",SMALL($G192:$T192,COUNTIF($G192:$T192,"&lt;="&amp;Q192)+1)-Q192)))</f>
        <v/>
      </c>
      <c r="AO192" t="str">
        <f>IF(OR($B192="",NOT(ISNUMBER(R192))),"",IF(COUNTIF(S192:$T192,R192)&gt;0,0,IF(COUNTIF($G192:$T192,"&gt;"&amp;R192)=0,"",SMALL($G192:$T192,COUNTIF($G192:$T192,"&lt;="&amp;R192)+1)-R192)))</f>
        <v/>
      </c>
      <c r="AP192">
        <f t="shared" ca="1" si="37"/>
        <v>0</v>
      </c>
      <c r="AQ192" s="25" t="str">
        <f t="shared" si="38"/>
        <v/>
      </c>
      <c r="AR192" s="25" t="str">
        <f t="shared" si="39"/>
        <v/>
      </c>
      <c r="AS192" s="25">
        <f t="shared" si="40"/>
        <v>46296</v>
      </c>
      <c r="AT192" s="25">
        <f t="shared" si="41"/>
        <v>46296</v>
      </c>
      <c r="AU192" s="25" t="str">
        <f t="shared" si="42"/>
        <v/>
      </c>
      <c r="AV192" s="25" t="str">
        <f t="shared" si="43"/>
        <v/>
      </c>
      <c r="AW192" s="25" t="str">
        <f t="shared" si="44"/>
        <v/>
      </c>
      <c r="AX192" s="25" t="str">
        <f t="shared" si="45"/>
        <v/>
      </c>
      <c r="AY192" s="25" t="str">
        <f t="shared" si="46"/>
        <v/>
      </c>
      <c r="AZ192" s="25" t="str">
        <f t="shared" si="47"/>
        <v/>
      </c>
      <c r="BA192" s="25" t="str">
        <f t="shared" si="48"/>
        <v/>
      </c>
      <c r="BB192" s="25" t="str">
        <f t="shared" si="49"/>
        <v/>
      </c>
      <c r="BC192" s="25">
        <f t="shared" si="50"/>
        <v>46296</v>
      </c>
    </row>
    <row r="193" spans="1:55" x14ac:dyDescent="0.25">
      <c r="A193" s="151">
        <f t="shared" si="34"/>
        <v>191</v>
      </c>
      <c r="B193" s="151" t="s">
        <v>338</v>
      </c>
      <c r="C193" s="152" t="s">
        <v>186</v>
      </c>
      <c r="D193" s="151">
        <f t="shared" si="35"/>
        <v>1</v>
      </c>
      <c r="E193" s="151" t="s">
        <v>61</v>
      </c>
      <c r="F193" s="173">
        <v>46295</v>
      </c>
      <c r="G193" s="173"/>
      <c r="H193" s="173"/>
      <c r="I193" s="173">
        <v>46295</v>
      </c>
      <c r="J193" s="173">
        <v>46296</v>
      </c>
      <c r="K193" s="173"/>
      <c r="L193" s="173"/>
      <c r="M193" s="173"/>
      <c r="N193" s="173"/>
      <c r="O193" s="173"/>
      <c r="P193" s="173"/>
      <c r="Q193" s="173">
        <v>46300</v>
      </c>
      <c r="R193" s="173"/>
      <c r="S193" s="173"/>
      <c r="T193" s="174">
        <v>46300</v>
      </c>
      <c r="U193" s="151"/>
      <c r="V193" s="152"/>
      <c r="W193" s="175"/>
      <c r="X193" s="173"/>
      <c r="Y193" s="173"/>
      <c r="Z193" s="176" t="str">
        <f>IF(B193="","",IF(S193&lt;&gt;"","Sevk Edildi",IF(AND(X193&lt;&gt;"",Y193=""),"Reworkte",IF(T193&lt;&gt;"","Kapandı"&amp;IF(COUNT(G193:R193)=0,""," – "&amp;LOOKUP(2,1/(G193:R193=MAX(G193:R193)),{"Tasarım","Ply Cutter","Üretim","Kalite (Üretim sonrası)","Talaşlı","Kalite (Talaşlı sonrası)","Montaj","Kalite (Montaj sonrası)","Boya","Kalite (Boya sonrası)","Yarı Mamül","KM"})),IF(COUNT(G193:R193)=0,"Başlamadı",LOOKUP(2,1/(G193:R193=MAX(G193:R193)),{"Tasarımda","Ply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93" s="177">
        <f t="shared" ca="1" si="36"/>
        <v>5</v>
      </c>
      <c r="AB193" s="175"/>
      <c r="AD193" t="str">
        <f>IF(OR($B193="",NOT(ISNUMBER(G193))),"",IF(COUNTIF(H193:$T193,G193)&gt;0,0,IF(COUNTIF($G193:$T193,"&gt;"&amp;G193)=0,"",SMALL($G193:$T193,COUNTIF($G193:$T193,"&lt;="&amp;G193)+1)-G193)))</f>
        <v/>
      </c>
      <c r="AE193" t="str">
        <f>IF(OR($B193="",NOT(ISNUMBER(H193))),"",IF(COUNTIF(I193:$T193,H193)&gt;0,0,IF(COUNTIF($G193:$T193,"&gt;"&amp;H193)=0,"",SMALL($G193:$T193,COUNTIF($G193:$T193,"&lt;="&amp;H193)+1)-H193)))</f>
        <v/>
      </c>
      <c r="AF193">
        <f>IF(OR($B193="",NOT(ISNUMBER(I193))),"",IF(COUNTIF(J193:$T193,I193)&gt;0,0,IF(COUNTIF($G193:$T193,"&gt;"&amp;I193)=0,"",SMALL($G193:$T193,COUNTIF($G193:$T193,"&lt;="&amp;I193)+1)-I193)))</f>
        <v>1</v>
      </c>
      <c r="AG193">
        <f>IF(OR($B193="",NOT(ISNUMBER(J193))),"",IF(COUNTIF(K193:$T193,J193)&gt;0,0,IF(COUNTIF($G193:$T193,"&gt;"&amp;J193)=0,"",SMALL($G193:$T193,COUNTIF($G193:$T193,"&lt;="&amp;J193)+1)-J193)))</f>
        <v>4</v>
      </c>
      <c r="AH193" t="str">
        <f>IF(OR($B193="",NOT(ISNUMBER(K193))),"",IF(COUNTIF(L193:$T193,K193)&gt;0,0,IF(COUNTIF($G193:$T193,"&gt;"&amp;K193)=0,"",SMALL($G193:$T193,COUNTIF($G193:$T193,"&lt;="&amp;K193)+1)-K193)))</f>
        <v/>
      </c>
      <c r="AI193" t="str">
        <f>IF(OR($B193="",NOT(ISNUMBER(L193))),"",IF(COUNTIF(M193:$T193,L193)&gt;0,0,IF(COUNTIF($G193:$T193,"&gt;"&amp;L193)=0,"",SMALL($G193:$T193,COUNTIF($G193:$T193,"&lt;="&amp;L193)+1)-L193)))</f>
        <v/>
      </c>
      <c r="AJ193" t="str">
        <f>IF(OR($B193="",NOT(ISNUMBER(M193))),"",IF(COUNTIF(N193:$T193,M193)&gt;0,0,IF(COUNTIF($G193:$T193,"&gt;"&amp;M193)=0,"",SMALL($G193:$T193,COUNTIF($G193:$T193,"&lt;="&amp;M193)+1)-M193)))</f>
        <v/>
      </c>
      <c r="AK193" t="str">
        <f>IF(OR($B193="",NOT(ISNUMBER(N193))),"",IF(COUNTIF(O193:$T193,N193)&gt;0,0,IF(COUNTIF($G193:$T193,"&gt;"&amp;N193)=0,"",SMALL($G193:$T193,COUNTIF($G193:$T193,"&lt;="&amp;N193)+1)-N193)))</f>
        <v/>
      </c>
      <c r="AL193" t="str">
        <f>IF(OR($B193="",NOT(ISNUMBER(O193))),"",IF(COUNTIF(P193:$T193,O193)&gt;0,0,IF(COUNTIF($G193:$T193,"&gt;"&amp;O193)=0,"",SMALL($G193:$T193,COUNTIF($G193:$T193,"&lt;="&amp;O193)+1)-O193)))</f>
        <v/>
      </c>
      <c r="AM193" t="str">
        <f>IF(OR($B193="",NOT(ISNUMBER(P193))),"",IF(COUNTIF(Q193:$T193,P193)&gt;0,0,IF(COUNTIF($G193:$T193,"&gt;"&amp;P193)=0,"",SMALL($G193:$T193,COUNTIF($G193:$T193,"&lt;="&amp;P193)+1)-P193)))</f>
        <v/>
      </c>
      <c r="AN193">
        <f>IF(OR($B193="",NOT(ISNUMBER(Q193))),"",IF(COUNTIF(R193:$T193,Q193)&gt;0,0,IF(COUNTIF($G193:$T193,"&gt;"&amp;Q193)=0,"",SMALL($G193:$T193,COUNTIF($G193:$T193,"&lt;="&amp;Q193)+1)-Q193)))</f>
        <v>0</v>
      </c>
      <c r="AO193" t="str">
        <f>IF(OR($B193="",NOT(ISNUMBER(R193))),"",IF(COUNTIF(S193:$T193,R193)&gt;0,0,IF(COUNTIF($G193:$T193,"&gt;"&amp;R193)=0,"",SMALL($G193:$T193,COUNTIF($G193:$T193,"&lt;="&amp;R193)+1)-R193)))</f>
        <v/>
      </c>
      <c r="AP193">
        <f t="shared" ca="1" si="37"/>
        <v>0</v>
      </c>
      <c r="AQ193" s="25" t="str">
        <f t="shared" si="38"/>
        <v/>
      </c>
      <c r="AR193" s="25" t="str">
        <f t="shared" si="39"/>
        <v/>
      </c>
      <c r="AS193" s="25">
        <f t="shared" si="40"/>
        <v>46296</v>
      </c>
      <c r="AT193" s="25">
        <f t="shared" si="41"/>
        <v>46300</v>
      </c>
      <c r="AU193" s="25" t="str">
        <f t="shared" si="42"/>
        <v/>
      </c>
      <c r="AV193" s="25" t="str">
        <f t="shared" si="43"/>
        <v/>
      </c>
      <c r="AW193" s="25" t="str">
        <f t="shared" si="44"/>
        <v/>
      </c>
      <c r="AX193" s="25" t="str">
        <f t="shared" si="45"/>
        <v/>
      </c>
      <c r="AY193" s="25" t="str">
        <f t="shared" si="46"/>
        <v/>
      </c>
      <c r="AZ193" s="25" t="str">
        <f t="shared" si="47"/>
        <v/>
      </c>
      <c r="BA193" s="25">
        <f t="shared" si="48"/>
        <v>46300</v>
      </c>
      <c r="BB193" s="25" t="str">
        <f t="shared" si="49"/>
        <v/>
      </c>
      <c r="BC193" s="25">
        <f t="shared" si="50"/>
        <v>46300</v>
      </c>
    </row>
    <row r="194" spans="1:55" x14ac:dyDescent="0.25">
      <c r="A194" s="151">
        <f t="shared" si="34"/>
        <v>192</v>
      </c>
      <c r="B194" s="151" t="s">
        <v>339</v>
      </c>
      <c r="C194" s="152" t="s">
        <v>119</v>
      </c>
      <c r="D194" s="151">
        <f t="shared" si="35"/>
        <v>1</v>
      </c>
      <c r="E194" s="151" t="s">
        <v>61</v>
      </c>
      <c r="F194" s="173">
        <v>46295</v>
      </c>
      <c r="G194" s="173"/>
      <c r="H194" s="173"/>
      <c r="I194" s="173">
        <v>46295</v>
      </c>
      <c r="J194" s="173">
        <v>46296</v>
      </c>
      <c r="K194" s="173"/>
      <c r="L194" s="173"/>
      <c r="M194" s="173"/>
      <c r="N194" s="173"/>
      <c r="O194" s="173"/>
      <c r="P194" s="173"/>
      <c r="Q194" s="173">
        <v>46300</v>
      </c>
      <c r="R194" s="173"/>
      <c r="S194" s="173"/>
      <c r="T194" s="174">
        <v>46300</v>
      </c>
      <c r="U194" s="151"/>
      <c r="V194" s="152"/>
      <c r="W194" s="175"/>
      <c r="X194" s="173"/>
      <c r="Y194" s="173"/>
      <c r="Z194" s="176" t="str">
        <f>IF(B194="","",IF(S194&lt;&gt;"","Sevk Edildi",IF(AND(X194&lt;&gt;"",Y194=""),"Reworkte",IF(T194&lt;&gt;"","Kapandı"&amp;IF(COUNT(G194:R194)=0,""," – "&amp;LOOKUP(2,1/(G194:R194=MAX(G194:R194)),{"Tasarım","Ply Cutter","Üretim","Kalite (Üretim sonrası)","Talaşlı","Kalite (Talaşlı sonrası)","Montaj","Kalite (Montaj sonrası)","Boya","Kalite (Boya sonrası)","Yarı Mamül","KM"})),IF(COUNT(G194:R194)=0,"Başlamadı",LOOKUP(2,1/(G194:R194=MAX(G194:R194)),{"Tasarımda","Ply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94" s="177">
        <f t="shared" ca="1" si="36"/>
        <v>5</v>
      </c>
      <c r="AB194" s="175"/>
      <c r="AD194" t="str">
        <f>IF(OR($B194="",NOT(ISNUMBER(G194))),"",IF(COUNTIF(H194:$T194,G194)&gt;0,0,IF(COUNTIF($G194:$T194,"&gt;"&amp;G194)=0,"",SMALL($G194:$T194,COUNTIF($G194:$T194,"&lt;="&amp;G194)+1)-G194)))</f>
        <v/>
      </c>
      <c r="AE194" t="str">
        <f>IF(OR($B194="",NOT(ISNUMBER(H194))),"",IF(COUNTIF(I194:$T194,H194)&gt;0,0,IF(COUNTIF($G194:$T194,"&gt;"&amp;H194)=0,"",SMALL($G194:$T194,COUNTIF($G194:$T194,"&lt;="&amp;H194)+1)-H194)))</f>
        <v/>
      </c>
      <c r="AF194">
        <f>IF(OR($B194="",NOT(ISNUMBER(I194))),"",IF(COUNTIF(J194:$T194,I194)&gt;0,0,IF(COUNTIF($G194:$T194,"&gt;"&amp;I194)=0,"",SMALL($G194:$T194,COUNTIF($G194:$T194,"&lt;="&amp;I194)+1)-I194)))</f>
        <v>1</v>
      </c>
      <c r="AG194">
        <f>IF(OR($B194="",NOT(ISNUMBER(J194))),"",IF(COUNTIF(K194:$T194,J194)&gt;0,0,IF(COUNTIF($G194:$T194,"&gt;"&amp;J194)=0,"",SMALL($G194:$T194,COUNTIF($G194:$T194,"&lt;="&amp;J194)+1)-J194)))</f>
        <v>4</v>
      </c>
      <c r="AH194" t="str">
        <f>IF(OR($B194="",NOT(ISNUMBER(K194))),"",IF(COUNTIF(L194:$T194,K194)&gt;0,0,IF(COUNTIF($G194:$T194,"&gt;"&amp;K194)=0,"",SMALL($G194:$T194,COUNTIF($G194:$T194,"&lt;="&amp;K194)+1)-K194)))</f>
        <v/>
      </c>
      <c r="AI194" t="str">
        <f>IF(OR($B194="",NOT(ISNUMBER(L194))),"",IF(COUNTIF(M194:$T194,L194)&gt;0,0,IF(COUNTIF($G194:$T194,"&gt;"&amp;L194)=0,"",SMALL($G194:$T194,COUNTIF($G194:$T194,"&lt;="&amp;L194)+1)-L194)))</f>
        <v/>
      </c>
      <c r="AJ194" t="str">
        <f>IF(OR($B194="",NOT(ISNUMBER(M194))),"",IF(COUNTIF(N194:$T194,M194)&gt;0,0,IF(COUNTIF($G194:$T194,"&gt;"&amp;M194)=0,"",SMALL($G194:$T194,COUNTIF($G194:$T194,"&lt;="&amp;M194)+1)-M194)))</f>
        <v/>
      </c>
      <c r="AK194" t="str">
        <f>IF(OR($B194="",NOT(ISNUMBER(N194))),"",IF(COUNTIF(O194:$T194,N194)&gt;0,0,IF(COUNTIF($G194:$T194,"&gt;"&amp;N194)=0,"",SMALL($G194:$T194,COUNTIF($G194:$T194,"&lt;="&amp;N194)+1)-N194)))</f>
        <v/>
      </c>
      <c r="AL194" t="str">
        <f>IF(OR($B194="",NOT(ISNUMBER(O194))),"",IF(COUNTIF(P194:$T194,O194)&gt;0,0,IF(COUNTIF($G194:$T194,"&gt;"&amp;O194)=0,"",SMALL($G194:$T194,COUNTIF($G194:$T194,"&lt;="&amp;O194)+1)-O194)))</f>
        <v/>
      </c>
      <c r="AM194" t="str">
        <f>IF(OR($B194="",NOT(ISNUMBER(P194))),"",IF(COUNTIF(Q194:$T194,P194)&gt;0,0,IF(COUNTIF($G194:$T194,"&gt;"&amp;P194)=0,"",SMALL($G194:$T194,COUNTIF($G194:$T194,"&lt;="&amp;P194)+1)-P194)))</f>
        <v/>
      </c>
      <c r="AN194">
        <f>IF(OR($B194="",NOT(ISNUMBER(Q194))),"",IF(COUNTIF(R194:$T194,Q194)&gt;0,0,IF(COUNTIF($G194:$T194,"&gt;"&amp;Q194)=0,"",SMALL($G194:$T194,COUNTIF($G194:$T194,"&lt;="&amp;Q194)+1)-Q194)))</f>
        <v>0</v>
      </c>
      <c r="AO194" t="str">
        <f>IF(OR($B194="",NOT(ISNUMBER(R194))),"",IF(COUNTIF(S194:$T194,R194)&gt;0,0,IF(COUNTIF($G194:$T194,"&gt;"&amp;R194)=0,"",SMALL($G194:$T194,COUNTIF($G194:$T194,"&lt;="&amp;R194)+1)-R194)))</f>
        <v/>
      </c>
      <c r="AP194">
        <f t="shared" ca="1" si="37"/>
        <v>0</v>
      </c>
      <c r="AQ194" s="25" t="str">
        <f t="shared" si="38"/>
        <v/>
      </c>
      <c r="AR194" s="25" t="str">
        <f t="shared" si="39"/>
        <v/>
      </c>
      <c r="AS194" s="25">
        <f t="shared" si="40"/>
        <v>46296</v>
      </c>
      <c r="AT194" s="25">
        <f t="shared" si="41"/>
        <v>46300</v>
      </c>
      <c r="AU194" s="25" t="str">
        <f t="shared" si="42"/>
        <v/>
      </c>
      <c r="AV194" s="25" t="str">
        <f t="shared" si="43"/>
        <v/>
      </c>
      <c r="AW194" s="25" t="str">
        <f t="shared" si="44"/>
        <v/>
      </c>
      <c r="AX194" s="25" t="str">
        <f t="shared" si="45"/>
        <v/>
      </c>
      <c r="AY194" s="25" t="str">
        <f t="shared" si="46"/>
        <v/>
      </c>
      <c r="AZ194" s="25" t="str">
        <f t="shared" si="47"/>
        <v/>
      </c>
      <c r="BA194" s="25">
        <f t="shared" si="48"/>
        <v>46300</v>
      </c>
      <c r="BB194" s="25" t="str">
        <f t="shared" si="49"/>
        <v/>
      </c>
      <c r="BC194" s="25">
        <f t="shared" si="50"/>
        <v>46300</v>
      </c>
    </row>
    <row r="195" spans="1:55" x14ac:dyDescent="0.25">
      <c r="A195" s="151">
        <f t="shared" ref="A195:A258" si="51">IF(B195="","",ROW()-2)</f>
        <v>193</v>
      </c>
      <c r="B195" s="151" t="s">
        <v>340</v>
      </c>
      <c r="C195" s="152" t="s">
        <v>64</v>
      </c>
      <c r="D195" s="151">
        <f t="shared" ref="D195:D253" si="52">IFERROR(VALUE(TRIM(MID(C195,FIND(" - ",C195)+3,FIND(" - ",C195,FIND(" - ",C195)+3)-FIND(" - ",C195)-3))),"")</f>
        <v>1</v>
      </c>
      <c r="E195" s="151" t="s">
        <v>61</v>
      </c>
      <c r="F195" s="173">
        <v>46295</v>
      </c>
      <c r="G195" s="173"/>
      <c r="H195" s="173"/>
      <c r="I195" s="173">
        <v>46295</v>
      </c>
      <c r="J195" s="173">
        <v>46296</v>
      </c>
      <c r="K195" s="173"/>
      <c r="L195" s="173"/>
      <c r="M195" s="173"/>
      <c r="N195" s="173"/>
      <c r="O195" s="173"/>
      <c r="P195" s="173"/>
      <c r="Q195" s="173">
        <v>46298</v>
      </c>
      <c r="R195" s="173"/>
      <c r="S195" s="173"/>
      <c r="T195" s="174">
        <v>46298</v>
      </c>
      <c r="U195" s="151"/>
      <c r="V195" s="152"/>
      <c r="W195" s="175"/>
      <c r="X195" s="173"/>
      <c r="Y195" s="173"/>
      <c r="Z195" s="176" t="str">
        <f>IF(B195="","",IF(S195&lt;&gt;"","Sevk Edildi",IF(AND(X195&lt;&gt;"",Y195=""),"Reworkte",IF(T195&lt;&gt;"","Kapandı"&amp;IF(COUNT(G195:R195)=0,""," – "&amp;LOOKUP(2,1/(G195:R195=MAX(G195:R195)),{"Tasarım","Ply Cutter","Üretim","Kalite (Üretim sonrası)","Talaşlı","Kalite (Talaşlı sonrası)","Montaj","Kalite (Montaj sonrası)","Boya","Kalite (Boya sonrası)","Yarı Mamül","KM"})),IF(COUNT(G195:R195)=0,"Başlamadı",LOOKUP(2,1/(G195:R195=MAX(G195:R195)),{"Tasarımda","Ply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95" s="177">
        <f t="shared" ref="AA195:AA258" ca="1" si="53">IF(OR(B195="",F195=""),"",IFERROR(IF(S195&lt;&gt;"",S195-F195,IF(T195&lt;&gt;"",T195-F195,TODAY()-F195)),""))</f>
        <v>3</v>
      </c>
      <c r="AB195" s="175"/>
      <c r="AD195" t="str">
        <f>IF(OR($B195="",NOT(ISNUMBER(G195))),"",IF(COUNTIF(H195:$T195,G195)&gt;0,0,IF(COUNTIF($G195:$T195,"&gt;"&amp;G195)=0,"",SMALL($G195:$T195,COUNTIF($G195:$T195,"&lt;="&amp;G195)+1)-G195)))</f>
        <v/>
      </c>
      <c r="AE195" t="str">
        <f>IF(OR($B195="",NOT(ISNUMBER(H195))),"",IF(COUNTIF(I195:$T195,H195)&gt;0,0,IF(COUNTIF($G195:$T195,"&gt;"&amp;H195)=0,"",SMALL($G195:$T195,COUNTIF($G195:$T195,"&lt;="&amp;H195)+1)-H195)))</f>
        <v/>
      </c>
      <c r="AF195">
        <f>IF(OR($B195="",NOT(ISNUMBER(I195))),"",IF(COUNTIF(J195:$T195,I195)&gt;0,0,IF(COUNTIF($G195:$T195,"&gt;"&amp;I195)=0,"",SMALL($G195:$T195,COUNTIF($G195:$T195,"&lt;="&amp;I195)+1)-I195)))</f>
        <v>1</v>
      </c>
      <c r="AG195">
        <f>IF(OR($B195="",NOT(ISNUMBER(J195))),"",IF(COUNTIF(K195:$T195,J195)&gt;0,0,IF(COUNTIF($G195:$T195,"&gt;"&amp;J195)=0,"",SMALL($G195:$T195,COUNTIF($G195:$T195,"&lt;="&amp;J195)+1)-J195)))</f>
        <v>2</v>
      </c>
      <c r="AH195" t="str">
        <f>IF(OR($B195="",NOT(ISNUMBER(K195))),"",IF(COUNTIF(L195:$T195,K195)&gt;0,0,IF(COUNTIF($G195:$T195,"&gt;"&amp;K195)=0,"",SMALL($G195:$T195,COUNTIF($G195:$T195,"&lt;="&amp;K195)+1)-K195)))</f>
        <v/>
      </c>
      <c r="AI195" t="str">
        <f>IF(OR($B195="",NOT(ISNUMBER(L195))),"",IF(COUNTIF(M195:$T195,L195)&gt;0,0,IF(COUNTIF($G195:$T195,"&gt;"&amp;L195)=0,"",SMALL($G195:$T195,COUNTIF($G195:$T195,"&lt;="&amp;L195)+1)-L195)))</f>
        <v/>
      </c>
      <c r="AJ195" t="str">
        <f>IF(OR($B195="",NOT(ISNUMBER(M195))),"",IF(COUNTIF(N195:$T195,M195)&gt;0,0,IF(COUNTIF($G195:$T195,"&gt;"&amp;M195)=0,"",SMALL($G195:$T195,COUNTIF($G195:$T195,"&lt;="&amp;M195)+1)-M195)))</f>
        <v/>
      </c>
      <c r="AK195" t="str">
        <f>IF(OR($B195="",NOT(ISNUMBER(N195))),"",IF(COUNTIF(O195:$T195,N195)&gt;0,0,IF(COUNTIF($G195:$T195,"&gt;"&amp;N195)=0,"",SMALL($G195:$T195,COUNTIF($G195:$T195,"&lt;="&amp;N195)+1)-N195)))</f>
        <v/>
      </c>
      <c r="AL195" t="str">
        <f>IF(OR($B195="",NOT(ISNUMBER(O195))),"",IF(COUNTIF(P195:$T195,O195)&gt;0,0,IF(COUNTIF($G195:$T195,"&gt;"&amp;O195)=0,"",SMALL($G195:$T195,COUNTIF($G195:$T195,"&lt;="&amp;O195)+1)-O195)))</f>
        <v/>
      </c>
      <c r="AM195" t="str">
        <f>IF(OR($B195="",NOT(ISNUMBER(P195))),"",IF(COUNTIF(Q195:$T195,P195)&gt;0,0,IF(COUNTIF($G195:$T195,"&gt;"&amp;P195)=0,"",SMALL($G195:$T195,COUNTIF($G195:$T195,"&lt;="&amp;P195)+1)-P195)))</f>
        <v/>
      </c>
      <c r="AN195">
        <f>IF(OR($B195="",NOT(ISNUMBER(Q195))),"",IF(COUNTIF(R195:$T195,Q195)&gt;0,0,IF(COUNTIF($G195:$T195,"&gt;"&amp;Q195)=0,"",SMALL($G195:$T195,COUNTIF($G195:$T195,"&lt;="&amp;Q195)+1)-Q195)))</f>
        <v>0</v>
      </c>
      <c r="AO195" t="str">
        <f>IF(OR($B195="",NOT(ISNUMBER(R195))),"",IF(COUNTIF(S195:$T195,R195)&gt;0,0,IF(COUNTIF($G195:$T195,"&gt;"&amp;R195)=0,"",SMALL($G195:$T195,COUNTIF($G195:$T195,"&lt;="&amp;R195)+1)-R195)))</f>
        <v/>
      </c>
      <c r="AP195">
        <f t="shared" ref="AP195:AP258" ca="1" si="54">IF(OR($B195="",Z195="",Z195="Başlamadı",Z195="Sevk Edildi",Z195="Reworkte",LEFT(Z195,7)="Kapandı"),0,TODAY()-MAX($G195:$R195))</f>
        <v>0</v>
      </c>
      <c r="AQ195" s="25" t="str">
        <f t="shared" ref="AQ195:AQ258" si="55">IF(AND(ISNUMBER(G195),ISNUMBER(AD195)),G195+AD195,"")</f>
        <v/>
      </c>
      <c r="AR195" s="25" t="str">
        <f t="shared" ref="AR195:AR258" si="56">IF(AND(ISNUMBER(H195),ISNUMBER(AE195)),H195+AE195,"")</f>
        <v/>
      </c>
      <c r="AS195" s="25">
        <f t="shared" ref="AS195:AS258" si="57">IF(AND(ISNUMBER(I195),ISNUMBER(AF195)),I195+AF195,"")</f>
        <v>46296</v>
      </c>
      <c r="AT195" s="25">
        <f t="shared" ref="AT195:AT258" si="58">IF(AND(ISNUMBER(J195),ISNUMBER(AG195)),J195+AG195,"")</f>
        <v>46298</v>
      </c>
      <c r="AU195" s="25" t="str">
        <f t="shared" ref="AU195:AU258" si="59">IF(AND(ISNUMBER(K195),ISNUMBER(AH195)),K195+AH195,"")</f>
        <v/>
      </c>
      <c r="AV195" s="25" t="str">
        <f t="shared" ref="AV195:AV258" si="60">IF(AND(ISNUMBER(L195),ISNUMBER(AI195)),L195+AI195,"")</f>
        <v/>
      </c>
      <c r="AW195" s="25" t="str">
        <f t="shared" ref="AW195:AW258" si="61">IF(AND(ISNUMBER(M195),ISNUMBER(AJ195)),M195+AJ195,"")</f>
        <v/>
      </c>
      <c r="AX195" s="25" t="str">
        <f t="shared" ref="AX195:AX258" si="62">IF(AND(ISNUMBER(N195),ISNUMBER(AK195)),N195+AK195,"")</f>
        <v/>
      </c>
      <c r="AY195" s="25" t="str">
        <f t="shared" ref="AY195:AY258" si="63">IF(AND(ISNUMBER(O195),ISNUMBER(AL195)),O195+AL195,"")</f>
        <v/>
      </c>
      <c r="AZ195" s="25" t="str">
        <f t="shared" ref="AZ195:AZ258" si="64">IF(AND(ISNUMBER(P195),ISNUMBER(AM195)),P195+AM195,"")</f>
        <v/>
      </c>
      <c r="BA195" s="25">
        <f t="shared" ref="BA195:BA258" si="65">IF(AND(ISNUMBER(Q195),ISNUMBER(AN195)),Q195+AN195,"")</f>
        <v>46298</v>
      </c>
      <c r="BB195" s="25" t="str">
        <f t="shared" ref="BB195:BB258" si="66">IF(AND(ISNUMBER(R195),ISNUMBER(AO195)),R195+AO195,"")</f>
        <v/>
      </c>
      <c r="BC195" s="25">
        <f t="shared" ref="BC195:BC258" si="67">IF(AND(S195="",T195=""),"",MIN(S195,T195))</f>
        <v>46298</v>
      </c>
    </row>
    <row r="196" spans="1:55" x14ac:dyDescent="0.25">
      <c r="A196" s="151">
        <f t="shared" si="51"/>
        <v>194</v>
      </c>
      <c r="B196" s="151" t="s">
        <v>341</v>
      </c>
      <c r="C196" s="152" t="s">
        <v>285</v>
      </c>
      <c r="D196" s="151">
        <f t="shared" si="52"/>
        <v>1</v>
      </c>
      <c r="E196" s="151" t="s">
        <v>61</v>
      </c>
      <c r="F196" s="173">
        <v>46295</v>
      </c>
      <c r="G196" s="173"/>
      <c r="H196" s="173"/>
      <c r="I196" s="173">
        <v>46295</v>
      </c>
      <c r="J196" s="173">
        <v>46296</v>
      </c>
      <c r="K196" s="173"/>
      <c r="L196" s="173"/>
      <c r="M196" s="173"/>
      <c r="N196" s="173"/>
      <c r="O196" s="173"/>
      <c r="P196" s="173"/>
      <c r="Q196" s="173">
        <v>46296</v>
      </c>
      <c r="R196" s="173"/>
      <c r="S196" s="173"/>
      <c r="T196" s="174">
        <v>46296</v>
      </c>
      <c r="U196" s="151"/>
      <c r="V196" s="152"/>
      <c r="W196" s="175"/>
      <c r="X196" s="173"/>
      <c r="Y196" s="173"/>
      <c r="Z196" s="176" t="str">
        <f>IF(B196="","",IF(S196&lt;&gt;"","Sevk Edildi",IF(AND(X196&lt;&gt;"",Y196=""),"Reworkte",IF(T196&lt;&gt;"","Kapandı"&amp;IF(COUNT(G196:R196)=0,""," – "&amp;LOOKUP(2,1/(G196:R196=MAX(G196:R196)),{"Tasarım","Ply Cutter","Üretim","Kalite (Üretim sonrası)","Talaşlı","Kalite (Talaşlı sonrası)","Montaj","Kalite (Montaj sonrası)","Boya","Kalite (Boya sonrası)","Yarı Mamül","KM"})),IF(COUNT(G196:R196)=0,"Başlamadı",LOOKUP(2,1/(G196:R196=MAX(G196:R196)),{"Tasarımda","Ply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96" s="177">
        <f t="shared" ca="1" si="53"/>
        <v>1</v>
      </c>
      <c r="AB196" s="175"/>
      <c r="AD196" t="str">
        <f>IF(OR($B196="",NOT(ISNUMBER(G196))),"",IF(COUNTIF(H196:$T196,G196)&gt;0,0,IF(COUNTIF($G196:$T196,"&gt;"&amp;G196)=0,"",SMALL($G196:$T196,COUNTIF($G196:$T196,"&lt;="&amp;G196)+1)-G196)))</f>
        <v/>
      </c>
      <c r="AE196" t="str">
        <f>IF(OR($B196="",NOT(ISNUMBER(H196))),"",IF(COUNTIF(I196:$T196,H196)&gt;0,0,IF(COUNTIF($G196:$T196,"&gt;"&amp;H196)=0,"",SMALL($G196:$T196,COUNTIF($G196:$T196,"&lt;="&amp;H196)+1)-H196)))</f>
        <v/>
      </c>
      <c r="AF196">
        <f>IF(OR($B196="",NOT(ISNUMBER(I196))),"",IF(COUNTIF(J196:$T196,I196)&gt;0,0,IF(COUNTIF($G196:$T196,"&gt;"&amp;I196)=0,"",SMALL($G196:$T196,COUNTIF($G196:$T196,"&lt;="&amp;I196)+1)-I196)))</f>
        <v>1</v>
      </c>
      <c r="AG196">
        <f>IF(OR($B196="",NOT(ISNUMBER(J196))),"",IF(COUNTIF(K196:$T196,J196)&gt;0,0,IF(COUNTIF($G196:$T196,"&gt;"&amp;J196)=0,"",SMALL($G196:$T196,COUNTIF($G196:$T196,"&lt;="&amp;J196)+1)-J196)))</f>
        <v>0</v>
      </c>
      <c r="AH196" t="str">
        <f>IF(OR($B196="",NOT(ISNUMBER(K196))),"",IF(COUNTIF(L196:$T196,K196)&gt;0,0,IF(COUNTIF($G196:$T196,"&gt;"&amp;K196)=0,"",SMALL($G196:$T196,COUNTIF($G196:$T196,"&lt;="&amp;K196)+1)-K196)))</f>
        <v/>
      </c>
      <c r="AI196" t="str">
        <f>IF(OR($B196="",NOT(ISNUMBER(L196))),"",IF(COUNTIF(M196:$T196,L196)&gt;0,0,IF(COUNTIF($G196:$T196,"&gt;"&amp;L196)=0,"",SMALL($G196:$T196,COUNTIF($G196:$T196,"&lt;="&amp;L196)+1)-L196)))</f>
        <v/>
      </c>
      <c r="AJ196" t="str">
        <f>IF(OR($B196="",NOT(ISNUMBER(M196))),"",IF(COUNTIF(N196:$T196,M196)&gt;0,0,IF(COUNTIF($G196:$T196,"&gt;"&amp;M196)=0,"",SMALL($G196:$T196,COUNTIF($G196:$T196,"&lt;="&amp;M196)+1)-M196)))</f>
        <v/>
      </c>
      <c r="AK196" t="str">
        <f>IF(OR($B196="",NOT(ISNUMBER(N196))),"",IF(COUNTIF(O196:$T196,N196)&gt;0,0,IF(COUNTIF($G196:$T196,"&gt;"&amp;N196)=0,"",SMALL($G196:$T196,COUNTIF($G196:$T196,"&lt;="&amp;N196)+1)-N196)))</f>
        <v/>
      </c>
      <c r="AL196" t="str">
        <f>IF(OR($B196="",NOT(ISNUMBER(O196))),"",IF(COUNTIF(P196:$T196,O196)&gt;0,0,IF(COUNTIF($G196:$T196,"&gt;"&amp;O196)=0,"",SMALL($G196:$T196,COUNTIF($G196:$T196,"&lt;="&amp;O196)+1)-O196)))</f>
        <v/>
      </c>
      <c r="AM196" t="str">
        <f>IF(OR($B196="",NOT(ISNUMBER(P196))),"",IF(COUNTIF(Q196:$T196,P196)&gt;0,0,IF(COUNTIF($G196:$T196,"&gt;"&amp;P196)=0,"",SMALL($G196:$T196,COUNTIF($G196:$T196,"&lt;="&amp;P196)+1)-P196)))</f>
        <v/>
      </c>
      <c r="AN196">
        <f>IF(OR($B196="",NOT(ISNUMBER(Q196))),"",IF(COUNTIF(R196:$T196,Q196)&gt;0,0,IF(COUNTIF($G196:$T196,"&gt;"&amp;Q196)=0,"",SMALL($G196:$T196,COUNTIF($G196:$T196,"&lt;="&amp;Q196)+1)-Q196)))</f>
        <v>0</v>
      </c>
      <c r="AO196" t="str">
        <f>IF(OR($B196="",NOT(ISNUMBER(R196))),"",IF(COUNTIF(S196:$T196,R196)&gt;0,0,IF(COUNTIF($G196:$T196,"&gt;"&amp;R196)=0,"",SMALL($G196:$T196,COUNTIF($G196:$T196,"&lt;="&amp;R196)+1)-R196)))</f>
        <v/>
      </c>
      <c r="AP196">
        <f t="shared" ca="1" si="54"/>
        <v>0</v>
      </c>
      <c r="AQ196" s="25" t="str">
        <f t="shared" si="55"/>
        <v/>
      </c>
      <c r="AR196" s="25" t="str">
        <f t="shared" si="56"/>
        <v/>
      </c>
      <c r="AS196" s="25">
        <f t="shared" si="57"/>
        <v>46296</v>
      </c>
      <c r="AT196" s="25">
        <f t="shared" si="58"/>
        <v>46296</v>
      </c>
      <c r="AU196" s="25" t="str">
        <f t="shared" si="59"/>
        <v/>
      </c>
      <c r="AV196" s="25" t="str">
        <f t="shared" si="60"/>
        <v/>
      </c>
      <c r="AW196" s="25" t="str">
        <f t="shared" si="61"/>
        <v/>
      </c>
      <c r="AX196" s="25" t="str">
        <f t="shared" si="62"/>
        <v/>
      </c>
      <c r="AY196" s="25" t="str">
        <f t="shared" si="63"/>
        <v/>
      </c>
      <c r="AZ196" s="25" t="str">
        <f t="shared" si="64"/>
        <v/>
      </c>
      <c r="BA196" s="25">
        <f t="shared" si="65"/>
        <v>46296</v>
      </c>
      <c r="BB196" s="25" t="str">
        <f t="shared" si="66"/>
        <v/>
      </c>
      <c r="BC196" s="25">
        <f t="shared" si="67"/>
        <v>46296</v>
      </c>
    </row>
    <row r="197" spans="1:55" x14ac:dyDescent="0.25">
      <c r="A197" s="151">
        <f t="shared" si="51"/>
        <v>195</v>
      </c>
      <c r="B197" s="151" t="s">
        <v>342</v>
      </c>
      <c r="C197" s="152" t="s">
        <v>285</v>
      </c>
      <c r="D197" s="151">
        <f t="shared" si="52"/>
        <v>1</v>
      </c>
      <c r="E197" s="151" t="s">
        <v>61</v>
      </c>
      <c r="F197" s="173">
        <v>46295</v>
      </c>
      <c r="G197" s="173"/>
      <c r="H197" s="173"/>
      <c r="I197" s="173">
        <v>46295</v>
      </c>
      <c r="J197" s="173">
        <v>46296</v>
      </c>
      <c r="K197" s="173"/>
      <c r="L197" s="173"/>
      <c r="M197" s="173"/>
      <c r="N197" s="173"/>
      <c r="O197" s="173"/>
      <c r="P197" s="173"/>
      <c r="Q197" s="173">
        <v>46296</v>
      </c>
      <c r="R197" s="173"/>
      <c r="S197" s="173"/>
      <c r="T197" s="174">
        <v>46296</v>
      </c>
      <c r="U197" s="151"/>
      <c r="V197" s="152"/>
      <c r="W197" s="175"/>
      <c r="X197" s="173"/>
      <c r="Y197" s="173"/>
      <c r="Z197" s="176" t="str">
        <f>IF(B197="","",IF(S197&lt;&gt;"","Sevk Edildi",IF(AND(X197&lt;&gt;"",Y197=""),"Reworkte",IF(T197&lt;&gt;"","Kapandı"&amp;IF(COUNT(G197:R197)=0,""," – "&amp;LOOKUP(2,1/(G197:R197=MAX(G197:R197)),{"Tasarım","Ply Cutter","Üretim","Kalite (Üretim sonrası)","Talaşlı","Kalite (Talaşlı sonrası)","Montaj","Kalite (Montaj sonrası)","Boya","Kalite (Boya sonrası)","Yarı Mamül","KM"})),IF(COUNT(G197:R197)=0,"Başlamadı",LOOKUP(2,1/(G197:R197=MAX(G197:R197)),{"Tasarımda","Ply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97" s="177">
        <f t="shared" ca="1" si="53"/>
        <v>1</v>
      </c>
      <c r="AB197" s="175"/>
      <c r="AD197" t="str">
        <f>IF(OR($B197="",NOT(ISNUMBER(G197))),"",IF(COUNTIF(H197:$T197,G197)&gt;0,0,IF(COUNTIF($G197:$T197,"&gt;"&amp;G197)=0,"",SMALL($G197:$T197,COUNTIF($G197:$T197,"&lt;="&amp;G197)+1)-G197)))</f>
        <v/>
      </c>
      <c r="AE197" t="str">
        <f>IF(OR($B197="",NOT(ISNUMBER(H197))),"",IF(COUNTIF(I197:$T197,H197)&gt;0,0,IF(COUNTIF($G197:$T197,"&gt;"&amp;H197)=0,"",SMALL($G197:$T197,COUNTIF($G197:$T197,"&lt;="&amp;H197)+1)-H197)))</f>
        <v/>
      </c>
      <c r="AF197">
        <f>IF(OR($B197="",NOT(ISNUMBER(I197))),"",IF(COUNTIF(J197:$T197,I197)&gt;0,0,IF(COUNTIF($G197:$T197,"&gt;"&amp;I197)=0,"",SMALL($G197:$T197,COUNTIF($G197:$T197,"&lt;="&amp;I197)+1)-I197)))</f>
        <v>1</v>
      </c>
      <c r="AG197">
        <f>IF(OR($B197="",NOT(ISNUMBER(J197))),"",IF(COUNTIF(K197:$T197,J197)&gt;0,0,IF(COUNTIF($G197:$T197,"&gt;"&amp;J197)=0,"",SMALL($G197:$T197,COUNTIF($G197:$T197,"&lt;="&amp;J197)+1)-J197)))</f>
        <v>0</v>
      </c>
      <c r="AH197" t="str">
        <f>IF(OR($B197="",NOT(ISNUMBER(K197))),"",IF(COUNTIF(L197:$T197,K197)&gt;0,0,IF(COUNTIF($G197:$T197,"&gt;"&amp;K197)=0,"",SMALL($G197:$T197,COUNTIF($G197:$T197,"&lt;="&amp;K197)+1)-K197)))</f>
        <v/>
      </c>
      <c r="AI197" t="str">
        <f>IF(OR($B197="",NOT(ISNUMBER(L197))),"",IF(COUNTIF(M197:$T197,L197)&gt;0,0,IF(COUNTIF($G197:$T197,"&gt;"&amp;L197)=0,"",SMALL($G197:$T197,COUNTIF($G197:$T197,"&lt;="&amp;L197)+1)-L197)))</f>
        <v/>
      </c>
      <c r="AJ197" t="str">
        <f>IF(OR($B197="",NOT(ISNUMBER(M197))),"",IF(COUNTIF(N197:$T197,M197)&gt;0,0,IF(COUNTIF($G197:$T197,"&gt;"&amp;M197)=0,"",SMALL($G197:$T197,COUNTIF($G197:$T197,"&lt;="&amp;M197)+1)-M197)))</f>
        <v/>
      </c>
      <c r="AK197" t="str">
        <f>IF(OR($B197="",NOT(ISNUMBER(N197))),"",IF(COUNTIF(O197:$T197,N197)&gt;0,0,IF(COUNTIF($G197:$T197,"&gt;"&amp;N197)=0,"",SMALL($G197:$T197,COUNTIF($G197:$T197,"&lt;="&amp;N197)+1)-N197)))</f>
        <v/>
      </c>
      <c r="AL197" t="str">
        <f>IF(OR($B197="",NOT(ISNUMBER(O197))),"",IF(COUNTIF(P197:$T197,O197)&gt;0,0,IF(COUNTIF($G197:$T197,"&gt;"&amp;O197)=0,"",SMALL($G197:$T197,COUNTIF($G197:$T197,"&lt;="&amp;O197)+1)-O197)))</f>
        <v/>
      </c>
      <c r="AM197" t="str">
        <f>IF(OR($B197="",NOT(ISNUMBER(P197))),"",IF(COUNTIF(Q197:$T197,P197)&gt;0,0,IF(COUNTIF($G197:$T197,"&gt;"&amp;P197)=0,"",SMALL($G197:$T197,COUNTIF($G197:$T197,"&lt;="&amp;P197)+1)-P197)))</f>
        <v/>
      </c>
      <c r="AN197">
        <f>IF(OR($B197="",NOT(ISNUMBER(Q197))),"",IF(COUNTIF(R197:$T197,Q197)&gt;0,0,IF(COUNTIF($G197:$T197,"&gt;"&amp;Q197)=0,"",SMALL($G197:$T197,COUNTIF($G197:$T197,"&lt;="&amp;Q197)+1)-Q197)))</f>
        <v>0</v>
      </c>
      <c r="AO197" t="str">
        <f>IF(OR($B197="",NOT(ISNUMBER(R197))),"",IF(COUNTIF(S197:$T197,R197)&gt;0,0,IF(COUNTIF($G197:$T197,"&gt;"&amp;R197)=0,"",SMALL($G197:$T197,COUNTIF($G197:$T197,"&lt;="&amp;R197)+1)-R197)))</f>
        <v/>
      </c>
      <c r="AP197">
        <f t="shared" ca="1" si="54"/>
        <v>0</v>
      </c>
      <c r="AQ197" s="25" t="str">
        <f t="shared" si="55"/>
        <v/>
      </c>
      <c r="AR197" s="25" t="str">
        <f t="shared" si="56"/>
        <v/>
      </c>
      <c r="AS197" s="25">
        <f t="shared" si="57"/>
        <v>46296</v>
      </c>
      <c r="AT197" s="25">
        <f t="shared" si="58"/>
        <v>46296</v>
      </c>
      <c r="AU197" s="25" t="str">
        <f t="shared" si="59"/>
        <v/>
      </c>
      <c r="AV197" s="25" t="str">
        <f t="shared" si="60"/>
        <v/>
      </c>
      <c r="AW197" s="25" t="str">
        <f t="shared" si="61"/>
        <v/>
      </c>
      <c r="AX197" s="25" t="str">
        <f t="shared" si="62"/>
        <v/>
      </c>
      <c r="AY197" s="25" t="str">
        <f t="shared" si="63"/>
        <v/>
      </c>
      <c r="AZ197" s="25" t="str">
        <f t="shared" si="64"/>
        <v/>
      </c>
      <c r="BA197" s="25">
        <f t="shared" si="65"/>
        <v>46296</v>
      </c>
      <c r="BB197" s="25" t="str">
        <f t="shared" si="66"/>
        <v/>
      </c>
      <c r="BC197" s="25">
        <f t="shared" si="67"/>
        <v>46296</v>
      </c>
    </row>
    <row r="198" spans="1:55" x14ac:dyDescent="0.25">
      <c r="A198" s="151">
        <f t="shared" si="51"/>
        <v>196</v>
      </c>
      <c r="B198" s="151" t="s">
        <v>343</v>
      </c>
      <c r="C198" s="152" t="s">
        <v>285</v>
      </c>
      <c r="D198" s="151">
        <f t="shared" si="52"/>
        <v>1</v>
      </c>
      <c r="E198" s="151" t="s">
        <v>61</v>
      </c>
      <c r="F198" s="173">
        <v>46295</v>
      </c>
      <c r="G198" s="173"/>
      <c r="H198" s="173"/>
      <c r="I198" s="173">
        <v>46295</v>
      </c>
      <c r="J198" s="173">
        <v>46296</v>
      </c>
      <c r="K198" s="173"/>
      <c r="L198" s="173"/>
      <c r="M198" s="173"/>
      <c r="N198" s="173"/>
      <c r="O198" s="173"/>
      <c r="P198" s="173"/>
      <c r="Q198" s="173">
        <v>46296</v>
      </c>
      <c r="R198" s="173"/>
      <c r="S198" s="173"/>
      <c r="T198" s="174">
        <v>46296</v>
      </c>
      <c r="U198" s="151"/>
      <c r="V198" s="152"/>
      <c r="W198" s="175"/>
      <c r="X198" s="173"/>
      <c r="Y198" s="173"/>
      <c r="Z198" s="176" t="str">
        <f>IF(B198="","",IF(S198&lt;&gt;"","Sevk Edildi",IF(AND(X198&lt;&gt;"",Y198=""),"Reworkte",IF(T198&lt;&gt;"","Kapandı"&amp;IF(COUNT(G198:R198)=0,""," – "&amp;LOOKUP(2,1/(G198:R198=MAX(G198:R198)),{"Tasarım","Ply Cutter","Üretim","Kalite (Üretim sonrası)","Talaşlı","Kalite (Talaşlı sonrası)","Montaj","Kalite (Montaj sonrası)","Boya","Kalite (Boya sonrası)","Yarı Mamül","KM"})),IF(COUNT(G198:R198)=0,"Başlamadı",LOOKUP(2,1/(G198:R198=MAX(G198:R198)),{"Tasarımda","Ply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98" s="177">
        <f t="shared" ca="1" si="53"/>
        <v>1</v>
      </c>
      <c r="AB198" s="175"/>
      <c r="AD198" t="str">
        <f>IF(OR($B198="",NOT(ISNUMBER(G198))),"",IF(COUNTIF(H198:$T198,G198)&gt;0,0,IF(COUNTIF($G198:$T198,"&gt;"&amp;G198)=0,"",SMALL($G198:$T198,COUNTIF($G198:$T198,"&lt;="&amp;G198)+1)-G198)))</f>
        <v/>
      </c>
      <c r="AE198" t="str">
        <f>IF(OR($B198="",NOT(ISNUMBER(H198))),"",IF(COUNTIF(I198:$T198,H198)&gt;0,0,IF(COUNTIF($G198:$T198,"&gt;"&amp;H198)=0,"",SMALL($G198:$T198,COUNTIF($G198:$T198,"&lt;="&amp;H198)+1)-H198)))</f>
        <v/>
      </c>
      <c r="AF198">
        <f>IF(OR($B198="",NOT(ISNUMBER(I198))),"",IF(COUNTIF(J198:$T198,I198)&gt;0,0,IF(COUNTIF($G198:$T198,"&gt;"&amp;I198)=0,"",SMALL($G198:$T198,COUNTIF($G198:$T198,"&lt;="&amp;I198)+1)-I198)))</f>
        <v>1</v>
      </c>
      <c r="AG198">
        <f>IF(OR($B198="",NOT(ISNUMBER(J198))),"",IF(COUNTIF(K198:$T198,J198)&gt;0,0,IF(COUNTIF($G198:$T198,"&gt;"&amp;J198)=0,"",SMALL($G198:$T198,COUNTIF($G198:$T198,"&lt;="&amp;J198)+1)-J198)))</f>
        <v>0</v>
      </c>
      <c r="AH198" t="str">
        <f>IF(OR($B198="",NOT(ISNUMBER(K198))),"",IF(COUNTIF(L198:$T198,K198)&gt;0,0,IF(COUNTIF($G198:$T198,"&gt;"&amp;K198)=0,"",SMALL($G198:$T198,COUNTIF($G198:$T198,"&lt;="&amp;K198)+1)-K198)))</f>
        <v/>
      </c>
      <c r="AI198" t="str">
        <f>IF(OR($B198="",NOT(ISNUMBER(L198))),"",IF(COUNTIF(M198:$T198,L198)&gt;0,0,IF(COUNTIF($G198:$T198,"&gt;"&amp;L198)=0,"",SMALL($G198:$T198,COUNTIF($G198:$T198,"&lt;="&amp;L198)+1)-L198)))</f>
        <v/>
      </c>
      <c r="AJ198" t="str">
        <f>IF(OR($B198="",NOT(ISNUMBER(M198))),"",IF(COUNTIF(N198:$T198,M198)&gt;0,0,IF(COUNTIF($G198:$T198,"&gt;"&amp;M198)=0,"",SMALL($G198:$T198,COUNTIF($G198:$T198,"&lt;="&amp;M198)+1)-M198)))</f>
        <v/>
      </c>
      <c r="AK198" t="str">
        <f>IF(OR($B198="",NOT(ISNUMBER(N198))),"",IF(COUNTIF(O198:$T198,N198)&gt;0,0,IF(COUNTIF($G198:$T198,"&gt;"&amp;N198)=0,"",SMALL($G198:$T198,COUNTIF($G198:$T198,"&lt;="&amp;N198)+1)-N198)))</f>
        <v/>
      </c>
      <c r="AL198" t="str">
        <f>IF(OR($B198="",NOT(ISNUMBER(O198))),"",IF(COUNTIF(P198:$T198,O198)&gt;0,0,IF(COUNTIF($G198:$T198,"&gt;"&amp;O198)=0,"",SMALL($G198:$T198,COUNTIF($G198:$T198,"&lt;="&amp;O198)+1)-O198)))</f>
        <v/>
      </c>
      <c r="AM198" t="str">
        <f>IF(OR($B198="",NOT(ISNUMBER(P198))),"",IF(COUNTIF(Q198:$T198,P198)&gt;0,0,IF(COUNTIF($G198:$T198,"&gt;"&amp;P198)=0,"",SMALL($G198:$T198,COUNTIF($G198:$T198,"&lt;="&amp;P198)+1)-P198)))</f>
        <v/>
      </c>
      <c r="AN198">
        <f>IF(OR($B198="",NOT(ISNUMBER(Q198))),"",IF(COUNTIF(R198:$T198,Q198)&gt;0,0,IF(COUNTIF($G198:$T198,"&gt;"&amp;Q198)=0,"",SMALL($G198:$T198,COUNTIF($G198:$T198,"&lt;="&amp;Q198)+1)-Q198)))</f>
        <v>0</v>
      </c>
      <c r="AO198" t="str">
        <f>IF(OR($B198="",NOT(ISNUMBER(R198))),"",IF(COUNTIF(S198:$T198,R198)&gt;0,0,IF(COUNTIF($G198:$T198,"&gt;"&amp;R198)=0,"",SMALL($G198:$T198,COUNTIF($G198:$T198,"&lt;="&amp;R198)+1)-R198)))</f>
        <v/>
      </c>
      <c r="AP198">
        <f t="shared" ca="1" si="54"/>
        <v>0</v>
      </c>
      <c r="AQ198" s="25" t="str">
        <f t="shared" si="55"/>
        <v/>
      </c>
      <c r="AR198" s="25" t="str">
        <f t="shared" si="56"/>
        <v/>
      </c>
      <c r="AS198" s="25">
        <f t="shared" si="57"/>
        <v>46296</v>
      </c>
      <c r="AT198" s="25">
        <f t="shared" si="58"/>
        <v>46296</v>
      </c>
      <c r="AU198" s="25" t="str">
        <f t="shared" si="59"/>
        <v/>
      </c>
      <c r="AV198" s="25" t="str">
        <f t="shared" si="60"/>
        <v/>
      </c>
      <c r="AW198" s="25" t="str">
        <f t="shared" si="61"/>
        <v/>
      </c>
      <c r="AX198" s="25" t="str">
        <f t="shared" si="62"/>
        <v/>
      </c>
      <c r="AY198" s="25" t="str">
        <f t="shared" si="63"/>
        <v/>
      </c>
      <c r="AZ198" s="25" t="str">
        <f t="shared" si="64"/>
        <v/>
      </c>
      <c r="BA198" s="25">
        <f t="shared" si="65"/>
        <v>46296</v>
      </c>
      <c r="BB198" s="25" t="str">
        <f t="shared" si="66"/>
        <v/>
      </c>
      <c r="BC198" s="25">
        <f t="shared" si="67"/>
        <v>46296</v>
      </c>
    </row>
    <row r="199" spans="1:55" x14ac:dyDescent="0.25">
      <c r="A199" s="151">
        <f t="shared" si="51"/>
        <v>197</v>
      </c>
      <c r="B199" s="151" t="s">
        <v>344</v>
      </c>
      <c r="C199" s="152" t="s">
        <v>345</v>
      </c>
      <c r="D199" s="151">
        <f t="shared" si="52"/>
        <v>1</v>
      </c>
      <c r="E199" s="151" t="s">
        <v>61</v>
      </c>
      <c r="F199" s="173">
        <v>46295</v>
      </c>
      <c r="G199" s="173"/>
      <c r="H199" s="173"/>
      <c r="I199" s="173">
        <v>46295</v>
      </c>
      <c r="J199" s="173">
        <v>46296</v>
      </c>
      <c r="K199" s="173"/>
      <c r="L199" s="173"/>
      <c r="M199" s="173"/>
      <c r="N199" s="173"/>
      <c r="O199" s="173"/>
      <c r="P199" s="173"/>
      <c r="Q199" s="173">
        <v>46300</v>
      </c>
      <c r="R199" s="173"/>
      <c r="S199" s="173"/>
      <c r="T199" s="174">
        <v>46300</v>
      </c>
      <c r="U199" s="151"/>
      <c r="V199" s="152"/>
      <c r="W199" s="175"/>
      <c r="X199" s="173"/>
      <c r="Y199" s="173"/>
      <c r="Z199" s="176" t="str">
        <f>IF(B199="","",IF(S199&lt;&gt;"","Sevk Edildi",IF(AND(X199&lt;&gt;"",Y199=""),"Reworkte",IF(T199&lt;&gt;"","Kapandı"&amp;IF(COUNT(G199:R199)=0,""," – "&amp;LOOKUP(2,1/(G199:R199=MAX(G199:R199)),{"Tasarım","Ply Cutter","Üretim","Kalite (Üretim sonrası)","Talaşlı","Kalite (Talaşlı sonrası)","Montaj","Kalite (Montaj sonrası)","Boya","Kalite (Boya sonrası)","Yarı Mamül","KM"})),IF(COUNT(G199:R199)=0,"Başlamadı",LOOKUP(2,1/(G199:R199=MAX(G199:R199)),{"Tasarımda","Ply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199" s="177">
        <f t="shared" ca="1" si="53"/>
        <v>5</v>
      </c>
      <c r="AB199" s="175"/>
      <c r="AD199" t="str">
        <f>IF(OR($B199="",NOT(ISNUMBER(G199))),"",IF(COUNTIF(H199:$T199,G199)&gt;0,0,IF(COUNTIF($G199:$T199,"&gt;"&amp;G199)=0,"",SMALL($G199:$T199,COUNTIF($G199:$T199,"&lt;="&amp;G199)+1)-G199)))</f>
        <v/>
      </c>
      <c r="AE199" t="str">
        <f>IF(OR($B199="",NOT(ISNUMBER(H199))),"",IF(COUNTIF(I199:$T199,H199)&gt;0,0,IF(COUNTIF($G199:$T199,"&gt;"&amp;H199)=0,"",SMALL($G199:$T199,COUNTIF($G199:$T199,"&lt;="&amp;H199)+1)-H199)))</f>
        <v/>
      </c>
      <c r="AF199">
        <f>IF(OR($B199="",NOT(ISNUMBER(I199))),"",IF(COUNTIF(J199:$T199,I199)&gt;0,0,IF(COUNTIF($G199:$T199,"&gt;"&amp;I199)=0,"",SMALL($G199:$T199,COUNTIF($G199:$T199,"&lt;="&amp;I199)+1)-I199)))</f>
        <v>1</v>
      </c>
      <c r="AG199">
        <f>IF(OR($B199="",NOT(ISNUMBER(J199))),"",IF(COUNTIF(K199:$T199,J199)&gt;0,0,IF(COUNTIF($G199:$T199,"&gt;"&amp;J199)=0,"",SMALL($G199:$T199,COUNTIF($G199:$T199,"&lt;="&amp;J199)+1)-J199)))</f>
        <v>4</v>
      </c>
      <c r="AH199" t="str">
        <f>IF(OR($B199="",NOT(ISNUMBER(K199))),"",IF(COUNTIF(L199:$T199,K199)&gt;0,0,IF(COUNTIF($G199:$T199,"&gt;"&amp;K199)=0,"",SMALL($G199:$T199,COUNTIF($G199:$T199,"&lt;="&amp;K199)+1)-K199)))</f>
        <v/>
      </c>
      <c r="AI199" t="str">
        <f>IF(OR($B199="",NOT(ISNUMBER(L199))),"",IF(COUNTIF(M199:$T199,L199)&gt;0,0,IF(COUNTIF($G199:$T199,"&gt;"&amp;L199)=0,"",SMALL($G199:$T199,COUNTIF($G199:$T199,"&lt;="&amp;L199)+1)-L199)))</f>
        <v/>
      </c>
      <c r="AJ199" t="str">
        <f>IF(OR($B199="",NOT(ISNUMBER(M199))),"",IF(COUNTIF(N199:$T199,M199)&gt;0,0,IF(COUNTIF($G199:$T199,"&gt;"&amp;M199)=0,"",SMALL($G199:$T199,COUNTIF($G199:$T199,"&lt;="&amp;M199)+1)-M199)))</f>
        <v/>
      </c>
      <c r="AK199" t="str">
        <f>IF(OR($B199="",NOT(ISNUMBER(N199))),"",IF(COUNTIF(O199:$T199,N199)&gt;0,0,IF(COUNTIF($G199:$T199,"&gt;"&amp;N199)=0,"",SMALL($G199:$T199,COUNTIF($G199:$T199,"&lt;="&amp;N199)+1)-N199)))</f>
        <v/>
      </c>
      <c r="AL199" t="str">
        <f>IF(OR($B199="",NOT(ISNUMBER(O199))),"",IF(COUNTIF(P199:$T199,O199)&gt;0,0,IF(COUNTIF($G199:$T199,"&gt;"&amp;O199)=0,"",SMALL($G199:$T199,COUNTIF($G199:$T199,"&lt;="&amp;O199)+1)-O199)))</f>
        <v/>
      </c>
      <c r="AM199" t="str">
        <f>IF(OR($B199="",NOT(ISNUMBER(P199))),"",IF(COUNTIF(Q199:$T199,P199)&gt;0,0,IF(COUNTIF($G199:$T199,"&gt;"&amp;P199)=0,"",SMALL($G199:$T199,COUNTIF($G199:$T199,"&lt;="&amp;P199)+1)-P199)))</f>
        <v/>
      </c>
      <c r="AN199">
        <f>IF(OR($B199="",NOT(ISNUMBER(Q199))),"",IF(COUNTIF(R199:$T199,Q199)&gt;0,0,IF(COUNTIF($G199:$T199,"&gt;"&amp;Q199)=0,"",SMALL($G199:$T199,COUNTIF($G199:$T199,"&lt;="&amp;Q199)+1)-Q199)))</f>
        <v>0</v>
      </c>
      <c r="AO199" t="str">
        <f>IF(OR($B199="",NOT(ISNUMBER(R199))),"",IF(COUNTIF(S199:$T199,R199)&gt;0,0,IF(COUNTIF($G199:$T199,"&gt;"&amp;R199)=0,"",SMALL($G199:$T199,COUNTIF($G199:$T199,"&lt;="&amp;R199)+1)-R199)))</f>
        <v/>
      </c>
      <c r="AP199">
        <f t="shared" ca="1" si="54"/>
        <v>0</v>
      </c>
      <c r="AQ199" s="25" t="str">
        <f t="shared" si="55"/>
        <v/>
      </c>
      <c r="AR199" s="25" t="str">
        <f t="shared" si="56"/>
        <v/>
      </c>
      <c r="AS199" s="25">
        <f t="shared" si="57"/>
        <v>46296</v>
      </c>
      <c r="AT199" s="25">
        <f t="shared" si="58"/>
        <v>46300</v>
      </c>
      <c r="AU199" s="25" t="str">
        <f t="shared" si="59"/>
        <v/>
      </c>
      <c r="AV199" s="25" t="str">
        <f t="shared" si="60"/>
        <v/>
      </c>
      <c r="AW199" s="25" t="str">
        <f t="shared" si="61"/>
        <v/>
      </c>
      <c r="AX199" s="25" t="str">
        <f t="shared" si="62"/>
        <v/>
      </c>
      <c r="AY199" s="25" t="str">
        <f t="shared" si="63"/>
        <v/>
      </c>
      <c r="AZ199" s="25" t="str">
        <f t="shared" si="64"/>
        <v/>
      </c>
      <c r="BA199" s="25">
        <f t="shared" si="65"/>
        <v>46300</v>
      </c>
      <c r="BB199" s="25" t="str">
        <f t="shared" si="66"/>
        <v/>
      </c>
      <c r="BC199" s="25">
        <f t="shared" si="67"/>
        <v>46300</v>
      </c>
    </row>
    <row r="200" spans="1:55" x14ac:dyDescent="0.25">
      <c r="A200" s="151">
        <f t="shared" si="51"/>
        <v>198</v>
      </c>
      <c r="B200" s="151" t="s">
        <v>346</v>
      </c>
      <c r="C200" s="152" t="s">
        <v>72</v>
      </c>
      <c r="D200" s="151">
        <f t="shared" si="52"/>
        <v>1</v>
      </c>
      <c r="E200" s="151" t="s">
        <v>61</v>
      </c>
      <c r="F200" s="173">
        <v>46295</v>
      </c>
      <c r="G200" s="173"/>
      <c r="H200" s="173"/>
      <c r="I200" s="173">
        <v>46295</v>
      </c>
      <c r="J200" s="173">
        <v>46296</v>
      </c>
      <c r="K200" s="173"/>
      <c r="L200" s="173"/>
      <c r="M200" s="173"/>
      <c r="N200" s="173"/>
      <c r="O200" s="173"/>
      <c r="P200" s="173"/>
      <c r="Q200" s="173">
        <v>46296</v>
      </c>
      <c r="R200" s="173"/>
      <c r="S200" s="173"/>
      <c r="T200" s="174">
        <v>46296</v>
      </c>
      <c r="U200" s="151"/>
      <c r="V200" s="152"/>
      <c r="W200" s="175"/>
      <c r="X200" s="173"/>
      <c r="Y200" s="173"/>
      <c r="Z200" s="176" t="str">
        <f>IF(B200="","",IF(S200&lt;&gt;"","Sevk Edildi",IF(AND(X200&lt;&gt;"",Y200=""),"Reworkte",IF(T200&lt;&gt;"","Kapandı"&amp;IF(COUNT(G200:R200)=0,""," – "&amp;LOOKUP(2,1/(G200:R200=MAX(G200:R200)),{"Tasarım","Ply Cutter","Üretim","Kalite (Üretim sonrası)","Talaşlı","Kalite (Talaşlı sonrası)","Montaj","Kalite (Montaj sonrası)","Boya","Kalite (Boya sonrası)","Yarı Mamül","KM"})),IF(COUNT(G200:R200)=0,"Başlamadı",LOOKUP(2,1/(G200:R200=MAX(G200:R200)),{"Tasarımda","Ply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00" s="177">
        <f t="shared" ca="1" si="53"/>
        <v>1</v>
      </c>
      <c r="AB200" s="175"/>
      <c r="AD200" t="str">
        <f>IF(OR($B200="",NOT(ISNUMBER(G200))),"",IF(COUNTIF(H200:$T200,G200)&gt;0,0,IF(COUNTIF($G200:$T200,"&gt;"&amp;G200)=0,"",SMALL($G200:$T200,COUNTIF($G200:$T200,"&lt;="&amp;G200)+1)-G200)))</f>
        <v/>
      </c>
      <c r="AE200" t="str">
        <f>IF(OR($B200="",NOT(ISNUMBER(H200))),"",IF(COUNTIF(I200:$T200,H200)&gt;0,0,IF(COUNTIF($G200:$T200,"&gt;"&amp;H200)=0,"",SMALL($G200:$T200,COUNTIF($G200:$T200,"&lt;="&amp;H200)+1)-H200)))</f>
        <v/>
      </c>
      <c r="AF200">
        <f>IF(OR($B200="",NOT(ISNUMBER(I200))),"",IF(COUNTIF(J200:$T200,I200)&gt;0,0,IF(COUNTIF($G200:$T200,"&gt;"&amp;I200)=0,"",SMALL($G200:$T200,COUNTIF($G200:$T200,"&lt;="&amp;I200)+1)-I200)))</f>
        <v>1</v>
      </c>
      <c r="AG200">
        <f>IF(OR($B200="",NOT(ISNUMBER(J200))),"",IF(COUNTIF(K200:$T200,J200)&gt;0,0,IF(COUNTIF($G200:$T200,"&gt;"&amp;J200)=0,"",SMALL($G200:$T200,COUNTIF($G200:$T200,"&lt;="&amp;J200)+1)-J200)))</f>
        <v>0</v>
      </c>
      <c r="AH200" t="str">
        <f>IF(OR($B200="",NOT(ISNUMBER(K200))),"",IF(COUNTIF(L200:$T200,K200)&gt;0,0,IF(COUNTIF($G200:$T200,"&gt;"&amp;K200)=0,"",SMALL($G200:$T200,COUNTIF($G200:$T200,"&lt;="&amp;K200)+1)-K200)))</f>
        <v/>
      </c>
      <c r="AI200" t="str">
        <f>IF(OR($B200="",NOT(ISNUMBER(L200))),"",IF(COUNTIF(M200:$T200,L200)&gt;0,0,IF(COUNTIF($G200:$T200,"&gt;"&amp;L200)=0,"",SMALL($G200:$T200,COUNTIF($G200:$T200,"&lt;="&amp;L200)+1)-L200)))</f>
        <v/>
      </c>
      <c r="AJ200" t="str">
        <f>IF(OR($B200="",NOT(ISNUMBER(M200))),"",IF(COUNTIF(N200:$T200,M200)&gt;0,0,IF(COUNTIF($G200:$T200,"&gt;"&amp;M200)=0,"",SMALL($G200:$T200,COUNTIF($G200:$T200,"&lt;="&amp;M200)+1)-M200)))</f>
        <v/>
      </c>
      <c r="AK200" t="str">
        <f>IF(OR($B200="",NOT(ISNUMBER(N200))),"",IF(COUNTIF(O200:$T200,N200)&gt;0,0,IF(COUNTIF($G200:$T200,"&gt;"&amp;N200)=0,"",SMALL($G200:$T200,COUNTIF($G200:$T200,"&lt;="&amp;N200)+1)-N200)))</f>
        <v/>
      </c>
      <c r="AL200" t="str">
        <f>IF(OR($B200="",NOT(ISNUMBER(O200))),"",IF(COUNTIF(P200:$T200,O200)&gt;0,0,IF(COUNTIF($G200:$T200,"&gt;"&amp;O200)=0,"",SMALL($G200:$T200,COUNTIF($G200:$T200,"&lt;="&amp;O200)+1)-O200)))</f>
        <v/>
      </c>
      <c r="AM200" t="str">
        <f>IF(OR($B200="",NOT(ISNUMBER(P200))),"",IF(COUNTIF(Q200:$T200,P200)&gt;0,0,IF(COUNTIF($G200:$T200,"&gt;"&amp;P200)=0,"",SMALL($G200:$T200,COUNTIF($G200:$T200,"&lt;="&amp;P200)+1)-P200)))</f>
        <v/>
      </c>
      <c r="AN200">
        <f>IF(OR($B200="",NOT(ISNUMBER(Q200))),"",IF(COUNTIF(R200:$T200,Q200)&gt;0,0,IF(COUNTIF($G200:$T200,"&gt;"&amp;Q200)=0,"",SMALL($G200:$T200,COUNTIF($G200:$T200,"&lt;="&amp;Q200)+1)-Q200)))</f>
        <v>0</v>
      </c>
      <c r="AO200" t="str">
        <f>IF(OR($B200="",NOT(ISNUMBER(R200))),"",IF(COUNTIF(S200:$T200,R200)&gt;0,0,IF(COUNTIF($G200:$T200,"&gt;"&amp;R200)=0,"",SMALL($G200:$T200,COUNTIF($G200:$T200,"&lt;="&amp;R200)+1)-R200)))</f>
        <v/>
      </c>
      <c r="AP200">
        <f t="shared" ca="1" si="54"/>
        <v>0</v>
      </c>
      <c r="AQ200" s="25" t="str">
        <f t="shared" si="55"/>
        <v/>
      </c>
      <c r="AR200" s="25" t="str">
        <f t="shared" si="56"/>
        <v/>
      </c>
      <c r="AS200" s="25">
        <f t="shared" si="57"/>
        <v>46296</v>
      </c>
      <c r="AT200" s="25">
        <f t="shared" si="58"/>
        <v>46296</v>
      </c>
      <c r="AU200" s="25" t="str">
        <f t="shared" si="59"/>
        <v/>
      </c>
      <c r="AV200" s="25" t="str">
        <f t="shared" si="60"/>
        <v/>
      </c>
      <c r="AW200" s="25" t="str">
        <f t="shared" si="61"/>
        <v/>
      </c>
      <c r="AX200" s="25" t="str">
        <f t="shared" si="62"/>
        <v/>
      </c>
      <c r="AY200" s="25" t="str">
        <f t="shared" si="63"/>
        <v/>
      </c>
      <c r="AZ200" s="25" t="str">
        <f t="shared" si="64"/>
        <v/>
      </c>
      <c r="BA200" s="25">
        <f t="shared" si="65"/>
        <v>46296</v>
      </c>
      <c r="BB200" s="25" t="str">
        <f t="shared" si="66"/>
        <v/>
      </c>
      <c r="BC200" s="25">
        <f t="shared" si="67"/>
        <v>46296</v>
      </c>
    </row>
    <row r="201" spans="1:55" x14ac:dyDescent="0.25">
      <c r="A201" s="151">
        <f t="shared" si="51"/>
        <v>199</v>
      </c>
      <c r="B201" s="151" t="s">
        <v>347</v>
      </c>
      <c r="C201" s="152" t="s">
        <v>180</v>
      </c>
      <c r="D201" s="151">
        <f t="shared" si="52"/>
        <v>1</v>
      </c>
      <c r="E201" s="151" t="s">
        <v>61</v>
      </c>
      <c r="F201" s="173">
        <v>46295</v>
      </c>
      <c r="G201" s="173"/>
      <c r="H201" s="173"/>
      <c r="I201" s="173">
        <v>46295</v>
      </c>
      <c r="J201" s="173">
        <v>46296</v>
      </c>
      <c r="K201" s="173"/>
      <c r="L201" s="173"/>
      <c r="M201" s="173"/>
      <c r="N201" s="173"/>
      <c r="O201" s="173"/>
      <c r="P201" s="173"/>
      <c r="Q201" s="173">
        <v>46296</v>
      </c>
      <c r="R201" s="173"/>
      <c r="S201" s="173"/>
      <c r="T201" s="174">
        <v>46296</v>
      </c>
      <c r="U201" s="151"/>
      <c r="V201" s="152"/>
      <c r="W201" s="175"/>
      <c r="X201" s="173"/>
      <c r="Y201" s="173"/>
      <c r="Z201" s="176" t="str">
        <f>IF(B201="","",IF(S201&lt;&gt;"","Sevk Edildi",IF(AND(X201&lt;&gt;"",Y201=""),"Reworkte",IF(T201&lt;&gt;"","Kapandı"&amp;IF(COUNT(G201:R201)=0,""," – "&amp;LOOKUP(2,1/(G201:R201=MAX(G201:R201)),{"Tasarım","Ply Cutter","Üretim","Kalite (Üretim sonrası)","Talaşlı","Kalite (Talaşlı sonrası)","Montaj","Kalite (Montaj sonrası)","Boya","Kalite (Boya sonrası)","Yarı Mamül","KM"})),IF(COUNT(G201:R201)=0,"Başlamadı",LOOKUP(2,1/(G201:R201=MAX(G201:R201)),{"Tasarımda","Ply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01" s="177">
        <f t="shared" ca="1" si="53"/>
        <v>1</v>
      </c>
      <c r="AB201" s="175"/>
      <c r="AD201" t="str">
        <f>IF(OR($B201="",NOT(ISNUMBER(G201))),"",IF(COUNTIF(H201:$T201,G201)&gt;0,0,IF(COUNTIF($G201:$T201,"&gt;"&amp;G201)=0,"",SMALL($G201:$T201,COUNTIF($G201:$T201,"&lt;="&amp;G201)+1)-G201)))</f>
        <v/>
      </c>
      <c r="AE201" t="str">
        <f>IF(OR($B201="",NOT(ISNUMBER(H201))),"",IF(COUNTIF(I201:$T201,H201)&gt;0,0,IF(COUNTIF($G201:$T201,"&gt;"&amp;H201)=0,"",SMALL($G201:$T201,COUNTIF($G201:$T201,"&lt;="&amp;H201)+1)-H201)))</f>
        <v/>
      </c>
      <c r="AF201">
        <f>IF(OR($B201="",NOT(ISNUMBER(I201))),"",IF(COUNTIF(J201:$T201,I201)&gt;0,0,IF(COUNTIF($G201:$T201,"&gt;"&amp;I201)=0,"",SMALL($G201:$T201,COUNTIF($G201:$T201,"&lt;="&amp;I201)+1)-I201)))</f>
        <v>1</v>
      </c>
      <c r="AG201">
        <f>IF(OR($B201="",NOT(ISNUMBER(J201))),"",IF(COUNTIF(K201:$T201,J201)&gt;0,0,IF(COUNTIF($G201:$T201,"&gt;"&amp;J201)=0,"",SMALL($G201:$T201,COUNTIF($G201:$T201,"&lt;="&amp;J201)+1)-J201)))</f>
        <v>0</v>
      </c>
      <c r="AH201" t="str">
        <f>IF(OR($B201="",NOT(ISNUMBER(K201))),"",IF(COUNTIF(L201:$T201,K201)&gt;0,0,IF(COUNTIF($G201:$T201,"&gt;"&amp;K201)=0,"",SMALL($G201:$T201,COUNTIF($G201:$T201,"&lt;="&amp;K201)+1)-K201)))</f>
        <v/>
      </c>
      <c r="AI201" t="str">
        <f>IF(OR($B201="",NOT(ISNUMBER(L201))),"",IF(COUNTIF(M201:$T201,L201)&gt;0,0,IF(COUNTIF($G201:$T201,"&gt;"&amp;L201)=0,"",SMALL($G201:$T201,COUNTIF($G201:$T201,"&lt;="&amp;L201)+1)-L201)))</f>
        <v/>
      </c>
      <c r="AJ201" t="str">
        <f>IF(OR($B201="",NOT(ISNUMBER(M201))),"",IF(COUNTIF(N201:$T201,M201)&gt;0,0,IF(COUNTIF($G201:$T201,"&gt;"&amp;M201)=0,"",SMALL($G201:$T201,COUNTIF($G201:$T201,"&lt;="&amp;M201)+1)-M201)))</f>
        <v/>
      </c>
      <c r="AK201" t="str">
        <f>IF(OR($B201="",NOT(ISNUMBER(N201))),"",IF(COUNTIF(O201:$T201,N201)&gt;0,0,IF(COUNTIF($G201:$T201,"&gt;"&amp;N201)=0,"",SMALL($G201:$T201,COUNTIF($G201:$T201,"&lt;="&amp;N201)+1)-N201)))</f>
        <v/>
      </c>
      <c r="AL201" t="str">
        <f>IF(OR($B201="",NOT(ISNUMBER(O201))),"",IF(COUNTIF(P201:$T201,O201)&gt;0,0,IF(COUNTIF($G201:$T201,"&gt;"&amp;O201)=0,"",SMALL($G201:$T201,COUNTIF($G201:$T201,"&lt;="&amp;O201)+1)-O201)))</f>
        <v/>
      </c>
      <c r="AM201" t="str">
        <f>IF(OR($B201="",NOT(ISNUMBER(P201))),"",IF(COUNTIF(Q201:$T201,P201)&gt;0,0,IF(COUNTIF($G201:$T201,"&gt;"&amp;P201)=0,"",SMALL($G201:$T201,COUNTIF($G201:$T201,"&lt;="&amp;P201)+1)-P201)))</f>
        <v/>
      </c>
      <c r="AN201">
        <f>IF(OR($B201="",NOT(ISNUMBER(Q201))),"",IF(COUNTIF(R201:$T201,Q201)&gt;0,0,IF(COUNTIF($G201:$T201,"&gt;"&amp;Q201)=0,"",SMALL($G201:$T201,COUNTIF($G201:$T201,"&lt;="&amp;Q201)+1)-Q201)))</f>
        <v>0</v>
      </c>
      <c r="AO201" t="str">
        <f>IF(OR($B201="",NOT(ISNUMBER(R201))),"",IF(COUNTIF(S201:$T201,R201)&gt;0,0,IF(COUNTIF($G201:$T201,"&gt;"&amp;R201)=0,"",SMALL($G201:$T201,COUNTIF($G201:$T201,"&lt;="&amp;R201)+1)-R201)))</f>
        <v/>
      </c>
      <c r="AP201">
        <f t="shared" ca="1" si="54"/>
        <v>0</v>
      </c>
      <c r="AQ201" s="25" t="str">
        <f t="shared" si="55"/>
        <v/>
      </c>
      <c r="AR201" s="25" t="str">
        <f t="shared" si="56"/>
        <v/>
      </c>
      <c r="AS201" s="25">
        <f t="shared" si="57"/>
        <v>46296</v>
      </c>
      <c r="AT201" s="25">
        <f t="shared" si="58"/>
        <v>46296</v>
      </c>
      <c r="AU201" s="25" t="str">
        <f t="shared" si="59"/>
        <v/>
      </c>
      <c r="AV201" s="25" t="str">
        <f t="shared" si="60"/>
        <v/>
      </c>
      <c r="AW201" s="25" t="str">
        <f t="shared" si="61"/>
        <v/>
      </c>
      <c r="AX201" s="25" t="str">
        <f t="shared" si="62"/>
        <v/>
      </c>
      <c r="AY201" s="25" t="str">
        <f t="shared" si="63"/>
        <v/>
      </c>
      <c r="AZ201" s="25" t="str">
        <f t="shared" si="64"/>
        <v/>
      </c>
      <c r="BA201" s="25">
        <f t="shared" si="65"/>
        <v>46296</v>
      </c>
      <c r="BB201" s="25" t="str">
        <f t="shared" si="66"/>
        <v/>
      </c>
      <c r="BC201" s="25">
        <f t="shared" si="67"/>
        <v>46296</v>
      </c>
    </row>
    <row r="202" spans="1:55" x14ac:dyDescent="0.25">
      <c r="A202" s="151">
        <f t="shared" si="51"/>
        <v>200</v>
      </c>
      <c r="B202" s="151" t="s">
        <v>348</v>
      </c>
      <c r="C202" s="152" t="s">
        <v>94</v>
      </c>
      <c r="D202" s="151">
        <f t="shared" si="52"/>
        <v>1</v>
      </c>
      <c r="E202" s="151" t="s">
        <v>61</v>
      </c>
      <c r="F202" s="173">
        <v>46295</v>
      </c>
      <c r="G202" s="173"/>
      <c r="H202" s="173"/>
      <c r="I202" s="173">
        <v>46295</v>
      </c>
      <c r="J202" s="173">
        <v>46297</v>
      </c>
      <c r="K202" s="173"/>
      <c r="L202" s="173"/>
      <c r="M202" s="173"/>
      <c r="N202" s="173"/>
      <c r="O202" s="173"/>
      <c r="P202" s="173"/>
      <c r="Q202" s="173">
        <v>46298</v>
      </c>
      <c r="R202" s="173"/>
      <c r="S202" s="173"/>
      <c r="T202" s="174">
        <v>46298</v>
      </c>
      <c r="U202" s="151"/>
      <c r="V202" s="152"/>
      <c r="W202" s="175"/>
      <c r="X202" s="173"/>
      <c r="Y202" s="173"/>
      <c r="Z202" s="176" t="str">
        <f>IF(B202="","",IF(S202&lt;&gt;"","Sevk Edildi",IF(AND(X202&lt;&gt;"",Y202=""),"Reworkte",IF(T202&lt;&gt;"","Kapandı"&amp;IF(COUNT(G202:R202)=0,""," – "&amp;LOOKUP(2,1/(G202:R202=MAX(G202:R202)),{"Tasarım","Ply Cutter","Üretim","Kalite (Üretim sonrası)","Talaşlı","Kalite (Talaşlı sonrası)","Montaj","Kalite (Montaj sonrası)","Boya","Kalite (Boya sonrası)","Yarı Mamül","KM"})),IF(COUNT(G202:R202)=0,"Başlamadı",LOOKUP(2,1/(G202:R202=MAX(G202:R202)),{"Tasarımda","Ply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02" s="177">
        <f t="shared" ca="1" si="53"/>
        <v>3</v>
      </c>
      <c r="AB202" s="175"/>
      <c r="AD202" t="str">
        <f>IF(OR($B202="",NOT(ISNUMBER(G202))),"",IF(COUNTIF(H202:$T202,G202)&gt;0,0,IF(COUNTIF($G202:$T202,"&gt;"&amp;G202)=0,"",SMALL($G202:$T202,COUNTIF($G202:$T202,"&lt;="&amp;G202)+1)-G202)))</f>
        <v/>
      </c>
      <c r="AE202" t="str">
        <f>IF(OR($B202="",NOT(ISNUMBER(H202))),"",IF(COUNTIF(I202:$T202,H202)&gt;0,0,IF(COUNTIF($G202:$T202,"&gt;"&amp;H202)=0,"",SMALL($G202:$T202,COUNTIF($G202:$T202,"&lt;="&amp;H202)+1)-H202)))</f>
        <v/>
      </c>
      <c r="AF202">
        <f>IF(OR($B202="",NOT(ISNUMBER(I202))),"",IF(COUNTIF(J202:$T202,I202)&gt;0,0,IF(COUNTIF($G202:$T202,"&gt;"&amp;I202)=0,"",SMALL($G202:$T202,COUNTIF($G202:$T202,"&lt;="&amp;I202)+1)-I202)))</f>
        <v>2</v>
      </c>
      <c r="AG202">
        <f>IF(OR($B202="",NOT(ISNUMBER(J202))),"",IF(COUNTIF(K202:$T202,J202)&gt;0,0,IF(COUNTIF($G202:$T202,"&gt;"&amp;J202)=0,"",SMALL($G202:$T202,COUNTIF($G202:$T202,"&lt;="&amp;J202)+1)-J202)))</f>
        <v>1</v>
      </c>
      <c r="AH202" t="str">
        <f>IF(OR($B202="",NOT(ISNUMBER(K202))),"",IF(COUNTIF(L202:$T202,K202)&gt;0,0,IF(COUNTIF($G202:$T202,"&gt;"&amp;K202)=0,"",SMALL($G202:$T202,COUNTIF($G202:$T202,"&lt;="&amp;K202)+1)-K202)))</f>
        <v/>
      </c>
      <c r="AI202" t="str">
        <f>IF(OR($B202="",NOT(ISNUMBER(L202))),"",IF(COUNTIF(M202:$T202,L202)&gt;0,0,IF(COUNTIF($G202:$T202,"&gt;"&amp;L202)=0,"",SMALL($G202:$T202,COUNTIF($G202:$T202,"&lt;="&amp;L202)+1)-L202)))</f>
        <v/>
      </c>
      <c r="AJ202" t="str">
        <f>IF(OR($B202="",NOT(ISNUMBER(M202))),"",IF(COUNTIF(N202:$T202,M202)&gt;0,0,IF(COUNTIF($G202:$T202,"&gt;"&amp;M202)=0,"",SMALL($G202:$T202,COUNTIF($G202:$T202,"&lt;="&amp;M202)+1)-M202)))</f>
        <v/>
      </c>
      <c r="AK202" t="str">
        <f>IF(OR($B202="",NOT(ISNUMBER(N202))),"",IF(COUNTIF(O202:$T202,N202)&gt;0,0,IF(COUNTIF($G202:$T202,"&gt;"&amp;N202)=0,"",SMALL($G202:$T202,COUNTIF($G202:$T202,"&lt;="&amp;N202)+1)-N202)))</f>
        <v/>
      </c>
      <c r="AL202" t="str">
        <f>IF(OR($B202="",NOT(ISNUMBER(O202))),"",IF(COUNTIF(P202:$T202,O202)&gt;0,0,IF(COUNTIF($G202:$T202,"&gt;"&amp;O202)=0,"",SMALL($G202:$T202,COUNTIF($G202:$T202,"&lt;="&amp;O202)+1)-O202)))</f>
        <v/>
      </c>
      <c r="AM202" t="str">
        <f>IF(OR($B202="",NOT(ISNUMBER(P202))),"",IF(COUNTIF(Q202:$T202,P202)&gt;0,0,IF(COUNTIF($G202:$T202,"&gt;"&amp;P202)=0,"",SMALL($G202:$T202,COUNTIF($G202:$T202,"&lt;="&amp;P202)+1)-P202)))</f>
        <v/>
      </c>
      <c r="AN202">
        <f>IF(OR($B202="",NOT(ISNUMBER(Q202))),"",IF(COUNTIF(R202:$T202,Q202)&gt;0,0,IF(COUNTIF($G202:$T202,"&gt;"&amp;Q202)=0,"",SMALL($G202:$T202,COUNTIF($G202:$T202,"&lt;="&amp;Q202)+1)-Q202)))</f>
        <v>0</v>
      </c>
      <c r="AO202" t="str">
        <f>IF(OR($B202="",NOT(ISNUMBER(R202))),"",IF(COUNTIF(S202:$T202,R202)&gt;0,0,IF(COUNTIF($G202:$T202,"&gt;"&amp;R202)=0,"",SMALL($G202:$T202,COUNTIF($G202:$T202,"&lt;="&amp;R202)+1)-R202)))</f>
        <v/>
      </c>
      <c r="AP202">
        <f t="shared" ca="1" si="54"/>
        <v>0</v>
      </c>
      <c r="AQ202" s="25" t="str">
        <f t="shared" si="55"/>
        <v/>
      </c>
      <c r="AR202" s="25" t="str">
        <f t="shared" si="56"/>
        <v/>
      </c>
      <c r="AS202" s="25">
        <f t="shared" si="57"/>
        <v>46297</v>
      </c>
      <c r="AT202" s="25">
        <f t="shared" si="58"/>
        <v>46298</v>
      </c>
      <c r="AU202" s="25" t="str">
        <f t="shared" si="59"/>
        <v/>
      </c>
      <c r="AV202" s="25" t="str">
        <f t="shared" si="60"/>
        <v/>
      </c>
      <c r="AW202" s="25" t="str">
        <f t="shared" si="61"/>
        <v/>
      </c>
      <c r="AX202" s="25" t="str">
        <f t="shared" si="62"/>
        <v/>
      </c>
      <c r="AY202" s="25" t="str">
        <f t="shared" si="63"/>
        <v/>
      </c>
      <c r="AZ202" s="25" t="str">
        <f t="shared" si="64"/>
        <v/>
      </c>
      <c r="BA202" s="25">
        <f t="shared" si="65"/>
        <v>46298</v>
      </c>
      <c r="BB202" s="25" t="str">
        <f t="shared" si="66"/>
        <v/>
      </c>
      <c r="BC202" s="25">
        <f t="shared" si="67"/>
        <v>46298</v>
      </c>
    </row>
    <row r="203" spans="1:55" x14ac:dyDescent="0.25">
      <c r="A203" s="151">
        <f t="shared" si="51"/>
        <v>201</v>
      </c>
      <c r="B203" s="151" t="s">
        <v>349</v>
      </c>
      <c r="C203" s="152" t="s">
        <v>113</v>
      </c>
      <c r="D203" s="151">
        <f t="shared" si="52"/>
        <v>1</v>
      </c>
      <c r="E203" s="151" t="s">
        <v>61</v>
      </c>
      <c r="F203" s="173">
        <v>46295</v>
      </c>
      <c r="G203" s="173"/>
      <c r="H203" s="173"/>
      <c r="I203" s="173">
        <v>46295</v>
      </c>
      <c r="J203" s="173">
        <v>46297</v>
      </c>
      <c r="K203" s="173"/>
      <c r="L203" s="173"/>
      <c r="M203" s="173"/>
      <c r="N203" s="173"/>
      <c r="O203" s="173"/>
      <c r="P203" s="173"/>
      <c r="Q203" s="173"/>
      <c r="R203" s="173"/>
      <c r="S203" s="173"/>
      <c r="T203" s="174">
        <v>46297</v>
      </c>
      <c r="U203" s="151"/>
      <c r="V203" s="152"/>
      <c r="W203" s="175"/>
      <c r="X203" s="173"/>
      <c r="Y203" s="173"/>
      <c r="Z203" s="176" t="str">
        <f>IF(B203="","",IF(S203&lt;&gt;"","Sevk Edildi",IF(AND(X203&lt;&gt;"",Y203=""),"Reworkte",IF(T203&lt;&gt;"","Kapandı"&amp;IF(COUNT(G203:R203)=0,""," – "&amp;LOOKUP(2,1/(G203:R203=MAX(G203:R203)),{"Tasarım","Ply Cutter","Üretim","Kalite (Üretim sonrası)","Talaşlı","Kalite (Talaşlı sonrası)","Montaj","Kalite (Montaj sonrası)","Boya","Kalite (Boya sonrası)","Yarı Mamül","KM"})),IF(COUNT(G203:R203)=0,"Başlamadı",LOOKUP(2,1/(G203:R203=MAX(G203:R203)),{"Tasarımda","Ply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03" s="177">
        <f t="shared" ca="1" si="53"/>
        <v>2</v>
      </c>
      <c r="AB203" s="175"/>
      <c r="AD203" t="str">
        <f>IF(OR($B203="",NOT(ISNUMBER(G203))),"",IF(COUNTIF(H203:$T203,G203)&gt;0,0,IF(COUNTIF($G203:$T203,"&gt;"&amp;G203)=0,"",SMALL($G203:$T203,COUNTIF($G203:$T203,"&lt;="&amp;G203)+1)-G203)))</f>
        <v/>
      </c>
      <c r="AE203" t="str">
        <f>IF(OR($B203="",NOT(ISNUMBER(H203))),"",IF(COUNTIF(I203:$T203,H203)&gt;0,0,IF(COUNTIF($G203:$T203,"&gt;"&amp;H203)=0,"",SMALL($G203:$T203,COUNTIF($G203:$T203,"&lt;="&amp;H203)+1)-H203)))</f>
        <v/>
      </c>
      <c r="AF203">
        <f>IF(OR($B203="",NOT(ISNUMBER(I203))),"",IF(COUNTIF(J203:$T203,I203)&gt;0,0,IF(COUNTIF($G203:$T203,"&gt;"&amp;I203)=0,"",SMALL($G203:$T203,COUNTIF($G203:$T203,"&lt;="&amp;I203)+1)-I203)))</f>
        <v>2</v>
      </c>
      <c r="AG203">
        <f>IF(OR($B203="",NOT(ISNUMBER(J203))),"",IF(COUNTIF(K203:$T203,J203)&gt;0,0,IF(COUNTIF($G203:$T203,"&gt;"&amp;J203)=0,"",SMALL($G203:$T203,COUNTIF($G203:$T203,"&lt;="&amp;J203)+1)-J203)))</f>
        <v>0</v>
      </c>
      <c r="AH203" t="str">
        <f>IF(OR($B203="",NOT(ISNUMBER(K203))),"",IF(COUNTIF(L203:$T203,K203)&gt;0,0,IF(COUNTIF($G203:$T203,"&gt;"&amp;K203)=0,"",SMALL($G203:$T203,COUNTIF($G203:$T203,"&lt;="&amp;K203)+1)-K203)))</f>
        <v/>
      </c>
      <c r="AI203" t="str">
        <f>IF(OR($B203="",NOT(ISNUMBER(L203))),"",IF(COUNTIF(M203:$T203,L203)&gt;0,0,IF(COUNTIF($G203:$T203,"&gt;"&amp;L203)=0,"",SMALL($G203:$T203,COUNTIF($G203:$T203,"&lt;="&amp;L203)+1)-L203)))</f>
        <v/>
      </c>
      <c r="AJ203" t="str">
        <f>IF(OR($B203="",NOT(ISNUMBER(M203))),"",IF(COUNTIF(N203:$T203,M203)&gt;0,0,IF(COUNTIF($G203:$T203,"&gt;"&amp;M203)=0,"",SMALL($G203:$T203,COUNTIF($G203:$T203,"&lt;="&amp;M203)+1)-M203)))</f>
        <v/>
      </c>
      <c r="AK203" t="str">
        <f>IF(OR($B203="",NOT(ISNUMBER(N203))),"",IF(COUNTIF(O203:$T203,N203)&gt;0,0,IF(COUNTIF($G203:$T203,"&gt;"&amp;N203)=0,"",SMALL($G203:$T203,COUNTIF($G203:$T203,"&lt;="&amp;N203)+1)-N203)))</f>
        <v/>
      </c>
      <c r="AL203" t="str">
        <f>IF(OR($B203="",NOT(ISNUMBER(O203))),"",IF(COUNTIF(P203:$T203,O203)&gt;0,0,IF(COUNTIF($G203:$T203,"&gt;"&amp;O203)=0,"",SMALL($G203:$T203,COUNTIF($G203:$T203,"&lt;="&amp;O203)+1)-O203)))</f>
        <v/>
      </c>
      <c r="AM203" t="str">
        <f>IF(OR($B203="",NOT(ISNUMBER(P203))),"",IF(COUNTIF(Q203:$T203,P203)&gt;0,0,IF(COUNTIF($G203:$T203,"&gt;"&amp;P203)=0,"",SMALL($G203:$T203,COUNTIF($G203:$T203,"&lt;="&amp;P203)+1)-P203)))</f>
        <v/>
      </c>
      <c r="AN203" t="str">
        <f>IF(OR($B203="",NOT(ISNUMBER(Q203))),"",IF(COUNTIF(R203:$T203,Q203)&gt;0,0,IF(COUNTIF($G203:$T203,"&gt;"&amp;Q203)=0,"",SMALL($G203:$T203,COUNTIF($G203:$T203,"&lt;="&amp;Q203)+1)-Q203)))</f>
        <v/>
      </c>
      <c r="AO203" t="str">
        <f>IF(OR($B203="",NOT(ISNUMBER(R203))),"",IF(COUNTIF(S203:$T203,R203)&gt;0,0,IF(COUNTIF($G203:$T203,"&gt;"&amp;R203)=0,"",SMALL($G203:$T203,COUNTIF($G203:$T203,"&lt;="&amp;R203)+1)-R203)))</f>
        <v/>
      </c>
      <c r="AP203">
        <f t="shared" ca="1" si="54"/>
        <v>0</v>
      </c>
      <c r="AQ203" s="25" t="str">
        <f t="shared" si="55"/>
        <v/>
      </c>
      <c r="AR203" s="25" t="str">
        <f t="shared" si="56"/>
        <v/>
      </c>
      <c r="AS203" s="25">
        <f t="shared" si="57"/>
        <v>46297</v>
      </c>
      <c r="AT203" s="25">
        <f t="shared" si="58"/>
        <v>46297</v>
      </c>
      <c r="AU203" s="25" t="str">
        <f t="shared" si="59"/>
        <v/>
      </c>
      <c r="AV203" s="25" t="str">
        <f t="shared" si="60"/>
        <v/>
      </c>
      <c r="AW203" s="25" t="str">
        <f t="shared" si="61"/>
        <v/>
      </c>
      <c r="AX203" s="25" t="str">
        <f t="shared" si="62"/>
        <v/>
      </c>
      <c r="AY203" s="25" t="str">
        <f t="shared" si="63"/>
        <v/>
      </c>
      <c r="AZ203" s="25" t="str">
        <f t="shared" si="64"/>
        <v/>
      </c>
      <c r="BA203" s="25" t="str">
        <f t="shared" si="65"/>
        <v/>
      </c>
      <c r="BB203" s="25" t="str">
        <f t="shared" si="66"/>
        <v/>
      </c>
      <c r="BC203" s="25">
        <f t="shared" si="67"/>
        <v>46297</v>
      </c>
    </row>
    <row r="204" spans="1:55" x14ac:dyDescent="0.25">
      <c r="A204" s="151">
        <f t="shared" si="51"/>
        <v>202</v>
      </c>
      <c r="B204" s="151" t="s">
        <v>350</v>
      </c>
      <c r="C204" s="152" t="s">
        <v>113</v>
      </c>
      <c r="D204" s="151">
        <f t="shared" si="52"/>
        <v>1</v>
      </c>
      <c r="E204" s="151" t="s">
        <v>61</v>
      </c>
      <c r="F204" s="173">
        <v>46295</v>
      </c>
      <c r="G204" s="173"/>
      <c r="H204" s="173"/>
      <c r="I204" s="173">
        <v>46296</v>
      </c>
      <c r="J204" s="173">
        <v>46297</v>
      </c>
      <c r="K204" s="173"/>
      <c r="L204" s="173"/>
      <c r="M204" s="173"/>
      <c r="N204" s="173"/>
      <c r="O204" s="173"/>
      <c r="P204" s="173"/>
      <c r="Q204" s="173"/>
      <c r="R204" s="173"/>
      <c r="S204" s="173"/>
      <c r="T204" s="174">
        <v>46297</v>
      </c>
      <c r="U204" s="151"/>
      <c r="V204" s="152"/>
      <c r="W204" s="175"/>
      <c r="X204" s="173"/>
      <c r="Y204" s="173"/>
      <c r="Z204" s="176" t="str">
        <f>IF(B204="","",IF(S204&lt;&gt;"","Sevk Edildi",IF(AND(X204&lt;&gt;"",Y204=""),"Reworkte",IF(T204&lt;&gt;"","Kapandı"&amp;IF(COUNT(G204:R204)=0,""," – "&amp;LOOKUP(2,1/(G204:R204=MAX(G204:R204)),{"Tasarım","Ply Cutter","Üretim","Kalite (Üretim sonrası)","Talaşlı","Kalite (Talaşlı sonrası)","Montaj","Kalite (Montaj sonrası)","Boya","Kalite (Boya sonrası)","Yarı Mamül","KM"})),IF(COUNT(G204:R204)=0,"Başlamadı",LOOKUP(2,1/(G204:R204=MAX(G204:R204)),{"Tasarımda","Ply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04" s="177">
        <f t="shared" ca="1" si="53"/>
        <v>2</v>
      </c>
      <c r="AB204" s="175"/>
      <c r="AD204" t="str">
        <f>IF(OR($B204="",NOT(ISNUMBER(G204))),"",IF(COUNTIF(H204:$T204,G204)&gt;0,0,IF(COUNTIF($G204:$T204,"&gt;"&amp;G204)=0,"",SMALL($G204:$T204,COUNTIF($G204:$T204,"&lt;="&amp;G204)+1)-G204)))</f>
        <v/>
      </c>
      <c r="AE204" t="str">
        <f>IF(OR($B204="",NOT(ISNUMBER(H204))),"",IF(COUNTIF(I204:$T204,H204)&gt;0,0,IF(COUNTIF($G204:$T204,"&gt;"&amp;H204)=0,"",SMALL($G204:$T204,COUNTIF($G204:$T204,"&lt;="&amp;H204)+1)-H204)))</f>
        <v/>
      </c>
      <c r="AF204">
        <f>IF(OR($B204="",NOT(ISNUMBER(I204))),"",IF(COUNTIF(J204:$T204,I204)&gt;0,0,IF(COUNTIF($G204:$T204,"&gt;"&amp;I204)=0,"",SMALL($G204:$T204,COUNTIF($G204:$T204,"&lt;="&amp;I204)+1)-I204)))</f>
        <v>1</v>
      </c>
      <c r="AG204">
        <f>IF(OR($B204="",NOT(ISNUMBER(J204))),"",IF(COUNTIF(K204:$T204,J204)&gt;0,0,IF(COUNTIF($G204:$T204,"&gt;"&amp;J204)=0,"",SMALL($G204:$T204,COUNTIF($G204:$T204,"&lt;="&amp;J204)+1)-J204)))</f>
        <v>0</v>
      </c>
      <c r="AH204" t="str">
        <f>IF(OR($B204="",NOT(ISNUMBER(K204))),"",IF(COUNTIF(L204:$T204,K204)&gt;0,0,IF(COUNTIF($G204:$T204,"&gt;"&amp;K204)=0,"",SMALL($G204:$T204,COUNTIF($G204:$T204,"&lt;="&amp;K204)+1)-K204)))</f>
        <v/>
      </c>
      <c r="AI204" t="str">
        <f>IF(OR($B204="",NOT(ISNUMBER(L204))),"",IF(COUNTIF(M204:$T204,L204)&gt;0,0,IF(COUNTIF($G204:$T204,"&gt;"&amp;L204)=0,"",SMALL($G204:$T204,COUNTIF($G204:$T204,"&lt;="&amp;L204)+1)-L204)))</f>
        <v/>
      </c>
      <c r="AJ204" t="str">
        <f>IF(OR($B204="",NOT(ISNUMBER(M204))),"",IF(COUNTIF(N204:$T204,M204)&gt;0,0,IF(COUNTIF($G204:$T204,"&gt;"&amp;M204)=0,"",SMALL($G204:$T204,COUNTIF($G204:$T204,"&lt;="&amp;M204)+1)-M204)))</f>
        <v/>
      </c>
      <c r="AK204" t="str">
        <f>IF(OR($B204="",NOT(ISNUMBER(N204))),"",IF(COUNTIF(O204:$T204,N204)&gt;0,0,IF(COUNTIF($G204:$T204,"&gt;"&amp;N204)=0,"",SMALL($G204:$T204,COUNTIF($G204:$T204,"&lt;="&amp;N204)+1)-N204)))</f>
        <v/>
      </c>
      <c r="AL204" t="str">
        <f>IF(OR($B204="",NOT(ISNUMBER(O204))),"",IF(COUNTIF(P204:$T204,O204)&gt;0,0,IF(COUNTIF($G204:$T204,"&gt;"&amp;O204)=0,"",SMALL($G204:$T204,COUNTIF($G204:$T204,"&lt;="&amp;O204)+1)-O204)))</f>
        <v/>
      </c>
      <c r="AM204" t="str">
        <f>IF(OR($B204="",NOT(ISNUMBER(P204))),"",IF(COUNTIF(Q204:$T204,P204)&gt;0,0,IF(COUNTIF($G204:$T204,"&gt;"&amp;P204)=0,"",SMALL($G204:$T204,COUNTIF($G204:$T204,"&lt;="&amp;P204)+1)-P204)))</f>
        <v/>
      </c>
      <c r="AN204" t="str">
        <f>IF(OR($B204="",NOT(ISNUMBER(Q204))),"",IF(COUNTIF(R204:$T204,Q204)&gt;0,0,IF(COUNTIF($G204:$T204,"&gt;"&amp;Q204)=0,"",SMALL($G204:$T204,COUNTIF($G204:$T204,"&lt;="&amp;Q204)+1)-Q204)))</f>
        <v/>
      </c>
      <c r="AO204" t="str">
        <f>IF(OR($B204="",NOT(ISNUMBER(R204))),"",IF(COUNTIF(S204:$T204,R204)&gt;0,0,IF(COUNTIF($G204:$T204,"&gt;"&amp;R204)=0,"",SMALL($G204:$T204,COUNTIF($G204:$T204,"&lt;="&amp;R204)+1)-R204)))</f>
        <v/>
      </c>
      <c r="AP204">
        <f t="shared" ca="1" si="54"/>
        <v>0</v>
      </c>
      <c r="AQ204" s="25" t="str">
        <f t="shared" si="55"/>
        <v/>
      </c>
      <c r="AR204" s="25" t="str">
        <f t="shared" si="56"/>
        <v/>
      </c>
      <c r="AS204" s="25">
        <f t="shared" si="57"/>
        <v>46297</v>
      </c>
      <c r="AT204" s="25">
        <f t="shared" si="58"/>
        <v>46297</v>
      </c>
      <c r="AU204" s="25" t="str">
        <f t="shared" si="59"/>
        <v/>
      </c>
      <c r="AV204" s="25" t="str">
        <f t="shared" si="60"/>
        <v/>
      </c>
      <c r="AW204" s="25" t="str">
        <f t="shared" si="61"/>
        <v/>
      </c>
      <c r="AX204" s="25" t="str">
        <f t="shared" si="62"/>
        <v/>
      </c>
      <c r="AY204" s="25" t="str">
        <f t="shared" si="63"/>
        <v/>
      </c>
      <c r="AZ204" s="25" t="str">
        <f t="shared" si="64"/>
        <v/>
      </c>
      <c r="BA204" s="25" t="str">
        <f t="shared" si="65"/>
        <v/>
      </c>
      <c r="BB204" s="25" t="str">
        <f t="shared" si="66"/>
        <v/>
      </c>
      <c r="BC204" s="25">
        <f t="shared" si="67"/>
        <v>46297</v>
      </c>
    </row>
    <row r="205" spans="1:55" x14ac:dyDescent="0.25">
      <c r="A205" s="151">
        <f t="shared" si="51"/>
        <v>203</v>
      </c>
      <c r="B205" s="151" t="s">
        <v>351</v>
      </c>
      <c r="C205" s="152" t="s">
        <v>105</v>
      </c>
      <c r="D205" s="151">
        <f t="shared" si="52"/>
        <v>1</v>
      </c>
      <c r="E205" s="151" t="s">
        <v>61</v>
      </c>
      <c r="F205" s="173">
        <v>46295</v>
      </c>
      <c r="G205" s="173"/>
      <c r="H205" s="173"/>
      <c r="I205" s="173">
        <v>46295</v>
      </c>
      <c r="J205" s="173">
        <v>46297</v>
      </c>
      <c r="K205" s="173"/>
      <c r="L205" s="173"/>
      <c r="M205" s="173"/>
      <c r="N205" s="173"/>
      <c r="O205" s="173"/>
      <c r="P205" s="173"/>
      <c r="Q205" s="173"/>
      <c r="R205" s="173"/>
      <c r="S205" s="173"/>
      <c r="T205" s="174">
        <v>46297</v>
      </c>
      <c r="U205" s="151"/>
      <c r="V205" s="152"/>
      <c r="W205" s="175"/>
      <c r="X205" s="173"/>
      <c r="Y205" s="173"/>
      <c r="Z205" s="176" t="str">
        <f>IF(B205="","",IF(S205&lt;&gt;"","Sevk Edildi",IF(AND(X205&lt;&gt;"",Y205=""),"Reworkte",IF(T205&lt;&gt;"","Kapandı"&amp;IF(COUNT(G205:R205)=0,""," – "&amp;LOOKUP(2,1/(G205:R205=MAX(G205:R205)),{"Tasarım","Ply Cutter","Üretim","Kalite (Üretim sonrası)","Talaşlı","Kalite (Talaşlı sonrası)","Montaj","Kalite (Montaj sonrası)","Boya","Kalite (Boya sonrası)","Yarı Mamül","KM"})),IF(COUNT(G205:R205)=0,"Başlamadı",LOOKUP(2,1/(G205:R205=MAX(G205:R205)),{"Tasarımda","Ply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05" s="177">
        <f t="shared" ca="1" si="53"/>
        <v>2</v>
      </c>
      <c r="AB205" s="175"/>
      <c r="AD205" t="str">
        <f>IF(OR($B205="",NOT(ISNUMBER(G205))),"",IF(COUNTIF(H205:$T205,G205)&gt;0,0,IF(COUNTIF($G205:$T205,"&gt;"&amp;G205)=0,"",SMALL($G205:$T205,COUNTIF($G205:$T205,"&lt;="&amp;G205)+1)-G205)))</f>
        <v/>
      </c>
      <c r="AE205" t="str">
        <f>IF(OR($B205="",NOT(ISNUMBER(H205))),"",IF(COUNTIF(I205:$T205,H205)&gt;0,0,IF(COUNTIF($G205:$T205,"&gt;"&amp;H205)=0,"",SMALL($G205:$T205,COUNTIF($G205:$T205,"&lt;="&amp;H205)+1)-H205)))</f>
        <v/>
      </c>
      <c r="AF205">
        <f>IF(OR($B205="",NOT(ISNUMBER(I205))),"",IF(COUNTIF(J205:$T205,I205)&gt;0,0,IF(COUNTIF($G205:$T205,"&gt;"&amp;I205)=0,"",SMALL($G205:$T205,COUNTIF($G205:$T205,"&lt;="&amp;I205)+1)-I205)))</f>
        <v>2</v>
      </c>
      <c r="AG205">
        <f>IF(OR($B205="",NOT(ISNUMBER(J205))),"",IF(COUNTIF(K205:$T205,J205)&gt;0,0,IF(COUNTIF($G205:$T205,"&gt;"&amp;J205)=0,"",SMALL($G205:$T205,COUNTIF($G205:$T205,"&lt;="&amp;J205)+1)-J205)))</f>
        <v>0</v>
      </c>
      <c r="AH205" t="str">
        <f>IF(OR($B205="",NOT(ISNUMBER(K205))),"",IF(COUNTIF(L205:$T205,K205)&gt;0,0,IF(COUNTIF($G205:$T205,"&gt;"&amp;K205)=0,"",SMALL($G205:$T205,COUNTIF($G205:$T205,"&lt;="&amp;K205)+1)-K205)))</f>
        <v/>
      </c>
      <c r="AI205" t="str">
        <f>IF(OR($B205="",NOT(ISNUMBER(L205))),"",IF(COUNTIF(M205:$T205,L205)&gt;0,0,IF(COUNTIF($G205:$T205,"&gt;"&amp;L205)=0,"",SMALL($G205:$T205,COUNTIF($G205:$T205,"&lt;="&amp;L205)+1)-L205)))</f>
        <v/>
      </c>
      <c r="AJ205" t="str">
        <f>IF(OR($B205="",NOT(ISNUMBER(M205))),"",IF(COUNTIF(N205:$T205,M205)&gt;0,0,IF(COUNTIF($G205:$T205,"&gt;"&amp;M205)=0,"",SMALL($G205:$T205,COUNTIF($G205:$T205,"&lt;="&amp;M205)+1)-M205)))</f>
        <v/>
      </c>
      <c r="AK205" t="str">
        <f>IF(OR($B205="",NOT(ISNUMBER(N205))),"",IF(COUNTIF(O205:$T205,N205)&gt;0,0,IF(COUNTIF($G205:$T205,"&gt;"&amp;N205)=0,"",SMALL($G205:$T205,COUNTIF($G205:$T205,"&lt;="&amp;N205)+1)-N205)))</f>
        <v/>
      </c>
      <c r="AL205" t="str">
        <f>IF(OR($B205="",NOT(ISNUMBER(O205))),"",IF(COUNTIF(P205:$T205,O205)&gt;0,0,IF(COUNTIF($G205:$T205,"&gt;"&amp;O205)=0,"",SMALL($G205:$T205,COUNTIF($G205:$T205,"&lt;="&amp;O205)+1)-O205)))</f>
        <v/>
      </c>
      <c r="AM205" t="str">
        <f>IF(OR($B205="",NOT(ISNUMBER(P205))),"",IF(COUNTIF(Q205:$T205,P205)&gt;0,0,IF(COUNTIF($G205:$T205,"&gt;"&amp;P205)=0,"",SMALL($G205:$T205,COUNTIF($G205:$T205,"&lt;="&amp;P205)+1)-P205)))</f>
        <v/>
      </c>
      <c r="AN205" t="str">
        <f>IF(OR($B205="",NOT(ISNUMBER(Q205))),"",IF(COUNTIF(R205:$T205,Q205)&gt;0,0,IF(COUNTIF($G205:$T205,"&gt;"&amp;Q205)=0,"",SMALL($G205:$T205,COUNTIF($G205:$T205,"&lt;="&amp;Q205)+1)-Q205)))</f>
        <v/>
      </c>
      <c r="AO205" t="str">
        <f>IF(OR($B205="",NOT(ISNUMBER(R205))),"",IF(COUNTIF(S205:$T205,R205)&gt;0,0,IF(COUNTIF($G205:$T205,"&gt;"&amp;R205)=0,"",SMALL($G205:$T205,COUNTIF($G205:$T205,"&lt;="&amp;R205)+1)-R205)))</f>
        <v/>
      </c>
      <c r="AP205">
        <f t="shared" ca="1" si="54"/>
        <v>0</v>
      </c>
      <c r="AQ205" s="25" t="str">
        <f t="shared" si="55"/>
        <v/>
      </c>
      <c r="AR205" s="25" t="str">
        <f t="shared" si="56"/>
        <v/>
      </c>
      <c r="AS205" s="25">
        <f t="shared" si="57"/>
        <v>46297</v>
      </c>
      <c r="AT205" s="25">
        <f t="shared" si="58"/>
        <v>46297</v>
      </c>
      <c r="AU205" s="25" t="str">
        <f t="shared" si="59"/>
        <v/>
      </c>
      <c r="AV205" s="25" t="str">
        <f t="shared" si="60"/>
        <v/>
      </c>
      <c r="AW205" s="25" t="str">
        <f t="shared" si="61"/>
        <v/>
      </c>
      <c r="AX205" s="25" t="str">
        <f t="shared" si="62"/>
        <v/>
      </c>
      <c r="AY205" s="25" t="str">
        <f t="shared" si="63"/>
        <v/>
      </c>
      <c r="AZ205" s="25" t="str">
        <f t="shared" si="64"/>
        <v/>
      </c>
      <c r="BA205" s="25" t="str">
        <f t="shared" si="65"/>
        <v/>
      </c>
      <c r="BB205" s="25" t="str">
        <f t="shared" si="66"/>
        <v/>
      </c>
      <c r="BC205" s="25">
        <f t="shared" si="67"/>
        <v>46297</v>
      </c>
    </row>
    <row r="206" spans="1:55" x14ac:dyDescent="0.25">
      <c r="A206" s="151">
        <f t="shared" si="51"/>
        <v>204</v>
      </c>
      <c r="B206" s="151" t="s">
        <v>352</v>
      </c>
      <c r="C206" s="152" t="s">
        <v>353</v>
      </c>
      <c r="D206" s="151">
        <f t="shared" si="52"/>
        <v>1</v>
      </c>
      <c r="E206" s="151" t="s">
        <v>61</v>
      </c>
      <c r="F206" s="173">
        <v>46295</v>
      </c>
      <c r="G206" s="173"/>
      <c r="H206" s="173"/>
      <c r="I206" s="173">
        <v>46295</v>
      </c>
      <c r="J206" s="173">
        <v>46298</v>
      </c>
      <c r="K206" s="173"/>
      <c r="L206" s="173"/>
      <c r="M206" s="173"/>
      <c r="N206" s="173"/>
      <c r="O206" s="173"/>
      <c r="P206" s="173"/>
      <c r="Q206" s="173"/>
      <c r="R206" s="173"/>
      <c r="S206" s="173"/>
      <c r="T206" s="174">
        <v>46298</v>
      </c>
      <c r="U206" s="151"/>
      <c r="V206" s="152"/>
      <c r="W206" s="175"/>
      <c r="X206" s="173"/>
      <c r="Y206" s="173"/>
      <c r="Z206" s="176" t="str">
        <f>IF(B206="","",IF(S206&lt;&gt;"","Sevk Edildi",IF(AND(X206&lt;&gt;"",Y206=""),"Reworkte",IF(T206&lt;&gt;"","Kapandı"&amp;IF(COUNT(G206:R206)=0,""," – "&amp;LOOKUP(2,1/(G206:R206=MAX(G206:R206)),{"Tasarım","Ply Cutter","Üretim","Kalite (Üretim sonrası)","Talaşlı","Kalite (Talaşlı sonrası)","Montaj","Kalite (Montaj sonrası)","Boya","Kalite (Boya sonrası)","Yarı Mamül","KM"})),IF(COUNT(G206:R206)=0,"Başlamadı",LOOKUP(2,1/(G206:R206=MAX(G206:R206)),{"Tasarımda","Ply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06" s="177">
        <f t="shared" ca="1" si="53"/>
        <v>3</v>
      </c>
      <c r="AB206" s="175"/>
      <c r="AD206" t="str">
        <f>IF(OR($B206="",NOT(ISNUMBER(G206))),"",IF(COUNTIF(H206:$T206,G206)&gt;0,0,IF(COUNTIF($G206:$T206,"&gt;"&amp;G206)=0,"",SMALL($G206:$T206,COUNTIF($G206:$T206,"&lt;="&amp;G206)+1)-G206)))</f>
        <v/>
      </c>
      <c r="AE206" t="str">
        <f>IF(OR($B206="",NOT(ISNUMBER(H206))),"",IF(COUNTIF(I206:$T206,H206)&gt;0,0,IF(COUNTIF($G206:$T206,"&gt;"&amp;H206)=0,"",SMALL($G206:$T206,COUNTIF($G206:$T206,"&lt;="&amp;H206)+1)-H206)))</f>
        <v/>
      </c>
      <c r="AF206">
        <f>IF(OR($B206="",NOT(ISNUMBER(I206))),"",IF(COUNTIF(J206:$T206,I206)&gt;0,0,IF(COUNTIF($G206:$T206,"&gt;"&amp;I206)=0,"",SMALL($G206:$T206,COUNTIF($G206:$T206,"&lt;="&amp;I206)+1)-I206)))</f>
        <v>3</v>
      </c>
      <c r="AG206">
        <f>IF(OR($B206="",NOT(ISNUMBER(J206))),"",IF(COUNTIF(K206:$T206,J206)&gt;0,0,IF(COUNTIF($G206:$T206,"&gt;"&amp;J206)=0,"",SMALL($G206:$T206,COUNTIF($G206:$T206,"&lt;="&amp;J206)+1)-J206)))</f>
        <v>0</v>
      </c>
      <c r="AH206" t="str">
        <f>IF(OR($B206="",NOT(ISNUMBER(K206))),"",IF(COUNTIF(L206:$T206,K206)&gt;0,0,IF(COUNTIF($G206:$T206,"&gt;"&amp;K206)=0,"",SMALL($G206:$T206,COUNTIF($G206:$T206,"&lt;="&amp;K206)+1)-K206)))</f>
        <v/>
      </c>
      <c r="AI206" t="str">
        <f>IF(OR($B206="",NOT(ISNUMBER(L206))),"",IF(COUNTIF(M206:$T206,L206)&gt;0,0,IF(COUNTIF($G206:$T206,"&gt;"&amp;L206)=0,"",SMALL($G206:$T206,COUNTIF($G206:$T206,"&lt;="&amp;L206)+1)-L206)))</f>
        <v/>
      </c>
      <c r="AJ206" t="str">
        <f>IF(OR($B206="",NOT(ISNUMBER(M206))),"",IF(COUNTIF(N206:$T206,M206)&gt;0,0,IF(COUNTIF($G206:$T206,"&gt;"&amp;M206)=0,"",SMALL($G206:$T206,COUNTIF($G206:$T206,"&lt;="&amp;M206)+1)-M206)))</f>
        <v/>
      </c>
      <c r="AK206" t="str">
        <f>IF(OR($B206="",NOT(ISNUMBER(N206))),"",IF(COUNTIF(O206:$T206,N206)&gt;0,0,IF(COUNTIF($G206:$T206,"&gt;"&amp;N206)=0,"",SMALL($G206:$T206,COUNTIF($G206:$T206,"&lt;="&amp;N206)+1)-N206)))</f>
        <v/>
      </c>
      <c r="AL206" t="str">
        <f>IF(OR($B206="",NOT(ISNUMBER(O206))),"",IF(COUNTIF(P206:$T206,O206)&gt;0,0,IF(COUNTIF($G206:$T206,"&gt;"&amp;O206)=0,"",SMALL($G206:$T206,COUNTIF($G206:$T206,"&lt;="&amp;O206)+1)-O206)))</f>
        <v/>
      </c>
      <c r="AM206" t="str">
        <f>IF(OR($B206="",NOT(ISNUMBER(P206))),"",IF(COUNTIF(Q206:$T206,P206)&gt;0,0,IF(COUNTIF($G206:$T206,"&gt;"&amp;P206)=0,"",SMALL($G206:$T206,COUNTIF($G206:$T206,"&lt;="&amp;P206)+1)-P206)))</f>
        <v/>
      </c>
      <c r="AN206" t="str">
        <f>IF(OR($B206="",NOT(ISNUMBER(Q206))),"",IF(COUNTIF(R206:$T206,Q206)&gt;0,0,IF(COUNTIF($G206:$T206,"&gt;"&amp;Q206)=0,"",SMALL($G206:$T206,COUNTIF($G206:$T206,"&lt;="&amp;Q206)+1)-Q206)))</f>
        <v/>
      </c>
      <c r="AO206" t="str">
        <f>IF(OR($B206="",NOT(ISNUMBER(R206))),"",IF(COUNTIF(S206:$T206,R206)&gt;0,0,IF(COUNTIF($G206:$T206,"&gt;"&amp;R206)=0,"",SMALL($G206:$T206,COUNTIF($G206:$T206,"&lt;="&amp;R206)+1)-R206)))</f>
        <v/>
      </c>
      <c r="AP206">
        <f t="shared" ca="1" si="54"/>
        <v>0</v>
      </c>
      <c r="AQ206" s="25" t="str">
        <f t="shared" si="55"/>
        <v/>
      </c>
      <c r="AR206" s="25" t="str">
        <f t="shared" si="56"/>
        <v/>
      </c>
      <c r="AS206" s="25">
        <f t="shared" si="57"/>
        <v>46298</v>
      </c>
      <c r="AT206" s="25">
        <f t="shared" si="58"/>
        <v>46298</v>
      </c>
      <c r="AU206" s="25" t="str">
        <f t="shared" si="59"/>
        <v/>
      </c>
      <c r="AV206" s="25" t="str">
        <f t="shared" si="60"/>
        <v/>
      </c>
      <c r="AW206" s="25" t="str">
        <f t="shared" si="61"/>
        <v/>
      </c>
      <c r="AX206" s="25" t="str">
        <f t="shared" si="62"/>
        <v/>
      </c>
      <c r="AY206" s="25" t="str">
        <f t="shared" si="63"/>
        <v/>
      </c>
      <c r="AZ206" s="25" t="str">
        <f t="shared" si="64"/>
        <v/>
      </c>
      <c r="BA206" s="25" t="str">
        <f t="shared" si="65"/>
        <v/>
      </c>
      <c r="BB206" s="25" t="str">
        <f t="shared" si="66"/>
        <v/>
      </c>
      <c r="BC206" s="25">
        <f t="shared" si="67"/>
        <v>46298</v>
      </c>
    </row>
    <row r="207" spans="1:55" x14ac:dyDescent="0.25">
      <c r="A207" s="151">
        <f t="shared" si="51"/>
        <v>205</v>
      </c>
      <c r="B207" s="151" t="s">
        <v>354</v>
      </c>
      <c r="C207" s="152" t="s">
        <v>355</v>
      </c>
      <c r="D207" s="151">
        <f t="shared" si="52"/>
        <v>1</v>
      </c>
      <c r="E207" s="151" t="s">
        <v>61</v>
      </c>
      <c r="F207" s="173">
        <v>46295</v>
      </c>
      <c r="G207" s="173"/>
      <c r="H207" s="173"/>
      <c r="I207" s="173">
        <v>46295</v>
      </c>
      <c r="J207" s="173">
        <v>46296</v>
      </c>
      <c r="K207" s="173"/>
      <c r="L207" s="173"/>
      <c r="M207" s="173"/>
      <c r="N207" s="173"/>
      <c r="O207" s="173"/>
      <c r="P207" s="173"/>
      <c r="Q207" s="173">
        <v>46296</v>
      </c>
      <c r="R207" s="173"/>
      <c r="S207" s="173"/>
      <c r="T207" s="174">
        <v>46296</v>
      </c>
      <c r="U207" s="151"/>
      <c r="V207" s="152"/>
      <c r="W207" s="175"/>
      <c r="X207" s="173"/>
      <c r="Y207" s="173"/>
      <c r="Z207" s="176" t="str">
        <f>IF(B207="","",IF(S207&lt;&gt;"","Sevk Edildi",IF(AND(X207&lt;&gt;"",Y207=""),"Reworkte",IF(T207&lt;&gt;"","Kapandı"&amp;IF(COUNT(G207:R207)=0,""," – "&amp;LOOKUP(2,1/(G207:R207=MAX(G207:R207)),{"Tasarım","Ply Cutter","Üretim","Kalite (Üretim sonrası)","Talaşlı","Kalite (Talaşlı sonrası)","Montaj","Kalite (Montaj sonrası)","Boya","Kalite (Boya sonrası)","Yarı Mamül","KM"})),IF(COUNT(G207:R207)=0,"Başlamadı",LOOKUP(2,1/(G207:R207=MAX(G207:R207)),{"Tasarımda","Ply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07" s="177">
        <f t="shared" ca="1" si="53"/>
        <v>1</v>
      </c>
      <c r="AB207" s="175"/>
      <c r="AD207" t="str">
        <f>IF(OR($B207="",NOT(ISNUMBER(G207))),"",IF(COUNTIF(H207:$T207,G207)&gt;0,0,IF(COUNTIF($G207:$T207,"&gt;"&amp;G207)=0,"",SMALL($G207:$T207,COUNTIF($G207:$T207,"&lt;="&amp;G207)+1)-G207)))</f>
        <v/>
      </c>
      <c r="AE207" t="str">
        <f>IF(OR($B207="",NOT(ISNUMBER(H207))),"",IF(COUNTIF(I207:$T207,H207)&gt;0,0,IF(COUNTIF($G207:$T207,"&gt;"&amp;H207)=0,"",SMALL($G207:$T207,COUNTIF($G207:$T207,"&lt;="&amp;H207)+1)-H207)))</f>
        <v/>
      </c>
      <c r="AF207">
        <f>IF(OR($B207="",NOT(ISNUMBER(I207))),"",IF(COUNTIF(J207:$T207,I207)&gt;0,0,IF(COUNTIF($G207:$T207,"&gt;"&amp;I207)=0,"",SMALL($G207:$T207,COUNTIF($G207:$T207,"&lt;="&amp;I207)+1)-I207)))</f>
        <v>1</v>
      </c>
      <c r="AG207">
        <f>IF(OR($B207="",NOT(ISNUMBER(J207))),"",IF(COUNTIF(K207:$T207,J207)&gt;0,0,IF(COUNTIF($G207:$T207,"&gt;"&amp;J207)=0,"",SMALL($G207:$T207,COUNTIF($G207:$T207,"&lt;="&amp;J207)+1)-J207)))</f>
        <v>0</v>
      </c>
      <c r="AH207" t="str">
        <f>IF(OR($B207="",NOT(ISNUMBER(K207))),"",IF(COUNTIF(L207:$T207,K207)&gt;0,0,IF(COUNTIF($G207:$T207,"&gt;"&amp;K207)=0,"",SMALL($G207:$T207,COUNTIF($G207:$T207,"&lt;="&amp;K207)+1)-K207)))</f>
        <v/>
      </c>
      <c r="AI207" t="str">
        <f>IF(OR($B207="",NOT(ISNUMBER(L207))),"",IF(COUNTIF(M207:$T207,L207)&gt;0,0,IF(COUNTIF($G207:$T207,"&gt;"&amp;L207)=0,"",SMALL($G207:$T207,COUNTIF($G207:$T207,"&lt;="&amp;L207)+1)-L207)))</f>
        <v/>
      </c>
      <c r="AJ207" t="str">
        <f>IF(OR($B207="",NOT(ISNUMBER(M207))),"",IF(COUNTIF(N207:$T207,M207)&gt;0,0,IF(COUNTIF($G207:$T207,"&gt;"&amp;M207)=0,"",SMALL($G207:$T207,COUNTIF($G207:$T207,"&lt;="&amp;M207)+1)-M207)))</f>
        <v/>
      </c>
      <c r="AK207" t="str">
        <f>IF(OR($B207="",NOT(ISNUMBER(N207))),"",IF(COUNTIF(O207:$T207,N207)&gt;0,0,IF(COUNTIF($G207:$T207,"&gt;"&amp;N207)=0,"",SMALL($G207:$T207,COUNTIF($G207:$T207,"&lt;="&amp;N207)+1)-N207)))</f>
        <v/>
      </c>
      <c r="AL207" t="str">
        <f>IF(OR($B207="",NOT(ISNUMBER(O207))),"",IF(COUNTIF(P207:$T207,O207)&gt;0,0,IF(COUNTIF($G207:$T207,"&gt;"&amp;O207)=0,"",SMALL($G207:$T207,COUNTIF($G207:$T207,"&lt;="&amp;O207)+1)-O207)))</f>
        <v/>
      </c>
      <c r="AM207" t="str">
        <f>IF(OR($B207="",NOT(ISNUMBER(P207))),"",IF(COUNTIF(Q207:$T207,P207)&gt;0,0,IF(COUNTIF($G207:$T207,"&gt;"&amp;P207)=0,"",SMALL($G207:$T207,COUNTIF($G207:$T207,"&lt;="&amp;P207)+1)-P207)))</f>
        <v/>
      </c>
      <c r="AN207">
        <f>IF(OR($B207="",NOT(ISNUMBER(Q207))),"",IF(COUNTIF(R207:$T207,Q207)&gt;0,0,IF(COUNTIF($G207:$T207,"&gt;"&amp;Q207)=0,"",SMALL($G207:$T207,COUNTIF($G207:$T207,"&lt;="&amp;Q207)+1)-Q207)))</f>
        <v>0</v>
      </c>
      <c r="AO207" t="str">
        <f>IF(OR($B207="",NOT(ISNUMBER(R207))),"",IF(COUNTIF(S207:$T207,R207)&gt;0,0,IF(COUNTIF($G207:$T207,"&gt;"&amp;R207)=0,"",SMALL($G207:$T207,COUNTIF($G207:$T207,"&lt;="&amp;R207)+1)-R207)))</f>
        <v/>
      </c>
      <c r="AP207">
        <f t="shared" ca="1" si="54"/>
        <v>0</v>
      </c>
      <c r="AQ207" s="25" t="str">
        <f t="shared" si="55"/>
        <v/>
      </c>
      <c r="AR207" s="25" t="str">
        <f t="shared" si="56"/>
        <v/>
      </c>
      <c r="AS207" s="25">
        <f t="shared" si="57"/>
        <v>46296</v>
      </c>
      <c r="AT207" s="25">
        <f t="shared" si="58"/>
        <v>46296</v>
      </c>
      <c r="AU207" s="25" t="str">
        <f t="shared" si="59"/>
        <v/>
      </c>
      <c r="AV207" s="25" t="str">
        <f t="shared" si="60"/>
        <v/>
      </c>
      <c r="AW207" s="25" t="str">
        <f t="shared" si="61"/>
        <v/>
      </c>
      <c r="AX207" s="25" t="str">
        <f t="shared" si="62"/>
        <v/>
      </c>
      <c r="AY207" s="25" t="str">
        <f t="shared" si="63"/>
        <v/>
      </c>
      <c r="AZ207" s="25" t="str">
        <f t="shared" si="64"/>
        <v/>
      </c>
      <c r="BA207" s="25">
        <f t="shared" si="65"/>
        <v>46296</v>
      </c>
      <c r="BB207" s="25" t="str">
        <f t="shared" si="66"/>
        <v/>
      </c>
      <c r="BC207" s="25">
        <f t="shared" si="67"/>
        <v>46296</v>
      </c>
    </row>
    <row r="208" spans="1:55" x14ac:dyDescent="0.25">
      <c r="A208" s="151">
        <f t="shared" si="51"/>
        <v>206</v>
      </c>
      <c r="B208" s="151" t="s">
        <v>356</v>
      </c>
      <c r="C208" s="152" t="s">
        <v>355</v>
      </c>
      <c r="D208" s="151">
        <f t="shared" si="52"/>
        <v>1</v>
      </c>
      <c r="E208" s="151" t="s">
        <v>61</v>
      </c>
      <c r="F208" s="173">
        <v>46295</v>
      </c>
      <c r="G208" s="173"/>
      <c r="H208" s="173"/>
      <c r="I208" s="173">
        <v>46295</v>
      </c>
      <c r="J208" s="173">
        <v>46296</v>
      </c>
      <c r="K208" s="173"/>
      <c r="L208" s="173"/>
      <c r="M208" s="173"/>
      <c r="N208" s="173"/>
      <c r="O208" s="173"/>
      <c r="P208" s="173"/>
      <c r="Q208" s="173">
        <v>46296</v>
      </c>
      <c r="R208" s="173"/>
      <c r="S208" s="173"/>
      <c r="T208" s="174">
        <v>46296</v>
      </c>
      <c r="U208" s="151"/>
      <c r="V208" s="152"/>
      <c r="W208" s="175"/>
      <c r="X208" s="173"/>
      <c r="Y208" s="173"/>
      <c r="Z208" s="176" t="str">
        <f>IF(B208="","",IF(S208&lt;&gt;"","Sevk Edildi",IF(AND(X208&lt;&gt;"",Y208=""),"Reworkte",IF(T208&lt;&gt;"","Kapandı"&amp;IF(COUNT(G208:R208)=0,""," – "&amp;LOOKUP(2,1/(G208:R208=MAX(G208:R208)),{"Tasarım","Ply Cutter","Üretim","Kalite (Üretim sonrası)","Talaşlı","Kalite (Talaşlı sonrası)","Montaj","Kalite (Montaj sonrası)","Boya","Kalite (Boya sonrası)","Yarı Mamül","KM"})),IF(COUNT(G208:R208)=0,"Başlamadı",LOOKUP(2,1/(G208:R208=MAX(G208:R208)),{"Tasarımda","Ply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08" s="177">
        <f t="shared" ca="1" si="53"/>
        <v>1</v>
      </c>
      <c r="AB208" s="175"/>
      <c r="AD208" t="str">
        <f>IF(OR($B208="",NOT(ISNUMBER(G208))),"",IF(COUNTIF(H208:$T208,G208)&gt;0,0,IF(COUNTIF($G208:$T208,"&gt;"&amp;G208)=0,"",SMALL($G208:$T208,COUNTIF($G208:$T208,"&lt;="&amp;G208)+1)-G208)))</f>
        <v/>
      </c>
      <c r="AE208" t="str">
        <f>IF(OR($B208="",NOT(ISNUMBER(H208))),"",IF(COUNTIF(I208:$T208,H208)&gt;0,0,IF(COUNTIF($G208:$T208,"&gt;"&amp;H208)=0,"",SMALL($G208:$T208,COUNTIF($G208:$T208,"&lt;="&amp;H208)+1)-H208)))</f>
        <v/>
      </c>
      <c r="AF208">
        <f>IF(OR($B208="",NOT(ISNUMBER(I208))),"",IF(COUNTIF(J208:$T208,I208)&gt;0,0,IF(COUNTIF($G208:$T208,"&gt;"&amp;I208)=0,"",SMALL($G208:$T208,COUNTIF($G208:$T208,"&lt;="&amp;I208)+1)-I208)))</f>
        <v>1</v>
      </c>
      <c r="AG208">
        <f>IF(OR($B208="",NOT(ISNUMBER(J208))),"",IF(COUNTIF(K208:$T208,J208)&gt;0,0,IF(COUNTIF($G208:$T208,"&gt;"&amp;J208)=0,"",SMALL($G208:$T208,COUNTIF($G208:$T208,"&lt;="&amp;J208)+1)-J208)))</f>
        <v>0</v>
      </c>
      <c r="AH208" t="str">
        <f>IF(OR($B208="",NOT(ISNUMBER(K208))),"",IF(COUNTIF(L208:$T208,K208)&gt;0,0,IF(COUNTIF($G208:$T208,"&gt;"&amp;K208)=0,"",SMALL($G208:$T208,COUNTIF($G208:$T208,"&lt;="&amp;K208)+1)-K208)))</f>
        <v/>
      </c>
      <c r="AI208" t="str">
        <f>IF(OR($B208="",NOT(ISNUMBER(L208))),"",IF(COUNTIF(M208:$T208,L208)&gt;0,0,IF(COUNTIF($G208:$T208,"&gt;"&amp;L208)=0,"",SMALL($G208:$T208,COUNTIF($G208:$T208,"&lt;="&amp;L208)+1)-L208)))</f>
        <v/>
      </c>
      <c r="AJ208" t="str">
        <f>IF(OR($B208="",NOT(ISNUMBER(M208))),"",IF(COUNTIF(N208:$T208,M208)&gt;0,0,IF(COUNTIF($G208:$T208,"&gt;"&amp;M208)=0,"",SMALL($G208:$T208,COUNTIF($G208:$T208,"&lt;="&amp;M208)+1)-M208)))</f>
        <v/>
      </c>
      <c r="AK208" t="str">
        <f>IF(OR($B208="",NOT(ISNUMBER(N208))),"",IF(COUNTIF(O208:$T208,N208)&gt;0,0,IF(COUNTIF($G208:$T208,"&gt;"&amp;N208)=0,"",SMALL($G208:$T208,COUNTIF($G208:$T208,"&lt;="&amp;N208)+1)-N208)))</f>
        <v/>
      </c>
      <c r="AL208" t="str">
        <f>IF(OR($B208="",NOT(ISNUMBER(O208))),"",IF(COUNTIF(P208:$T208,O208)&gt;0,0,IF(COUNTIF($G208:$T208,"&gt;"&amp;O208)=0,"",SMALL($G208:$T208,COUNTIF($G208:$T208,"&lt;="&amp;O208)+1)-O208)))</f>
        <v/>
      </c>
      <c r="AM208" t="str">
        <f>IF(OR($B208="",NOT(ISNUMBER(P208))),"",IF(COUNTIF(Q208:$T208,P208)&gt;0,0,IF(COUNTIF($G208:$T208,"&gt;"&amp;P208)=0,"",SMALL($G208:$T208,COUNTIF($G208:$T208,"&lt;="&amp;P208)+1)-P208)))</f>
        <v/>
      </c>
      <c r="AN208">
        <f>IF(OR($B208="",NOT(ISNUMBER(Q208))),"",IF(COUNTIF(R208:$T208,Q208)&gt;0,0,IF(COUNTIF($G208:$T208,"&gt;"&amp;Q208)=0,"",SMALL($G208:$T208,COUNTIF($G208:$T208,"&lt;="&amp;Q208)+1)-Q208)))</f>
        <v>0</v>
      </c>
      <c r="AO208" t="str">
        <f>IF(OR($B208="",NOT(ISNUMBER(R208))),"",IF(COUNTIF(S208:$T208,R208)&gt;0,0,IF(COUNTIF($G208:$T208,"&gt;"&amp;R208)=0,"",SMALL($G208:$T208,COUNTIF($G208:$T208,"&lt;="&amp;R208)+1)-R208)))</f>
        <v/>
      </c>
      <c r="AP208">
        <f t="shared" ca="1" si="54"/>
        <v>0</v>
      </c>
      <c r="AQ208" s="25" t="str">
        <f t="shared" si="55"/>
        <v/>
      </c>
      <c r="AR208" s="25" t="str">
        <f t="shared" si="56"/>
        <v/>
      </c>
      <c r="AS208" s="25">
        <f t="shared" si="57"/>
        <v>46296</v>
      </c>
      <c r="AT208" s="25">
        <f t="shared" si="58"/>
        <v>46296</v>
      </c>
      <c r="AU208" s="25" t="str">
        <f t="shared" si="59"/>
        <v/>
      </c>
      <c r="AV208" s="25" t="str">
        <f t="shared" si="60"/>
        <v/>
      </c>
      <c r="AW208" s="25" t="str">
        <f t="shared" si="61"/>
        <v/>
      </c>
      <c r="AX208" s="25" t="str">
        <f t="shared" si="62"/>
        <v/>
      </c>
      <c r="AY208" s="25" t="str">
        <f t="shared" si="63"/>
        <v/>
      </c>
      <c r="AZ208" s="25" t="str">
        <f t="shared" si="64"/>
        <v/>
      </c>
      <c r="BA208" s="25">
        <f t="shared" si="65"/>
        <v>46296</v>
      </c>
      <c r="BB208" s="25" t="str">
        <f t="shared" si="66"/>
        <v/>
      </c>
      <c r="BC208" s="25">
        <f t="shared" si="67"/>
        <v>46296</v>
      </c>
    </row>
    <row r="209" spans="1:55" x14ac:dyDescent="0.25">
      <c r="A209" s="151">
        <f t="shared" si="51"/>
        <v>207</v>
      </c>
      <c r="B209" s="151" t="s">
        <v>357</v>
      </c>
      <c r="C209" s="152" t="s">
        <v>358</v>
      </c>
      <c r="D209" s="151">
        <f t="shared" si="52"/>
        <v>50</v>
      </c>
      <c r="E209" s="151" t="s">
        <v>100</v>
      </c>
      <c r="F209" s="173">
        <v>46295</v>
      </c>
      <c r="G209" s="173"/>
      <c r="H209" s="173"/>
      <c r="I209" s="173"/>
      <c r="J209" s="173"/>
      <c r="K209" s="173">
        <v>46295</v>
      </c>
      <c r="L209" s="173"/>
      <c r="M209" s="173">
        <v>46296</v>
      </c>
      <c r="N209" s="173">
        <v>46303</v>
      </c>
      <c r="O209" s="173"/>
      <c r="P209" s="173"/>
      <c r="Q209" s="173"/>
      <c r="R209" s="173"/>
      <c r="S209" s="173"/>
      <c r="T209" s="151"/>
      <c r="U209" s="151"/>
      <c r="V209" s="152"/>
      <c r="W209" s="175"/>
      <c r="X209" s="173"/>
      <c r="Y209" s="173"/>
      <c r="Z209" s="176" t="str">
        <f>IF(B209="","",IF(S209&lt;&gt;"","Sevk Edildi",IF(AND(X209&lt;&gt;"",Y209=""),"Reworkte",IF(T209&lt;&gt;"","Kapandı"&amp;IF(COUNT(G209:R209)=0,""," – "&amp;LOOKUP(2,1/(G209:R209=MAX(G209:R209)),{"Tasarım","Ply Cutter","Üretim","Kalite (Üretim sonrası)","Talaşlı","Kalite (Talaşlı sonrası)","Montaj","Kalite (Montaj sonrası)","Boya","Kalite (Boya sonrası)","Yarı Mamül","KM"})),IF(COUNT(G209:R209)=0,"Başlamadı",LOOKUP(2,1/(G209:R209=MAX(G209:R209)),{"Tasarımda","Ply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209" s="177">
        <f t="shared" ca="1" si="53"/>
        <v>12</v>
      </c>
      <c r="AB209" s="175"/>
      <c r="AD209" t="str">
        <f>IF(OR($B209="",NOT(ISNUMBER(G209))),"",IF(COUNTIF(H209:$T209,G209)&gt;0,0,IF(COUNTIF($G209:$T209,"&gt;"&amp;G209)=0,"",SMALL($G209:$T209,COUNTIF($G209:$T209,"&lt;="&amp;G209)+1)-G209)))</f>
        <v/>
      </c>
      <c r="AE209" t="str">
        <f>IF(OR($B209="",NOT(ISNUMBER(H209))),"",IF(COUNTIF(I209:$T209,H209)&gt;0,0,IF(COUNTIF($G209:$T209,"&gt;"&amp;H209)=0,"",SMALL($G209:$T209,COUNTIF($G209:$T209,"&lt;="&amp;H209)+1)-H209)))</f>
        <v/>
      </c>
      <c r="AF209" t="str">
        <f>IF(OR($B209="",NOT(ISNUMBER(I209))),"",IF(COUNTIF(J209:$T209,I209)&gt;0,0,IF(COUNTIF($G209:$T209,"&gt;"&amp;I209)=0,"",SMALL($G209:$T209,COUNTIF($G209:$T209,"&lt;="&amp;I209)+1)-I209)))</f>
        <v/>
      </c>
      <c r="AG209" t="str">
        <f>IF(OR($B209="",NOT(ISNUMBER(J209))),"",IF(COUNTIF(K209:$T209,J209)&gt;0,0,IF(COUNTIF($G209:$T209,"&gt;"&amp;J209)=0,"",SMALL($G209:$T209,COUNTIF($G209:$T209,"&lt;="&amp;J209)+1)-J209)))</f>
        <v/>
      </c>
      <c r="AH209">
        <f>IF(OR($B209="",NOT(ISNUMBER(K209))),"",IF(COUNTIF(L209:$T209,K209)&gt;0,0,IF(COUNTIF($G209:$T209,"&gt;"&amp;K209)=0,"",SMALL($G209:$T209,COUNTIF($G209:$T209,"&lt;="&amp;K209)+1)-K209)))</f>
        <v>1</v>
      </c>
      <c r="AI209" t="str">
        <f>IF(OR($B209="",NOT(ISNUMBER(L209))),"",IF(COUNTIF(M209:$T209,L209)&gt;0,0,IF(COUNTIF($G209:$T209,"&gt;"&amp;L209)=0,"",SMALL($G209:$T209,COUNTIF($G209:$T209,"&lt;="&amp;L209)+1)-L209)))</f>
        <v/>
      </c>
      <c r="AJ209">
        <f>IF(OR($B209="",NOT(ISNUMBER(M209))),"",IF(COUNTIF(N209:$T209,M209)&gt;0,0,IF(COUNTIF($G209:$T209,"&gt;"&amp;M209)=0,"",SMALL($G209:$T209,COUNTIF($G209:$T209,"&lt;="&amp;M209)+1)-M209)))</f>
        <v>7</v>
      </c>
      <c r="AK209" t="str">
        <f>IF(OR($B209="",NOT(ISNUMBER(N209))),"",IF(COUNTIF(O209:$T209,N209)&gt;0,0,IF(COUNTIF($G209:$T209,"&gt;"&amp;N209)=0,"",SMALL($G209:$T209,COUNTIF($G209:$T209,"&lt;="&amp;N209)+1)-N209)))</f>
        <v/>
      </c>
      <c r="AL209" t="str">
        <f>IF(OR($B209="",NOT(ISNUMBER(O209))),"",IF(COUNTIF(P209:$T209,O209)&gt;0,0,IF(COUNTIF($G209:$T209,"&gt;"&amp;O209)=0,"",SMALL($G209:$T209,COUNTIF($G209:$T209,"&lt;="&amp;O209)+1)-O209)))</f>
        <v/>
      </c>
      <c r="AM209" t="str">
        <f>IF(OR($B209="",NOT(ISNUMBER(P209))),"",IF(COUNTIF(Q209:$T209,P209)&gt;0,0,IF(COUNTIF($G209:$T209,"&gt;"&amp;P209)=0,"",SMALL($G209:$T209,COUNTIF($G209:$T209,"&lt;="&amp;P209)+1)-P209)))</f>
        <v/>
      </c>
      <c r="AN209" t="str">
        <f>IF(OR($B209="",NOT(ISNUMBER(Q209))),"",IF(COUNTIF(R209:$T209,Q209)&gt;0,0,IF(COUNTIF($G209:$T209,"&gt;"&amp;Q209)=0,"",SMALL($G209:$T209,COUNTIF($G209:$T209,"&lt;="&amp;Q209)+1)-Q209)))</f>
        <v/>
      </c>
      <c r="AO209" t="str">
        <f>IF(OR($B209="",NOT(ISNUMBER(R209))),"",IF(COUNTIF(S209:$T209,R209)&gt;0,0,IF(COUNTIF($G209:$T209,"&gt;"&amp;R209)=0,"",SMALL($G209:$T209,COUNTIF($G209:$T209,"&lt;="&amp;R209)+1)-R209)))</f>
        <v/>
      </c>
      <c r="AP209">
        <f t="shared" ca="1" si="54"/>
        <v>4</v>
      </c>
      <c r="AQ209" s="25" t="str">
        <f t="shared" si="55"/>
        <v/>
      </c>
      <c r="AR209" s="25" t="str">
        <f t="shared" si="56"/>
        <v/>
      </c>
      <c r="AS209" s="25" t="str">
        <f t="shared" si="57"/>
        <v/>
      </c>
      <c r="AT209" s="25" t="str">
        <f t="shared" si="58"/>
        <v/>
      </c>
      <c r="AU209" s="25">
        <f t="shared" si="59"/>
        <v>46296</v>
      </c>
      <c r="AV209" s="25" t="str">
        <f t="shared" si="60"/>
        <v/>
      </c>
      <c r="AW209" s="25">
        <f t="shared" si="61"/>
        <v>46303</v>
      </c>
      <c r="AX209" s="25" t="str">
        <f t="shared" si="62"/>
        <v/>
      </c>
      <c r="AY209" s="25" t="str">
        <f t="shared" si="63"/>
        <v/>
      </c>
      <c r="AZ209" s="25" t="str">
        <f t="shared" si="64"/>
        <v/>
      </c>
      <c r="BA209" s="25" t="str">
        <f t="shared" si="65"/>
        <v/>
      </c>
      <c r="BB209" s="25" t="str">
        <f t="shared" si="66"/>
        <v/>
      </c>
      <c r="BC209" s="25" t="str">
        <f t="shared" si="67"/>
        <v/>
      </c>
    </row>
    <row r="210" spans="1:55" x14ac:dyDescent="0.25">
      <c r="A210" s="151">
        <f t="shared" si="51"/>
        <v>208</v>
      </c>
      <c r="B210" s="151" t="s">
        <v>359</v>
      </c>
      <c r="C210" s="152" t="s">
        <v>360</v>
      </c>
      <c r="D210" s="151">
        <f t="shared" si="52"/>
        <v>8</v>
      </c>
      <c r="E210" s="151" t="s">
        <v>100</v>
      </c>
      <c r="F210" s="173">
        <v>46295</v>
      </c>
      <c r="G210" s="173"/>
      <c r="H210" s="173"/>
      <c r="I210" s="173"/>
      <c r="J210" s="173"/>
      <c r="K210" s="173">
        <v>46295</v>
      </c>
      <c r="L210" s="173"/>
      <c r="M210" s="173">
        <v>46296</v>
      </c>
      <c r="N210" s="173">
        <v>46303</v>
      </c>
      <c r="O210" s="173"/>
      <c r="P210" s="173"/>
      <c r="Q210" s="173"/>
      <c r="R210" s="173"/>
      <c r="S210" s="173"/>
      <c r="T210" s="151"/>
      <c r="U210" s="151"/>
      <c r="V210" s="152"/>
      <c r="W210" s="175"/>
      <c r="X210" s="173"/>
      <c r="Y210" s="173"/>
      <c r="Z210" s="176" t="str">
        <f>IF(B210="","",IF(S210&lt;&gt;"","Sevk Edildi",IF(AND(X210&lt;&gt;"",Y210=""),"Reworkte",IF(T210&lt;&gt;"","Kapandı"&amp;IF(COUNT(G210:R210)=0,""," – "&amp;LOOKUP(2,1/(G210:R210=MAX(G210:R210)),{"Tasarım","Ply Cutter","Üretim","Kalite (Üretim sonrası)","Talaşlı","Kalite (Talaşlı sonrası)","Montaj","Kalite (Montaj sonrası)","Boya","Kalite (Boya sonrası)","Yarı Mamül","KM"})),IF(COUNT(G210:R210)=0,"Başlamadı",LOOKUP(2,1/(G210:R210=MAX(G210:R210)),{"Tasarımda","Ply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210" s="177">
        <f t="shared" ca="1" si="53"/>
        <v>12</v>
      </c>
      <c r="AB210" s="175"/>
      <c r="AD210" t="str">
        <f>IF(OR($B210="",NOT(ISNUMBER(G210))),"",IF(COUNTIF(H210:$T210,G210)&gt;0,0,IF(COUNTIF($G210:$T210,"&gt;"&amp;G210)=0,"",SMALL($G210:$T210,COUNTIF($G210:$T210,"&lt;="&amp;G210)+1)-G210)))</f>
        <v/>
      </c>
      <c r="AE210" t="str">
        <f>IF(OR($B210="",NOT(ISNUMBER(H210))),"",IF(COUNTIF(I210:$T210,H210)&gt;0,0,IF(COUNTIF($G210:$T210,"&gt;"&amp;H210)=0,"",SMALL($G210:$T210,COUNTIF($G210:$T210,"&lt;="&amp;H210)+1)-H210)))</f>
        <v/>
      </c>
      <c r="AF210" t="str">
        <f>IF(OR($B210="",NOT(ISNUMBER(I210))),"",IF(COUNTIF(J210:$T210,I210)&gt;0,0,IF(COUNTIF($G210:$T210,"&gt;"&amp;I210)=0,"",SMALL($G210:$T210,COUNTIF($G210:$T210,"&lt;="&amp;I210)+1)-I210)))</f>
        <v/>
      </c>
      <c r="AG210" t="str">
        <f>IF(OR($B210="",NOT(ISNUMBER(J210))),"",IF(COUNTIF(K210:$T210,J210)&gt;0,0,IF(COUNTIF($G210:$T210,"&gt;"&amp;J210)=0,"",SMALL($G210:$T210,COUNTIF($G210:$T210,"&lt;="&amp;J210)+1)-J210)))</f>
        <v/>
      </c>
      <c r="AH210">
        <f>IF(OR($B210="",NOT(ISNUMBER(K210))),"",IF(COUNTIF(L210:$T210,K210)&gt;0,0,IF(COUNTIF($G210:$T210,"&gt;"&amp;K210)=0,"",SMALL($G210:$T210,COUNTIF($G210:$T210,"&lt;="&amp;K210)+1)-K210)))</f>
        <v>1</v>
      </c>
      <c r="AI210" t="str">
        <f>IF(OR($B210="",NOT(ISNUMBER(L210))),"",IF(COUNTIF(M210:$T210,L210)&gt;0,0,IF(COUNTIF($G210:$T210,"&gt;"&amp;L210)=0,"",SMALL($G210:$T210,COUNTIF($G210:$T210,"&lt;="&amp;L210)+1)-L210)))</f>
        <v/>
      </c>
      <c r="AJ210">
        <f>IF(OR($B210="",NOT(ISNUMBER(M210))),"",IF(COUNTIF(N210:$T210,M210)&gt;0,0,IF(COUNTIF($G210:$T210,"&gt;"&amp;M210)=0,"",SMALL($G210:$T210,COUNTIF($G210:$T210,"&lt;="&amp;M210)+1)-M210)))</f>
        <v>7</v>
      </c>
      <c r="AK210" t="str">
        <f>IF(OR($B210="",NOT(ISNUMBER(N210))),"",IF(COUNTIF(O210:$T210,N210)&gt;0,0,IF(COUNTIF($G210:$T210,"&gt;"&amp;N210)=0,"",SMALL($G210:$T210,COUNTIF($G210:$T210,"&lt;="&amp;N210)+1)-N210)))</f>
        <v/>
      </c>
      <c r="AL210" t="str">
        <f>IF(OR($B210="",NOT(ISNUMBER(O210))),"",IF(COUNTIF(P210:$T210,O210)&gt;0,0,IF(COUNTIF($G210:$T210,"&gt;"&amp;O210)=0,"",SMALL($G210:$T210,COUNTIF($G210:$T210,"&lt;="&amp;O210)+1)-O210)))</f>
        <v/>
      </c>
      <c r="AM210" t="str">
        <f>IF(OR($B210="",NOT(ISNUMBER(P210))),"",IF(COUNTIF(Q210:$T210,P210)&gt;0,0,IF(COUNTIF($G210:$T210,"&gt;"&amp;P210)=0,"",SMALL($G210:$T210,COUNTIF($G210:$T210,"&lt;="&amp;P210)+1)-P210)))</f>
        <v/>
      </c>
      <c r="AN210" t="str">
        <f>IF(OR($B210="",NOT(ISNUMBER(Q210))),"",IF(COUNTIF(R210:$T210,Q210)&gt;0,0,IF(COUNTIF($G210:$T210,"&gt;"&amp;Q210)=0,"",SMALL($G210:$T210,COUNTIF($G210:$T210,"&lt;="&amp;Q210)+1)-Q210)))</f>
        <v/>
      </c>
      <c r="AO210" t="str">
        <f>IF(OR($B210="",NOT(ISNUMBER(R210))),"",IF(COUNTIF(S210:$T210,R210)&gt;0,0,IF(COUNTIF($G210:$T210,"&gt;"&amp;R210)=0,"",SMALL($G210:$T210,COUNTIF($G210:$T210,"&lt;="&amp;R210)+1)-R210)))</f>
        <v/>
      </c>
      <c r="AP210">
        <f t="shared" ca="1" si="54"/>
        <v>4</v>
      </c>
      <c r="AQ210" s="25" t="str">
        <f t="shared" si="55"/>
        <v/>
      </c>
      <c r="AR210" s="25" t="str">
        <f t="shared" si="56"/>
        <v/>
      </c>
      <c r="AS210" s="25" t="str">
        <f t="shared" si="57"/>
        <v/>
      </c>
      <c r="AT210" s="25" t="str">
        <f t="shared" si="58"/>
        <v/>
      </c>
      <c r="AU210" s="25">
        <f t="shared" si="59"/>
        <v>46296</v>
      </c>
      <c r="AV210" s="25" t="str">
        <f t="shared" si="60"/>
        <v/>
      </c>
      <c r="AW210" s="25">
        <f t="shared" si="61"/>
        <v>46303</v>
      </c>
      <c r="AX210" s="25" t="str">
        <f t="shared" si="62"/>
        <v/>
      </c>
      <c r="AY210" s="25" t="str">
        <f t="shared" si="63"/>
        <v/>
      </c>
      <c r="AZ210" s="25" t="str">
        <f t="shared" si="64"/>
        <v/>
      </c>
      <c r="BA210" s="25" t="str">
        <f t="shared" si="65"/>
        <v/>
      </c>
      <c r="BB210" s="25" t="str">
        <f t="shared" si="66"/>
        <v/>
      </c>
      <c r="BC210" s="25" t="str">
        <f t="shared" si="67"/>
        <v/>
      </c>
    </row>
    <row r="211" spans="1:55" x14ac:dyDescent="0.25">
      <c r="A211" s="151">
        <f t="shared" si="51"/>
        <v>209</v>
      </c>
      <c r="B211" s="151" t="s">
        <v>361</v>
      </c>
      <c r="C211" s="152" t="s">
        <v>362</v>
      </c>
      <c r="D211" s="151">
        <f t="shared" si="52"/>
        <v>59</v>
      </c>
      <c r="E211" s="151" t="s">
        <v>100</v>
      </c>
      <c r="F211" s="173">
        <v>46295</v>
      </c>
      <c r="G211" s="173"/>
      <c r="H211" s="173"/>
      <c r="I211" s="173"/>
      <c r="J211" s="173"/>
      <c r="K211" s="173"/>
      <c r="L211" s="173"/>
      <c r="M211" s="173">
        <v>46296</v>
      </c>
      <c r="N211" s="173"/>
      <c r="O211" s="173"/>
      <c r="P211" s="173"/>
      <c r="Q211" s="173"/>
      <c r="R211" s="173"/>
      <c r="S211" s="173"/>
      <c r="T211" s="151"/>
      <c r="U211" s="151"/>
      <c r="V211" s="152"/>
      <c r="W211" s="175"/>
      <c r="X211" s="173"/>
      <c r="Y211" s="173"/>
      <c r="Z211" s="176" t="str">
        <f>IF(B211="","",IF(S211&lt;&gt;"","Sevk Edildi",IF(AND(X211&lt;&gt;"",Y211=""),"Reworkte",IF(T211&lt;&gt;"","Kapandı"&amp;IF(COUNT(G211:R211)=0,""," – "&amp;LOOKUP(2,1/(G211:R211=MAX(G211:R211)),{"Tasarım","Ply Cutter","Üretim","Kalite (Üretim sonrası)","Talaşlı","Kalite (Talaşlı sonrası)","Montaj","Kalite (Montaj sonrası)","Boya","Kalite (Boya sonrası)","Yarı Mamül","KM"})),IF(COUNT(G211:R211)=0,"Başlamadı",LOOKUP(2,1/(G211:R211=MAX(G211:R211)),{"Tasarımda","Ply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211" s="177">
        <f t="shared" ca="1" si="53"/>
        <v>12</v>
      </c>
      <c r="AB211" s="175"/>
      <c r="AD211" t="str">
        <f>IF(OR($B211="",NOT(ISNUMBER(G211))),"",IF(COUNTIF(H211:$T211,G211)&gt;0,0,IF(COUNTIF($G211:$T211,"&gt;"&amp;G211)=0,"",SMALL($G211:$T211,COUNTIF($G211:$T211,"&lt;="&amp;G211)+1)-G211)))</f>
        <v/>
      </c>
      <c r="AE211" t="str">
        <f>IF(OR($B211="",NOT(ISNUMBER(H211))),"",IF(COUNTIF(I211:$T211,H211)&gt;0,0,IF(COUNTIF($G211:$T211,"&gt;"&amp;H211)=0,"",SMALL($G211:$T211,COUNTIF($G211:$T211,"&lt;="&amp;H211)+1)-H211)))</f>
        <v/>
      </c>
      <c r="AF211" t="str">
        <f>IF(OR($B211="",NOT(ISNUMBER(I211))),"",IF(COUNTIF(J211:$T211,I211)&gt;0,0,IF(COUNTIF($G211:$T211,"&gt;"&amp;I211)=0,"",SMALL($G211:$T211,COUNTIF($G211:$T211,"&lt;="&amp;I211)+1)-I211)))</f>
        <v/>
      </c>
      <c r="AG211" t="str">
        <f>IF(OR($B211="",NOT(ISNUMBER(J211))),"",IF(COUNTIF(K211:$T211,J211)&gt;0,0,IF(COUNTIF($G211:$T211,"&gt;"&amp;J211)=0,"",SMALL($G211:$T211,COUNTIF($G211:$T211,"&lt;="&amp;J211)+1)-J211)))</f>
        <v/>
      </c>
      <c r="AH211" t="str">
        <f>IF(OR($B211="",NOT(ISNUMBER(K211))),"",IF(COUNTIF(L211:$T211,K211)&gt;0,0,IF(COUNTIF($G211:$T211,"&gt;"&amp;K211)=0,"",SMALL($G211:$T211,COUNTIF($G211:$T211,"&lt;="&amp;K211)+1)-K211)))</f>
        <v/>
      </c>
      <c r="AI211" t="str">
        <f>IF(OR($B211="",NOT(ISNUMBER(L211))),"",IF(COUNTIF(M211:$T211,L211)&gt;0,0,IF(COUNTIF($G211:$T211,"&gt;"&amp;L211)=0,"",SMALL($G211:$T211,COUNTIF($G211:$T211,"&lt;="&amp;L211)+1)-L211)))</f>
        <v/>
      </c>
      <c r="AJ211" t="str">
        <f>IF(OR($B211="",NOT(ISNUMBER(M211))),"",IF(COUNTIF(N211:$T211,M211)&gt;0,0,IF(COUNTIF($G211:$T211,"&gt;"&amp;M211)=0,"",SMALL($G211:$T211,COUNTIF($G211:$T211,"&lt;="&amp;M211)+1)-M211)))</f>
        <v/>
      </c>
      <c r="AK211" t="str">
        <f>IF(OR($B211="",NOT(ISNUMBER(N211))),"",IF(COUNTIF(O211:$T211,N211)&gt;0,0,IF(COUNTIF($G211:$T211,"&gt;"&amp;N211)=0,"",SMALL($G211:$T211,COUNTIF($G211:$T211,"&lt;="&amp;N211)+1)-N211)))</f>
        <v/>
      </c>
      <c r="AL211" t="str">
        <f>IF(OR($B211="",NOT(ISNUMBER(O211))),"",IF(COUNTIF(P211:$T211,O211)&gt;0,0,IF(COUNTIF($G211:$T211,"&gt;"&amp;O211)=0,"",SMALL($G211:$T211,COUNTIF($G211:$T211,"&lt;="&amp;O211)+1)-O211)))</f>
        <v/>
      </c>
      <c r="AM211" t="str">
        <f>IF(OR($B211="",NOT(ISNUMBER(P211))),"",IF(COUNTIF(Q211:$T211,P211)&gt;0,0,IF(COUNTIF($G211:$T211,"&gt;"&amp;P211)=0,"",SMALL($G211:$T211,COUNTIF($G211:$T211,"&lt;="&amp;P211)+1)-P211)))</f>
        <v/>
      </c>
      <c r="AN211" t="str">
        <f>IF(OR($B211="",NOT(ISNUMBER(Q211))),"",IF(COUNTIF(R211:$T211,Q211)&gt;0,0,IF(COUNTIF($G211:$T211,"&gt;"&amp;Q211)=0,"",SMALL($G211:$T211,COUNTIF($G211:$T211,"&lt;="&amp;Q211)+1)-Q211)))</f>
        <v/>
      </c>
      <c r="AO211" t="str">
        <f>IF(OR($B211="",NOT(ISNUMBER(R211))),"",IF(COUNTIF(S211:$T211,R211)&gt;0,0,IF(COUNTIF($G211:$T211,"&gt;"&amp;R211)=0,"",SMALL($G211:$T211,COUNTIF($G211:$T211,"&lt;="&amp;R211)+1)-R211)))</f>
        <v/>
      </c>
      <c r="AP211">
        <f t="shared" ca="1" si="54"/>
        <v>11</v>
      </c>
      <c r="AQ211" s="25" t="str">
        <f t="shared" si="55"/>
        <v/>
      </c>
      <c r="AR211" s="25" t="str">
        <f t="shared" si="56"/>
        <v/>
      </c>
      <c r="AS211" s="25" t="str">
        <f t="shared" si="57"/>
        <v/>
      </c>
      <c r="AT211" s="25" t="str">
        <f t="shared" si="58"/>
        <v/>
      </c>
      <c r="AU211" s="25" t="str">
        <f t="shared" si="59"/>
        <v/>
      </c>
      <c r="AV211" s="25" t="str">
        <f t="shared" si="60"/>
        <v/>
      </c>
      <c r="AW211" s="25" t="str">
        <f t="shared" si="61"/>
        <v/>
      </c>
      <c r="AX211" s="25" t="str">
        <f t="shared" si="62"/>
        <v/>
      </c>
      <c r="AY211" s="25" t="str">
        <f t="shared" si="63"/>
        <v/>
      </c>
      <c r="AZ211" s="25" t="str">
        <f t="shared" si="64"/>
        <v/>
      </c>
      <c r="BA211" s="25" t="str">
        <f t="shared" si="65"/>
        <v/>
      </c>
      <c r="BB211" s="25" t="str">
        <f t="shared" si="66"/>
        <v/>
      </c>
      <c r="BC211" s="25" t="str">
        <f t="shared" si="67"/>
        <v/>
      </c>
    </row>
    <row r="212" spans="1:55" x14ac:dyDescent="0.25">
      <c r="A212" s="151">
        <f t="shared" si="51"/>
        <v>210</v>
      </c>
      <c r="B212" s="151" t="s">
        <v>363</v>
      </c>
      <c r="C212" s="152" t="s">
        <v>364</v>
      </c>
      <c r="D212" s="151">
        <f t="shared" si="52"/>
        <v>8</v>
      </c>
      <c r="E212" s="151" t="s">
        <v>100</v>
      </c>
      <c r="F212" s="173">
        <v>46295</v>
      </c>
      <c r="G212" s="173"/>
      <c r="H212" s="173"/>
      <c r="I212" s="173"/>
      <c r="J212" s="173"/>
      <c r="K212" s="173"/>
      <c r="L212" s="173"/>
      <c r="M212" s="173">
        <v>46296</v>
      </c>
      <c r="N212" s="173"/>
      <c r="O212" s="173"/>
      <c r="P212" s="173"/>
      <c r="Q212" s="173"/>
      <c r="R212" s="173"/>
      <c r="S212" s="173"/>
      <c r="T212" s="151"/>
      <c r="U212" s="151"/>
      <c r="V212" s="152"/>
      <c r="W212" s="175"/>
      <c r="X212" s="173"/>
      <c r="Y212" s="173"/>
      <c r="Z212" s="176" t="str">
        <f>IF(B212="","",IF(S212&lt;&gt;"","Sevk Edildi",IF(AND(X212&lt;&gt;"",Y212=""),"Reworkte",IF(T212&lt;&gt;"","Kapandı"&amp;IF(COUNT(G212:R212)=0,""," – "&amp;LOOKUP(2,1/(G212:R212=MAX(G212:R212)),{"Tasarım","Ply Cutter","Üretim","Kalite (Üretim sonrası)","Talaşlı","Kalite (Talaşlı sonrası)","Montaj","Kalite (Montaj sonrası)","Boya","Kalite (Boya sonrası)","Yarı Mamül","KM"})),IF(COUNT(G212:R212)=0,"Başlamadı",LOOKUP(2,1/(G212:R212=MAX(G212:R212)),{"Tasarımda","Ply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212" s="177">
        <f t="shared" ca="1" si="53"/>
        <v>12</v>
      </c>
      <c r="AB212" s="175"/>
      <c r="AD212" t="str">
        <f>IF(OR($B212="",NOT(ISNUMBER(G212))),"",IF(COUNTIF(H212:$T212,G212)&gt;0,0,IF(COUNTIF($G212:$T212,"&gt;"&amp;G212)=0,"",SMALL($G212:$T212,COUNTIF($G212:$T212,"&lt;="&amp;G212)+1)-G212)))</f>
        <v/>
      </c>
      <c r="AE212" t="str">
        <f>IF(OR($B212="",NOT(ISNUMBER(H212))),"",IF(COUNTIF(I212:$T212,H212)&gt;0,0,IF(COUNTIF($G212:$T212,"&gt;"&amp;H212)=0,"",SMALL($G212:$T212,COUNTIF($G212:$T212,"&lt;="&amp;H212)+1)-H212)))</f>
        <v/>
      </c>
      <c r="AF212" t="str">
        <f>IF(OR($B212="",NOT(ISNUMBER(I212))),"",IF(COUNTIF(J212:$T212,I212)&gt;0,0,IF(COUNTIF($G212:$T212,"&gt;"&amp;I212)=0,"",SMALL($G212:$T212,COUNTIF($G212:$T212,"&lt;="&amp;I212)+1)-I212)))</f>
        <v/>
      </c>
      <c r="AG212" t="str">
        <f>IF(OR($B212="",NOT(ISNUMBER(J212))),"",IF(COUNTIF(K212:$T212,J212)&gt;0,0,IF(COUNTIF($G212:$T212,"&gt;"&amp;J212)=0,"",SMALL($G212:$T212,COUNTIF($G212:$T212,"&lt;="&amp;J212)+1)-J212)))</f>
        <v/>
      </c>
      <c r="AH212" t="str">
        <f>IF(OR($B212="",NOT(ISNUMBER(K212))),"",IF(COUNTIF(L212:$T212,K212)&gt;0,0,IF(COUNTIF($G212:$T212,"&gt;"&amp;K212)=0,"",SMALL($G212:$T212,COUNTIF($G212:$T212,"&lt;="&amp;K212)+1)-K212)))</f>
        <v/>
      </c>
      <c r="AI212" t="str">
        <f>IF(OR($B212="",NOT(ISNUMBER(L212))),"",IF(COUNTIF(M212:$T212,L212)&gt;0,0,IF(COUNTIF($G212:$T212,"&gt;"&amp;L212)=0,"",SMALL($G212:$T212,COUNTIF($G212:$T212,"&lt;="&amp;L212)+1)-L212)))</f>
        <v/>
      </c>
      <c r="AJ212" t="str">
        <f>IF(OR($B212="",NOT(ISNUMBER(M212))),"",IF(COUNTIF(N212:$T212,M212)&gt;0,0,IF(COUNTIF($G212:$T212,"&gt;"&amp;M212)=0,"",SMALL($G212:$T212,COUNTIF($G212:$T212,"&lt;="&amp;M212)+1)-M212)))</f>
        <v/>
      </c>
      <c r="AK212" t="str">
        <f>IF(OR($B212="",NOT(ISNUMBER(N212))),"",IF(COUNTIF(O212:$T212,N212)&gt;0,0,IF(COUNTIF($G212:$T212,"&gt;"&amp;N212)=0,"",SMALL($G212:$T212,COUNTIF($G212:$T212,"&lt;="&amp;N212)+1)-N212)))</f>
        <v/>
      </c>
      <c r="AL212" t="str">
        <f>IF(OR($B212="",NOT(ISNUMBER(O212))),"",IF(COUNTIF(P212:$T212,O212)&gt;0,0,IF(COUNTIF($G212:$T212,"&gt;"&amp;O212)=0,"",SMALL($G212:$T212,COUNTIF($G212:$T212,"&lt;="&amp;O212)+1)-O212)))</f>
        <v/>
      </c>
      <c r="AM212" t="str">
        <f>IF(OR($B212="",NOT(ISNUMBER(P212))),"",IF(COUNTIF(Q212:$T212,P212)&gt;0,0,IF(COUNTIF($G212:$T212,"&gt;"&amp;P212)=0,"",SMALL($G212:$T212,COUNTIF($G212:$T212,"&lt;="&amp;P212)+1)-P212)))</f>
        <v/>
      </c>
      <c r="AN212" t="str">
        <f>IF(OR($B212="",NOT(ISNUMBER(Q212))),"",IF(COUNTIF(R212:$T212,Q212)&gt;0,0,IF(COUNTIF($G212:$T212,"&gt;"&amp;Q212)=0,"",SMALL($G212:$T212,COUNTIF($G212:$T212,"&lt;="&amp;Q212)+1)-Q212)))</f>
        <v/>
      </c>
      <c r="AO212" t="str">
        <f>IF(OR($B212="",NOT(ISNUMBER(R212))),"",IF(COUNTIF(S212:$T212,R212)&gt;0,0,IF(COUNTIF($G212:$T212,"&gt;"&amp;R212)=0,"",SMALL($G212:$T212,COUNTIF($G212:$T212,"&lt;="&amp;R212)+1)-R212)))</f>
        <v/>
      </c>
      <c r="AP212">
        <f t="shared" ca="1" si="54"/>
        <v>11</v>
      </c>
      <c r="AQ212" s="25" t="str">
        <f t="shared" si="55"/>
        <v/>
      </c>
      <c r="AR212" s="25" t="str">
        <f t="shared" si="56"/>
        <v/>
      </c>
      <c r="AS212" s="25" t="str">
        <f t="shared" si="57"/>
        <v/>
      </c>
      <c r="AT212" s="25" t="str">
        <f t="shared" si="58"/>
        <v/>
      </c>
      <c r="AU212" s="25" t="str">
        <f t="shared" si="59"/>
        <v/>
      </c>
      <c r="AV212" s="25" t="str">
        <f t="shared" si="60"/>
        <v/>
      </c>
      <c r="AW212" s="25" t="str">
        <f t="shared" si="61"/>
        <v/>
      </c>
      <c r="AX212" s="25" t="str">
        <f t="shared" si="62"/>
        <v/>
      </c>
      <c r="AY212" s="25" t="str">
        <f t="shared" si="63"/>
        <v/>
      </c>
      <c r="AZ212" s="25" t="str">
        <f t="shared" si="64"/>
        <v/>
      </c>
      <c r="BA212" s="25" t="str">
        <f t="shared" si="65"/>
        <v/>
      </c>
      <c r="BB212" s="25" t="str">
        <f t="shared" si="66"/>
        <v/>
      </c>
      <c r="BC212" s="25" t="str">
        <f t="shared" si="67"/>
        <v/>
      </c>
    </row>
    <row r="213" spans="1:55" x14ac:dyDescent="0.25">
      <c r="A213" s="151">
        <f t="shared" si="51"/>
        <v>211</v>
      </c>
      <c r="B213" s="151" t="s">
        <v>365</v>
      </c>
      <c r="C213" s="152" t="s">
        <v>163</v>
      </c>
      <c r="D213" s="151">
        <f t="shared" si="52"/>
        <v>1</v>
      </c>
      <c r="E213" s="151" t="s">
        <v>61</v>
      </c>
      <c r="F213" s="173">
        <v>46295</v>
      </c>
      <c r="G213" s="173"/>
      <c r="H213" s="173"/>
      <c r="I213" s="173">
        <v>46295</v>
      </c>
      <c r="J213" s="173">
        <v>46296</v>
      </c>
      <c r="K213" s="173"/>
      <c r="L213" s="173"/>
      <c r="M213" s="173"/>
      <c r="N213" s="173"/>
      <c r="O213" s="173"/>
      <c r="P213" s="173"/>
      <c r="Q213" s="173">
        <v>46296</v>
      </c>
      <c r="R213" s="173"/>
      <c r="S213" s="173"/>
      <c r="T213" s="174">
        <v>46296</v>
      </c>
      <c r="U213" s="151"/>
      <c r="V213" s="152"/>
      <c r="W213" s="175"/>
      <c r="X213" s="173"/>
      <c r="Y213" s="173"/>
      <c r="Z213" s="176" t="str">
        <f>IF(B213="","",IF(S213&lt;&gt;"","Sevk Edildi",IF(AND(X213&lt;&gt;"",Y213=""),"Reworkte",IF(T213&lt;&gt;"","Kapandı"&amp;IF(COUNT(G213:R213)=0,""," – "&amp;LOOKUP(2,1/(G213:R213=MAX(G213:R213)),{"Tasarım","Ply Cutter","Üretim","Kalite (Üretim sonrası)","Talaşlı","Kalite (Talaşlı sonrası)","Montaj","Kalite (Montaj sonrası)","Boya","Kalite (Boya sonrası)","Yarı Mamül","KM"})),IF(COUNT(G213:R213)=0,"Başlamadı",LOOKUP(2,1/(G213:R213=MAX(G213:R213)),{"Tasarımda","Ply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13" s="177">
        <f t="shared" ca="1" si="53"/>
        <v>1</v>
      </c>
      <c r="AB213" s="175"/>
      <c r="AD213" t="str">
        <f>IF(OR($B213="",NOT(ISNUMBER(G213))),"",IF(COUNTIF(H213:$T213,G213)&gt;0,0,IF(COUNTIF($G213:$T213,"&gt;"&amp;G213)=0,"",SMALL($G213:$T213,COUNTIF($G213:$T213,"&lt;="&amp;G213)+1)-G213)))</f>
        <v/>
      </c>
      <c r="AE213" t="str">
        <f>IF(OR($B213="",NOT(ISNUMBER(H213))),"",IF(COUNTIF(I213:$T213,H213)&gt;0,0,IF(COUNTIF($G213:$T213,"&gt;"&amp;H213)=0,"",SMALL($G213:$T213,COUNTIF($G213:$T213,"&lt;="&amp;H213)+1)-H213)))</f>
        <v/>
      </c>
      <c r="AF213">
        <f>IF(OR($B213="",NOT(ISNUMBER(I213))),"",IF(COUNTIF(J213:$T213,I213)&gt;0,0,IF(COUNTIF($G213:$T213,"&gt;"&amp;I213)=0,"",SMALL($G213:$T213,COUNTIF($G213:$T213,"&lt;="&amp;I213)+1)-I213)))</f>
        <v>1</v>
      </c>
      <c r="AG213">
        <f>IF(OR($B213="",NOT(ISNUMBER(J213))),"",IF(COUNTIF(K213:$T213,J213)&gt;0,0,IF(COUNTIF($G213:$T213,"&gt;"&amp;J213)=0,"",SMALL($G213:$T213,COUNTIF($G213:$T213,"&lt;="&amp;J213)+1)-J213)))</f>
        <v>0</v>
      </c>
      <c r="AH213" t="str">
        <f>IF(OR($B213="",NOT(ISNUMBER(K213))),"",IF(COUNTIF(L213:$T213,K213)&gt;0,0,IF(COUNTIF($G213:$T213,"&gt;"&amp;K213)=0,"",SMALL($G213:$T213,COUNTIF($G213:$T213,"&lt;="&amp;K213)+1)-K213)))</f>
        <v/>
      </c>
      <c r="AI213" t="str">
        <f>IF(OR($B213="",NOT(ISNUMBER(L213))),"",IF(COUNTIF(M213:$T213,L213)&gt;0,0,IF(COUNTIF($G213:$T213,"&gt;"&amp;L213)=0,"",SMALL($G213:$T213,COUNTIF($G213:$T213,"&lt;="&amp;L213)+1)-L213)))</f>
        <v/>
      </c>
      <c r="AJ213" t="str">
        <f>IF(OR($B213="",NOT(ISNUMBER(M213))),"",IF(COUNTIF(N213:$T213,M213)&gt;0,0,IF(COUNTIF($G213:$T213,"&gt;"&amp;M213)=0,"",SMALL($G213:$T213,COUNTIF($G213:$T213,"&lt;="&amp;M213)+1)-M213)))</f>
        <v/>
      </c>
      <c r="AK213" t="str">
        <f>IF(OR($B213="",NOT(ISNUMBER(N213))),"",IF(COUNTIF(O213:$T213,N213)&gt;0,0,IF(COUNTIF($G213:$T213,"&gt;"&amp;N213)=0,"",SMALL($G213:$T213,COUNTIF($G213:$T213,"&lt;="&amp;N213)+1)-N213)))</f>
        <v/>
      </c>
      <c r="AL213" t="str">
        <f>IF(OR($B213="",NOT(ISNUMBER(O213))),"",IF(COUNTIF(P213:$T213,O213)&gt;0,0,IF(COUNTIF($G213:$T213,"&gt;"&amp;O213)=0,"",SMALL($G213:$T213,COUNTIF($G213:$T213,"&lt;="&amp;O213)+1)-O213)))</f>
        <v/>
      </c>
      <c r="AM213" t="str">
        <f>IF(OR($B213="",NOT(ISNUMBER(P213))),"",IF(COUNTIF(Q213:$T213,P213)&gt;0,0,IF(COUNTIF($G213:$T213,"&gt;"&amp;P213)=0,"",SMALL($G213:$T213,COUNTIF($G213:$T213,"&lt;="&amp;P213)+1)-P213)))</f>
        <v/>
      </c>
      <c r="AN213">
        <f>IF(OR($B213="",NOT(ISNUMBER(Q213))),"",IF(COUNTIF(R213:$T213,Q213)&gt;0,0,IF(COUNTIF($G213:$T213,"&gt;"&amp;Q213)=0,"",SMALL($G213:$T213,COUNTIF($G213:$T213,"&lt;="&amp;Q213)+1)-Q213)))</f>
        <v>0</v>
      </c>
      <c r="AO213" t="str">
        <f>IF(OR($B213="",NOT(ISNUMBER(R213))),"",IF(COUNTIF(S213:$T213,R213)&gt;0,0,IF(COUNTIF($G213:$T213,"&gt;"&amp;R213)=0,"",SMALL($G213:$T213,COUNTIF($G213:$T213,"&lt;="&amp;R213)+1)-R213)))</f>
        <v/>
      </c>
      <c r="AP213">
        <f t="shared" ca="1" si="54"/>
        <v>0</v>
      </c>
      <c r="AQ213" s="25" t="str">
        <f t="shared" si="55"/>
        <v/>
      </c>
      <c r="AR213" s="25" t="str">
        <f t="shared" si="56"/>
        <v/>
      </c>
      <c r="AS213" s="25">
        <f t="shared" si="57"/>
        <v>46296</v>
      </c>
      <c r="AT213" s="25">
        <f t="shared" si="58"/>
        <v>46296</v>
      </c>
      <c r="AU213" s="25" t="str">
        <f t="shared" si="59"/>
        <v/>
      </c>
      <c r="AV213" s="25" t="str">
        <f t="shared" si="60"/>
        <v/>
      </c>
      <c r="AW213" s="25" t="str">
        <f t="shared" si="61"/>
        <v/>
      </c>
      <c r="AX213" s="25" t="str">
        <f t="shared" si="62"/>
        <v/>
      </c>
      <c r="AY213" s="25" t="str">
        <f t="shared" si="63"/>
        <v/>
      </c>
      <c r="AZ213" s="25" t="str">
        <f t="shared" si="64"/>
        <v/>
      </c>
      <c r="BA213" s="25">
        <f t="shared" si="65"/>
        <v>46296</v>
      </c>
      <c r="BB213" s="25" t="str">
        <f t="shared" si="66"/>
        <v/>
      </c>
      <c r="BC213" s="25">
        <f t="shared" si="67"/>
        <v>46296</v>
      </c>
    </row>
    <row r="214" spans="1:55" x14ac:dyDescent="0.25">
      <c r="A214" s="151">
        <f t="shared" si="51"/>
        <v>212</v>
      </c>
      <c r="B214" s="151" t="s">
        <v>366</v>
      </c>
      <c r="C214" s="152" t="s">
        <v>367</v>
      </c>
      <c r="D214" s="151">
        <f t="shared" si="52"/>
        <v>1</v>
      </c>
      <c r="E214" s="151" t="s">
        <v>61</v>
      </c>
      <c r="F214" s="173">
        <v>46295</v>
      </c>
      <c r="G214" s="173"/>
      <c r="H214" s="173"/>
      <c r="I214" s="173">
        <v>46296</v>
      </c>
      <c r="J214" s="173">
        <v>46297</v>
      </c>
      <c r="K214" s="173"/>
      <c r="L214" s="173"/>
      <c r="M214" s="173"/>
      <c r="N214" s="173"/>
      <c r="O214" s="173"/>
      <c r="P214" s="173"/>
      <c r="Q214" s="173">
        <v>46302</v>
      </c>
      <c r="R214" s="173"/>
      <c r="S214" s="173"/>
      <c r="T214" s="174">
        <v>46302</v>
      </c>
      <c r="U214" s="151"/>
      <c r="V214" s="152"/>
      <c r="W214" s="175"/>
      <c r="X214" s="173"/>
      <c r="Y214" s="173"/>
      <c r="Z214" s="176" t="str">
        <f>IF(B214="","",IF(S214&lt;&gt;"","Sevk Edildi",IF(AND(X214&lt;&gt;"",Y214=""),"Reworkte",IF(T214&lt;&gt;"","Kapandı"&amp;IF(COUNT(G214:R214)=0,""," – "&amp;LOOKUP(2,1/(G214:R214=MAX(G214:R214)),{"Tasarım","Ply Cutter","Üretim","Kalite (Üretim sonrası)","Talaşlı","Kalite (Talaşlı sonrası)","Montaj","Kalite (Montaj sonrası)","Boya","Kalite (Boya sonrası)","Yarı Mamül","KM"})),IF(COUNT(G214:R214)=0,"Başlamadı",LOOKUP(2,1/(G214:R214=MAX(G214:R214)),{"Tasarımda","Ply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14" s="177">
        <f t="shared" ca="1" si="53"/>
        <v>7</v>
      </c>
      <c r="AB214" s="175"/>
      <c r="AD214" t="str">
        <f>IF(OR($B214="",NOT(ISNUMBER(G214))),"",IF(COUNTIF(H214:$T214,G214)&gt;0,0,IF(COUNTIF($G214:$T214,"&gt;"&amp;G214)=0,"",SMALL($G214:$T214,COUNTIF($G214:$T214,"&lt;="&amp;G214)+1)-G214)))</f>
        <v/>
      </c>
      <c r="AE214" t="str">
        <f>IF(OR($B214="",NOT(ISNUMBER(H214))),"",IF(COUNTIF(I214:$T214,H214)&gt;0,0,IF(COUNTIF($G214:$T214,"&gt;"&amp;H214)=0,"",SMALL($G214:$T214,COUNTIF($G214:$T214,"&lt;="&amp;H214)+1)-H214)))</f>
        <v/>
      </c>
      <c r="AF214">
        <f>IF(OR($B214="",NOT(ISNUMBER(I214))),"",IF(COUNTIF(J214:$T214,I214)&gt;0,0,IF(COUNTIF($G214:$T214,"&gt;"&amp;I214)=0,"",SMALL($G214:$T214,COUNTIF($G214:$T214,"&lt;="&amp;I214)+1)-I214)))</f>
        <v>1</v>
      </c>
      <c r="AG214">
        <f>IF(OR($B214="",NOT(ISNUMBER(J214))),"",IF(COUNTIF(K214:$T214,J214)&gt;0,0,IF(COUNTIF($G214:$T214,"&gt;"&amp;J214)=0,"",SMALL($G214:$T214,COUNTIF($G214:$T214,"&lt;="&amp;J214)+1)-J214)))</f>
        <v>5</v>
      </c>
      <c r="AH214" t="str">
        <f>IF(OR($B214="",NOT(ISNUMBER(K214))),"",IF(COUNTIF(L214:$T214,K214)&gt;0,0,IF(COUNTIF($G214:$T214,"&gt;"&amp;K214)=0,"",SMALL($G214:$T214,COUNTIF($G214:$T214,"&lt;="&amp;K214)+1)-K214)))</f>
        <v/>
      </c>
      <c r="AI214" t="str">
        <f>IF(OR($B214="",NOT(ISNUMBER(L214))),"",IF(COUNTIF(M214:$T214,L214)&gt;0,0,IF(COUNTIF($G214:$T214,"&gt;"&amp;L214)=0,"",SMALL($G214:$T214,COUNTIF($G214:$T214,"&lt;="&amp;L214)+1)-L214)))</f>
        <v/>
      </c>
      <c r="AJ214" t="str">
        <f>IF(OR($B214="",NOT(ISNUMBER(M214))),"",IF(COUNTIF(N214:$T214,M214)&gt;0,0,IF(COUNTIF($G214:$T214,"&gt;"&amp;M214)=0,"",SMALL($G214:$T214,COUNTIF($G214:$T214,"&lt;="&amp;M214)+1)-M214)))</f>
        <v/>
      </c>
      <c r="AK214" t="str">
        <f>IF(OR($B214="",NOT(ISNUMBER(N214))),"",IF(COUNTIF(O214:$T214,N214)&gt;0,0,IF(COUNTIF($G214:$T214,"&gt;"&amp;N214)=0,"",SMALL($G214:$T214,COUNTIF($G214:$T214,"&lt;="&amp;N214)+1)-N214)))</f>
        <v/>
      </c>
      <c r="AL214" t="str">
        <f>IF(OR($B214="",NOT(ISNUMBER(O214))),"",IF(COUNTIF(P214:$T214,O214)&gt;0,0,IF(COUNTIF($G214:$T214,"&gt;"&amp;O214)=0,"",SMALL($G214:$T214,COUNTIF($G214:$T214,"&lt;="&amp;O214)+1)-O214)))</f>
        <v/>
      </c>
      <c r="AM214" t="str">
        <f>IF(OR($B214="",NOT(ISNUMBER(P214))),"",IF(COUNTIF(Q214:$T214,P214)&gt;0,0,IF(COUNTIF($G214:$T214,"&gt;"&amp;P214)=0,"",SMALL($G214:$T214,COUNTIF($G214:$T214,"&lt;="&amp;P214)+1)-P214)))</f>
        <v/>
      </c>
      <c r="AN214">
        <f>IF(OR($B214="",NOT(ISNUMBER(Q214))),"",IF(COUNTIF(R214:$T214,Q214)&gt;0,0,IF(COUNTIF($G214:$T214,"&gt;"&amp;Q214)=0,"",SMALL($G214:$T214,COUNTIF($G214:$T214,"&lt;="&amp;Q214)+1)-Q214)))</f>
        <v>0</v>
      </c>
      <c r="AO214" t="str">
        <f>IF(OR($B214="",NOT(ISNUMBER(R214))),"",IF(COUNTIF(S214:$T214,R214)&gt;0,0,IF(COUNTIF($G214:$T214,"&gt;"&amp;R214)=0,"",SMALL($G214:$T214,COUNTIF($G214:$T214,"&lt;="&amp;R214)+1)-R214)))</f>
        <v/>
      </c>
      <c r="AP214">
        <f t="shared" ca="1" si="54"/>
        <v>0</v>
      </c>
      <c r="AQ214" s="25" t="str">
        <f t="shared" si="55"/>
        <v/>
      </c>
      <c r="AR214" s="25" t="str">
        <f t="shared" si="56"/>
        <v/>
      </c>
      <c r="AS214" s="25">
        <f t="shared" si="57"/>
        <v>46297</v>
      </c>
      <c r="AT214" s="25">
        <f t="shared" si="58"/>
        <v>46302</v>
      </c>
      <c r="AU214" s="25" t="str">
        <f t="shared" si="59"/>
        <v/>
      </c>
      <c r="AV214" s="25" t="str">
        <f t="shared" si="60"/>
        <v/>
      </c>
      <c r="AW214" s="25" t="str">
        <f t="shared" si="61"/>
        <v/>
      </c>
      <c r="AX214" s="25" t="str">
        <f t="shared" si="62"/>
        <v/>
      </c>
      <c r="AY214" s="25" t="str">
        <f t="shared" si="63"/>
        <v/>
      </c>
      <c r="AZ214" s="25" t="str">
        <f t="shared" si="64"/>
        <v/>
      </c>
      <c r="BA214" s="25">
        <f t="shared" si="65"/>
        <v>46302</v>
      </c>
      <c r="BB214" s="25" t="str">
        <f t="shared" si="66"/>
        <v/>
      </c>
      <c r="BC214" s="25">
        <f t="shared" si="67"/>
        <v>46302</v>
      </c>
    </row>
    <row r="215" spans="1:55" x14ac:dyDescent="0.25">
      <c r="A215" s="151">
        <f t="shared" si="51"/>
        <v>213</v>
      </c>
      <c r="B215" s="151" t="s">
        <v>368</v>
      </c>
      <c r="C215" s="152" t="s">
        <v>369</v>
      </c>
      <c r="D215" s="151">
        <f t="shared" si="52"/>
        <v>1</v>
      </c>
      <c r="E215" s="151" t="s">
        <v>61</v>
      </c>
      <c r="F215" s="173">
        <v>46295</v>
      </c>
      <c r="G215" s="173"/>
      <c r="H215" s="173"/>
      <c r="I215" s="173"/>
      <c r="J215" s="173"/>
      <c r="K215" s="173"/>
      <c r="L215" s="173"/>
      <c r="M215" s="173"/>
      <c r="N215" s="173"/>
      <c r="O215" s="173">
        <v>46295</v>
      </c>
      <c r="P215" s="173">
        <v>46296</v>
      </c>
      <c r="Q215" s="173"/>
      <c r="R215" s="173"/>
      <c r="S215" s="173"/>
      <c r="T215" s="174">
        <v>46296</v>
      </c>
      <c r="U215" s="151"/>
      <c r="V215" s="152"/>
      <c r="W215" s="175"/>
      <c r="X215" s="173"/>
      <c r="Y215" s="173"/>
      <c r="Z215" s="176" t="str">
        <f>IF(B215="","",IF(S215&lt;&gt;"","Sevk Edildi",IF(AND(X215&lt;&gt;"",Y215=""),"Reworkte",IF(T215&lt;&gt;"","Kapandı"&amp;IF(COUNT(G215:R215)=0,""," – "&amp;LOOKUP(2,1/(G215:R215=MAX(G215:R215)),{"Tasarım","Ply Cutter","Üretim","Kalite (Üretim sonrası)","Talaşlı","Kalite (Talaşlı sonrası)","Montaj","Kalite (Montaj sonrası)","Boya","Kalite (Boya sonrası)","Yarı Mamül","KM"})),IF(COUNT(G215:R215)=0,"Başlamadı",LOOKUP(2,1/(G215:R215=MAX(G215:R215)),{"Tasarımda","Ply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215" s="177">
        <f t="shared" ca="1" si="53"/>
        <v>1</v>
      </c>
      <c r="AB215" s="175"/>
      <c r="AD215" t="str">
        <f>IF(OR($B215="",NOT(ISNUMBER(G215))),"",IF(COUNTIF(H215:$T215,G215)&gt;0,0,IF(COUNTIF($G215:$T215,"&gt;"&amp;G215)=0,"",SMALL($G215:$T215,COUNTIF($G215:$T215,"&lt;="&amp;G215)+1)-G215)))</f>
        <v/>
      </c>
      <c r="AE215" t="str">
        <f>IF(OR($B215="",NOT(ISNUMBER(H215))),"",IF(COUNTIF(I215:$T215,H215)&gt;0,0,IF(COUNTIF($G215:$T215,"&gt;"&amp;H215)=0,"",SMALL($G215:$T215,COUNTIF($G215:$T215,"&lt;="&amp;H215)+1)-H215)))</f>
        <v/>
      </c>
      <c r="AF215" t="str">
        <f>IF(OR($B215="",NOT(ISNUMBER(I215))),"",IF(COUNTIF(J215:$T215,I215)&gt;0,0,IF(COUNTIF($G215:$T215,"&gt;"&amp;I215)=0,"",SMALL($G215:$T215,COUNTIF($G215:$T215,"&lt;="&amp;I215)+1)-I215)))</f>
        <v/>
      </c>
      <c r="AG215" t="str">
        <f>IF(OR($B215="",NOT(ISNUMBER(J215))),"",IF(COUNTIF(K215:$T215,J215)&gt;0,0,IF(COUNTIF($G215:$T215,"&gt;"&amp;J215)=0,"",SMALL($G215:$T215,COUNTIF($G215:$T215,"&lt;="&amp;J215)+1)-J215)))</f>
        <v/>
      </c>
      <c r="AH215" t="str">
        <f>IF(OR($B215="",NOT(ISNUMBER(K215))),"",IF(COUNTIF(L215:$T215,K215)&gt;0,0,IF(COUNTIF($G215:$T215,"&gt;"&amp;K215)=0,"",SMALL($G215:$T215,COUNTIF($G215:$T215,"&lt;="&amp;K215)+1)-K215)))</f>
        <v/>
      </c>
      <c r="AI215" t="str">
        <f>IF(OR($B215="",NOT(ISNUMBER(L215))),"",IF(COUNTIF(M215:$T215,L215)&gt;0,0,IF(COUNTIF($G215:$T215,"&gt;"&amp;L215)=0,"",SMALL($G215:$T215,COUNTIF($G215:$T215,"&lt;="&amp;L215)+1)-L215)))</f>
        <v/>
      </c>
      <c r="AJ215" t="str">
        <f>IF(OR($B215="",NOT(ISNUMBER(M215))),"",IF(COUNTIF(N215:$T215,M215)&gt;0,0,IF(COUNTIF($G215:$T215,"&gt;"&amp;M215)=0,"",SMALL($G215:$T215,COUNTIF($G215:$T215,"&lt;="&amp;M215)+1)-M215)))</f>
        <v/>
      </c>
      <c r="AK215" t="str">
        <f>IF(OR($B215="",NOT(ISNUMBER(N215))),"",IF(COUNTIF(O215:$T215,N215)&gt;0,0,IF(COUNTIF($G215:$T215,"&gt;"&amp;N215)=0,"",SMALL($G215:$T215,COUNTIF($G215:$T215,"&lt;="&amp;N215)+1)-N215)))</f>
        <v/>
      </c>
      <c r="AL215">
        <f>IF(OR($B215="",NOT(ISNUMBER(O215))),"",IF(COUNTIF(P215:$T215,O215)&gt;0,0,IF(COUNTIF($G215:$T215,"&gt;"&amp;O215)=0,"",SMALL($G215:$T215,COUNTIF($G215:$T215,"&lt;="&amp;O215)+1)-O215)))</f>
        <v>1</v>
      </c>
      <c r="AM215">
        <f>IF(OR($B215="",NOT(ISNUMBER(P215))),"",IF(COUNTIF(Q215:$T215,P215)&gt;0,0,IF(COUNTIF($G215:$T215,"&gt;"&amp;P215)=0,"",SMALL($G215:$T215,COUNTIF($G215:$T215,"&lt;="&amp;P215)+1)-P215)))</f>
        <v>0</v>
      </c>
      <c r="AN215" t="str">
        <f>IF(OR($B215="",NOT(ISNUMBER(Q215))),"",IF(COUNTIF(R215:$T215,Q215)&gt;0,0,IF(COUNTIF($G215:$T215,"&gt;"&amp;Q215)=0,"",SMALL($G215:$T215,COUNTIF($G215:$T215,"&lt;="&amp;Q215)+1)-Q215)))</f>
        <v/>
      </c>
      <c r="AO215" t="str">
        <f>IF(OR($B215="",NOT(ISNUMBER(R215))),"",IF(COUNTIF(S215:$T215,R215)&gt;0,0,IF(COUNTIF($G215:$T215,"&gt;"&amp;R215)=0,"",SMALL($G215:$T215,COUNTIF($G215:$T215,"&lt;="&amp;R215)+1)-R215)))</f>
        <v/>
      </c>
      <c r="AP215">
        <f t="shared" ca="1" si="54"/>
        <v>0</v>
      </c>
      <c r="AQ215" s="25" t="str">
        <f t="shared" si="55"/>
        <v/>
      </c>
      <c r="AR215" s="25" t="str">
        <f t="shared" si="56"/>
        <v/>
      </c>
      <c r="AS215" s="25" t="str">
        <f t="shared" si="57"/>
        <v/>
      </c>
      <c r="AT215" s="25" t="str">
        <f t="shared" si="58"/>
        <v/>
      </c>
      <c r="AU215" s="25" t="str">
        <f t="shared" si="59"/>
        <v/>
      </c>
      <c r="AV215" s="25" t="str">
        <f t="shared" si="60"/>
        <v/>
      </c>
      <c r="AW215" s="25" t="str">
        <f t="shared" si="61"/>
        <v/>
      </c>
      <c r="AX215" s="25" t="str">
        <f t="shared" si="62"/>
        <v/>
      </c>
      <c r="AY215" s="25">
        <f t="shared" si="63"/>
        <v>46296</v>
      </c>
      <c r="AZ215" s="25">
        <f t="shared" si="64"/>
        <v>46296</v>
      </c>
      <c r="BA215" s="25" t="str">
        <f t="shared" si="65"/>
        <v/>
      </c>
      <c r="BB215" s="25" t="str">
        <f t="shared" si="66"/>
        <v/>
      </c>
      <c r="BC215" s="25">
        <f t="shared" si="67"/>
        <v>46296</v>
      </c>
    </row>
    <row r="216" spans="1:55" x14ac:dyDescent="0.25">
      <c r="A216" s="151">
        <f t="shared" si="51"/>
        <v>214</v>
      </c>
      <c r="B216" s="151" t="s">
        <v>370</v>
      </c>
      <c r="C216" s="152" t="s">
        <v>371</v>
      </c>
      <c r="D216" s="151">
        <f t="shared" si="52"/>
        <v>5</v>
      </c>
      <c r="E216" s="151" t="s">
        <v>61</v>
      </c>
      <c r="F216" s="173">
        <v>46295</v>
      </c>
      <c r="G216" s="173"/>
      <c r="H216" s="173"/>
      <c r="I216" s="173"/>
      <c r="J216" s="173"/>
      <c r="K216" s="173"/>
      <c r="L216" s="173"/>
      <c r="M216" s="173"/>
      <c r="N216" s="173"/>
      <c r="O216" s="173">
        <v>46301</v>
      </c>
      <c r="P216" s="173"/>
      <c r="Q216" s="173"/>
      <c r="R216" s="173"/>
      <c r="S216" s="173"/>
      <c r="T216" s="174">
        <v>46303</v>
      </c>
      <c r="U216" s="151"/>
      <c r="V216" s="152"/>
      <c r="W216" s="175"/>
      <c r="X216" s="173"/>
      <c r="Y216" s="173"/>
      <c r="Z216" s="176" t="str">
        <f>IF(B216="","",IF(S216&lt;&gt;"","Sevk Edildi",IF(AND(X216&lt;&gt;"",Y216=""),"Reworkte",IF(T216&lt;&gt;"","Kapandı"&amp;IF(COUNT(G216:R216)=0,""," – "&amp;LOOKUP(2,1/(G216:R216=MAX(G216:R216)),{"Tasarım","Ply Cutter","Üretim","Kalite (Üretim sonrası)","Talaşlı","Kalite (Talaşlı sonrası)","Montaj","Kalite (Montaj sonrası)","Boya","Kalite (Boya sonrası)","Yarı Mamül","KM"})),IF(COUNT(G216:R216)=0,"Başlamadı",LOOKUP(2,1/(G216:R216=MAX(G216:R216)),{"Tasarımda","Ply Cutter'da","Üretimde","Kalitede (Üretim sonrası)","Talaşlıda","Kalitede (Talaşlı sonrası)","Montajda","Kalitede (Montaj sonrası)","Boyada","Kalitede (Boya sonrası)","Yarı Mamülde","KM'de"}))))))</f>
        <v>Kapandı – Boya</v>
      </c>
      <c r="AA216" s="177">
        <f t="shared" ca="1" si="53"/>
        <v>8</v>
      </c>
      <c r="AB216" s="175"/>
      <c r="AD216" t="str">
        <f>IF(OR($B216="",NOT(ISNUMBER(G216))),"",IF(COUNTIF(H216:$T216,G216)&gt;0,0,IF(COUNTIF($G216:$T216,"&gt;"&amp;G216)=0,"",SMALL($G216:$T216,COUNTIF($G216:$T216,"&lt;="&amp;G216)+1)-G216)))</f>
        <v/>
      </c>
      <c r="AE216" t="str">
        <f>IF(OR($B216="",NOT(ISNUMBER(H216))),"",IF(COUNTIF(I216:$T216,H216)&gt;0,0,IF(COUNTIF($G216:$T216,"&gt;"&amp;H216)=0,"",SMALL($G216:$T216,COUNTIF($G216:$T216,"&lt;="&amp;H216)+1)-H216)))</f>
        <v/>
      </c>
      <c r="AF216" t="str">
        <f>IF(OR($B216="",NOT(ISNUMBER(I216))),"",IF(COUNTIF(J216:$T216,I216)&gt;0,0,IF(COUNTIF($G216:$T216,"&gt;"&amp;I216)=0,"",SMALL($G216:$T216,COUNTIF($G216:$T216,"&lt;="&amp;I216)+1)-I216)))</f>
        <v/>
      </c>
      <c r="AG216" t="str">
        <f>IF(OR($B216="",NOT(ISNUMBER(J216))),"",IF(COUNTIF(K216:$T216,J216)&gt;0,0,IF(COUNTIF($G216:$T216,"&gt;"&amp;J216)=0,"",SMALL($G216:$T216,COUNTIF($G216:$T216,"&lt;="&amp;J216)+1)-J216)))</f>
        <v/>
      </c>
      <c r="AH216" t="str">
        <f>IF(OR($B216="",NOT(ISNUMBER(K216))),"",IF(COUNTIF(L216:$T216,K216)&gt;0,0,IF(COUNTIF($G216:$T216,"&gt;"&amp;K216)=0,"",SMALL($G216:$T216,COUNTIF($G216:$T216,"&lt;="&amp;K216)+1)-K216)))</f>
        <v/>
      </c>
      <c r="AI216" t="str">
        <f>IF(OR($B216="",NOT(ISNUMBER(L216))),"",IF(COUNTIF(M216:$T216,L216)&gt;0,0,IF(COUNTIF($G216:$T216,"&gt;"&amp;L216)=0,"",SMALL($G216:$T216,COUNTIF($G216:$T216,"&lt;="&amp;L216)+1)-L216)))</f>
        <v/>
      </c>
      <c r="AJ216" t="str">
        <f>IF(OR($B216="",NOT(ISNUMBER(M216))),"",IF(COUNTIF(N216:$T216,M216)&gt;0,0,IF(COUNTIF($G216:$T216,"&gt;"&amp;M216)=0,"",SMALL($G216:$T216,COUNTIF($G216:$T216,"&lt;="&amp;M216)+1)-M216)))</f>
        <v/>
      </c>
      <c r="AK216" t="str">
        <f>IF(OR($B216="",NOT(ISNUMBER(N216))),"",IF(COUNTIF(O216:$T216,N216)&gt;0,0,IF(COUNTIF($G216:$T216,"&gt;"&amp;N216)=0,"",SMALL($G216:$T216,COUNTIF($G216:$T216,"&lt;="&amp;N216)+1)-N216)))</f>
        <v/>
      </c>
      <c r="AL216">
        <f>IF(OR($B216="",NOT(ISNUMBER(O216))),"",IF(COUNTIF(P216:$T216,O216)&gt;0,0,IF(COUNTIF($G216:$T216,"&gt;"&amp;O216)=0,"",SMALL($G216:$T216,COUNTIF($G216:$T216,"&lt;="&amp;O216)+1)-O216)))</f>
        <v>2</v>
      </c>
      <c r="AM216" t="str">
        <f>IF(OR($B216="",NOT(ISNUMBER(P216))),"",IF(COUNTIF(Q216:$T216,P216)&gt;0,0,IF(COUNTIF($G216:$T216,"&gt;"&amp;P216)=0,"",SMALL($G216:$T216,COUNTIF($G216:$T216,"&lt;="&amp;P216)+1)-P216)))</f>
        <v/>
      </c>
      <c r="AN216" t="str">
        <f>IF(OR($B216="",NOT(ISNUMBER(Q216))),"",IF(COUNTIF(R216:$T216,Q216)&gt;0,0,IF(COUNTIF($G216:$T216,"&gt;"&amp;Q216)=0,"",SMALL($G216:$T216,COUNTIF($G216:$T216,"&lt;="&amp;Q216)+1)-Q216)))</f>
        <v/>
      </c>
      <c r="AO216" t="str">
        <f>IF(OR($B216="",NOT(ISNUMBER(R216))),"",IF(COUNTIF(S216:$T216,R216)&gt;0,0,IF(COUNTIF($G216:$T216,"&gt;"&amp;R216)=0,"",SMALL($G216:$T216,COUNTIF($G216:$T216,"&lt;="&amp;R216)+1)-R216)))</f>
        <v/>
      </c>
      <c r="AP216">
        <f t="shared" ca="1" si="54"/>
        <v>0</v>
      </c>
      <c r="AQ216" s="25" t="str">
        <f t="shared" si="55"/>
        <v/>
      </c>
      <c r="AR216" s="25" t="str">
        <f t="shared" si="56"/>
        <v/>
      </c>
      <c r="AS216" s="25" t="str">
        <f t="shared" si="57"/>
        <v/>
      </c>
      <c r="AT216" s="25" t="str">
        <f t="shared" si="58"/>
        <v/>
      </c>
      <c r="AU216" s="25" t="str">
        <f t="shared" si="59"/>
        <v/>
      </c>
      <c r="AV216" s="25" t="str">
        <f t="shared" si="60"/>
        <v/>
      </c>
      <c r="AW216" s="25" t="str">
        <f t="shared" si="61"/>
        <v/>
      </c>
      <c r="AX216" s="25" t="str">
        <f t="shared" si="62"/>
        <v/>
      </c>
      <c r="AY216" s="25">
        <f t="shared" si="63"/>
        <v>46303</v>
      </c>
      <c r="AZ216" s="25" t="str">
        <f t="shared" si="64"/>
        <v/>
      </c>
      <c r="BA216" s="25" t="str">
        <f t="shared" si="65"/>
        <v/>
      </c>
      <c r="BB216" s="25" t="str">
        <f t="shared" si="66"/>
        <v/>
      </c>
      <c r="BC216" s="25">
        <f t="shared" si="67"/>
        <v>46303</v>
      </c>
    </row>
    <row r="217" spans="1:55" x14ac:dyDescent="0.25">
      <c r="A217" s="151">
        <f t="shared" si="51"/>
        <v>215</v>
      </c>
      <c r="B217" s="151" t="s">
        <v>372</v>
      </c>
      <c r="C217" s="152" t="s">
        <v>196</v>
      </c>
      <c r="D217" s="151">
        <f t="shared" si="52"/>
        <v>1</v>
      </c>
      <c r="E217" s="151" t="s">
        <v>61</v>
      </c>
      <c r="F217" s="173">
        <v>46295</v>
      </c>
      <c r="G217" s="173"/>
      <c r="H217" s="173"/>
      <c r="I217" s="173"/>
      <c r="J217" s="173"/>
      <c r="K217" s="173"/>
      <c r="L217" s="173"/>
      <c r="M217" s="173"/>
      <c r="N217" s="173"/>
      <c r="O217" s="173">
        <v>46300</v>
      </c>
      <c r="P217" s="173"/>
      <c r="Q217" s="173"/>
      <c r="R217" s="173"/>
      <c r="S217" s="173"/>
      <c r="T217" s="174">
        <v>46303</v>
      </c>
      <c r="U217" s="151"/>
      <c r="V217" s="152"/>
      <c r="W217" s="175"/>
      <c r="X217" s="173"/>
      <c r="Y217" s="173"/>
      <c r="Z217" s="176" t="str">
        <f>IF(B217="","",IF(S217&lt;&gt;"","Sevk Edildi",IF(AND(X217&lt;&gt;"",Y217=""),"Reworkte",IF(T217&lt;&gt;"","Kapandı"&amp;IF(COUNT(G217:R217)=0,""," – "&amp;LOOKUP(2,1/(G217:R217=MAX(G217:R217)),{"Tasarım","Ply Cutter","Üretim","Kalite (Üretim sonrası)","Talaşlı","Kalite (Talaşlı sonrası)","Montaj","Kalite (Montaj sonrası)","Boya","Kalite (Boya sonrası)","Yarı Mamül","KM"})),IF(COUNT(G217:R217)=0,"Başlamadı",LOOKUP(2,1/(G217:R217=MAX(G217:R217)),{"Tasarımda","Ply Cutter'da","Üretimde","Kalitede (Üretim sonrası)","Talaşlıda","Kalitede (Talaşlı sonrası)","Montajda","Kalitede (Montaj sonrası)","Boyada","Kalitede (Boya sonrası)","Yarı Mamülde","KM'de"}))))))</f>
        <v>Kapandı – Boya</v>
      </c>
      <c r="AA217" s="177">
        <f t="shared" ca="1" si="53"/>
        <v>8</v>
      </c>
      <c r="AB217" s="175"/>
      <c r="AD217" t="str">
        <f>IF(OR($B217="",NOT(ISNUMBER(G217))),"",IF(COUNTIF(H217:$T217,G217)&gt;0,0,IF(COUNTIF($G217:$T217,"&gt;"&amp;G217)=0,"",SMALL($G217:$T217,COUNTIF($G217:$T217,"&lt;="&amp;G217)+1)-G217)))</f>
        <v/>
      </c>
      <c r="AE217" t="str">
        <f>IF(OR($B217="",NOT(ISNUMBER(H217))),"",IF(COUNTIF(I217:$T217,H217)&gt;0,0,IF(COUNTIF($G217:$T217,"&gt;"&amp;H217)=0,"",SMALL($G217:$T217,COUNTIF($G217:$T217,"&lt;="&amp;H217)+1)-H217)))</f>
        <v/>
      </c>
      <c r="AF217" t="str">
        <f>IF(OR($B217="",NOT(ISNUMBER(I217))),"",IF(COUNTIF(J217:$T217,I217)&gt;0,0,IF(COUNTIF($G217:$T217,"&gt;"&amp;I217)=0,"",SMALL($G217:$T217,COUNTIF($G217:$T217,"&lt;="&amp;I217)+1)-I217)))</f>
        <v/>
      </c>
      <c r="AG217" t="str">
        <f>IF(OR($B217="",NOT(ISNUMBER(J217))),"",IF(COUNTIF(K217:$T217,J217)&gt;0,0,IF(COUNTIF($G217:$T217,"&gt;"&amp;J217)=0,"",SMALL($G217:$T217,COUNTIF($G217:$T217,"&lt;="&amp;J217)+1)-J217)))</f>
        <v/>
      </c>
      <c r="AH217" t="str">
        <f>IF(OR($B217="",NOT(ISNUMBER(K217))),"",IF(COUNTIF(L217:$T217,K217)&gt;0,0,IF(COUNTIF($G217:$T217,"&gt;"&amp;K217)=0,"",SMALL($G217:$T217,COUNTIF($G217:$T217,"&lt;="&amp;K217)+1)-K217)))</f>
        <v/>
      </c>
      <c r="AI217" t="str">
        <f>IF(OR($B217="",NOT(ISNUMBER(L217))),"",IF(COUNTIF(M217:$T217,L217)&gt;0,0,IF(COUNTIF($G217:$T217,"&gt;"&amp;L217)=0,"",SMALL($G217:$T217,COUNTIF($G217:$T217,"&lt;="&amp;L217)+1)-L217)))</f>
        <v/>
      </c>
      <c r="AJ217" t="str">
        <f>IF(OR($B217="",NOT(ISNUMBER(M217))),"",IF(COUNTIF(N217:$T217,M217)&gt;0,0,IF(COUNTIF($G217:$T217,"&gt;"&amp;M217)=0,"",SMALL($G217:$T217,COUNTIF($G217:$T217,"&lt;="&amp;M217)+1)-M217)))</f>
        <v/>
      </c>
      <c r="AK217" t="str">
        <f>IF(OR($B217="",NOT(ISNUMBER(N217))),"",IF(COUNTIF(O217:$T217,N217)&gt;0,0,IF(COUNTIF($G217:$T217,"&gt;"&amp;N217)=0,"",SMALL($G217:$T217,COUNTIF($G217:$T217,"&lt;="&amp;N217)+1)-N217)))</f>
        <v/>
      </c>
      <c r="AL217">
        <f>IF(OR($B217="",NOT(ISNUMBER(O217))),"",IF(COUNTIF(P217:$T217,O217)&gt;0,0,IF(COUNTIF($G217:$T217,"&gt;"&amp;O217)=0,"",SMALL($G217:$T217,COUNTIF($G217:$T217,"&lt;="&amp;O217)+1)-O217)))</f>
        <v>3</v>
      </c>
      <c r="AM217" t="str">
        <f>IF(OR($B217="",NOT(ISNUMBER(P217))),"",IF(COUNTIF(Q217:$T217,P217)&gt;0,0,IF(COUNTIF($G217:$T217,"&gt;"&amp;P217)=0,"",SMALL($G217:$T217,COUNTIF($G217:$T217,"&lt;="&amp;P217)+1)-P217)))</f>
        <v/>
      </c>
      <c r="AN217" t="str">
        <f>IF(OR($B217="",NOT(ISNUMBER(Q217))),"",IF(COUNTIF(R217:$T217,Q217)&gt;0,0,IF(COUNTIF($G217:$T217,"&gt;"&amp;Q217)=0,"",SMALL($G217:$T217,COUNTIF($G217:$T217,"&lt;="&amp;Q217)+1)-Q217)))</f>
        <v/>
      </c>
      <c r="AO217" t="str">
        <f>IF(OR($B217="",NOT(ISNUMBER(R217))),"",IF(COUNTIF(S217:$T217,R217)&gt;0,0,IF(COUNTIF($G217:$T217,"&gt;"&amp;R217)=0,"",SMALL($G217:$T217,COUNTIF($G217:$T217,"&lt;="&amp;R217)+1)-R217)))</f>
        <v/>
      </c>
      <c r="AP217">
        <f t="shared" ca="1" si="54"/>
        <v>0</v>
      </c>
      <c r="AQ217" s="25" t="str">
        <f t="shared" si="55"/>
        <v/>
      </c>
      <c r="AR217" s="25" t="str">
        <f t="shared" si="56"/>
        <v/>
      </c>
      <c r="AS217" s="25" t="str">
        <f t="shared" si="57"/>
        <v/>
      </c>
      <c r="AT217" s="25" t="str">
        <f t="shared" si="58"/>
        <v/>
      </c>
      <c r="AU217" s="25" t="str">
        <f t="shared" si="59"/>
        <v/>
      </c>
      <c r="AV217" s="25" t="str">
        <f t="shared" si="60"/>
        <v/>
      </c>
      <c r="AW217" s="25" t="str">
        <f t="shared" si="61"/>
        <v/>
      </c>
      <c r="AX217" s="25" t="str">
        <f t="shared" si="62"/>
        <v/>
      </c>
      <c r="AY217" s="25">
        <f t="shared" si="63"/>
        <v>46303</v>
      </c>
      <c r="AZ217" s="25" t="str">
        <f t="shared" si="64"/>
        <v/>
      </c>
      <c r="BA217" s="25" t="str">
        <f t="shared" si="65"/>
        <v/>
      </c>
      <c r="BB217" s="25" t="str">
        <f t="shared" si="66"/>
        <v/>
      </c>
      <c r="BC217" s="25">
        <f t="shared" si="67"/>
        <v>46303</v>
      </c>
    </row>
    <row r="218" spans="1:55" x14ac:dyDescent="0.25">
      <c r="A218" s="151">
        <f t="shared" si="51"/>
        <v>216</v>
      </c>
      <c r="B218" s="151" t="s">
        <v>373</v>
      </c>
      <c r="C218" s="152" t="s">
        <v>374</v>
      </c>
      <c r="D218" s="151">
        <f t="shared" si="52"/>
        <v>1</v>
      </c>
      <c r="E218" s="151" t="s">
        <v>61</v>
      </c>
      <c r="F218" s="173">
        <v>46295</v>
      </c>
      <c r="G218" s="173"/>
      <c r="H218" s="173"/>
      <c r="I218" s="173"/>
      <c r="J218" s="173"/>
      <c r="K218" s="173"/>
      <c r="L218" s="173"/>
      <c r="M218" s="173"/>
      <c r="N218" s="173"/>
      <c r="O218" s="173">
        <v>46295</v>
      </c>
      <c r="P218" s="173">
        <v>46296</v>
      </c>
      <c r="Q218" s="173"/>
      <c r="R218" s="173"/>
      <c r="S218" s="173"/>
      <c r="T218" s="174">
        <v>46296</v>
      </c>
      <c r="U218" s="151"/>
      <c r="V218" s="152"/>
      <c r="W218" s="175"/>
      <c r="X218" s="173"/>
      <c r="Y218" s="173"/>
      <c r="Z218" s="176" t="str">
        <f>IF(B218="","",IF(S218&lt;&gt;"","Sevk Edildi",IF(AND(X218&lt;&gt;"",Y218=""),"Reworkte",IF(T218&lt;&gt;"","Kapandı"&amp;IF(COUNT(G218:R218)=0,""," – "&amp;LOOKUP(2,1/(G218:R218=MAX(G218:R218)),{"Tasarım","Ply Cutter","Üretim","Kalite (Üretim sonrası)","Talaşlı","Kalite (Talaşlı sonrası)","Montaj","Kalite (Montaj sonrası)","Boya","Kalite (Boya sonrası)","Yarı Mamül","KM"})),IF(COUNT(G218:R218)=0,"Başlamadı",LOOKUP(2,1/(G218:R218=MAX(G218:R218)),{"Tasarımda","Ply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218" s="177">
        <f t="shared" ca="1" si="53"/>
        <v>1</v>
      </c>
      <c r="AB218" s="175"/>
      <c r="AD218" t="str">
        <f>IF(OR($B218="",NOT(ISNUMBER(G218))),"",IF(COUNTIF(H218:$T218,G218)&gt;0,0,IF(COUNTIF($G218:$T218,"&gt;"&amp;G218)=0,"",SMALL($G218:$T218,COUNTIF($G218:$T218,"&lt;="&amp;G218)+1)-G218)))</f>
        <v/>
      </c>
      <c r="AE218" t="str">
        <f>IF(OR($B218="",NOT(ISNUMBER(H218))),"",IF(COUNTIF(I218:$T218,H218)&gt;0,0,IF(COUNTIF($G218:$T218,"&gt;"&amp;H218)=0,"",SMALL($G218:$T218,COUNTIF($G218:$T218,"&lt;="&amp;H218)+1)-H218)))</f>
        <v/>
      </c>
      <c r="AF218" t="str">
        <f>IF(OR($B218="",NOT(ISNUMBER(I218))),"",IF(COUNTIF(J218:$T218,I218)&gt;0,0,IF(COUNTIF($G218:$T218,"&gt;"&amp;I218)=0,"",SMALL($G218:$T218,COUNTIF($G218:$T218,"&lt;="&amp;I218)+1)-I218)))</f>
        <v/>
      </c>
      <c r="AG218" t="str">
        <f>IF(OR($B218="",NOT(ISNUMBER(J218))),"",IF(COUNTIF(K218:$T218,J218)&gt;0,0,IF(COUNTIF($G218:$T218,"&gt;"&amp;J218)=0,"",SMALL($G218:$T218,COUNTIF($G218:$T218,"&lt;="&amp;J218)+1)-J218)))</f>
        <v/>
      </c>
      <c r="AH218" t="str">
        <f>IF(OR($B218="",NOT(ISNUMBER(K218))),"",IF(COUNTIF(L218:$T218,K218)&gt;0,0,IF(COUNTIF($G218:$T218,"&gt;"&amp;K218)=0,"",SMALL($G218:$T218,COUNTIF($G218:$T218,"&lt;="&amp;K218)+1)-K218)))</f>
        <v/>
      </c>
      <c r="AI218" t="str">
        <f>IF(OR($B218="",NOT(ISNUMBER(L218))),"",IF(COUNTIF(M218:$T218,L218)&gt;0,0,IF(COUNTIF($G218:$T218,"&gt;"&amp;L218)=0,"",SMALL($G218:$T218,COUNTIF($G218:$T218,"&lt;="&amp;L218)+1)-L218)))</f>
        <v/>
      </c>
      <c r="AJ218" t="str">
        <f>IF(OR($B218="",NOT(ISNUMBER(M218))),"",IF(COUNTIF(N218:$T218,M218)&gt;0,0,IF(COUNTIF($G218:$T218,"&gt;"&amp;M218)=0,"",SMALL($G218:$T218,COUNTIF($G218:$T218,"&lt;="&amp;M218)+1)-M218)))</f>
        <v/>
      </c>
      <c r="AK218" t="str">
        <f>IF(OR($B218="",NOT(ISNUMBER(N218))),"",IF(COUNTIF(O218:$T218,N218)&gt;0,0,IF(COUNTIF($G218:$T218,"&gt;"&amp;N218)=0,"",SMALL($G218:$T218,COUNTIF($G218:$T218,"&lt;="&amp;N218)+1)-N218)))</f>
        <v/>
      </c>
      <c r="AL218">
        <f>IF(OR($B218="",NOT(ISNUMBER(O218))),"",IF(COUNTIF(P218:$T218,O218)&gt;0,0,IF(COUNTIF($G218:$T218,"&gt;"&amp;O218)=0,"",SMALL($G218:$T218,COUNTIF($G218:$T218,"&lt;="&amp;O218)+1)-O218)))</f>
        <v>1</v>
      </c>
      <c r="AM218">
        <f>IF(OR($B218="",NOT(ISNUMBER(P218))),"",IF(COUNTIF(Q218:$T218,P218)&gt;0,0,IF(COUNTIF($G218:$T218,"&gt;"&amp;P218)=0,"",SMALL($G218:$T218,COUNTIF($G218:$T218,"&lt;="&amp;P218)+1)-P218)))</f>
        <v>0</v>
      </c>
      <c r="AN218" t="str">
        <f>IF(OR($B218="",NOT(ISNUMBER(Q218))),"",IF(COUNTIF(R218:$T218,Q218)&gt;0,0,IF(COUNTIF($G218:$T218,"&gt;"&amp;Q218)=0,"",SMALL($G218:$T218,COUNTIF($G218:$T218,"&lt;="&amp;Q218)+1)-Q218)))</f>
        <v/>
      </c>
      <c r="AO218" t="str">
        <f>IF(OR($B218="",NOT(ISNUMBER(R218))),"",IF(COUNTIF(S218:$T218,R218)&gt;0,0,IF(COUNTIF($G218:$T218,"&gt;"&amp;R218)=0,"",SMALL($G218:$T218,COUNTIF($G218:$T218,"&lt;="&amp;R218)+1)-R218)))</f>
        <v/>
      </c>
      <c r="AP218">
        <f t="shared" ca="1" si="54"/>
        <v>0</v>
      </c>
      <c r="AQ218" s="25" t="str">
        <f t="shared" si="55"/>
        <v/>
      </c>
      <c r="AR218" s="25" t="str">
        <f t="shared" si="56"/>
        <v/>
      </c>
      <c r="AS218" s="25" t="str">
        <f t="shared" si="57"/>
        <v/>
      </c>
      <c r="AT218" s="25" t="str">
        <f t="shared" si="58"/>
        <v/>
      </c>
      <c r="AU218" s="25" t="str">
        <f t="shared" si="59"/>
        <v/>
      </c>
      <c r="AV218" s="25" t="str">
        <f t="shared" si="60"/>
        <v/>
      </c>
      <c r="AW218" s="25" t="str">
        <f t="shared" si="61"/>
        <v/>
      </c>
      <c r="AX218" s="25" t="str">
        <f t="shared" si="62"/>
        <v/>
      </c>
      <c r="AY218" s="25">
        <f t="shared" si="63"/>
        <v>46296</v>
      </c>
      <c r="AZ218" s="25">
        <f t="shared" si="64"/>
        <v>46296</v>
      </c>
      <c r="BA218" s="25" t="str">
        <f t="shared" si="65"/>
        <v/>
      </c>
      <c r="BB218" s="25" t="str">
        <f t="shared" si="66"/>
        <v/>
      </c>
      <c r="BC218" s="25">
        <f t="shared" si="67"/>
        <v>46296</v>
      </c>
    </row>
    <row r="219" spans="1:55" x14ac:dyDescent="0.25">
      <c r="A219" s="151">
        <f t="shared" si="51"/>
        <v>217</v>
      </c>
      <c r="B219" s="151" t="s">
        <v>375</v>
      </c>
      <c r="C219" s="152" t="s">
        <v>376</v>
      </c>
      <c r="D219" s="151">
        <f t="shared" si="52"/>
        <v>2</v>
      </c>
      <c r="E219" s="151" t="s">
        <v>61</v>
      </c>
      <c r="F219" s="173">
        <v>46295</v>
      </c>
      <c r="G219" s="173"/>
      <c r="H219" s="173"/>
      <c r="I219" s="173"/>
      <c r="J219" s="173"/>
      <c r="K219" s="173"/>
      <c r="L219" s="173"/>
      <c r="M219" s="173"/>
      <c r="N219" s="173"/>
      <c r="O219" s="173">
        <v>46295</v>
      </c>
      <c r="P219" s="173">
        <v>46295</v>
      </c>
      <c r="Q219" s="173"/>
      <c r="R219" s="173"/>
      <c r="S219" s="173"/>
      <c r="T219" s="174">
        <v>46295</v>
      </c>
      <c r="U219" s="151"/>
      <c r="V219" s="152"/>
      <c r="W219" s="175"/>
      <c r="X219" s="173"/>
      <c r="Y219" s="173"/>
      <c r="Z219" s="176" t="str">
        <f>IF(B219="","",IF(S219&lt;&gt;"","Sevk Edildi",IF(AND(X219&lt;&gt;"",Y219=""),"Reworkte",IF(T219&lt;&gt;"","Kapandı"&amp;IF(COUNT(G219:R219)=0,""," – "&amp;LOOKUP(2,1/(G219:R219=MAX(G219:R219)),{"Tasarım","Ply Cutter","Üretim","Kalite (Üretim sonrası)","Talaşlı","Kalite (Talaşlı sonrası)","Montaj","Kalite (Montaj sonrası)","Boya","Kalite (Boya sonrası)","Yarı Mamül","KM"})),IF(COUNT(G219:R219)=0,"Başlamadı",LOOKUP(2,1/(G219:R219=MAX(G219:R219)),{"Tasarımda","Ply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219" s="177">
        <f t="shared" ca="1" si="53"/>
        <v>0</v>
      </c>
      <c r="AB219" s="175"/>
      <c r="AD219" t="str">
        <f>IF(OR($B219="",NOT(ISNUMBER(G219))),"",IF(COUNTIF(H219:$T219,G219)&gt;0,0,IF(COUNTIF($G219:$T219,"&gt;"&amp;G219)=0,"",SMALL($G219:$T219,COUNTIF($G219:$T219,"&lt;="&amp;G219)+1)-G219)))</f>
        <v/>
      </c>
      <c r="AE219" t="str">
        <f>IF(OR($B219="",NOT(ISNUMBER(H219))),"",IF(COUNTIF(I219:$T219,H219)&gt;0,0,IF(COUNTIF($G219:$T219,"&gt;"&amp;H219)=0,"",SMALL($G219:$T219,COUNTIF($G219:$T219,"&lt;="&amp;H219)+1)-H219)))</f>
        <v/>
      </c>
      <c r="AF219" t="str">
        <f>IF(OR($B219="",NOT(ISNUMBER(I219))),"",IF(COUNTIF(J219:$T219,I219)&gt;0,0,IF(COUNTIF($G219:$T219,"&gt;"&amp;I219)=0,"",SMALL($G219:$T219,COUNTIF($G219:$T219,"&lt;="&amp;I219)+1)-I219)))</f>
        <v/>
      </c>
      <c r="AG219" t="str">
        <f>IF(OR($B219="",NOT(ISNUMBER(J219))),"",IF(COUNTIF(K219:$T219,J219)&gt;0,0,IF(COUNTIF($G219:$T219,"&gt;"&amp;J219)=0,"",SMALL($G219:$T219,COUNTIF($G219:$T219,"&lt;="&amp;J219)+1)-J219)))</f>
        <v/>
      </c>
      <c r="AH219" t="str">
        <f>IF(OR($B219="",NOT(ISNUMBER(K219))),"",IF(COUNTIF(L219:$T219,K219)&gt;0,0,IF(COUNTIF($G219:$T219,"&gt;"&amp;K219)=0,"",SMALL($G219:$T219,COUNTIF($G219:$T219,"&lt;="&amp;K219)+1)-K219)))</f>
        <v/>
      </c>
      <c r="AI219" t="str">
        <f>IF(OR($B219="",NOT(ISNUMBER(L219))),"",IF(COUNTIF(M219:$T219,L219)&gt;0,0,IF(COUNTIF($G219:$T219,"&gt;"&amp;L219)=0,"",SMALL($G219:$T219,COUNTIF($G219:$T219,"&lt;="&amp;L219)+1)-L219)))</f>
        <v/>
      </c>
      <c r="AJ219" t="str">
        <f>IF(OR($B219="",NOT(ISNUMBER(M219))),"",IF(COUNTIF(N219:$T219,M219)&gt;0,0,IF(COUNTIF($G219:$T219,"&gt;"&amp;M219)=0,"",SMALL($G219:$T219,COUNTIF($G219:$T219,"&lt;="&amp;M219)+1)-M219)))</f>
        <v/>
      </c>
      <c r="AK219" t="str">
        <f>IF(OR($B219="",NOT(ISNUMBER(N219))),"",IF(COUNTIF(O219:$T219,N219)&gt;0,0,IF(COUNTIF($G219:$T219,"&gt;"&amp;N219)=0,"",SMALL($G219:$T219,COUNTIF($G219:$T219,"&lt;="&amp;N219)+1)-N219)))</f>
        <v/>
      </c>
      <c r="AL219">
        <f>IF(OR($B219="",NOT(ISNUMBER(O219))),"",IF(COUNTIF(P219:$T219,O219)&gt;0,0,IF(COUNTIF($G219:$T219,"&gt;"&amp;O219)=0,"",SMALL($G219:$T219,COUNTIF($G219:$T219,"&lt;="&amp;O219)+1)-O219)))</f>
        <v>0</v>
      </c>
      <c r="AM219">
        <f>IF(OR($B219="",NOT(ISNUMBER(P219))),"",IF(COUNTIF(Q219:$T219,P219)&gt;0,0,IF(COUNTIF($G219:$T219,"&gt;"&amp;P219)=0,"",SMALL($G219:$T219,COUNTIF($G219:$T219,"&lt;="&amp;P219)+1)-P219)))</f>
        <v>0</v>
      </c>
      <c r="AN219" t="str">
        <f>IF(OR($B219="",NOT(ISNUMBER(Q219))),"",IF(COUNTIF(R219:$T219,Q219)&gt;0,0,IF(COUNTIF($G219:$T219,"&gt;"&amp;Q219)=0,"",SMALL($G219:$T219,COUNTIF($G219:$T219,"&lt;="&amp;Q219)+1)-Q219)))</f>
        <v/>
      </c>
      <c r="AO219" t="str">
        <f>IF(OR($B219="",NOT(ISNUMBER(R219))),"",IF(COUNTIF(S219:$T219,R219)&gt;0,0,IF(COUNTIF($G219:$T219,"&gt;"&amp;R219)=0,"",SMALL($G219:$T219,COUNTIF($G219:$T219,"&lt;="&amp;R219)+1)-R219)))</f>
        <v/>
      </c>
      <c r="AP219">
        <f t="shared" ca="1" si="54"/>
        <v>0</v>
      </c>
      <c r="AQ219" s="25" t="str">
        <f t="shared" si="55"/>
        <v/>
      </c>
      <c r="AR219" s="25" t="str">
        <f t="shared" si="56"/>
        <v/>
      </c>
      <c r="AS219" s="25" t="str">
        <f t="shared" si="57"/>
        <v/>
      </c>
      <c r="AT219" s="25" t="str">
        <f t="shared" si="58"/>
        <v/>
      </c>
      <c r="AU219" s="25" t="str">
        <f t="shared" si="59"/>
        <v/>
      </c>
      <c r="AV219" s="25" t="str">
        <f t="shared" si="60"/>
        <v/>
      </c>
      <c r="AW219" s="25" t="str">
        <f t="shared" si="61"/>
        <v/>
      </c>
      <c r="AX219" s="25" t="str">
        <f t="shared" si="62"/>
        <v/>
      </c>
      <c r="AY219" s="25">
        <f t="shared" si="63"/>
        <v>46295</v>
      </c>
      <c r="AZ219" s="25">
        <f t="shared" si="64"/>
        <v>46295</v>
      </c>
      <c r="BA219" s="25" t="str">
        <f t="shared" si="65"/>
        <v/>
      </c>
      <c r="BB219" s="25" t="str">
        <f t="shared" si="66"/>
        <v/>
      </c>
      <c r="BC219" s="25">
        <f t="shared" si="67"/>
        <v>46295</v>
      </c>
    </row>
    <row r="220" spans="1:55" x14ac:dyDescent="0.25">
      <c r="A220" s="151">
        <f t="shared" si="51"/>
        <v>218</v>
      </c>
      <c r="B220" s="151" t="s">
        <v>377</v>
      </c>
      <c r="C220" s="152" t="s">
        <v>378</v>
      </c>
      <c r="D220" s="151">
        <f t="shared" si="52"/>
        <v>2</v>
      </c>
      <c r="E220" s="151" t="s">
        <v>61</v>
      </c>
      <c r="F220" s="173">
        <v>46295</v>
      </c>
      <c r="G220" s="173"/>
      <c r="H220" s="173"/>
      <c r="I220" s="173"/>
      <c r="J220" s="173"/>
      <c r="K220" s="173"/>
      <c r="L220" s="173"/>
      <c r="M220" s="173"/>
      <c r="N220" s="173"/>
      <c r="O220" s="173">
        <v>46295</v>
      </c>
      <c r="P220" s="173">
        <v>46295</v>
      </c>
      <c r="Q220" s="173"/>
      <c r="R220" s="173"/>
      <c r="S220" s="173"/>
      <c r="T220" s="174">
        <v>46295</v>
      </c>
      <c r="U220" s="151"/>
      <c r="V220" s="152"/>
      <c r="W220" s="175"/>
      <c r="X220" s="173"/>
      <c r="Y220" s="173"/>
      <c r="Z220" s="176" t="str">
        <f>IF(B220="","",IF(S220&lt;&gt;"","Sevk Edildi",IF(AND(X220&lt;&gt;"",Y220=""),"Reworkte",IF(T220&lt;&gt;"","Kapandı"&amp;IF(COUNT(G220:R220)=0,""," – "&amp;LOOKUP(2,1/(G220:R220=MAX(G220:R220)),{"Tasarım","Ply Cutter","Üretim","Kalite (Üretim sonrası)","Talaşlı","Kalite (Talaşlı sonrası)","Montaj","Kalite (Montaj sonrası)","Boya","Kalite (Boya sonrası)","Yarı Mamül","KM"})),IF(COUNT(G220:R220)=0,"Başlamadı",LOOKUP(2,1/(G220:R220=MAX(G220:R220)),{"Tasarımda","Ply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220" s="177">
        <f t="shared" ca="1" si="53"/>
        <v>0</v>
      </c>
      <c r="AB220" s="175"/>
      <c r="AD220" t="str">
        <f>IF(OR($B220="",NOT(ISNUMBER(G220))),"",IF(COUNTIF(H220:$T220,G220)&gt;0,0,IF(COUNTIF($G220:$T220,"&gt;"&amp;G220)=0,"",SMALL($G220:$T220,COUNTIF($G220:$T220,"&lt;="&amp;G220)+1)-G220)))</f>
        <v/>
      </c>
      <c r="AE220" t="str">
        <f>IF(OR($B220="",NOT(ISNUMBER(H220))),"",IF(COUNTIF(I220:$T220,H220)&gt;0,0,IF(COUNTIF($G220:$T220,"&gt;"&amp;H220)=0,"",SMALL($G220:$T220,COUNTIF($G220:$T220,"&lt;="&amp;H220)+1)-H220)))</f>
        <v/>
      </c>
      <c r="AF220" t="str">
        <f>IF(OR($B220="",NOT(ISNUMBER(I220))),"",IF(COUNTIF(J220:$T220,I220)&gt;0,0,IF(COUNTIF($G220:$T220,"&gt;"&amp;I220)=0,"",SMALL($G220:$T220,COUNTIF($G220:$T220,"&lt;="&amp;I220)+1)-I220)))</f>
        <v/>
      </c>
      <c r="AG220" t="str">
        <f>IF(OR($B220="",NOT(ISNUMBER(J220))),"",IF(COUNTIF(K220:$T220,J220)&gt;0,0,IF(COUNTIF($G220:$T220,"&gt;"&amp;J220)=0,"",SMALL($G220:$T220,COUNTIF($G220:$T220,"&lt;="&amp;J220)+1)-J220)))</f>
        <v/>
      </c>
      <c r="AH220" t="str">
        <f>IF(OR($B220="",NOT(ISNUMBER(K220))),"",IF(COUNTIF(L220:$T220,K220)&gt;0,0,IF(COUNTIF($G220:$T220,"&gt;"&amp;K220)=0,"",SMALL($G220:$T220,COUNTIF($G220:$T220,"&lt;="&amp;K220)+1)-K220)))</f>
        <v/>
      </c>
      <c r="AI220" t="str">
        <f>IF(OR($B220="",NOT(ISNUMBER(L220))),"",IF(COUNTIF(M220:$T220,L220)&gt;0,0,IF(COUNTIF($G220:$T220,"&gt;"&amp;L220)=0,"",SMALL($G220:$T220,COUNTIF($G220:$T220,"&lt;="&amp;L220)+1)-L220)))</f>
        <v/>
      </c>
      <c r="AJ220" t="str">
        <f>IF(OR($B220="",NOT(ISNUMBER(M220))),"",IF(COUNTIF(N220:$T220,M220)&gt;0,0,IF(COUNTIF($G220:$T220,"&gt;"&amp;M220)=0,"",SMALL($G220:$T220,COUNTIF($G220:$T220,"&lt;="&amp;M220)+1)-M220)))</f>
        <v/>
      </c>
      <c r="AK220" t="str">
        <f>IF(OR($B220="",NOT(ISNUMBER(N220))),"",IF(COUNTIF(O220:$T220,N220)&gt;0,0,IF(COUNTIF($G220:$T220,"&gt;"&amp;N220)=0,"",SMALL($G220:$T220,COUNTIF($G220:$T220,"&lt;="&amp;N220)+1)-N220)))</f>
        <v/>
      </c>
      <c r="AL220">
        <f>IF(OR($B220="",NOT(ISNUMBER(O220))),"",IF(COUNTIF(P220:$T220,O220)&gt;0,0,IF(COUNTIF($G220:$T220,"&gt;"&amp;O220)=0,"",SMALL($G220:$T220,COUNTIF($G220:$T220,"&lt;="&amp;O220)+1)-O220)))</f>
        <v>0</v>
      </c>
      <c r="AM220">
        <f>IF(OR($B220="",NOT(ISNUMBER(P220))),"",IF(COUNTIF(Q220:$T220,P220)&gt;0,0,IF(COUNTIF($G220:$T220,"&gt;"&amp;P220)=0,"",SMALL($G220:$T220,COUNTIF($G220:$T220,"&lt;="&amp;P220)+1)-P220)))</f>
        <v>0</v>
      </c>
      <c r="AN220" t="str">
        <f>IF(OR($B220="",NOT(ISNUMBER(Q220))),"",IF(COUNTIF(R220:$T220,Q220)&gt;0,0,IF(COUNTIF($G220:$T220,"&gt;"&amp;Q220)=0,"",SMALL($G220:$T220,COUNTIF($G220:$T220,"&lt;="&amp;Q220)+1)-Q220)))</f>
        <v/>
      </c>
      <c r="AO220" t="str">
        <f>IF(OR($B220="",NOT(ISNUMBER(R220))),"",IF(COUNTIF(S220:$T220,R220)&gt;0,0,IF(COUNTIF($G220:$T220,"&gt;"&amp;R220)=0,"",SMALL($G220:$T220,COUNTIF($G220:$T220,"&lt;="&amp;R220)+1)-R220)))</f>
        <v/>
      </c>
      <c r="AP220">
        <f t="shared" ca="1" si="54"/>
        <v>0</v>
      </c>
      <c r="AQ220" s="25" t="str">
        <f t="shared" si="55"/>
        <v/>
      </c>
      <c r="AR220" s="25" t="str">
        <f t="shared" si="56"/>
        <v/>
      </c>
      <c r="AS220" s="25" t="str">
        <f t="shared" si="57"/>
        <v/>
      </c>
      <c r="AT220" s="25" t="str">
        <f t="shared" si="58"/>
        <v/>
      </c>
      <c r="AU220" s="25" t="str">
        <f t="shared" si="59"/>
        <v/>
      </c>
      <c r="AV220" s="25" t="str">
        <f t="shared" si="60"/>
        <v/>
      </c>
      <c r="AW220" s="25" t="str">
        <f t="shared" si="61"/>
        <v/>
      </c>
      <c r="AX220" s="25" t="str">
        <f t="shared" si="62"/>
        <v/>
      </c>
      <c r="AY220" s="25">
        <f t="shared" si="63"/>
        <v>46295</v>
      </c>
      <c r="AZ220" s="25">
        <f t="shared" si="64"/>
        <v>46295</v>
      </c>
      <c r="BA220" s="25" t="str">
        <f t="shared" si="65"/>
        <v/>
      </c>
      <c r="BB220" s="25" t="str">
        <f t="shared" si="66"/>
        <v/>
      </c>
      <c r="BC220" s="25">
        <f t="shared" si="67"/>
        <v>46295</v>
      </c>
    </row>
    <row r="221" spans="1:55" x14ac:dyDescent="0.25">
      <c r="A221" s="151">
        <f t="shared" si="51"/>
        <v>219</v>
      </c>
      <c r="B221" s="151" t="s">
        <v>379</v>
      </c>
      <c r="C221" s="152" t="s">
        <v>380</v>
      </c>
      <c r="D221" s="151">
        <f t="shared" si="52"/>
        <v>11</v>
      </c>
      <c r="E221" s="151" t="s">
        <v>61</v>
      </c>
      <c r="F221" s="173">
        <v>46295</v>
      </c>
      <c r="G221" s="173"/>
      <c r="H221" s="173"/>
      <c r="I221" s="173"/>
      <c r="J221" s="173"/>
      <c r="K221" s="173"/>
      <c r="L221" s="173"/>
      <c r="M221" s="173"/>
      <c r="N221" s="173"/>
      <c r="O221" s="173">
        <v>46295</v>
      </c>
      <c r="P221" s="173">
        <v>46296</v>
      </c>
      <c r="Q221" s="173"/>
      <c r="R221" s="173"/>
      <c r="S221" s="173"/>
      <c r="T221" s="174">
        <v>46296</v>
      </c>
      <c r="U221" s="151"/>
      <c r="V221" s="152"/>
      <c r="W221" s="175"/>
      <c r="X221" s="173"/>
      <c r="Y221" s="173"/>
      <c r="Z221" s="176" t="str">
        <f>IF(B221="","",IF(S221&lt;&gt;"","Sevk Edildi",IF(AND(X221&lt;&gt;"",Y221=""),"Reworkte",IF(T221&lt;&gt;"","Kapandı"&amp;IF(COUNT(G221:R221)=0,""," – "&amp;LOOKUP(2,1/(G221:R221=MAX(G221:R221)),{"Tasarım","Ply Cutter","Üretim","Kalite (Üretim sonrası)","Talaşlı","Kalite (Talaşlı sonrası)","Montaj","Kalite (Montaj sonrası)","Boya","Kalite (Boya sonrası)","Yarı Mamül","KM"})),IF(COUNT(G221:R221)=0,"Başlamadı",LOOKUP(2,1/(G221:R221=MAX(G221:R221)),{"Tasarımda","Ply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221" s="177">
        <f t="shared" ca="1" si="53"/>
        <v>1</v>
      </c>
      <c r="AB221" s="175"/>
      <c r="AD221" t="str">
        <f>IF(OR($B221="",NOT(ISNUMBER(G221))),"",IF(COUNTIF(H221:$T221,G221)&gt;0,0,IF(COUNTIF($G221:$T221,"&gt;"&amp;G221)=0,"",SMALL($G221:$T221,COUNTIF($G221:$T221,"&lt;="&amp;G221)+1)-G221)))</f>
        <v/>
      </c>
      <c r="AE221" t="str">
        <f>IF(OR($B221="",NOT(ISNUMBER(H221))),"",IF(COUNTIF(I221:$T221,H221)&gt;0,0,IF(COUNTIF($G221:$T221,"&gt;"&amp;H221)=0,"",SMALL($G221:$T221,COUNTIF($G221:$T221,"&lt;="&amp;H221)+1)-H221)))</f>
        <v/>
      </c>
      <c r="AF221" t="str">
        <f>IF(OR($B221="",NOT(ISNUMBER(I221))),"",IF(COUNTIF(J221:$T221,I221)&gt;0,0,IF(COUNTIF($G221:$T221,"&gt;"&amp;I221)=0,"",SMALL($G221:$T221,COUNTIF($G221:$T221,"&lt;="&amp;I221)+1)-I221)))</f>
        <v/>
      </c>
      <c r="AG221" t="str">
        <f>IF(OR($B221="",NOT(ISNUMBER(J221))),"",IF(COUNTIF(K221:$T221,J221)&gt;0,0,IF(COUNTIF($G221:$T221,"&gt;"&amp;J221)=0,"",SMALL($G221:$T221,COUNTIF($G221:$T221,"&lt;="&amp;J221)+1)-J221)))</f>
        <v/>
      </c>
      <c r="AH221" t="str">
        <f>IF(OR($B221="",NOT(ISNUMBER(K221))),"",IF(COUNTIF(L221:$T221,K221)&gt;0,0,IF(COUNTIF($G221:$T221,"&gt;"&amp;K221)=0,"",SMALL($G221:$T221,COUNTIF($G221:$T221,"&lt;="&amp;K221)+1)-K221)))</f>
        <v/>
      </c>
      <c r="AI221" t="str">
        <f>IF(OR($B221="",NOT(ISNUMBER(L221))),"",IF(COUNTIF(M221:$T221,L221)&gt;0,0,IF(COUNTIF($G221:$T221,"&gt;"&amp;L221)=0,"",SMALL($G221:$T221,COUNTIF($G221:$T221,"&lt;="&amp;L221)+1)-L221)))</f>
        <v/>
      </c>
      <c r="AJ221" t="str">
        <f>IF(OR($B221="",NOT(ISNUMBER(M221))),"",IF(COUNTIF(N221:$T221,M221)&gt;0,0,IF(COUNTIF($G221:$T221,"&gt;"&amp;M221)=0,"",SMALL($G221:$T221,COUNTIF($G221:$T221,"&lt;="&amp;M221)+1)-M221)))</f>
        <v/>
      </c>
      <c r="AK221" t="str">
        <f>IF(OR($B221="",NOT(ISNUMBER(N221))),"",IF(COUNTIF(O221:$T221,N221)&gt;0,0,IF(COUNTIF($G221:$T221,"&gt;"&amp;N221)=0,"",SMALL($G221:$T221,COUNTIF($G221:$T221,"&lt;="&amp;N221)+1)-N221)))</f>
        <v/>
      </c>
      <c r="AL221">
        <f>IF(OR($B221="",NOT(ISNUMBER(O221))),"",IF(COUNTIF(P221:$T221,O221)&gt;0,0,IF(COUNTIF($G221:$T221,"&gt;"&amp;O221)=0,"",SMALL($G221:$T221,COUNTIF($G221:$T221,"&lt;="&amp;O221)+1)-O221)))</f>
        <v>1</v>
      </c>
      <c r="AM221">
        <f>IF(OR($B221="",NOT(ISNUMBER(P221))),"",IF(COUNTIF(Q221:$T221,P221)&gt;0,0,IF(COUNTIF($G221:$T221,"&gt;"&amp;P221)=0,"",SMALL($G221:$T221,COUNTIF($G221:$T221,"&lt;="&amp;P221)+1)-P221)))</f>
        <v>0</v>
      </c>
      <c r="AN221" t="str">
        <f>IF(OR($B221="",NOT(ISNUMBER(Q221))),"",IF(COUNTIF(R221:$T221,Q221)&gt;0,0,IF(COUNTIF($G221:$T221,"&gt;"&amp;Q221)=0,"",SMALL($G221:$T221,COUNTIF($G221:$T221,"&lt;="&amp;Q221)+1)-Q221)))</f>
        <v/>
      </c>
      <c r="AO221" t="str">
        <f>IF(OR($B221="",NOT(ISNUMBER(R221))),"",IF(COUNTIF(S221:$T221,R221)&gt;0,0,IF(COUNTIF($G221:$T221,"&gt;"&amp;R221)=0,"",SMALL($G221:$T221,COUNTIF($G221:$T221,"&lt;="&amp;R221)+1)-R221)))</f>
        <v/>
      </c>
      <c r="AP221">
        <f t="shared" ca="1" si="54"/>
        <v>0</v>
      </c>
      <c r="AQ221" s="25" t="str">
        <f t="shared" si="55"/>
        <v/>
      </c>
      <c r="AR221" s="25" t="str">
        <f t="shared" si="56"/>
        <v/>
      </c>
      <c r="AS221" s="25" t="str">
        <f t="shared" si="57"/>
        <v/>
      </c>
      <c r="AT221" s="25" t="str">
        <f t="shared" si="58"/>
        <v/>
      </c>
      <c r="AU221" s="25" t="str">
        <f t="shared" si="59"/>
        <v/>
      </c>
      <c r="AV221" s="25" t="str">
        <f t="shared" si="60"/>
        <v/>
      </c>
      <c r="AW221" s="25" t="str">
        <f t="shared" si="61"/>
        <v/>
      </c>
      <c r="AX221" s="25" t="str">
        <f t="shared" si="62"/>
        <v/>
      </c>
      <c r="AY221" s="25">
        <f t="shared" si="63"/>
        <v>46296</v>
      </c>
      <c r="AZ221" s="25">
        <f t="shared" si="64"/>
        <v>46296</v>
      </c>
      <c r="BA221" s="25" t="str">
        <f t="shared" si="65"/>
        <v/>
      </c>
      <c r="BB221" s="25" t="str">
        <f t="shared" si="66"/>
        <v/>
      </c>
      <c r="BC221" s="25">
        <f t="shared" si="67"/>
        <v>46296</v>
      </c>
    </row>
    <row r="222" spans="1:55" x14ac:dyDescent="0.25">
      <c r="A222" s="151">
        <f t="shared" si="51"/>
        <v>220</v>
      </c>
      <c r="B222" s="151" t="s">
        <v>381</v>
      </c>
      <c r="C222" s="152" t="s">
        <v>382</v>
      </c>
      <c r="D222" s="151">
        <f t="shared" si="52"/>
        <v>50</v>
      </c>
      <c r="E222" s="151" t="s">
        <v>100</v>
      </c>
      <c r="F222" s="173">
        <v>46295</v>
      </c>
      <c r="G222" s="173"/>
      <c r="H222" s="173"/>
      <c r="I222" s="173"/>
      <c r="J222" s="173"/>
      <c r="K222" s="173">
        <v>46295</v>
      </c>
      <c r="L222" s="173">
        <v>46295</v>
      </c>
      <c r="M222" s="173"/>
      <c r="N222" s="173"/>
      <c r="O222" s="173"/>
      <c r="P222" s="173"/>
      <c r="Q222" s="173"/>
      <c r="R222" s="173"/>
      <c r="S222" s="173"/>
      <c r="T222" s="174">
        <v>46295</v>
      </c>
      <c r="U222" s="151"/>
      <c r="V222" s="152"/>
      <c r="W222" s="175"/>
      <c r="X222" s="173"/>
      <c r="Y222" s="173"/>
      <c r="Z222" s="176" t="str">
        <f>IF(B222="","",IF(S222&lt;&gt;"","Sevk Edildi",IF(AND(X222&lt;&gt;"",Y222=""),"Reworkte",IF(T222&lt;&gt;"","Kapandı"&amp;IF(COUNT(G222:R222)=0,""," – "&amp;LOOKUP(2,1/(G222:R222=MAX(G222:R222)),{"Tasarım","Ply Cutter","Üretim","Kalite (Üretim sonrası)","Talaşlı","Kalite (Talaşlı sonrası)","Montaj","Kalite (Montaj sonrası)","Boya","Kalite (Boya sonrası)","Yarı Mamül","KM"})),IF(COUNT(G222:R222)=0,"Başlamadı",LOOKUP(2,1/(G222:R222=MAX(G222:R222)),{"Tasarımda","Ply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222" s="177">
        <f t="shared" ca="1" si="53"/>
        <v>0</v>
      </c>
      <c r="AB222" s="175"/>
      <c r="AD222" t="str">
        <f>IF(OR($B222="",NOT(ISNUMBER(G222))),"",IF(COUNTIF(H222:$T222,G222)&gt;0,0,IF(COUNTIF($G222:$T222,"&gt;"&amp;G222)=0,"",SMALL($G222:$T222,COUNTIF($G222:$T222,"&lt;="&amp;G222)+1)-G222)))</f>
        <v/>
      </c>
      <c r="AE222" t="str">
        <f>IF(OR($B222="",NOT(ISNUMBER(H222))),"",IF(COUNTIF(I222:$T222,H222)&gt;0,0,IF(COUNTIF($G222:$T222,"&gt;"&amp;H222)=0,"",SMALL($G222:$T222,COUNTIF($G222:$T222,"&lt;="&amp;H222)+1)-H222)))</f>
        <v/>
      </c>
      <c r="AF222" t="str">
        <f>IF(OR($B222="",NOT(ISNUMBER(I222))),"",IF(COUNTIF(J222:$T222,I222)&gt;0,0,IF(COUNTIF($G222:$T222,"&gt;"&amp;I222)=0,"",SMALL($G222:$T222,COUNTIF($G222:$T222,"&lt;="&amp;I222)+1)-I222)))</f>
        <v/>
      </c>
      <c r="AG222" t="str">
        <f>IF(OR($B222="",NOT(ISNUMBER(J222))),"",IF(COUNTIF(K222:$T222,J222)&gt;0,0,IF(COUNTIF($G222:$T222,"&gt;"&amp;J222)=0,"",SMALL($G222:$T222,COUNTIF($G222:$T222,"&lt;="&amp;J222)+1)-J222)))</f>
        <v/>
      </c>
      <c r="AH222">
        <f>IF(OR($B222="",NOT(ISNUMBER(K222))),"",IF(COUNTIF(L222:$T222,K222)&gt;0,0,IF(COUNTIF($G222:$T222,"&gt;"&amp;K222)=0,"",SMALL($G222:$T222,COUNTIF($G222:$T222,"&lt;="&amp;K222)+1)-K222)))</f>
        <v>0</v>
      </c>
      <c r="AI222">
        <f>IF(OR($B222="",NOT(ISNUMBER(L222))),"",IF(COUNTIF(M222:$T222,L222)&gt;0,0,IF(COUNTIF($G222:$T222,"&gt;"&amp;L222)=0,"",SMALL($G222:$T222,COUNTIF($G222:$T222,"&lt;="&amp;L222)+1)-L222)))</f>
        <v>0</v>
      </c>
      <c r="AJ222" t="str">
        <f>IF(OR($B222="",NOT(ISNUMBER(M222))),"",IF(COUNTIF(N222:$T222,M222)&gt;0,0,IF(COUNTIF($G222:$T222,"&gt;"&amp;M222)=0,"",SMALL($G222:$T222,COUNTIF($G222:$T222,"&lt;="&amp;M222)+1)-M222)))</f>
        <v/>
      </c>
      <c r="AK222" t="str">
        <f>IF(OR($B222="",NOT(ISNUMBER(N222))),"",IF(COUNTIF(O222:$T222,N222)&gt;0,0,IF(COUNTIF($G222:$T222,"&gt;"&amp;N222)=0,"",SMALL($G222:$T222,COUNTIF($G222:$T222,"&lt;="&amp;N222)+1)-N222)))</f>
        <v/>
      </c>
      <c r="AL222" t="str">
        <f>IF(OR($B222="",NOT(ISNUMBER(O222))),"",IF(COUNTIF(P222:$T222,O222)&gt;0,0,IF(COUNTIF($G222:$T222,"&gt;"&amp;O222)=0,"",SMALL($G222:$T222,COUNTIF($G222:$T222,"&lt;="&amp;O222)+1)-O222)))</f>
        <v/>
      </c>
      <c r="AM222" t="str">
        <f>IF(OR($B222="",NOT(ISNUMBER(P222))),"",IF(COUNTIF(Q222:$T222,P222)&gt;0,0,IF(COUNTIF($G222:$T222,"&gt;"&amp;P222)=0,"",SMALL($G222:$T222,COUNTIF($G222:$T222,"&lt;="&amp;P222)+1)-P222)))</f>
        <v/>
      </c>
      <c r="AN222" t="str">
        <f>IF(OR($B222="",NOT(ISNUMBER(Q222))),"",IF(COUNTIF(R222:$T222,Q222)&gt;0,0,IF(COUNTIF($G222:$T222,"&gt;"&amp;Q222)=0,"",SMALL($G222:$T222,COUNTIF($G222:$T222,"&lt;="&amp;Q222)+1)-Q222)))</f>
        <v/>
      </c>
      <c r="AO222" t="str">
        <f>IF(OR($B222="",NOT(ISNUMBER(R222))),"",IF(COUNTIF(S222:$T222,R222)&gt;0,0,IF(COUNTIF($G222:$T222,"&gt;"&amp;R222)=0,"",SMALL($G222:$T222,COUNTIF($G222:$T222,"&lt;="&amp;R222)+1)-R222)))</f>
        <v/>
      </c>
      <c r="AP222">
        <f t="shared" ca="1" si="54"/>
        <v>0</v>
      </c>
      <c r="AQ222" s="25" t="str">
        <f t="shared" si="55"/>
        <v/>
      </c>
      <c r="AR222" s="25" t="str">
        <f t="shared" si="56"/>
        <v/>
      </c>
      <c r="AS222" s="25" t="str">
        <f t="shared" si="57"/>
        <v/>
      </c>
      <c r="AT222" s="25" t="str">
        <f t="shared" si="58"/>
        <v/>
      </c>
      <c r="AU222" s="25">
        <f t="shared" si="59"/>
        <v>46295</v>
      </c>
      <c r="AV222" s="25">
        <f t="shared" si="60"/>
        <v>46295</v>
      </c>
      <c r="AW222" s="25" t="str">
        <f t="shared" si="61"/>
        <v/>
      </c>
      <c r="AX222" s="25" t="str">
        <f t="shared" si="62"/>
        <v/>
      </c>
      <c r="AY222" s="25" t="str">
        <f t="shared" si="63"/>
        <v/>
      </c>
      <c r="AZ222" s="25" t="str">
        <f t="shared" si="64"/>
        <v/>
      </c>
      <c r="BA222" s="25" t="str">
        <f t="shared" si="65"/>
        <v/>
      </c>
      <c r="BB222" s="25" t="str">
        <f t="shared" si="66"/>
        <v/>
      </c>
      <c r="BC222" s="25">
        <f t="shared" si="67"/>
        <v>46295</v>
      </c>
    </row>
    <row r="223" spans="1:55" x14ac:dyDescent="0.25">
      <c r="A223" s="151">
        <f t="shared" si="51"/>
        <v>221</v>
      </c>
      <c r="B223" s="151" t="s">
        <v>383</v>
      </c>
      <c r="C223" s="152" t="s">
        <v>384</v>
      </c>
      <c r="D223" s="151">
        <f t="shared" si="52"/>
        <v>6</v>
      </c>
      <c r="E223" s="151" t="s">
        <v>61</v>
      </c>
      <c r="F223" s="173">
        <v>46295</v>
      </c>
      <c r="G223" s="173"/>
      <c r="H223" s="173"/>
      <c r="I223" s="173"/>
      <c r="J223" s="173"/>
      <c r="K223" s="173"/>
      <c r="L223" s="173"/>
      <c r="M223" s="173"/>
      <c r="N223" s="173"/>
      <c r="O223" s="173">
        <v>46295</v>
      </c>
      <c r="P223" s="173">
        <v>46296</v>
      </c>
      <c r="Q223" s="173"/>
      <c r="R223" s="173"/>
      <c r="S223" s="173"/>
      <c r="T223" s="174">
        <v>46296</v>
      </c>
      <c r="U223" s="151"/>
      <c r="V223" s="152"/>
      <c r="W223" s="175"/>
      <c r="X223" s="173"/>
      <c r="Y223" s="173"/>
      <c r="Z223" s="176" t="str">
        <f>IF(B223="","",IF(S223&lt;&gt;"","Sevk Edildi",IF(AND(X223&lt;&gt;"",Y223=""),"Reworkte",IF(T223&lt;&gt;"","Kapandı"&amp;IF(COUNT(G223:R223)=0,""," – "&amp;LOOKUP(2,1/(G223:R223=MAX(G223:R223)),{"Tasarım","Ply Cutter","Üretim","Kalite (Üretim sonrası)","Talaşlı","Kalite (Talaşlı sonrası)","Montaj","Kalite (Montaj sonrası)","Boya","Kalite (Boya sonrası)","Yarı Mamül","KM"})),IF(COUNT(G223:R223)=0,"Başlamadı",LOOKUP(2,1/(G223:R223=MAX(G223:R223)),{"Tasarımda","Ply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223" s="177">
        <f t="shared" ca="1" si="53"/>
        <v>1</v>
      </c>
      <c r="AB223" s="175"/>
      <c r="AD223" t="str">
        <f>IF(OR($B223="",NOT(ISNUMBER(G223))),"",IF(COUNTIF(H223:$T223,G223)&gt;0,0,IF(COUNTIF($G223:$T223,"&gt;"&amp;G223)=0,"",SMALL($G223:$T223,COUNTIF($G223:$T223,"&lt;="&amp;G223)+1)-G223)))</f>
        <v/>
      </c>
      <c r="AE223" t="str">
        <f>IF(OR($B223="",NOT(ISNUMBER(H223))),"",IF(COUNTIF(I223:$T223,H223)&gt;0,0,IF(COUNTIF($G223:$T223,"&gt;"&amp;H223)=0,"",SMALL($G223:$T223,COUNTIF($G223:$T223,"&lt;="&amp;H223)+1)-H223)))</f>
        <v/>
      </c>
      <c r="AF223" t="str">
        <f>IF(OR($B223="",NOT(ISNUMBER(I223))),"",IF(COUNTIF(J223:$T223,I223)&gt;0,0,IF(COUNTIF($G223:$T223,"&gt;"&amp;I223)=0,"",SMALL($G223:$T223,COUNTIF($G223:$T223,"&lt;="&amp;I223)+1)-I223)))</f>
        <v/>
      </c>
      <c r="AG223" t="str">
        <f>IF(OR($B223="",NOT(ISNUMBER(J223))),"",IF(COUNTIF(K223:$T223,J223)&gt;0,0,IF(COUNTIF($G223:$T223,"&gt;"&amp;J223)=0,"",SMALL($G223:$T223,COUNTIF($G223:$T223,"&lt;="&amp;J223)+1)-J223)))</f>
        <v/>
      </c>
      <c r="AH223" t="str">
        <f>IF(OR($B223="",NOT(ISNUMBER(K223))),"",IF(COUNTIF(L223:$T223,K223)&gt;0,0,IF(COUNTIF($G223:$T223,"&gt;"&amp;K223)=0,"",SMALL($G223:$T223,COUNTIF($G223:$T223,"&lt;="&amp;K223)+1)-K223)))</f>
        <v/>
      </c>
      <c r="AI223" t="str">
        <f>IF(OR($B223="",NOT(ISNUMBER(L223))),"",IF(COUNTIF(M223:$T223,L223)&gt;0,0,IF(COUNTIF($G223:$T223,"&gt;"&amp;L223)=0,"",SMALL($G223:$T223,COUNTIF($G223:$T223,"&lt;="&amp;L223)+1)-L223)))</f>
        <v/>
      </c>
      <c r="AJ223" t="str">
        <f>IF(OR($B223="",NOT(ISNUMBER(M223))),"",IF(COUNTIF(N223:$T223,M223)&gt;0,0,IF(COUNTIF($G223:$T223,"&gt;"&amp;M223)=0,"",SMALL($G223:$T223,COUNTIF($G223:$T223,"&lt;="&amp;M223)+1)-M223)))</f>
        <v/>
      </c>
      <c r="AK223" t="str">
        <f>IF(OR($B223="",NOT(ISNUMBER(N223))),"",IF(COUNTIF(O223:$T223,N223)&gt;0,0,IF(COUNTIF($G223:$T223,"&gt;"&amp;N223)=0,"",SMALL($G223:$T223,COUNTIF($G223:$T223,"&lt;="&amp;N223)+1)-N223)))</f>
        <v/>
      </c>
      <c r="AL223">
        <f>IF(OR($B223="",NOT(ISNUMBER(O223))),"",IF(COUNTIF(P223:$T223,O223)&gt;0,0,IF(COUNTIF($G223:$T223,"&gt;"&amp;O223)=0,"",SMALL($G223:$T223,COUNTIF($G223:$T223,"&lt;="&amp;O223)+1)-O223)))</f>
        <v>1</v>
      </c>
      <c r="AM223">
        <f>IF(OR($B223="",NOT(ISNUMBER(P223))),"",IF(COUNTIF(Q223:$T223,P223)&gt;0,0,IF(COUNTIF($G223:$T223,"&gt;"&amp;P223)=0,"",SMALL($G223:$T223,COUNTIF($G223:$T223,"&lt;="&amp;P223)+1)-P223)))</f>
        <v>0</v>
      </c>
      <c r="AN223" t="str">
        <f>IF(OR($B223="",NOT(ISNUMBER(Q223))),"",IF(COUNTIF(R223:$T223,Q223)&gt;0,0,IF(COUNTIF($G223:$T223,"&gt;"&amp;Q223)=0,"",SMALL($G223:$T223,COUNTIF($G223:$T223,"&lt;="&amp;Q223)+1)-Q223)))</f>
        <v/>
      </c>
      <c r="AO223" t="str">
        <f>IF(OR($B223="",NOT(ISNUMBER(R223))),"",IF(COUNTIF(S223:$T223,R223)&gt;0,0,IF(COUNTIF($G223:$T223,"&gt;"&amp;R223)=0,"",SMALL($G223:$T223,COUNTIF($G223:$T223,"&lt;="&amp;R223)+1)-R223)))</f>
        <v/>
      </c>
      <c r="AP223">
        <f t="shared" ca="1" si="54"/>
        <v>0</v>
      </c>
      <c r="AQ223" s="25" t="str">
        <f t="shared" si="55"/>
        <v/>
      </c>
      <c r="AR223" s="25" t="str">
        <f t="shared" si="56"/>
        <v/>
      </c>
      <c r="AS223" s="25" t="str">
        <f t="shared" si="57"/>
        <v/>
      </c>
      <c r="AT223" s="25" t="str">
        <f t="shared" si="58"/>
        <v/>
      </c>
      <c r="AU223" s="25" t="str">
        <f t="shared" si="59"/>
        <v/>
      </c>
      <c r="AV223" s="25" t="str">
        <f t="shared" si="60"/>
        <v/>
      </c>
      <c r="AW223" s="25" t="str">
        <f t="shared" si="61"/>
        <v/>
      </c>
      <c r="AX223" s="25" t="str">
        <f t="shared" si="62"/>
        <v/>
      </c>
      <c r="AY223" s="25">
        <f t="shared" si="63"/>
        <v>46296</v>
      </c>
      <c r="AZ223" s="25">
        <f t="shared" si="64"/>
        <v>46296</v>
      </c>
      <c r="BA223" s="25" t="str">
        <f t="shared" si="65"/>
        <v/>
      </c>
      <c r="BB223" s="25" t="str">
        <f t="shared" si="66"/>
        <v/>
      </c>
      <c r="BC223" s="25">
        <f t="shared" si="67"/>
        <v>46296</v>
      </c>
    </row>
    <row r="224" spans="1:55" x14ac:dyDescent="0.25">
      <c r="A224" s="151">
        <f t="shared" si="51"/>
        <v>222</v>
      </c>
      <c r="B224" s="151" t="s">
        <v>385</v>
      </c>
      <c r="C224" s="152" t="s">
        <v>76</v>
      </c>
      <c r="D224" s="151">
        <f t="shared" si="52"/>
        <v>1</v>
      </c>
      <c r="E224" s="151" t="s">
        <v>61</v>
      </c>
      <c r="F224" s="173">
        <v>46295</v>
      </c>
      <c r="G224" s="173"/>
      <c r="H224" s="173"/>
      <c r="I224" s="173">
        <v>46296</v>
      </c>
      <c r="J224" s="173">
        <v>46297</v>
      </c>
      <c r="K224" s="173"/>
      <c r="L224" s="173"/>
      <c r="M224" s="173"/>
      <c r="N224" s="173"/>
      <c r="O224" s="173"/>
      <c r="P224" s="173"/>
      <c r="Q224" s="173"/>
      <c r="R224" s="173"/>
      <c r="S224" s="173"/>
      <c r="T224" s="174">
        <v>46297</v>
      </c>
      <c r="U224" s="151"/>
      <c r="V224" s="152"/>
      <c r="W224" s="175"/>
      <c r="X224" s="173"/>
      <c r="Y224" s="173"/>
      <c r="Z224" s="176" t="str">
        <f>IF(B224="","",IF(S224&lt;&gt;"","Sevk Edildi",IF(AND(X224&lt;&gt;"",Y224=""),"Reworkte",IF(T224&lt;&gt;"","Kapandı"&amp;IF(COUNT(G224:R224)=0,""," – "&amp;LOOKUP(2,1/(G224:R224=MAX(G224:R224)),{"Tasarım","Ply Cutter","Üretim","Kalite (Üretim sonrası)","Talaşlı","Kalite (Talaşlı sonrası)","Montaj","Kalite (Montaj sonrası)","Boya","Kalite (Boya sonrası)","Yarı Mamül","KM"})),IF(COUNT(G224:R224)=0,"Başlamadı",LOOKUP(2,1/(G224:R224=MAX(G224:R224)),{"Tasarımda","Ply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24" s="177">
        <f t="shared" ca="1" si="53"/>
        <v>2</v>
      </c>
      <c r="AB224" s="175"/>
      <c r="AD224" t="str">
        <f>IF(OR($B224="",NOT(ISNUMBER(G224))),"",IF(COUNTIF(H224:$T224,G224)&gt;0,0,IF(COUNTIF($G224:$T224,"&gt;"&amp;G224)=0,"",SMALL($G224:$T224,COUNTIF($G224:$T224,"&lt;="&amp;G224)+1)-G224)))</f>
        <v/>
      </c>
      <c r="AE224" t="str">
        <f>IF(OR($B224="",NOT(ISNUMBER(H224))),"",IF(COUNTIF(I224:$T224,H224)&gt;0,0,IF(COUNTIF($G224:$T224,"&gt;"&amp;H224)=0,"",SMALL($G224:$T224,COUNTIF($G224:$T224,"&lt;="&amp;H224)+1)-H224)))</f>
        <v/>
      </c>
      <c r="AF224">
        <f>IF(OR($B224="",NOT(ISNUMBER(I224))),"",IF(COUNTIF(J224:$T224,I224)&gt;0,0,IF(COUNTIF($G224:$T224,"&gt;"&amp;I224)=0,"",SMALL($G224:$T224,COUNTIF($G224:$T224,"&lt;="&amp;I224)+1)-I224)))</f>
        <v>1</v>
      </c>
      <c r="AG224">
        <f>IF(OR($B224="",NOT(ISNUMBER(J224))),"",IF(COUNTIF(K224:$T224,J224)&gt;0,0,IF(COUNTIF($G224:$T224,"&gt;"&amp;J224)=0,"",SMALL($G224:$T224,COUNTIF($G224:$T224,"&lt;="&amp;J224)+1)-J224)))</f>
        <v>0</v>
      </c>
      <c r="AH224" t="str">
        <f>IF(OR($B224="",NOT(ISNUMBER(K224))),"",IF(COUNTIF(L224:$T224,K224)&gt;0,0,IF(COUNTIF($G224:$T224,"&gt;"&amp;K224)=0,"",SMALL($G224:$T224,COUNTIF($G224:$T224,"&lt;="&amp;K224)+1)-K224)))</f>
        <v/>
      </c>
      <c r="AI224" t="str">
        <f>IF(OR($B224="",NOT(ISNUMBER(L224))),"",IF(COUNTIF(M224:$T224,L224)&gt;0,0,IF(COUNTIF($G224:$T224,"&gt;"&amp;L224)=0,"",SMALL($G224:$T224,COUNTIF($G224:$T224,"&lt;="&amp;L224)+1)-L224)))</f>
        <v/>
      </c>
      <c r="AJ224" t="str">
        <f>IF(OR($B224="",NOT(ISNUMBER(M224))),"",IF(COUNTIF(N224:$T224,M224)&gt;0,0,IF(COUNTIF($G224:$T224,"&gt;"&amp;M224)=0,"",SMALL($G224:$T224,COUNTIF($G224:$T224,"&lt;="&amp;M224)+1)-M224)))</f>
        <v/>
      </c>
      <c r="AK224" t="str">
        <f>IF(OR($B224="",NOT(ISNUMBER(N224))),"",IF(COUNTIF(O224:$T224,N224)&gt;0,0,IF(COUNTIF($G224:$T224,"&gt;"&amp;N224)=0,"",SMALL($G224:$T224,COUNTIF($G224:$T224,"&lt;="&amp;N224)+1)-N224)))</f>
        <v/>
      </c>
      <c r="AL224" t="str">
        <f>IF(OR($B224="",NOT(ISNUMBER(O224))),"",IF(COUNTIF(P224:$T224,O224)&gt;0,0,IF(COUNTIF($G224:$T224,"&gt;"&amp;O224)=0,"",SMALL($G224:$T224,COUNTIF($G224:$T224,"&lt;="&amp;O224)+1)-O224)))</f>
        <v/>
      </c>
      <c r="AM224" t="str">
        <f>IF(OR($B224="",NOT(ISNUMBER(P224))),"",IF(COUNTIF(Q224:$T224,P224)&gt;0,0,IF(COUNTIF($G224:$T224,"&gt;"&amp;P224)=0,"",SMALL($G224:$T224,COUNTIF($G224:$T224,"&lt;="&amp;P224)+1)-P224)))</f>
        <v/>
      </c>
      <c r="AN224" t="str">
        <f>IF(OR($B224="",NOT(ISNUMBER(Q224))),"",IF(COUNTIF(R224:$T224,Q224)&gt;0,0,IF(COUNTIF($G224:$T224,"&gt;"&amp;Q224)=0,"",SMALL($G224:$T224,COUNTIF($G224:$T224,"&lt;="&amp;Q224)+1)-Q224)))</f>
        <v/>
      </c>
      <c r="AO224" t="str">
        <f>IF(OR($B224="",NOT(ISNUMBER(R224))),"",IF(COUNTIF(S224:$T224,R224)&gt;0,0,IF(COUNTIF($G224:$T224,"&gt;"&amp;R224)=0,"",SMALL($G224:$T224,COUNTIF($G224:$T224,"&lt;="&amp;R224)+1)-R224)))</f>
        <v/>
      </c>
      <c r="AP224">
        <f t="shared" ca="1" si="54"/>
        <v>0</v>
      </c>
      <c r="AQ224" s="25" t="str">
        <f t="shared" si="55"/>
        <v/>
      </c>
      <c r="AR224" s="25" t="str">
        <f t="shared" si="56"/>
        <v/>
      </c>
      <c r="AS224" s="25">
        <f t="shared" si="57"/>
        <v>46297</v>
      </c>
      <c r="AT224" s="25">
        <f t="shared" si="58"/>
        <v>46297</v>
      </c>
      <c r="AU224" s="25" t="str">
        <f t="shared" si="59"/>
        <v/>
      </c>
      <c r="AV224" s="25" t="str">
        <f t="shared" si="60"/>
        <v/>
      </c>
      <c r="AW224" s="25" t="str">
        <f t="shared" si="61"/>
        <v/>
      </c>
      <c r="AX224" s="25" t="str">
        <f t="shared" si="62"/>
        <v/>
      </c>
      <c r="AY224" s="25" t="str">
        <f t="shared" si="63"/>
        <v/>
      </c>
      <c r="AZ224" s="25" t="str">
        <f t="shared" si="64"/>
        <v/>
      </c>
      <c r="BA224" s="25" t="str">
        <f t="shared" si="65"/>
        <v/>
      </c>
      <c r="BB224" s="25" t="str">
        <f t="shared" si="66"/>
        <v/>
      </c>
      <c r="BC224" s="25">
        <f t="shared" si="67"/>
        <v>46297</v>
      </c>
    </row>
    <row r="225" spans="1:55" x14ac:dyDescent="0.25">
      <c r="A225" s="151">
        <f t="shared" si="51"/>
        <v>223</v>
      </c>
      <c r="B225" s="151" t="s">
        <v>386</v>
      </c>
      <c r="C225" s="152" t="s">
        <v>92</v>
      </c>
      <c r="D225" s="151">
        <f t="shared" si="52"/>
        <v>2</v>
      </c>
      <c r="E225" s="151" t="s">
        <v>61</v>
      </c>
      <c r="F225" s="173">
        <v>46295</v>
      </c>
      <c r="G225" s="173"/>
      <c r="H225" s="173"/>
      <c r="I225" s="173">
        <v>46296</v>
      </c>
      <c r="J225" s="173">
        <v>46297</v>
      </c>
      <c r="K225" s="173"/>
      <c r="L225" s="173"/>
      <c r="M225" s="173"/>
      <c r="N225" s="173"/>
      <c r="O225" s="173"/>
      <c r="P225" s="173"/>
      <c r="Q225" s="173">
        <v>46298</v>
      </c>
      <c r="R225" s="173"/>
      <c r="S225" s="173"/>
      <c r="T225" s="174">
        <v>46298</v>
      </c>
      <c r="U225" s="151"/>
      <c r="V225" s="152"/>
      <c r="W225" s="175"/>
      <c r="X225" s="173"/>
      <c r="Y225" s="173"/>
      <c r="Z225" s="176" t="str">
        <f>IF(B225="","",IF(S225&lt;&gt;"","Sevk Edildi",IF(AND(X225&lt;&gt;"",Y225=""),"Reworkte",IF(T225&lt;&gt;"","Kapandı"&amp;IF(COUNT(G225:R225)=0,""," – "&amp;LOOKUP(2,1/(G225:R225=MAX(G225:R225)),{"Tasarım","Ply Cutter","Üretim","Kalite (Üretim sonrası)","Talaşlı","Kalite (Talaşlı sonrası)","Montaj","Kalite (Montaj sonrası)","Boya","Kalite (Boya sonrası)","Yarı Mamül","KM"})),IF(COUNT(G225:R225)=0,"Başlamadı",LOOKUP(2,1/(G225:R225=MAX(G225:R225)),{"Tasarımda","Ply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25" s="177">
        <f t="shared" ca="1" si="53"/>
        <v>3</v>
      </c>
      <c r="AB225" s="175"/>
      <c r="AD225" t="str">
        <f>IF(OR($B225="",NOT(ISNUMBER(G225))),"",IF(COUNTIF(H225:$T225,G225)&gt;0,0,IF(COUNTIF($G225:$T225,"&gt;"&amp;G225)=0,"",SMALL($G225:$T225,COUNTIF($G225:$T225,"&lt;="&amp;G225)+1)-G225)))</f>
        <v/>
      </c>
      <c r="AE225" t="str">
        <f>IF(OR($B225="",NOT(ISNUMBER(H225))),"",IF(COUNTIF(I225:$T225,H225)&gt;0,0,IF(COUNTIF($G225:$T225,"&gt;"&amp;H225)=0,"",SMALL($G225:$T225,COUNTIF($G225:$T225,"&lt;="&amp;H225)+1)-H225)))</f>
        <v/>
      </c>
      <c r="AF225">
        <f>IF(OR($B225="",NOT(ISNUMBER(I225))),"",IF(COUNTIF(J225:$T225,I225)&gt;0,0,IF(COUNTIF($G225:$T225,"&gt;"&amp;I225)=0,"",SMALL($G225:$T225,COUNTIF($G225:$T225,"&lt;="&amp;I225)+1)-I225)))</f>
        <v>1</v>
      </c>
      <c r="AG225">
        <f>IF(OR($B225="",NOT(ISNUMBER(J225))),"",IF(COUNTIF(K225:$T225,J225)&gt;0,0,IF(COUNTIF($G225:$T225,"&gt;"&amp;J225)=0,"",SMALL($G225:$T225,COUNTIF($G225:$T225,"&lt;="&amp;J225)+1)-J225)))</f>
        <v>1</v>
      </c>
      <c r="AH225" t="str">
        <f>IF(OR($B225="",NOT(ISNUMBER(K225))),"",IF(COUNTIF(L225:$T225,K225)&gt;0,0,IF(COUNTIF($G225:$T225,"&gt;"&amp;K225)=0,"",SMALL($G225:$T225,COUNTIF($G225:$T225,"&lt;="&amp;K225)+1)-K225)))</f>
        <v/>
      </c>
      <c r="AI225" t="str">
        <f>IF(OR($B225="",NOT(ISNUMBER(L225))),"",IF(COUNTIF(M225:$T225,L225)&gt;0,0,IF(COUNTIF($G225:$T225,"&gt;"&amp;L225)=0,"",SMALL($G225:$T225,COUNTIF($G225:$T225,"&lt;="&amp;L225)+1)-L225)))</f>
        <v/>
      </c>
      <c r="AJ225" t="str">
        <f>IF(OR($B225="",NOT(ISNUMBER(M225))),"",IF(COUNTIF(N225:$T225,M225)&gt;0,0,IF(COUNTIF($G225:$T225,"&gt;"&amp;M225)=0,"",SMALL($G225:$T225,COUNTIF($G225:$T225,"&lt;="&amp;M225)+1)-M225)))</f>
        <v/>
      </c>
      <c r="AK225" t="str">
        <f>IF(OR($B225="",NOT(ISNUMBER(N225))),"",IF(COUNTIF(O225:$T225,N225)&gt;0,0,IF(COUNTIF($G225:$T225,"&gt;"&amp;N225)=0,"",SMALL($G225:$T225,COUNTIF($G225:$T225,"&lt;="&amp;N225)+1)-N225)))</f>
        <v/>
      </c>
      <c r="AL225" t="str">
        <f>IF(OR($B225="",NOT(ISNUMBER(O225))),"",IF(COUNTIF(P225:$T225,O225)&gt;0,0,IF(COUNTIF($G225:$T225,"&gt;"&amp;O225)=0,"",SMALL($G225:$T225,COUNTIF($G225:$T225,"&lt;="&amp;O225)+1)-O225)))</f>
        <v/>
      </c>
      <c r="AM225" t="str">
        <f>IF(OR($B225="",NOT(ISNUMBER(P225))),"",IF(COUNTIF(Q225:$T225,P225)&gt;0,0,IF(COUNTIF($G225:$T225,"&gt;"&amp;P225)=0,"",SMALL($G225:$T225,COUNTIF($G225:$T225,"&lt;="&amp;P225)+1)-P225)))</f>
        <v/>
      </c>
      <c r="AN225">
        <f>IF(OR($B225="",NOT(ISNUMBER(Q225))),"",IF(COUNTIF(R225:$T225,Q225)&gt;0,0,IF(COUNTIF($G225:$T225,"&gt;"&amp;Q225)=0,"",SMALL($G225:$T225,COUNTIF($G225:$T225,"&lt;="&amp;Q225)+1)-Q225)))</f>
        <v>0</v>
      </c>
      <c r="AO225" t="str">
        <f>IF(OR($B225="",NOT(ISNUMBER(R225))),"",IF(COUNTIF(S225:$T225,R225)&gt;0,0,IF(COUNTIF($G225:$T225,"&gt;"&amp;R225)=0,"",SMALL($G225:$T225,COUNTIF($G225:$T225,"&lt;="&amp;R225)+1)-R225)))</f>
        <v/>
      </c>
      <c r="AP225">
        <f t="shared" ca="1" si="54"/>
        <v>0</v>
      </c>
      <c r="AQ225" s="25" t="str">
        <f t="shared" si="55"/>
        <v/>
      </c>
      <c r="AR225" s="25" t="str">
        <f t="shared" si="56"/>
        <v/>
      </c>
      <c r="AS225" s="25">
        <f t="shared" si="57"/>
        <v>46297</v>
      </c>
      <c r="AT225" s="25">
        <f t="shared" si="58"/>
        <v>46298</v>
      </c>
      <c r="AU225" s="25" t="str">
        <f t="shared" si="59"/>
        <v/>
      </c>
      <c r="AV225" s="25" t="str">
        <f t="shared" si="60"/>
        <v/>
      </c>
      <c r="AW225" s="25" t="str">
        <f t="shared" si="61"/>
        <v/>
      </c>
      <c r="AX225" s="25" t="str">
        <f t="shared" si="62"/>
        <v/>
      </c>
      <c r="AY225" s="25" t="str">
        <f t="shared" si="63"/>
        <v/>
      </c>
      <c r="AZ225" s="25" t="str">
        <f t="shared" si="64"/>
        <v/>
      </c>
      <c r="BA225" s="25">
        <f t="shared" si="65"/>
        <v>46298</v>
      </c>
      <c r="BB225" s="25" t="str">
        <f t="shared" si="66"/>
        <v/>
      </c>
      <c r="BC225" s="25">
        <f t="shared" si="67"/>
        <v>46298</v>
      </c>
    </row>
    <row r="226" spans="1:55" x14ac:dyDescent="0.25">
      <c r="A226" s="151">
        <f t="shared" si="51"/>
        <v>224</v>
      </c>
      <c r="B226" s="151" t="s">
        <v>387</v>
      </c>
      <c r="C226" s="152" t="s">
        <v>94</v>
      </c>
      <c r="D226" s="151">
        <f t="shared" si="52"/>
        <v>1</v>
      </c>
      <c r="E226" s="151" t="s">
        <v>61</v>
      </c>
      <c r="F226" s="173">
        <v>46295</v>
      </c>
      <c r="G226" s="173"/>
      <c r="H226" s="173"/>
      <c r="I226" s="173">
        <v>46296</v>
      </c>
      <c r="J226" s="173">
        <v>46297</v>
      </c>
      <c r="K226" s="173"/>
      <c r="L226" s="173"/>
      <c r="M226" s="173"/>
      <c r="N226" s="173"/>
      <c r="O226" s="173"/>
      <c r="P226" s="173"/>
      <c r="Q226" s="173"/>
      <c r="R226" s="173"/>
      <c r="S226" s="173"/>
      <c r="T226" s="174">
        <v>46297</v>
      </c>
      <c r="U226" s="151"/>
      <c r="V226" s="152"/>
      <c r="W226" s="175"/>
      <c r="X226" s="173"/>
      <c r="Y226" s="173"/>
      <c r="Z226" s="176" t="str">
        <f>IF(B226="","",IF(S226&lt;&gt;"","Sevk Edildi",IF(AND(X226&lt;&gt;"",Y226=""),"Reworkte",IF(T226&lt;&gt;"","Kapandı"&amp;IF(COUNT(G226:R226)=0,""," – "&amp;LOOKUP(2,1/(G226:R226=MAX(G226:R226)),{"Tasarım","Ply Cutter","Üretim","Kalite (Üretim sonrası)","Talaşlı","Kalite (Talaşlı sonrası)","Montaj","Kalite (Montaj sonrası)","Boya","Kalite (Boya sonrası)","Yarı Mamül","KM"})),IF(COUNT(G226:R226)=0,"Başlamadı",LOOKUP(2,1/(G226:R226=MAX(G226:R226)),{"Tasarımda","Ply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26" s="177">
        <f t="shared" ca="1" si="53"/>
        <v>2</v>
      </c>
      <c r="AB226" s="175"/>
      <c r="AD226" t="str">
        <f>IF(OR($B226="",NOT(ISNUMBER(G226))),"",IF(COUNTIF(H226:$T226,G226)&gt;0,0,IF(COUNTIF($G226:$T226,"&gt;"&amp;G226)=0,"",SMALL($G226:$T226,COUNTIF($G226:$T226,"&lt;="&amp;G226)+1)-G226)))</f>
        <v/>
      </c>
      <c r="AE226" t="str">
        <f>IF(OR($B226="",NOT(ISNUMBER(H226))),"",IF(COUNTIF(I226:$T226,H226)&gt;0,0,IF(COUNTIF($G226:$T226,"&gt;"&amp;H226)=0,"",SMALL($G226:$T226,COUNTIF($G226:$T226,"&lt;="&amp;H226)+1)-H226)))</f>
        <v/>
      </c>
      <c r="AF226">
        <f>IF(OR($B226="",NOT(ISNUMBER(I226))),"",IF(COUNTIF(J226:$T226,I226)&gt;0,0,IF(COUNTIF($G226:$T226,"&gt;"&amp;I226)=0,"",SMALL($G226:$T226,COUNTIF($G226:$T226,"&lt;="&amp;I226)+1)-I226)))</f>
        <v>1</v>
      </c>
      <c r="AG226">
        <f>IF(OR($B226="",NOT(ISNUMBER(J226))),"",IF(COUNTIF(K226:$T226,J226)&gt;0,0,IF(COUNTIF($G226:$T226,"&gt;"&amp;J226)=0,"",SMALL($G226:$T226,COUNTIF($G226:$T226,"&lt;="&amp;J226)+1)-J226)))</f>
        <v>0</v>
      </c>
      <c r="AH226" t="str">
        <f>IF(OR($B226="",NOT(ISNUMBER(K226))),"",IF(COUNTIF(L226:$T226,K226)&gt;0,0,IF(COUNTIF($G226:$T226,"&gt;"&amp;K226)=0,"",SMALL($G226:$T226,COUNTIF($G226:$T226,"&lt;="&amp;K226)+1)-K226)))</f>
        <v/>
      </c>
      <c r="AI226" t="str">
        <f>IF(OR($B226="",NOT(ISNUMBER(L226))),"",IF(COUNTIF(M226:$T226,L226)&gt;0,0,IF(COUNTIF($G226:$T226,"&gt;"&amp;L226)=0,"",SMALL($G226:$T226,COUNTIF($G226:$T226,"&lt;="&amp;L226)+1)-L226)))</f>
        <v/>
      </c>
      <c r="AJ226" t="str">
        <f>IF(OR($B226="",NOT(ISNUMBER(M226))),"",IF(COUNTIF(N226:$T226,M226)&gt;0,0,IF(COUNTIF($G226:$T226,"&gt;"&amp;M226)=0,"",SMALL($G226:$T226,COUNTIF($G226:$T226,"&lt;="&amp;M226)+1)-M226)))</f>
        <v/>
      </c>
      <c r="AK226" t="str">
        <f>IF(OR($B226="",NOT(ISNUMBER(N226))),"",IF(COUNTIF(O226:$T226,N226)&gt;0,0,IF(COUNTIF($G226:$T226,"&gt;"&amp;N226)=0,"",SMALL($G226:$T226,COUNTIF($G226:$T226,"&lt;="&amp;N226)+1)-N226)))</f>
        <v/>
      </c>
      <c r="AL226" t="str">
        <f>IF(OR($B226="",NOT(ISNUMBER(O226))),"",IF(COUNTIF(P226:$T226,O226)&gt;0,0,IF(COUNTIF($G226:$T226,"&gt;"&amp;O226)=0,"",SMALL($G226:$T226,COUNTIF($G226:$T226,"&lt;="&amp;O226)+1)-O226)))</f>
        <v/>
      </c>
      <c r="AM226" t="str">
        <f>IF(OR($B226="",NOT(ISNUMBER(P226))),"",IF(COUNTIF(Q226:$T226,P226)&gt;0,0,IF(COUNTIF($G226:$T226,"&gt;"&amp;P226)=0,"",SMALL($G226:$T226,COUNTIF($G226:$T226,"&lt;="&amp;P226)+1)-P226)))</f>
        <v/>
      </c>
      <c r="AN226" t="str">
        <f>IF(OR($B226="",NOT(ISNUMBER(Q226))),"",IF(COUNTIF(R226:$T226,Q226)&gt;0,0,IF(COUNTIF($G226:$T226,"&gt;"&amp;Q226)=0,"",SMALL($G226:$T226,COUNTIF($G226:$T226,"&lt;="&amp;Q226)+1)-Q226)))</f>
        <v/>
      </c>
      <c r="AO226" t="str">
        <f>IF(OR($B226="",NOT(ISNUMBER(R226))),"",IF(COUNTIF(S226:$T226,R226)&gt;0,0,IF(COUNTIF($G226:$T226,"&gt;"&amp;R226)=0,"",SMALL($G226:$T226,COUNTIF($G226:$T226,"&lt;="&amp;R226)+1)-R226)))</f>
        <v/>
      </c>
      <c r="AP226">
        <f t="shared" ca="1" si="54"/>
        <v>0</v>
      </c>
      <c r="AQ226" s="25" t="str">
        <f t="shared" si="55"/>
        <v/>
      </c>
      <c r="AR226" s="25" t="str">
        <f t="shared" si="56"/>
        <v/>
      </c>
      <c r="AS226" s="25">
        <f t="shared" si="57"/>
        <v>46297</v>
      </c>
      <c r="AT226" s="25">
        <f t="shared" si="58"/>
        <v>46297</v>
      </c>
      <c r="AU226" s="25" t="str">
        <f t="shared" si="59"/>
        <v/>
      </c>
      <c r="AV226" s="25" t="str">
        <f t="shared" si="60"/>
        <v/>
      </c>
      <c r="AW226" s="25" t="str">
        <f t="shared" si="61"/>
        <v/>
      </c>
      <c r="AX226" s="25" t="str">
        <f t="shared" si="62"/>
        <v/>
      </c>
      <c r="AY226" s="25" t="str">
        <f t="shared" si="63"/>
        <v/>
      </c>
      <c r="AZ226" s="25" t="str">
        <f t="shared" si="64"/>
        <v/>
      </c>
      <c r="BA226" s="25" t="str">
        <f t="shared" si="65"/>
        <v/>
      </c>
      <c r="BB226" s="25" t="str">
        <f t="shared" si="66"/>
        <v/>
      </c>
      <c r="BC226" s="25">
        <f t="shared" si="67"/>
        <v>46297</v>
      </c>
    </row>
    <row r="227" spans="1:55" x14ac:dyDescent="0.25">
      <c r="A227" s="151">
        <f t="shared" si="51"/>
        <v>225</v>
      </c>
      <c r="B227" s="151" t="s">
        <v>388</v>
      </c>
      <c r="C227" s="152" t="s">
        <v>94</v>
      </c>
      <c r="D227" s="151">
        <f t="shared" si="52"/>
        <v>1</v>
      </c>
      <c r="E227" s="151" t="s">
        <v>61</v>
      </c>
      <c r="F227" s="173">
        <v>46295</v>
      </c>
      <c r="G227" s="173"/>
      <c r="H227" s="173"/>
      <c r="I227" s="173">
        <v>46296</v>
      </c>
      <c r="J227" s="173">
        <v>46297</v>
      </c>
      <c r="K227" s="173"/>
      <c r="L227" s="173"/>
      <c r="M227" s="173"/>
      <c r="N227" s="173"/>
      <c r="O227" s="173"/>
      <c r="P227" s="173"/>
      <c r="Q227" s="173"/>
      <c r="R227" s="173"/>
      <c r="S227" s="173"/>
      <c r="T227" s="174">
        <v>46297</v>
      </c>
      <c r="U227" s="151"/>
      <c r="V227" s="152"/>
      <c r="W227" s="175"/>
      <c r="X227" s="173"/>
      <c r="Y227" s="173"/>
      <c r="Z227" s="176" t="str">
        <f>IF(B227="","",IF(S227&lt;&gt;"","Sevk Edildi",IF(AND(X227&lt;&gt;"",Y227=""),"Reworkte",IF(T227&lt;&gt;"","Kapandı"&amp;IF(COUNT(G227:R227)=0,""," – "&amp;LOOKUP(2,1/(G227:R227=MAX(G227:R227)),{"Tasarım","Ply Cutter","Üretim","Kalite (Üretim sonrası)","Talaşlı","Kalite (Talaşlı sonrası)","Montaj","Kalite (Montaj sonrası)","Boya","Kalite (Boya sonrası)","Yarı Mamül","KM"})),IF(COUNT(G227:R227)=0,"Başlamadı",LOOKUP(2,1/(G227:R227=MAX(G227:R227)),{"Tasarımda","Ply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27" s="177">
        <f t="shared" ca="1" si="53"/>
        <v>2</v>
      </c>
      <c r="AB227" s="175"/>
      <c r="AD227" t="str">
        <f>IF(OR($B227="",NOT(ISNUMBER(G227))),"",IF(COUNTIF(H227:$T227,G227)&gt;0,0,IF(COUNTIF($G227:$T227,"&gt;"&amp;G227)=0,"",SMALL($G227:$T227,COUNTIF($G227:$T227,"&lt;="&amp;G227)+1)-G227)))</f>
        <v/>
      </c>
      <c r="AE227" t="str">
        <f>IF(OR($B227="",NOT(ISNUMBER(H227))),"",IF(COUNTIF(I227:$T227,H227)&gt;0,0,IF(COUNTIF($G227:$T227,"&gt;"&amp;H227)=0,"",SMALL($G227:$T227,COUNTIF($G227:$T227,"&lt;="&amp;H227)+1)-H227)))</f>
        <v/>
      </c>
      <c r="AF227">
        <f>IF(OR($B227="",NOT(ISNUMBER(I227))),"",IF(COUNTIF(J227:$T227,I227)&gt;0,0,IF(COUNTIF($G227:$T227,"&gt;"&amp;I227)=0,"",SMALL($G227:$T227,COUNTIF($G227:$T227,"&lt;="&amp;I227)+1)-I227)))</f>
        <v>1</v>
      </c>
      <c r="AG227">
        <f>IF(OR($B227="",NOT(ISNUMBER(J227))),"",IF(COUNTIF(K227:$T227,J227)&gt;0,0,IF(COUNTIF($G227:$T227,"&gt;"&amp;J227)=0,"",SMALL($G227:$T227,COUNTIF($G227:$T227,"&lt;="&amp;J227)+1)-J227)))</f>
        <v>0</v>
      </c>
      <c r="AH227" t="str">
        <f>IF(OR($B227="",NOT(ISNUMBER(K227))),"",IF(COUNTIF(L227:$T227,K227)&gt;0,0,IF(COUNTIF($G227:$T227,"&gt;"&amp;K227)=0,"",SMALL($G227:$T227,COUNTIF($G227:$T227,"&lt;="&amp;K227)+1)-K227)))</f>
        <v/>
      </c>
      <c r="AI227" t="str">
        <f>IF(OR($B227="",NOT(ISNUMBER(L227))),"",IF(COUNTIF(M227:$T227,L227)&gt;0,0,IF(COUNTIF($G227:$T227,"&gt;"&amp;L227)=0,"",SMALL($G227:$T227,COUNTIF($G227:$T227,"&lt;="&amp;L227)+1)-L227)))</f>
        <v/>
      </c>
      <c r="AJ227" t="str">
        <f>IF(OR($B227="",NOT(ISNUMBER(M227))),"",IF(COUNTIF(N227:$T227,M227)&gt;0,0,IF(COUNTIF($G227:$T227,"&gt;"&amp;M227)=0,"",SMALL($G227:$T227,COUNTIF($G227:$T227,"&lt;="&amp;M227)+1)-M227)))</f>
        <v/>
      </c>
      <c r="AK227" t="str">
        <f>IF(OR($B227="",NOT(ISNUMBER(N227))),"",IF(COUNTIF(O227:$T227,N227)&gt;0,0,IF(COUNTIF($G227:$T227,"&gt;"&amp;N227)=0,"",SMALL($G227:$T227,COUNTIF($G227:$T227,"&lt;="&amp;N227)+1)-N227)))</f>
        <v/>
      </c>
      <c r="AL227" t="str">
        <f>IF(OR($B227="",NOT(ISNUMBER(O227))),"",IF(COUNTIF(P227:$T227,O227)&gt;0,0,IF(COUNTIF($G227:$T227,"&gt;"&amp;O227)=0,"",SMALL($G227:$T227,COUNTIF($G227:$T227,"&lt;="&amp;O227)+1)-O227)))</f>
        <v/>
      </c>
      <c r="AM227" t="str">
        <f>IF(OR($B227="",NOT(ISNUMBER(P227))),"",IF(COUNTIF(Q227:$T227,P227)&gt;0,0,IF(COUNTIF($G227:$T227,"&gt;"&amp;P227)=0,"",SMALL($G227:$T227,COUNTIF($G227:$T227,"&lt;="&amp;P227)+1)-P227)))</f>
        <v/>
      </c>
      <c r="AN227" t="str">
        <f>IF(OR($B227="",NOT(ISNUMBER(Q227))),"",IF(COUNTIF(R227:$T227,Q227)&gt;0,0,IF(COUNTIF($G227:$T227,"&gt;"&amp;Q227)=0,"",SMALL($G227:$T227,COUNTIF($G227:$T227,"&lt;="&amp;Q227)+1)-Q227)))</f>
        <v/>
      </c>
      <c r="AO227" t="str">
        <f>IF(OR($B227="",NOT(ISNUMBER(R227))),"",IF(COUNTIF(S227:$T227,R227)&gt;0,0,IF(COUNTIF($G227:$T227,"&gt;"&amp;R227)=0,"",SMALL($G227:$T227,COUNTIF($G227:$T227,"&lt;="&amp;R227)+1)-R227)))</f>
        <v/>
      </c>
      <c r="AP227">
        <f t="shared" ca="1" si="54"/>
        <v>0</v>
      </c>
      <c r="AQ227" s="25" t="str">
        <f t="shared" si="55"/>
        <v/>
      </c>
      <c r="AR227" s="25" t="str">
        <f t="shared" si="56"/>
        <v/>
      </c>
      <c r="AS227" s="25">
        <f t="shared" si="57"/>
        <v>46297</v>
      </c>
      <c r="AT227" s="25">
        <f t="shared" si="58"/>
        <v>46297</v>
      </c>
      <c r="AU227" s="25" t="str">
        <f t="shared" si="59"/>
        <v/>
      </c>
      <c r="AV227" s="25" t="str">
        <f t="shared" si="60"/>
        <v/>
      </c>
      <c r="AW227" s="25" t="str">
        <f t="shared" si="61"/>
        <v/>
      </c>
      <c r="AX227" s="25" t="str">
        <f t="shared" si="62"/>
        <v/>
      </c>
      <c r="AY227" s="25" t="str">
        <f t="shared" si="63"/>
        <v/>
      </c>
      <c r="AZ227" s="25" t="str">
        <f t="shared" si="64"/>
        <v/>
      </c>
      <c r="BA227" s="25" t="str">
        <f t="shared" si="65"/>
        <v/>
      </c>
      <c r="BB227" s="25" t="str">
        <f t="shared" si="66"/>
        <v/>
      </c>
      <c r="BC227" s="25">
        <f t="shared" si="67"/>
        <v>46297</v>
      </c>
    </row>
    <row r="228" spans="1:55" x14ac:dyDescent="0.25">
      <c r="A228" s="151">
        <f t="shared" si="51"/>
        <v>226</v>
      </c>
      <c r="B228" s="151" t="s">
        <v>389</v>
      </c>
      <c r="C228" s="152" t="s">
        <v>390</v>
      </c>
      <c r="D228" s="151">
        <f t="shared" si="52"/>
        <v>1</v>
      </c>
      <c r="E228" s="151" t="s">
        <v>61</v>
      </c>
      <c r="F228" s="173">
        <v>46295</v>
      </c>
      <c r="G228" s="173"/>
      <c r="H228" s="173"/>
      <c r="I228" s="173">
        <v>46295</v>
      </c>
      <c r="J228" s="173">
        <v>46297</v>
      </c>
      <c r="K228" s="173"/>
      <c r="L228" s="173"/>
      <c r="M228" s="173"/>
      <c r="N228" s="173"/>
      <c r="O228" s="173"/>
      <c r="P228" s="173"/>
      <c r="Q228" s="173">
        <v>46298</v>
      </c>
      <c r="R228" s="173"/>
      <c r="S228" s="173"/>
      <c r="T228" s="174">
        <v>46298</v>
      </c>
      <c r="U228" s="151"/>
      <c r="V228" s="152"/>
      <c r="W228" s="175"/>
      <c r="X228" s="173"/>
      <c r="Y228" s="173"/>
      <c r="Z228" s="176" t="str">
        <f>IF(B228="","",IF(S228&lt;&gt;"","Sevk Edildi",IF(AND(X228&lt;&gt;"",Y228=""),"Reworkte",IF(T228&lt;&gt;"","Kapandı"&amp;IF(COUNT(G228:R228)=0,""," – "&amp;LOOKUP(2,1/(G228:R228=MAX(G228:R228)),{"Tasarım","Ply Cutter","Üretim","Kalite (Üretim sonrası)","Talaşlı","Kalite (Talaşlı sonrası)","Montaj","Kalite (Montaj sonrası)","Boya","Kalite (Boya sonrası)","Yarı Mamül","KM"})),IF(COUNT(G228:R228)=0,"Başlamadı",LOOKUP(2,1/(G228:R228=MAX(G228:R228)),{"Tasarımda","Ply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28" s="177">
        <f t="shared" ca="1" si="53"/>
        <v>3</v>
      </c>
      <c r="AB228" s="175"/>
      <c r="AD228" t="str">
        <f>IF(OR($B228="",NOT(ISNUMBER(G228))),"",IF(COUNTIF(H228:$T228,G228)&gt;0,0,IF(COUNTIF($G228:$T228,"&gt;"&amp;G228)=0,"",SMALL($G228:$T228,COUNTIF($G228:$T228,"&lt;="&amp;G228)+1)-G228)))</f>
        <v/>
      </c>
      <c r="AE228" t="str">
        <f>IF(OR($B228="",NOT(ISNUMBER(H228))),"",IF(COUNTIF(I228:$T228,H228)&gt;0,0,IF(COUNTIF($G228:$T228,"&gt;"&amp;H228)=0,"",SMALL($G228:$T228,COUNTIF($G228:$T228,"&lt;="&amp;H228)+1)-H228)))</f>
        <v/>
      </c>
      <c r="AF228">
        <f>IF(OR($B228="",NOT(ISNUMBER(I228))),"",IF(COUNTIF(J228:$T228,I228)&gt;0,0,IF(COUNTIF($G228:$T228,"&gt;"&amp;I228)=0,"",SMALL($G228:$T228,COUNTIF($G228:$T228,"&lt;="&amp;I228)+1)-I228)))</f>
        <v>2</v>
      </c>
      <c r="AG228">
        <f>IF(OR($B228="",NOT(ISNUMBER(J228))),"",IF(COUNTIF(K228:$T228,J228)&gt;0,0,IF(COUNTIF($G228:$T228,"&gt;"&amp;J228)=0,"",SMALL($G228:$T228,COUNTIF($G228:$T228,"&lt;="&amp;J228)+1)-J228)))</f>
        <v>1</v>
      </c>
      <c r="AH228" t="str">
        <f>IF(OR($B228="",NOT(ISNUMBER(K228))),"",IF(COUNTIF(L228:$T228,K228)&gt;0,0,IF(COUNTIF($G228:$T228,"&gt;"&amp;K228)=0,"",SMALL($G228:$T228,COUNTIF($G228:$T228,"&lt;="&amp;K228)+1)-K228)))</f>
        <v/>
      </c>
      <c r="AI228" t="str">
        <f>IF(OR($B228="",NOT(ISNUMBER(L228))),"",IF(COUNTIF(M228:$T228,L228)&gt;0,0,IF(COUNTIF($G228:$T228,"&gt;"&amp;L228)=0,"",SMALL($G228:$T228,COUNTIF($G228:$T228,"&lt;="&amp;L228)+1)-L228)))</f>
        <v/>
      </c>
      <c r="AJ228" t="str">
        <f>IF(OR($B228="",NOT(ISNUMBER(M228))),"",IF(COUNTIF(N228:$T228,M228)&gt;0,0,IF(COUNTIF($G228:$T228,"&gt;"&amp;M228)=0,"",SMALL($G228:$T228,COUNTIF($G228:$T228,"&lt;="&amp;M228)+1)-M228)))</f>
        <v/>
      </c>
      <c r="AK228" t="str">
        <f>IF(OR($B228="",NOT(ISNUMBER(N228))),"",IF(COUNTIF(O228:$T228,N228)&gt;0,0,IF(COUNTIF($G228:$T228,"&gt;"&amp;N228)=0,"",SMALL($G228:$T228,COUNTIF($G228:$T228,"&lt;="&amp;N228)+1)-N228)))</f>
        <v/>
      </c>
      <c r="AL228" t="str">
        <f>IF(OR($B228="",NOT(ISNUMBER(O228))),"",IF(COUNTIF(P228:$T228,O228)&gt;0,0,IF(COUNTIF($G228:$T228,"&gt;"&amp;O228)=0,"",SMALL($G228:$T228,COUNTIF($G228:$T228,"&lt;="&amp;O228)+1)-O228)))</f>
        <v/>
      </c>
      <c r="AM228" t="str">
        <f>IF(OR($B228="",NOT(ISNUMBER(P228))),"",IF(COUNTIF(Q228:$T228,P228)&gt;0,0,IF(COUNTIF($G228:$T228,"&gt;"&amp;P228)=0,"",SMALL($G228:$T228,COUNTIF($G228:$T228,"&lt;="&amp;P228)+1)-P228)))</f>
        <v/>
      </c>
      <c r="AN228">
        <f>IF(OR($B228="",NOT(ISNUMBER(Q228))),"",IF(COUNTIF(R228:$T228,Q228)&gt;0,0,IF(COUNTIF($G228:$T228,"&gt;"&amp;Q228)=0,"",SMALL($G228:$T228,COUNTIF($G228:$T228,"&lt;="&amp;Q228)+1)-Q228)))</f>
        <v>0</v>
      </c>
      <c r="AO228" t="str">
        <f>IF(OR($B228="",NOT(ISNUMBER(R228))),"",IF(COUNTIF(S228:$T228,R228)&gt;0,0,IF(COUNTIF($G228:$T228,"&gt;"&amp;R228)=0,"",SMALL($G228:$T228,COUNTIF($G228:$T228,"&lt;="&amp;R228)+1)-R228)))</f>
        <v/>
      </c>
      <c r="AP228">
        <f t="shared" ca="1" si="54"/>
        <v>0</v>
      </c>
      <c r="AQ228" s="25" t="str">
        <f t="shared" si="55"/>
        <v/>
      </c>
      <c r="AR228" s="25" t="str">
        <f t="shared" si="56"/>
        <v/>
      </c>
      <c r="AS228" s="25">
        <f t="shared" si="57"/>
        <v>46297</v>
      </c>
      <c r="AT228" s="25">
        <f t="shared" si="58"/>
        <v>46298</v>
      </c>
      <c r="AU228" s="25" t="str">
        <f t="shared" si="59"/>
        <v/>
      </c>
      <c r="AV228" s="25" t="str">
        <f t="shared" si="60"/>
        <v/>
      </c>
      <c r="AW228" s="25" t="str">
        <f t="shared" si="61"/>
        <v/>
      </c>
      <c r="AX228" s="25" t="str">
        <f t="shared" si="62"/>
        <v/>
      </c>
      <c r="AY228" s="25" t="str">
        <f t="shared" si="63"/>
        <v/>
      </c>
      <c r="AZ228" s="25" t="str">
        <f t="shared" si="64"/>
        <v/>
      </c>
      <c r="BA228" s="25">
        <f t="shared" si="65"/>
        <v>46298</v>
      </c>
      <c r="BB228" s="25" t="str">
        <f t="shared" si="66"/>
        <v/>
      </c>
      <c r="BC228" s="25">
        <f t="shared" si="67"/>
        <v>46298</v>
      </c>
    </row>
    <row r="229" spans="1:55" x14ac:dyDescent="0.25">
      <c r="A229" s="151">
        <f t="shared" si="51"/>
        <v>227</v>
      </c>
      <c r="B229" s="151" t="s">
        <v>391</v>
      </c>
      <c r="C229" s="152" t="s">
        <v>229</v>
      </c>
      <c r="D229" s="151">
        <f t="shared" si="52"/>
        <v>1</v>
      </c>
      <c r="E229" s="151" t="s">
        <v>61</v>
      </c>
      <c r="F229" s="173">
        <v>46295</v>
      </c>
      <c r="G229" s="173"/>
      <c r="H229" s="173"/>
      <c r="I229" s="173"/>
      <c r="J229" s="173"/>
      <c r="K229" s="173"/>
      <c r="L229" s="173"/>
      <c r="M229" s="173">
        <v>46296</v>
      </c>
      <c r="N229" s="173">
        <v>46300</v>
      </c>
      <c r="O229" s="173"/>
      <c r="P229" s="173"/>
      <c r="Q229" s="173"/>
      <c r="R229" s="173"/>
      <c r="S229" s="173"/>
      <c r="T229" s="151"/>
      <c r="U229" s="151"/>
      <c r="V229" s="152"/>
      <c r="W229" s="175"/>
      <c r="X229" s="173"/>
      <c r="Y229" s="173"/>
      <c r="Z229" s="176" t="str">
        <f>IF(B229="","",IF(S229&lt;&gt;"","Sevk Edildi",IF(AND(X229&lt;&gt;"",Y229=""),"Reworkte",IF(T229&lt;&gt;"","Kapandı"&amp;IF(COUNT(G229:R229)=0,""," – "&amp;LOOKUP(2,1/(G229:R229=MAX(G229:R229)),{"Tasarım","Ply Cutter","Üretim","Kalite (Üretim sonrası)","Talaşlı","Kalite (Talaşlı sonrası)","Montaj","Kalite (Montaj sonrası)","Boya","Kalite (Boya sonrası)","Yarı Mamül","KM"})),IF(COUNT(G229:R229)=0,"Başlamadı",LOOKUP(2,1/(G229:R229=MAX(G229:R229)),{"Tasarımda","Ply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229" s="177">
        <f t="shared" ca="1" si="53"/>
        <v>12</v>
      </c>
      <c r="AB229" s="175" t="s">
        <v>392</v>
      </c>
      <c r="AD229" t="str">
        <f>IF(OR($B229="",NOT(ISNUMBER(G229))),"",IF(COUNTIF(H229:$T229,G229)&gt;0,0,IF(COUNTIF($G229:$T229,"&gt;"&amp;G229)=0,"",SMALL($G229:$T229,COUNTIF($G229:$T229,"&lt;="&amp;G229)+1)-G229)))</f>
        <v/>
      </c>
      <c r="AE229" t="str">
        <f>IF(OR($B229="",NOT(ISNUMBER(H229))),"",IF(COUNTIF(I229:$T229,H229)&gt;0,0,IF(COUNTIF($G229:$T229,"&gt;"&amp;H229)=0,"",SMALL($G229:$T229,COUNTIF($G229:$T229,"&lt;="&amp;H229)+1)-H229)))</f>
        <v/>
      </c>
      <c r="AF229" t="str">
        <f>IF(OR($B229="",NOT(ISNUMBER(I229))),"",IF(COUNTIF(J229:$T229,I229)&gt;0,0,IF(COUNTIF($G229:$T229,"&gt;"&amp;I229)=0,"",SMALL($G229:$T229,COUNTIF($G229:$T229,"&lt;="&amp;I229)+1)-I229)))</f>
        <v/>
      </c>
      <c r="AG229" t="str">
        <f>IF(OR($B229="",NOT(ISNUMBER(J229))),"",IF(COUNTIF(K229:$T229,J229)&gt;0,0,IF(COUNTIF($G229:$T229,"&gt;"&amp;J229)=0,"",SMALL($G229:$T229,COUNTIF($G229:$T229,"&lt;="&amp;J229)+1)-J229)))</f>
        <v/>
      </c>
      <c r="AH229" t="str">
        <f>IF(OR($B229="",NOT(ISNUMBER(K229))),"",IF(COUNTIF(L229:$T229,K229)&gt;0,0,IF(COUNTIF($G229:$T229,"&gt;"&amp;K229)=0,"",SMALL($G229:$T229,COUNTIF($G229:$T229,"&lt;="&amp;K229)+1)-K229)))</f>
        <v/>
      </c>
      <c r="AI229" t="str">
        <f>IF(OR($B229="",NOT(ISNUMBER(L229))),"",IF(COUNTIF(M229:$T229,L229)&gt;0,0,IF(COUNTIF($G229:$T229,"&gt;"&amp;L229)=0,"",SMALL($G229:$T229,COUNTIF($G229:$T229,"&lt;="&amp;L229)+1)-L229)))</f>
        <v/>
      </c>
      <c r="AJ229">
        <f>IF(OR($B229="",NOT(ISNUMBER(M229))),"",IF(COUNTIF(N229:$T229,M229)&gt;0,0,IF(COUNTIF($G229:$T229,"&gt;"&amp;M229)=0,"",SMALL($G229:$T229,COUNTIF($G229:$T229,"&lt;="&amp;M229)+1)-M229)))</f>
        <v>4</v>
      </c>
      <c r="AK229" t="str">
        <f>IF(OR($B229="",NOT(ISNUMBER(N229))),"",IF(COUNTIF(O229:$T229,N229)&gt;0,0,IF(COUNTIF($G229:$T229,"&gt;"&amp;N229)=0,"",SMALL($G229:$T229,COUNTIF($G229:$T229,"&lt;="&amp;N229)+1)-N229)))</f>
        <v/>
      </c>
      <c r="AL229" t="str">
        <f>IF(OR($B229="",NOT(ISNUMBER(O229))),"",IF(COUNTIF(P229:$T229,O229)&gt;0,0,IF(COUNTIF($G229:$T229,"&gt;"&amp;O229)=0,"",SMALL($G229:$T229,COUNTIF($G229:$T229,"&lt;="&amp;O229)+1)-O229)))</f>
        <v/>
      </c>
      <c r="AM229" t="str">
        <f>IF(OR($B229="",NOT(ISNUMBER(P229))),"",IF(COUNTIF(Q229:$T229,P229)&gt;0,0,IF(COUNTIF($G229:$T229,"&gt;"&amp;P229)=0,"",SMALL($G229:$T229,COUNTIF($G229:$T229,"&lt;="&amp;P229)+1)-P229)))</f>
        <v/>
      </c>
      <c r="AN229" t="str">
        <f>IF(OR($B229="",NOT(ISNUMBER(Q229))),"",IF(COUNTIF(R229:$T229,Q229)&gt;0,0,IF(COUNTIF($G229:$T229,"&gt;"&amp;Q229)=0,"",SMALL($G229:$T229,COUNTIF($G229:$T229,"&lt;="&amp;Q229)+1)-Q229)))</f>
        <v/>
      </c>
      <c r="AO229" t="str">
        <f>IF(OR($B229="",NOT(ISNUMBER(R229))),"",IF(COUNTIF(S229:$T229,R229)&gt;0,0,IF(COUNTIF($G229:$T229,"&gt;"&amp;R229)=0,"",SMALL($G229:$T229,COUNTIF($G229:$T229,"&lt;="&amp;R229)+1)-R229)))</f>
        <v/>
      </c>
      <c r="AP229">
        <f t="shared" ca="1" si="54"/>
        <v>7</v>
      </c>
      <c r="AQ229" s="25" t="str">
        <f t="shared" si="55"/>
        <v/>
      </c>
      <c r="AR229" s="25" t="str">
        <f t="shared" si="56"/>
        <v/>
      </c>
      <c r="AS229" s="25" t="str">
        <f t="shared" si="57"/>
        <v/>
      </c>
      <c r="AT229" s="25" t="str">
        <f t="shared" si="58"/>
        <v/>
      </c>
      <c r="AU229" s="25" t="str">
        <f t="shared" si="59"/>
        <v/>
      </c>
      <c r="AV229" s="25" t="str">
        <f t="shared" si="60"/>
        <v/>
      </c>
      <c r="AW229" s="25">
        <f t="shared" si="61"/>
        <v>46300</v>
      </c>
      <c r="AX229" s="25" t="str">
        <f t="shared" si="62"/>
        <v/>
      </c>
      <c r="AY229" s="25" t="str">
        <f t="shared" si="63"/>
        <v/>
      </c>
      <c r="AZ229" s="25" t="str">
        <f t="shared" si="64"/>
        <v/>
      </c>
      <c r="BA229" s="25" t="str">
        <f t="shared" si="65"/>
        <v/>
      </c>
      <c r="BB229" s="25" t="str">
        <f t="shared" si="66"/>
        <v/>
      </c>
      <c r="BC229" s="25" t="str">
        <f t="shared" si="67"/>
        <v/>
      </c>
    </row>
    <row r="230" spans="1:55" x14ac:dyDescent="0.25">
      <c r="A230" s="151">
        <f t="shared" si="51"/>
        <v>228</v>
      </c>
      <c r="B230" s="151" t="s">
        <v>393</v>
      </c>
      <c r="C230" s="152" t="s">
        <v>229</v>
      </c>
      <c r="D230" s="151">
        <f t="shared" si="52"/>
        <v>1</v>
      </c>
      <c r="E230" s="151" t="s">
        <v>61</v>
      </c>
      <c r="F230" s="173">
        <v>46295</v>
      </c>
      <c r="G230" s="173"/>
      <c r="H230" s="173"/>
      <c r="I230" s="173"/>
      <c r="J230" s="173"/>
      <c r="K230" s="173"/>
      <c r="L230" s="173"/>
      <c r="M230" s="173">
        <v>46296</v>
      </c>
      <c r="N230" s="173">
        <v>46300</v>
      </c>
      <c r="O230" s="173"/>
      <c r="P230" s="173"/>
      <c r="Q230" s="173"/>
      <c r="R230" s="173"/>
      <c r="S230" s="173"/>
      <c r="T230" s="151"/>
      <c r="U230" s="151"/>
      <c r="V230" s="152"/>
      <c r="W230" s="175"/>
      <c r="X230" s="173"/>
      <c r="Y230" s="173"/>
      <c r="Z230" s="176" t="str">
        <f>IF(B230="","",IF(S230&lt;&gt;"","Sevk Edildi",IF(AND(X230&lt;&gt;"",Y230=""),"Reworkte",IF(T230&lt;&gt;"","Kapandı"&amp;IF(COUNT(G230:R230)=0,""," – "&amp;LOOKUP(2,1/(G230:R230=MAX(G230:R230)),{"Tasarım","Ply Cutter","Üretim","Kalite (Üretim sonrası)","Talaşlı","Kalite (Talaşlı sonrası)","Montaj","Kalite (Montaj sonrası)","Boya","Kalite (Boya sonrası)","Yarı Mamül","KM"})),IF(COUNT(G230:R230)=0,"Başlamadı",LOOKUP(2,1/(G230:R230=MAX(G230:R230)),{"Tasarımda","Ply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230" s="177">
        <f t="shared" ca="1" si="53"/>
        <v>12</v>
      </c>
      <c r="AB230" s="175"/>
      <c r="AD230" t="str">
        <f>IF(OR($B230="",NOT(ISNUMBER(G230))),"",IF(COUNTIF(H230:$T230,G230)&gt;0,0,IF(COUNTIF($G230:$T230,"&gt;"&amp;G230)=0,"",SMALL($G230:$T230,COUNTIF($G230:$T230,"&lt;="&amp;G230)+1)-G230)))</f>
        <v/>
      </c>
      <c r="AE230" t="str">
        <f>IF(OR($B230="",NOT(ISNUMBER(H230))),"",IF(COUNTIF(I230:$T230,H230)&gt;0,0,IF(COUNTIF($G230:$T230,"&gt;"&amp;H230)=0,"",SMALL($G230:$T230,COUNTIF($G230:$T230,"&lt;="&amp;H230)+1)-H230)))</f>
        <v/>
      </c>
      <c r="AF230" t="str">
        <f>IF(OR($B230="",NOT(ISNUMBER(I230))),"",IF(COUNTIF(J230:$T230,I230)&gt;0,0,IF(COUNTIF($G230:$T230,"&gt;"&amp;I230)=0,"",SMALL($G230:$T230,COUNTIF($G230:$T230,"&lt;="&amp;I230)+1)-I230)))</f>
        <v/>
      </c>
      <c r="AG230" t="str">
        <f>IF(OR($B230="",NOT(ISNUMBER(J230))),"",IF(COUNTIF(K230:$T230,J230)&gt;0,0,IF(COUNTIF($G230:$T230,"&gt;"&amp;J230)=0,"",SMALL($G230:$T230,COUNTIF($G230:$T230,"&lt;="&amp;J230)+1)-J230)))</f>
        <v/>
      </c>
      <c r="AH230" t="str">
        <f>IF(OR($B230="",NOT(ISNUMBER(K230))),"",IF(COUNTIF(L230:$T230,K230)&gt;0,0,IF(COUNTIF($G230:$T230,"&gt;"&amp;K230)=0,"",SMALL($G230:$T230,COUNTIF($G230:$T230,"&lt;="&amp;K230)+1)-K230)))</f>
        <v/>
      </c>
      <c r="AI230" t="str">
        <f>IF(OR($B230="",NOT(ISNUMBER(L230))),"",IF(COUNTIF(M230:$T230,L230)&gt;0,0,IF(COUNTIF($G230:$T230,"&gt;"&amp;L230)=0,"",SMALL($G230:$T230,COUNTIF($G230:$T230,"&lt;="&amp;L230)+1)-L230)))</f>
        <v/>
      </c>
      <c r="AJ230">
        <f>IF(OR($B230="",NOT(ISNUMBER(M230))),"",IF(COUNTIF(N230:$T230,M230)&gt;0,0,IF(COUNTIF($G230:$T230,"&gt;"&amp;M230)=0,"",SMALL($G230:$T230,COUNTIF($G230:$T230,"&lt;="&amp;M230)+1)-M230)))</f>
        <v>4</v>
      </c>
      <c r="AK230" t="str">
        <f>IF(OR($B230="",NOT(ISNUMBER(N230))),"",IF(COUNTIF(O230:$T230,N230)&gt;0,0,IF(COUNTIF($G230:$T230,"&gt;"&amp;N230)=0,"",SMALL($G230:$T230,COUNTIF($G230:$T230,"&lt;="&amp;N230)+1)-N230)))</f>
        <v/>
      </c>
      <c r="AL230" t="str">
        <f>IF(OR($B230="",NOT(ISNUMBER(O230))),"",IF(COUNTIF(P230:$T230,O230)&gt;0,0,IF(COUNTIF($G230:$T230,"&gt;"&amp;O230)=0,"",SMALL($G230:$T230,COUNTIF($G230:$T230,"&lt;="&amp;O230)+1)-O230)))</f>
        <v/>
      </c>
      <c r="AM230" t="str">
        <f>IF(OR($B230="",NOT(ISNUMBER(P230))),"",IF(COUNTIF(Q230:$T230,P230)&gt;0,0,IF(COUNTIF($G230:$T230,"&gt;"&amp;P230)=0,"",SMALL($G230:$T230,COUNTIF($G230:$T230,"&lt;="&amp;P230)+1)-P230)))</f>
        <v/>
      </c>
      <c r="AN230" t="str">
        <f>IF(OR($B230="",NOT(ISNUMBER(Q230))),"",IF(COUNTIF(R230:$T230,Q230)&gt;0,0,IF(COUNTIF($G230:$T230,"&gt;"&amp;Q230)=0,"",SMALL($G230:$T230,COUNTIF($G230:$T230,"&lt;="&amp;Q230)+1)-Q230)))</f>
        <v/>
      </c>
      <c r="AO230" t="str">
        <f>IF(OR($B230="",NOT(ISNUMBER(R230))),"",IF(COUNTIF(S230:$T230,R230)&gt;0,0,IF(COUNTIF($G230:$T230,"&gt;"&amp;R230)=0,"",SMALL($G230:$T230,COUNTIF($G230:$T230,"&lt;="&amp;R230)+1)-R230)))</f>
        <v/>
      </c>
      <c r="AP230">
        <f t="shared" ca="1" si="54"/>
        <v>7</v>
      </c>
      <c r="AQ230" s="25" t="str">
        <f t="shared" si="55"/>
        <v/>
      </c>
      <c r="AR230" s="25" t="str">
        <f t="shared" si="56"/>
        <v/>
      </c>
      <c r="AS230" s="25" t="str">
        <f t="shared" si="57"/>
        <v/>
      </c>
      <c r="AT230" s="25" t="str">
        <f t="shared" si="58"/>
        <v/>
      </c>
      <c r="AU230" s="25" t="str">
        <f t="shared" si="59"/>
        <v/>
      </c>
      <c r="AV230" s="25" t="str">
        <f t="shared" si="60"/>
        <v/>
      </c>
      <c r="AW230" s="25">
        <f t="shared" si="61"/>
        <v>46300</v>
      </c>
      <c r="AX230" s="25" t="str">
        <f t="shared" si="62"/>
        <v/>
      </c>
      <c r="AY230" s="25" t="str">
        <f t="shared" si="63"/>
        <v/>
      </c>
      <c r="AZ230" s="25" t="str">
        <f t="shared" si="64"/>
        <v/>
      </c>
      <c r="BA230" s="25" t="str">
        <f t="shared" si="65"/>
        <v/>
      </c>
      <c r="BB230" s="25" t="str">
        <f t="shared" si="66"/>
        <v/>
      </c>
      <c r="BC230" s="25" t="str">
        <f t="shared" si="67"/>
        <v/>
      </c>
    </row>
    <row r="231" spans="1:55" x14ac:dyDescent="0.25">
      <c r="A231" s="151">
        <f t="shared" si="51"/>
        <v>229</v>
      </c>
      <c r="B231" s="151" t="s">
        <v>394</v>
      </c>
      <c r="C231" s="152" t="s">
        <v>229</v>
      </c>
      <c r="D231" s="151">
        <f t="shared" si="52"/>
        <v>1</v>
      </c>
      <c r="E231" s="151" t="s">
        <v>61</v>
      </c>
      <c r="F231" s="173">
        <v>46295</v>
      </c>
      <c r="G231" s="173"/>
      <c r="H231" s="173"/>
      <c r="I231" s="173"/>
      <c r="J231" s="173"/>
      <c r="K231" s="173"/>
      <c r="L231" s="173"/>
      <c r="M231" s="173">
        <v>46296</v>
      </c>
      <c r="N231" s="173">
        <v>46300</v>
      </c>
      <c r="O231" s="173"/>
      <c r="P231" s="173"/>
      <c r="Q231" s="173"/>
      <c r="R231" s="173"/>
      <c r="S231" s="173"/>
      <c r="T231" s="151"/>
      <c r="U231" s="151"/>
      <c r="V231" s="152"/>
      <c r="W231" s="175"/>
      <c r="X231" s="173"/>
      <c r="Y231" s="173"/>
      <c r="Z231" s="176" t="str">
        <f>IF(B231="","",IF(S231&lt;&gt;"","Sevk Edildi",IF(AND(X231&lt;&gt;"",Y231=""),"Reworkte",IF(T231&lt;&gt;"","Kapandı"&amp;IF(COUNT(G231:R231)=0,""," – "&amp;LOOKUP(2,1/(G231:R231=MAX(G231:R231)),{"Tasarım","Ply Cutter","Üretim","Kalite (Üretim sonrası)","Talaşlı","Kalite (Talaşlı sonrası)","Montaj","Kalite (Montaj sonrası)","Boya","Kalite (Boya sonrası)","Yarı Mamül","KM"})),IF(COUNT(G231:R231)=0,"Başlamadı",LOOKUP(2,1/(G231:R231=MAX(G231:R231)),{"Tasarımda","Ply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231" s="177">
        <f t="shared" ca="1" si="53"/>
        <v>12</v>
      </c>
      <c r="AB231" s="175"/>
      <c r="AD231" t="str">
        <f>IF(OR($B231="",NOT(ISNUMBER(G231))),"",IF(COUNTIF(H231:$T231,G231)&gt;0,0,IF(COUNTIF($G231:$T231,"&gt;"&amp;G231)=0,"",SMALL($G231:$T231,COUNTIF($G231:$T231,"&lt;="&amp;G231)+1)-G231)))</f>
        <v/>
      </c>
      <c r="AE231" t="str">
        <f>IF(OR($B231="",NOT(ISNUMBER(H231))),"",IF(COUNTIF(I231:$T231,H231)&gt;0,0,IF(COUNTIF($G231:$T231,"&gt;"&amp;H231)=0,"",SMALL($G231:$T231,COUNTIF($G231:$T231,"&lt;="&amp;H231)+1)-H231)))</f>
        <v/>
      </c>
      <c r="AF231" t="str">
        <f>IF(OR($B231="",NOT(ISNUMBER(I231))),"",IF(COUNTIF(J231:$T231,I231)&gt;0,0,IF(COUNTIF($G231:$T231,"&gt;"&amp;I231)=0,"",SMALL($G231:$T231,COUNTIF($G231:$T231,"&lt;="&amp;I231)+1)-I231)))</f>
        <v/>
      </c>
      <c r="AG231" t="str">
        <f>IF(OR($B231="",NOT(ISNUMBER(J231))),"",IF(COUNTIF(K231:$T231,J231)&gt;0,0,IF(COUNTIF($G231:$T231,"&gt;"&amp;J231)=0,"",SMALL($G231:$T231,COUNTIF($G231:$T231,"&lt;="&amp;J231)+1)-J231)))</f>
        <v/>
      </c>
      <c r="AH231" t="str">
        <f>IF(OR($B231="",NOT(ISNUMBER(K231))),"",IF(COUNTIF(L231:$T231,K231)&gt;0,0,IF(COUNTIF($G231:$T231,"&gt;"&amp;K231)=0,"",SMALL($G231:$T231,COUNTIF($G231:$T231,"&lt;="&amp;K231)+1)-K231)))</f>
        <v/>
      </c>
      <c r="AI231" t="str">
        <f>IF(OR($B231="",NOT(ISNUMBER(L231))),"",IF(COUNTIF(M231:$T231,L231)&gt;0,0,IF(COUNTIF($G231:$T231,"&gt;"&amp;L231)=0,"",SMALL($G231:$T231,COUNTIF($G231:$T231,"&lt;="&amp;L231)+1)-L231)))</f>
        <v/>
      </c>
      <c r="AJ231">
        <f>IF(OR($B231="",NOT(ISNUMBER(M231))),"",IF(COUNTIF(N231:$T231,M231)&gt;0,0,IF(COUNTIF($G231:$T231,"&gt;"&amp;M231)=0,"",SMALL($G231:$T231,COUNTIF($G231:$T231,"&lt;="&amp;M231)+1)-M231)))</f>
        <v>4</v>
      </c>
      <c r="AK231" t="str">
        <f>IF(OR($B231="",NOT(ISNUMBER(N231))),"",IF(COUNTIF(O231:$T231,N231)&gt;0,0,IF(COUNTIF($G231:$T231,"&gt;"&amp;N231)=0,"",SMALL($G231:$T231,COUNTIF($G231:$T231,"&lt;="&amp;N231)+1)-N231)))</f>
        <v/>
      </c>
      <c r="AL231" t="str">
        <f>IF(OR($B231="",NOT(ISNUMBER(O231))),"",IF(COUNTIF(P231:$T231,O231)&gt;0,0,IF(COUNTIF($G231:$T231,"&gt;"&amp;O231)=0,"",SMALL($G231:$T231,COUNTIF($G231:$T231,"&lt;="&amp;O231)+1)-O231)))</f>
        <v/>
      </c>
      <c r="AM231" t="str">
        <f>IF(OR($B231="",NOT(ISNUMBER(P231))),"",IF(COUNTIF(Q231:$T231,P231)&gt;0,0,IF(COUNTIF($G231:$T231,"&gt;"&amp;P231)=0,"",SMALL($G231:$T231,COUNTIF($G231:$T231,"&lt;="&amp;P231)+1)-P231)))</f>
        <v/>
      </c>
      <c r="AN231" t="str">
        <f>IF(OR($B231="",NOT(ISNUMBER(Q231))),"",IF(COUNTIF(R231:$T231,Q231)&gt;0,0,IF(COUNTIF($G231:$T231,"&gt;"&amp;Q231)=0,"",SMALL($G231:$T231,COUNTIF($G231:$T231,"&lt;="&amp;Q231)+1)-Q231)))</f>
        <v/>
      </c>
      <c r="AO231" t="str">
        <f>IF(OR($B231="",NOT(ISNUMBER(R231))),"",IF(COUNTIF(S231:$T231,R231)&gt;0,0,IF(COUNTIF($G231:$T231,"&gt;"&amp;R231)=0,"",SMALL($G231:$T231,COUNTIF($G231:$T231,"&lt;="&amp;R231)+1)-R231)))</f>
        <v/>
      </c>
      <c r="AP231">
        <f t="shared" ca="1" si="54"/>
        <v>7</v>
      </c>
      <c r="AQ231" s="25" t="str">
        <f t="shared" si="55"/>
        <v/>
      </c>
      <c r="AR231" s="25" t="str">
        <f t="shared" si="56"/>
        <v/>
      </c>
      <c r="AS231" s="25" t="str">
        <f t="shared" si="57"/>
        <v/>
      </c>
      <c r="AT231" s="25" t="str">
        <f t="shared" si="58"/>
        <v/>
      </c>
      <c r="AU231" s="25" t="str">
        <f t="shared" si="59"/>
        <v/>
      </c>
      <c r="AV231" s="25" t="str">
        <f t="shared" si="60"/>
        <v/>
      </c>
      <c r="AW231" s="25">
        <f t="shared" si="61"/>
        <v>46300</v>
      </c>
      <c r="AX231" s="25" t="str">
        <f t="shared" si="62"/>
        <v/>
      </c>
      <c r="AY231" s="25" t="str">
        <f t="shared" si="63"/>
        <v/>
      </c>
      <c r="AZ231" s="25" t="str">
        <f t="shared" si="64"/>
        <v/>
      </c>
      <c r="BA231" s="25" t="str">
        <f t="shared" si="65"/>
        <v/>
      </c>
      <c r="BB231" s="25" t="str">
        <f t="shared" si="66"/>
        <v/>
      </c>
      <c r="BC231" s="25" t="str">
        <f t="shared" si="67"/>
        <v/>
      </c>
    </row>
    <row r="232" spans="1:55" x14ac:dyDescent="0.25">
      <c r="A232" s="151">
        <f t="shared" si="51"/>
        <v>230</v>
      </c>
      <c r="B232" s="151" t="s">
        <v>395</v>
      </c>
      <c r="C232" s="152" t="s">
        <v>229</v>
      </c>
      <c r="D232" s="151">
        <f t="shared" si="52"/>
        <v>1</v>
      </c>
      <c r="E232" s="151" t="s">
        <v>61</v>
      </c>
      <c r="F232" s="173">
        <v>46295</v>
      </c>
      <c r="G232" s="173"/>
      <c r="H232" s="173"/>
      <c r="I232" s="173"/>
      <c r="J232" s="173"/>
      <c r="K232" s="173"/>
      <c r="L232" s="173"/>
      <c r="M232" s="173">
        <v>46296</v>
      </c>
      <c r="N232" s="173">
        <v>46300</v>
      </c>
      <c r="O232" s="173"/>
      <c r="P232" s="173"/>
      <c r="Q232" s="173"/>
      <c r="R232" s="173"/>
      <c r="S232" s="173"/>
      <c r="T232" s="151"/>
      <c r="U232" s="151"/>
      <c r="V232" s="152"/>
      <c r="W232" s="175"/>
      <c r="X232" s="173"/>
      <c r="Y232" s="173"/>
      <c r="Z232" s="176" t="str">
        <f>IF(B232="","",IF(S232&lt;&gt;"","Sevk Edildi",IF(AND(X232&lt;&gt;"",Y232=""),"Reworkte",IF(T232&lt;&gt;"","Kapandı"&amp;IF(COUNT(G232:R232)=0,""," – "&amp;LOOKUP(2,1/(G232:R232=MAX(G232:R232)),{"Tasarım","Ply Cutter","Üretim","Kalite (Üretim sonrası)","Talaşlı","Kalite (Talaşlı sonrası)","Montaj","Kalite (Montaj sonrası)","Boya","Kalite (Boya sonrası)","Yarı Mamül","KM"})),IF(COUNT(G232:R232)=0,"Başlamadı",LOOKUP(2,1/(G232:R232=MAX(G232:R232)),{"Tasarımda","Ply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232" s="177">
        <f t="shared" ca="1" si="53"/>
        <v>12</v>
      </c>
      <c r="AB232" s="175"/>
      <c r="AD232" t="str">
        <f>IF(OR($B232="",NOT(ISNUMBER(G232))),"",IF(COUNTIF(H232:$T232,G232)&gt;0,0,IF(COUNTIF($G232:$T232,"&gt;"&amp;G232)=0,"",SMALL($G232:$T232,COUNTIF($G232:$T232,"&lt;="&amp;G232)+1)-G232)))</f>
        <v/>
      </c>
      <c r="AE232" t="str">
        <f>IF(OR($B232="",NOT(ISNUMBER(H232))),"",IF(COUNTIF(I232:$T232,H232)&gt;0,0,IF(COUNTIF($G232:$T232,"&gt;"&amp;H232)=0,"",SMALL($G232:$T232,COUNTIF($G232:$T232,"&lt;="&amp;H232)+1)-H232)))</f>
        <v/>
      </c>
      <c r="AF232" t="str">
        <f>IF(OR($B232="",NOT(ISNUMBER(I232))),"",IF(COUNTIF(J232:$T232,I232)&gt;0,0,IF(COUNTIF($G232:$T232,"&gt;"&amp;I232)=0,"",SMALL($G232:$T232,COUNTIF($G232:$T232,"&lt;="&amp;I232)+1)-I232)))</f>
        <v/>
      </c>
      <c r="AG232" t="str">
        <f>IF(OR($B232="",NOT(ISNUMBER(J232))),"",IF(COUNTIF(K232:$T232,J232)&gt;0,0,IF(COUNTIF($G232:$T232,"&gt;"&amp;J232)=0,"",SMALL($G232:$T232,COUNTIF($G232:$T232,"&lt;="&amp;J232)+1)-J232)))</f>
        <v/>
      </c>
      <c r="AH232" t="str">
        <f>IF(OR($B232="",NOT(ISNUMBER(K232))),"",IF(COUNTIF(L232:$T232,K232)&gt;0,0,IF(COUNTIF($G232:$T232,"&gt;"&amp;K232)=0,"",SMALL($G232:$T232,COUNTIF($G232:$T232,"&lt;="&amp;K232)+1)-K232)))</f>
        <v/>
      </c>
      <c r="AI232" t="str">
        <f>IF(OR($B232="",NOT(ISNUMBER(L232))),"",IF(COUNTIF(M232:$T232,L232)&gt;0,0,IF(COUNTIF($G232:$T232,"&gt;"&amp;L232)=0,"",SMALL($G232:$T232,COUNTIF($G232:$T232,"&lt;="&amp;L232)+1)-L232)))</f>
        <v/>
      </c>
      <c r="AJ232">
        <f>IF(OR($B232="",NOT(ISNUMBER(M232))),"",IF(COUNTIF(N232:$T232,M232)&gt;0,0,IF(COUNTIF($G232:$T232,"&gt;"&amp;M232)=0,"",SMALL($G232:$T232,COUNTIF($G232:$T232,"&lt;="&amp;M232)+1)-M232)))</f>
        <v>4</v>
      </c>
      <c r="AK232" t="str">
        <f>IF(OR($B232="",NOT(ISNUMBER(N232))),"",IF(COUNTIF(O232:$T232,N232)&gt;0,0,IF(COUNTIF($G232:$T232,"&gt;"&amp;N232)=0,"",SMALL($G232:$T232,COUNTIF($G232:$T232,"&lt;="&amp;N232)+1)-N232)))</f>
        <v/>
      </c>
      <c r="AL232" t="str">
        <f>IF(OR($B232="",NOT(ISNUMBER(O232))),"",IF(COUNTIF(P232:$T232,O232)&gt;0,0,IF(COUNTIF($G232:$T232,"&gt;"&amp;O232)=0,"",SMALL($G232:$T232,COUNTIF($G232:$T232,"&lt;="&amp;O232)+1)-O232)))</f>
        <v/>
      </c>
      <c r="AM232" t="str">
        <f>IF(OR($B232="",NOT(ISNUMBER(P232))),"",IF(COUNTIF(Q232:$T232,P232)&gt;0,0,IF(COUNTIF($G232:$T232,"&gt;"&amp;P232)=0,"",SMALL($G232:$T232,COUNTIF($G232:$T232,"&lt;="&amp;P232)+1)-P232)))</f>
        <v/>
      </c>
      <c r="AN232" t="str">
        <f>IF(OR($B232="",NOT(ISNUMBER(Q232))),"",IF(COUNTIF(R232:$T232,Q232)&gt;0,0,IF(COUNTIF($G232:$T232,"&gt;"&amp;Q232)=0,"",SMALL($G232:$T232,COUNTIF($G232:$T232,"&lt;="&amp;Q232)+1)-Q232)))</f>
        <v/>
      </c>
      <c r="AO232" t="str">
        <f>IF(OR($B232="",NOT(ISNUMBER(R232))),"",IF(COUNTIF(S232:$T232,R232)&gt;0,0,IF(COUNTIF($G232:$T232,"&gt;"&amp;R232)=0,"",SMALL($G232:$T232,COUNTIF($G232:$T232,"&lt;="&amp;R232)+1)-R232)))</f>
        <v/>
      </c>
      <c r="AP232">
        <f t="shared" ca="1" si="54"/>
        <v>7</v>
      </c>
      <c r="AQ232" s="25" t="str">
        <f t="shared" si="55"/>
        <v/>
      </c>
      <c r="AR232" s="25" t="str">
        <f t="shared" si="56"/>
        <v/>
      </c>
      <c r="AS232" s="25" t="str">
        <f t="shared" si="57"/>
        <v/>
      </c>
      <c r="AT232" s="25" t="str">
        <f t="shared" si="58"/>
        <v/>
      </c>
      <c r="AU232" s="25" t="str">
        <f t="shared" si="59"/>
        <v/>
      </c>
      <c r="AV232" s="25" t="str">
        <f t="shared" si="60"/>
        <v/>
      </c>
      <c r="AW232" s="25">
        <f t="shared" si="61"/>
        <v>46300</v>
      </c>
      <c r="AX232" s="25" t="str">
        <f t="shared" si="62"/>
        <v/>
      </c>
      <c r="AY232" s="25" t="str">
        <f t="shared" si="63"/>
        <v/>
      </c>
      <c r="AZ232" s="25" t="str">
        <f t="shared" si="64"/>
        <v/>
      </c>
      <c r="BA232" s="25" t="str">
        <f t="shared" si="65"/>
        <v/>
      </c>
      <c r="BB232" s="25" t="str">
        <f t="shared" si="66"/>
        <v/>
      </c>
      <c r="BC232" s="25" t="str">
        <f t="shared" si="67"/>
        <v/>
      </c>
    </row>
    <row r="233" spans="1:55" x14ac:dyDescent="0.25">
      <c r="A233" s="151">
        <f t="shared" si="51"/>
        <v>231</v>
      </c>
      <c r="B233" s="151" t="s">
        <v>396</v>
      </c>
      <c r="C233" s="152" t="s">
        <v>227</v>
      </c>
      <c r="D233" s="151">
        <f t="shared" si="52"/>
        <v>1</v>
      </c>
      <c r="E233" s="151" t="s">
        <v>61</v>
      </c>
      <c r="F233" s="173">
        <v>46295</v>
      </c>
      <c r="G233" s="173"/>
      <c r="H233" s="173"/>
      <c r="I233" s="173"/>
      <c r="J233" s="173"/>
      <c r="K233" s="173"/>
      <c r="L233" s="173"/>
      <c r="M233" s="173">
        <v>46296</v>
      </c>
      <c r="N233" s="173">
        <v>46300</v>
      </c>
      <c r="O233" s="173"/>
      <c r="P233" s="173"/>
      <c r="Q233" s="173"/>
      <c r="R233" s="173"/>
      <c r="S233" s="173"/>
      <c r="T233" s="151"/>
      <c r="U233" s="151"/>
      <c r="V233" s="152"/>
      <c r="W233" s="175"/>
      <c r="X233" s="173"/>
      <c r="Y233" s="173"/>
      <c r="Z233" s="176" t="str">
        <f>IF(B233="","",IF(S233&lt;&gt;"","Sevk Edildi",IF(AND(X233&lt;&gt;"",Y233=""),"Reworkte",IF(T233&lt;&gt;"","Kapandı"&amp;IF(COUNT(G233:R233)=0,""," – "&amp;LOOKUP(2,1/(G233:R233=MAX(G233:R233)),{"Tasarım","Ply Cutter","Üretim","Kalite (Üretim sonrası)","Talaşlı","Kalite (Talaşlı sonrası)","Montaj","Kalite (Montaj sonrası)","Boya","Kalite (Boya sonrası)","Yarı Mamül","KM"})),IF(COUNT(G233:R233)=0,"Başlamadı",LOOKUP(2,1/(G233:R233=MAX(G233:R233)),{"Tasarımda","Ply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233" s="177">
        <f t="shared" ca="1" si="53"/>
        <v>12</v>
      </c>
      <c r="AB233" s="175"/>
      <c r="AD233" t="str">
        <f>IF(OR($B233="",NOT(ISNUMBER(G233))),"",IF(COUNTIF(H233:$T233,G233)&gt;0,0,IF(COUNTIF($G233:$T233,"&gt;"&amp;G233)=0,"",SMALL($G233:$T233,COUNTIF($G233:$T233,"&lt;="&amp;G233)+1)-G233)))</f>
        <v/>
      </c>
      <c r="AE233" t="str">
        <f>IF(OR($B233="",NOT(ISNUMBER(H233))),"",IF(COUNTIF(I233:$T233,H233)&gt;0,0,IF(COUNTIF($G233:$T233,"&gt;"&amp;H233)=0,"",SMALL($G233:$T233,COUNTIF($G233:$T233,"&lt;="&amp;H233)+1)-H233)))</f>
        <v/>
      </c>
      <c r="AF233" t="str">
        <f>IF(OR($B233="",NOT(ISNUMBER(I233))),"",IF(COUNTIF(J233:$T233,I233)&gt;0,0,IF(COUNTIF($G233:$T233,"&gt;"&amp;I233)=0,"",SMALL($G233:$T233,COUNTIF($G233:$T233,"&lt;="&amp;I233)+1)-I233)))</f>
        <v/>
      </c>
      <c r="AG233" t="str">
        <f>IF(OR($B233="",NOT(ISNUMBER(J233))),"",IF(COUNTIF(K233:$T233,J233)&gt;0,0,IF(COUNTIF($G233:$T233,"&gt;"&amp;J233)=0,"",SMALL($G233:$T233,COUNTIF($G233:$T233,"&lt;="&amp;J233)+1)-J233)))</f>
        <v/>
      </c>
      <c r="AH233" t="str">
        <f>IF(OR($B233="",NOT(ISNUMBER(K233))),"",IF(COUNTIF(L233:$T233,K233)&gt;0,0,IF(COUNTIF($G233:$T233,"&gt;"&amp;K233)=0,"",SMALL($G233:$T233,COUNTIF($G233:$T233,"&lt;="&amp;K233)+1)-K233)))</f>
        <v/>
      </c>
      <c r="AI233" t="str">
        <f>IF(OR($B233="",NOT(ISNUMBER(L233))),"",IF(COUNTIF(M233:$T233,L233)&gt;0,0,IF(COUNTIF($G233:$T233,"&gt;"&amp;L233)=0,"",SMALL($G233:$T233,COUNTIF($G233:$T233,"&lt;="&amp;L233)+1)-L233)))</f>
        <v/>
      </c>
      <c r="AJ233">
        <f>IF(OR($B233="",NOT(ISNUMBER(M233))),"",IF(COUNTIF(N233:$T233,M233)&gt;0,0,IF(COUNTIF($G233:$T233,"&gt;"&amp;M233)=0,"",SMALL($G233:$T233,COUNTIF($G233:$T233,"&lt;="&amp;M233)+1)-M233)))</f>
        <v>4</v>
      </c>
      <c r="AK233" t="str">
        <f>IF(OR($B233="",NOT(ISNUMBER(N233))),"",IF(COUNTIF(O233:$T233,N233)&gt;0,0,IF(COUNTIF($G233:$T233,"&gt;"&amp;N233)=0,"",SMALL($G233:$T233,COUNTIF($G233:$T233,"&lt;="&amp;N233)+1)-N233)))</f>
        <v/>
      </c>
      <c r="AL233" t="str">
        <f>IF(OR($B233="",NOT(ISNUMBER(O233))),"",IF(COUNTIF(P233:$T233,O233)&gt;0,0,IF(COUNTIF($G233:$T233,"&gt;"&amp;O233)=0,"",SMALL($G233:$T233,COUNTIF($G233:$T233,"&lt;="&amp;O233)+1)-O233)))</f>
        <v/>
      </c>
      <c r="AM233" t="str">
        <f>IF(OR($B233="",NOT(ISNUMBER(P233))),"",IF(COUNTIF(Q233:$T233,P233)&gt;0,0,IF(COUNTIF($G233:$T233,"&gt;"&amp;P233)=0,"",SMALL($G233:$T233,COUNTIF($G233:$T233,"&lt;="&amp;P233)+1)-P233)))</f>
        <v/>
      </c>
      <c r="AN233" t="str">
        <f>IF(OR($B233="",NOT(ISNUMBER(Q233))),"",IF(COUNTIF(R233:$T233,Q233)&gt;0,0,IF(COUNTIF($G233:$T233,"&gt;"&amp;Q233)=0,"",SMALL($G233:$T233,COUNTIF($G233:$T233,"&lt;="&amp;Q233)+1)-Q233)))</f>
        <v/>
      </c>
      <c r="AO233" t="str">
        <f>IF(OR($B233="",NOT(ISNUMBER(R233))),"",IF(COUNTIF(S233:$T233,R233)&gt;0,0,IF(COUNTIF($G233:$T233,"&gt;"&amp;R233)=0,"",SMALL($G233:$T233,COUNTIF($G233:$T233,"&lt;="&amp;R233)+1)-R233)))</f>
        <v/>
      </c>
      <c r="AP233">
        <f t="shared" ca="1" si="54"/>
        <v>7</v>
      </c>
      <c r="AQ233" s="25" t="str">
        <f t="shared" si="55"/>
        <v/>
      </c>
      <c r="AR233" s="25" t="str">
        <f t="shared" si="56"/>
        <v/>
      </c>
      <c r="AS233" s="25" t="str">
        <f t="shared" si="57"/>
        <v/>
      </c>
      <c r="AT233" s="25" t="str">
        <f t="shared" si="58"/>
        <v/>
      </c>
      <c r="AU233" s="25" t="str">
        <f t="shared" si="59"/>
        <v/>
      </c>
      <c r="AV233" s="25" t="str">
        <f t="shared" si="60"/>
        <v/>
      </c>
      <c r="AW233" s="25">
        <f t="shared" si="61"/>
        <v>46300</v>
      </c>
      <c r="AX233" s="25" t="str">
        <f t="shared" si="62"/>
        <v/>
      </c>
      <c r="AY233" s="25" t="str">
        <f t="shared" si="63"/>
        <v/>
      </c>
      <c r="AZ233" s="25" t="str">
        <f t="shared" si="64"/>
        <v/>
      </c>
      <c r="BA233" s="25" t="str">
        <f t="shared" si="65"/>
        <v/>
      </c>
      <c r="BB233" s="25" t="str">
        <f t="shared" si="66"/>
        <v/>
      </c>
      <c r="BC233" s="25" t="str">
        <f t="shared" si="67"/>
        <v/>
      </c>
    </row>
    <row r="234" spans="1:55" x14ac:dyDescent="0.25">
      <c r="A234" s="151">
        <f t="shared" si="51"/>
        <v>232</v>
      </c>
      <c r="B234" s="151" t="s">
        <v>397</v>
      </c>
      <c r="C234" s="152" t="s">
        <v>227</v>
      </c>
      <c r="D234" s="151">
        <f t="shared" si="52"/>
        <v>1</v>
      </c>
      <c r="E234" s="151" t="s">
        <v>61</v>
      </c>
      <c r="F234" s="173">
        <v>46295</v>
      </c>
      <c r="G234" s="173"/>
      <c r="H234" s="173"/>
      <c r="I234" s="173"/>
      <c r="J234" s="173"/>
      <c r="K234" s="173"/>
      <c r="L234" s="173"/>
      <c r="M234" s="173">
        <v>46296</v>
      </c>
      <c r="N234" s="173">
        <v>46300</v>
      </c>
      <c r="O234" s="173"/>
      <c r="P234" s="173"/>
      <c r="Q234" s="173"/>
      <c r="R234" s="173"/>
      <c r="S234" s="173"/>
      <c r="T234" s="151"/>
      <c r="U234" s="151"/>
      <c r="V234" s="152"/>
      <c r="W234" s="175"/>
      <c r="X234" s="173"/>
      <c r="Y234" s="173"/>
      <c r="Z234" s="176" t="str">
        <f>IF(B234="","",IF(S234&lt;&gt;"","Sevk Edildi",IF(AND(X234&lt;&gt;"",Y234=""),"Reworkte",IF(T234&lt;&gt;"","Kapandı"&amp;IF(COUNT(G234:R234)=0,""," – "&amp;LOOKUP(2,1/(G234:R234=MAX(G234:R234)),{"Tasarım","Ply Cutter","Üretim","Kalite (Üretim sonrası)","Talaşlı","Kalite (Talaşlı sonrası)","Montaj","Kalite (Montaj sonrası)","Boya","Kalite (Boya sonrası)","Yarı Mamül","KM"})),IF(COUNT(G234:R234)=0,"Başlamadı",LOOKUP(2,1/(G234:R234=MAX(G234:R234)),{"Tasarımda","Ply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234" s="177">
        <f t="shared" ca="1" si="53"/>
        <v>12</v>
      </c>
      <c r="AB234" s="175"/>
      <c r="AD234" t="str">
        <f>IF(OR($B234="",NOT(ISNUMBER(G234))),"",IF(COUNTIF(H234:$T234,G234)&gt;0,0,IF(COUNTIF($G234:$T234,"&gt;"&amp;G234)=0,"",SMALL($G234:$T234,COUNTIF($G234:$T234,"&lt;="&amp;G234)+1)-G234)))</f>
        <v/>
      </c>
      <c r="AE234" t="str">
        <f>IF(OR($B234="",NOT(ISNUMBER(H234))),"",IF(COUNTIF(I234:$T234,H234)&gt;0,0,IF(COUNTIF($G234:$T234,"&gt;"&amp;H234)=0,"",SMALL($G234:$T234,COUNTIF($G234:$T234,"&lt;="&amp;H234)+1)-H234)))</f>
        <v/>
      </c>
      <c r="AF234" t="str">
        <f>IF(OR($B234="",NOT(ISNUMBER(I234))),"",IF(COUNTIF(J234:$T234,I234)&gt;0,0,IF(COUNTIF($G234:$T234,"&gt;"&amp;I234)=0,"",SMALL($G234:$T234,COUNTIF($G234:$T234,"&lt;="&amp;I234)+1)-I234)))</f>
        <v/>
      </c>
      <c r="AG234" t="str">
        <f>IF(OR($B234="",NOT(ISNUMBER(J234))),"",IF(COUNTIF(K234:$T234,J234)&gt;0,0,IF(COUNTIF($G234:$T234,"&gt;"&amp;J234)=0,"",SMALL($G234:$T234,COUNTIF($G234:$T234,"&lt;="&amp;J234)+1)-J234)))</f>
        <v/>
      </c>
      <c r="AH234" t="str">
        <f>IF(OR($B234="",NOT(ISNUMBER(K234))),"",IF(COUNTIF(L234:$T234,K234)&gt;0,0,IF(COUNTIF($G234:$T234,"&gt;"&amp;K234)=0,"",SMALL($G234:$T234,COUNTIF($G234:$T234,"&lt;="&amp;K234)+1)-K234)))</f>
        <v/>
      </c>
      <c r="AI234" t="str">
        <f>IF(OR($B234="",NOT(ISNUMBER(L234))),"",IF(COUNTIF(M234:$T234,L234)&gt;0,0,IF(COUNTIF($G234:$T234,"&gt;"&amp;L234)=0,"",SMALL($G234:$T234,COUNTIF($G234:$T234,"&lt;="&amp;L234)+1)-L234)))</f>
        <v/>
      </c>
      <c r="AJ234">
        <f>IF(OR($B234="",NOT(ISNUMBER(M234))),"",IF(COUNTIF(N234:$T234,M234)&gt;0,0,IF(COUNTIF($G234:$T234,"&gt;"&amp;M234)=0,"",SMALL($G234:$T234,COUNTIF($G234:$T234,"&lt;="&amp;M234)+1)-M234)))</f>
        <v>4</v>
      </c>
      <c r="AK234" t="str">
        <f>IF(OR($B234="",NOT(ISNUMBER(N234))),"",IF(COUNTIF(O234:$T234,N234)&gt;0,0,IF(COUNTIF($G234:$T234,"&gt;"&amp;N234)=0,"",SMALL($G234:$T234,COUNTIF($G234:$T234,"&lt;="&amp;N234)+1)-N234)))</f>
        <v/>
      </c>
      <c r="AL234" t="str">
        <f>IF(OR($B234="",NOT(ISNUMBER(O234))),"",IF(COUNTIF(P234:$T234,O234)&gt;0,0,IF(COUNTIF($G234:$T234,"&gt;"&amp;O234)=0,"",SMALL($G234:$T234,COUNTIF($G234:$T234,"&lt;="&amp;O234)+1)-O234)))</f>
        <v/>
      </c>
      <c r="AM234" t="str">
        <f>IF(OR($B234="",NOT(ISNUMBER(P234))),"",IF(COUNTIF(Q234:$T234,P234)&gt;0,0,IF(COUNTIF($G234:$T234,"&gt;"&amp;P234)=0,"",SMALL($G234:$T234,COUNTIF($G234:$T234,"&lt;="&amp;P234)+1)-P234)))</f>
        <v/>
      </c>
      <c r="AN234" t="str">
        <f>IF(OR($B234="",NOT(ISNUMBER(Q234))),"",IF(COUNTIF(R234:$T234,Q234)&gt;0,0,IF(COUNTIF($G234:$T234,"&gt;"&amp;Q234)=0,"",SMALL($G234:$T234,COUNTIF($G234:$T234,"&lt;="&amp;Q234)+1)-Q234)))</f>
        <v/>
      </c>
      <c r="AO234" t="str">
        <f>IF(OR($B234="",NOT(ISNUMBER(R234))),"",IF(COUNTIF(S234:$T234,R234)&gt;0,0,IF(COUNTIF($G234:$T234,"&gt;"&amp;R234)=0,"",SMALL($G234:$T234,COUNTIF($G234:$T234,"&lt;="&amp;R234)+1)-R234)))</f>
        <v/>
      </c>
      <c r="AP234">
        <f t="shared" ca="1" si="54"/>
        <v>7</v>
      </c>
      <c r="AQ234" s="25" t="str">
        <f t="shared" si="55"/>
        <v/>
      </c>
      <c r="AR234" s="25" t="str">
        <f t="shared" si="56"/>
        <v/>
      </c>
      <c r="AS234" s="25" t="str">
        <f t="shared" si="57"/>
        <v/>
      </c>
      <c r="AT234" s="25" t="str">
        <f t="shared" si="58"/>
        <v/>
      </c>
      <c r="AU234" s="25" t="str">
        <f t="shared" si="59"/>
        <v/>
      </c>
      <c r="AV234" s="25" t="str">
        <f t="shared" si="60"/>
        <v/>
      </c>
      <c r="AW234" s="25">
        <f t="shared" si="61"/>
        <v>46300</v>
      </c>
      <c r="AX234" s="25" t="str">
        <f t="shared" si="62"/>
        <v/>
      </c>
      <c r="AY234" s="25" t="str">
        <f t="shared" si="63"/>
        <v/>
      </c>
      <c r="AZ234" s="25" t="str">
        <f t="shared" si="64"/>
        <v/>
      </c>
      <c r="BA234" s="25" t="str">
        <f t="shared" si="65"/>
        <v/>
      </c>
      <c r="BB234" s="25" t="str">
        <f t="shared" si="66"/>
        <v/>
      </c>
      <c r="BC234" s="25" t="str">
        <f t="shared" si="67"/>
        <v/>
      </c>
    </row>
    <row r="235" spans="1:55" x14ac:dyDescent="0.25">
      <c r="A235" s="151">
        <f t="shared" si="51"/>
        <v>233</v>
      </c>
      <c r="B235" s="151" t="s">
        <v>398</v>
      </c>
      <c r="C235" s="152" t="s">
        <v>227</v>
      </c>
      <c r="D235" s="151">
        <f t="shared" si="52"/>
        <v>1</v>
      </c>
      <c r="E235" s="151" t="s">
        <v>61</v>
      </c>
      <c r="F235" s="173">
        <v>46295</v>
      </c>
      <c r="G235" s="173"/>
      <c r="H235" s="173"/>
      <c r="I235" s="173"/>
      <c r="J235" s="173"/>
      <c r="K235" s="173"/>
      <c r="L235" s="173"/>
      <c r="M235" s="173">
        <v>46296</v>
      </c>
      <c r="N235" s="173">
        <v>46300</v>
      </c>
      <c r="O235" s="173"/>
      <c r="P235" s="173"/>
      <c r="Q235" s="173"/>
      <c r="R235" s="173"/>
      <c r="S235" s="173"/>
      <c r="T235" s="151"/>
      <c r="U235" s="151"/>
      <c r="V235" s="152"/>
      <c r="W235" s="175"/>
      <c r="X235" s="173"/>
      <c r="Y235" s="173"/>
      <c r="Z235" s="176" t="str">
        <f>IF(B235="","",IF(S235&lt;&gt;"","Sevk Edildi",IF(AND(X235&lt;&gt;"",Y235=""),"Reworkte",IF(T235&lt;&gt;"","Kapandı"&amp;IF(COUNT(G235:R235)=0,""," – "&amp;LOOKUP(2,1/(G235:R235=MAX(G235:R235)),{"Tasarım","Ply Cutter","Üretim","Kalite (Üretim sonrası)","Talaşlı","Kalite (Talaşlı sonrası)","Montaj","Kalite (Montaj sonrası)","Boya","Kalite (Boya sonrası)","Yarı Mamül","KM"})),IF(COUNT(G235:R235)=0,"Başlamadı",LOOKUP(2,1/(G235:R235=MAX(G235:R235)),{"Tasarımda","Ply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235" s="177">
        <f t="shared" ca="1" si="53"/>
        <v>12</v>
      </c>
      <c r="AB235" s="175"/>
      <c r="AD235" t="str">
        <f>IF(OR($B235="",NOT(ISNUMBER(G235))),"",IF(COUNTIF(H235:$T235,G235)&gt;0,0,IF(COUNTIF($G235:$T235,"&gt;"&amp;G235)=0,"",SMALL($G235:$T235,COUNTIF($G235:$T235,"&lt;="&amp;G235)+1)-G235)))</f>
        <v/>
      </c>
      <c r="AE235" t="str">
        <f>IF(OR($B235="",NOT(ISNUMBER(H235))),"",IF(COUNTIF(I235:$T235,H235)&gt;0,0,IF(COUNTIF($G235:$T235,"&gt;"&amp;H235)=0,"",SMALL($G235:$T235,COUNTIF($G235:$T235,"&lt;="&amp;H235)+1)-H235)))</f>
        <v/>
      </c>
      <c r="AF235" t="str">
        <f>IF(OR($B235="",NOT(ISNUMBER(I235))),"",IF(COUNTIF(J235:$T235,I235)&gt;0,0,IF(COUNTIF($G235:$T235,"&gt;"&amp;I235)=0,"",SMALL($G235:$T235,COUNTIF($G235:$T235,"&lt;="&amp;I235)+1)-I235)))</f>
        <v/>
      </c>
      <c r="AG235" t="str">
        <f>IF(OR($B235="",NOT(ISNUMBER(J235))),"",IF(COUNTIF(K235:$T235,J235)&gt;0,0,IF(COUNTIF($G235:$T235,"&gt;"&amp;J235)=0,"",SMALL($G235:$T235,COUNTIF($G235:$T235,"&lt;="&amp;J235)+1)-J235)))</f>
        <v/>
      </c>
      <c r="AH235" t="str">
        <f>IF(OR($B235="",NOT(ISNUMBER(K235))),"",IF(COUNTIF(L235:$T235,K235)&gt;0,0,IF(COUNTIF($G235:$T235,"&gt;"&amp;K235)=0,"",SMALL($G235:$T235,COUNTIF($G235:$T235,"&lt;="&amp;K235)+1)-K235)))</f>
        <v/>
      </c>
      <c r="AI235" t="str">
        <f>IF(OR($B235="",NOT(ISNUMBER(L235))),"",IF(COUNTIF(M235:$T235,L235)&gt;0,0,IF(COUNTIF($G235:$T235,"&gt;"&amp;L235)=0,"",SMALL($G235:$T235,COUNTIF($G235:$T235,"&lt;="&amp;L235)+1)-L235)))</f>
        <v/>
      </c>
      <c r="AJ235">
        <f>IF(OR($B235="",NOT(ISNUMBER(M235))),"",IF(COUNTIF(N235:$T235,M235)&gt;0,0,IF(COUNTIF($G235:$T235,"&gt;"&amp;M235)=0,"",SMALL($G235:$T235,COUNTIF($G235:$T235,"&lt;="&amp;M235)+1)-M235)))</f>
        <v>4</v>
      </c>
      <c r="AK235" t="str">
        <f>IF(OR($B235="",NOT(ISNUMBER(N235))),"",IF(COUNTIF(O235:$T235,N235)&gt;0,0,IF(COUNTIF($G235:$T235,"&gt;"&amp;N235)=0,"",SMALL($G235:$T235,COUNTIF($G235:$T235,"&lt;="&amp;N235)+1)-N235)))</f>
        <v/>
      </c>
      <c r="AL235" t="str">
        <f>IF(OR($B235="",NOT(ISNUMBER(O235))),"",IF(COUNTIF(P235:$T235,O235)&gt;0,0,IF(COUNTIF($G235:$T235,"&gt;"&amp;O235)=0,"",SMALL($G235:$T235,COUNTIF($G235:$T235,"&lt;="&amp;O235)+1)-O235)))</f>
        <v/>
      </c>
      <c r="AM235" t="str">
        <f>IF(OR($B235="",NOT(ISNUMBER(P235))),"",IF(COUNTIF(Q235:$T235,P235)&gt;0,0,IF(COUNTIF($G235:$T235,"&gt;"&amp;P235)=0,"",SMALL($G235:$T235,COUNTIF($G235:$T235,"&lt;="&amp;P235)+1)-P235)))</f>
        <v/>
      </c>
      <c r="AN235" t="str">
        <f>IF(OR($B235="",NOT(ISNUMBER(Q235))),"",IF(COUNTIF(R235:$T235,Q235)&gt;0,0,IF(COUNTIF($G235:$T235,"&gt;"&amp;Q235)=0,"",SMALL($G235:$T235,COUNTIF($G235:$T235,"&lt;="&amp;Q235)+1)-Q235)))</f>
        <v/>
      </c>
      <c r="AO235" t="str">
        <f>IF(OR($B235="",NOT(ISNUMBER(R235))),"",IF(COUNTIF(S235:$T235,R235)&gt;0,0,IF(COUNTIF($G235:$T235,"&gt;"&amp;R235)=0,"",SMALL($G235:$T235,COUNTIF($G235:$T235,"&lt;="&amp;R235)+1)-R235)))</f>
        <v/>
      </c>
      <c r="AP235">
        <f t="shared" ca="1" si="54"/>
        <v>7</v>
      </c>
      <c r="AQ235" s="25" t="str">
        <f t="shared" si="55"/>
        <v/>
      </c>
      <c r="AR235" s="25" t="str">
        <f t="shared" si="56"/>
        <v/>
      </c>
      <c r="AS235" s="25" t="str">
        <f t="shared" si="57"/>
        <v/>
      </c>
      <c r="AT235" s="25" t="str">
        <f t="shared" si="58"/>
        <v/>
      </c>
      <c r="AU235" s="25" t="str">
        <f t="shared" si="59"/>
        <v/>
      </c>
      <c r="AV235" s="25" t="str">
        <f t="shared" si="60"/>
        <v/>
      </c>
      <c r="AW235" s="25">
        <f t="shared" si="61"/>
        <v>46300</v>
      </c>
      <c r="AX235" s="25" t="str">
        <f t="shared" si="62"/>
        <v/>
      </c>
      <c r="AY235" s="25" t="str">
        <f t="shared" si="63"/>
        <v/>
      </c>
      <c r="AZ235" s="25" t="str">
        <f t="shared" si="64"/>
        <v/>
      </c>
      <c r="BA235" s="25" t="str">
        <f t="shared" si="65"/>
        <v/>
      </c>
      <c r="BB235" s="25" t="str">
        <f t="shared" si="66"/>
        <v/>
      </c>
      <c r="BC235" s="25" t="str">
        <f t="shared" si="67"/>
        <v/>
      </c>
    </row>
    <row r="236" spans="1:55" x14ac:dyDescent="0.25">
      <c r="A236" s="151">
        <f t="shared" si="51"/>
        <v>234</v>
      </c>
      <c r="B236" s="151" t="s">
        <v>399</v>
      </c>
      <c r="C236" s="152" t="s">
        <v>227</v>
      </c>
      <c r="D236" s="151">
        <f t="shared" si="52"/>
        <v>1</v>
      </c>
      <c r="E236" s="151" t="s">
        <v>61</v>
      </c>
      <c r="F236" s="173">
        <v>46295</v>
      </c>
      <c r="G236" s="173"/>
      <c r="H236" s="173"/>
      <c r="I236" s="173"/>
      <c r="J236" s="173"/>
      <c r="K236" s="173"/>
      <c r="L236" s="173"/>
      <c r="M236" s="173">
        <v>46296</v>
      </c>
      <c r="N236" s="173">
        <v>46300</v>
      </c>
      <c r="O236" s="173"/>
      <c r="P236" s="173"/>
      <c r="Q236" s="173"/>
      <c r="R236" s="173"/>
      <c r="S236" s="173"/>
      <c r="T236" s="151"/>
      <c r="U236" s="151"/>
      <c r="V236" s="152"/>
      <c r="W236" s="175"/>
      <c r="X236" s="173"/>
      <c r="Y236" s="173"/>
      <c r="Z236" s="176" t="str">
        <f>IF(B236="","",IF(S236&lt;&gt;"","Sevk Edildi",IF(AND(X236&lt;&gt;"",Y236=""),"Reworkte",IF(T236&lt;&gt;"","Kapandı"&amp;IF(COUNT(G236:R236)=0,""," – "&amp;LOOKUP(2,1/(G236:R236=MAX(G236:R236)),{"Tasarım","Ply Cutter","Üretim","Kalite (Üretim sonrası)","Talaşlı","Kalite (Talaşlı sonrası)","Montaj","Kalite (Montaj sonrası)","Boya","Kalite (Boya sonrası)","Yarı Mamül","KM"})),IF(COUNT(G236:R236)=0,"Başlamadı",LOOKUP(2,1/(G236:R236=MAX(G236:R236)),{"Tasarımda","Ply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236" s="177">
        <f t="shared" ca="1" si="53"/>
        <v>12</v>
      </c>
      <c r="AB236" s="175"/>
      <c r="AD236" t="str">
        <f>IF(OR($B236="",NOT(ISNUMBER(G236))),"",IF(COUNTIF(H236:$T236,G236)&gt;0,0,IF(COUNTIF($G236:$T236,"&gt;"&amp;G236)=0,"",SMALL($G236:$T236,COUNTIF($G236:$T236,"&lt;="&amp;G236)+1)-G236)))</f>
        <v/>
      </c>
      <c r="AE236" t="str">
        <f>IF(OR($B236="",NOT(ISNUMBER(H236))),"",IF(COUNTIF(I236:$T236,H236)&gt;0,0,IF(COUNTIF($G236:$T236,"&gt;"&amp;H236)=0,"",SMALL($G236:$T236,COUNTIF($G236:$T236,"&lt;="&amp;H236)+1)-H236)))</f>
        <v/>
      </c>
      <c r="AF236" t="str">
        <f>IF(OR($B236="",NOT(ISNUMBER(I236))),"",IF(COUNTIF(J236:$T236,I236)&gt;0,0,IF(COUNTIF($G236:$T236,"&gt;"&amp;I236)=0,"",SMALL($G236:$T236,COUNTIF($G236:$T236,"&lt;="&amp;I236)+1)-I236)))</f>
        <v/>
      </c>
      <c r="AG236" t="str">
        <f>IF(OR($B236="",NOT(ISNUMBER(J236))),"",IF(COUNTIF(K236:$T236,J236)&gt;0,0,IF(COUNTIF($G236:$T236,"&gt;"&amp;J236)=0,"",SMALL($G236:$T236,COUNTIF($G236:$T236,"&lt;="&amp;J236)+1)-J236)))</f>
        <v/>
      </c>
      <c r="AH236" t="str">
        <f>IF(OR($B236="",NOT(ISNUMBER(K236))),"",IF(COUNTIF(L236:$T236,K236)&gt;0,0,IF(COUNTIF($G236:$T236,"&gt;"&amp;K236)=0,"",SMALL($G236:$T236,COUNTIF($G236:$T236,"&lt;="&amp;K236)+1)-K236)))</f>
        <v/>
      </c>
      <c r="AI236" t="str">
        <f>IF(OR($B236="",NOT(ISNUMBER(L236))),"",IF(COUNTIF(M236:$T236,L236)&gt;0,0,IF(COUNTIF($G236:$T236,"&gt;"&amp;L236)=0,"",SMALL($G236:$T236,COUNTIF($G236:$T236,"&lt;="&amp;L236)+1)-L236)))</f>
        <v/>
      </c>
      <c r="AJ236">
        <f>IF(OR($B236="",NOT(ISNUMBER(M236))),"",IF(COUNTIF(N236:$T236,M236)&gt;0,0,IF(COUNTIF($G236:$T236,"&gt;"&amp;M236)=0,"",SMALL($G236:$T236,COUNTIF($G236:$T236,"&lt;="&amp;M236)+1)-M236)))</f>
        <v>4</v>
      </c>
      <c r="AK236" t="str">
        <f>IF(OR($B236="",NOT(ISNUMBER(N236))),"",IF(COUNTIF(O236:$T236,N236)&gt;0,0,IF(COUNTIF($G236:$T236,"&gt;"&amp;N236)=0,"",SMALL($G236:$T236,COUNTIF($G236:$T236,"&lt;="&amp;N236)+1)-N236)))</f>
        <v/>
      </c>
      <c r="AL236" t="str">
        <f>IF(OR($B236="",NOT(ISNUMBER(O236))),"",IF(COUNTIF(P236:$T236,O236)&gt;0,0,IF(COUNTIF($G236:$T236,"&gt;"&amp;O236)=0,"",SMALL($G236:$T236,COUNTIF($G236:$T236,"&lt;="&amp;O236)+1)-O236)))</f>
        <v/>
      </c>
      <c r="AM236" t="str">
        <f>IF(OR($B236="",NOT(ISNUMBER(P236))),"",IF(COUNTIF(Q236:$T236,P236)&gt;0,0,IF(COUNTIF($G236:$T236,"&gt;"&amp;P236)=0,"",SMALL($G236:$T236,COUNTIF($G236:$T236,"&lt;="&amp;P236)+1)-P236)))</f>
        <v/>
      </c>
      <c r="AN236" t="str">
        <f>IF(OR($B236="",NOT(ISNUMBER(Q236))),"",IF(COUNTIF(R236:$T236,Q236)&gt;0,0,IF(COUNTIF($G236:$T236,"&gt;"&amp;Q236)=0,"",SMALL($G236:$T236,COUNTIF($G236:$T236,"&lt;="&amp;Q236)+1)-Q236)))</f>
        <v/>
      </c>
      <c r="AO236" t="str">
        <f>IF(OR($B236="",NOT(ISNUMBER(R236))),"",IF(COUNTIF(S236:$T236,R236)&gt;0,0,IF(COUNTIF($G236:$T236,"&gt;"&amp;R236)=0,"",SMALL($G236:$T236,COUNTIF($G236:$T236,"&lt;="&amp;R236)+1)-R236)))</f>
        <v/>
      </c>
      <c r="AP236">
        <f t="shared" ca="1" si="54"/>
        <v>7</v>
      </c>
      <c r="AQ236" s="25" t="str">
        <f t="shared" si="55"/>
        <v/>
      </c>
      <c r="AR236" s="25" t="str">
        <f t="shared" si="56"/>
        <v/>
      </c>
      <c r="AS236" s="25" t="str">
        <f t="shared" si="57"/>
        <v/>
      </c>
      <c r="AT236" s="25" t="str">
        <f t="shared" si="58"/>
        <v/>
      </c>
      <c r="AU236" s="25" t="str">
        <f t="shared" si="59"/>
        <v/>
      </c>
      <c r="AV236" s="25" t="str">
        <f t="shared" si="60"/>
        <v/>
      </c>
      <c r="AW236" s="25">
        <f t="shared" si="61"/>
        <v>46300</v>
      </c>
      <c r="AX236" s="25" t="str">
        <f t="shared" si="62"/>
        <v/>
      </c>
      <c r="AY236" s="25" t="str">
        <f t="shared" si="63"/>
        <v/>
      </c>
      <c r="AZ236" s="25" t="str">
        <f t="shared" si="64"/>
        <v/>
      </c>
      <c r="BA236" s="25" t="str">
        <f t="shared" si="65"/>
        <v/>
      </c>
      <c r="BB236" s="25" t="str">
        <f t="shared" si="66"/>
        <v/>
      </c>
      <c r="BC236" s="25" t="str">
        <f t="shared" si="67"/>
        <v/>
      </c>
    </row>
    <row r="237" spans="1:55" x14ac:dyDescent="0.25">
      <c r="A237" s="151">
        <f t="shared" si="51"/>
        <v>235</v>
      </c>
      <c r="B237" s="151" t="s">
        <v>400</v>
      </c>
      <c r="C237" s="152" t="s">
        <v>82</v>
      </c>
      <c r="D237" s="151">
        <f t="shared" si="52"/>
        <v>1</v>
      </c>
      <c r="E237" s="151" t="s">
        <v>61</v>
      </c>
      <c r="F237" s="173">
        <v>46296</v>
      </c>
      <c r="G237" s="173"/>
      <c r="H237" s="173"/>
      <c r="I237" s="173">
        <v>46296</v>
      </c>
      <c r="J237" s="173">
        <v>46297</v>
      </c>
      <c r="K237" s="173"/>
      <c r="L237" s="173"/>
      <c r="M237" s="173"/>
      <c r="N237" s="173"/>
      <c r="O237" s="173"/>
      <c r="P237" s="173"/>
      <c r="Q237" s="173"/>
      <c r="R237" s="173"/>
      <c r="S237" s="173"/>
      <c r="T237" s="174">
        <v>46297</v>
      </c>
      <c r="U237" s="151"/>
      <c r="V237" s="152"/>
      <c r="W237" s="175"/>
      <c r="X237" s="173"/>
      <c r="Y237" s="173"/>
      <c r="Z237" s="176" t="str">
        <f>IF(B237="","",IF(S237&lt;&gt;"","Sevk Edildi",IF(AND(X237&lt;&gt;"",Y237=""),"Reworkte",IF(T237&lt;&gt;"","Kapandı"&amp;IF(COUNT(G237:R237)=0,""," – "&amp;LOOKUP(2,1/(G237:R237=MAX(G237:R237)),{"Tasarım","Ply Cutter","Üretim","Kalite (Üretim sonrası)","Talaşlı","Kalite (Talaşlı sonrası)","Montaj","Kalite (Montaj sonrası)","Boya","Kalite (Boya sonrası)","Yarı Mamül","KM"})),IF(COUNT(G237:R237)=0,"Başlamadı",LOOKUP(2,1/(G237:R237=MAX(G237:R237)),{"Tasarımda","Ply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37" s="177">
        <f t="shared" ca="1" si="53"/>
        <v>1</v>
      </c>
      <c r="AB237" s="175"/>
      <c r="AD237" t="str">
        <f>IF(OR($B237="",NOT(ISNUMBER(G237))),"",IF(COUNTIF(H237:$T237,G237)&gt;0,0,IF(COUNTIF($G237:$T237,"&gt;"&amp;G237)=0,"",SMALL($G237:$T237,COUNTIF($G237:$T237,"&lt;="&amp;G237)+1)-G237)))</f>
        <v/>
      </c>
      <c r="AE237" t="str">
        <f>IF(OR($B237="",NOT(ISNUMBER(H237))),"",IF(COUNTIF(I237:$T237,H237)&gt;0,0,IF(COUNTIF($G237:$T237,"&gt;"&amp;H237)=0,"",SMALL($G237:$T237,COUNTIF($G237:$T237,"&lt;="&amp;H237)+1)-H237)))</f>
        <v/>
      </c>
      <c r="AF237">
        <f>IF(OR($B237="",NOT(ISNUMBER(I237))),"",IF(COUNTIF(J237:$T237,I237)&gt;0,0,IF(COUNTIF($G237:$T237,"&gt;"&amp;I237)=0,"",SMALL($G237:$T237,COUNTIF($G237:$T237,"&lt;="&amp;I237)+1)-I237)))</f>
        <v>1</v>
      </c>
      <c r="AG237">
        <f>IF(OR($B237="",NOT(ISNUMBER(J237))),"",IF(COUNTIF(K237:$T237,J237)&gt;0,0,IF(COUNTIF($G237:$T237,"&gt;"&amp;J237)=0,"",SMALL($G237:$T237,COUNTIF($G237:$T237,"&lt;="&amp;J237)+1)-J237)))</f>
        <v>0</v>
      </c>
      <c r="AH237" t="str">
        <f>IF(OR($B237="",NOT(ISNUMBER(K237))),"",IF(COUNTIF(L237:$T237,K237)&gt;0,0,IF(COUNTIF($G237:$T237,"&gt;"&amp;K237)=0,"",SMALL($G237:$T237,COUNTIF($G237:$T237,"&lt;="&amp;K237)+1)-K237)))</f>
        <v/>
      </c>
      <c r="AI237" t="str">
        <f>IF(OR($B237="",NOT(ISNUMBER(L237))),"",IF(COUNTIF(M237:$T237,L237)&gt;0,0,IF(COUNTIF($G237:$T237,"&gt;"&amp;L237)=0,"",SMALL($G237:$T237,COUNTIF($G237:$T237,"&lt;="&amp;L237)+1)-L237)))</f>
        <v/>
      </c>
      <c r="AJ237" t="str">
        <f>IF(OR($B237="",NOT(ISNUMBER(M237))),"",IF(COUNTIF(N237:$T237,M237)&gt;0,0,IF(COUNTIF($G237:$T237,"&gt;"&amp;M237)=0,"",SMALL($G237:$T237,COUNTIF($G237:$T237,"&lt;="&amp;M237)+1)-M237)))</f>
        <v/>
      </c>
      <c r="AK237" t="str">
        <f>IF(OR($B237="",NOT(ISNUMBER(N237))),"",IF(COUNTIF(O237:$T237,N237)&gt;0,0,IF(COUNTIF($G237:$T237,"&gt;"&amp;N237)=0,"",SMALL($G237:$T237,COUNTIF($G237:$T237,"&lt;="&amp;N237)+1)-N237)))</f>
        <v/>
      </c>
      <c r="AL237" t="str">
        <f>IF(OR($B237="",NOT(ISNUMBER(O237))),"",IF(COUNTIF(P237:$T237,O237)&gt;0,0,IF(COUNTIF($G237:$T237,"&gt;"&amp;O237)=0,"",SMALL($G237:$T237,COUNTIF($G237:$T237,"&lt;="&amp;O237)+1)-O237)))</f>
        <v/>
      </c>
      <c r="AM237" t="str">
        <f>IF(OR($B237="",NOT(ISNUMBER(P237))),"",IF(COUNTIF(Q237:$T237,P237)&gt;0,0,IF(COUNTIF($G237:$T237,"&gt;"&amp;P237)=0,"",SMALL($G237:$T237,COUNTIF($G237:$T237,"&lt;="&amp;P237)+1)-P237)))</f>
        <v/>
      </c>
      <c r="AN237" t="str">
        <f>IF(OR($B237="",NOT(ISNUMBER(Q237))),"",IF(COUNTIF(R237:$T237,Q237)&gt;0,0,IF(COUNTIF($G237:$T237,"&gt;"&amp;Q237)=0,"",SMALL($G237:$T237,COUNTIF($G237:$T237,"&lt;="&amp;Q237)+1)-Q237)))</f>
        <v/>
      </c>
      <c r="AO237" t="str">
        <f>IF(OR($B237="",NOT(ISNUMBER(R237))),"",IF(COUNTIF(S237:$T237,R237)&gt;0,0,IF(COUNTIF($G237:$T237,"&gt;"&amp;R237)=0,"",SMALL($G237:$T237,COUNTIF($G237:$T237,"&lt;="&amp;R237)+1)-R237)))</f>
        <v/>
      </c>
      <c r="AP237">
        <f t="shared" ca="1" si="54"/>
        <v>0</v>
      </c>
      <c r="AQ237" s="25" t="str">
        <f t="shared" si="55"/>
        <v/>
      </c>
      <c r="AR237" s="25" t="str">
        <f t="shared" si="56"/>
        <v/>
      </c>
      <c r="AS237" s="25">
        <f t="shared" si="57"/>
        <v>46297</v>
      </c>
      <c r="AT237" s="25">
        <f t="shared" si="58"/>
        <v>46297</v>
      </c>
      <c r="AU237" s="25" t="str">
        <f t="shared" si="59"/>
        <v/>
      </c>
      <c r="AV237" s="25" t="str">
        <f t="shared" si="60"/>
        <v/>
      </c>
      <c r="AW237" s="25" t="str">
        <f t="shared" si="61"/>
        <v/>
      </c>
      <c r="AX237" s="25" t="str">
        <f t="shared" si="62"/>
        <v/>
      </c>
      <c r="AY237" s="25" t="str">
        <f t="shared" si="63"/>
        <v/>
      </c>
      <c r="AZ237" s="25" t="str">
        <f t="shared" si="64"/>
        <v/>
      </c>
      <c r="BA237" s="25" t="str">
        <f t="shared" si="65"/>
        <v/>
      </c>
      <c r="BB237" s="25" t="str">
        <f t="shared" si="66"/>
        <v/>
      </c>
      <c r="BC237" s="25">
        <f t="shared" si="67"/>
        <v>46297</v>
      </c>
    </row>
    <row r="238" spans="1:55" x14ac:dyDescent="0.25">
      <c r="A238" s="151">
        <f t="shared" si="51"/>
        <v>236</v>
      </c>
      <c r="B238" s="151" t="s">
        <v>401</v>
      </c>
      <c r="C238" s="152" t="s">
        <v>355</v>
      </c>
      <c r="D238" s="151">
        <f t="shared" si="52"/>
        <v>1</v>
      </c>
      <c r="E238" s="151" t="s">
        <v>61</v>
      </c>
      <c r="F238" s="173">
        <v>46296</v>
      </c>
      <c r="G238" s="173"/>
      <c r="H238" s="173"/>
      <c r="I238" s="173">
        <v>46296</v>
      </c>
      <c r="J238" s="173">
        <v>46297</v>
      </c>
      <c r="K238" s="173"/>
      <c r="L238" s="173"/>
      <c r="M238" s="173"/>
      <c r="N238" s="173"/>
      <c r="O238" s="173"/>
      <c r="P238" s="173"/>
      <c r="Q238" s="173">
        <v>46298</v>
      </c>
      <c r="R238" s="173"/>
      <c r="S238" s="173"/>
      <c r="T238" s="174">
        <v>46298</v>
      </c>
      <c r="U238" s="151"/>
      <c r="V238" s="152"/>
      <c r="W238" s="175"/>
      <c r="X238" s="173"/>
      <c r="Y238" s="173"/>
      <c r="Z238" s="176" t="str">
        <f>IF(B238="","",IF(S238&lt;&gt;"","Sevk Edildi",IF(AND(X238&lt;&gt;"",Y238=""),"Reworkte",IF(T238&lt;&gt;"","Kapandı"&amp;IF(COUNT(G238:R238)=0,""," – "&amp;LOOKUP(2,1/(G238:R238=MAX(G238:R238)),{"Tasarım","Ply Cutter","Üretim","Kalite (Üretim sonrası)","Talaşlı","Kalite (Talaşlı sonrası)","Montaj","Kalite (Montaj sonrası)","Boya","Kalite (Boya sonrası)","Yarı Mamül","KM"})),IF(COUNT(G238:R238)=0,"Başlamadı",LOOKUP(2,1/(G238:R238=MAX(G238:R238)),{"Tasarımda","Ply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38" s="177">
        <f t="shared" ca="1" si="53"/>
        <v>2</v>
      </c>
      <c r="AB238" s="175"/>
      <c r="AD238" t="str">
        <f>IF(OR($B238="",NOT(ISNUMBER(G238))),"",IF(COUNTIF(H238:$T238,G238)&gt;0,0,IF(COUNTIF($G238:$T238,"&gt;"&amp;G238)=0,"",SMALL($G238:$T238,COUNTIF($G238:$T238,"&lt;="&amp;G238)+1)-G238)))</f>
        <v/>
      </c>
      <c r="AE238" t="str">
        <f>IF(OR($B238="",NOT(ISNUMBER(H238))),"",IF(COUNTIF(I238:$T238,H238)&gt;0,0,IF(COUNTIF($G238:$T238,"&gt;"&amp;H238)=0,"",SMALL($G238:$T238,COUNTIF($G238:$T238,"&lt;="&amp;H238)+1)-H238)))</f>
        <v/>
      </c>
      <c r="AF238">
        <f>IF(OR($B238="",NOT(ISNUMBER(I238))),"",IF(COUNTIF(J238:$T238,I238)&gt;0,0,IF(COUNTIF($G238:$T238,"&gt;"&amp;I238)=0,"",SMALL($G238:$T238,COUNTIF($G238:$T238,"&lt;="&amp;I238)+1)-I238)))</f>
        <v>1</v>
      </c>
      <c r="AG238">
        <f>IF(OR($B238="",NOT(ISNUMBER(J238))),"",IF(COUNTIF(K238:$T238,J238)&gt;0,0,IF(COUNTIF($G238:$T238,"&gt;"&amp;J238)=0,"",SMALL($G238:$T238,COUNTIF($G238:$T238,"&lt;="&amp;J238)+1)-J238)))</f>
        <v>1</v>
      </c>
      <c r="AH238" t="str">
        <f>IF(OR($B238="",NOT(ISNUMBER(K238))),"",IF(COUNTIF(L238:$T238,K238)&gt;0,0,IF(COUNTIF($G238:$T238,"&gt;"&amp;K238)=0,"",SMALL($G238:$T238,COUNTIF($G238:$T238,"&lt;="&amp;K238)+1)-K238)))</f>
        <v/>
      </c>
      <c r="AI238" t="str">
        <f>IF(OR($B238="",NOT(ISNUMBER(L238))),"",IF(COUNTIF(M238:$T238,L238)&gt;0,0,IF(COUNTIF($G238:$T238,"&gt;"&amp;L238)=0,"",SMALL($G238:$T238,COUNTIF($G238:$T238,"&lt;="&amp;L238)+1)-L238)))</f>
        <v/>
      </c>
      <c r="AJ238" t="str">
        <f>IF(OR($B238="",NOT(ISNUMBER(M238))),"",IF(COUNTIF(N238:$T238,M238)&gt;0,0,IF(COUNTIF($G238:$T238,"&gt;"&amp;M238)=0,"",SMALL($G238:$T238,COUNTIF($G238:$T238,"&lt;="&amp;M238)+1)-M238)))</f>
        <v/>
      </c>
      <c r="AK238" t="str">
        <f>IF(OR($B238="",NOT(ISNUMBER(N238))),"",IF(COUNTIF(O238:$T238,N238)&gt;0,0,IF(COUNTIF($G238:$T238,"&gt;"&amp;N238)=0,"",SMALL($G238:$T238,COUNTIF($G238:$T238,"&lt;="&amp;N238)+1)-N238)))</f>
        <v/>
      </c>
      <c r="AL238" t="str">
        <f>IF(OR($B238="",NOT(ISNUMBER(O238))),"",IF(COUNTIF(P238:$T238,O238)&gt;0,0,IF(COUNTIF($G238:$T238,"&gt;"&amp;O238)=0,"",SMALL($G238:$T238,COUNTIF($G238:$T238,"&lt;="&amp;O238)+1)-O238)))</f>
        <v/>
      </c>
      <c r="AM238" t="str">
        <f>IF(OR($B238="",NOT(ISNUMBER(P238))),"",IF(COUNTIF(Q238:$T238,P238)&gt;0,0,IF(COUNTIF($G238:$T238,"&gt;"&amp;P238)=0,"",SMALL($G238:$T238,COUNTIF($G238:$T238,"&lt;="&amp;P238)+1)-P238)))</f>
        <v/>
      </c>
      <c r="AN238">
        <f>IF(OR($B238="",NOT(ISNUMBER(Q238))),"",IF(COUNTIF(R238:$T238,Q238)&gt;0,0,IF(COUNTIF($G238:$T238,"&gt;"&amp;Q238)=0,"",SMALL($G238:$T238,COUNTIF($G238:$T238,"&lt;="&amp;Q238)+1)-Q238)))</f>
        <v>0</v>
      </c>
      <c r="AO238" t="str">
        <f>IF(OR($B238="",NOT(ISNUMBER(R238))),"",IF(COUNTIF(S238:$T238,R238)&gt;0,0,IF(COUNTIF($G238:$T238,"&gt;"&amp;R238)=0,"",SMALL($G238:$T238,COUNTIF($G238:$T238,"&lt;="&amp;R238)+1)-R238)))</f>
        <v/>
      </c>
      <c r="AP238">
        <f t="shared" ca="1" si="54"/>
        <v>0</v>
      </c>
      <c r="AQ238" s="25" t="str">
        <f t="shared" si="55"/>
        <v/>
      </c>
      <c r="AR238" s="25" t="str">
        <f t="shared" si="56"/>
        <v/>
      </c>
      <c r="AS238" s="25">
        <f t="shared" si="57"/>
        <v>46297</v>
      </c>
      <c r="AT238" s="25">
        <f t="shared" si="58"/>
        <v>46298</v>
      </c>
      <c r="AU238" s="25" t="str">
        <f t="shared" si="59"/>
        <v/>
      </c>
      <c r="AV238" s="25" t="str">
        <f t="shared" si="60"/>
        <v/>
      </c>
      <c r="AW238" s="25" t="str">
        <f t="shared" si="61"/>
        <v/>
      </c>
      <c r="AX238" s="25" t="str">
        <f t="shared" si="62"/>
        <v/>
      </c>
      <c r="AY238" s="25" t="str">
        <f t="shared" si="63"/>
        <v/>
      </c>
      <c r="AZ238" s="25" t="str">
        <f t="shared" si="64"/>
        <v/>
      </c>
      <c r="BA238" s="25">
        <f t="shared" si="65"/>
        <v>46298</v>
      </c>
      <c r="BB238" s="25" t="str">
        <f t="shared" si="66"/>
        <v/>
      </c>
      <c r="BC238" s="25">
        <f t="shared" si="67"/>
        <v>46298</v>
      </c>
    </row>
    <row r="239" spans="1:55" x14ac:dyDescent="0.25">
      <c r="A239" s="151">
        <f t="shared" si="51"/>
        <v>237</v>
      </c>
      <c r="B239" s="151" t="s">
        <v>402</v>
      </c>
      <c r="C239" s="152" t="s">
        <v>355</v>
      </c>
      <c r="D239" s="151">
        <f t="shared" si="52"/>
        <v>1</v>
      </c>
      <c r="E239" s="151" t="s">
        <v>61</v>
      </c>
      <c r="F239" s="173">
        <v>46296</v>
      </c>
      <c r="G239" s="173"/>
      <c r="H239" s="173"/>
      <c r="I239" s="173">
        <v>46296</v>
      </c>
      <c r="J239" s="173">
        <v>46297</v>
      </c>
      <c r="K239" s="173"/>
      <c r="L239" s="173"/>
      <c r="M239" s="173"/>
      <c r="N239" s="173"/>
      <c r="O239" s="173"/>
      <c r="P239" s="173"/>
      <c r="Q239" s="173">
        <v>46298</v>
      </c>
      <c r="R239" s="173"/>
      <c r="S239" s="173"/>
      <c r="T239" s="174">
        <v>46298</v>
      </c>
      <c r="U239" s="151"/>
      <c r="V239" s="152"/>
      <c r="W239" s="175"/>
      <c r="X239" s="173"/>
      <c r="Y239" s="173"/>
      <c r="Z239" s="176" t="str">
        <f>IF(B239="","",IF(S239&lt;&gt;"","Sevk Edildi",IF(AND(X239&lt;&gt;"",Y239=""),"Reworkte",IF(T239&lt;&gt;"","Kapandı"&amp;IF(COUNT(G239:R239)=0,""," – "&amp;LOOKUP(2,1/(G239:R239=MAX(G239:R239)),{"Tasarım","Ply Cutter","Üretim","Kalite (Üretim sonrası)","Talaşlı","Kalite (Talaşlı sonrası)","Montaj","Kalite (Montaj sonrası)","Boya","Kalite (Boya sonrası)","Yarı Mamül","KM"})),IF(COUNT(G239:R239)=0,"Başlamadı",LOOKUP(2,1/(G239:R239=MAX(G239:R239)),{"Tasarımda","Ply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39" s="177">
        <f t="shared" ca="1" si="53"/>
        <v>2</v>
      </c>
      <c r="AB239" s="175"/>
      <c r="AD239" t="str">
        <f>IF(OR($B239="",NOT(ISNUMBER(G239))),"",IF(COUNTIF(H239:$T239,G239)&gt;0,0,IF(COUNTIF($G239:$T239,"&gt;"&amp;G239)=0,"",SMALL($G239:$T239,COUNTIF($G239:$T239,"&lt;="&amp;G239)+1)-G239)))</f>
        <v/>
      </c>
      <c r="AE239" t="str">
        <f>IF(OR($B239="",NOT(ISNUMBER(H239))),"",IF(COUNTIF(I239:$T239,H239)&gt;0,0,IF(COUNTIF($G239:$T239,"&gt;"&amp;H239)=0,"",SMALL($G239:$T239,COUNTIF($G239:$T239,"&lt;="&amp;H239)+1)-H239)))</f>
        <v/>
      </c>
      <c r="AF239">
        <f>IF(OR($B239="",NOT(ISNUMBER(I239))),"",IF(COUNTIF(J239:$T239,I239)&gt;0,0,IF(COUNTIF($G239:$T239,"&gt;"&amp;I239)=0,"",SMALL($G239:$T239,COUNTIF($G239:$T239,"&lt;="&amp;I239)+1)-I239)))</f>
        <v>1</v>
      </c>
      <c r="AG239">
        <f>IF(OR($B239="",NOT(ISNUMBER(J239))),"",IF(COUNTIF(K239:$T239,J239)&gt;0,0,IF(COUNTIF($G239:$T239,"&gt;"&amp;J239)=0,"",SMALL($G239:$T239,COUNTIF($G239:$T239,"&lt;="&amp;J239)+1)-J239)))</f>
        <v>1</v>
      </c>
      <c r="AH239" t="str">
        <f>IF(OR($B239="",NOT(ISNUMBER(K239))),"",IF(COUNTIF(L239:$T239,K239)&gt;0,0,IF(COUNTIF($G239:$T239,"&gt;"&amp;K239)=0,"",SMALL($G239:$T239,COUNTIF($G239:$T239,"&lt;="&amp;K239)+1)-K239)))</f>
        <v/>
      </c>
      <c r="AI239" t="str">
        <f>IF(OR($B239="",NOT(ISNUMBER(L239))),"",IF(COUNTIF(M239:$T239,L239)&gt;0,0,IF(COUNTIF($G239:$T239,"&gt;"&amp;L239)=0,"",SMALL($G239:$T239,COUNTIF($G239:$T239,"&lt;="&amp;L239)+1)-L239)))</f>
        <v/>
      </c>
      <c r="AJ239" t="str">
        <f>IF(OR($B239="",NOT(ISNUMBER(M239))),"",IF(COUNTIF(N239:$T239,M239)&gt;0,0,IF(COUNTIF($G239:$T239,"&gt;"&amp;M239)=0,"",SMALL($G239:$T239,COUNTIF($G239:$T239,"&lt;="&amp;M239)+1)-M239)))</f>
        <v/>
      </c>
      <c r="AK239" t="str">
        <f>IF(OR($B239="",NOT(ISNUMBER(N239))),"",IF(COUNTIF(O239:$T239,N239)&gt;0,0,IF(COUNTIF($G239:$T239,"&gt;"&amp;N239)=0,"",SMALL($G239:$T239,COUNTIF($G239:$T239,"&lt;="&amp;N239)+1)-N239)))</f>
        <v/>
      </c>
      <c r="AL239" t="str">
        <f>IF(OR($B239="",NOT(ISNUMBER(O239))),"",IF(COUNTIF(P239:$T239,O239)&gt;0,0,IF(COUNTIF($G239:$T239,"&gt;"&amp;O239)=0,"",SMALL($G239:$T239,COUNTIF($G239:$T239,"&lt;="&amp;O239)+1)-O239)))</f>
        <v/>
      </c>
      <c r="AM239" t="str">
        <f>IF(OR($B239="",NOT(ISNUMBER(P239))),"",IF(COUNTIF(Q239:$T239,P239)&gt;0,0,IF(COUNTIF($G239:$T239,"&gt;"&amp;P239)=0,"",SMALL($G239:$T239,COUNTIF($G239:$T239,"&lt;="&amp;P239)+1)-P239)))</f>
        <v/>
      </c>
      <c r="AN239">
        <f>IF(OR($B239="",NOT(ISNUMBER(Q239))),"",IF(COUNTIF(R239:$T239,Q239)&gt;0,0,IF(COUNTIF($G239:$T239,"&gt;"&amp;Q239)=0,"",SMALL($G239:$T239,COUNTIF($G239:$T239,"&lt;="&amp;Q239)+1)-Q239)))</f>
        <v>0</v>
      </c>
      <c r="AO239" t="str">
        <f>IF(OR($B239="",NOT(ISNUMBER(R239))),"",IF(COUNTIF(S239:$T239,R239)&gt;0,0,IF(COUNTIF($G239:$T239,"&gt;"&amp;R239)=0,"",SMALL($G239:$T239,COUNTIF($G239:$T239,"&lt;="&amp;R239)+1)-R239)))</f>
        <v/>
      </c>
      <c r="AP239">
        <f t="shared" ca="1" si="54"/>
        <v>0</v>
      </c>
      <c r="AQ239" s="25" t="str">
        <f t="shared" si="55"/>
        <v/>
      </c>
      <c r="AR239" s="25" t="str">
        <f t="shared" si="56"/>
        <v/>
      </c>
      <c r="AS239" s="25">
        <f t="shared" si="57"/>
        <v>46297</v>
      </c>
      <c r="AT239" s="25">
        <f t="shared" si="58"/>
        <v>46298</v>
      </c>
      <c r="AU239" s="25" t="str">
        <f t="shared" si="59"/>
        <v/>
      </c>
      <c r="AV239" s="25" t="str">
        <f t="shared" si="60"/>
        <v/>
      </c>
      <c r="AW239" s="25" t="str">
        <f t="shared" si="61"/>
        <v/>
      </c>
      <c r="AX239" s="25" t="str">
        <f t="shared" si="62"/>
        <v/>
      </c>
      <c r="AY239" s="25" t="str">
        <f t="shared" si="63"/>
        <v/>
      </c>
      <c r="AZ239" s="25" t="str">
        <f t="shared" si="64"/>
        <v/>
      </c>
      <c r="BA239" s="25">
        <f t="shared" si="65"/>
        <v>46298</v>
      </c>
      <c r="BB239" s="25" t="str">
        <f t="shared" si="66"/>
        <v/>
      </c>
      <c r="BC239" s="25">
        <f t="shared" si="67"/>
        <v>46298</v>
      </c>
    </row>
    <row r="240" spans="1:55" x14ac:dyDescent="0.25">
      <c r="A240" s="151">
        <f t="shared" si="51"/>
        <v>238</v>
      </c>
      <c r="B240" s="151" t="s">
        <v>403</v>
      </c>
      <c r="C240" s="152" t="s">
        <v>72</v>
      </c>
      <c r="D240" s="151">
        <f t="shared" si="52"/>
        <v>1</v>
      </c>
      <c r="E240" s="151" t="s">
        <v>61</v>
      </c>
      <c r="F240" s="173">
        <v>46296</v>
      </c>
      <c r="G240" s="173"/>
      <c r="H240" s="173"/>
      <c r="I240" s="173">
        <v>46296</v>
      </c>
      <c r="J240" s="173">
        <v>46297</v>
      </c>
      <c r="K240" s="173"/>
      <c r="L240" s="173"/>
      <c r="M240" s="173"/>
      <c r="N240" s="173"/>
      <c r="O240" s="173"/>
      <c r="P240" s="173"/>
      <c r="Q240" s="173"/>
      <c r="R240" s="173"/>
      <c r="S240" s="173"/>
      <c r="T240" s="174">
        <v>46297</v>
      </c>
      <c r="U240" s="151"/>
      <c r="V240" s="152"/>
      <c r="W240" s="175"/>
      <c r="X240" s="173"/>
      <c r="Y240" s="173"/>
      <c r="Z240" s="176" t="str">
        <f>IF(B240="","",IF(S240&lt;&gt;"","Sevk Edildi",IF(AND(X240&lt;&gt;"",Y240=""),"Reworkte",IF(T240&lt;&gt;"","Kapandı"&amp;IF(COUNT(G240:R240)=0,""," – "&amp;LOOKUP(2,1/(G240:R240=MAX(G240:R240)),{"Tasarım","Ply Cutter","Üretim","Kalite (Üretim sonrası)","Talaşlı","Kalite (Talaşlı sonrası)","Montaj","Kalite (Montaj sonrası)","Boya","Kalite (Boya sonrası)","Yarı Mamül","KM"})),IF(COUNT(G240:R240)=0,"Başlamadı",LOOKUP(2,1/(G240:R240=MAX(G240:R240)),{"Tasarımda","Ply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40" s="177">
        <f t="shared" ca="1" si="53"/>
        <v>1</v>
      </c>
      <c r="AB240" s="175"/>
      <c r="AD240" t="str">
        <f>IF(OR($B240="",NOT(ISNUMBER(G240))),"",IF(COUNTIF(H240:$T240,G240)&gt;0,0,IF(COUNTIF($G240:$T240,"&gt;"&amp;G240)=0,"",SMALL($G240:$T240,COUNTIF($G240:$T240,"&lt;="&amp;G240)+1)-G240)))</f>
        <v/>
      </c>
      <c r="AE240" t="str">
        <f>IF(OR($B240="",NOT(ISNUMBER(H240))),"",IF(COUNTIF(I240:$T240,H240)&gt;0,0,IF(COUNTIF($G240:$T240,"&gt;"&amp;H240)=0,"",SMALL($G240:$T240,COUNTIF($G240:$T240,"&lt;="&amp;H240)+1)-H240)))</f>
        <v/>
      </c>
      <c r="AF240">
        <f>IF(OR($B240="",NOT(ISNUMBER(I240))),"",IF(COUNTIF(J240:$T240,I240)&gt;0,0,IF(COUNTIF($G240:$T240,"&gt;"&amp;I240)=0,"",SMALL($G240:$T240,COUNTIF($G240:$T240,"&lt;="&amp;I240)+1)-I240)))</f>
        <v>1</v>
      </c>
      <c r="AG240">
        <f>IF(OR($B240="",NOT(ISNUMBER(J240))),"",IF(COUNTIF(K240:$T240,J240)&gt;0,0,IF(COUNTIF($G240:$T240,"&gt;"&amp;J240)=0,"",SMALL($G240:$T240,COUNTIF($G240:$T240,"&lt;="&amp;J240)+1)-J240)))</f>
        <v>0</v>
      </c>
      <c r="AH240" t="str">
        <f>IF(OR($B240="",NOT(ISNUMBER(K240))),"",IF(COUNTIF(L240:$T240,K240)&gt;0,0,IF(COUNTIF($G240:$T240,"&gt;"&amp;K240)=0,"",SMALL($G240:$T240,COUNTIF($G240:$T240,"&lt;="&amp;K240)+1)-K240)))</f>
        <v/>
      </c>
      <c r="AI240" t="str">
        <f>IF(OR($B240="",NOT(ISNUMBER(L240))),"",IF(COUNTIF(M240:$T240,L240)&gt;0,0,IF(COUNTIF($G240:$T240,"&gt;"&amp;L240)=0,"",SMALL($G240:$T240,COUNTIF($G240:$T240,"&lt;="&amp;L240)+1)-L240)))</f>
        <v/>
      </c>
      <c r="AJ240" t="str">
        <f>IF(OR($B240="",NOT(ISNUMBER(M240))),"",IF(COUNTIF(N240:$T240,M240)&gt;0,0,IF(COUNTIF($G240:$T240,"&gt;"&amp;M240)=0,"",SMALL($G240:$T240,COUNTIF($G240:$T240,"&lt;="&amp;M240)+1)-M240)))</f>
        <v/>
      </c>
      <c r="AK240" t="str">
        <f>IF(OR($B240="",NOT(ISNUMBER(N240))),"",IF(COUNTIF(O240:$T240,N240)&gt;0,0,IF(COUNTIF($G240:$T240,"&gt;"&amp;N240)=0,"",SMALL($G240:$T240,COUNTIF($G240:$T240,"&lt;="&amp;N240)+1)-N240)))</f>
        <v/>
      </c>
      <c r="AL240" t="str">
        <f>IF(OR($B240="",NOT(ISNUMBER(O240))),"",IF(COUNTIF(P240:$T240,O240)&gt;0,0,IF(COUNTIF($G240:$T240,"&gt;"&amp;O240)=0,"",SMALL($G240:$T240,COUNTIF($G240:$T240,"&lt;="&amp;O240)+1)-O240)))</f>
        <v/>
      </c>
      <c r="AM240" t="str">
        <f>IF(OR($B240="",NOT(ISNUMBER(P240))),"",IF(COUNTIF(Q240:$T240,P240)&gt;0,0,IF(COUNTIF($G240:$T240,"&gt;"&amp;P240)=0,"",SMALL($G240:$T240,COUNTIF($G240:$T240,"&lt;="&amp;P240)+1)-P240)))</f>
        <v/>
      </c>
      <c r="AN240" t="str">
        <f>IF(OR($B240="",NOT(ISNUMBER(Q240))),"",IF(COUNTIF(R240:$T240,Q240)&gt;0,0,IF(COUNTIF($G240:$T240,"&gt;"&amp;Q240)=0,"",SMALL($G240:$T240,COUNTIF($G240:$T240,"&lt;="&amp;Q240)+1)-Q240)))</f>
        <v/>
      </c>
      <c r="AO240" t="str">
        <f>IF(OR($B240="",NOT(ISNUMBER(R240))),"",IF(COUNTIF(S240:$T240,R240)&gt;0,0,IF(COUNTIF($G240:$T240,"&gt;"&amp;R240)=0,"",SMALL($G240:$T240,COUNTIF($G240:$T240,"&lt;="&amp;R240)+1)-R240)))</f>
        <v/>
      </c>
      <c r="AP240">
        <f t="shared" ca="1" si="54"/>
        <v>0</v>
      </c>
      <c r="AQ240" s="25" t="str">
        <f t="shared" si="55"/>
        <v/>
      </c>
      <c r="AR240" s="25" t="str">
        <f t="shared" si="56"/>
        <v/>
      </c>
      <c r="AS240" s="25">
        <f t="shared" si="57"/>
        <v>46297</v>
      </c>
      <c r="AT240" s="25">
        <f t="shared" si="58"/>
        <v>46297</v>
      </c>
      <c r="AU240" s="25" t="str">
        <f t="shared" si="59"/>
        <v/>
      </c>
      <c r="AV240" s="25" t="str">
        <f t="shared" si="60"/>
        <v/>
      </c>
      <c r="AW240" s="25" t="str">
        <f t="shared" si="61"/>
        <v/>
      </c>
      <c r="AX240" s="25" t="str">
        <f t="shared" si="62"/>
        <v/>
      </c>
      <c r="AY240" s="25" t="str">
        <f t="shared" si="63"/>
        <v/>
      </c>
      <c r="AZ240" s="25" t="str">
        <f t="shared" si="64"/>
        <v/>
      </c>
      <c r="BA240" s="25" t="str">
        <f t="shared" si="65"/>
        <v/>
      </c>
      <c r="BB240" s="25" t="str">
        <f t="shared" si="66"/>
        <v/>
      </c>
      <c r="BC240" s="25">
        <f t="shared" si="67"/>
        <v>46297</v>
      </c>
    </row>
    <row r="241" spans="1:55" x14ac:dyDescent="0.25">
      <c r="A241" s="151">
        <f t="shared" si="51"/>
        <v>239</v>
      </c>
      <c r="B241" s="151" t="s">
        <v>404</v>
      </c>
      <c r="C241" s="152" t="s">
        <v>180</v>
      </c>
      <c r="D241" s="151">
        <f t="shared" si="52"/>
        <v>1</v>
      </c>
      <c r="E241" s="151" t="s">
        <v>61</v>
      </c>
      <c r="F241" s="173">
        <v>46296</v>
      </c>
      <c r="G241" s="173"/>
      <c r="H241" s="173"/>
      <c r="I241" s="173">
        <v>46296</v>
      </c>
      <c r="J241" s="173">
        <v>46297</v>
      </c>
      <c r="K241" s="173"/>
      <c r="L241" s="173"/>
      <c r="M241" s="173"/>
      <c r="N241" s="173"/>
      <c r="O241" s="173"/>
      <c r="P241" s="173"/>
      <c r="Q241" s="173"/>
      <c r="R241" s="173"/>
      <c r="S241" s="173"/>
      <c r="T241" s="174">
        <v>46297</v>
      </c>
      <c r="U241" s="151"/>
      <c r="V241" s="152"/>
      <c r="W241" s="175"/>
      <c r="X241" s="173"/>
      <c r="Y241" s="173"/>
      <c r="Z241" s="176" t="str">
        <f>IF(B241="","",IF(S241&lt;&gt;"","Sevk Edildi",IF(AND(X241&lt;&gt;"",Y241=""),"Reworkte",IF(T241&lt;&gt;"","Kapandı"&amp;IF(COUNT(G241:R241)=0,""," – "&amp;LOOKUP(2,1/(G241:R241=MAX(G241:R241)),{"Tasarım","Ply Cutter","Üretim","Kalite (Üretim sonrası)","Talaşlı","Kalite (Talaşlı sonrası)","Montaj","Kalite (Montaj sonrası)","Boya","Kalite (Boya sonrası)","Yarı Mamül","KM"})),IF(COUNT(G241:R241)=0,"Başlamadı",LOOKUP(2,1/(G241:R241=MAX(G241:R241)),{"Tasarımda","Ply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41" s="177">
        <f t="shared" ca="1" si="53"/>
        <v>1</v>
      </c>
      <c r="AB241" s="175"/>
      <c r="AD241" t="str">
        <f>IF(OR($B241="",NOT(ISNUMBER(G241))),"",IF(COUNTIF(H241:$T241,G241)&gt;0,0,IF(COUNTIF($G241:$T241,"&gt;"&amp;G241)=0,"",SMALL($G241:$T241,COUNTIF($G241:$T241,"&lt;="&amp;G241)+1)-G241)))</f>
        <v/>
      </c>
      <c r="AE241" t="str">
        <f>IF(OR($B241="",NOT(ISNUMBER(H241))),"",IF(COUNTIF(I241:$T241,H241)&gt;0,0,IF(COUNTIF($G241:$T241,"&gt;"&amp;H241)=0,"",SMALL($G241:$T241,COUNTIF($G241:$T241,"&lt;="&amp;H241)+1)-H241)))</f>
        <v/>
      </c>
      <c r="AF241">
        <f>IF(OR($B241="",NOT(ISNUMBER(I241))),"",IF(COUNTIF(J241:$T241,I241)&gt;0,0,IF(COUNTIF($G241:$T241,"&gt;"&amp;I241)=0,"",SMALL($G241:$T241,COUNTIF($G241:$T241,"&lt;="&amp;I241)+1)-I241)))</f>
        <v>1</v>
      </c>
      <c r="AG241">
        <f>IF(OR($B241="",NOT(ISNUMBER(J241))),"",IF(COUNTIF(K241:$T241,J241)&gt;0,0,IF(COUNTIF($G241:$T241,"&gt;"&amp;J241)=0,"",SMALL($G241:$T241,COUNTIF($G241:$T241,"&lt;="&amp;J241)+1)-J241)))</f>
        <v>0</v>
      </c>
      <c r="AH241" t="str">
        <f>IF(OR($B241="",NOT(ISNUMBER(K241))),"",IF(COUNTIF(L241:$T241,K241)&gt;0,0,IF(COUNTIF($G241:$T241,"&gt;"&amp;K241)=0,"",SMALL($G241:$T241,COUNTIF($G241:$T241,"&lt;="&amp;K241)+1)-K241)))</f>
        <v/>
      </c>
      <c r="AI241" t="str">
        <f>IF(OR($B241="",NOT(ISNUMBER(L241))),"",IF(COUNTIF(M241:$T241,L241)&gt;0,0,IF(COUNTIF($G241:$T241,"&gt;"&amp;L241)=0,"",SMALL($G241:$T241,COUNTIF($G241:$T241,"&lt;="&amp;L241)+1)-L241)))</f>
        <v/>
      </c>
      <c r="AJ241" t="str">
        <f>IF(OR($B241="",NOT(ISNUMBER(M241))),"",IF(COUNTIF(N241:$T241,M241)&gt;0,0,IF(COUNTIF($G241:$T241,"&gt;"&amp;M241)=0,"",SMALL($G241:$T241,COUNTIF($G241:$T241,"&lt;="&amp;M241)+1)-M241)))</f>
        <v/>
      </c>
      <c r="AK241" t="str">
        <f>IF(OR($B241="",NOT(ISNUMBER(N241))),"",IF(COUNTIF(O241:$T241,N241)&gt;0,0,IF(COUNTIF($G241:$T241,"&gt;"&amp;N241)=0,"",SMALL($G241:$T241,COUNTIF($G241:$T241,"&lt;="&amp;N241)+1)-N241)))</f>
        <v/>
      </c>
      <c r="AL241" t="str">
        <f>IF(OR($B241="",NOT(ISNUMBER(O241))),"",IF(COUNTIF(P241:$T241,O241)&gt;0,0,IF(COUNTIF($G241:$T241,"&gt;"&amp;O241)=0,"",SMALL($G241:$T241,COUNTIF($G241:$T241,"&lt;="&amp;O241)+1)-O241)))</f>
        <v/>
      </c>
      <c r="AM241" t="str">
        <f>IF(OR($B241="",NOT(ISNUMBER(P241))),"",IF(COUNTIF(Q241:$T241,P241)&gt;0,0,IF(COUNTIF($G241:$T241,"&gt;"&amp;P241)=0,"",SMALL($G241:$T241,COUNTIF($G241:$T241,"&lt;="&amp;P241)+1)-P241)))</f>
        <v/>
      </c>
      <c r="AN241" t="str">
        <f>IF(OR($B241="",NOT(ISNUMBER(Q241))),"",IF(COUNTIF(R241:$T241,Q241)&gt;0,0,IF(COUNTIF($G241:$T241,"&gt;"&amp;Q241)=0,"",SMALL($G241:$T241,COUNTIF($G241:$T241,"&lt;="&amp;Q241)+1)-Q241)))</f>
        <v/>
      </c>
      <c r="AO241" t="str">
        <f>IF(OR($B241="",NOT(ISNUMBER(R241))),"",IF(COUNTIF(S241:$T241,R241)&gt;0,0,IF(COUNTIF($G241:$T241,"&gt;"&amp;R241)=0,"",SMALL($G241:$T241,COUNTIF($G241:$T241,"&lt;="&amp;R241)+1)-R241)))</f>
        <v/>
      </c>
      <c r="AP241">
        <f t="shared" ca="1" si="54"/>
        <v>0</v>
      </c>
      <c r="AQ241" s="25" t="str">
        <f t="shared" si="55"/>
        <v/>
      </c>
      <c r="AR241" s="25" t="str">
        <f t="shared" si="56"/>
        <v/>
      </c>
      <c r="AS241" s="25">
        <f t="shared" si="57"/>
        <v>46297</v>
      </c>
      <c r="AT241" s="25">
        <f t="shared" si="58"/>
        <v>46297</v>
      </c>
      <c r="AU241" s="25" t="str">
        <f t="shared" si="59"/>
        <v/>
      </c>
      <c r="AV241" s="25" t="str">
        <f t="shared" si="60"/>
        <v/>
      </c>
      <c r="AW241" s="25" t="str">
        <f t="shared" si="61"/>
        <v/>
      </c>
      <c r="AX241" s="25" t="str">
        <f t="shared" si="62"/>
        <v/>
      </c>
      <c r="AY241" s="25" t="str">
        <f t="shared" si="63"/>
        <v/>
      </c>
      <c r="AZ241" s="25" t="str">
        <f t="shared" si="64"/>
        <v/>
      </c>
      <c r="BA241" s="25" t="str">
        <f t="shared" si="65"/>
        <v/>
      </c>
      <c r="BB241" s="25" t="str">
        <f t="shared" si="66"/>
        <v/>
      </c>
      <c r="BC241" s="25">
        <f t="shared" si="67"/>
        <v>46297</v>
      </c>
    </row>
    <row r="242" spans="1:55" x14ac:dyDescent="0.25">
      <c r="A242" s="151">
        <f t="shared" si="51"/>
        <v>240</v>
      </c>
      <c r="B242" s="151" t="s">
        <v>405</v>
      </c>
      <c r="C242" s="152" t="s">
        <v>64</v>
      </c>
      <c r="D242" s="151">
        <f t="shared" si="52"/>
        <v>1</v>
      </c>
      <c r="E242" s="151" t="s">
        <v>61</v>
      </c>
      <c r="F242" s="173">
        <v>46296</v>
      </c>
      <c r="G242" s="173"/>
      <c r="H242" s="173"/>
      <c r="I242" s="173">
        <v>46296</v>
      </c>
      <c r="J242" s="173">
        <v>46297</v>
      </c>
      <c r="K242" s="173"/>
      <c r="L242" s="173"/>
      <c r="M242" s="173"/>
      <c r="N242" s="173"/>
      <c r="O242" s="173"/>
      <c r="P242" s="173"/>
      <c r="Q242" s="173">
        <v>46298</v>
      </c>
      <c r="R242" s="173"/>
      <c r="S242" s="173"/>
      <c r="T242" s="174">
        <v>46298</v>
      </c>
      <c r="U242" s="151"/>
      <c r="V242" s="152"/>
      <c r="W242" s="175"/>
      <c r="X242" s="173"/>
      <c r="Y242" s="173"/>
      <c r="Z242" s="176" t="str">
        <f>IF(B242="","",IF(S242&lt;&gt;"","Sevk Edildi",IF(AND(X242&lt;&gt;"",Y242=""),"Reworkte",IF(T242&lt;&gt;"","Kapandı"&amp;IF(COUNT(G242:R242)=0,""," – "&amp;LOOKUP(2,1/(G242:R242=MAX(G242:R242)),{"Tasarım","Ply Cutter","Üretim","Kalite (Üretim sonrası)","Talaşlı","Kalite (Talaşlı sonrası)","Montaj","Kalite (Montaj sonrası)","Boya","Kalite (Boya sonrası)","Yarı Mamül","KM"})),IF(COUNT(G242:R242)=0,"Başlamadı",LOOKUP(2,1/(G242:R242=MAX(G242:R242)),{"Tasarımda","Ply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42" s="177">
        <f t="shared" ca="1" si="53"/>
        <v>2</v>
      </c>
      <c r="AB242" s="175"/>
      <c r="AD242" t="str">
        <f>IF(OR($B242="",NOT(ISNUMBER(G242))),"",IF(COUNTIF(H242:$T242,G242)&gt;0,0,IF(COUNTIF($G242:$T242,"&gt;"&amp;G242)=0,"",SMALL($G242:$T242,COUNTIF($G242:$T242,"&lt;="&amp;G242)+1)-G242)))</f>
        <v/>
      </c>
      <c r="AE242" t="str">
        <f>IF(OR($B242="",NOT(ISNUMBER(H242))),"",IF(COUNTIF(I242:$T242,H242)&gt;0,0,IF(COUNTIF($G242:$T242,"&gt;"&amp;H242)=0,"",SMALL($G242:$T242,COUNTIF($G242:$T242,"&lt;="&amp;H242)+1)-H242)))</f>
        <v/>
      </c>
      <c r="AF242">
        <f>IF(OR($B242="",NOT(ISNUMBER(I242))),"",IF(COUNTIF(J242:$T242,I242)&gt;0,0,IF(COUNTIF($G242:$T242,"&gt;"&amp;I242)=0,"",SMALL($G242:$T242,COUNTIF($G242:$T242,"&lt;="&amp;I242)+1)-I242)))</f>
        <v>1</v>
      </c>
      <c r="AG242">
        <f>IF(OR($B242="",NOT(ISNUMBER(J242))),"",IF(COUNTIF(K242:$T242,J242)&gt;0,0,IF(COUNTIF($G242:$T242,"&gt;"&amp;J242)=0,"",SMALL($G242:$T242,COUNTIF($G242:$T242,"&lt;="&amp;J242)+1)-J242)))</f>
        <v>1</v>
      </c>
      <c r="AH242" t="str">
        <f>IF(OR($B242="",NOT(ISNUMBER(K242))),"",IF(COUNTIF(L242:$T242,K242)&gt;0,0,IF(COUNTIF($G242:$T242,"&gt;"&amp;K242)=0,"",SMALL($G242:$T242,COUNTIF($G242:$T242,"&lt;="&amp;K242)+1)-K242)))</f>
        <v/>
      </c>
      <c r="AI242" t="str">
        <f>IF(OR($B242="",NOT(ISNUMBER(L242))),"",IF(COUNTIF(M242:$T242,L242)&gt;0,0,IF(COUNTIF($G242:$T242,"&gt;"&amp;L242)=0,"",SMALL($G242:$T242,COUNTIF($G242:$T242,"&lt;="&amp;L242)+1)-L242)))</f>
        <v/>
      </c>
      <c r="AJ242" t="str">
        <f>IF(OR($B242="",NOT(ISNUMBER(M242))),"",IF(COUNTIF(N242:$T242,M242)&gt;0,0,IF(COUNTIF($G242:$T242,"&gt;"&amp;M242)=0,"",SMALL($G242:$T242,COUNTIF($G242:$T242,"&lt;="&amp;M242)+1)-M242)))</f>
        <v/>
      </c>
      <c r="AK242" t="str">
        <f>IF(OR($B242="",NOT(ISNUMBER(N242))),"",IF(COUNTIF(O242:$T242,N242)&gt;0,0,IF(COUNTIF($G242:$T242,"&gt;"&amp;N242)=0,"",SMALL($G242:$T242,COUNTIF($G242:$T242,"&lt;="&amp;N242)+1)-N242)))</f>
        <v/>
      </c>
      <c r="AL242" t="str">
        <f>IF(OR($B242="",NOT(ISNUMBER(O242))),"",IF(COUNTIF(P242:$T242,O242)&gt;0,0,IF(COUNTIF($G242:$T242,"&gt;"&amp;O242)=0,"",SMALL($G242:$T242,COUNTIF($G242:$T242,"&lt;="&amp;O242)+1)-O242)))</f>
        <v/>
      </c>
      <c r="AM242" t="str">
        <f>IF(OR($B242="",NOT(ISNUMBER(P242))),"",IF(COUNTIF(Q242:$T242,P242)&gt;0,0,IF(COUNTIF($G242:$T242,"&gt;"&amp;P242)=0,"",SMALL($G242:$T242,COUNTIF($G242:$T242,"&lt;="&amp;P242)+1)-P242)))</f>
        <v/>
      </c>
      <c r="AN242">
        <f>IF(OR($B242="",NOT(ISNUMBER(Q242))),"",IF(COUNTIF(R242:$T242,Q242)&gt;0,0,IF(COUNTIF($G242:$T242,"&gt;"&amp;Q242)=0,"",SMALL($G242:$T242,COUNTIF($G242:$T242,"&lt;="&amp;Q242)+1)-Q242)))</f>
        <v>0</v>
      </c>
      <c r="AO242" t="str">
        <f>IF(OR($B242="",NOT(ISNUMBER(R242))),"",IF(COUNTIF(S242:$T242,R242)&gt;0,0,IF(COUNTIF($G242:$T242,"&gt;"&amp;R242)=0,"",SMALL($G242:$T242,COUNTIF($G242:$T242,"&lt;="&amp;R242)+1)-R242)))</f>
        <v/>
      </c>
      <c r="AP242">
        <f t="shared" ca="1" si="54"/>
        <v>0</v>
      </c>
      <c r="AQ242" s="25" t="str">
        <f t="shared" si="55"/>
        <v/>
      </c>
      <c r="AR242" s="25" t="str">
        <f t="shared" si="56"/>
        <v/>
      </c>
      <c r="AS242" s="25">
        <f t="shared" si="57"/>
        <v>46297</v>
      </c>
      <c r="AT242" s="25">
        <f t="shared" si="58"/>
        <v>46298</v>
      </c>
      <c r="AU242" s="25" t="str">
        <f t="shared" si="59"/>
        <v/>
      </c>
      <c r="AV242" s="25" t="str">
        <f t="shared" si="60"/>
        <v/>
      </c>
      <c r="AW242" s="25" t="str">
        <f t="shared" si="61"/>
        <v/>
      </c>
      <c r="AX242" s="25" t="str">
        <f t="shared" si="62"/>
        <v/>
      </c>
      <c r="AY242" s="25" t="str">
        <f t="shared" si="63"/>
        <v/>
      </c>
      <c r="AZ242" s="25" t="str">
        <f t="shared" si="64"/>
        <v/>
      </c>
      <c r="BA242" s="25">
        <f t="shared" si="65"/>
        <v>46298</v>
      </c>
      <c r="BB242" s="25" t="str">
        <f t="shared" si="66"/>
        <v/>
      </c>
      <c r="BC242" s="25">
        <f t="shared" si="67"/>
        <v>46298</v>
      </c>
    </row>
    <row r="243" spans="1:55" x14ac:dyDescent="0.25">
      <c r="A243" s="151">
        <f t="shared" si="51"/>
        <v>241</v>
      </c>
      <c r="B243" s="151" t="s">
        <v>406</v>
      </c>
      <c r="C243" s="152" t="s">
        <v>64</v>
      </c>
      <c r="D243" s="151">
        <f t="shared" si="52"/>
        <v>1</v>
      </c>
      <c r="E243" s="151" t="s">
        <v>61</v>
      </c>
      <c r="F243" s="173">
        <v>46296</v>
      </c>
      <c r="G243" s="173"/>
      <c r="H243" s="173"/>
      <c r="I243" s="173">
        <v>46296</v>
      </c>
      <c r="J243" s="173">
        <v>46297</v>
      </c>
      <c r="K243" s="173"/>
      <c r="L243" s="173"/>
      <c r="M243" s="173"/>
      <c r="N243" s="173"/>
      <c r="O243" s="173"/>
      <c r="P243" s="173"/>
      <c r="Q243" s="173">
        <v>46298</v>
      </c>
      <c r="R243" s="173"/>
      <c r="S243" s="173"/>
      <c r="T243" s="174">
        <v>46298</v>
      </c>
      <c r="U243" s="151"/>
      <c r="V243" s="152"/>
      <c r="W243" s="175"/>
      <c r="X243" s="173"/>
      <c r="Y243" s="173"/>
      <c r="Z243" s="176" t="str">
        <f>IF(B243="","",IF(S243&lt;&gt;"","Sevk Edildi",IF(AND(X243&lt;&gt;"",Y243=""),"Reworkte",IF(T243&lt;&gt;"","Kapandı"&amp;IF(COUNT(G243:R243)=0,""," – "&amp;LOOKUP(2,1/(G243:R243=MAX(G243:R243)),{"Tasarım","Ply Cutter","Üretim","Kalite (Üretim sonrası)","Talaşlı","Kalite (Talaşlı sonrası)","Montaj","Kalite (Montaj sonrası)","Boya","Kalite (Boya sonrası)","Yarı Mamül","KM"})),IF(COUNT(G243:R243)=0,"Başlamadı",LOOKUP(2,1/(G243:R243=MAX(G243:R243)),{"Tasarımda","Ply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43" s="177">
        <f t="shared" ca="1" si="53"/>
        <v>2</v>
      </c>
      <c r="AB243" s="175"/>
      <c r="AD243" t="str">
        <f>IF(OR($B243="",NOT(ISNUMBER(G243))),"",IF(COUNTIF(H243:$T243,G243)&gt;0,0,IF(COUNTIF($G243:$T243,"&gt;"&amp;G243)=0,"",SMALL($G243:$T243,COUNTIF($G243:$T243,"&lt;="&amp;G243)+1)-G243)))</f>
        <v/>
      </c>
      <c r="AE243" t="str">
        <f>IF(OR($B243="",NOT(ISNUMBER(H243))),"",IF(COUNTIF(I243:$T243,H243)&gt;0,0,IF(COUNTIF($G243:$T243,"&gt;"&amp;H243)=0,"",SMALL($G243:$T243,COUNTIF($G243:$T243,"&lt;="&amp;H243)+1)-H243)))</f>
        <v/>
      </c>
      <c r="AF243">
        <f>IF(OR($B243="",NOT(ISNUMBER(I243))),"",IF(COUNTIF(J243:$T243,I243)&gt;0,0,IF(COUNTIF($G243:$T243,"&gt;"&amp;I243)=0,"",SMALL($G243:$T243,COUNTIF($G243:$T243,"&lt;="&amp;I243)+1)-I243)))</f>
        <v>1</v>
      </c>
      <c r="AG243">
        <f>IF(OR($B243="",NOT(ISNUMBER(J243))),"",IF(COUNTIF(K243:$T243,J243)&gt;0,0,IF(COUNTIF($G243:$T243,"&gt;"&amp;J243)=0,"",SMALL($G243:$T243,COUNTIF($G243:$T243,"&lt;="&amp;J243)+1)-J243)))</f>
        <v>1</v>
      </c>
      <c r="AH243" t="str">
        <f>IF(OR($B243="",NOT(ISNUMBER(K243))),"",IF(COUNTIF(L243:$T243,K243)&gt;0,0,IF(COUNTIF($G243:$T243,"&gt;"&amp;K243)=0,"",SMALL($G243:$T243,COUNTIF($G243:$T243,"&lt;="&amp;K243)+1)-K243)))</f>
        <v/>
      </c>
      <c r="AI243" t="str">
        <f>IF(OR($B243="",NOT(ISNUMBER(L243))),"",IF(COUNTIF(M243:$T243,L243)&gt;0,0,IF(COUNTIF($G243:$T243,"&gt;"&amp;L243)=0,"",SMALL($G243:$T243,COUNTIF($G243:$T243,"&lt;="&amp;L243)+1)-L243)))</f>
        <v/>
      </c>
      <c r="AJ243" t="str">
        <f>IF(OR($B243="",NOT(ISNUMBER(M243))),"",IF(COUNTIF(N243:$T243,M243)&gt;0,0,IF(COUNTIF($G243:$T243,"&gt;"&amp;M243)=0,"",SMALL($G243:$T243,COUNTIF($G243:$T243,"&lt;="&amp;M243)+1)-M243)))</f>
        <v/>
      </c>
      <c r="AK243" t="str">
        <f>IF(OR($B243="",NOT(ISNUMBER(N243))),"",IF(COUNTIF(O243:$T243,N243)&gt;0,0,IF(COUNTIF($G243:$T243,"&gt;"&amp;N243)=0,"",SMALL($G243:$T243,COUNTIF($G243:$T243,"&lt;="&amp;N243)+1)-N243)))</f>
        <v/>
      </c>
      <c r="AL243" t="str">
        <f>IF(OR($B243="",NOT(ISNUMBER(O243))),"",IF(COUNTIF(P243:$T243,O243)&gt;0,0,IF(COUNTIF($G243:$T243,"&gt;"&amp;O243)=0,"",SMALL($G243:$T243,COUNTIF($G243:$T243,"&lt;="&amp;O243)+1)-O243)))</f>
        <v/>
      </c>
      <c r="AM243" t="str">
        <f>IF(OR($B243="",NOT(ISNUMBER(P243))),"",IF(COUNTIF(Q243:$T243,P243)&gt;0,0,IF(COUNTIF($G243:$T243,"&gt;"&amp;P243)=0,"",SMALL($G243:$T243,COUNTIF($G243:$T243,"&lt;="&amp;P243)+1)-P243)))</f>
        <v/>
      </c>
      <c r="AN243">
        <f>IF(OR($B243="",NOT(ISNUMBER(Q243))),"",IF(COUNTIF(R243:$T243,Q243)&gt;0,0,IF(COUNTIF($G243:$T243,"&gt;"&amp;Q243)=0,"",SMALL($G243:$T243,COUNTIF($G243:$T243,"&lt;="&amp;Q243)+1)-Q243)))</f>
        <v>0</v>
      </c>
      <c r="AO243" t="str">
        <f>IF(OR($B243="",NOT(ISNUMBER(R243))),"",IF(COUNTIF(S243:$T243,R243)&gt;0,0,IF(COUNTIF($G243:$T243,"&gt;"&amp;R243)=0,"",SMALL($G243:$T243,COUNTIF($G243:$T243,"&lt;="&amp;R243)+1)-R243)))</f>
        <v/>
      </c>
      <c r="AP243">
        <f t="shared" ca="1" si="54"/>
        <v>0</v>
      </c>
      <c r="AQ243" s="25" t="str">
        <f t="shared" si="55"/>
        <v/>
      </c>
      <c r="AR243" s="25" t="str">
        <f t="shared" si="56"/>
        <v/>
      </c>
      <c r="AS243" s="25">
        <f t="shared" si="57"/>
        <v>46297</v>
      </c>
      <c r="AT243" s="25">
        <f t="shared" si="58"/>
        <v>46298</v>
      </c>
      <c r="AU243" s="25" t="str">
        <f t="shared" si="59"/>
        <v/>
      </c>
      <c r="AV243" s="25" t="str">
        <f t="shared" si="60"/>
        <v/>
      </c>
      <c r="AW243" s="25" t="str">
        <f t="shared" si="61"/>
        <v/>
      </c>
      <c r="AX243" s="25" t="str">
        <f t="shared" si="62"/>
        <v/>
      </c>
      <c r="AY243" s="25" t="str">
        <f t="shared" si="63"/>
        <v/>
      </c>
      <c r="AZ243" s="25" t="str">
        <f t="shared" si="64"/>
        <v/>
      </c>
      <c r="BA243" s="25">
        <f t="shared" si="65"/>
        <v>46298</v>
      </c>
      <c r="BB243" s="25" t="str">
        <f t="shared" si="66"/>
        <v/>
      </c>
      <c r="BC243" s="25">
        <f t="shared" si="67"/>
        <v>46298</v>
      </c>
    </row>
    <row r="244" spans="1:55" x14ac:dyDescent="0.25">
      <c r="A244" s="151">
        <f t="shared" si="51"/>
        <v>242</v>
      </c>
      <c r="B244" s="151" t="s">
        <v>407</v>
      </c>
      <c r="C244" s="152" t="s">
        <v>285</v>
      </c>
      <c r="D244" s="151">
        <f t="shared" si="52"/>
        <v>1</v>
      </c>
      <c r="E244" s="151" t="s">
        <v>61</v>
      </c>
      <c r="F244" s="173">
        <v>46296</v>
      </c>
      <c r="G244" s="173"/>
      <c r="H244" s="173"/>
      <c r="I244" s="173">
        <v>46296</v>
      </c>
      <c r="J244" s="173">
        <v>46297</v>
      </c>
      <c r="K244" s="173"/>
      <c r="L244" s="173"/>
      <c r="M244" s="173"/>
      <c r="N244" s="173"/>
      <c r="O244" s="173"/>
      <c r="P244" s="173"/>
      <c r="Q244" s="173"/>
      <c r="R244" s="173"/>
      <c r="S244" s="173"/>
      <c r="T244" s="174">
        <v>46297</v>
      </c>
      <c r="U244" s="151"/>
      <c r="V244" s="152"/>
      <c r="W244" s="175"/>
      <c r="X244" s="173"/>
      <c r="Y244" s="173"/>
      <c r="Z244" s="176" t="str">
        <f>IF(B244="","",IF(S244&lt;&gt;"","Sevk Edildi",IF(AND(X244&lt;&gt;"",Y244=""),"Reworkte",IF(T244&lt;&gt;"","Kapandı"&amp;IF(COUNT(G244:R244)=0,""," – "&amp;LOOKUP(2,1/(G244:R244=MAX(G244:R244)),{"Tasarım","Ply Cutter","Üretim","Kalite (Üretim sonrası)","Talaşlı","Kalite (Talaşlı sonrası)","Montaj","Kalite (Montaj sonrası)","Boya","Kalite (Boya sonrası)","Yarı Mamül","KM"})),IF(COUNT(G244:R244)=0,"Başlamadı",LOOKUP(2,1/(G244:R244=MAX(G244:R244)),{"Tasarımda","Ply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44" s="177">
        <f t="shared" ca="1" si="53"/>
        <v>1</v>
      </c>
      <c r="AB244" s="175"/>
      <c r="AD244" t="str">
        <f>IF(OR($B244="",NOT(ISNUMBER(G244))),"",IF(COUNTIF(H244:$T244,G244)&gt;0,0,IF(COUNTIF($G244:$T244,"&gt;"&amp;G244)=0,"",SMALL($G244:$T244,COUNTIF($G244:$T244,"&lt;="&amp;G244)+1)-G244)))</f>
        <v/>
      </c>
      <c r="AE244" t="str">
        <f>IF(OR($B244="",NOT(ISNUMBER(H244))),"",IF(COUNTIF(I244:$T244,H244)&gt;0,0,IF(COUNTIF($G244:$T244,"&gt;"&amp;H244)=0,"",SMALL($G244:$T244,COUNTIF($G244:$T244,"&lt;="&amp;H244)+1)-H244)))</f>
        <v/>
      </c>
      <c r="AF244">
        <f>IF(OR($B244="",NOT(ISNUMBER(I244))),"",IF(COUNTIF(J244:$T244,I244)&gt;0,0,IF(COUNTIF($G244:$T244,"&gt;"&amp;I244)=0,"",SMALL($G244:$T244,COUNTIF($G244:$T244,"&lt;="&amp;I244)+1)-I244)))</f>
        <v>1</v>
      </c>
      <c r="AG244">
        <f>IF(OR($B244="",NOT(ISNUMBER(J244))),"",IF(COUNTIF(K244:$T244,J244)&gt;0,0,IF(COUNTIF($G244:$T244,"&gt;"&amp;J244)=0,"",SMALL($G244:$T244,COUNTIF($G244:$T244,"&lt;="&amp;J244)+1)-J244)))</f>
        <v>0</v>
      </c>
      <c r="AH244" t="str">
        <f>IF(OR($B244="",NOT(ISNUMBER(K244))),"",IF(COUNTIF(L244:$T244,K244)&gt;0,0,IF(COUNTIF($G244:$T244,"&gt;"&amp;K244)=0,"",SMALL($G244:$T244,COUNTIF($G244:$T244,"&lt;="&amp;K244)+1)-K244)))</f>
        <v/>
      </c>
      <c r="AI244" t="str">
        <f>IF(OR($B244="",NOT(ISNUMBER(L244))),"",IF(COUNTIF(M244:$T244,L244)&gt;0,0,IF(COUNTIF($G244:$T244,"&gt;"&amp;L244)=0,"",SMALL($G244:$T244,COUNTIF($G244:$T244,"&lt;="&amp;L244)+1)-L244)))</f>
        <v/>
      </c>
      <c r="AJ244" t="str">
        <f>IF(OR($B244="",NOT(ISNUMBER(M244))),"",IF(COUNTIF(N244:$T244,M244)&gt;0,0,IF(COUNTIF($G244:$T244,"&gt;"&amp;M244)=0,"",SMALL($G244:$T244,COUNTIF($G244:$T244,"&lt;="&amp;M244)+1)-M244)))</f>
        <v/>
      </c>
      <c r="AK244" t="str">
        <f>IF(OR($B244="",NOT(ISNUMBER(N244))),"",IF(COUNTIF(O244:$T244,N244)&gt;0,0,IF(COUNTIF($G244:$T244,"&gt;"&amp;N244)=0,"",SMALL($G244:$T244,COUNTIF($G244:$T244,"&lt;="&amp;N244)+1)-N244)))</f>
        <v/>
      </c>
      <c r="AL244" t="str">
        <f>IF(OR($B244="",NOT(ISNUMBER(O244))),"",IF(COUNTIF(P244:$T244,O244)&gt;0,0,IF(COUNTIF($G244:$T244,"&gt;"&amp;O244)=0,"",SMALL($G244:$T244,COUNTIF($G244:$T244,"&lt;="&amp;O244)+1)-O244)))</f>
        <v/>
      </c>
      <c r="AM244" t="str">
        <f>IF(OR($B244="",NOT(ISNUMBER(P244))),"",IF(COUNTIF(Q244:$T244,P244)&gt;0,0,IF(COUNTIF($G244:$T244,"&gt;"&amp;P244)=0,"",SMALL($G244:$T244,COUNTIF($G244:$T244,"&lt;="&amp;P244)+1)-P244)))</f>
        <v/>
      </c>
      <c r="AN244" t="str">
        <f>IF(OR($B244="",NOT(ISNUMBER(Q244))),"",IF(COUNTIF(R244:$T244,Q244)&gt;0,0,IF(COUNTIF($G244:$T244,"&gt;"&amp;Q244)=0,"",SMALL($G244:$T244,COUNTIF($G244:$T244,"&lt;="&amp;Q244)+1)-Q244)))</f>
        <v/>
      </c>
      <c r="AO244" t="str">
        <f>IF(OR($B244="",NOT(ISNUMBER(R244))),"",IF(COUNTIF(S244:$T244,R244)&gt;0,0,IF(COUNTIF($G244:$T244,"&gt;"&amp;R244)=0,"",SMALL($G244:$T244,COUNTIF($G244:$T244,"&lt;="&amp;R244)+1)-R244)))</f>
        <v/>
      </c>
      <c r="AP244">
        <f t="shared" ca="1" si="54"/>
        <v>0</v>
      </c>
      <c r="AQ244" s="25" t="str">
        <f t="shared" si="55"/>
        <v/>
      </c>
      <c r="AR244" s="25" t="str">
        <f t="shared" si="56"/>
        <v/>
      </c>
      <c r="AS244" s="25">
        <f t="shared" si="57"/>
        <v>46297</v>
      </c>
      <c r="AT244" s="25">
        <f t="shared" si="58"/>
        <v>46297</v>
      </c>
      <c r="AU244" s="25" t="str">
        <f t="shared" si="59"/>
        <v/>
      </c>
      <c r="AV244" s="25" t="str">
        <f t="shared" si="60"/>
        <v/>
      </c>
      <c r="AW244" s="25" t="str">
        <f t="shared" si="61"/>
        <v/>
      </c>
      <c r="AX244" s="25" t="str">
        <f t="shared" si="62"/>
        <v/>
      </c>
      <c r="AY244" s="25" t="str">
        <f t="shared" si="63"/>
        <v/>
      </c>
      <c r="AZ244" s="25" t="str">
        <f t="shared" si="64"/>
        <v/>
      </c>
      <c r="BA244" s="25" t="str">
        <f t="shared" si="65"/>
        <v/>
      </c>
      <c r="BB244" s="25" t="str">
        <f t="shared" si="66"/>
        <v/>
      </c>
      <c r="BC244" s="25">
        <f t="shared" si="67"/>
        <v>46297</v>
      </c>
    </row>
    <row r="245" spans="1:55" x14ac:dyDescent="0.25">
      <c r="A245" s="151">
        <f t="shared" si="51"/>
        <v>243</v>
      </c>
      <c r="B245" s="151" t="s">
        <v>408</v>
      </c>
      <c r="C245" s="152" t="s">
        <v>285</v>
      </c>
      <c r="D245" s="151">
        <f t="shared" si="52"/>
        <v>1</v>
      </c>
      <c r="E245" s="151" t="s">
        <v>61</v>
      </c>
      <c r="F245" s="173">
        <v>46296</v>
      </c>
      <c r="G245" s="173"/>
      <c r="H245" s="173"/>
      <c r="I245" s="173">
        <v>46296</v>
      </c>
      <c r="J245" s="173">
        <v>46297</v>
      </c>
      <c r="K245" s="173"/>
      <c r="L245" s="173"/>
      <c r="M245" s="173"/>
      <c r="N245" s="173"/>
      <c r="O245" s="173"/>
      <c r="P245" s="173"/>
      <c r="Q245" s="173"/>
      <c r="R245" s="173"/>
      <c r="S245" s="173"/>
      <c r="T245" s="174">
        <v>46297</v>
      </c>
      <c r="U245" s="151"/>
      <c r="V245" s="152"/>
      <c r="W245" s="175"/>
      <c r="X245" s="173"/>
      <c r="Y245" s="173"/>
      <c r="Z245" s="176" t="str">
        <f>IF(B245="","",IF(S245&lt;&gt;"","Sevk Edildi",IF(AND(X245&lt;&gt;"",Y245=""),"Reworkte",IF(T245&lt;&gt;"","Kapandı"&amp;IF(COUNT(G245:R245)=0,""," – "&amp;LOOKUP(2,1/(G245:R245=MAX(G245:R245)),{"Tasarım","Ply Cutter","Üretim","Kalite (Üretim sonrası)","Talaşlı","Kalite (Talaşlı sonrası)","Montaj","Kalite (Montaj sonrası)","Boya","Kalite (Boya sonrası)","Yarı Mamül","KM"})),IF(COUNT(G245:R245)=0,"Başlamadı",LOOKUP(2,1/(G245:R245=MAX(G245:R245)),{"Tasarımda","Ply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45" s="177">
        <f t="shared" ca="1" si="53"/>
        <v>1</v>
      </c>
      <c r="AB245" s="175"/>
      <c r="AD245" t="str">
        <f>IF(OR($B245="",NOT(ISNUMBER(G245))),"",IF(COUNTIF(H245:$T245,G245)&gt;0,0,IF(COUNTIF($G245:$T245,"&gt;"&amp;G245)=0,"",SMALL($G245:$T245,COUNTIF($G245:$T245,"&lt;="&amp;G245)+1)-G245)))</f>
        <v/>
      </c>
      <c r="AE245" t="str">
        <f>IF(OR($B245="",NOT(ISNUMBER(H245))),"",IF(COUNTIF(I245:$T245,H245)&gt;0,0,IF(COUNTIF($G245:$T245,"&gt;"&amp;H245)=0,"",SMALL($G245:$T245,COUNTIF($G245:$T245,"&lt;="&amp;H245)+1)-H245)))</f>
        <v/>
      </c>
      <c r="AF245">
        <f>IF(OR($B245="",NOT(ISNUMBER(I245))),"",IF(COUNTIF(J245:$T245,I245)&gt;0,0,IF(COUNTIF($G245:$T245,"&gt;"&amp;I245)=0,"",SMALL($G245:$T245,COUNTIF($G245:$T245,"&lt;="&amp;I245)+1)-I245)))</f>
        <v>1</v>
      </c>
      <c r="AG245">
        <f>IF(OR($B245="",NOT(ISNUMBER(J245))),"",IF(COUNTIF(K245:$T245,J245)&gt;0,0,IF(COUNTIF($G245:$T245,"&gt;"&amp;J245)=0,"",SMALL($G245:$T245,COUNTIF($G245:$T245,"&lt;="&amp;J245)+1)-J245)))</f>
        <v>0</v>
      </c>
      <c r="AH245" t="str">
        <f>IF(OR($B245="",NOT(ISNUMBER(K245))),"",IF(COUNTIF(L245:$T245,K245)&gt;0,0,IF(COUNTIF($G245:$T245,"&gt;"&amp;K245)=0,"",SMALL($G245:$T245,COUNTIF($G245:$T245,"&lt;="&amp;K245)+1)-K245)))</f>
        <v/>
      </c>
      <c r="AI245" t="str">
        <f>IF(OR($B245="",NOT(ISNUMBER(L245))),"",IF(COUNTIF(M245:$T245,L245)&gt;0,0,IF(COUNTIF($G245:$T245,"&gt;"&amp;L245)=0,"",SMALL($G245:$T245,COUNTIF($G245:$T245,"&lt;="&amp;L245)+1)-L245)))</f>
        <v/>
      </c>
      <c r="AJ245" t="str">
        <f>IF(OR($B245="",NOT(ISNUMBER(M245))),"",IF(COUNTIF(N245:$T245,M245)&gt;0,0,IF(COUNTIF($G245:$T245,"&gt;"&amp;M245)=0,"",SMALL($G245:$T245,COUNTIF($G245:$T245,"&lt;="&amp;M245)+1)-M245)))</f>
        <v/>
      </c>
      <c r="AK245" t="str">
        <f>IF(OR($B245="",NOT(ISNUMBER(N245))),"",IF(COUNTIF(O245:$T245,N245)&gt;0,0,IF(COUNTIF($G245:$T245,"&gt;"&amp;N245)=0,"",SMALL($G245:$T245,COUNTIF($G245:$T245,"&lt;="&amp;N245)+1)-N245)))</f>
        <v/>
      </c>
      <c r="AL245" t="str">
        <f>IF(OR($B245="",NOT(ISNUMBER(O245))),"",IF(COUNTIF(P245:$T245,O245)&gt;0,0,IF(COUNTIF($G245:$T245,"&gt;"&amp;O245)=0,"",SMALL($G245:$T245,COUNTIF($G245:$T245,"&lt;="&amp;O245)+1)-O245)))</f>
        <v/>
      </c>
      <c r="AM245" t="str">
        <f>IF(OR($B245="",NOT(ISNUMBER(P245))),"",IF(COUNTIF(Q245:$T245,P245)&gt;0,0,IF(COUNTIF($G245:$T245,"&gt;"&amp;P245)=0,"",SMALL($G245:$T245,COUNTIF($G245:$T245,"&lt;="&amp;P245)+1)-P245)))</f>
        <v/>
      </c>
      <c r="AN245" t="str">
        <f>IF(OR($B245="",NOT(ISNUMBER(Q245))),"",IF(COUNTIF(R245:$T245,Q245)&gt;0,0,IF(COUNTIF($G245:$T245,"&gt;"&amp;Q245)=0,"",SMALL($G245:$T245,COUNTIF($G245:$T245,"&lt;="&amp;Q245)+1)-Q245)))</f>
        <v/>
      </c>
      <c r="AO245" t="str">
        <f>IF(OR($B245="",NOT(ISNUMBER(R245))),"",IF(COUNTIF(S245:$T245,R245)&gt;0,0,IF(COUNTIF($G245:$T245,"&gt;"&amp;R245)=0,"",SMALL($G245:$T245,COUNTIF($G245:$T245,"&lt;="&amp;R245)+1)-R245)))</f>
        <v/>
      </c>
      <c r="AP245">
        <f t="shared" ca="1" si="54"/>
        <v>0</v>
      </c>
      <c r="AQ245" s="25" t="str">
        <f t="shared" si="55"/>
        <v/>
      </c>
      <c r="AR245" s="25" t="str">
        <f t="shared" si="56"/>
        <v/>
      </c>
      <c r="AS245" s="25">
        <f t="shared" si="57"/>
        <v>46297</v>
      </c>
      <c r="AT245" s="25">
        <f t="shared" si="58"/>
        <v>46297</v>
      </c>
      <c r="AU245" s="25" t="str">
        <f t="shared" si="59"/>
        <v/>
      </c>
      <c r="AV245" s="25" t="str">
        <f t="shared" si="60"/>
        <v/>
      </c>
      <c r="AW245" s="25" t="str">
        <f t="shared" si="61"/>
        <v/>
      </c>
      <c r="AX245" s="25" t="str">
        <f t="shared" si="62"/>
        <v/>
      </c>
      <c r="AY245" s="25" t="str">
        <f t="shared" si="63"/>
        <v/>
      </c>
      <c r="AZ245" s="25" t="str">
        <f t="shared" si="64"/>
        <v/>
      </c>
      <c r="BA245" s="25" t="str">
        <f t="shared" si="65"/>
        <v/>
      </c>
      <c r="BB245" s="25" t="str">
        <f t="shared" si="66"/>
        <v/>
      </c>
      <c r="BC245" s="25">
        <f t="shared" si="67"/>
        <v>46297</v>
      </c>
    </row>
    <row r="246" spans="1:55" x14ac:dyDescent="0.25">
      <c r="A246" s="151">
        <f t="shared" si="51"/>
        <v>244</v>
      </c>
      <c r="B246" s="151" t="s">
        <v>409</v>
      </c>
      <c r="C246" s="152" t="s">
        <v>285</v>
      </c>
      <c r="D246" s="151">
        <f t="shared" si="52"/>
        <v>1</v>
      </c>
      <c r="E246" s="151" t="s">
        <v>61</v>
      </c>
      <c r="F246" s="173">
        <v>46296</v>
      </c>
      <c r="G246" s="173"/>
      <c r="H246" s="173"/>
      <c r="I246" s="173">
        <v>46296</v>
      </c>
      <c r="J246" s="173">
        <v>46297</v>
      </c>
      <c r="K246" s="173"/>
      <c r="L246" s="173"/>
      <c r="M246" s="173"/>
      <c r="N246" s="173"/>
      <c r="O246" s="173"/>
      <c r="P246" s="173"/>
      <c r="Q246" s="173"/>
      <c r="R246" s="173"/>
      <c r="S246" s="173"/>
      <c r="T246" s="174">
        <v>46297</v>
      </c>
      <c r="U246" s="151"/>
      <c r="V246" s="152"/>
      <c r="W246" s="175"/>
      <c r="X246" s="173"/>
      <c r="Y246" s="173"/>
      <c r="Z246" s="176" t="str">
        <f>IF(B246="","",IF(S246&lt;&gt;"","Sevk Edildi",IF(AND(X246&lt;&gt;"",Y246=""),"Reworkte",IF(T246&lt;&gt;"","Kapandı"&amp;IF(COUNT(G246:R246)=0,""," – "&amp;LOOKUP(2,1/(G246:R246=MAX(G246:R246)),{"Tasarım","Ply Cutter","Üretim","Kalite (Üretim sonrası)","Talaşlı","Kalite (Talaşlı sonrası)","Montaj","Kalite (Montaj sonrası)","Boya","Kalite (Boya sonrası)","Yarı Mamül","KM"})),IF(COUNT(G246:R246)=0,"Başlamadı",LOOKUP(2,1/(G246:R246=MAX(G246:R246)),{"Tasarımda","Ply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46" s="177">
        <f t="shared" ca="1" si="53"/>
        <v>1</v>
      </c>
      <c r="AB246" s="175"/>
      <c r="AD246" t="str">
        <f>IF(OR($B246="",NOT(ISNUMBER(G246))),"",IF(COUNTIF(H246:$T246,G246)&gt;0,0,IF(COUNTIF($G246:$T246,"&gt;"&amp;G246)=0,"",SMALL($G246:$T246,COUNTIF($G246:$T246,"&lt;="&amp;G246)+1)-G246)))</f>
        <v/>
      </c>
      <c r="AE246" t="str">
        <f>IF(OR($B246="",NOT(ISNUMBER(H246))),"",IF(COUNTIF(I246:$T246,H246)&gt;0,0,IF(COUNTIF($G246:$T246,"&gt;"&amp;H246)=0,"",SMALL($G246:$T246,COUNTIF($G246:$T246,"&lt;="&amp;H246)+1)-H246)))</f>
        <v/>
      </c>
      <c r="AF246">
        <f>IF(OR($B246="",NOT(ISNUMBER(I246))),"",IF(COUNTIF(J246:$T246,I246)&gt;0,0,IF(COUNTIF($G246:$T246,"&gt;"&amp;I246)=0,"",SMALL($G246:$T246,COUNTIF($G246:$T246,"&lt;="&amp;I246)+1)-I246)))</f>
        <v>1</v>
      </c>
      <c r="AG246">
        <f>IF(OR($B246="",NOT(ISNUMBER(J246))),"",IF(COUNTIF(K246:$T246,J246)&gt;0,0,IF(COUNTIF($G246:$T246,"&gt;"&amp;J246)=0,"",SMALL($G246:$T246,COUNTIF($G246:$T246,"&lt;="&amp;J246)+1)-J246)))</f>
        <v>0</v>
      </c>
      <c r="AH246" t="str">
        <f>IF(OR($B246="",NOT(ISNUMBER(K246))),"",IF(COUNTIF(L246:$T246,K246)&gt;0,0,IF(COUNTIF($G246:$T246,"&gt;"&amp;K246)=0,"",SMALL($G246:$T246,COUNTIF($G246:$T246,"&lt;="&amp;K246)+1)-K246)))</f>
        <v/>
      </c>
      <c r="AI246" t="str">
        <f>IF(OR($B246="",NOT(ISNUMBER(L246))),"",IF(COUNTIF(M246:$T246,L246)&gt;0,0,IF(COUNTIF($G246:$T246,"&gt;"&amp;L246)=0,"",SMALL($G246:$T246,COUNTIF($G246:$T246,"&lt;="&amp;L246)+1)-L246)))</f>
        <v/>
      </c>
      <c r="AJ246" t="str">
        <f>IF(OR($B246="",NOT(ISNUMBER(M246))),"",IF(COUNTIF(N246:$T246,M246)&gt;0,0,IF(COUNTIF($G246:$T246,"&gt;"&amp;M246)=0,"",SMALL($G246:$T246,COUNTIF($G246:$T246,"&lt;="&amp;M246)+1)-M246)))</f>
        <v/>
      </c>
      <c r="AK246" t="str">
        <f>IF(OR($B246="",NOT(ISNUMBER(N246))),"",IF(COUNTIF(O246:$T246,N246)&gt;0,0,IF(COUNTIF($G246:$T246,"&gt;"&amp;N246)=0,"",SMALL($G246:$T246,COUNTIF($G246:$T246,"&lt;="&amp;N246)+1)-N246)))</f>
        <v/>
      </c>
      <c r="AL246" t="str">
        <f>IF(OR($B246="",NOT(ISNUMBER(O246))),"",IF(COUNTIF(P246:$T246,O246)&gt;0,0,IF(COUNTIF($G246:$T246,"&gt;"&amp;O246)=0,"",SMALL($G246:$T246,COUNTIF($G246:$T246,"&lt;="&amp;O246)+1)-O246)))</f>
        <v/>
      </c>
      <c r="AM246" t="str">
        <f>IF(OR($B246="",NOT(ISNUMBER(P246))),"",IF(COUNTIF(Q246:$T246,P246)&gt;0,0,IF(COUNTIF($G246:$T246,"&gt;"&amp;P246)=0,"",SMALL($G246:$T246,COUNTIF($G246:$T246,"&lt;="&amp;P246)+1)-P246)))</f>
        <v/>
      </c>
      <c r="AN246" t="str">
        <f>IF(OR($B246="",NOT(ISNUMBER(Q246))),"",IF(COUNTIF(R246:$T246,Q246)&gt;0,0,IF(COUNTIF($G246:$T246,"&gt;"&amp;Q246)=0,"",SMALL($G246:$T246,COUNTIF($G246:$T246,"&lt;="&amp;Q246)+1)-Q246)))</f>
        <v/>
      </c>
      <c r="AO246" t="str">
        <f>IF(OR($B246="",NOT(ISNUMBER(R246))),"",IF(COUNTIF(S246:$T246,R246)&gt;0,0,IF(COUNTIF($G246:$T246,"&gt;"&amp;R246)=0,"",SMALL($G246:$T246,COUNTIF($G246:$T246,"&lt;="&amp;R246)+1)-R246)))</f>
        <v/>
      </c>
      <c r="AP246">
        <f t="shared" ca="1" si="54"/>
        <v>0</v>
      </c>
      <c r="AQ246" s="25" t="str">
        <f t="shared" si="55"/>
        <v/>
      </c>
      <c r="AR246" s="25" t="str">
        <f t="shared" si="56"/>
        <v/>
      </c>
      <c r="AS246" s="25">
        <f t="shared" si="57"/>
        <v>46297</v>
      </c>
      <c r="AT246" s="25">
        <f t="shared" si="58"/>
        <v>46297</v>
      </c>
      <c r="AU246" s="25" t="str">
        <f t="shared" si="59"/>
        <v/>
      </c>
      <c r="AV246" s="25" t="str">
        <f t="shared" si="60"/>
        <v/>
      </c>
      <c r="AW246" s="25" t="str">
        <f t="shared" si="61"/>
        <v/>
      </c>
      <c r="AX246" s="25" t="str">
        <f t="shared" si="62"/>
        <v/>
      </c>
      <c r="AY246" s="25" t="str">
        <f t="shared" si="63"/>
        <v/>
      </c>
      <c r="AZ246" s="25" t="str">
        <f t="shared" si="64"/>
        <v/>
      </c>
      <c r="BA246" s="25" t="str">
        <f t="shared" si="65"/>
        <v/>
      </c>
      <c r="BB246" s="25" t="str">
        <f t="shared" si="66"/>
        <v/>
      </c>
      <c r="BC246" s="25">
        <f t="shared" si="67"/>
        <v>46297</v>
      </c>
    </row>
    <row r="247" spans="1:55" x14ac:dyDescent="0.25">
      <c r="A247" s="151">
        <f t="shared" si="51"/>
        <v>245</v>
      </c>
      <c r="B247" s="151" t="s">
        <v>410</v>
      </c>
      <c r="C247" s="152" t="s">
        <v>119</v>
      </c>
      <c r="D247" s="151">
        <f t="shared" si="52"/>
        <v>1</v>
      </c>
      <c r="E247" s="151" t="s">
        <v>61</v>
      </c>
      <c r="F247" s="173">
        <v>46296</v>
      </c>
      <c r="G247" s="173"/>
      <c r="H247" s="173"/>
      <c r="I247" s="173">
        <v>46296</v>
      </c>
      <c r="J247" s="173">
        <v>46297</v>
      </c>
      <c r="K247" s="173"/>
      <c r="L247" s="173"/>
      <c r="M247" s="173"/>
      <c r="N247" s="173"/>
      <c r="O247" s="173"/>
      <c r="P247" s="173"/>
      <c r="Q247" s="173">
        <v>46298</v>
      </c>
      <c r="R247" s="173"/>
      <c r="S247" s="173"/>
      <c r="T247" s="174">
        <v>46298</v>
      </c>
      <c r="U247" s="151"/>
      <c r="V247" s="152"/>
      <c r="W247" s="175"/>
      <c r="X247" s="173"/>
      <c r="Y247" s="173"/>
      <c r="Z247" s="176" t="str">
        <f>IF(B247="","",IF(S247&lt;&gt;"","Sevk Edildi",IF(AND(X247&lt;&gt;"",Y247=""),"Reworkte",IF(T247&lt;&gt;"","Kapandı"&amp;IF(COUNT(G247:R247)=0,""," – "&amp;LOOKUP(2,1/(G247:R247=MAX(G247:R247)),{"Tasarım","Ply Cutter","Üretim","Kalite (Üretim sonrası)","Talaşlı","Kalite (Talaşlı sonrası)","Montaj","Kalite (Montaj sonrası)","Boya","Kalite (Boya sonrası)","Yarı Mamül","KM"})),IF(COUNT(G247:R247)=0,"Başlamadı",LOOKUP(2,1/(G247:R247=MAX(G247:R247)),{"Tasarımda","Ply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47" s="177">
        <f t="shared" ca="1" si="53"/>
        <v>2</v>
      </c>
      <c r="AB247" s="175"/>
      <c r="AD247" t="str">
        <f>IF(OR($B247="",NOT(ISNUMBER(G247))),"",IF(COUNTIF(H247:$T247,G247)&gt;0,0,IF(COUNTIF($G247:$T247,"&gt;"&amp;G247)=0,"",SMALL($G247:$T247,COUNTIF($G247:$T247,"&lt;="&amp;G247)+1)-G247)))</f>
        <v/>
      </c>
      <c r="AE247" t="str">
        <f>IF(OR($B247="",NOT(ISNUMBER(H247))),"",IF(COUNTIF(I247:$T247,H247)&gt;0,0,IF(COUNTIF($G247:$T247,"&gt;"&amp;H247)=0,"",SMALL($G247:$T247,COUNTIF($G247:$T247,"&lt;="&amp;H247)+1)-H247)))</f>
        <v/>
      </c>
      <c r="AF247">
        <f>IF(OR($B247="",NOT(ISNUMBER(I247))),"",IF(COUNTIF(J247:$T247,I247)&gt;0,0,IF(COUNTIF($G247:$T247,"&gt;"&amp;I247)=0,"",SMALL($G247:$T247,COUNTIF($G247:$T247,"&lt;="&amp;I247)+1)-I247)))</f>
        <v>1</v>
      </c>
      <c r="AG247">
        <f>IF(OR($B247="",NOT(ISNUMBER(J247))),"",IF(COUNTIF(K247:$T247,J247)&gt;0,0,IF(COUNTIF($G247:$T247,"&gt;"&amp;J247)=0,"",SMALL($G247:$T247,COUNTIF($G247:$T247,"&lt;="&amp;J247)+1)-J247)))</f>
        <v>1</v>
      </c>
      <c r="AH247" t="str">
        <f>IF(OR($B247="",NOT(ISNUMBER(K247))),"",IF(COUNTIF(L247:$T247,K247)&gt;0,0,IF(COUNTIF($G247:$T247,"&gt;"&amp;K247)=0,"",SMALL($G247:$T247,COUNTIF($G247:$T247,"&lt;="&amp;K247)+1)-K247)))</f>
        <v/>
      </c>
      <c r="AI247" t="str">
        <f>IF(OR($B247="",NOT(ISNUMBER(L247))),"",IF(COUNTIF(M247:$T247,L247)&gt;0,0,IF(COUNTIF($G247:$T247,"&gt;"&amp;L247)=0,"",SMALL($G247:$T247,COUNTIF($G247:$T247,"&lt;="&amp;L247)+1)-L247)))</f>
        <v/>
      </c>
      <c r="AJ247" t="str">
        <f>IF(OR($B247="",NOT(ISNUMBER(M247))),"",IF(COUNTIF(N247:$T247,M247)&gt;0,0,IF(COUNTIF($G247:$T247,"&gt;"&amp;M247)=0,"",SMALL($G247:$T247,COUNTIF($G247:$T247,"&lt;="&amp;M247)+1)-M247)))</f>
        <v/>
      </c>
      <c r="AK247" t="str">
        <f>IF(OR($B247="",NOT(ISNUMBER(N247))),"",IF(COUNTIF(O247:$T247,N247)&gt;0,0,IF(COUNTIF($G247:$T247,"&gt;"&amp;N247)=0,"",SMALL($G247:$T247,COUNTIF($G247:$T247,"&lt;="&amp;N247)+1)-N247)))</f>
        <v/>
      </c>
      <c r="AL247" t="str">
        <f>IF(OR($B247="",NOT(ISNUMBER(O247))),"",IF(COUNTIF(P247:$T247,O247)&gt;0,0,IF(COUNTIF($G247:$T247,"&gt;"&amp;O247)=0,"",SMALL($G247:$T247,COUNTIF($G247:$T247,"&lt;="&amp;O247)+1)-O247)))</f>
        <v/>
      </c>
      <c r="AM247" t="str">
        <f>IF(OR($B247="",NOT(ISNUMBER(P247))),"",IF(COUNTIF(Q247:$T247,P247)&gt;0,0,IF(COUNTIF($G247:$T247,"&gt;"&amp;P247)=0,"",SMALL($G247:$T247,COUNTIF($G247:$T247,"&lt;="&amp;P247)+1)-P247)))</f>
        <v/>
      </c>
      <c r="AN247">
        <f>IF(OR($B247="",NOT(ISNUMBER(Q247))),"",IF(COUNTIF(R247:$T247,Q247)&gt;0,0,IF(COUNTIF($G247:$T247,"&gt;"&amp;Q247)=0,"",SMALL($G247:$T247,COUNTIF($G247:$T247,"&lt;="&amp;Q247)+1)-Q247)))</f>
        <v>0</v>
      </c>
      <c r="AO247" t="str">
        <f>IF(OR($B247="",NOT(ISNUMBER(R247))),"",IF(COUNTIF(S247:$T247,R247)&gt;0,0,IF(COUNTIF($G247:$T247,"&gt;"&amp;R247)=0,"",SMALL($G247:$T247,COUNTIF($G247:$T247,"&lt;="&amp;R247)+1)-R247)))</f>
        <v/>
      </c>
      <c r="AP247">
        <f t="shared" ca="1" si="54"/>
        <v>0</v>
      </c>
      <c r="AQ247" s="25" t="str">
        <f t="shared" si="55"/>
        <v/>
      </c>
      <c r="AR247" s="25" t="str">
        <f t="shared" si="56"/>
        <v/>
      </c>
      <c r="AS247" s="25">
        <f t="shared" si="57"/>
        <v>46297</v>
      </c>
      <c r="AT247" s="25">
        <f t="shared" si="58"/>
        <v>46298</v>
      </c>
      <c r="AU247" s="25" t="str">
        <f t="shared" si="59"/>
        <v/>
      </c>
      <c r="AV247" s="25" t="str">
        <f t="shared" si="60"/>
        <v/>
      </c>
      <c r="AW247" s="25" t="str">
        <f t="shared" si="61"/>
        <v/>
      </c>
      <c r="AX247" s="25" t="str">
        <f t="shared" si="62"/>
        <v/>
      </c>
      <c r="AY247" s="25" t="str">
        <f t="shared" si="63"/>
        <v/>
      </c>
      <c r="AZ247" s="25" t="str">
        <f t="shared" si="64"/>
        <v/>
      </c>
      <c r="BA247" s="25">
        <f t="shared" si="65"/>
        <v>46298</v>
      </c>
      <c r="BB247" s="25" t="str">
        <f t="shared" si="66"/>
        <v/>
      </c>
      <c r="BC247" s="25">
        <f t="shared" si="67"/>
        <v>46298</v>
      </c>
    </row>
    <row r="248" spans="1:55" x14ac:dyDescent="0.25">
      <c r="A248" s="151">
        <f t="shared" si="51"/>
        <v>246</v>
      </c>
      <c r="B248" s="151" t="s">
        <v>411</v>
      </c>
      <c r="C248" s="152" t="s">
        <v>248</v>
      </c>
      <c r="D248" s="151">
        <f t="shared" si="52"/>
        <v>1</v>
      </c>
      <c r="E248" s="151" t="s">
        <v>61</v>
      </c>
      <c r="F248" s="173">
        <v>46296</v>
      </c>
      <c r="G248" s="173"/>
      <c r="H248" s="173"/>
      <c r="I248" s="173">
        <v>46296</v>
      </c>
      <c r="J248" s="173">
        <v>46300</v>
      </c>
      <c r="K248" s="173"/>
      <c r="L248" s="173"/>
      <c r="M248" s="173"/>
      <c r="N248" s="173"/>
      <c r="O248" s="173"/>
      <c r="P248" s="173"/>
      <c r="Q248" s="173">
        <v>46300</v>
      </c>
      <c r="R248" s="173"/>
      <c r="S248" s="173"/>
      <c r="T248" s="174">
        <v>46300</v>
      </c>
      <c r="U248" s="151"/>
      <c r="V248" s="152"/>
      <c r="W248" s="175"/>
      <c r="X248" s="173"/>
      <c r="Y248" s="173"/>
      <c r="Z248" s="176" t="str">
        <f>IF(B248="","",IF(S248&lt;&gt;"","Sevk Edildi",IF(AND(X248&lt;&gt;"",Y248=""),"Reworkte",IF(T248&lt;&gt;"","Kapandı"&amp;IF(COUNT(G248:R248)=0,""," – "&amp;LOOKUP(2,1/(G248:R248=MAX(G248:R248)),{"Tasarım","Ply Cutter","Üretim","Kalite (Üretim sonrası)","Talaşlı","Kalite (Talaşlı sonrası)","Montaj","Kalite (Montaj sonrası)","Boya","Kalite (Boya sonrası)","Yarı Mamül","KM"})),IF(COUNT(G248:R248)=0,"Başlamadı",LOOKUP(2,1/(G248:R248=MAX(G248:R248)),{"Tasarımda","Ply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48" s="177">
        <f t="shared" ca="1" si="53"/>
        <v>4</v>
      </c>
      <c r="AB248" s="175"/>
      <c r="AD248" t="str">
        <f>IF(OR($B248="",NOT(ISNUMBER(G248))),"",IF(COUNTIF(H248:$T248,G248)&gt;0,0,IF(COUNTIF($G248:$T248,"&gt;"&amp;G248)=0,"",SMALL($G248:$T248,COUNTIF($G248:$T248,"&lt;="&amp;G248)+1)-G248)))</f>
        <v/>
      </c>
      <c r="AE248" t="str">
        <f>IF(OR($B248="",NOT(ISNUMBER(H248))),"",IF(COUNTIF(I248:$T248,H248)&gt;0,0,IF(COUNTIF($G248:$T248,"&gt;"&amp;H248)=0,"",SMALL($G248:$T248,COUNTIF($G248:$T248,"&lt;="&amp;H248)+1)-H248)))</f>
        <v/>
      </c>
      <c r="AF248">
        <f>IF(OR($B248="",NOT(ISNUMBER(I248))),"",IF(COUNTIF(J248:$T248,I248)&gt;0,0,IF(COUNTIF($G248:$T248,"&gt;"&amp;I248)=0,"",SMALL($G248:$T248,COUNTIF($G248:$T248,"&lt;="&amp;I248)+1)-I248)))</f>
        <v>4</v>
      </c>
      <c r="AG248">
        <f>IF(OR($B248="",NOT(ISNUMBER(J248))),"",IF(COUNTIF(K248:$T248,J248)&gt;0,0,IF(COUNTIF($G248:$T248,"&gt;"&amp;J248)=0,"",SMALL($G248:$T248,COUNTIF($G248:$T248,"&lt;="&amp;J248)+1)-J248)))</f>
        <v>0</v>
      </c>
      <c r="AH248" t="str">
        <f>IF(OR($B248="",NOT(ISNUMBER(K248))),"",IF(COUNTIF(L248:$T248,K248)&gt;0,0,IF(COUNTIF($G248:$T248,"&gt;"&amp;K248)=0,"",SMALL($G248:$T248,COUNTIF($G248:$T248,"&lt;="&amp;K248)+1)-K248)))</f>
        <v/>
      </c>
      <c r="AI248" t="str">
        <f>IF(OR($B248="",NOT(ISNUMBER(L248))),"",IF(COUNTIF(M248:$T248,L248)&gt;0,0,IF(COUNTIF($G248:$T248,"&gt;"&amp;L248)=0,"",SMALL($G248:$T248,COUNTIF($G248:$T248,"&lt;="&amp;L248)+1)-L248)))</f>
        <v/>
      </c>
      <c r="AJ248" t="str">
        <f>IF(OR($B248="",NOT(ISNUMBER(M248))),"",IF(COUNTIF(N248:$T248,M248)&gt;0,0,IF(COUNTIF($G248:$T248,"&gt;"&amp;M248)=0,"",SMALL($G248:$T248,COUNTIF($G248:$T248,"&lt;="&amp;M248)+1)-M248)))</f>
        <v/>
      </c>
      <c r="AK248" t="str">
        <f>IF(OR($B248="",NOT(ISNUMBER(N248))),"",IF(COUNTIF(O248:$T248,N248)&gt;0,0,IF(COUNTIF($G248:$T248,"&gt;"&amp;N248)=0,"",SMALL($G248:$T248,COUNTIF($G248:$T248,"&lt;="&amp;N248)+1)-N248)))</f>
        <v/>
      </c>
      <c r="AL248" t="str">
        <f>IF(OR($B248="",NOT(ISNUMBER(O248))),"",IF(COUNTIF(P248:$T248,O248)&gt;0,0,IF(COUNTIF($G248:$T248,"&gt;"&amp;O248)=0,"",SMALL($G248:$T248,COUNTIF($G248:$T248,"&lt;="&amp;O248)+1)-O248)))</f>
        <v/>
      </c>
      <c r="AM248" t="str">
        <f>IF(OR($B248="",NOT(ISNUMBER(P248))),"",IF(COUNTIF(Q248:$T248,P248)&gt;0,0,IF(COUNTIF($G248:$T248,"&gt;"&amp;P248)=0,"",SMALL($G248:$T248,COUNTIF($G248:$T248,"&lt;="&amp;P248)+1)-P248)))</f>
        <v/>
      </c>
      <c r="AN248">
        <f>IF(OR($B248="",NOT(ISNUMBER(Q248))),"",IF(COUNTIF(R248:$T248,Q248)&gt;0,0,IF(COUNTIF($G248:$T248,"&gt;"&amp;Q248)=0,"",SMALL($G248:$T248,COUNTIF($G248:$T248,"&lt;="&amp;Q248)+1)-Q248)))</f>
        <v>0</v>
      </c>
      <c r="AO248" t="str">
        <f>IF(OR($B248="",NOT(ISNUMBER(R248))),"",IF(COUNTIF(S248:$T248,R248)&gt;0,0,IF(COUNTIF($G248:$T248,"&gt;"&amp;R248)=0,"",SMALL($G248:$T248,COUNTIF($G248:$T248,"&lt;="&amp;R248)+1)-R248)))</f>
        <v/>
      </c>
      <c r="AP248">
        <f t="shared" ca="1" si="54"/>
        <v>0</v>
      </c>
      <c r="AQ248" s="25" t="str">
        <f t="shared" si="55"/>
        <v/>
      </c>
      <c r="AR248" s="25" t="str">
        <f t="shared" si="56"/>
        <v/>
      </c>
      <c r="AS248" s="25">
        <f t="shared" si="57"/>
        <v>46300</v>
      </c>
      <c r="AT248" s="25">
        <f t="shared" si="58"/>
        <v>46300</v>
      </c>
      <c r="AU248" s="25" t="str">
        <f t="shared" si="59"/>
        <v/>
      </c>
      <c r="AV248" s="25" t="str">
        <f t="shared" si="60"/>
        <v/>
      </c>
      <c r="AW248" s="25" t="str">
        <f t="shared" si="61"/>
        <v/>
      </c>
      <c r="AX248" s="25" t="str">
        <f t="shared" si="62"/>
        <v/>
      </c>
      <c r="AY248" s="25" t="str">
        <f t="shared" si="63"/>
        <v/>
      </c>
      <c r="AZ248" s="25" t="str">
        <f t="shared" si="64"/>
        <v/>
      </c>
      <c r="BA248" s="25">
        <f t="shared" si="65"/>
        <v>46300</v>
      </c>
      <c r="BB248" s="25" t="str">
        <f t="shared" si="66"/>
        <v/>
      </c>
      <c r="BC248" s="25">
        <f t="shared" si="67"/>
        <v>46300</v>
      </c>
    </row>
    <row r="249" spans="1:55" x14ac:dyDescent="0.25">
      <c r="A249" s="151">
        <f t="shared" si="51"/>
        <v>247</v>
      </c>
      <c r="B249" s="151" t="s">
        <v>412</v>
      </c>
      <c r="C249" s="152" t="s">
        <v>413</v>
      </c>
      <c r="D249" s="151">
        <f t="shared" si="52"/>
        <v>1</v>
      </c>
      <c r="E249" s="151" t="s">
        <v>61</v>
      </c>
      <c r="F249" s="173">
        <v>46296</v>
      </c>
      <c r="G249" s="173"/>
      <c r="H249" s="173"/>
      <c r="I249" s="173"/>
      <c r="J249" s="173"/>
      <c r="K249" s="173">
        <v>46296</v>
      </c>
      <c r="L249" s="173">
        <v>46297</v>
      </c>
      <c r="M249" s="173"/>
      <c r="N249" s="173"/>
      <c r="O249" s="173"/>
      <c r="P249" s="173"/>
      <c r="Q249" s="173"/>
      <c r="R249" s="173"/>
      <c r="S249" s="173"/>
      <c r="T249" s="174">
        <v>46297</v>
      </c>
      <c r="U249" s="151"/>
      <c r="V249" s="152"/>
      <c r="W249" s="175"/>
      <c r="X249" s="173"/>
      <c r="Y249" s="173"/>
      <c r="Z249" s="176" t="str">
        <f>IF(B249="","",IF(S249&lt;&gt;"","Sevk Edildi",IF(AND(X249&lt;&gt;"",Y249=""),"Reworkte",IF(T249&lt;&gt;"","Kapandı"&amp;IF(COUNT(G249:R249)=0,""," – "&amp;LOOKUP(2,1/(G249:R249=MAX(G249:R249)),{"Tasarım","Ply Cutter","Üretim","Kalite (Üretim sonrası)","Talaşlı","Kalite (Talaşlı sonrası)","Montaj","Kalite (Montaj sonrası)","Boya","Kalite (Boya sonrası)","Yarı Mamül","KM"})),IF(COUNT(G249:R249)=0,"Başlamadı",LOOKUP(2,1/(G249:R249=MAX(G249:R249)),{"Tasarımda","Ply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249" s="177">
        <f t="shared" ca="1" si="53"/>
        <v>1</v>
      </c>
      <c r="AB249" s="175"/>
      <c r="AD249" t="str">
        <f>IF(OR($B249="",NOT(ISNUMBER(G249))),"",IF(COUNTIF(H249:$T249,G249)&gt;0,0,IF(COUNTIF($G249:$T249,"&gt;"&amp;G249)=0,"",SMALL($G249:$T249,COUNTIF($G249:$T249,"&lt;="&amp;G249)+1)-G249)))</f>
        <v/>
      </c>
      <c r="AE249" t="str">
        <f>IF(OR($B249="",NOT(ISNUMBER(H249))),"",IF(COUNTIF(I249:$T249,H249)&gt;0,0,IF(COUNTIF($G249:$T249,"&gt;"&amp;H249)=0,"",SMALL($G249:$T249,COUNTIF($G249:$T249,"&lt;="&amp;H249)+1)-H249)))</f>
        <v/>
      </c>
      <c r="AF249" t="str">
        <f>IF(OR($B249="",NOT(ISNUMBER(I249))),"",IF(COUNTIF(J249:$T249,I249)&gt;0,0,IF(COUNTIF($G249:$T249,"&gt;"&amp;I249)=0,"",SMALL($G249:$T249,COUNTIF($G249:$T249,"&lt;="&amp;I249)+1)-I249)))</f>
        <v/>
      </c>
      <c r="AG249" t="str">
        <f>IF(OR($B249="",NOT(ISNUMBER(J249))),"",IF(COUNTIF(K249:$T249,J249)&gt;0,0,IF(COUNTIF($G249:$T249,"&gt;"&amp;J249)=0,"",SMALL($G249:$T249,COUNTIF($G249:$T249,"&lt;="&amp;J249)+1)-J249)))</f>
        <v/>
      </c>
      <c r="AH249">
        <f>IF(OR($B249="",NOT(ISNUMBER(K249))),"",IF(COUNTIF(L249:$T249,K249)&gt;0,0,IF(COUNTIF($G249:$T249,"&gt;"&amp;K249)=0,"",SMALL($G249:$T249,COUNTIF($G249:$T249,"&lt;="&amp;K249)+1)-K249)))</f>
        <v>1</v>
      </c>
      <c r="AI249">
        <f>IF(OR($B249="",NOT(ISNUMBER(L249))),"",IF(COUNTIF(M249:$T249,L249)&gt;0,0,IF(COUNTIF($G249:$T249,"&gt;"&amp;L249)=0,"",SMALL($G249:$T249,COUNTIF($G249:$T249,"&lt;="&amp;L249)+1)-L249)))</f>
        <v>0</v>
      </c>
      <c r="AJ249" t="str">
        <f>IF(OR($B249="",NOT(ISNUMBER(M249))),"",IF(COUNTIF(N249:$T249,M249)&gt;0,0,IF(COUNTIF($G249:$T249,"&gt;"&amp;M249)=0,"",SMALL($G249:$T249,COUNTIF($G249:$T249,"&lt;="&amp;M249)+1)-M249)))</f>
        <v/>
      </c>
      <c r="AK249" t="str">
        <f>IF(OR($B249="",NOT(ISNUMBER(N249))),"",IF(COUNTIF(O249:$T249,N249)&gt;0,0,IF(COUNTIF($G249:$T249,"&gt;"&amp;N249)=0,"",SMALL($G249:$T249,COUNTIF($G249:$T249,"&lt;="&amp;N249)+1)-N249)))</f>
        <v/>
      </c>
      <c r="AL249" t="str">
        <f>IF(OR($B249="",NOT(ISNUMBER(O249))),"",IF(COUNTIF(P249:$T249,O249)&gt;0,0,IF(COUNTIF($G249:$T249,"&gt;"&amp;O249)=0,"",SMALL($G249:$T249,COUNTIF($G249:$T249,"&lt;="&amp;O249)+1)-O249)))</f>
        <v/>
      </c>
      <c r="AM249" t="str">
        <f>IF(OR($B249="",NOT(ISNUMBER(P249))),"",IF(COUNTIF(Q249:$T249,P249)&gt;0,0,IF(COUNTIF($G249:$T249,"&gt;"&amp;P249)=0,"",SMALL($G249:$T249,COUNTIF($G249:$T249,"&lt;="&amp;P249)+1)-P249)))</f>
        <v/>
      </c>
      <c r="AN249" t="str">
        <f>IF(OR($B249="",NOT(ISNUMBER(Q249))),"",IF(COUNTIF(R249:$T249,Q249)&gt;0,0,IF(COUNTIF($G249:$T249,"&gt;"&amp;Q249)=0,"",SMALL($G249:$T249,COUNTIF($G249:$T249,"&lt;="&amp;Q249)+1)-Q249)))</f>
        <v/>
      </c>
      <c r="AO249" t="str">
        <f>IF(OR($B249="",NOT(ISNUMBER(R249))),"",IF(COUNTIF(S249:$T249,R249)&gt;0,0,IF(COUNTIF($G249:$T249,"&gt;"&amp;R249)=0,"",SMALL($G249:$T249,COUNTIF($G249:$T249,"&lt;="&amp;R249)+1)-R249)))</f>
        <v/>
      </c>
      <c r="AP249">
        <f t="shared" ca="1" si="54"/>
        <v>0</v>
      </c>
      <c r="AQ249" s="25" t="str">
        <f t="shared" si="55"/>
        <v/>
      </c>
      <c r="AR249" s="25" t="str">
        <f t="shared" si="56"/>
        <v/>
      </c>
      <c r="AS249" s="25" t="str">
        <f t="shared" si="57"/>
        <v/>
      </c>
      <c r="AT249" s="25" t="str">
        <f t="shared" si="58"/>
        <v/>
      </c>
      <c r="AU249" s="25">
        <f t="shared" si="59"/>
        <v>46297</v>
      </c>
      <c r="AV249" s="25">
        <f t="shared" si="60"/>
        <v>46297</v>
      </c>
      <c r="AW249" s="25" t="str">
        <f t="shared" si="61"/>
        <v/>
      </c>
      <c r="AX249" s="25" t="str">
        <f t="shared" si="62"/>
        <v/>
      </c>
      <c r="AY249" s="25" t="str">
        <f t="shared" si="63"/>
        <v/>
      </c>
      <c r="AZ249" s="25" t="str">
        <f t="shared" si="64"/>
        <v/>
      </c>
      <c r="BA249" s="25" t="str">
        <f t="shared" si="65"/>
        <v/>
      </c>
      <c r="BB249" s="25" t="str">
        <f t="shared" si="66"/>
        <v/>
      </c>
      <c r="BC249" s="25">
        <f t="shared" si="67"/>
        <v>46297</v>
      </c>
    </row>
    <row r="250" spans="1:55" x14ac:dyDescent="0.25">
      <c r="A250" s="151">
        <f t="shared" si="51"/>
        <v>248</v>
      </c>
      <c r="B250" s="151" t="s">
        <v>414</v>
      </c>
      <c r="C250" s="152" t="s">
        <v>415</v>
      </c>
      <c r="D250" s="151">
        <f t="shared" si="52"/>
        <v>1</v>
      </c>
      <c r="E250" s="151" t="s">
        <v>61</v>
      </c>
      <c r="F250" s="173">
        <v>46296</v>
      </c>
      <c r="G250" s="173"/>
      <c r="H250" s="173"/>
      <c r="I250" s="173"/>
      <c r="J250" s="173"/>
      <c r="K250" s="173">
        <v>46296</v>
      </c>
      <c r="L250" s="173">
        <v>46297</v>
      </c>
      <c r="M250" s="173"/>
      <c r="N250" s="173"/>
      <c r="O250" s="173"/>
      <c r="P250" s="173"/>
      <c r="Q250" s="173"/>
      <c r="R250" s="173"/>
      <c r="S250" s="173"/>
      <c r="T250" s="174">
        <v>46297</v>
      </c>
      <c r="U250" s="151"/>
      <c r="V250" s="152"/>
      <c r="W250" s="175"/>
      <c r="X250" s="173"/>
      <c r="Y250" s="173"/>
      <c r="Z250" s="176" t="str">
        <f>IF(B250="","",IF(S250&lt;&gt;"","Sevk Edildi",IF(AND(X250&lt;&gt;"",Y250=""),"Reworkte",IF(T250&lt;&gt;"","Kapandı"&amp;IF(COUNT(G250:R250)=0,""," – "&amp;LOOKUP(2,1/(G250:R250=MAX(G250:R250)),{"Tasarım","Ply Cutter","Üretim","Kalite (Üretim sonrası)","Talaşlı","Kalite (Talaşlı sonrası)","Montaj","Kalite (Montaj sonrası)","Boya","Kalite (Boya sonrası)","Yarı Mamül","KM"})),IF(COUNT(G250:R250)=0,"Başlamadı",LOOKUP(2,1/(G250:R250=MAX(G250:R250)),{"Tasarımda","Ply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250" s="177">
        <f t="shared" ca="1" si="53"/>
        <v>1</v>
      </c>
      <c r="AB250" s="175"/>
      <c r="AD250" t="str">
        <f>IF(OR($B250="",NOT(ISNUMBER(G250))),"",IF(COUNTIF(H250:$T250,G250)&gt;0,0,IF(COUNTIF($G250:$T250,"&gt;"&amp;G250)=0,"",SMALL($G250:$T250,COUNTIF($G250:$T250,"&lt;="&amp;G250)+1)-G250)))</f>
        <v/>
      </c>
      <c r="AE250" t="str">
        <f>IF(OR($B250="",NOT(ISNUMBER(H250))),"",IF(COUNTIF(I250:$T250,H250)&gt;0,0,IF(COUNTIF($G250:$T250,"&gt;"&amp;H250)=0,"",SMALL($G250:$T250,COUNTIF($G250:$T250,"&lt;="&amp;H250)+1)-H250)))</f>
        <v/>
      </c>
      <c r="AF250" t="str">
        <f>IF(OR($B250="",NOT(ISNUMBER(I250))),"",IF(COUNTIF(J250:$T250,I250)&gt;0,0,IF(COUNTIF($G250:$T250,"&gt;"&amp;I250)=0,"",SMALL($G250:$T250,COUNTIF($G250:$T250,"&lt;="&amp;I250)+1)-I250)))</f>
        <v/>
      </c>
      <c r="AG250" t="str">
        <f>IF(OR($B250="",NOT(ISNUMBER(J250))),"",IF(COUNTIF(K250:$T250,J250)&gt;0,0,IF(COUNTIF($G250:$T250,"&gt;"&amp;J250)=0,"",SMALL($G250:$T250,COUNTIF($G250:$T250,"&lt;="&amp;J250)+1)-J250)))</f>
        <v/>
      </c>
      <c r="AH250">
        <f>IF(OR($B250="",NOT(ISNUMBER(K250))),"",IF(COUNTIF(L250:$T250,K250)&gt;0,0,IF(COUNTIF($G250:$T250,"&gt;"&amp;K250)=0,"",SMALL($G250:$T250,COUNTIF($G250:$T250,"&lt;="&amp;K250)+1)-K250)))</f>
        <v>1</v>
      </c>
      <c r="AI250">
        <f>IF(OR($B250="",NOT(ISNUMBER(L250))),"",IF(COUNTIF(M250:$T250,L250)&gt;0,0,IF(COUNTIF($G250:$T250,"&gt;"&amp;L250)=0,"",SMALL($G250:$T250,COUNTIF($G250:$T250,"&lt;="&amp;L250)+1)-L250)))</f>
        <v>0</v>
      </c>
      <c r="AJ250" t="str">
        <f>IF(OR($B250="",NOT(ISNUMBER(M250))),"",IF(COUNTIF(N250:$T250,M250)&gt;0,0,IF(COUNTIF($G250:$T250,"&gt;"&amp;M250)=0,"",SMALL($G250:$T250,COUNTIF($G250:$T250,"&lt;="&amp;M250)+1)-M250)))</f>
        <v/>
      </c>
      <c r="AK250" t="str">
        <f>IF(OR($B250="",NOT(ISNUMBER(N250))),"",IF(COUNTIF(O250:$T250,N250)&gt;0,0,IF(COUNTIF($G250:$T250,"&gt;"&amp;N250)=0,"",SMALL($G250:$T250,COUNTIF($G250:$T250,"&lt;="&amp;N250)+1)-N250)))</f>
        <v/>
      </c>
      <c r="AL250" t="str">
        <f>IF(OR($B250="",NOT(ISNUMBER(O250))),"",IF(COUNTIF(P250:$T250,O250)&gt;0,0,IF(COUNTIF($G250:$T250,"&gt;"&amp;O250)=0,"",SMALL($G250:$T250,COUNTIF($G250:$T250,"&lt;="&amp;O250)+1)-O250)))</f>
        <v/>
      </c>
      <c r="AM250" t="str">
        <f>IF(OR($B250="",NOT(ISNUMBER(P250))),"",IF(COUNTIF(Q250:$T250,P250)&gt;0,0,IF(COUNTIF($G250:$T250,"&gt;"&amp;P250)=0,"",SMALL($G250:$T250,COUNTIF($G250:$T250,"&lt;="&amp;P250)+1)-P250)))</f>
        <v/>
      </c>
      <c r="AN250" t="str">
        <f>IF(OR($B250="",NOT(ISNUMBER(Q250))),"",IF(COUNTIF(R250:$T250,Q250)&gt;0,0,IF(COUNTIF($G250:$T250,"&gt;"&amp;Q250)=0,"",SMALL($G250:$T250,COUNTIF($G250:$T250,"&lt;="&amp;Q250)+1)-Q250)))</f>
        <v/>
      </c>
      <c r="AO250" t="str">
        <f>IF(OR($B250="",NOT(ISNUMBER(R250))),"",IF(COUNTIF(S250:$T250,R250)&gt;0,0,IF(COUNTIF($G250:$T250,"&gt;"&amp;R250)=0,"",SMALL($G250:$T250,COUNTIF($G250:$T250,"&lt;="&amp;R250)+1)-R250)))</f>
        <v/>
      </c>
      <c r="AP250">
        <f t="shared" ca="1" si="54"/>
        <v>0</v>
      </c>
      <c r="AQ250" s="25" t="str">
        <f t="shared" si="55"/>
        <v/>
      </c>
      <c r="AR250" s="25" t="str">
        <f t="shared" si="56"/>
        <v/>
      </c>
      <c r="AS250" s="25" t="str">
        <f t="shared" si="57"/>
        <v/>
      </c>
      <c r="AT250" s="25" t="str">
        <f t="shared" si="58"/>
        <v/>
      </c>
      <c r="AU250" s="25">
        <f t="shared" si="59"/>
        <v>46297</v>
      </c>
      <c r="AV250" s="25">
        <f t="shared" si="60"/>
        <v>46297</v>
      </c>
      <c r="AW250" s="25" t="str">
        <f t="shared" si="61"/>
        <v/>
      </c>
      <c r="AX250" s="25" t="str">
        <f t="shared" si="62"/>
        <v/>
      </c>
      <c r="AY250" s="25" t="str">
        <f t="shared" si="63"/>
        <v/>
      </c>
      <c r="AZ250" s="25" t="str">
        <f t="shared" si="64"/>
        <v/>
      </c>
      <c r="BA250" s="25" t="str">
        <f t="shared" si="65"/>
        <v/>
      </c>
      <c r="BB250" s="25" t="str">
        <f t="shared" si="66"/>
        <v/>
      </c>
      <c r="BC250" s="25">
        <f t="shared" si="67"/>
        <v>46297</v>
      </c>
    </row>
    <row r="251" spans="1:55" x14ac:dyDescent="0.25">
      <c r="A251" s="151">
        <f t="shared" si="51"/>
        <v>249</v>
      </c>
      <c r="B251" s="151" t="s">
        <v>416</v>
      </c>
      <c r="C251" s="152" t="s">
        <v>417</v>
      </c>
      <c r="D251" s="151">
        <f t="shared" si="52"/>
        <v>5</v>
      </c>
      <c r="E251" s="151" t="s">
        <v>61</v>
      </c>
      <c r="F251" s="173">
        <v>46296</v>
      </c>
      <c r="G251" s="173"/>
      <c r="H251" s="173"/>
      <c r="I251" s="173">
        <v>46296</v>
      </c>
      <c r="J251" s="173">
        <v>46297</v>
      </c>
      <c r="K251" s="173"/>
      <c r="L251" s="173"/>
      <c r="M251" s="173"/>
      <c r="N251" s="173"/>
      <c r="O251" s="173"/>
      <c r="P251" s="173"/>
      <c r="Q251" s="173">
        <v>46298</v>
      </c>
      <c r="R251" s="173"/>
      <c r="S251" s="173"/>
      <c r="T251" s="174">
        <v>46298</v>
      </c>
      <c r="U251" s="151"/>
      <c r="V251" s="152"/>
      <c r="W251" s="175"/>
      <c r="X251" s="173"/>
      <c r="Y251" s="173"/>
      <c r="Z251" s="176" t="str">
        <f>IF(B251="","",IF(S251&lt;&gt;"","Sevk Edildi",IF(AND(X251&lt;&gt;"",Y251=""),"Reworkte",IF(T251&lt;&gt;"","Kapandı"&amp;IF(COUNT(G251:R251)=0,""," – "&amp;LOOKUP(2,1/(G251:R251=MAX(G251:R251)),{"Tasarım","Ply Cutter","Üretim","Kalite (Üretim sonrası)","Talaşlı","Kalite (Talaşlı sonrası)","Montaj","Kalite (Montaj sonrası)","Boya","Kalite (Boya sonrası)","Yarı Mamül","KM"})),IF(COUNT(G251:R251)=0,"Başlamadı",LOOKUP(2,1/(G251:R251=MAX(G251:R251)),{"Tasarımda","Ply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51" s="177">
        <f t="shared" ca="1" si="53"/>
        <v>2</v>
      </c>
      <c r="AB251" s="175"/>
      <c r="AD251" t="str">
        <f>IF(OR($B251="",NOT(ISNUMBER(G251))),"",IF(COUNTIF(H251:$T251,G251)&gt;0,0,IF(COUNTIF($G251:$T251,"&gt;"&amp;G251)=0,"",SMALL($G251:$T251,COUNTIF($G251:$T251,"&lt;="&amp;G251)+1)-G251)))</f>
        <v/>
      </c>
      <c r="AE251" t="str">
        <f>IF(OR($B251="",NOT(ISNUMBER(H251))),"",IF(COUNTIF(I251:$T251,H251)&gt;0,0,IF(COUNTIF($G251:$T251,"&gt;"&amp;H251)=0,"",SMALL($G251:$T251,COUNTIF($G251:$T251,"&lt;="&amp;H251)+1)-H251)))</f>
        <v/>
      </c>
      <c r="AF251">
        <f>IF(OR($B251="",NOT(ISNUMBER(I251))),"",IF(COUNTIF(J251:$T251,I251)&gt;0,0,IF(COUNTIF($G251:$T251,"&gt;"&amp;I251)=0,"",SMALL($G251:$T251,COUNTIF($G251:$T251,"&lt;="&amp;I251)+1)-I251)))</f>
        <v>1</v>
      </c>
      <c r="AG251">
        <f>IF(OR($B251="",NOT(ISNUMBER(J251))),"",IF(COUNTIF(K251:$T251,J251)&gt;0,0,IF(COUNTIF($G251:$T251,"&gt;"&amp;J251)=0,"",SMALL($G251:$T251,COUNTIF($G251:$T251,"&lt;="&amp;J251)+1)-J251)))</f>
        <v>1</v>
      </c>
      <c r="AH251" t="str">
        <f>IF(OR($B251="",NOT(ISNUMBER(K251))),"",IF(COUNTIF(L251:$T251,K251)&gt;0,0,IF(COUNTIF($G251:$T251,"&gt;"&amp;K251)=0,"",SMALL($G251:$T251,COUNTIF($G251:$T251,"&lt;="&amp;K251)+1)-K251)))</f>
        <v/>
      </c>
      <c r="AI251" t="str">
        <f>IF(OR($B251="",NOT(ISNUMBER(L251))),"",IF(COUNTIF(M251:$T251,L251)&gt;0,0,IF(COUNTIF($G251:$T251,"&gt;"&amp;L251)=0,"",SMALL($G251:$T251,COUNTIF($G251:$T251,"&lt;="&amp;L251)+1)-L251)))</f>
        <v/>
      </c>
      <c r="AJ251" t="str">
        <f>IF(OR($B251="",NOT(ISNUMBER(M251))),"",IF(COUNTIF(N251:$T251,M251)&gt;0,0,IF(COUNTIF($G251:$T251,"&gt;"&amp;M251)=0,"",SMALL($G251:$T251,COUNTIF($G251:$T251,"&lt;="&amp;M251)+1)-M251)))</f>
        <v/>
      </c>
      <c r="AK251" t="str">
        <f>IF(OR($B251="",NOT(ISNUMBER(N251))),"",IF(COUNTIF(O251:$T251,N251)&gt;0,0,IF(COUNTIF($G251:$T251,"&gt;"&amp;N251)=0,"",SMALL($G251:$T251,COUNTIF($G251:$T251,"&lt;="&amp;N251)+1)-N251)))</f>
        <v/>
      </c>
      <c r="AL251" t="str">
        <f>IF(OR($B251="",NOT(ISNUMBER(O251))),"",IF(COUNTIF(P251:$T251,O251)&gt;0,0,IF(COUNTIF($G251:$T251,"&gt;"&amp;O251)=0,"",SMALL($G251:$T251,COUNTIF($G251:$T251,"&lt;="&amp;O251)+1)-O251)))</f>
        <v/>
      </c>
      <c r="AM251" t="str">
        <f>IF(OR($B251="",NOT(ISNUMBER(P251))),"",IF(COUNTIF(Q251:$T251,P251)&gt;0,0,IF(COUNTIF($G251:$T251,"&gt;"&amp;P251)=0,"",SMALL($G251:$T251,COUNTIF($G251:$T251,"&lt;="&amp;P251)+1)-P251)))</f>
        <v/>
      </c>
      <c r="AN251">
        <f>IF(OR($B251="",NOT(ISNUMBER(Q251))),"",IF(COUNTIF(R251:$T251,Q251)&gt;0,0,IF(COUNTIF($G251:$T251,"&gt;"&amp;Q251)=0,"",SMALL($G251:$T251,COUNTIF($G251:$T251,"&lt;="&amp;Q251)+1)-Q251)))</f>
        <v>0</v>
      </c>
      <c r="AO251" t="str">
        <f>IF(OR($B251="",NOT(ISNUMBER(R251))),"",IF(COUNTIF(S251:$T251,R251)&gt;0,0,IF(COUNTIF($G251:$T251,"&gt;"&amp;R251)=0,"",SMALL($G251:$T251,COUNTIF($G251:$T251,"&lt;="&amp;R251)+1)-R251)))</f>
        <v/>
      </c>
      <c r="AP251">
        <f t="shared" ca="1" si="54"/>
        <v>0</v>
      </c>
      <c r="AQ251" s="25" t="str">
        <f t="shared" si="55"/>
        <v/>
      </c>
      <c r="AR251" s="25" t="str">
        <f t="shared" si="56"/>
        <v/>
      </c>
      <c r="AS251" s="25">
        <f t="shared" si="57"/>
        <v>46297</v>
      </c>
      <c r="AT251" s="25">
        <f t="shared" si="58"/>
        <v>46298</v>
      </c>
      <c r="AU251" s="25" t="str">
        <f t="shared" si="59"/>
        <v/>
      </c>
      <c r="AV251" s="25" t="str">
        <f t="shared" si="60"/>
        <v/>
      </c>
      <c r="AW251" s="25" t="str">
        <f t="shared" si="61"/>
        <v/>
      </c>
      <c r="AX251" s="25" t="str">
        <f t="shared" si="62"/>
        <v/>
      </c>
      <c r="AY251" s="25" t="str">
        <f t="shared" si="63"/>
        <v/>
      </c>
      <c r="AZ251" s="25" t="str">
        <f t="shared" si="64"/>
        <v/>
      </c>
      <c r="BA251" s="25">
        <f t="shared" si="65"/>
        <v>46298</v>
      </c>
      <c r="BB251" s="25" t="str">
        <f t="shared" si="66"/>
        <v/>
      </c>
      <c r="BC251" s="25">
        <f t="shared" si="67"/>
        <v>46298</v>
      </c>
    </row>
    <row r="252" spans="1:55" x14ac:dyDescent="0.25">
      <c r="A252" s="151">
        <f t="shared" si="51"/>
        <v>250</v>
      </c>
      <c r="B252" s="151" t="s">
        <v>418</v>
      </c>
      <c r="C252" s="152" t="s">
        <v>419</v>
      </c>
      <c r="D252" s="151">
        <f t="shared" si="52"/>
        <v>2</v>
      </c>
      <c r="E252" s="151" t="s">
        <v>100</v>
      </c>
      <c r="F252" s="173">
        <v>46296</v>
      </c>
      <c r="G252" s="173"/>
      <c r="H252" s="173">
        <v>46296</v>
      </c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4">
        <v>46296</v>
      </c>
      <c r="U252" s="151"/>
      <c r="V252" s="152"/>
      <c r="W252" s="175"/>
      <c r="X252" s="173"/>
      <c r="Y252" s="173"/>
      <c r="Z252" s="176" t="str">
        <f>IF(B252="","",IF(S252&lt;&gt;"","Sevk Edildi",IF(AND(X252&lt;&gt;"",Y252=""),"Reworkte",IF(T252&lt;&gt;"","Kapandı"&amp;IF(COUNT(G252:R252)=0,""," – "&amp;LOOKUP(2,1/(G252:R252=MAX(G252:R252)),{"Tasarım","Ply Cutter","Üretim","Kalite (Üretim sonrası)","Talaşlı","Kalite (Talaşlı sonrası)","Montaj","Kalite (Montaj sonrası)","Boya","Kalite (Boya sonrası)","Yarı Mamül","KM"})),IF(COUNT(G252:R252)=0,"Başlamadı",LOOKUP(2,1/(G252:R252=MAX(G252:R252)),{"Tasarımda","Ply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252" s="177">
        <f t="shared" ca="1" si="53"/>
        <v>0</v>
      </c>
      <c r="AB252" s="175"/>
      <c r="AD252" t="str">
        <f>IF(OR($B252="",NOT(ISNUMBER(G252))),"",IF(COUNTIF(H252:$T252,G252)&gt;0,0,IF(COUNTIF($G252:$T252,"&gt;"&amp;G252)=0,"",SMALL($G252:$T252,COUNTIF($G252:$T252,"&lt;="&amp;G252)+1)-G252)))</f>
        <v/>
      </c>
      <c r="AE252">
        <f>IF(OR($B252="",NOT(ISNUMBER(H252))),"",IF(COUNTIF(I252:$T252,H252)&gt;0,0,IF(COUNTIF($G252:$T252,"&gt;"&amp;H252)=0,"",SMALL($G252:$T252,COUNTIF($G252:$T252,"&lt;="&amp;H252)+1)-H252)))</f>
        <v>0</v>
      </c>
      <c r="AF252" t="str">
        <f>IF(OR($B252="",NOT(ISNUMBER(I252))),"",IF(COUNTIF(J252:$T252,I252)&gt;0,0,IF(COUNTIF($G252:$T252,"&gt;"&amp;I252)=0,"",SMALL($G252:$T252,COUNTIF($G252:$T252,"&lt;="&amp;I252)+1)-I252)))</f>
        <v/>
      </c>
      <c r="AG252" t="str">
        <f>IF(OR($B252="",NOT(ISNUMBER(J252))),"",IF(COUNTIF(K252:$T252,J252)&gt;0,0,IF(COUNTIF($G252:$T252,"&gt;"&amp;J252)=0,"",SMALL($G252:$T252,COUNTIF($G252:$T252,"&lt;="&amp;J252)+1)-J252)))</f>
        <v/>
      </c>
      <c r="AH252" t="str">
        <f>IF(OR($B252="",NOT(ISNUMBER(K252))),"",IF(COUNTIF(L252:$T252,K252)&gt;0,0,IF(COUNTIF($G252:$T252,"&gt;"&amp;K252)=0,"",SMALL($G252:$T252,COUNTIF($G252:$T252,"&lt;="&amp;K252)+1)-K252)))</f>
        <v/>
      </c>
      <c r="AI252" t="str">
        <f>IF(OR($B252="",NOT(ISNUMBER(L252))),"",IF(COUNTIF(M252:$T252,L252)&gt;0,0,IF(COUNTIF($G252:$T252,"&gt;"&amp;L252)=0,"",SMALL($G252:$T252,COUNTIF($G252:$T252,"&lt;="&amp;L252)+1)-L252)))</f>
        <v/>
      </c>
      <c r="AJ252" t="str">
        <f>IF(OR($B252="",NOT(ISNUMBER(M252))),"",IF(COUNTIF(N252:$T252,M252)&gt;0,0,IF(COUNTIF($G252:$T252,"&gt;"&amp;M252)=0,"",SMALL($G252:$T252,COUNTIF($G252:$T252,"&lt;="&amp;M252)+1)-M252)))</f>
        <v/>
      </c>
      <c r="AK252" t="str">
        <f>IF(OR($B252="",NOT(ISNUMBER(N252))),"",IF(COUNTIF(O252:$T252,N252)&gt;0,0,IF(COUNTIF($G252:$T252,"&gt;"&amp;N252)=0,"",SMALL($G252:$T252,COUNTIF($G252:$T252,"&lt;="&amp;N252)+1)-N252)))</f>
        <v/>
      </c>
      <c r="AL252" t="str">
        <f>IF(OR($B252="",NOT(ISNUMBER(O252))),"",IF(COUNTIF(P252:$T252,O252)&gt;0,0,IF(COUNTIF($G252:$T252,"&gt;"&amp;O252)=0,"",SMALL($G252:$T252,COUNTIF($G252:$T252,"&lt;="&amp;O252)+1)-O252)))</f>
        <v/>
      </c>
      <c r="AM252" t="str">
        <f>IF(OR($B252="",NOT(ISNUMBER(P252))),"",IF(COUNTIF(Q252:$T252,P252)&gt;0,0,IF(COUNTIF($G252:$T252,"&gt;"&amp;P252)=0,"",SMALL($G252:$T252,COUNTIF($G252:$T252,"&lt;="&amp;P252)+1)-P252)))</f>
        <v/>
      </c>
      <c r="AN252" t="str">
        <f>IF(OR($B252="",NOT(ISNUMBER(Q252))),"",IF(COUNTIF(R252:$T252,Q252)&gt;0,0,IF(COUNTIF($G252:$T252,"&gt;"&amp;Q252)=0,"",SMALL($G252:$T252,COUNTIF($G252:$T252,"&lt;="&amp;Q252)+1)-Q252)))</f>
        <v/>
      </c>
      <c r="AO252" t="str">
        <f>IF(OR($B252="",NOT(ISNUMBER(R252))),"",IF(COUNTIF(S252:$T252,R252)&gt;0,0,IF(COUNTIF($G252:$T252,"&gt;"&amp;R252)=0,"",SMALL($G252:$T252,COUNTIF($G252:$T252,"&lt;="&amp;R252)+1)-R252)))</f>
        <v/>
      </c>
      <c r="AP252">
        <f t="shared" ca="1" si="54"/>
        <v>0</v>
      </c>
      <c r="AQ252" s="25" t="str">
        <f t="shared" si="55"/>
        <v/>
      </c>
      <c r="AR252" s="25">
        <f t="shared" si="56"/>
        <v>46296</v>
      </c>
      <c r="AS252" s="25" t="str">
        <f t="shared" si="57"/>
        <v/>
      </c>
      <c r="AT252" s="25" t="str">
        <f t="shared" si="58"/>
        <v/>
      </c>
      <c r="AU252" s="25" t="str">
        <f t="shared" si="59"/>
        <v/>
      </c>
      <c r="AV252" s="25" t="str">
        <f t="shared" si="60"/>
        <v/>
      </c>
      <c r="AW252" s="25" t="str">
        <f t="shared" si="61"/>
        <v/>
      </c>
      <c r="AX252" s="25" t="str">
        <f t="shared" si="62"/>
        <v/>
      </c>
      <c r="AY252" s="25" t="str">
        <f t="shared" si="63"/>
        <v/>
      </c>
      <c r="AZ252" s="25" t="str">
        <f t="shared" si="64"/>
        <v/>
      </c>
      <c r="BA252" s="25" t="str">
        <f t="shared" si="65"/>
        <v/>
      </c>
      <c r="BB252" s="25" t="str">
        <f t="shared" si="66"/>
        <v/>
      </c>
      <c r="BC252" s="25">
        <f t="shared" si="67"/>
        <v>46296</v>
      </c>
    </row>
    <row r="253" spans="1:55" x14ac:dyDescent="0.25">
      <c r="A253" s="151">
        <f t="shared" si="51"/>
        <v>251</v>
      </c>
      <c r="B253" s="151" t="s">
        <v>420</v>
      </c>
      <c r="C253" s="152" t="s">
        <v>421</v>
      </c>
      <c r="D253" s="151">
        <f t="shared" si="52"/>
        <v>5</v>
      </c>
      <c r="E253" s="151" t="s">
        <v>100</v>
      </c>
      <c r="F253" s="173">
        <v>46296</v>
      </c>
      <c r="G253" s="173"/>
      <c r="H253" s="173">
        <v>46296</v>
      </c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4">
        <v>46296</v>
      </c>
      <c r="U253" s="151"/>
      <c r="V253" s="152"/>
      <c r="W253" s="175"/>
      <c r="X253" s="173"/>
      <c r="Y253" s="173"/>
      <c r="Z253" s="176" t="str">
        <f>IF(B253="","",IF(S253&lt;&gt;"","Sevk Edildi",IF(AND(X253&lt;&gt;"",Y253=""),"Reworkte",IF(T253&lt;&gt;"","Kapandı"&amp;IF(COUNT(G253:R253)=0,""," – "&amp;LOOKUP(2,1/(G253:R253=MAX(G253:R253)),{"Tasarım","Ply Cutter","Üretim","Kalite (Üretim sonrası)","Talaşlı","Kalite (Talaşlı sonrası)","Montaj","Kalite (Montaj sonrası)","Boya","Kalite (Boya sonrası)","Yarı Mamül","KM"})),IF(COUNT(G253:R253)=0,"Başlamadı",LOOKUP(2,1/(G253:R253=MAX(G253:R253)),{"Tasarımda","Ply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253" s="177">
        <f t="shared" ca="1" si="53"/>
        <v>0</v>
      </c>
      <c r="AB253" s="175"/>
      <c r="AD253" t="str">
        <f>IF(OR($B253="",NOT(ISNUMBER(G253))),"",IF(COUNTIF(H253:$T253,G253)&gt;0,0,IF(COUNTIF($G253:$T253,"&gt;"&amp;G253)=0,"",SMALL($G253:$T253,COUNTIF($G253:$T253,"&lt;="&amp;G253)+1)-G253)))</f>
        <v/>
      </c>
      <c r="AE253">
        <f>IF(OR($B253="",NOT(ISNUMBER(H253))),"",IF(COUNTIF(I253:$T253,H253)&gt;0,0,IF(COUNTIF($G253:$T253,"&gt;"&amp;H253)=0,"",SMALL($G253:$T253,COUNTIF($G253:$T253,"&lt;="&amp;H253)+1)-H253)))</f>
        <v>0</v>
      </c>
      <c r="AF253" t="str">
        <f>IF(OR($B253="",NOT(ISNUMBER(I253))),"",IF(COUNTIF(J253:$T253,I253)&gt;0,0,IF(COUNTIF($G253:$T253,"&gt;"&amp;I253)=0,"",SMALL($G253:$T253,COUNTIF($G253:$T253,"&lt;="&amp;I253)+1)-I253)))</f>
        <v/>
      </c>
      <c r="AG253" t="str">
        <f>IF(OR($B253="",NOT(ISNUMBER(J253))),"",IF(COUNTIF(K253:$T253,J253)&gt;0,0,IF(COUNTIF($G253:$T253,"&gt;"&amp;J253)=0,"",SMALL($G253:$T253,COUNTIF($G253:$T253,"&lt;="&amp;J253)+1)-J253)))</f>
        <v/>
      </c>
      <c r="AH253" t="str">
        <f>IF(OR($B253="",NOT(ISNUMBER(K253))),"",IF(COUNTIF(L253:$T253,K253)&gt;0,0,IF(COUNTIF($G253:$T253,"&gt;"&amp;K253)=0,"",SMALL($G253:$T253,COUNTIF($G253:$T253,"&lt;="&amp;K253)+1)-K253)))</f>
        <v/>
      </c>
      <c r="AI253" t="str">
        <f>IF(OR($B253="",NOT(ISNUMBER(L253))),"",IF(COUNTIF(M253:$T253,L253)&gt;0,0,IF(COUNTIF($G253:$T253,"&gt;"&amp;L253)=0,"",SMALL($G253:$T253,COUNTIF($G253:$T253,"&lt;="&amp;L253)+1)-L253)))</f>
        <v/>
      </c>
      <c r="AJ253" t="str">
        <f>IF(OR($B253="",NOT(ISNUMBER(M253))),"",IF(COUNTIF(N253:$T253,M253)&gt;0,0,IF(COUNTIF($G253:$T253,"&gt;"&amp;M253)=0,"",SMALL($G253:$T253,COUNTIF($G253:$T253,"&lt;="&amp;M253)+1)-M253)))</f>
        <v/>
      </c>
      <c r="AK253" t="str">
        <f>IF(OR($B253="",NOT(ISNUMBER(N253))),"",IF(COUNTIF(O253:$T253,N253)&gt;0,0,IF(COUNTIF($G253:$T253,"&gt;"&amp;N253)=0,"",SMALL($G253:$T253,COUNTIF($G253:$T253,"&lt;="&amp;N253)+1)-N253)))</f>
        <v/>
      </c>
      <c r="AL253" t="str">
        <f>IF(OR($B253="",NOT(ISNUMBER(O253))),"",IF(COUNTIF(P253:$T253,O253)&gt;0,0,IF(COUNTIF($G253:$T253,"&gt;"&amp;O253)=0,"",SMALL($G253:$T253,COUNTIF($G253:$T253,"&lt;="&amp;O253)+1)-O253)))</f>
        <v/>
      </c>
      <c r="AM253" t="str">
        <f>IF(OR($B253="",NOT(ISNUMBER(P253))),"",IF(COUNTIF(Q253:$T253,P253)&gt;0,0,IF(COUNTIF($G253:$T253,"&gt;"&amp;P253)=0,"",SMALL($G253:$T253,COUNTIF($G253:$T253,"&lt;="&amp;P253)+1)-P253)))</f>
        <v/>
      </c>
      <c r="AN253" t="str">
        <f>IF(OR($B253="",NOT(ISNUMBER(Q253))),"",IF(COUNTIF(R253:$T253,Q253)&gt;0,0,IF(COUNTIF($G253:$T253,"&gt;"&amp;Q253)=0,"",SMALL($G253:$T253,COUNTIF($G253:$T253,"&lt;="&amp;Q253)+1)-Q253)))</f>
        <v/>
      </c>
      <c r="AO253" t="str">
        <f>IF(OR($B253="",NOT(ISNUMBER(R253))),"",IF(COUNTIF(S253:$T253,R253)&gt;0,0,IF(COUNTIF($G253:$T253,"&gt;"&amp;R253)=0,"",SMALL($G253:$T253,COUNTIF($G253:$T253,"&lt;="&amp;R253)+1)-R253)))</f>
        <v/>
      </c>
      <c r="AP253">
        <f t="shared" ca="1" si="54"/>
        <v>0</v>
      </c>
      <c r="AQ253" s="25" t="str">
        <f t="shared" si="55"/>
        <v/>
      </c>
      <c r="AR253" s="25">
        <f t="shared" si="56"/>
        <v>46296</v>
      </c>
      <c r="AS253" s="25" t="str">
        <f t="shared" si="57"/>
        <v/>
      </c>
      <c r="AT253" s="25" t="str">
        <f t="shared" si="58"/>
        <v/>
      </c>
      <c r="AU253" s="25" t="str">
        <f t="shared" si="59"/>
        <v/>
      </c>
      <c r="AV253" s="25" t="str">
        <f t="shared" si="60"/>
        <v/>
      </c>
      <c r="AW253" s="25" t="str">
        <f t="shared" si="61"/>
        <v/>
      </c>
      <c r="AX253" s="25" t="str">
        <f t="shared" si="62"/>
        <v/>
      </c>
      <c r="AY253" s="25" t="str">
        <f t="shared" si="63"/>
        <v/>
      </c>
      <c r="AZ253" s="25" t="str">
        <f t="shared" si="64"/>
        <v/>
      </c>
      <c r="BA253" s="25" t="str">
        <f t="shared" si="65"/>
        <v/>
      </c>
      <c r="BB253" s="25" t="str">
        <f t="shared" si="66"/>
        <v/>
      </c>
      <c r="BC253" s="25">
        <f t="shared" si="67"/>
        <v>46296</v>
      </c>
    </row>
    <row r="254" spans="1:55" x14ac:dyDescent="0.25">
      <c r="A254" s="151">
        <f t="shared" si="51"/>
        <v>252</v>
      </c>
      <c r="B254" s="151" t="s">
        <v>422</v>
      </c>
      <c r="C254" s="152" t="s">
        <v>423</v>
      </c>
      <c r="D254" s="151">
        <v>1</v>
      </c>
      <c r="E254" s="151" t="s">
        <v>61</v>
      </c>
      <c r="F254" s="173">
        <v>46282</v>
      </c>
      <c r="G254" s="173"/>
      <c r="H254" s="173"/>
      <c r="I254" s="173">
        <v>46296</v>
      </c>
      <c r="J254" s="173">
        <v>46300</v>
      </c>
      <c r="K254" s="173"/>
      <c r="L254" s="173"/>
      <c r="M254" s="173">
        <v>46302</v>
      </c>
      <c r="N254" s="173"/>
      <c r="O254" s="173"/>
      <c r="P254" s="173"/>
      <c r="Q254" s="173"/>
      <c r="R254" s="173"/>
      <c r="S254" s="173"/>
      <c r="T254" s="151"/>
      <c r="U254" s="151"/>
      <c r="V254" s="152"/>
      <c r="W254" s="175"/>
      <c r="X254" s="173"/>
      <c r="Y254" s="173"/>
      <c r="Z254" s="176" t="str">
        <f>IF(B254="","",IF(S254&lt;&gt;"","Sevk Edildi",IF(AND(X254&lt;&gt;"",Y254=""),"Reworkte",IF(T254&lt;&gt;"","Kapandı"&amp;IF(COUNT(G254:R254)=0,""," – "&amp;LOOKUP(2,1/(G254:R254=MAX(G254:R254)),{"Tasarım","Ply Cutter","Üretim","Kalite (Üretim sonrası)","Talaşlı","Kalite (Talaşlı sonrası)","Montaj","Kalite (Montaj sonrası)","Boya","Kalite (Boya sonrası)","Yarı Mamül","KM"})),IF(COUNT(G254:R254)=0,"Başlamadı",LOOKUP(2,1/(G254:R254=MAX(G254:R254)),{"Tasarımda","Ply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254" s="177">
        <f t="shared" ca="1" si="53"/>
        <v>25</v>
      </c>
      <c r="AB254" s="175" t="s">
        <v>975</v>
      </c>
      <c r="AD254" t="str">
        <f>IF(OR($B254="",NOT(ISNUMBER(G254))),"",IF(COUNTIF(H254:$T254,G254)&gt;0,0,IF(COUNTIF($G254:$T254,"&gt;"&amp;G254)=0,"",SMALL($G254:$T254,COUNTIF($G254:$T254,"&lt;="&amp;G254)+1)-G254)))</f>
        <v/>
      </c>
      <c r="AE254" t="str">
        <f>IF(OR($B254="",NOT(ISNUMBER(H254))),"",IF(COUNTIF(I254:$T254,H254)&gt;0,0,IF(COUNTIF($G254:$T254,"&gt;"&amp;H254)=0,"",SMALL($G254:$T254,COUNTIF($G254:$T254,"&lt;="&amp;H254)+1)-H254)))</f>
        <v/>
      </c>
      <c r="AF254">
        <f>IF(OR($B254="",NOT(ISNUMBER(I254))),"",IF(COUNTIF(J254:$T254,I254)&gt;0,0,IF(COUNTIF($G254:$T254,"&gt;"&amp;I254)=0,"",SMALL($G254:$T254,COUNTIF($G254:$T254,"&lt;="&amp;I254)+1)-I254)))</f>
        <v>4</v>
      </c>
      <c r="AG254">
        <f>IF(OR($B254="",NOT(ISNUMBER(J254))),"",IF(COUNTIF(K254:$T254,J254)&gt;0,0,IF(COUNTIF($G254:$T254,"&gt;"&amp;J254)=0,"",SMALL($G254:$T254,COUNTIF($G254:$T254,"&lt;="&amp;J254)+1)-J254)))</f>
        <v>2</v>
      </c>
      <c r="AH254" t="str">
        <f>IF(OR($B254="",NOT(ISNUMBER(K254))),"",IF(COUNTIF(L254:$T254,K254)&gt;0,0,IF(COUNTIF($G254:$T254,"&gt;"&amp;K254)=0,"",SMALL($G254:$T254,COUNTIF($G254:$T254,"&lt;="&amp;K254)+1)-K254)))</f>
        <v/>
      </c>
      <c r="AI254" t="str">
        <f>IF(OR($B254="",NOT(ISNUMBER(L254))),"",IF(COUNTIF(M254:$T254,L254)&gt;0,0,IF(COUNTIF($G254:$T254,"&gt;"&amp;L254)=0,"",SMALL($G254:$T254,COUNTIF($G254:$T254,"&lt;="&amp;L254)+1)-L254)))</f>
        <v/>
      </c>
      <c r="AJ254" t="str">
        <f>IF(OR($B254="",NOT(ISNUMBER(M254))),"",IF(COUNTIF(N254:$T254,M254)&gt;0,0,IF(COUNTIF($G254:$T254,"&gt;"&amp;M254)=0,"",SMALL($G254:$T254,COUNTIF($G254:$T254,"&lt;="&amp;M254)+1)-M254)))</f>
        <v/>
      </c>
      <c r="AK254" t="str">
        <f>IF(OR($B254="",NOT(ISNUMBER(N254))),"",IF(COUNTIF(O254:$T254,N254)&gt;0,0,IF(COUNTIF($G254:$T254,"&gt;"&amp;N254)=0,"",SMALL($G254:$T254,COUNTIF($G254:$T254,"&lt;="&amp;N254)+1)-N254)))</f>
        <v/>
      </c>
      <c r="AL254" t="str">
        <f>IF(OR($B254="",NOT(ISNUMBER(O254))),"",IF(COUNTIF(P254:$T254,O254)&gt;0,0,IF(COUNTIF($G254:$T254,"&gt;"&amp;O254)=0,"",SMALL($G254:$T254,COUNTIF($G254:$T254,"&lt;="&amp;O254)+1)-O254)))</f>
        <v/>
      </c>
      <c r="AM254" t="str">
        <f>IF(OR($B254="",NOT(ISNUMBER(P254))),"",IF(COUNTIF(Q254:$T254,P254)&gt;0,0,IF(COUNTIF($G254:$T254,"&gt;"&amp;P254)=0,"",SMALL($G254:$T254,COUNTIF($G254:$T254,"&lt;="&amp;P254)+1)-P254)))</f>
        <v/>
      </c>
      <c r="AN254" t="str">
        <f>IF(OR($B254="",NOT(ISNUMBER(Q254))),"",IF(COUNTIF(R254:$T254,Q254)&gt;0,0,IF(COUNTIF($G254:$T254,"&gt;"&amp;Q254)=0,"",SMALL($G254:$T254,COUNTIF($G254:$T254,"&lt;="&amp;Q254)+1)-Q254)))</f>
        <v/>
      </c>
      <c r="AO254" t="str">
        <f>IF(OR($B254="",NOT(ISNUMBER(R254))),"",IF(COUNTIF(S254:$T254,R254)&gt;0,0,IF(COUNTIF($G254:$T254,"&gt;"&amp;R254)=0,"",SMALL($G254:$T254,COUNTIF($G254:$T254,"&lt;="&amp;R254)+1)-R254)))</f>
        <v/>
      </c>
      <c r="AP254">
        <f t="shared" ca="1" si="54"/>
        <v>5</v>
      </c>
      <c r="AQ254" s="25" t="str">
        <f t="shared" si="55"/>
        <v/>
      </c>
      <c r="AR254" s="25" t="str">
        <f t="shared" si="56"/>
        <v/>
      </c>
      <c r="AS254" s="25">
        <f t="shared" si="57"/>
        <v>46300</v>
      </c>
      <c r="AT254" s="25">
        <f t="shared" si="58"/>
        <v>46302</v>
      </c>
      <c r="AU254" s="25" t="str">
        <f t="shared" si="59"/>
        <v/>
      </c>
      <c r="AV254" s="25" t="str">
        <f t="shared" si="60"/>
        <v/>
      </c>
      <c r="AW254" s="25" t="str">
        <f t="shared" si="61"/>
        <v/>
      </c>
      <c r="AX254" s="25" t="str">
        <f t="shared" si="62"/>
        <v/>
      </c>
      <c r="AY254" s="25" t="str">
        <f t="shared" si="63"/>
        <v/>
      </c>
      <c r="AZ254" s="25" t="str">
        <f t="shared" si="64"/>
        <v/>
      </c>
      <c r="BA254" s="25" t="str">
        <f t="shared" si="65"/>
        <v/>
      </c>
      <c r="BB254" s="25" t="str">
        <f t="shared" si="66"/>
        <v/>
      </c>
      <c r="BC254" s="25" t="str">
        <f t="shared" si="67"/>
        <v/>
      </c>
    </row>
    <row r="255" spans="1:55" x14ac:dyDescent="0.25">
      <c r="A255" s="151">
        <f t="shared" si="51"/>
        <v>253</v>
      </c>
      <c r="B255" s="151" t="s">
        <v>424</v>
      </c>
      <c r="C255" s="152" t="s">
        <v>74</v>
      </c>
      <c r="D255" s="151">
        <f t="shared" ref="D255:D318" si="68">IFERROR(VALUE(TRIM(MID(C255,FIND(" - ",C255)+3,FIND(" - ",C255,FIND(" - ",C255)+3)-FIND(" - ",C255)-3))),"")</f>
        <v>1</v>
      </c>
      <c r="E255" s="151" t="s">
        <v>61</v>
      </c>
      <c r="F255" s="173">
        <v>46281</v>
      </c>
      <c r="G255" s="173"/>
      <c r="H255" s="173"/>
      <c r="I255" s="173">
        <v>46296</v>
      </c>
      <c r="J255" s="173">
        <v>46297</v>
      </c>
      <c r="K255" s="173"/>
      <c r="L255" s="173"/>
      <c r="M255" s="173"/>
      <c r="N255" s="173"/>
      <c r="O255" s="173"/>
      <c r="P255" s="173"/>
      <c r="Q255" s="173"/>
      <c r="R255" s="173"/>
      <c r="S255" s="173"/>
      <c r="T255" s="174">
        <v>46297</v>
      </c>
      <c r="U255" s="151"/>
      <c r="V255" s="152"/>
      <c r="W255" s="175"/>
      <c r="X255" s="173"/>
      <c r="Y255" s="173"/>
      <c r="Z255" s="176" t="str">
        <f>IF(B255="","",IF(S255&lt;&gt;"","Sevk Edildi",IF(AND(X255&lt;&gt;"",Y255=""),"Reworkte",IF(T255&lt;&gt;"","Kapandı"&amp;IF(COUNT(G255:R255)=0,""," – "&amp;LOOKUP(2,1/(G255:R255=MAX(G255:R255)),{"Tasarım","Ply Cutter","Üretim","Kalite (Üretim sonrası)","Talaşlı","Kalite (Talaşlı sonrası)","Montaj","Kalite (Montaj sonrası)","Boya","Kalite (Boya sonrası)","Yarı Mamül","KM"})),IF(COUNT(G255:R255)=0,"Başlamadı",LOOKUP(2,1/(G255:R255=MAX(G255:R255)),{"Tasarımda","Ply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55" s="177">
        <f t="shared" ca="1" si="53"/>
        <v>16</v>
      </c>
      <c r="AB255" s="175"/>
      <c r="AD255" t="str">
        <f>IF(OR($B255="",NOT(ISNUMBER(G255))),"",IF(COUNTIF(H255:$T255,G255)&gt;0,0,IF(COUNTIF($G255:$T255,"&gt;"&amp;G255)=0,"",SMALL($G255:$T255,COUNTIF($G255:$T255,"&lt;="&amp;G255)+1)-G255)))</f>
        <v/>
      </c>
      <c r="AE255" t="str">
        <f>IF(OR($B255="",NOT(ISNUMBER(H255))),"",IF(COUNTIF(I255:$T255,H255)&gt;0,0,IF(COUNTIF($G255:$T255,"&gt;"&amp;H255)=0,"",SMALL($G255:$T255,COUNTIF($G255:$T255,"&lt;="&amp;H255)+1)-H255)))</f>
        <v/>
      </c>
      <c r="AF255">
        <f>IF(OR($B255="",NOT(ISNUMBER(I255))),"",IF(COUNTIF(J255:$T255,I255)&gt;0,0,IF(COUNTIF($G255:$T255,"&gt;"&amp;I255)=0,"",SMALL($G255:$T255,COUNTIF($G255:$T255,"&lt;="&amp;I255)+1)-I255)))</f>
        <v>1</v>
      </c>
      <c r="AG255">
        <f>IF(OR($B255="",NOT(ISNUMBER(J255))),"",IF(COUNTIF(K255:$T255,J255)&gt;0,0,IF(COUNTIF($G255:$T255,"&gt;"&amp;J255)=0,"",SMALL($G255:$T255,COUNTIF($G255:$T255,"&lt;="&amp;J255)+1)-J255)))</f>
        <v>0</v>
      </c>
      <c r="AH255" t="str">
        <f>IF(OR($B255="",NOT(ISNUMBER(K255))),"",IF(COUNTIF(L255:$T255,K255)&gt;0,0,IF(COUNTIF($G255:$T255,"&gt;"&amp;K255)=0,"",SMALL($G255:$T255,COUNTIF($G255:$T255,"&lt;="&amp;K255)+1)-K255)))</f>
        <v/>
      </c>
      <c r="AI255" t="str">
        <f>IF(OR($B255="",NOT(ISNUMBER(L255))),"",IF(COUNTIF(M255:$T255,L255)&gt;0,0,IF(COUNTIF($G255:$T255,"&gt;"&amp;L255)=0,"",SMALL($G255:$T255,COUNTIF($G255:$T255,"&lt;="&amp;L255)+1)-L255)))</f>
        <v/>
      </c>
      <c r="AJ255" t="str">
        <f>IF(OR($B255="",NOT(ISNUMBER(M255))),"",IF(COUNTIF(N255:$T255,M255)&gt;0,0,IF(COUNTIF($G255:$T255,"&gt;"&amp;M255)=0,"",SMALL($G255:$T255,COUNTIF($G255:$T255,"&lt;="&amp;M255)+1)-M255)))</f>
        <v/>
      </c>
      <c r="AK255" t="str">
        <f>IF(OR($B255="",NOT(ISNUMBER(N255))),"",IF(COUNTIF(O255:$T255,N255)&gt;0,0,IF(COUNTIF($G255:$T255,"&gt;"&amp;N255)=0,"",SMALL($G255:$T255,COUNTIF($G255:$T255,"&lt;="&amp;N255)+1)-N255)))</f>
        <v/>
      </c>
      <c r="AL255" t="str">
        <f>IF(OR($B255="",NOT(ISNUMBER(O255))),"",IF(COUNTIF(P255:$T255,O255)&gt;0,0,IF(COUNTIF($G255:$T255,"&gt;"&amp;O255)=0,"",SMALL($G255:$T255,COUNTIF($G255:$T255,"&lt;="&amp;O255)+1)-O255)))</f>
        <v/>
      </c>
      <c r="AM255" t="str">
        <f>IF(OR($B255="",NOT(ISNUMBER(P255))),"",IF(COUNTIF(Q255:$T255,P255)&gt;0,0,IF(COUNTIF($G255:$T255,"&gt;"&amp;P255)=0,"",SMALL($G255:$T255,COUNTIF($G255:$T255,"&lt;="&amp;P255)+1)-P255)))</f>
        <v/>
      </c>
      <c r="AN255" t="str">
        <f>IF(OR($B255="",NOT(ISNUMBER(Q255))),"",IF(COUNTIF(R255:$T255,Q255)&gt;0,0,IF(COUNTIF($G255:$T255,"&gt;"&amp;Q255)=0,"",SMALL($G255:$T255,COUNTIF($G255:$T255,"&lt;="&amp;Q255)+1)-Q255)))</f>
        <v/>
      </c>
      <c r="AO255" t="str">
        <f>IF(OR($B255="",NOT(ISNUMBER(R255))),"",IF(COUNTIF(S255:$T255,R255)&gt;0,0,IF(COUNTIF($G255:$T255,"&gt;"&amp;R255)=0,"",SMALL($G255:$T255,COUNTIF($G255:$T255,"&lt;="&amp;R255)+1)-R255)))</f>
        <v/>
      </c>
      <c r="AP255">
        <f t="shared" ca="1" si="54"/>
        <v>0</v>
      </c>
      <c r="AQ255" s="25" t="str">
        <f t="shared" si="55"/>
        <v/>
      </c>
      <c r="AR255" s="25" t="str">
        <f t="shared" si="56"/>
        <v/>
      </c>
      <c r="AS255" s="25">
        <f t="shared" si="57"/>
        <v>46297</v>
      </c>
      <c r="AT255" s="25">
        <f t="shared" si="58"/>
        <v>46297</v>
      </c>
      <c r="AU255" s="25" t="str">
        <f t="shared" si="59"/>
        <v/>
      </c>
      <c r="AV255" s="25" t="str">
        <f t="shared" si="60"/>
        <v/>
      </c>
      <c r="AW255" s="25" t="str">
        <f t="shared" si="61"/>
        <v/>
      </c>
      <c r="AX255" s="25" t="str">
        <f t="shared" si="62"/>
        <v/>
      </c>
      <c r="AY255" s="25" t="str">
        <f t="shared" si="63"/>
        <v/>
      </c>
      <c r="AZ255" s="25" t="str">
        <f t="shared" si="64"/>
        <v/>
      </c>
      <c r="BA255" s="25" t="str">
        <f t="shared" si="65"/>
        <v/>
      </c>
      <c r="BB255" s="25" t="str">
        <f t="shared" si="66"/>
        <v/>
      </c>
      <c r="BC255" s="25">
        <f t="shared" si="67"/>
        <v>46297</v>
      </c>
    </row>
    <row r="256" spans="1:55" x14ac:dyDescent="0.25">
      <c r="A256" s="151">
        <f t="shared" si="51"/>
        <v>254</v>
      </c>
      <c r="B256" s="151" t="s">
        <v>425</v>
      </c>
      <c r="C256" s="152" t="s">
        <v>426</v>
      </c>
      <c r="D256" s="151">
        <f t="shared" si="68"/>
        <v>15</v>
      </c>
      <c r="E256" s="151" t="s">
        <v>100</v>
      </c>
      <c r="F256" s="173">
        <v>46296</v>
      </c>
      <c r="G256" s="173"/>
      <c r="H256" s="173">
        <v>46296</v>
      </c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4">
        <v>46296</v>
      </c>
      <c r="U256" s="151"/>
      <c r="V256" s="152"/>
      <c r="W256" s="175"/>
      <c r="X256" s="173"/>
      <c r="Y256" s="173"/>
      <c r="Z256" s="176" t="str">
        <f>IF(B256="","",IF(S256&lt;&gt;"","Sevk Edildi",IF(AND(X256&lt;&gt;"",Y256=""),"Reworkte",IF(T256&lt;&gt;"","Kapandı"&amp;IF(COUNT(G256:R256)=0,""," – "&amp;LOOKUP(2,1/(G256:R256=MAX(G256:R256)),{"Tasarım","Ply Cutter","Üretim","Kalite (Üretim sonrası)","Talaşlı","Kalite (Talaşlı sonrası)","Montaj","Kalite (Montaj sonrası)","Boya","Kalite (Boya sonrası)","Yarı Mamül","KM"})),IF(COUNT(G256:R256)=0,"Başlamadı",LOOKUP(2,1/(G256:R256=MAX(G256:R256)),{"Tasarımda","Ply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256" s="177">
        <f t="shared" ca="1" si="53"/>
        <v>0</v>
      </c>
      <c r="AB256" s="175"/>
      <c r="AD256" t="str">
        <f>IF(OR($B256="",NOT(ISNUMBER(G256))),"",IF(COUNTIF(H256:$T256,G256)&gt;0,0,IF(COUNTIF($G256:$T256,"&gt;"&amp;G256)=0,"",SMALL($G256:$T256,COUNTIF($G256:$T256,"&lt;="&amp;G256)+1)-G256)))</f>
        <v/>
      </c>
      <c r="AE256">
        <f>IF(OR($B256="",NOT(ISNUMBER(H256))),"",IF(COUNTIF(I256:$T256,H256)&gt;0,0,IF(COUNTIF($G256:$T256,"&gt;"&amp;H256)=0,"",SMALL($G256:$T256,COUNTIF($G256:$T256,"&lt;="&amp;H256)+1)-H256)))</f>
        <v>0</v>
      </c>
      <c r="AF256" t="str">
        <f>IF(OR($B256="",NOT(ISNUMBER(I256))),"",IF(COUNTIF(J256:$T256,I256)&gt;0,0,IF(COUNTIF($G256:$T256,"&gt;"&amp;I256)=0,"",SMALL($G256:$T256,COUNTIF($G256:$T256,"&lt;="&amp;I256)+1)-I256)))</f>
        <v/>
      </c>
      <c r="AG256" t="str">
        <f>IF(OR($B256="",NOT(ISNUMBER(J256))),"",IF(COUNTIF(K256:$T256,J256)&gt;0,0,IF(COUNTIF($G256:$T256,"&gt;"&amp;J256)=0,"",SMALL($G256:$T256,COUNTIF($G256:$T256,"&lt;="&amp;J256)+1)-J256)))</f>
        <v/>
      </c>
      <c r="AH256" t="str">
        <f>IF(OR($B256="",NOT(ISNUMBER(K256))),"",IF(COUNTIF(L256:$T256,K256)&gt;0,0,IF(COUNTIF($G256:$T256,"&gt;"&amp;K256)=0,"",SMALL($G256:$T256,COUNTIF($G256:$T256,"&lt;="&amp;K256)+1)-K256)))</f>
        <v/>
      </c>
      <c r="AI256" t="str">
        <f>IF(OR($B256="",NOT(ISNUMBER(L256))),"",IF(COUNTIF(M256:$T256,L256)&gt;0,0,IF(COUNTIF($G256:$T256,"&gt;"&amp;L256)=0,"",SMALL($G256:$T256,COUNTIF($G256:$T256,"&lt;="&amp;L256)+1)-L256)))</f>
        <v/>
      </c>
      <c r="AJ256" t="str">
        <f>IF(OR($B256="",NOT(ISNUMBER(M256))),"",IF(COUNTIF(N256:$T256,M256)&gt;0,0,IF(COUNTIF($G256:$T256,"&gt;"&amp;M256)=0,"",SMALL($G256:$T256,COUNTIF($G256:$T256,"&lt;="&amp;M256)+1)-M256)))</f>
        <v/>
      </c>
      <c r="AK256" t="str">
        <f>IF(OR($B256="",NOT(ISNUMBER(N256))),"",IF(COUNTIF(O256:$T256,N256)&gt;0,0,IF(COUNTIF($G256:$T256,"&gt;"&amp;N256)=0,"",SMALL($G256:$T256,COUNTIF($G256:$T256,"&lt;="&amp;N256)+1)-N256)))</f>
        <v/>
      </c>
      <c r="AL256" t="str">
        <f>IF(OR($B256="",NOT(ISNUMBER(O256))),"",IF(COUNTIF(P256:$T256,O256)&gt;0,0,IF(COUNTIF($G256:$T256,"&gt;"&amp;O256)=0,"",SMALL($G256:$T256,COUNTIF($G256:$T256,"&lt;="&amp;O256)+1)-O256)))</f>
        <v/>
      </c>
      <c r="AM256" t="str">
        <f>IF(OR($B256="",NOT(ISNUMBER(P256))),"",IF(COUNTIF(Q256:$T256,P256)&gt;0,0,IF(COUNTIF($G256:$T256,"&gt;"&amp;P256)=0,"",SMALL($G256:$T256,COUNTIF($G256:$T256,"&lt;="&amp;P256)+1)-P256)))</f>
        <v/>
      </c>
      <c r="AN256" t="str">
        <f>IF(OR($B256="",NOT(ISNUMBER(Q256))),"",IF(COUNTIF(R256:$T256,Q256)&gt;0,0,IF(COUNTIF($G256:$T256,"&gt;"&amp;Q256)=0,"",SMALL($G256:$T256,COUNTIF($G256:$T256,"&lt;="&amp;Q256)+1)-Q256)))</f>
        <v/>
      </c>
      <c r="AO256" t="str">
        <f>IF(OR($B256="",NOT(ISNUMBER(R256))),"",IF(COUNTIF(S256:$T256,R256)&gt;0,0,IF(COUNTIF($G256:$T256,"&gt;"&amp;R256)=0,"",SMALL($G256:$T256,COUNTIF($G256:$T256,"&lt;="&amp;R256)+1)-R256)))</f>
        <v/>
      </c>
      <c r="AP256">
        <f t="shared" ca="1" si="54"/>
        <v>0</v>
      </c>
      <c r="AQ256" s="25" t="str">
        <f t="shared" si="55"/>
        <v/>
      </c>
      <c r="AR256" s="25">
        <f t="shared" si="56"/>
        <v>46296</v>
      </c>
      <c r="AS256" s="25" t="str">
        <f t="shared" si="57"/>
        <v/>
      </c>
      <c r="AT256" s="25" t="str">
        <f t="shared" si="58"/>
        <v/>
      </c>
      <c r="AU256" s="25" t="str">
        <f t="shared" si="59"/>
        <v/>
      </c>
      <c r="AV256" s="25" t="str">
        <f t="shared" si="60"/>
        <v/>
      </c>
      <c r="AW256" s="25" t="str">
        <f t="shared" si="61"/>
        <v/>
      </c>
      <c r="AX256" s="25" t="str">
        <f t="shared" si="62"/>
        <v/>
      </c>
      <c r="AY256" s="25" t="str">
        <f t="shared" si="63"/>
        <v/>
      </c>
      <c r="AZ256" s="25" t="str">
        <f t="shared" si="64"/>
        <v/>
      </c>
      <c r="BA256" s="25" t="str">
        <f t="shared" si="65"/>
        <v/>
      </c>
      <c r="BB256" s="25" t="str">
        <f t="shared" si="66"/>
        <v/>
      </c>
      <c r="BC256" s="25">
        <f t="shared" si="67"/>
        <v>46296</v>
      </c>
    </row>
    <row r="257" spans="1:55" x14ac:dyDescent="0.25">
      <c r="A257" s="151">
        <f t="shared" si="51"/>
        <v>255</v>
      </c>
      <c r="B257" s="151" t="s">
        <v>427</v>
      </c>
      <c r="C257" s="152" t="s">
        <v>428</v>
      </c>
      <c r="D257" s="151">
        <f t="shared" si="68"/>
        <v>7</v>
      </c>
      <c r="E257" s="151" t="s">
        <v>100</v>
      </c>
      <c r="F257" s="173">
        <v>46296</v>
      </c>
      <c r="G257" s="173"/>
      <c r="H257" s="173"/>
      <c r="I257" s="173"/>
      <c r="J257" s="173"/>
      <c r="K257" s="173"/>
      <c r="L257" s="173"/>
      <c r="M257" s="173"/>
      <c r="N257" s="173"/>
      <c r="O257" s="173">
        <v>46296</v>
      </c>
      <c r="P257" s="173"/>
      <c r="Q257" s="173"/>
      <c r="R257" s="173"/>
      <c r="S257" s="173"/>
      <c r="T257" s="174">
        <v>46300</v>
      </c>
      <c r="U257" s="151"/>
      <c r="V257" s="152"/>
      <c r="W257" s="175"/>
      <c r="X257" s="173"/>
      <c r="Y257" s="173"/>
      <c r="Z257" s="176" t="str">
        <f>IF(B257="","",IF(S257&lt;&gt;"","Sevk Edildi",IF(AND(X257&lt;&gt;"",Y257=""),"Reworkte",IF(T257&lt;&gt;"","Kapandı"&amp;IF(COUNT(G257:R257)=0,""," – "&amp;LOOKUP(2,1/(G257:R257=MAX(G257:R257)),{"Tasarım","Ply Cutter","Üretim","Kalite (Üretim sonrası)","Talaşlı","Kalite (Talaşlı sonrası)","Montaj","Kalite (Montaj sonrası)","Boya","Kalite (Boya sonrası)","Yarı Mamül","KM"})),IF(COUNT(G257:R257)=0,"Başlamadı",LOOKUP(2,1/(G257:R257=MAX(G257:R257)),{"Tasarımda","Ply Cutter'da","Üretimde","Kalitede (Üretim sonrası)","Talaşlıda","Kalitede (Talaşlı sonrası)","Montajda","Kalitede (Montaj sonrası)","Boyada","Kalitede (Boya sonrası)","Yarı Mamülde","KM'de"}))))))</f>
        <v>Kapandı – Boya</v>
      </c>
      <c r="AA257" s="177">
        <f t="shared" ca="1" si="53"/>
        <v>4</v>
      </c>
      <c r="AB257" s="175"/>
      <c r="AD257" t="str">
        <f>IF(OR($B257="",NOT(ISNUMBER(G257))),"",IF(COUNTIF(H257:$T257,G257)&gt;0,0,IF(COUNTIF($G257:$T257,"&gt;"&amp;G257)=0,"",SMALL($G257:$T257,COUNTIF($G257:$T257,"&lt;="&amp;G257)+1)-G257)))</f>
        <v/>
      </c>
      <c r="AE257" t="str">
        <f>IF(OR($B257="",NOT(ISNUMBER(H257))),"",IF(COUNTIF(I257:$T257,H257)&gt;0,0,IF(COUNTIF($G257:$T257,"&gt;"&amp;H257)=0,"",SMALL($G257:$T257,COUNTIF($G257:$T257,"&lt;="&amp;H257)+1)-H257)))</f>
        <v/>
      </c>
      <c r="AF257" t="str">
        <f>IF(OR($B257="",NOT(ISNUMBER(I257))),"",IF(COUNTIF(J257:$T257,I257)&gt;0,0,IF(COUNTIF($G257:$T257,"&gt;"&amp;I257)=0,"",SMALL($G257:$T257,COUNTIF($G257:$T257,"&lt;="&amp;I257)+1)-I257)))</f>
        <v/>
      </c>
      <c r="AG257" t="str">
        <f>IF(OR($B257="",NOT(ISNUMBER(J257))),"",IF(COUNTIF(K257:$T257,J257)&gt;0,0,IF(COUNTIF($G257:$T257,"&gt;"&amp;J257)=0,"",SMALL($G257:$T257,COUNTIF($G257:$T257,"&lt;="&amp;J257)+1)-J257)))</f>
        <v/>
      </c>
      <c r="AH257" t="str">
        <f>IF(OR($B257="",NOT(ISNUMBER(K257))),"",IF(COUNTIF(L257:$T257,K257)&gt;0,0,IF(COUNTIF($G257:$T257,"&gt;"&amp;K257)=0,"",SMALL($G257:$T257,COUNTIF($G257:$T257,"&lt;="&amp;K257)+1)-K257)))</f>
        <v/>
      </c>
      <c r="AI257" t="str">
        <f>IF(OR($B257="",NOT(ISNUMBER(L257))),"",IF(COUNTIF(M257:$T257,L257)&gt;0,0,IF(COUNTIF($G257:$T257,"&gt;"&amp;L257)=0,"",SMALL($G257:$T257,COUNTIF($G257:$T257,"&lt;="&amp;L257)+1)-L257)))</f>
        <v/>
      </c>
      <c r="AJ257" t="str">
        <f>IF(OR($B257="",NOT(ISNUMBER(M257))),"",IF(COUNTIF(N257:$T257,M257)&gt;0,0,IF(COUNTIF($G257:$T257,"&gt;"&amp;M257)=0,"",SMALL($G257:$T257,COUNTIF($G257:$T257,"&lt;="&amp;M257)+1)-M257)))</f>
        <v/>
      </c>
      <c r="AK257" t="str">
        <f>IF(OR($B257="",NOT(ISNUMBER(N257))),"",IF(COUNTIF(O257:$T257,N257)&gt;0,0,IF(COUNTIF($G257:$T257,"&gt;"&amp;N257)=0,"",SMALL($G257:$T257,COUNTIF($G257:$T257,"&lt;="&amp;N257)+1)-N257)))</f>
        <v/>
      </c>
      <c r="AL257">
        <f>IF(OR($B257="",NOT(ISNUMBER(O257))),"",IF(COUNTIF(P257:$T257,O257)&gt;0,0,IF(COUNTIF($G257:$T257,"&gt;"&amp;O257)=0,"",SMALL($G257:$T257,COUNTIF($G257:$T257,"&lt;="&amp;O257)+1)-O257)))</f>
        <v>4</v>
      </c>
      <c r="AM257" t="str">
        <f>IF(OR($B257="",NOT(ISNUMBER(P257))),"",IF(COUNTIF(Q257:$T257,P257)&gt;0,0,IF(COUNTIF($G257:$T257,"&gt;"&amp;P257)=0,"",SMALL($G257:$T257,COUNTIF($G257:$T257,"&lt;="&amp;P257)+1)-P257)))</f>
        <v/>
      </c>
      <c r="AN257" t="str">
        <f>IF(OR($B257="",NOT(ISNUMBER(Q257))),"",IF(COUNTIF(R257:$T257,Q257)&gt;0,0,IF(COUNTIF($G257:$T257,"&gt;"&amp;Q257)=0,"",SMALL($G257:$T257,COUNTIF($G257:$T257,"&lt;="&amp;Q257)+1)-Q257)))</f>
        <v/>
      </c>
      <c r="AO257" t="str">
        <f>IF(OR($B257="",NOT(ISNUMBER(R257))),"",IF(COUNTIF(S257:$T257,R257)&gt;0,0,IF(COUNTIF($G257:$T257,"&gt;"&amp;R257)=0,"",SMALL($G257:$T257,COUNTIF($G257:$T257,"&lt;="&amp;R257)+1)-R257)))</f>
        <v/>
      </c>
      <c r="AP257">
        <f t="shared" ca="1" si="54"/>
        <v>0</v>
      </c>
      <c r="AQ257" s="25" t="str">
        <f t="shared" si="55"/>
        <v/>
      </c>
      <c r="AR257" s="25" t="str">
        <f t="shared" si="56"/>
        <v/>
      </c>
      <c r="AS257" s="25" t="str">
        <f t="shared" si="57"/>
        <v/>
      </c>
      <c r="AT257" s="25" t="str">
        <f t="shared" si="58"/>
        <v/>
      </c>
      <c r="AU257" s="25" t="str">
        <f t="shared" si="59"/>
        <v/>
      </c>
      <c r="AV257" s="25" t="str">
        <f t="shared" si="60"/>
        <v/>
      </c>
      <c r="AW257" s="25" t="str">
        <f t="shared" si="61"/>
        <v/>
      </c>
      <c r="AX257" s="25" t="str">
        <f t="shared" si="62"/>
        <v/>
      </c>
      <c r="AY257" s="25">
        <f t="shared" si="63"/>
        <v>46300</v>
      </c>
      <c r="AZ257" s="25" t="str">
        <f t="shared" si="64"/>
        <v/>
      </c>
      <c r="BA257" s="25" t="str">
        <f t="shared" si="65"/>
        <v/>
      </c>
      <c r="BB257" s="25" t="str">
        <f t="shared" si="66"/>
        <v/>
      </c>
      <c r="BC257" s="25">
        <f t="shared" si="67"/>
        <v>46300</v>
      </c>
    </row>
    <row r="258" spans="1:55" x14ac:dyDescent="0.25">
      <c r="A258" s="151">
        <f t="shared" si="51"/>
        <v>256</v>
      </c>
      <c r="B258" s="151" t="s">
        <v>429</v>
      </c>
      <c r="C258" s="152" t="s">
        <v>94</v>
      </c>
      <c r="D258" s="151">
        <f t="shared" si="68"/>
        <v>1</v>
      </c>
      <c r="E258" s="151" t="s">
        <v>61</v>
      </c>
      <c r="F258" s="173">
        <v>46296</v>
      </c>
      <c r="G258" s="173"/>
      <c r="H258" s="173"/>
      <c r="I258" s="173">
        <v>46296</v>
      </c>
      <c r="J258" s="173">
        <v>46297</v>
      </c>
      <c r="K258" s="173"/>
      <c r="L258" s="173"/>
      <c r="M258" s="173"/>
      <c r="N258" s="173"/>
      <c r="O258" s="173"/>
      <c r="P258" s="173"/>
      <c r="Q258" s="173">
        <v>46298</v>
      </c>
      <c r="R258" s="173"/>
      <c r="S258" s="173"/>
      <c r="T258" s="174">
        <v>46298</v>
      </c>
      <c r="U258" s="151"/>
      <c r="V258" s="152"/>
      <c r="W258" s="175"/>
      <c r="X258" s="173"/>
      <c r="Y258" s="173"/>
      <c r="Z258" s="176" t="str">
        <f>IF(B258="","",IF(S258&lt;&gt;"","Sevk Edildi",IF(AND(X258&lt;&gt;"",Y258=""),"Reworkte",IF(T258&lt;&gt;"","Kapandı"&amp;IF(COUNT(G258:R258)=0,""," – "&amp;LOOKUP(2,1/(G258:R258=MAX(G258:R258)),{"Tasarım","Ply Cutter","Üretim","Kalite (Üretim sonrası)","Talaşlı","Kalite (Talaşlı sonrası)","Montaj","Kalite (Montaj sonrası)","Boya","Kalite (Boya sonrası)","Yarı Mamül","KM"})),IF(COUNT(G258:R258)=0,"Başlamadı",LOOKUP(2,1/(G258:R258=MAX(G258:R258)),{"Tasarımda","Ply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58" s="177">
        <f t="shared" ca="1" si="53"/>
        <v>2</v>
      </c>
      <c r="AB258" s="175"/>
      <c r="AD258" t="str">
        <f>IF(OR($B258="",NOT(ISNUMBER(G258))),"",IF(COUNTIF(H258:$T258,G258)&gt;0,0,IF(COUNTIF($G258:$T258,"&gt;"&amp;G258)=0,"",SMALL($G258:$T258,COUNTIF($G258:$T258,"&lt;="&amp;G258)+1)-G258)))</f>
        <v/>
      </c>
      <c r="AE258" t="str">
        <f>IF(OR($B258="",NOT(ISNUMBER(H258))),"",IF(COUNTIF(I258:$T258,H258)&gt;0,0,IF(COUNTIF($G258:$T258,"&gt;"&amp;H258)=0,"",SMALL($G258:$T258,COUNTIF($G258:$T258,"&lt;="&amp;H258)+1)-H258)))</f>
        <v/>
      </c>
      <c r="AF258">
        <f>IF(OR($B258="",NOT(ISNUMBER(I258))),"",IF(COUNTIF(J258:$T258,I258)&gt;0,0,IF(COUNTIF($G258:$T258,"&gt;"&amp;I258)=0,"",SMALL($G258:$T258,COUNTIF($G258:$T258,"&lt;="&amp;I258)+1)-I258)))</f>
        <v>1</v>
      </c>
      <c r="AG258">
        <f>IF(OR($B258="",NOT(ISNUMBER(J258))),"",IF(COUNTIF(K258:$T258,J258)&gt;0,0,IF(COUNTIF($G258:$T258,"&gt;"&amp;J258)=0,"",SMALL($G258:$T258,COUNTIF($G258:$T258,"&lt;="&amp;J258)+1)-J258)))</f>
        <v>1</v>
      </c>
      <c r="AH258" t="str">
        <f>IF(OR($B258="",NOT(ISNUMBER(K258))),"",IF(COUNTIF(L258:$T258,K258)&gt;0,0,IF(COUNTIF($G258:$T258,"&gt;"&amp;K258)=0,"",SMALL($G258:$T258,COUNTIF($G258:$T258,"&lt;="&amp;K258)+1)-K258)))</f>
        <v/>
      </c>
      <c r="AI258" t="str">
        <f>IF(OR($B258="",NOT(ISNUMBER(L258))),"",IF(COUNTIF(M258:$T258,L258)&gt;0,0,IF(COUNTIF($G258:$T258,"&gt;"&amp;L258)=0,"",SMALL($G258:$T258,COUNTIF($G258:$T258,"&lt;="&amp;L258)+1)-L258)))</f>
        <v/>
      </c>
      <c r="AJ258" t="str">
        <f>IF(OR($B258="",NOT(ISNUMBER(M258))),"",IF(COUNTIF(N258:$T258,M258)&gt;0,0,IF(COUNTIF($G258:$T258,"&gt;"&amp;M258)=0,"",SMALL($G258:$T258,COUNTIF($G258:$T258,"&lt;="&amp;M258)+1)-M258)))</f>
        <v/>
      </c>
      <c r="AK258" t="str">
        <f>IF(OR($B258="",NOT(ISNUMBER(N258))),"",IF(COUNTIF(O258:$T258,N258)&gt;0,0,IF(COUNTIF($G258:$T258,"&gt;"&amp;N258)=0,"",SMALL($G258:$T258,COUNTIF($G258:$T258,"&lt;="&amp;N258)+1)-N258)))</f>
        <v/>
      </c>
      <c r="AL258" t="str">
        <f>IF(OR($B258="",NOT(ISNUMBER(O258))),"",IF(COUNTIF(P258:$T258,O258)&gt;0,0,IF(COUNTIF($G258:$T258,"&gt;"&amp;O258)=0,"",SMALL($G258:$T258,COUNTIF($G258:$T258,"&lt;="&amp;O258)+1)-O258)))</f>
        <v/>
      </c>
      <c r="AM258" t="str">
        <f>IF(OR($B258="",NOT(ISNUMBER(P258))),"",IF(COUNTIF(Q258:$T258,P258)&gt;0,0,IF(COUNTIF($G258:$T258,"&gt;"&amp;P258)=0,"",SMALL($G258:$T258,COUNTIF($G258:$T258,"&lt;="&amp;P258)+1)-P258)))</f>
        <v/>
      </c>
      <c r="AN258">
        <f>IF(OR($B258="",NOT(ISNUMBER(Q258))),"",IF(COUNTIF(R258:$T258,Q258)&gt;0,0,IF(COUNTIF($G258:$T258,"&gt;"&amp;Q258)=0,"",SMALL($G258:$T258,COUNTIF($G258:$T258,"&lt;="&amp;Q258)+1)-Q258)))</f>
        <v>0</v>
      </c>
      <c r="AO258" t="str">
        <f>IF(OR($B258="",NOT(ISNUMBER(R258))),"",IF(COUNTIF(S258:$T258,R258)&gt;0,0,IF(COUNTIF($G258:$T258,"&gt;"&amp;R258)=0,"",SMALL($G258:$T258,COUNTIF($G258:$T258,"&lt;="&amp;R258)+1)-R258)))</f>
        <v/>
      </c>
      <c r="AP258">
        <f t="shared" ca="1" si="54"/>
        <v>0</v>
      </c>
      <c r="AQ258" s="25" t="str">
        <f t="shared" si="55"/>
        <v/>
      </c>
      <c r="AR258" s="25" t="str">
        <f t="shared" si="56"/>
        <v/>
      </c>
      <c r="AS258" s="25">
        <f t="shared" si="57"/>
        <v>46297</v>
      </c>
      <c r="AT258" s="25">
        <f t="shared" si="58"/>
        <v>46298</v>
      </c>
      <c r="AU258" s="25" t="str">
        <f t="shared" si="59"/>
        <v/>
      </c>
      <c r="AV258" s="25" t="str">
        <f t="shared" si="60"/>
        <v/>
      </c>
      <c r="AW258" s="25" t="str">
        <f t="shared" si="61"/>
        <v/>
      </c>
      <c r="AX258" s="25" t="str">
        <f t="shared" si="62"/>
        <v/>
      </c>
      <c r="AY258" s="25" t="str">
        <f t="shared" si="63"/>
        <v/>
      </c>
      <c r="AZ258" s="25" t="str">
        <f t="shared" si="64"/>
        <v/>
      </c>
      <c r="BA258" s="25">
        <f t="shared" si="65"/>
        <v>46298</v>
      </c>
      <c r="BB258" s="25" t="str">
        <f t="shared" si="66"/>
        <v/>
      </c>
      <c r="BC258" s="25">
        <f t="shared" si="67"/>
        <v>46298</v>
      </c>
    </row>
    <row r="259" spans="1:55" x14ac:dyDescent="0.25">
      <c r="A259" s="151">
        <f t="shared" ref="A259:A322" si="69">IF(B259="","",ROW()-2)</f>
        <v>257</v>
      </c>
      <c r="B259" s="151" t="s">
        <v>430</v>
      </c>
      <c r="C259" s="152" t="s">
        <v>94</v>
      </c>
      <c r="D259" s="151">
        <f t="shared" si="68"/>
        <v>1</v>
      </c>
      <c r="E259" s="151" t="s">
        <v>61</v>
      </c>
      <c r="F259" s="173">
        <v>46296</v>
      </c>
      <c r="G259" s="173"/>
      <c r="H259" s="173"/>
      <c r="I259" s="173">
        <v>46296</v>
      </c>
      <c r="J259" s="173">
        <v>46297</v>
      </c>
      <c r="K259" s="173"/>
      <c r="L259" s="173"/>
      <c r="M259" s="173"/>
      <c r="N259" s="173"/>
      <c r="O259" s="173"/>
      <c r="P259" s="173"/>
      <c r="Q259" s="173">
        <v>46298</v>
      </c>
      <c r="R259" s="173"/>
      <c r="S259" s="173"/>
      <c r="T259" s="174">
        <v>46298</v>
      </c>
      <c r="U259" s="151"/>
      <c r="V259" s="152"/>
      <c r="W259" s="175"/>
      <c r="X259" s="173"/>
      <c r="Y259" s="173"/>
      <c r="Z259" s="176" t="str">
        <f>IF(B259="","",IF(S259&lt;&gt;"","Sevk Edildi",IF(AND(X259&lt;&gt;"",Y259=""),"Reworkte",IF(T259&lt;&gt;"","Kapandı"&amp;IF(COUNT(G259:R259)=0,""," – "&amp;LOOKUP(2,1/(G259:R259=MAX(G259:R259)),{"Tasarım","Ply Cutter","Üretim","Kalite (Üretim sonrası)","Talaşlı","Kalite (Talaşlı sonrası)","Montaj","Kalite (Montaj sonrası)","Boya","Kalite (Boya sonrası)","Yarı Mamül","KM"})),IF(COUNT(G259:R259)=0,"Başlamadı",LOOKUP(2,1/(G259:R259=MAX(G259:R259)),{"Tasarımda","Ply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59" s="177">
        <f t="shared" ref="AA259:AA322" ca="1" si="70">IF(OR(B259="",F259=""),"",IFERROR(IF(S259&lt;&gt;"",S259-F259,IF(T259&lt;&gt;"",T259-F259,TODAY()-F259)),""))</f>
        <v>2</v>
      </c>
      <c r="AB259" s="175"/>
      <c r="AD259" t="str">
        <f>IF(OR($B259="",NOT(ISNUMBER(G259))),"",IF(COUNTIF(H259:$T259,G259)&gt;0,0,IF(COUNTIF($G259:$T259,"&gt;"&amp;G259)=0,"",SMALL($G259:$T259,COUNTIF($G259:$T259,"&lt;="&amp;G259)+1)-G259)))</f>
        <v/>
      </c>
      <c r="AE259" t="str">
        <f>IF(OR($B259="",NOT(ISNUMBER(H259))),"",IF(COUNTIF(I259:$T259,H259)&gt;0,0,IF(COUNTIF($G259:$T259,"&gt;"&amp;H259)=0,"",SMALL($G259:$T259,COUNTIF($G259:$T259,"&lt;="&amp;H259)+1)-H259)))</f>
        <v/>
      </c>
      <c r="AF259">
        <f>IF(OR($B259="",NOT(ISNUMBER(I259))),"",IF(COUNTIF(J259:$T259,I259)&gt;0,0,IF(COUNTIF($G259:$T259,"&gt;"&amp;I259)=0,"",SMALL($G259:$T259,COUNTIF($G259:$T259,"&lt;="&amp;I259)+1)-I259)))</f>
        <v>1</v>
      </c>
      <c r="AG259">
        <f>IF(OR($B259="",NOT(ISNUMBER(J259))),"",IF(COUNTIF(K259:$T259,J259)&gt;0,0,IF(COUNTIF($G259:$T259,"&gt;"&amp;J259)=0,"",SMALL($G259:$T259,COUNTIF($G259:$T259,"&lt;="&amp;J259)+1)-J259)))</f>
        <v>1</v>
      </c>
      <c r="AH259" t="str">
        <f>IF(OR($B259="",NOT(ISNUMBER(K259))),"",IF(COUNTIF(L259:$T259,K259)&gt;0,0,IF(COUNTIF($G259:$T259,"&gt;"&amp;K259)=0,"",SMALL($G259:$T259,COUNTIF($G259:$T259,"&lt;="&amp;K259)+1)-K259)))</f>
        <v/>
      </c>
      <c r="AI259" t="str">
        <f>IF(OR($B259="",NOT(ISNUMBER(L259))),"",IF(COUNTIF(M259:$T259,L259)&gt;0,0,IF(COUNTIF($G259:$T259,"&gt;"&amp;L259)=0,"",SMALL($G259:$T259,COUNTIF($G259:$T259,"&lt;="&amp;L259)+1)-L259)))</f>
        <v/>
      </c>
      <c r="AJ259" t="str">
        <f>IF(OR($B259="",NOT(ISNUMBER(M259))),"",IF(COUNTIF(N259:$T259,M259)&gt;0,0,IF(COUNTIF($G259:$T259,"&gt;"&amp;M259)=0,"",SMALL($G259:$T259,COUNTIF($G259:$T259,"&lt;="&amp;M259)+1)-M259)))</f>
        <v/>
      </c>
      <c r="AK259" t="str">
        <f>IF(OR($B259="",NOT(ISNUMBER(N259))),"",IF(COUNTIF(O259:$T259,N259)&gt;0,0,IF(COUNTIF($G259:$T259,"&gt;"&amp;N259)=0,"",SMALL($G259:$T259,COUNTIF($G259:$T259,"&lt;="&amp;N259)+1)-N259)))</f>
        <v/>
      </c>
      <c r="AL259" t="str">
        <f>IF(OR($B259="",NOT(ISNUMBER(O259))),"",IF(COUNTIF(P259:$T259,O259)&gt;0,0,IF(COUNTIF($G259:$T259,"&gt;"&amp;O259)=0,"",SMALL($G259:$T259,COUNTIF($G259:$T259,"&lt;="&amp;O259)+1)-O259)))</f>
        <v/>
      </c>
      <c r="AM259" t="str">
        <f>IF(OR($B259="",NOT(ISNUMBER(P259))),"",IF(COUNTIF(Q259:$T259,P259)&gt;0,0,IF(COUNTIF($G259:$T259,"&gt;"&amp;P259)=0,"",SMALL($G259:$T259,COUNTIF($G259:$T259,"&lt;="&amp;P259)+1)-P259)))</f>
        <v/>
      </c>
      <c r="AN259">
        <f>IF(OR($B259="",NOT(ISNUMBER(Q259))),"",IF(COUNTIF(R259:$T259,Q259)&gt;0,0,IF(COUNTIF($G259:$T259,"&gt;"&amp;Q259)=0,"",SMALL($G259:$T259,COUNTIF($G259:$T259,"&lt;="&amp;Q259)+1)-Q259)))</f>
        <v>0</v>
      </c>
      <c r="AO259" t="str">
        <f>IF(OR($B259="",NOT(ISNUMBER(R259))),"",IF(COUNTIF(S259:$T259,R259)&gt;0,0,IF(COUNTIF($G259:$T259,"&gt;"&amp;R259)=0,"",SMALL($G259:$T259,COUNTIF($G259:$T259,"&lt;="&amp;R259)+1)-R259)))</f>
        <v/>
      </c>
      <c r="AP259">
        <f t="shared" ref="AP259:AP322" ca="1" si="71">IF(OR($B259="",Z259="",Z259="Başlamadı",Z259="Sevk Edildi",Z259="Reworkte",LEFT(Z259,7)="Kapandı"),0,TODAY()-MAX($G259:$R259))</f>
        <v>0</v>
      </c>
      <c r="AQ259" s="25" t="str">
        <f t="shared" ref="AQ259:AQ322" si="72">IF(AND(ISNUMBER(G259),ISNUMBER(AD259)),G259+AD259,"")</f>
        <v/>
      </c>
      <c r="AR259" s="25" t="str">
        <f t="shared" ref="AR259:AR322" si="73">IF(AND(ISNUMBER(H259),ISNUMBER(AE259)),H259+AE259,"")</f>
        <v/>
      </c>
      <c r="AS259" s="25">
        <f t="shared" ref="AS259:AS322" si="74">IF(AND(ISNUMBER(I259),ISNUMBER(AF259)),I259+AF259,"")</f>
        <v>46297</v>
      </c>
      <c r="AT259" s="25">
        <f t="shared" ref="AT259:AT322" si="75">IF(AND(ISNUMBER(J259),ISNUMBER(AG259)),J259+AG259,"")</f>
        <v>46298</v>
      </c>
      <c r="AU259" s="25" t="str">
        <f t="shared" ref="AU259:AU322" si="76">IF(AND(ISNUMBER(K259),ISNUMBER(AH259)),K259+AH259,"")</f>
        <v/>
      </c>
      <c r="AV259" s="25" t="str">
        <f t="shared" ref="AV259:AV322" si="77">IF(AND(ISNUMBER(L259),ISNUMBER(AI259)),L259+AI259,"")</f>
        <v/>
      </c>
      <c r="AW259" s="25" t="str">
        <f t="shared" ref="AW259:AW322" si="78">IF(AND(ISNUMBER(M259),ISNUMBER(AJ259)),M259+AJ259,"")</f>
        <v/>
      </c>
      <c r="AX259" s="25" t="str">
        <f t="shared" ref="AX259:AX322" si="79">IF(AND(ISNUMBER(N259),ISNUMBER(AK259)),N259+AK259,"")</f>
        <v/>
      </c>
      <c r="AY259" s="25" t="str">
        <f t="shared" ref="AY259:AY322" si="80">IF(AND(ISNUMBER(O259),ISNUMBER(AL259)),O259+AL259,"")</f>
        <v/>
      </c>
      <c r="AZ259" s="25" t="str">
        <f t="shared" ref="AZ259:AZ322" si="81">IF(AND(ISNUMBER(P259),ISNUMBER(AM259)),P259+AM259,"")</f>
        <v/>
      </c>
      <c r="BA259" s="25">
        <f t="shared" ref="BA259:BA322" si="82">IF(AND(ISNUMBER(Q259),ISNUMBER(AN259)),Q259+AN259,"")</f>
        <v>46298</v>
      </c>
      <c r="BB259" s="25" t="str">
        <f t="shared" ref="BB259:BB322" si="83">IF(AND(ISNUMBER(R259),ISNUMBER(AO259)),R259+AO259,"")</f>
        <v/>
      </c>
      <c r="BC259" s="25">
        <f t="shared" ref="BC259:BC322" si="84">IF(AND(S259="",T259=""),"",MIN(S259,T259))</f>
        <v>46298</v>
      </c>
    </row>
    <row r="260" spans="1:55" x14ac:dyDescent="0.25">
      <c r="A260" s="151">
        <f t="shared" si="69"/>
        <v>258</v>
      </c>
      <c r="B260" s="151" t="s">
        <v>431</v>
      </c>
      <c r="C260" s="152" t="s">
        <v>94</v>
      </c>
      <c r="D260" s="151">
        <f t="shared" si="68"/>
        <v>1</v>
      </c>
      <c r="E260" s="151" t="s">
        <v>61</v>
      </c>
      <c r="F260" s="173">
        <v>46296</v>
      </c>
      <c r="G260" s="173"/>
      <c r="H260" s="173"/>
      <c r="I260" s="173">
        <v>46296</v>
      </c>
      <c r="J260" s="173">
        <v>46297</v>
      </c>
      <c r="K260" s="173"/>
      <c r="L260" s="173"/>
      <c r="M260" s="173"/>
      <c r="N260" s="173"/>
      <c r="O260" s="173"/>
      <c r="P260" s="173"/>
      <c r="Q260" s="173">
        <v>46298</v>
      </c>
      <c r="R260" s="173"/>
      <c r="S260" s="173"/>
      <c r="T260" s="174">
        <v>46298</v>
      </c>
      <c r="U260" s="151"/>
      <c r="V260" s="152"/>
      <c r="W260" s="175"/>
      <c r="X260" s="173"/>
      <c r="Y260" s="173"/>
      <c r="Z260" s="176" t="str">
        <f>IF(B260="","",IF(S260&lt;&gt;"","Sevk Edildi",IF(AND(X260&lt;&gt;"",Y260=""),"Reworkte",IF(T260&lt;&gt;"","Kapandı"&amp;IF(COUNT(G260:R260)=0,""," – "&amp;LOOKUP(2,1/(G260:R260=MAX(G260:R260)),{"Tasarım","Ply Cutter","Üretim","Kalite (Üretim sonrası)","Talaşlı","Kalite (Talaşlı sonrası)","Montaj","Kalite (Montaj sonrası)","Boya","Kalite (Boya sonrası)","Yarı Mamül","KM"})),IF(COUNT(G260:R260)=0,"Başlamadı",LOOKUP(2,1/(G260:R260=MAX(G260:R260)),{"Tasarımda","Ply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60" s="177">
        <f t="shared" ca="1" si="70"/>
        <v>2</v>
      </c>
      <c r="AB260" s="175"/>
      <c r="AD260" t="str">
        <f>IF(OR($B260="",NOT(ISNUMBER(G260))),"",IF(COUNTIF(H260:$T260,G260)&gt;0,0,IF(COUNTIF($G260:$T260,"&gt;"&amp;G260)=0,"",SMALL($G260:$T260,COUNTIF($G260:$T260,"&lt;="&amp;G260)+1)-G260)))</f>
        <v/>
      </c>
      <c r="AE260" t="str">
        <f>IF(OR($B260="",NOT(ISNUMBER(H260))),"",IF(COUNTIF(I260:$T260,H260)&gt;0,0,IF(COUNTIF($G260:$T260,"&gt;"&amp;H260)=0,"",SMALL($G260:$T260,COUNTIF($G260:$T260,"&lt;="&amp;H260)+1)-H260)))</f>
        <v/>
      </c>
      <c r="AF260">
        <f>IF(OR($B260="",NOT(ISNUMBER(I260))),"",IF(COUNTIF(J260:$T260,I260)&gt;0,0,IF(COUNTIF($G260:$T260,"&gt;"&amp;I260)=0,"",SMALL($G260:$T260,COUNTIF($G260:$T260,"&lt;="&amp;I260)+1)-I260)))</f>
        <v>1</v>
      </c>
      <c r="AG260">
        <f>IF(OR($B260="",NOT(ISNUMBER(J260))),"",IF(COUNTIF(K260:$T260,J260)&gt;0,0,IF(COUNTIF($G260:$T260,"&gt;"&amp;J260)=0,"",SMALL($G260:$T260,COUNTIF($G260:$T260,"&lt;="&amp;J260)+1)-J260)))</f>
        <v>1</v>
      </c>
      <c r="AH260" t="str">
        <f>IF(OR($B260="",NOT(ISNUMBER(K260))),"",IF(COUNTIF(L260:$T260,K260)&gt;0,0,IF(COUNTIF($G260:$T260,"&gt;"&amp;K260)=0,"",SMALL($G260:$T260,COUNTIF($G260:$T260,"&lt;="&amp;K260)+1)-K260)))</f>
        <v/>
      </c>
      <c r="AI260" t="str">
        <f>IF(OR($B260="",NOT(ISNUMBER(L260))),"",IF(COUNTIF(M260:$T260,L260)&gt;0,0,IF(COUNTIF($G260:$T260,"&gt;"&amp;L260)=0,"",SMALL($G260:$T260,COUNTIF($G260:$T260,"&lt;="&amp;L260)+1)-L260)))</f>
        <v/>
      </c>
      <c r="AJ260" t="str">
        <f>IF(OR($B260="",NOT(ISNUMBER(M260))),"",IF(COUNTIF(N260:$T260,M260)&gt;0,0,IF(COUNTIF($G260:$T260,"&gt;"&amp;M260)=0,"",SMALL($G260:$T260,COUNTIF($G260:$T260,"&lt;="&amp;M260)+1)-M260)))</f>
        <v/>
      </c>
      <c r="AK260" t="str">
        <f>IF(OR($B260="",NOT(ISNUMBER(N260))),"",IF(COUNTIF(O260:$T260,N260)&gt;0,0,IF(COUNTIF($G260:$T260,"&gt;"&amp;N260)=0,"",SMALL($G260:$T260,COUNTIF($G260:$T260,"&lt;="&amp;N260)+1)-N260)))</f>
        <v/>
      </c>
      <c r="AL260" t="str">
        <f>IF(OR($B260="",NOT(ISNUMBER(O260))),"",IF(COUNTIF(P260:$T260,O260)&gt;0,0,IF(COUNTIF($G260:$T260,"&gt;"&amp;O260)=0,"",SMALL($G260:$T260,COUNTIF($G260:$T260,"&lt;="&amp;O260)+1)-O260)))</f>
        <v/>
      </c>
      <c r="AM260" t="str">
        <f>IF(OR($B260="",NOT(ISNUMBER(P260))),"",IF(COUNTIF(Q260:$T260,P260)&gt;0,0,IF(COUNTIF($G260:$T260,"&gt;"&amp;P260)=0,"",SMALL($G260:$T260,COUNTIF($G260:$T260,"&lt;="&amp;P260)+1)-P260)))</f>
        <v/>
      </c>
      <c r="AN260">
        <f>IF(OR($B260="",NOT(ISNUMBER(Q260))),"",IF(COUNTIF(R260:$T260,Q260)&gt;0,0,IF(COUNTIF($G260:$T260,"&gt;"&amp;Q260)=0,"",SMALL($G260:$T260,COUNTIF($G260:$T260,"&lt;="&amp;Q260)+1)-Q260)))</f>
        <v>0</v>
      </c>
      <c r="AO260" t="str">
        <f>IF(OR($B260="",NOT(ISNUMBER(R260))),"",IF(COUNTIF(S260:$T260,R260)&gt;0,0,IF(COUNTIF($G260:$T260,"&gt;"&amp;R260)=0,"",SMALL($G260:$T260,COUNTIF($G260:$T260,"&lt;="&amp;R260)+1)-R260)))</f>
        <v/>
      </c>
      <c r="AP260">
        <f t="shared" ca="1" si="71"/>
        <v>0</v>
      </c>
      <c r="AQ260" s="25" t="str">
        <f t="shared" si="72"/>
        <v/>
      </c>
      <c r="AR260" s="25" t="str">
        <f t="shared" si="73"/>
        <v/>
      </c>
      <c r="AS260" s="25">
        <f t="shared" si="74"/>
        <v>46297</v>
      </c>
      <c r="AT260" s="25">
        <f t="shared" si="75"/>
        <v>46298</v>
      </c>
      <c r="AU260" s="25" t="str">
        <f t="shared" si="76"/>
        <v/>
      </c>
      <c r="AV260" s="25" t="str">
        <f t="shared" si="77"/>
        <v/>
      </c>
      <c r="AW260" s="25" t="str">
        <f t="shared" si="78"/>
        <v/>
      </c>
      <c r="AX260" s="25" t="str">
        <f t="shared" si="79"/>
        <v/>
      </c>
      <c r="AY260" s="25" t="str">
        <f t="shared" si="80"/>
        <v/>
      </c>
      <c r="AZ260" s="25" t="str">
        <f t="shared" si="81"/>
        <v/>
      </c>
      <c r="BA260" s="25">
        <f t="shared" si="82"/>
        <v>46298</v>
      </c>
      <c r="BB260" s="25" t="str">
        <f t="shared" si="83"/>
        <v/>
      </c>
      <c r="BC260" s="25">
        <f t="shared" si="84"/>
        <v>46298</v>
      </c>
    </row>
    <row r="261" spans="1:55" x14ac:dyDescent="0.25">
      <c r="A261" s="151">
        <f t="shared" si="69"/>
        <v>259</v>
      </c>
      <c r="B261" s="151" t="s">
        <v>432</v>
      </c>
      <c r="C261" s="152" t="s">
        <v>76</v>
      </c>
      <c r="D261" s="151">
        <f t="shared" si="68"/>
        <v>1</v>
      </c>
      <c r="E261" s="151" t="s">
        <v>61</v>
      </c>
      <c r="F261" s="173">
        <v>46296</v>
      </c>
      <c r="G261" s="173"/>
      <c r="H261" s="173"/>
      <c r="I261" s="173">
        <v>46296</v>
      </c>
      <c r="J261" s="173">
        <v>46297</v>
      </c>
      <c r="K261" s="173"/>
      <c r="L261" s="173"/>
      <c r="M261" s="173"/>
      <c r="N261" s="173"/>
      <c r="O261" s="173"/>
      <c r="P261" s="173"/>
      <c r="Q261" s="173"/>
      <c r="R261" s="173"/>
      <c r="S261" s="173"/>
      <c r="T261" s="174">
        <v>46297</v>
      </c>
      <c r="U261" s="151"/>
      <c r="V261" s="152"/>
      <c r="W261" s="175"/>
      <c r="X261" s="173"/>
      <c r="Y261" s="173"/>
      <c r="Z261" s="176" t="str">
        <f>IF(B261="","",IF(S261&lt;&gt;"","Sevk Edildi",IF(AND(X261&lt;&gt;"",Y261=""),"Reworkte",IF(T261&lt;&gt;"","Kapandı"&amp;IF(COUNT(G261:R261)=0,""," – "&amp;LOOKUP(2,1/(G261:R261=MAX(G261:R261)),{"Tasarım","Ply Cutter","Üretim","Kalite (Üretim sonrası)","Talaşlı","Kalite (Talaşlı sonrası)","Montaj","Kalite (Montaj sonrası)","Boya","Kalite (Boya sonrası)","Yarı Mamül","KM"})),IF(COUNT(G261:R261)=0,"Başlamadı",LOOKUP(2,1/(G261:R261=MAX(G261:R261)),{"Tasarımda","Ply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61" s="177">
        <f t="shared" ca="1" si="70"/>
        <v>1</v>
      </c>
      <c r="AB261" s="175"/>
      <c r="AD261" t="str">
        <f>IF(OR($B261="",NOT(ISNUMBER(G261))),"",IF(COUNTIF(H261:$T261,G261)&gt;0,0,IF(COUNTIF($G261:$T261,"&gt;"&amp;G261)=0,"",SMALL($G261:$T261,COUNTIF($G261:$T261,"&lt;="&amp;G261)+1)-G261)))</f>
        <v/>
      </c>
      <c r="AE261" t="str">
        <f>IF(OR($B261="",NOT(ISNUMBER(H261))),"",IF(COUNTIF(I261:$T261,H261)&gt;0,0,IF(COUNTIF($G261:$T261,"&gt;"&amp;H261)=0,"",SMALL($G261:$T261,COUNTIF($G261:$T261,"&lt;="&amp;H261)+1)-H261)))</f>
        <v/>
      </c>
      <c r="AF261">
        <f>IF(OR($B261="",NOT(ISNUMBER(I261))),"",IF(COUNTIF(J261:$T261,I261)&gt;0,0,IF(COUNTIF($G261:$T261,"&gt;"&amp;I261)=0,"",SMALL($G261:$T261,COUNTIF($G261:$T261,"&lt;="&amp;I261)+1)-I261)))</f>
        <v>1</v>
      </c>
      <c r="AG261">
        <f>IF(OR($B261="",NOT(ISNUMBER(J261))),"",IF(COUNTIF(K261:$T261,J261)&gt;0,0,IF(COUNTIF($G261:$T261,"&gt;"&amp;J261)=0,"",SMALL($G261:$T261,COUNTIF($G261:$T261,"&lt;="&amp;J261)+1)-J261)))</f>
        <v>0</v>
      </c>
      <c r="AH261" t="str">
        <f>IF(OR($B261="",NOT(ISNUMBER(K261))),"",IF(COUNTIF(L261:$T261,K261)&gt;0,0,IF(COUNTIF($G261:$T261,"&gt;"&amp;K261)=0,"",SMALL($G261:$T261,COUNTIF($G261:$T261,"&lt;="&amp;K261)+1)-K261)))</f>
        <v/>
      </c>
      <c r="AI261" t="str">
        <f>IF(OR($B261="",NOT(ISNUMBER(L261))),"",IF(COUNTIF(M261:$T261,L261)&gt;0,0,IF(COUNTIF($G261:$T261,"&gt;"&amp;L261)=0,"",SMALL($G261:$T261,COUNTIF($G261:$T261,"&lt;="&amp;L261)+1)-L261)))</f>
        <v/>
      </c>
      <c r="AJ261" t="str">
        <f>IF(OR($B261="",NOT(ISNUMBER(M261))),"",IF(COUNTIF(N261:$T261,M261)&gt;0,0,IF(COUNTIF($G261:$T261,"&gt;"&amp;M261)=0,"",SMALL($G261:$T261,COUNTIF($G261:$T261,"&lt;="&amp;M261)+1)-M261)))</f>
        <v/>
      </c>
      <c r="AK261" t="str">
        <f>IF(OR($B261="",NOT(ISNUMBER(N261))),"",IF(COUNTIF(O261:$T261,N261)&gt;0,0,IF(COUNTIF($G261:$T261,"&gt;"&amp;N261)=0,"",SMALL($G261:$T261,COUNTIF($G261:$T261,"&lt;="&amp;N261)+1)-N261)))</f>
        <v/>
      </c>
      <c r="AL261" t="str">
        <f>IF(OR($B261="",NOT(ISNUMBER(O261))),"",IF(COUNTIF(P261:$T261,O261)&gt;0,0,IF(COUNTIF($G261:$T261,"&gt;"&amp;O261)=0,"",SMALL($G261:$T261,COUNTIF($G261:$T261,"&lt;="&amp;O261)+1)-O261)))</f>
        <v/>
      </c>
      <c r="AM261" t="str">
        <f>IF(OR($B261="",NOT(ISNUMBER(P261))),"",IF(COUNTIF(Q261:$T261,P261)&gt;0,0,IF(COUNTIF($G261:$T261,"&gt;"&amp;P261)=0,"",SMALL($G261:$T261,COUNTIF($G261:$T261,"&lt;="&amp;P261)+1)-P261)))</f>
        <v/>
      </c>
      <c r="AN261" t="str">
        <f>IF(OR($B261="",NOT(ISNUMBER(Q261))),"",IF(COUNTIF(R261:$T261,Q261)&gt;0,0,IF(COUNTIF($G261:$T261,"&gt;"&amp;Q261)=0,"",SMALL($G261:$T261,COUNTIF($G261:$T261,"&lt;="&amp;Q261)+1)-Q261)))</f>
        <v/>
      </c>
      <c r="AO261" t="str">
        <f>IF(OR($B261="",NOT(ISNUMBER(R261))),"",IF(COUNTIF(S261:$T261,R261)&gt;0,0,IF(COUNTIF($G261:$T261,"&gt;"&amp;R261)=0,"",SMALL($G261:$T261,COUNTIF($G261:$T261,"&lt;="&amp;R261)+1)-R261)))</f>
        <v/>
      </c>
      <c r="AP261">
        <f t="shared" ca="1" si="71"/>
        <v>0</v>
      </c>
      <c r="AQ261" s="25" t="str">
        <f t="shared" si="72"/>
        <v/>
      </c>
      <c r="AR261" s="25" t="str">
        <f t="shared" si="73"/>
        <v/>
      </c>
      <c r="AS261" s="25">
        <f t="shared" si="74"/>
        <v>46297</v>
      </c>
      <c r="AT261" s="25">
        <f t="shared" si="75"/>
        <v>46297</v>
      </c>
      <c r="AU261" s="25" t="str">
        <f t="shared" si="76"/>
        <v/>
      </c>
      <c r="AV261" s="25" t="str">
        <f t="shared" si="77"/>
        <v/>
      </c>
      <c r="AW261" s="25" t="str">
        <f t="shared" si="78"/>
        <v/>
      </c>
      <c r="AX261" s="25" t="str">
        <f t="shared" si="79"/>
        <v/>
      </c>
      <c r="AY261" s="25" t="str">
        <f t="shared" si="80"/>
        <v/>
      </c>
      <c r="AZ261" s="25" t="str">
        <f t="shared" si="81"/>
        <v/>
      </c>
      <c r="BA261" s="25" t="str">
        <f t="shared" si="82"/>
        <v/>
      </c>
      <c r="BB261" s="25" t="str">
        <f t="shared" si="83"/>
        <v/>
      </c>
      <c r="BC261" s="25">
        <f t="shared" si="84"/>
        <v>46297</v>
      </c>
    </row>
    <row r="262" spans="1:55" x14ac:dyDescent="0.25">
      <c r="A262" s="151">
        <f t="shared" si="69"/>
        <v>260</v>
      </c>
      <c r="B262" s="151" t="s">
        <v>433</v>
      </c>
      <c r="C262" s="152" t="s">
        <v>163</v>
      </c>
      <c r="D262" s="151">
        <f t="shared" si="68"/>
        <v>1</v>
      </c>
      <c r="E262" s="151" t="s">
        <v>61</v>
      </c>
      <c r="F262" s="173">
        <v>46296</v>
      </c>
      <c r="G262" s="173"/>
      <c r="H262" s="173"/>
      <c r="I262" s="173">
        <v>46300</v>
      </c>
      <c r="J262" s="173">
        <v>46301</v>
      </c>
      <c r="K262" s="173"/>
      <c r="L262" s="173"/>
      <c r="M262" s="173"/>
      <c r="N262" s="173"/>
      <c r="O262" s="173"/>
      <c r="P262" s="173"/>
      <c r="Q262" s="173">
        <v>46302</v>
      </c>
      <c r="R262" s="173"/>
      <c r="S262" s="173"/>
      <c r="T262" s="174">
        <v>46302</v>
      </c>
      <c r="U262" s="151"/>
      <c r="V262" s="152"/>
      <c r="W262" s="175"/>
      <c r="X262" s="173"/>
      <c r="Y262" s="173"/>
      <c r="Z262" s="176" t="str">
        <f>IF(B262="","",IF(S262&lt;&gt;"","Sevk Edildi",IF(AND(X262&lt;&gt;"",Y262=""),"Reworkte",IF(T262&lt;&gt;"","Kapandı"&amp;IF(COUNT(G262:R262)=0,""," – "&amp;LOOKUP(2,1/(G262:R262=MAX(G262:R262)),{"Tasarım","Ply Cutter","Üretim","Kalite (Üretim sonrası)","Talaşlı","Kalite (Talaşlı sonrası)","Montaj","Kalite (Montaj sonrası)","Boya","Kalite (Boya sonrası)","Yarı Mamül","KM"})),IF(COUNT(G262:R262)=0,"Başlamadı",LOOKUP(2,1/(G262:R262=MAX(G262:R262)),{"Tasarımda","Ply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62" s="177">
        <f t="shared" ca="1" si="70"/>
        <v>6</v>
      </c>
      <c r="AB262" s="175"/>
      <c r="AD262" t="str">
        <f>IF(OR($B262="",NOT(ISNUMBER(G262))),"",IF(COUNTIF(H262:$T262,G262)&gt;0,0,IF(COUNTIF($G262:$T262,"&gt;"&amp;G262)=0,"",SMALL($G262:$T262,COUNTIF($G262:$T262,"&lt;="&amp;G262)+1)-G262)))</f>
        <v/>
      </c>
      <c r="AE262" t="str">
        <f>IF(OR($B262="",NOT(ISNUMBER(H262))),"",IF(COUNTIF(I262:$T262,H262)&gt;0,0,IF(COUNTIF($G262:$T262,"&gt;"&amp;H262)=0,"",SMALL($G262:$T262,COUNTIF($G262:$T262,"&lt;="&amp;H262)+1)-H262)))</f>
        <v/>
      </c>
      <c r="AF262">
        <f>IF(OR($B262="",NOT(ISNUMBER(I262))),"",IF(COUNTIF(J262:$T262,I262)&gt;0,0,IF(COUNTIF($G262:$T262,"&gt;"&amp;I262)=0,"",SMALL($G262:$T262,COUNTIF($G262:$T262,"&lt;="&amp;I262)+1)-I262)))</f>
        <v>1</v>
      </c>
      <c r="AG262">
        <f>IF(OR($B262="",NOT(ISNUMBER(J262))),"",IF(COUNTIF(K262:$T262,J262)&gt;0,0,IF(COUNTIF($G262:$T262,"&gt;"&amp;J262)=0,"",SMALL($G262:$T262,COUNTIF($G262:$T262,"&lt;="&amp;J262)+1)-J262)))</f>
        <v>1</v>
      </c>
      <c r="AH262" t="str">
        <f>IF(OR($B262="",NOT(ISNUMBER(K262))),"",IF(COUNTIF(L262:$T262,K262)&gt;0,0,IF(COUNTIF($G262:$T262,"&gt;"&amp;K262)=0,"",SMALL($G262:$T262,COUNTIF($G262:$T262,"&lt;="&amp;K262)+1)-K262)))</f>
        <v/>
      </c>
      <c r="AI262" t="str">
        <f>IF(OR($B262="",NOT(ISNUMBER(L262))),"",IF(COUNTIF(M262:$T262,L262)&gt;0,0,IF(COUNTIF($G262:$T262,"&gt;"&amp;L262)=0,"",SMALL($G262:$T262,COUNTIF($G262:$T262,"&lt;="&amp;L262)+1)-L262)))</f>
        <v/>
      </c>
      <c r="AJ262" t="str">
        <f>IF(OR($B262="",NOT(ISNUMBER(M262))),"",IF(COUNTIF(N262:$T262,M262)&gt;0,0,IF(COUNTIF($G262:$T262,"&gt;"&amp;M262)=0,"",SMALL($G262:$T262,COUNTIF($G262:$T262,"&lt;="&amp;M262)+1)-M262)))</f>
        <v/>
      </c>
      <c r="AK262" t="str">
        <f>IF(OR($B262="",NOT(ISNUMBER(N262))),"",IF(COUNTIF(O262:$T262,N262)&gt;0,0,IF(COUNTIF($G262:$T262,"&gt;"&amp;N262)=0,"",SMALL($G262:$T262,COUNTIF($G262:$T262,"&lt;="&amp;N262)+1)-N262)))</f>
        <v/>
      </c>
      <c r="AL262" t="str">
        <f>IF(OR($B262="",NOT(ISNUMBER(O262))),"",IF(COUNTIF(P262:$T262,O262)&gt;0,0,IF(COUNTIF($G262:$T262,"&gt;"&amp;O262)=0,"",SMALL($G262:$T262,COUNTIF($G262:$T262,"&lt;="&amp;O262)+1)-O262)))</f>
        <v/>
      </c>
      <c r="AM262" t="str">
        <f>IF(OR($B262="",NOT(ISNUMBER(P262))),"",IF(COUNTIF(Q262:$T262,P262)&gt;0,0,IF(COUNTIF($G262:$T262,"&gt;"&amp;P262)=0,"",SMALL($G262:$T262,COUNTIF($G262:$T262,"&lt;="&amp;P262)+1)-P262)))</f>
        <v/>
      </c>
      <c r="AN262">
        <f>IF(OR($B262="",NOT(ISNUMBER(Q262))),"",IF(COUNTIF(R262:$T262,Q262)&gt;0,0,IF(COUNTIF($G262:$T262,"&gt;"&amp;Q262)=0,"",SMALL($G262:$T262,COUNTIF($G262:$T262,"&lt;="&amp;Q262)+1)-Q262)))</f>
        <v>0</v>
      </c>
      <c r="AO262" t="str">
        <f>IF(OR($B262="",NOT(ISNUMBER(R262))),"",IF(COUNTIF(S262:$T262,R262)&gt;0,0,IF(COUNTIF($G262:$T262,"&gt;"&amp;R262)=0,"",SMALL($G262:$T262,COUNTIF($G262:$T262,"&lt;="&amp;R262)+1)-R262)))</f>
        <v/>
      </c>
      <c r="AP262">
        <f t="shared" ca="1" si="71"/>
        <v>0</v>
      </c>
      <c r="AQ262" s="25" t="str">
        <f t="shared" si="72"/>
        <v/>
      </c>
      <c r="AR262" s="25" t="str">
        <f t="shared" si="73"/>
        <v/>
      </c>
      <c r="AS262" s="25">
        <f t="shared" si="74"/>
        <v>46301</v>
      </c>
      <c r="AT262" s="25">
        <f t="shared" si="75"/>
        <v>46302</v>
      </c>
      <c r="AU262" s="25" t="str">
        <f t="shared" si="76"/>
        <v/>
      </c>
      <c r="AV262" s="25" t="str">
        <f t="shared" si="77"/>
        <v/>
      </c>
      <c r="AW262" s="25" t="str">
        <f t="shared" si="78"/>
        <v/>
      </c>
      <c r="AX262" s="25" t="str">
        <f t="shared" si="79"/>
        <v/>
      </c>
      <c r="AY262" s="25" t="str">
        <f t="shared" si="80"/>
        <v/>
      </c>
      <c r="AZ262" s="25" t="str">
        <f t="shared" si="81"/>
        <v/>
      </c>
      <c r="BA262" s="25">
        <f t="shared" si="82"/>
        <v>46302</v>
      </c>
      <c r="BB262" s="25" t="str">
        <f t="shared" si="83"/>
        <v/>
      </c>
      <c r="BC262" s="25">
        <f t="shared" si="84"/>
        <v>46302</v>
      </c>
    </row>
    <row r="263" spans="1:55" x14ac:dyDescent="0.25">
      <c r="A263" s="151">
        <f t="shared" si="69"/>
        <v>261</v>
      </c>
      <c r="B263" s="151" t="s">
        <v>434</v>
      </c>
      <c r="C263" s="152" t="s">
        <v>121</v>
      </c>
      <c r="D263" s="151">
        <f t="shared" si="68"/>
        <v>1</v>
      </c>
      <c r="E263" s="151" t="s">
        <v>61</v>
      </c>
      <c r="F263" s="173">
        <v>46296</v>
      </c>
      <c r="G263" s="173"/>
      <c r="H263" s="173"/>
      <c r="I263" s="173">
        <v>46296</v>
      </c>
      <c r="J263" s="173">
        <v>46297</v>
      </c>
      <c r="K263" s="173"/>
      <c r="L263" s="173"/>
      <c r="M263" s="173"/>
      <c r="N263" s="173"/>
      <c r="O263" s="173"/>
      <c r="P263" s="173"/>
      <c r="Q263" s="173">
        <v>46298</v>
      </c>
      <c r="R263" s="173"/>
      <c r="S263" s="173"/>
      <c r="T263" s="174">
        <v>46298</v>
      </c>
      <c r="U263" s="151"/>
      <c r="V263" s="152"/>
      <c r="W263" s="175"/>
      <c r="X263" s="173"/>
      <c r="Y263" s="173"/>
      <c r="Z263" s="176" t="str">
        <f>IF(B263="","",IF(S263&lt;&gt;"","Sevk Edildi",IF(AND(X263&lt;&gt;"",Y263=""),"Reworkte",IF(T263&lt;&gt;"","Kapandı"&amp;IF(COUNT(G263:R263)=0,""," – "&amp;LOOKUP(2,1/(G263:R263=MAX(G263:R263)),{"Tasarım","Ply Cutter","Üretim","Kalite (Üretim sonrası)","Talaşlı","Kalite (Talaşlı sonrası)","Montaj","Kalite (Montaj sonrası)","Boya","Kalite (Boya sonrası)","Yarı Mamül","KM"})),IF(COUNT(G263:R263)=0,"Başlamadı",LOOKUP(2,1/(G263:R263=MAX(G263:R263)),{"Tasarımda","Ply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63" s="177">
        <f t="shared" ca="1" si="70"/>
        <v>2</v>
      </c>
      <c r="AB263" s="175"/>
      <c r="AD263" t="str">
        <f>IF(OR($B263="",NOT(ISNUMBER(G263))),"",IF(COUNTIF(H263:$T263,G263)&gt;0,0,IF(COUNTIF($G263:$T263,"&gt;"&amp;G263)=0,"",SMALL($G263:$T263,COUNTIF($G263:$T263,"&lt;="&amp;G263)+1)-G263)))</f>
        <v/>
      </c>
      <c r="AE263" t="str">
        <f>IF(OR($B263="",NOT(ISNUMBER(H263))),"",IF(COUNTIF(I263:$T263,H263)&gt;0,0,IF(COUNTIF($G263:$T263,"&gt;"&amp;H263)=0,"",SMALL($G263:$T263,COUNTIF($G263:$T263,"&lt;="&amp;H263)+1)-H263)))</f>
        <v/>
      </c>
      <c r="AF263">
        <f>IF(OR($B263="",NOT(ISNUMBER(I263))),"",IF(COUNTIF(J263:$T263,I263)&gt;0,0,IF(COUNTIF($G263:$T263,"&gt;"&amp;I263)=0,"",SMALL($G263:$T263,COUNTIF($G263:$T263,"&lt;="&amp;I263)+1)-I263)))</f>
        <v>1</v>
      </c>
      <c r="AG263">
        <f>IF(OR($B263="",NOT(ISNUMBER(J263))),"",IF(COUNTIF(K263:$T263,J263)&gt;0,0,IF(COUNTIF($G263:$T263,"&gt;"&amp;J263)=0,"",SMALL($G263:$T263,COUNTIF($G263:$T263,"&lt;="&amp;J263)+1)-J263)))</f>
        <v>1</v>
      </c>
      <c r="AH263" t="str">
        <f>IF(OR($B263="",NOT(ISNUMBER(K263))),"",IF(COUNTIF(L263:$T263,K263)&gt;0,0,IF(COUNTIF($G263:$T263,"&gt;"&amp;K263)=0,"",SMALL($G263:$T263,COUNTIF($G263:$T263,"&lt;="&amp;K263)+1)-K263)))</f>
        <v/>
      </c>
      <c r="AI263" t="str">
        <f>IF(OR($B263="",NOT(ISNUMBER(L263))),"",IF(COUNTIF(M263:$T263,L263)&gt;0,0,IF(COUNTIF($G263:$T263,"&gt;"&amp;L263)=0,"",SMALL($G263:$T263,COUNTIF($G263:$T263,"&lt;="&amp;L263)+1)-L263)))</f>
        <v/>
      </c>
      <c r="AJ263" t="str">
        <f>IF(OR($B263="",NOT(ISNUMBER(M263))),"",IF(COUNTIF(N263:$T263,M263)&gt;0,0,IF(COUNTIF($G263:$T263,"&gt;"&amp;M263)=0,"",SMALL($G263:$T263,COUNTIF($G263:$T263,"&lt;="&amp;M263)+1)-M263)))</f>
        <v/>
      </c>
      <c r="AK263" t="str">
        <f>IF(OR($B263="",NOT(ISNUMBER(N263))),"",IF(COUNTIF(O263:$T263,N263)&gt;0,0,IF(COUNTIF($G263:$T263,"&gt;"&amp;N263)=0,"",SMALL($G263:$T263,COUNTIF($G263:$T263,"&lt;="&amp;N263)+1)-N263)))</f>
        <v/>
      </c>
      <c r="AL263" t="str">
        <f>IF(OR($B263="",NOT(ISNUMBER(O263))),"",IF(COUNTIF(P263:$T263,O263)&gt;0,0,IF(COUNTIF($G263:$T263,"&gt;"&amp;O263)=0,"",SMALL($G263:$T263,COUNTIF($G263:$T263,"&lt;="&amp;O263)+1)-O263)))</f>
        <v/>
      </c>
      <c r="AM263" t="str">
        <f>IF(OR($B263="",NOT(ISNUMBER(P263))),"",IF(COUNTIF(Q263:$T263,P263)&gt;0,0,IF(COUNTIF($G263:$T263,"&gt;"&amp;P263)=0,"",SMALL($G263:$T263,COUNTIF($G263:$T263,"&lt;="&amp;P263)+1)-P263)))</f>
        <v/>
      </c>
      <c r="AN263">
        <f>IF(OR($B263="",NOT(ISNUMBER(Q263))),"",IF(COUNTIF(R263:$T263,Q263)&gt;0,0,IF(COUNTIF($G263:$T263,"&gt;"&amp;Q263)=0,"",SMALL($G263:$T263,COUNTIF($G263:$T263,"&lt;="&amp;Q263)+1)-Q263)))</f>
        <v>0</v>
      </c>
      <c r="AO263" t="str">
        <f>IF(OR($B263="",NOT(ISNUMBER(R263))),"",IF(COUNTIF(S263:$T263,R263)&gt;0,0,IF(COUNTIF($G263:$T263,"&gt;"&amp;R263)=0,"",SMALL($G263:$T263,COUNTIF($G263:$T263,"&lt;="&amp;R263)+1)-R263)))</f>
        <v/>
      </c>
      <c r="AP263">
        <f t="shared" ca="1" si="71"/>
        <v>0</v>
      </c>
      <c r="AQ263" s="25" t="str">
        <f t="shared" si="72"/>
        <v/>
      </c>
      <c r="AR263" s="25" t="str">
        <f t="shared" si="73"/>
        <v/>
      </c>
      <c r="AS263" s="25">
        <f t="shared" si="74"/>
        <v>46297</v>
      </c>
      <c r="AT263" s="25">
        <f t="shared" si="75"/>
        <v>46298</v>
      </c>
      <c r="AU263" s="25" t="str">
        <f t="shared" si="76"/>
        <v/>
      </c>
      <c r="AV263" s="25" t="str">
        <f t="shared" si="77"/>
        <v/>
      </c>
      <c r="AW263" s="25" t="str">
        <f t="shared" si="78"/>
        <v/>
      </c>
      <c r="AX263" s="25" t="str">
        <f t="shared" si="79"/>
        <v/>
      </c>
      <c r="AY263" s="25" t="str">
        <f t="shared" si="80"/>
        <v/>
      </c>
      <c r="AZ263" s="25" t="str">
        <f t="shared" si="81"/>
        <v/>
      </c>
      <c r="BA263" s="25">
        <f t="shared" si="82"/>
        <v>46298</v>
      </c>
      <c r="BB263" s="25" t="str">
        <f t="shared" si="83"/>
        <v/>
      </c>
      <c r="BC263" s="25">
        <f t="shared" si="84"/>
        <v>46298</v>
      </c>
    </row>
    <row r="264" spans="1:55" x14ac:dyDescent="0.25">
      <c r="A264" s="151">
        <f t="shared" si="69"/>
        <v>262</v>
      </c>
      <c r="B264" s="151" t="s">
        <v>435</v>
      </c>
      <c r="C264" s="152" t="s">
        <v>92</v>
      </c>
      <c r="D264" s="151">
        <f t="shared" si="68"/>
        <v>2</v>
      </c>
      <c r="E264" s="151" t="s">
        <v>61</v>
      </c>
      <c r="F264" s="173">
        <v>46296</v>
      </c>
      <c r="G264" s="173"/>
      <c r="H264" s="173"/>
      <c r="I264" s="173">
        <v>46296</v>
      </c>
      <c r="J264" s="173">
        <v>46297</v>
      </c>
      <c r="K264" s="173"/>
      <c r="L264" s="173"/>
      <c r="M264" s="173"/>
      <c r="N264" s="173"/>
      <c r="O264" s="173"/>
      <c r="P264" s="173"/>
      <c r="Q264" s="173">
        <v>46298</v>
      </c>
      <c r="R264" s="173"/>
      <c r="S264" s="173"/>
      <c r="T264" s="174">
        <v>46298</v>
      </c>
      <c r="U264" s="151"/>
      <c r="V264" s="152"/>
      <c r="W264" s="175"/>
      <c r="X264" s="173"/>
      <c r="Y264" s="173"/>
      <c r="Z264" s="176" t="str">
        <f>IF(B264="","",IF(S264&lt;&gt;"","Sevk Edildi",IF(AND(X264&lt;&gt;"",Y264=""),"Reworkte",IF(T264&lt;&gt;"","Kapandı"&amp;IF(COUNT(G264:R264)=0,""," – "&amp;LOOKUP(2,1/(G264:R264=MAX(G264:R264)),{"Tasarım","Ply Cutter","Üretim","Kalite (Üretim sonrası)","Talaşlı","Kalite (Talaşlı sonrası)","Montaj","Kalite (Montaj sonrası)","Boya","Kalite (Boya sonrası)","Yarı Mamül","KM"})),IF(COUNT(G264:R264)=0,"Başlamadı",LOOKUP(2,1/(G264:R264=MAX(G264:R264)),{"Tasarımda","Ply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64" s="177">
        <f t="shared" ca="1" si="70"/>
        <v>2</v>
      </c>
      <c r="AB264" s="175"/>
      <c r="AD264" t="str">
        <f>IF(OR($B264="",NOT(ISNUMBER(G264))),"",IF(COUNTIF(H264:$T264,G264)&gt;0,0,IF(COUNTIF($G264:$T264,"&gt;"&amp;G264)=0,"",SMALL($G264:$T264,COUNTIF($G264:$T264,"&lt;="&amp;G264)+1)-G264)))</f>
        <v/>
      </c>
      <c r="AE264" t="str">
        <f>IF(OR($B264="",NOT(ISNUMBER(H264))),"",IF(COUNTIF(I264:$T264,H264)&gt;0,0,IF(COUNTIF($G264:$T264,"&gt;"&amp;H264)=0,"",SMALL($G264:$T264,COUNTIF($G264:$T264,"&lt;="&amp;H264)+1)-H264)))</f>
        <v/>
      </c>
      <c r="AF264">
        <f>IF(OR($B264="",NOT(ISNUMBER(I264))),"",IF(COUNTIF(J264:$T264,I264)&gt;0,0,IF(COUNTIF($G264:$T264,"&gt;"&amp;I264)=0,"",SMALL($G264:$T264,COUNTIF($G264:$T264,"&lt;="&amp;I264)+1)-I264)))</f>
        <v>1</v>
      </c>
      <c r="AG264">
        <f>IF(OR($B264="",NOT(ISNUMBER(J264))),"",IF(COUNTIF(K264:$T264,J264)&gt;0,0,IF(COUNTIF($G264:$T264,"&gt;"&amp;J264)=0,"",SMALL($G264:$T264,COUNTIF($G264:$T264,"&lt;="&amp;J264)+1)-J264)))</f>
        <v>1</v>
      </c>
      <c r="AH264" t="str">
        <f>IF(OR($B264="",NOT(ISNUMBER(K264))),"",IF(COUNTIF(L264:$T264,K264)&gt;0,0,IF(COUNTIF($G264:$T264,"&gt;"&amp;K264)=0,"",SMALL($G264:$T264,COUNTIF($G264:$T264,"&lt;="&amp;K264)+1)-K264)))</f>
        <v/>
      </c>
      <c r="AI264" t="str">
        <f>IF(OR($B264="",NOT(ISNUMBER(L264))),"",IF(COUNTIF(M264:$T264,L264)&gt;0,0,IF(COUNTIF($G264:$T264,"&gt;"&amp;L264)=0,"",SMALL($G264:$T264,COUNTIF($G264:$T264,"&lt;="&amp;L264)+1)-L264)))</f>
        <v/>
      </c>
      <c r="AJ264" t="str">
        <f>IF(OR($B264="",NOT(ISNUMBER(M264))),"",IF(COUNTIF(N264:$T264,M264)&gt;0,0,IF(COUNTIF($G264:$T264,"&gt;"&amp;M264)=0,"",SMALL($G264:$T264,COUNTIF($G264:$T264,"&lt;="&amp;M264)+1)-M264)))</f>
        <v/>
      </c>
      <c r="AK264" t="str">
        <f>IF(OR($B264="",NOT(ISNUMBER(N264))),"",IF(COUNTIF(O264:$T264,N264)&gt;0,0,IF(COUNTIF($G264:$T264,"&gt;"&amp;N264)=0,"",SMALL($G264:$T264,COUNTIF($G264:$T264,"&lt;="&amp;N264)+1)-N264)))</f>
        <v/>
      </c>
      <c r="AL264" t="str">
        <f>IF(OR($B264="",NOT(ISNUMBER(O264))),"",IF(COUNTIF(P264:$T264,O264)&gt;0,0,IF(COUNTIF($G264:$T264,"&gt;"&amp;O264)=0,"",SMALL($G264:$T264,COUNTIF($G264:$T264,"&lt;="&amp;O264)+1)-O264)))</f>
        <v/>
      </c>
      <c r="AM264" t="str">
        <f>IF(OR($B264="",NOT(ISNUMBER(P264))),"",IF(COUNTIF(Q264:$T264,P264)&gt;0,0,IF(COUNTIF($G264:$T264,"&gt;"&amp;P264)=0,"",SMALL($G264:$T264,COUNTIF($G264:$T264,"&lt;="&amp;P264)+1)-P264)))</f>
        <v/>
      </c>
      <c r="AN264">
        <f>IF(OR($B264="",NOT(ISNUMBER(Q264))),"",IF(COUNTIF(R264:$T264,Q264)&gt;0,0,IF(COUNTIF($G264:$T264,"&gt;"&amp;Q264)=0,"",SMALL($G264:$T264,COUNTIF($G264:$T264,"&lt;="&amp;Q264)+1)-Q264)))</f>
        <v>0</v>
      </c>
      <c r="AO264" t="str">
        <f>IF(OR($B264="",NOT(ISNUMBER(R264))),"",IF(COUNTIF(S264:$T264,R264)&gt;0,0,IF(COUNTIF($G264:$T264,"&gt;"&amp;R264)=0,"",SMALL($G264:$T264,COUNTIF($G264:$T264,"&lt;="&amp;R264)+1)-R264)))</f>
        <v/>
      </c>
      <c r="AP264">
        <f t="shared" ca="1" si="71"/>
        <v>0</v>
      </c>
      <c r="AQ264" s="25" t="str">
        <f t="shared" si="72"/>
        <v/>
      </c>
      <c r="AR264" s="25" t="str">
        <f t="shared" si="73"/>
        <v/>
      </c>
      <c r="AS264" s="25">
        <f t="shared" si="74"/>
        <v>46297</v>
      </c>
      <c r="AT264" s="25">
        <f t="shared" si="75"/>
        <v>46298</v>
      </c>
      <c r="AU264" s="25" t="str">
        <f t="shared" si="76"/>
        <v/>
      </c>
      <c r="AV264" s="25" t="str">
        <f t="shared" si="77"/>
        <v/>
      </c>
      <c r="AW264" s="25" t="str">
        <f t="shared" si="78"/>
        <v/>
      </c>
      <c r="AX264" s="25" t="str">
        <f t="shared" si="79"/>
        <v/>
      </c>
      <c r="AY264" s="25" t="str">
        <f t="shared" si="80"/>
        <v/>
      </c>
      <c r="AZ264" s="25" t="str">
        <f t="shared" si="81"/>
        <v/>
      </c>
      <c r="BA264" s="25">
        <f t="shared" si="82"/>
        <v>46298</v>
      </c>
      <c r="BB264" s="25" t="str">
        <f t="shared" si="83"/>
        <v/>
      </c>
      <c r="BC264" s="25">
        <f t="shared" si="84"/>
        <v>46298</v>
      </c>
    </row>
    <row r="265" spans="1:55" x14ac:dyDescent="0.25">
      <c r="A265" s="151">
        <f t="shared" si="69"/>
        <v>263</v>
      </c>
      <c r="B265" s="151" t="s">
        <v>436</v>
      </c>
      <c r="C265" s="152" t="s">
        <v>437</v>
      </c>
      <c r="D265" s="151">
        <f t="shared" si="68"/>
        <v>1</v>
      </c>
      <c r="E265" s="151" t="s">
        <v>61</v>
      </c>
      <c r="F265" s="173">
        <v>46296</v>
      </c>
      <c r="G265" s="173"/>
      <c r="H265" s="173"/>
      <c r="I265" s="173">
        <v>46296</v>
      </c>
      <c r="J265" s="173">
        <v>46297</v>
      </c>
      <c r="K265" s="173"/>
      <c r="L265" s="173"/>
      <c r="M265" s="173"/>
      <c r="N265" s="173"/>
      <c r="O265" s="173"/>
      <c r="P265" s="173"/>
      <c r="Q265" s="173">
        <v>46298</v>
      </c>
      <c r="R265" s="173"/>
      <c r="S265" s="173"/>
      <c r="T265" s="174">
        <v>46298</v>
      </c>
      <c r="U265" s="151"/>
      <c r="V265" s="152"/>
      <c r="W265" s="175"/>
      <c r="X265" s="173"/>
      <c r="Y265" s="173"/>
      <c r="Z265" s="176" t="str">
        <f>IF(B265="","",IF(S265&lt;&gt;"","Sevk Edildi",IF(AND(X265&lt;&gt;"",Y265=""),"Reworkte",IF(T265&lt;&gt;"","Kapandı"&amp;IF(COUNT(G265:R265)=0,""," – "&amp;LOOKUP(2,1/(G265:R265=MAX(G265:R265)),{"Tasarım","Ply Cutter","Üretim","Kalite (Üretim sonrası)","Talaşlı","Kalite (Talaşlı sonrası)","Montaj","Kalite (Montaj sonrası)","Boya","Kalite (Boya sonrası)","Yarı Mamül","KM"})),IF(COUNT(G265:R265)=0,"Başlamadı",LOOKUP(2,1/(G265:R265=MAX(G265:R265)),{"Tasarımda","Ply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65" s="177">
        <f t="shared" ca="1" si="70"/>
        <v>2</v>
      </c>
      <c r="AB265" s="175"/>
      <c r="AD265" t="str">
        <f>IF(OR($B265="",NOT(ISNUMBER(G265))),"",IF(COUNTIF(H265:$T265,G265)&gt;0,0,IF(COUNTIF($G265:$T265,"&gt;"&amp;G265)=0,"",SMALL($G265:$T265,COUNTIF($G265:$T265,"&lt;="&amp;G265)+1)-G265)))</f>
        <v/>
      </c>
      <c r="AE265" t="str">
        <f>IF(OR($B265="",NOT(ISNUMBER(H265))),"",IF(COUNTIF(I265:$T265,H265)&gt;0,0,IF(COUNTIF($G265:$T265,"&gt;"&amp;H265)=0,"",SMALL($G265:$T265,COUNTIF($G265:$T265,"&lt;="&amp;H265)+1)-H265)))</f>
        <v/>
      </c>
      <c r="AF265">
        <f>IF(OR($B265="",NOT(ISNUMBER(I265))),"",IF(COUNTIF(J265:$T265,I265)&gt;0,0,IF(COUNTIF($G265:$T265,"&gt;"&amp;I265)=0,"",SMALL($G265:$T265,COUNTIF($G265:$T265,"&lt;="&amp;I265)+1)-I265)))</f>
        <v>1</v>
      </c>
      <c r="AG265">
        <f>IF(OR($B265="",NOT(ISNUMBER(J265))),"",IF(COUNTIF(K265:$T265,J265)&gt;0,0,IF(COUNTIF($G265:$T265,"&gt;"&amp;J265)=0,"",SMALL($G265:$T265,COUNTIF($G265:$T265,"&lt;="&amp;J265)+1)-J265)))</f>
        <v>1</v>
      </c>
      <c r="AH265" t="str">
        <f>IF(OR($B265="",NOT(ISNUMBER(K265))),"",IF(COUNTIF(L265:$T265,K265)&gt;0,0,IF(COUNTIF($G265:$T265,"&gt;"&amp;K265)=0,"",SMALL($G265:$T265,COUNTIF($G265:$T265,"&lt;="&amp;K265)+1)-K265)))</f>
        <v/>
      </c>
      <c r="AI265" t="str">
        <f>IF(OR($B265="",NOT(ISNUMBER(L265))),"",IF(COUNTIF(M265:$T265,L265)&gt;0,0,IF(COUNTIF($G265:$T265,"&gt;"&amp;L265)=0,"",SMALL($G265:$T265,COUNTIF($G265:$T265,"&lt;="&amp;L265)+1)-L265)))</f>
        <v/>
      </c>
      <c r="AJ265" t="str">
        <f>IF(OR($B265="",NOT(ISNUMBER(M265))),"",IF(COUNTIF(N265:$T265,M265)&gt;0,0,IF(COUNTIF($G265:$T265,"&gt;"&amp;M265)=0,"",SMALL($G265:$T265,COUNTIF($G265:$T265,"&lt;="&amp;M265)+1)-M265)))</f>
        <v/>
      </c>
      <c r="AK265" t="str">
        <f>IF(OR($B265="",NOT(ISNUMBER(N265))),"",IF(COUNTIF(O265:$T265,N265)&gt;0,0,IF(COUNTIF($G265:$T265,"&gt;"&amp;N265)=0,"",SMALL($G265:$T265,COUNTIF($G265:$T265,"&lt;="&amp;N265)+1)-N265)))</f>
        <v/>
      </c>
      <c r="AL265" t="str">
        <f>IF(OR($B265="",NOT(ISNUMBER(O265))),"",IF(COUNTIF(P265:$T265,O265)&gt;0,0,IF(COUNTIF($G265:$T265,"&gt;"&amp;O265)=0,"",SMALL($G265:$T265,COUNTIF($G265:$T265,"&lt;="&amp;O265)+1)-O265)))</f>
        <v/>
      </c>
      <c r="AM265" t="str">
        <f>IF(OR($B265="",NOT(ISNUMBER(P265))),"",IF(COUNTIF(Q265:$T265,P265)&gt;0,0,IF(COUNTIF($G265:$T265,"&gt;"&amp;P265)=0,"",SMALL($G265:$T265,COUNTIF($G265:$T265,"&lt;="&amp;P265)+1)-P265)))</f>
        <v/>
      </c>
      <c r="AN265">
        <f>IF(OR($B265="",NOT(ISNUMBER(Q265))),"",IF(COUNTIF(R265:$T265,Q265)&gt;0,0,IF(COUNTIF($G265:$T265,"&gt;"&amp;Q265)=0,"",SMALL($G265:$T265,COUNTIF($G265:$T265,"&lt;="&amp;Q265)+1)-Q265)))</f>
        <v>0</v>
      </c>
      <c r="AO265" t="str">
        <f>IF(OR($B265="",NOT(ISNUMBER(R265))),"",IF(COUNTIF(S265:$T265,R265)&gt;0,0,IF(COUNTIF($G265:$T265,"&gt;"&amp;R265)=0,"",SMALL($G265:$T265,COUNTIF($G265:$T265,"&lt;="&amp;R265)+1)-R265)))</f>
        <v/>
      </c>
      <c r="AP265">
        <f t="shared" ca="1" si="71"/>
        <v>0</v>
      </c>
      <c r="AQ265" s="25" t="str">
        <f t="shared" si="72"/>
        <v/>
      </c>
      <c r="AR265" s="25" t="str">
        <f t="shared" si="73"/>
        <v/>
      </c>
      <c r="AS265" s="25">
        <f t="shared" si="74"/>
        <v>46297</v>
      </c>
      <c r="AT265" s="25">
        <f t="shared" si="75"/>
        <v>46298</v>
      </c>
      <c r="AU265" s="25" t="str">
        <f t="shared" si="76"/>
        <v/>
      </c>
      <c r="AV265" s="25" t="str">
        <f t="shared" si="77"/>
        <v/>
      </c>
      <c r="AW265" s="25" t="str">
        <f t="shared" si="78"/>
        <v/>
      </c>
      <c r="AX265" s="25" t="str">
        <f t="shared" si="79"/>
        <v/>
      </c>
      <c r="AY265" s="25" t="str">
        <f t="shared" si="80"/>
        <v/>
      </c>
      <c r="AZ265" s="25" t="str">
        <f t="shared" si="81"/>
        <v/>
      </c>
      <c r="BA265" s="25">
        <f t="shared" si="82"/>
        <v>46298</v>
      </c>
      <c r="BB265" s="25" t="str">
        <f t="shared" si="83"/>
        <v/>
      </c>
      <c r="BC265" s="25">
        <f t="shared" si="84"/>
        <v>46298</v>
      </c>
    </row>
    <row r="266" spans="1:55" x14ac:dyDescent="0.25">
      <c r="A266" s="151">
        <f t="shared" si="69"/>
        <v>264</v>
      </c>
      <c r="B266" s="151" t="s">
        <v>438</v>
      </c>
      <c r="C266" s="152" t="s">
        <v>439</v>
      </c>
      <c r="D266" s="151">
        <f t="shared" si="68"/>
        <v>11</v>
      </c>
      <c r="E266" s="151" t="s">
        <v>61</v>
      </c>
      <c r="F266" s="173">
        <v>46297</v>
      </c>
      <c r="G266" s="173"/>
      <c r="H266" s="173"/>
      <c r="I266" s="173"/>
      <c r="J266" s="173"/>
      <c r="K266" s="173">
        <v>46297</v>
      </c>
      <c r="L266" s="173">
        <v>46298</v>
      </c>
      <c r="M266" s="173"/>
      <c r="N266" s="173"/>
      <c r="O266" s="173"/>
      <c r="P266" s="173"/>
      <c r="Q266" s="173"/>
      <c r="R266" s="173"/>
      <c r="S266" s="173"/>
      <c r="T266" s="174">
        <v>46298</v>
      </c>
      <c r="U266" s="151"/>
      <c r="V266" s="152"/>
      <c r="W266" s="175"/>
      <c r="X266" s="173"/>
      <c r="Y266" s="173"/>
      <c r="Z266" s="176" t="str">
        <f>IF(B266="","",IF(S266&lt;&gt;"","Sevk Edildi",IF(AND(X266&lt;&gt;"",Y266=""),"Reworkte",IF(T266&lt;&gt;"","Kapandı"&amp;IF(COUNT(G266:R266)=0,""," – "&amp;LOOKUP(2,1/(G266:R266=MAX(G266:R266)),{"Tasarım","Ply Cutter","Üretim","Kalite (Üretim sonrası)","Talaşlı","Kalite (Talaşlı sonrası)","Montaj","Kalite (Montaj sonrası)","Boya","Kalite (Boya sonrası)","Yarı Mamül","KM"})),IF(COUNT(G266:R266)=0,"Başlamadı",LOOKUP(2,1/(G266:R266=MAX(G266:R266)),{"Tasarımda","Ply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266" s="177">
        <f t="shared" ca="1" si="70"/>
        <v>1</v>
      </c>
      <c r="AB266" s="175"/>
      <c r="AD266" t="str">
        <f>IF(OR($B266="",NOT(ISNUMBER(G266))),"",IF(COUNTIF(H266:$T266,G266)&gt;0,0,IF(COUNTIF($G266:$T266,"&gt;"&amp;G266)=0,"",SMALL($G266:$T266,COUNTIF($G266:$T266,"&lt;="&amp;G266)+1)-G266)))</f>
        <v/>
      </c>
      <c r="AE266" t="str">
        <f>IF(OR($B266="",NOT(ISNUMBER(H266))),"",IF(COUNTIF(I266:$T266,H266)&gt;0,0,IF(COUNTIF($G266:$T266,"&gt;"&amp;H266)=0,"",SMALL($G266:$T266,COUNTIF($G266:$T266,"&lt;="&amp;H266)+1)-H266)))</f>
        <v/>
      </c>
      <c r="AF266" t="str">
        <f>IF(OR($B266="",NOT(ISNUMBER(I266))),"",IF(COUNTIF(J266:$T266,I266)&gt;0,0,IF(COUNTIF($G266:$T266,"&gt;"&amp;I266)=0,"",SMALL($G266:$T266,COUNTIF($G266:$T266,"&lt;="&amp;I266)+1)-I266)))</f>
        <v/>
      </c>
      <c r="AG266" t="str">
        <f>IF(OR($B266="",NOT(ISNUMBER(J266))),"",IF(COUNTIF(K266:$T266,J266)&gt;0,0,IF(COUNTIF($G266:$T266,"&gt;"&amp;J266)=0,"",SMALL($G266:$T266,COUNTIF($G266:$T266,"&lt;="&amp;J266)+1)-J266)))</f>
        <v/>
      </c>
      <c r="AH266">
        <f>IF(OR($B266="",NOT(ISNUMBER(K266))),"",IF(COUNTIF(L266:$T266,K266)&gt;0,0,IF(COUNTIF($G266:$T266,"&gt;"&amp;K266)=0,"",SMALL($G266:$T266,COUNTIF($G266:$T266,"&lt;="&amp;K266)+1)-K266)))</f>
        <v>1</v>
      </c>
      <c r="AI266">
        <f>IF(OR($B266="",NOT(ISNUMBER(L266))),"",IF(COUNTIF(M266:$T266,L266)&gt;0,0,IF(COUNTIF($G266:$T266,"&gt;"&amp;L266)=0,"",SMALL($G266:$T266,COUNTIF($G266:$T266,"&lt;="&amp;L266)+1)-L266)))</f>
        <v>0</v>
      </c>
      <c r="AJ266" t="str">
        <f>IF(OR($B266="",NOT(ISNUMBER(M266))),"",IF(COUNTIF(N266:$T266,M266)&gt;0,0,IF(COUNTIF($G266:$T266,"&gt;"&amp;M266)=0,"",SMALL($G266:$T266,COUNTIF($G266:$T266,"&lt;="&amp;M266)+1)-M266)))</f>
        <v/>
      </c>
      <c r="AK266" t="str">
        <f>IF(OR($B266="",NOT(ISNUMBER(N266))),"",IF(COUNTIF(O266:$T266,N266)&gt;0,0,IF(COUNTIF($G266:$T266,"&gt;"&amp;N266)=0,"",SMALL($G266:$T266,COUNTIF($G266:$T266,"&lt;="&amp;N266)+1)-N266)))</f>
        <v/>
      </c>
      <c r="AL266" t="str">
        <f>IF(OR($B266="",NOT(ISNUMBER(O266))),"",IF(COUNTIF(P266:$T266,O266)&gt;0,0,IF(COUNTIF($G266:$T266,"&gt;"&amp;O266)=0,"",SMALL($G266:$T266,COUNTIF($G266:$T266,"&lt;="&amp;O266)+1)-O266)))</f>
        <v/>
      </c>
      <c r="AM266" t="str">
        <f>IF(OR($B266="",NOT(ISNUMBER(P266))),"",IF(COUNTIF(Q266:$T266,P266)&gt;0,0,IF(COUNTIF($G266:$T266,"&gt;"&amp;P266)=0,"",SMALL($G266:$T266,COUNTIF($G266:$T266,"&lt;="&amp;P266)+1)-P266)))</f>
        <v/>
      </c>
      <c r="AN266" t="str">
        <f>IF(OR($B266="",NOT(ISNUMBER(Q266))),"",IF(COUNTIF(R266:$T266,Q266)&gt;0,0,IF(COUNTIF($G266:$T266,"&gt;"&amp;Q266)=0,"",SMALL($G266:$T266,COUNTIF($G266:$T266,"&lt;="&amp;Q266)+1)-Q266)))</f>
        <v/>
      </c>
      <c r="AO266" t="str">
        <f>IF(OR($B266="",NOT(ISNUMBER(R266))),"",IF(COUNTIF(S266:$T266,R266)&gt;0,0,IF(COUNTIF($G266:$T266,"&gt;"&amp;R266)=0,"",SMALL($G266:$T266,COUNTIF($G266:$T266,"&lt;="&amp;R266)+1)-R266)))</f>
        <v/>
      </c>
      <c r="AP266">
        <f t="shared" ca="1" si="71"/>
        <v>0</v>
      </c>
      <c r="AQ266" s="25" t="str">
        <f t="shared" si="72"/>
        <v/>
      </c>
      <c r="AR266" s="25" t="str">
        <f t="shared" si="73"/>
        <v/>
      </c>
      <c r="AS266" s="25" t="str">
        <f t="shared" si="74"/>
        <v/>
      </c>
      <c r="AT266" s="25" t="str">
        <f t="shared" si="75"/>
        <v/>
      </c>
      <c r="AU266" s="25">
        <f t="shared" si="76"/>
        <v>46298</v>
      </c>
      <c r="AV266" s="25">
        <f t="shared" si="77"/>
        <v>46298</v>
      </c>
      <c r="AW266" s="25" t="str">
        <f t="shared" si="78"/>
        <v/>
      </c>
      <c r="AX266" s="25" t="str">
        <f t="shared" si="79"/>
        <v/>
      </c>
      <c r="AY266" s="25" t="str">
        <f t="shared" si="80"/>
        <v/>
      </c>
      <c r="AZ266" s="25" t="str">
        <f t="shared" si="81"/>
        <v/>
      </c>
      <c r="BA266" s="25" t="str">
        <f t="shared" si="82"/>
        <v/>
      </c>
      <c r="BB266" s="25" t="str">
        <f t="shared" si="83"/>
        <v/>
      </c>
      <c r="BC266" s="25">
        <f t="shared" si="84"/>
        <v>46298</v>
      </c>
    </row>
    <row r="267" spans="1:55" x14ac:dyDescent="0.25">
      <c r="A267" s="151">
        <f t="shared" si="69"/>
        <v>265</v>
      </c>
      <c r="B267" s="151" t="s">
        <v>440</v>
      </c>
      <c r="C267" s="152" t="s">
        <v>367</v>
      </c>
      <c r="D267" s="151">
        <f t="shared" si="68"/>
        <v>1</v>
      </c>
      <c r="E267" s="151" t="s">
        <v>61</v>
      </c>
      <c r="F267" s="173">
        <v>46297</v>
      </c>
      <c r="G267" s="173"/>
      <c r="H267" s="173"/>
      <c r="I267" s="173">
        <v>46297</v>
      </c>
      <c r="J267" s="173">
        <v>46298</v>
      </c>
      <c r="K267" s="173"/>
      <c r="L267" s="173"/>
      <c r="M267" s="173"/>
      <c r="N267" s="173"/>
      <c r="O267" s="173"/>
      <c r="P267" s="173"/>
      <c r="Q267" s="173">
        <v>46298</v>
      </c>
      <c r="R267" s="173"/>
      <c r="S267" s="173"/>
      <c r="T267" s="174">
        <v>46298</v>
      </c>
      <c r="U267" s="151"/>
      <c r="V267" s="152"/>
      <c r="W267" s="175"/>
      <c r="X267" s="173"/>
      <c r="Y267" s="173"/>
      <c r="Z267" s="176" t="str">
        <f>IF(B267="","",IF(S267&lt;&gt;"","Sevk Edildi",IF(AND(X267&lt;&gt;"",Y267=""),"Reworkte",IF(T267&lt;&gt;"","Kapandı"&amp;IF(COUNT(G267:R267)=0,""," – "&amp;LOOKUP(2,1/(G267:R267=MAX(G267:R267)),{"Tasarım","Ply Cutter","Üretim","Kalite (Üretim sonrası)","Talaşlı","Kalite (Talaşlı sonrası)","Montaj","Kalite (Montaj sonrası)","Boya","Kalite (Boya sonrası)","Yarı Mamül","KM"})),IF(COUNT(G267:R267)=0,"Başlamadı",LOOKUP(2,1/(G267:R267=MAX(G267:R267)),{"Tasarımda","Ply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67" s="177">
        <f t="shared" ca="1" si="70"/>
        <v>1</v>
      </c>
      <c r="AB267" s="175"/>
      <c r="AD267" t="str">
        <f>IF(OR($B267="",NOT(ISNUMBER(G267))),"",IF(COUNTIF(H267:$T267,G267)&gt;0,0,IF(COUNTIF($G267:$T267,"&gt;"&amp;G267)=0,"",SMALL($G267:$T267,COUNTIF($G267:$T267,"&lt;="&amp;G267)+1)-G267)))</f>
        <v/>
      </c>
      <c r="AE267" t="str">
        <f>IF(OR($B267="",NOT(ISNUMBER(H267))),"",IF(COUNTIF(I267:$T267,H267)&gt;0,0,IF(COUNTIF($G267:$T267,"&gt;"&amp;H267)=0,"",SMALL($G267:$T267,COUNTIF($G267:$T267,"&lt;="&amp;H267)+1)-H267)))</f>
        <v/>
      </c>
      <c r="AF267">
        <f>IF(OR($B267="",NOT(ISNUMBER(I267))),"",IF(COUNTIF(J267:$T267,I267)&gt;0,0,IF(COUNTIF($G267:$T267,"&gt;"&amp;I267)=0,"",SMALL($G267:$T267,COUNTIF($G267:$T267,"&lt;="&amp;I267)+1)-I267)))</f>
        <v>1</v>
      </c>
      <c r="AG267">
        <f>IF(OR($B267="",NOT(ISNUMBER(J267))),"",IF(COUNTIF(K267:$T267,J267)&gt;0,0,IF(COUNTIF($G267:$T267,"&gt;"&amp;J267)=0,"",SMALL($G267:$T267,COUNTIF($G267:$T267,"&lt;="&amp;J267)+1)-J267)))</f>
        <v>0</v>
      </c>
      <c r="AH267" t="str">
        <f>IF(OR($B267="",NOT(ISNUMBER(K267))),"",IF(COUNTIF(L267:$T267,K267)&gt;0,0,IF(COUNTIF($G267:$T267,"&gt;"&amp;K267)=0,"",SMALL($G267:$T267,COUNTIF($G267:$T267,"&lt;="&amp;K267)+1)-K267)))</f>
        <v/>
      </c>
      <c r="AI267" t="str">
        <f>IF(OR($B267="",NOT(ISNUMBER(L267))),"",IF(COUNTIF(M267:$T267,L267)&gt;0,0,IF(COUNTIF($G267:$T267,"&gt;"&amp;L267)=0,"",SMALL($G267:$T267,COUNTIF($G267:$T267,"&lt;="&amp;L267)+1)-L267)))</f>
        <v/>
      </c>
      <c r="AJ267" t="str">
        <f>IF(OR($B267="",NOT(ISNUMBER(M267))),"",IF(COUNTIF(N267:$T267,M267)&gt;0,0,IF(COUNTIF($G267:$T267,"&gt;"&amp;M267)=0,"",SMALL($G267:$T267,COUNTIF($G267:$T267,"&lt;="&amp;M267)+1)-M267)))</f>
        <v/>
      </c>
      <c r="AK267" t="str">
        <f>IF(OR($B267="",NOT(ISNUMBER(N267))),"",IF(COUNTIF(O267:$T267,N267)&gt;0,0,IF(COUNTIF($G267:$T267,"&gt;"&amp;N267)=0,"",SMALL($G267:$T267,COUNTIF($G267:$T267,"&lt;="&amp;N267)+1)-N267)))</f>
        <v/>
      </c>
      <c r="AL267" t="str">
        <f>IF(OR($B267="",NOT(ISNUMBER(O267))),"",IF(COUNTIF(P267:$T267,O267)&gt;0,0,IF(COUNTIF($G267:$T267,"&gt;"&amp;O267)=0,"",SMALL($G267:$T267,COUNTIF($G267:$T267,"&lt;="&amp;O267)+1)-O267)))</f>
        <v/>
      </c>
      <c r="AM267" t="str">
        <f>IF(OR($B267="",NOT(ISNUMBER(P267))),"",IF(COUNTIF(Q267:$T267,P267)&gt;0,0,IF(COUNTIF($G267:$T267,"&gt;"&amp;P267)=0,"",SMALL($G267:$T267,COUNTIF($G267:$T267,"&lt;="&amp;P267)+1)-P267)))</f>
        <v/>
      </c>
      <c r="AN267">
        <f>IF(OR($B267="",NOT(ISNUMBER(Q267))),"",IF(COUNTIF(R267:$T267,Q267)&gt;0,0,IF(COUNTIF($G267:$T267,"&gt;"&amp;Q267)=0,"",SMALL($G267:$T267,COUNTIF($G267:$T267,"&lt;="&amp;Q267)+1)-Q267)))</f>
        <v>0</v>
      </c>
      <c r="AO267" t="str">
        <f>IF(OR($B267="",NOT(ISNUMBER(R267))),"",IF(COUNTIF(S267:$T267,R267)&gt;0,0,IF(COUNTIF($G267:$T267,"&gt;"&amp;R267)=0,"",SMALL($G267:$T267,COUNTIF($G267:$T267,"&lt;="&amp;R267)+1)-R267)))</f>
        <v/>
      </c>
      <c r="AP267">
        <f t="shared" ca="1" si="71"/>
        <v>0</v>
      </c>
      <c r="AQ267" s="25" t="str">
        <f t="shared" si="72"/>
        <v/>
      </c>
      <c r="AR267" s="25" t="str">
        <f t="shared" si="73"/>
        <v/>
      </c>
      <c r="AS267" s="25">
        <f t="shared" si="74"/>
        <v>46298</v>
      </c>
      <c r="AT267" s="25">
        <f t="shared" si="75"/>
        <v>46298</v>
      </c>
      <c r="AU267" s="25" t="str">
        <f t="shared" si="76"/>
        <v/>
      </c>
      <c r="AV267" s="25" t="str">
        <f t="shared" si="77"/>
        <v/>
      </c>
      <c r="AW267" s="25" t="str">
        <f t="shared" si="78"/>
        <v/>
      </c>
      <c r="AX267" s="25" t="str">
        <f t="shared" si="79"/>
        <v/>
      </c>
      <c r="AY267" s="25" t="str">
        <f t="shared" si="80"/>
        <v/>
      </c>
      <c r="AZ267" s="25" t="str">
        <f t="shared" si="81"/>
        <v/>
      </c>
      <c r="BA267" s="25">
        <f t="shared" si="82"/>
        <v>46298</v>
      </c>
      <c r="BB267" s="25" t="str">
        <f t="shared" si="83"/>
        <v/>
      </c>
      <c r="BC267" s="25">
        <f t="shared" si="84"/>
        <v>46298</v>
      </c>
    </row>
    <row r="268" spans="1:55" x14ac:dyDescent="0.25">
      <c r="A268" s="151">
        <f t="shared" si="69"/>
        <v>266</v>
      </c>
      <c r="B268" s="151" t="s">
        <v>441</v>
      </c>
      <c r="C268" s="152" t="s">
        <v>355</v>
      </c>
      <c r="D268" s="151">
        <f t="shared" si="68"/>
        <v>1</v>
      </c>
      <c r="E268" s="151" t="s">
        <v>61</v>
      </c>
      <c r="F268" s="173">
        <v>46297</v>
      </c>
      <c r="G268" s="173"/>
      <c r="H268" s="173"/>
      <c r="I268" s="173">
        <v>46297</v>
      </c>
      <c r="J268" s="173">
        <v>46298</v>
      </c>
      <c r="K268" s="173"/>
      <c r="L268" s="173"/>
      <c r="M268" s="173"/>
      <c r="N268" s="173"/>
      <c r="O268" s="173"/>
      <c r="P268" s="173"/>
      <c r="Q268" s="173">
        <v>46298</v>
      </c>
      <c r="R268" s="173"/>
      <c r="S268" s="173"/>
      <c r="T268" s="174">
        <v>46298</v>
      </c>
      <c r="U268" s="151"/>
      <c r="V268" s="152"/>
      <c r="W268" s="175"/>
      <c r="X268" s="173"/>
      <c r="Y268" s="173"/>
      <c r="Z268" s="176" t="str">
        <f>IF(B268="","",IF(S268&lt;&gt;"","Sevk Edildi",IF(AND(X268&lt;&gt;"",Y268=""),"Reworkte",IF(T268&lt;&gt;"","Kapandı"&amp;IF(COUNT(G268:R268)=0,""," – "&amp;LOOKUP(2,1/(G268:R268=MAX(G268:R268)),{"Tasarım","Ply Cutter","Üretim","Kalite (Üretim sonrası)","Talaşlı","Kalite (Talaşlı sonrası)","Montaj","Kalite (Montaj sonrası)","Boya","Kalite (Boya sonrası)","Yarı Mamül","KM"})),IF(COUNT(G268:R268)=0,"Başlamadı",LOOKUP(2,1/(G268:R268=MAX(G268:R268)),{"Tasarımda","Ply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68" s="177">
        <f t="shared" ca="1" si="70"/>
        <v>1</v>
      </c>
      <c r="AB268" s="175"/>
      <c r="AD268" t="str">
        <f>IF(OR($B268="",NOT(ISNUMBER(G268))),"",IF(COUNTIF(H268:$T268,G268)&gt;0,0,IF(COUNTIF($G268:$T268,"&gt;"&amp;G268)=0,"",SMALL($G268:$T268,COUNTIF($G268:$T268,"&lt;="&amp;G268)+1)-G268)))</f>
        <v/>
      </c>
      <c r="AE268" t="str">
        <f>IF(OR($B268="",NOT(ISNUMBER(H268))),"",IF(COUNTIF(I268:$T268,H268)&gt;0,0,IF(COUNTIF($G268:$T268,"&gt;"&amp;H268)=0,"",SMALL($G268:$T268,COUNTIF($G268:$T268,"&lt;="&amp;H268)+1)-H268)))</f>
        <v/>
      </c>
      <c r="AF268">
        <f>IF(OR($B268="",NOT(ISNUMBER(I268))),"",IF(COUNTIF(J268:$T268,I268)&gt;0,0,IF(COUNTIF($G268:$T268,"&gt;"&amp;I268)=0,"",SMALL($G268:$T268,COUNTIF($G268:$T268,"&lt;="&amp;I268)+1)-I268)))</f>
        <v>1</v>
      </c>
      <c r="AG268">
        <f>IF(OR($B268="",NOT(ISNUMBER(J268))),"",IF(COUNTIF(K268:$T268,J268)&gt;0,0,IF(COUNTIF($G268:$T268,"&gt;"&amp;J268)=0,"",SMALL($G268:$T268,COUNTIF($G268:$T268,"&lt;="&amp;J268)+1)-J268)))</f>
        <v>0</v>
      </c>
      <c r="AH268" t="str">
        <f>IF(OR($B268="",NOT(ISNUMBER(K268))),"",IF(COUNTIF(L268:$T268,K268)&gt;0,0,IF(COUNTIF($G268:$T268,"&gt;"&amp;K268)=0,"",SMALL($G268:$T268,COUNTIF($G268:$T268,"&lt;="&amp;K268)+1)-K268)))</f>
        <v/>
      </c>
      <c r="AI268" t="str">
        <f>IF(OR($B268="",NOT(ISNUMBER(L268))),"",IF(COUNTIF(M268:$T268,L268)&gt;0,0,IF(COUNTIF($G268:$T268,"&gt;"&amp;L268)=0,"",SMALL($G268:$T268,COUNTIF($G268:$T268,"&lt;="&amp;L268)+1)-L268)))</f>
        <v/>
      </c>
      <c r="AJ268" t="str">
        <f>IF(OR($B268="",NOT(ISNUMBER(M268))),"",IF(COUNTIF(N268:$T268,M268)&gt;0,0,IF(COUNTIF($G268:$T268,"&gt;"&amp;M268)=0,"",SMALL($G268:$T268,COUNTIF($G268:$T268,"&lt;="&amp;M268)+1)-M268)))</f>
        <v/>
      </c>
      <c r="AK268" t="str">
        <f>IF(OR($B268="",NOT(ISNUMBER(N268))),"",IF(COUNTIF(O268:$T268,N268)&gt;0,0,IF(COUNTIF($G268:$T268,"&gt;"&amp;N268)=0,"",SMALL($G268:$T268,COUNTIF($G268:$T268,"&lt;="&amp;N268)+1)-N268)))</f>
        <v/>
      </c>
      <c r="AL268" t="str">
        <f>IF(OR($B268="",NOT(ISNUMBER(O268))),"",IF(COUNTIF(P268:$T268,O268)&gt;0,0,IF(COUNTIF($G268:$T268,"&gt;"&amp;O268)=0,"",SMALL($G268:$T268,COUNTIF($G268:$T268,"&lt;="&amp;O268)+1)-O268)))</f>
        <v/>
      </c>
      <c r="AM268" t="str">
        <f>IF(OR($B268="",NOT(ISNUMBER(P268))),"",IF(COUNTIF(Q268:$T268,P268)&gt;0,0,IF(COUNTIF($G268:$T268,"&gt;"&amp;P268)=0,"",SMALL($G268:$T268,COUNTIF($G268:$T268,"&lt;="&amp;P268)+1)-P268)))</f>
        <v/>
      </c>
      <c r="AN268">
        <f>IF(OR($B268="",NOT(ISNUMBER(Q268))),"",IF(COUNTIF(R268:$T268,Q268)&gt;0,0,IF(COUNTIF($G268:$T268,"&gt;"&amp;Q268)=0,"",SMALL($G268:$T268,COUNTIF($G268:$T268,"&lt;="&amp;Q268)+1)-Q268)))</f>
        <v>0</v>
      </c>
      <c r="AO268" t="str">
        <f>IF(OR($B268="",NOT(ISNUMBER(R268))),"",IF(COUNTIF(S268:$T268,R268)&gt;0,0,IF(COUNTIF($G268:$T268,"&gt;"&amp;R268)=0,"",SMALL($G268:$T268,COUNTIF($G268:$T268,"&lt;="&amp;R268)+1)-R268)))</f>
        <v/>
      </c>
      <c r="AP268">
        <f t="shared" ca="1" si="71"/>
        <v>0</v>
      </c>
      <c r="AQ268" s="25" t="str">
        <f t="shared" si="72"/>
        <v/>
      </c>
      <c r="AR268" s="25" t="str">
        <f t="shared" si="73"/>
        <v/>
      </c>
      <c r="AS268" s="25">
        <f t="shared" si="74"/>
        <v>46298</v>
      </c>
      <c r="AT268" s="25">
        <f t="shared" si="75"/>
        <v>46298</v>
      </c>
      <c r="AU268" s="25" t="str">
        <f t="shared" si="76"/>
        <v/>
      </c>
      <c r="AV268" s="25" t="str">
        <f t="shared" si="77"/>
        <v/>
      </c>
      <c r="AW268" s="25" t="str">
        <f t="shared" si="78"/>
        <v/>
      </c>
      <c r="AX268" s="25" t="str">
        <f t="shared" si="79"/>
        <v/>
      </c>
      <c r="AY268" s="25" t="str">
        <f t="shared" si="80"/>
        <v/>
      </c>
      <c r="AZ268" s="25" t="str">
        <f t="shared" si="81"/>
        <v/>
      </c>
      <c r="BA268" s="25">
        <f t="shared" si="82"/>
        <v>46298</v>
      </c>
      <c r="BB268" s="25" t="str">
        <f t="shared" si="83"/>
        <v/>
      </c>
      <c r="BC268" s="25">
        <f t="shared" si="84"/>
        <v>46298</v>
      </c>
    </row>
    <row r="269" spans="1:55" x14ac:dyDescent="0.25">
      <c r="A269" s="151">
        <f t="shared" si="69"/>
        <v>267</v>
      </c>
      <c r="B269" s="151" t="s">
        <v>442</v>
      </c>
      <c r="C269" s="152" t="s">
        <v>355</v>
      </c>
      <c r="D269" s="151">
        <f t="shared" si="68"/>
        <v>1</v>
      </c>
      <c r="E269" s="151" t="s">
        <v>61</v>
      </c>
      <c r="F269" s="173">
        <v>46297</v>
      </c>
      <c r="G269" s="173"/>
      <c r="H269" s="173"/>
      <c r="I269" s="173">
        <v>46297</v>
      </c>
      <c r="J269" s="173">
        <v>46298</v>
      </c>
      <c r="K269" s="173"/>
      <c r="L269" s="173"/>
      <c r="M269" s="173"/>
      <c r="N269" s="173"/>
      <c r="O269" s="173"/>
      <c r="P269" s="173"/>
      <c r="Q269" s="173">
        <v>46298</v>
      </c>
      <c r="R269" s="173"/>
      <c r="S269" s="173"/>
      <c r="T269" s="174">
        <v>46298</v>
      </c>
      <c r="U269" s="151"/>
      <c r="V269" s="152"/>
      <c r="W269" s="175"/>
      <c r="X269" s="173"/>
      <c r="Y269" s="173"/>
      <c r="Z269" s="176" t="str">
        <f>IF(B269="","",IF(S269&lt;&gt;"","Sevk Edildi",IF(AND(X269&lt;&gt;"",Y269=""),"Reworkte",IF(T269&lt;&gt;"","Kapandı"&amp;IF(COUNT(G269:R269)=0,""," – "&amp;LOOKUP(2,1/(G269:R269=MAX(G269:R269)),{"Tasarım","Ply Cutter","Üretim","Kalite (Üretim sonrası)","Talaşlı","Kalite (Talaşlı sonrası)","Montaj","Kalite (Montaj sonrası)","Boya","Kalite (Boya sonrası)","Yarı Mamül","KM"})),IF(COUNT(G269:R269)=0,"Başlamadı",LOOKUP(2,1/(G269:R269=MAX(G269:R269)),{"Tasarımda","Ply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69" s="177">
        <f t="shared" ca="1" si="70"/>
        <v>1</v>
      </c>
      <c r="AB269" s="175"/>
      <c r="AD269" t="str">
        <f>IF(OR($B269="",NOT(ISNUMBER(G269))),"",IF(COUNTIF(H269:$T269,G269)&gt;0,0,IF(COUNTIF($G269:$T269,"&gt;"&amp;G269)=0,"",SMALL($G269:$T269,COUNTIF($G269:$T269,"&lt;="&amp;G269)+1)-G269)))</f>
        <v/>
      </c>
      <c r="AE269" t="str">
        <f>IF(OR($B269="",NOT(ISNUMBER(H269))),"",IF(COUNTIF(I269:$T269,H269)&gt;0,0,IF(COUNTIF($G269:$T269,"&gt;"&amp;H269)=0,"",SMALL($G269:$T269,COUNTIF($G269:$T269,"&lt;="&amp;H269)+1)-H269)))</f>
        <v/>
      </c>
      <c r="AF269">
        <f>IF(OR($B269="",NOT(ISNUMBER(I269))),"",IF(COUNTIF(J269:$T269,I269)&gt;0,0,IF(COUNTIF($G269:$T269,"&gt;"&amp;I269)=0,"",SMALL($G269:$T269,COUNTIF($G269:$T269,"&lt;="&amp;I269)+1)-I269)))</f>
        <v>1</v>
      </c>
      <c r="AG269">
        <f>IF(OR($B269="",NOT(ISNUMBER(J269))),"",IF(COUNTIF(K269:$T269,J269)&gt;0,0,IF(COUNTIF($G269:$T269,"&gt;"&amp;J269)=0,"",SMALL($G269:$T269,COUNTIF($G269:$T269,"&lt;="&amp;J269)+1)-J269)))</f>
        <v>0</v>
      </c>
      <c r="AH269" t="str">
        <f>IF(OR($B269="",NOT(ISNUMBER(K269))),"",IF(COUNTIF(L269:$T269,K269)&gt;0,0,IF(COUNTIF($G269:$T269,"&gt;"&amp;K269)=0,"",SMALL($G269:$T269,COUNTIF($G269:$T269,"&lt;="&amp;K269)+1)-K269)))</f>
        <v/>
      </c>
      <c r="AI269" t="str">
        <f>IF(OR($B269="",NOT(ISNUMBER(L269))),"",IF(COUNTIF(M269:$T269,L269)&gt;0,0,IF(COUNTIF($G269:$T269,"&gt;"&amp;L269)=0,"",SMALL($G269:$T269,COUNTIF($G269:$T269,"&lt;="&amp;L269)+1)-L269)))</f>
        <v/>
      </c>
      <c r="AJ269" t="str">
        <f>IF(OR($B269="",NOT(ISNUMBER(M269))),"",IF(COUNTIF(N269:$T269,M269)&gt;0,0,IF(COUNTIF($G269:$T269,"&gt;"&amp;M269)=0,"",SMALL($G269:$T269,COUNTIF($G269:$T269,"&lt;="&amp;M269)+1)-M269)))</f>
        <v/>
      </c>
      <c r="AK269" t="str">
        <f>IF(OR($B269="",NOT(ISNUMBER(N269))),"",IF(COUNTIF(O269:$T269,N269)&gt;0,0,IF(COUNTIF($G269:$T269,"&gt;"&amp;N269)=0,"",SMALL($G269:$T269,COUNTIF($G269:$T269,"&lt;="&amp;N269)+1)-N269)))</f>
        <v/>
      </c>
      <c r="AL269" t="str">
        <f>IF(OR($B269="",NOT(ISNUMBER(O269))),"",IF(COUNTIF(P269:$T269,O269)&gt;0,0,IF(COUNTIF($G269:$T269,"&gt;"&amp;O269)=0,"",SMALL($G269:$T269,COUNTIF($G269:$T269,"&lt;="&amp;O269)+1)-O269)))</f>
        <v/>
      </c>
      <c r="AM269" t="str">
        <f>IF(OR($B269="",NOT(ISNUMBER(P269))),"",IF(COUNTIF(Q269:$T269,P269)&gt;0,0,IF(COUNTIF($G269:$T269,"&gt;"&amp;P269)=0,"",SMALL($G269:$T269,COUNTIF($G269:$T269,"&lt;="&amp;P269)+1)-P269)))</f>
        <v/>
      </c>
      <c r="AN269">
        <f>IF(OR($B269="",NOT(ISNUMBER(Q269))),"",IF(COUNTIF(R269:$T269,Q269)&gt;0,0,IF(COUNTIF($G269:$T269,"&gt;"&amp;Q269)=0,"",SMALL($G269:$T269,COUNTIF($G269:$T269,"&lt;="&amp;Q269)+1)-Q269)))</f>
        <v>0</v>
      </c>
      <c r="AO269" t="str">
        <f>IF(OR($B269="",NOT(ISNUMBER(R269))),"",IF(COUNTIF(S269:$T269,R269)&gt;0,0,IF(COUNTIF($G269:$T269,"&gt;"&amp;R269)=0,"",SMALL($G269:$T269,COUNTIF($G269:$T269,"&lt;="&amp;R269)+1)-R269)))</f>
        <v/>
      </c>
      <c r="AP269">
        <f t="shared" ca="1" si="71"/>
        <v>0</v>
      </c>
      <c r="AQ269" s="25" t="str">
        <f t="shared" si="72"/>
        <v/>
      </c>
      <c r="AR269" s="25" t="str">
        <f t="shared" si="73"/>
        <v/>
      </c>
      <c r="AS269" s="25">
        <f t="shared" si="74"/>
        <v>46298</v>
      </c>
      <c r="AT269" s="25">
        <f t="shared" si="75"/>
        <v>46298</v>
      </c>
      <c r="AU269" s="25" t="str">
        <f t="shared" si="76"/>
        <v/>
      </c>
      <c r="AV269" s="25" t="str">
        <f t="shared" si="77"/>
        <v/>
      </c>
      <c r="AW269" s="25" t="str">
        <f t="shared" si="78"/>
        <v/>
      </c>
      <c r="AX269" s="25" t="str">
        <f t="shared" si="79"/>
        <v/>
      </c>
      <c r="AY269" s="25" t="str">
        <f t="shared" si="80"/>
        <v/>
      </c>
      <c r="AZ269" s="25" t="str">
        <f t="shared" si="81"/>
        <v/>
      </c>
      <c r="BA269" s="25">
        <f t="shared" si="82"/>
        <v>46298</v>
      </c>
      <c r="BB269" s="25" t="str">
        <f t="shared" si="83"/>
        <v/>
      </c>
      <c r="BC269" s="25">
        <f t="shared" si="84"/>
        <v>46298</v>
      </c>
    </row>
    <row r="270" spans="1:55" x14ac:dyDescent="0.25">
      <c r="A270" s="151">
        <f t="shared" si="69"/>
        <v>268</v>
      </c>
      <c r="B270" s="151" t="s">
        <v>443</v>
      </c>
      <c r="C270" s="152" t="s">
        <v>72</v>
      </c>
      <c r="D270" s="151">
        <f t="shared" si="68"/>
        <v>1</v>
      </c>
      <c r="E270" s="151" t="s">
        <v>61</v>
      </c>
      <c r="F270" s="173">
        <v>46297</v>
      </c>
      <c r="G270" s="173"/>
      <c r="H270" s="173"/>
      <c r="I270" s="173">
        <v>46297</v>
      </c>
      <c r="J270" s="173">
        <v>46298</v>
      </c>
      <c r="K270" s="173"/>
      <c r="L270" s="173"/>
      <c r="M270" s="173"/>
      <c r="N270" s="173"/>
      <c r="O270" s="173"/>
      <c r="P270" s="173"/>
      <c r="Q270" s="173">
        <v>46298</v>
      </c>
      <c r="R270" s="173"/>
      <c r="S270" s="173"/>
      <c r="T270" s="174">
        <v>46298</v>
      </c>
      <c r="U270" s="151"/>
      <c r="V270" s="152"/>
      <c r="W270" s="175"/>
      <c r="X270" s="173"/>
      <c r="Y270" s="173"/>
      <c r="Z270" s="176" t="str">
        <f>IF(B270="","",IF(S270&lt;&gt;"","Sevk Edildi",IF(AND(X270&lt;&gt;"",Y270=""),"Reworkte",IF(T270&lt;&gt;"","Kapandı"&amp;IF(COUNT(G270:R270)=0,""," – "&amp;LOOKUP(2,1/(G270:R270=MAX(G270:R270)),{"Tasarım","Ply Cutter","Üretim","Kalite (Üretim sonrası)","Talaşlı","Kalite (Talaşlı sonrası)","Montaj","Kalite (Montaj sonrası)","Boya","Kalite (Boya sonrası)","Yarı Mamül","KM"})),IF(COUNT(G270:R270)=0,"Başlamadı",LOOKUP(2,1/(G270:R270=MAX(G270:R270)),{"Tasarımda","Ply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70" s="177">
        <f t="shared" ca="1" si="70"/>
        <v>1</v>
      </c>
      <c r="AB270" s="175"/>
      <c r="AD270" t="str">
        <f>IF(OR($B270="",NOT(ISNUMBER(G270))),"",IF(COUNTIF(H270:$T270,G270)&gt;0,0,IF(COUNTIF($G270:$T270,"&gt;"&amp;G270)=0,"",SMALL($G270:$T270,COUNTIF($G270:$T270,"&lt;="&amp;G270)+1)-G270)))</f>
        <v/>
      </c>
      <c r="AE270" t="str">
        <f>IF(OR($B270="",NOT(ISNUMBER(H270))),"",IF(COUNTIF(I270:$T270,H270)&gt;0,0,IF(COUNTIF($G270:$T270,"&gt;"&amp;H270)=0,"",SMALL($G270:$T270,COUNTIF($G270:$T270,"&lt;="&amp;H270)+1)-H270)))</f>
        <v/>
      </c>
      <c r="AF270">
        <f>IF(OR($B270="",NOT(ISNUMBER(I270))),"",IF(COUNTIF(J270:$T270,I270)&gt;0,0,IF(COUNTIF($G270:$T270,"&gt;"&amp;I270)=0,"",SMALL($G270:$T270,COUNTIF($G270:$T270,"&lt;="&amp;I270)+1)-I270)))</f>
        <v>1</v>
      </c>
      <c r="AG270">
        <f>IF(OR($B270="",NOT(ISNUMBER(J270))),"",IF(COUNTIF(K270:$T270,J270)&gt;0,0,IF(COUNTIF($G270:$T270,"&gt;"&amp;J270)=0,"",SMALL($G270:$T270,COUNTIF($G270:$T270,"&lt;="&amp;J270)+1)-J270)))</f>
        <v>0</v>
      </c>
      <c r="AH270" t="str">
        <f>IF(OR($B270="",NOT(ISNUMBER(K270))),"",IF(COUNTIF(L270:$T270,K270)&gt;0,0,IF(COUNTIF($G270:$T270,"&gt;"&amp;K270)=0,"",SMALL($G270:$T270,COUNTIF($G270:$T270,"&lt;="&amp;K270)+1)-K270)))</f>
        <v/>
      </c>
      <c r="AI270" t="str">
        <f>IF(OR($B270="",NOT(ISNUMBER(L270))),"",IF(COUNTIF(M270:$T270,L270)&gt;0,0,IF(COUNTIF($G270:$T270,"&gt;"&amp;L270)=0,"",SMALL($G270:$T270,COUNTIF($G270:$T270,"&lt;="&amp;L270)+1)-L270)))</f>
        <v/>
      </c>
      <c r="AJ270" t="str">
        <f>IF(OR($B270="",NOT(ISNUMBER(M270))),"",IF(COUNTIF(N270:$T270,M270)&gt;0,0,IF(COUNTIF($G270:$T270,"&gt;"&amp;M270)=0,"",SMALL($G270:$T270,COUNTIF($G270:$T270,"&lt;="&amp;M270)+1)-M270)))</f>
        <v/>
      </c>
      <c r="AK270" t="str">
        <f>IF(OR($B270="",NOT(ISNUMBER(N270))),"",IF(COUNTIF(O270:$T270,N270)&gt;0,0,IF(COUNTIF($G270:$T270,"&gt;"&amp;N270)=0,"",SMALL($G270:$T270,COUNTIF($G270:$T270,"&lt;="&amp;N270)+1)-N270)))</f>
        <v/>
      </c>
      <c r="AL270" t="str">
        <f>IF(OR($B270="",NOT(ISNUMBER(O270))),"",IF(COUNTIF(P270:$T270,O270)&gt;0,0,IF(COUNTIF($G270:$T270,"&gt;"&amp;O270)=0,"",SMALL($G270:$T270,COUNTIF($G270:$T270,"&lt;="&amp;O270)+1)-O270)))</f>
        <v/>
      </c>
      <c r="AM270" t="str">
        <f>IF(OR($B270="",NOT(ISNUMBER(P270))),"",IF(COUNTIF(Q270:$T270,P270)&gt;0,0,IF(COUNTIF($G270:$T270,"&gt;"&amp;P270)=0,"",SMALL($G270:$T270,COUNTIF($G270:$T270,"&lt;="&amp;P270)+1)-P270)))</f>
        <v/>
      </c>
      <c r="AN270">
        <f>IF(OR($B270="",NOT(ISNUMBER(Q270))),"",IF(COUNTIF(R270:$T270,Q270)&gt;0,0,IF(COUNTIF($G270:$T270,"&gt;"&amp;Q270)=0,"",SMALL($G270:$T270,COUNTIF($G270:$T270,"&lt;="&amp;Q270)+1)-Q270)))</f>
        <v>0</v>
      </c>
      <c r="AO270" t="str">
        <f>IF(OR($B270="",NOT(ISNUMBER(R270))),"",IF(COUNTIF(S270:$T270,R270)&gt;0,0,IF(COUNTIF($G270:$T270,"&gt;"&amp;R270)=0,"",SMALL($G270:$T270,COUNTIF($G270:$T270,"&lt;="&amp;R270)+1)-R270)))</f>
        <v/>
      </c>
      <c r="AP270">
        <f t="shared" ca="1" si="71"/>
        <v>0</v>
      </c>
      <c r="AQ270" s="25" t="str">
        <f t="shared" si="72"/>
        <v/>
      </c>
      <c r="AR270" s="25" t="str">
        <f t="shared" si="73"/>
        <v/>
      </c>
      <c r="AS270" s="25">
        <f t="shared" si="74"/>
        <v>46298</v>
      </c>
      <c r="AT270" s="25">
        <f t="shared" si="75"/>
        <v>46298</v>
      </c>
      <c r="AU270" s="25" t="str">
        <f t="shared" si="76"/>
        <v/>
      </c>
      <c r="AV270" s="25" t="str">
        <f t="shared" si="77"/>
        <v/>
      </c>
      <c r="AW270" s="25" t="str">
        <f t="shared" si="78"/>
        <v/>
      </c>
      <c r="AX270" s="25" t="str">
        <f t="shared" si="79"/>
        <v/>
      </c>
      <c r="AY270" s="25" t="str">
        <f t="shared" si="80"/>
        <v/>
      </c>
      <c r="AZ270" s="25" t="str">
        <f t="shared" si="81"/>
        <v/>
      </c>
      <c r="BA270" s="25">
        <f t="shared" si="82"/>
        <v>46298</v>
      </c>
      <c r="BB270" s="25" t="str">
        <f t="shared" si="83"/>
        <v/>
      </c>
      <c r="BC270" s="25">
        <f t="shared" si="84"/>
        <v>46298</v>
      </c>
    </row>
    <row r="271" spans="1:55" x14ac:dyDescent="0.25">
      <c r="A271" s="151">
        <f t="shared" si="69"/>
        <v>269</v>
      </c>
      <c r="B271" s="151" t="s">
        <v>444</v>
      </c>
      <c r="C271" s="152" t="s">
        <v>180</v>
      </c>
      <c r="D271" s="151">
        <f t="shared" si="68"/>
        <v>1</v>
      </c>
      <c r="E271" s="151" t="s">
        <v>61</v>
      </c>
      <c r="F271" s="173">
        <v>46297</v>
      </c>
      <c r="G271" s="173"/>
      <c r="H271" s="173"/>
      <c r="I271" s="173">
        <v>46297</v>
      </c>
      <c r="J271" s="173">
        <v>46298</v>
      </c>
      <c r="K271" s="173"/>
      <c r="L271" s="173"/>
      <c r="M271" s="173"/>
      <c r="N271" s="173"/>
      <c r="O271" s="173"/>
      <c r="P271" s="173"/>
      <c r="Q271" s="173">
        <v>46298</v>
      </c>
      <c r="R271" s="173"/>
      <c r="S271" s="173"/>
      <c r="T271" s="174">
        <v>46298</v>
      </c>
      <c r="U271" s="151"/>
      <c r="V271" s="152"/>
      <c r="W271" s="175"/>
      <c r="X271" s="173"/>
      <c r="Y271" s="173"/>
      <c r="Z271" s="176" t="str">
        <f>IF(B271="","",IF(S271&lt;&gt;"","Sevk Edildi",IF(AND(X271&lt;&gt;"",Y271=""),"Reworkte",IF(T271&lt;&gt;"","Kapandı"&amp;IF(COUNT(G271:R271)=0,""," – "&amp;LOOKUP(2,1/(G271:R271=MAX(G271:R271)),{"Tasarım","Ply Cutter","Üretim","Kalite (Üretim sonrası)","Talaşlı","Kalite (Talaşlı sonrası)","Montaj","Kalite (Montaj sonrası)","Boya","Kalite (Boya sonrası)","Yarı Mamül","KM"})),IF(COUNT(G271:R271)=0,"Başlamadı",LOOKUP(2,1/(G271:R271=MAX(G271:R271)),{"Tasarımda","Ply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71" s="177">
        <f t="shared" ca="1" si="70"/>
        <v>1</v>
      </c>
      <c r="AB271" s="175"/>
      <c r="AD271" t="str">
        <f>IF(OR($B271="",NOT(ISNUMBER(G271))),"",IF(COUNTIF(H271:$T271,G271)&gt;0,0,IF(COUNTIF($G271:$T271,"&gt;"&amp;G271)=0,"",SMALL($G271:$T271,COUNTIF($G271:$T271,"&lt;="&amp;G271)+1)-G271)))</f>
        <v/>
      </c>
      <c r="AE271" t="str">
        <f>IF(OR($B271="",NOT(ISNUMBER(H271))),"",IF(COUNTIF(I271:$T271,H271)&gt;0,0,IF(COUNTIF($G271:$T271,"&gt;"&amp;H271)=0,"",SMALL($G271:$T271,COUNTIF($G271:$T271,"&lt;="&amp;H271)+1)-H271)))</f>
        <v/>
      </c>
      <c r="AF271">
        <f>IF(OR($B271="",NOT(ISNUMBER(I271))),"",IF(COUNTIF(J271:$T271,I271)&gt;0,0,IF(COUNTIF($G271:$T271,"&gt;"&amp;I271)=0,"",SMALL($G271:$T271,COUNTIF($G271:$T271,"&lt;="&amp;I271)+1)-I271)))</f>
        <v>1</v>
      </c>
      <c r="AG271">
        <f>IF(OR($B271="",NOT(ISNUMBER(J271))),"",IF(COUNTIF(K271:$T271,J271)&gt;0,0,IF(COUNTIF($G271:$T271,"&gt;"&amp;J271)=0,"",SMALL($G271:$T271,COUNTIF($G271:$T271,"&lt;="&amp;J271)+1)-J271)))</f>
        <v>0</v>
      </c>
      <c r="AH271" t="str">
        <f>IF(OR($B271="",NOT(ISNUMBER(K271))),"",IF(COUNTIF(L271:$T271,K271)&gt;0,0,IF(COUNTIF($G271:$T271,"&gt;"&amp;K271)=0,"",SMALL($G271:$T271,COUNTIF($G271:$T271,"&lt;="&amp;K271)+1)-K271)))</f>
        <v/>
      </c>
      <c r="AI271" t="str">
        <f>IF(OR($B271="",NOT(ISNUMBER(L271))),"",IF(COUNTIF(M271:$T271,L271)&gt;0,0,IF(COUNTIF($G271:$T271,"&gt;"&amp;L271)=0,"",SMALL($G271:$T271,COUNTIF($G271:$T271,"&lt;="&amp;L271)+1)-L271)))</f>
        <v/>
      </c>
      <c r="AJ271" t="str">
        <f>IF(OR($B271="",NOT(ISNUMBER(M271))),"",IF(COUNTIF(N271:$T271,M271)&gt;0,0,IF(COUNTIF($G271:$T271,"&gt;"&amp;M271)=0,"",SMALL($G271:$T271,COUNTIF($G271:$T271,"&lt;="&amp;M271)+1)-M271)))</f>
        <v/>
      </c>
      <c r="AK271" t="str">
        <f>IF(OR($B271="",NOT(ISNUMBER(N271))),"",IF(COUNTIF(O271:$T271,N271)&gt;0,0,IF(COUNTIF($G271:$T271,"&gt;"&amp;N271)=0,"",SMALL($G271:$T271,COUNTIF($G271:$T271,"&lt;="&amp;N271)+1)-N271)))</f>
        <v/>
      </c>
      <c r="AL271" t="str">
        <f>IF(OR($B271="",NOT(ISNUMBER(O271))),"",IF(COUNTIF(P271:$T271,O271)&gt;0,0,IF(COUNTIF($G271:$T271,"&gt;"&amp;O271)=0,"",SMALL($G271:$T271,COUNTIF($G271:$T271,"&lt;="&amp;O271)+1)-O271)))</f>
        <v/>
      </c>
      <c r="AM271" t="str">
        <f>IF(OR($B271="",NOT(ISNUMBER(P271))),"",IF(COUNTIF(Q271:$T271,P271)&gt;0,0,IF(COUNTIF($G271:$T271,"&gt;"&amp;P271)=0,"",SMALL($G271:$T271,COUNTIF($G271:$T271,"&lt;="&amp;P271)+1)-P271)))</f>
        <v/>
      </c>
      <c r="AN271">
        <f>IF(OR($B271="",NOT(ISNUMBER(Q271))),"",IF(COUNTIF(R271:$T271,Q271)&gt;0,0,IF(COUNTIF($G271:$T271,"&gt;"&amp;Q271)=0,"",SMALL($G271:$T271,COUNTIF($G271:$T271,"&lt;="&amp;Q271)+1)-Q271)))</f>
        <v>0</v>
      </c>
      <c r="AO271" t="str">
        <f>IF(OR($B271="",NOT(ISNUMBER(R271))),"",IF(COUNTIF(S271:$T271,R271)&gt;0,0,IF(COUNTIF($G271:$T271,"&gt;"&amp;R271)=0,"",SMALL($G271:$T271,COUNTIF($G271:$T271,"&lt;="&amp;R271)+1)-R271)))</f>
        <v/>
      </c>
      <c r="AP271">
        <f t="shared" ca="1" si="71"/>
        <v>0</v>
      </c>
      <c r="AQ271" s="25" t="str">
        <f t="shared" si="72"/>
        <v/>
      </c>
      <c r="AR271" s="25" t="str">
        <f t="shared" si="73"/>
        <v/>
      </c>
      <c r="AS271" s="25">
        <f t="shared" si="74"/>
        <v>46298</v>
      </c>
      <c r="AT271" s="25">
        <f t="shared" si="75"/>
        <v>46298</v>
      </c>
      <c r="AU271" s="25" t="str">
        <f t="shared" si="76"/>
        <v/>
      </c>
      <c r="AV271" s="25" t="str">
        <f t="shared" si="77"/>
        <v/>
      </c>
      <c r="AW271" s="25" t="str">
        <f t="shared" si="78"/>
        <v/>
      </c>
      <c r="AX271" s="25" t="str">
        <f t="shared" si="79"/>
        <v/>
      </c>
      <c r="AY271" s="25" t="str">
        <f t="shared" si="80"/>
        <v/>
      </c>
      <c r="AZ271" s="25" t="str">
        <f t="shared" si="81"/>
        <v/>
      </c>
      <c r="BA271" s="25">
        <f t="shared" si="82"/>
        <v>46298</v>
      </c>
      <c r="BB271" s="25" t="str">
        <f t="shared" si="83"/>
        <v/>
      </c>
      <c r="BC271" s="25">
        <f t="shared" si="84"/>
        <v>46298</v>
      </c>
    </row>
    <row r="272" spans="1:55" x14ac:dyDescent="0.25">
      <c r="A272" s="151">
        <f t="shared" si="69"/>
        <v>270</v>
      </c>
      <c r="B272" s="151" t="s">
        <v>445</v>
      </c>
      <c r="C272" s="152" t="s">
        <v>94</v>
      </c>
      <c r="D272" s="151">
        <f t="shared" si="68"/>
        <v>1</v>
      </c>
      <c r="E272" s="151" t="s">
        <v>61</v>
      </c>
      <c r="F272" s="173">
        <v>46297</v>
      </c>
      <c r="G272" s="173"/>
      <c r="H272" s="173"/>
      <c r="I272" s="173">
        <v>46297</v>
      </c>
      <c r="J272" s="173">
        <v>46298</v>
      </c>
      <c r="K272" s="173"/>
      <c r="L272" s="173"/>
      <c r="M272" s="173"/>
      <c r="N272" s="173"/>
      <c r="O272" s="173"/>
      <c r="P272" s="173"/>
      <c r="Q272" s="173"/>
      <c r="R272" s="173"/>
      <c r="S272" s="173"/>
      <c r="T272" s="174">
        <v>46298</v>
      </c>
      <c r="U272" s="151"/>
      <c r="V272" s="152"/>
      <c r="W272" s="175"/>
      <c r="X272" s="173"/>
      <c r="Y272" s="173"/>
      <c r="Z272" s="176" t="str">
        <f>IF(B272="","",IF(S272&lt;&gt;"","Sevk Edildi",IF(AND(X272&lt;&gt;"",Y272=""),"Reworkte",IF(T272&lt;&gt;"","Kapandı"&amp;IF(COUNT(G272:R272)=0,""," – "&amp;LOOKUP(2,1/(G272:R272=MAX(G272:R272)),{"Tasarım","Ply Cutter","Üretim","Kalite (Üretim sonrası)","Talaşlı","Kalite (Talaşlı sonrası)","Montaj","Kalite (Montaj sonrası)","Boya","Kalite (Boya sonrası)","Yarı Mamül","KM"})),IF(COUNT(G272:R272)=0,"Başlamadı",LOOKUP(2,1/(G272:R272=MAX(G272:R272)),{"Tasarımda","Ply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72" s="177">
        <f t="shared" ca="1" si="70"/>
        <v>1</v>
      </c>
      <c r="AB272" s="175"/>
      <c r="AD272" t="str">
        <f>IF(OR($B272="",NOT(ISNUMBER(G272))),"",IF(COUNTIF(H272:$T272,G272)&gt;0,0,IF(COUNTIF($G272:$T272,"&gt;"&amp;G272)=0,"",SMALL($G272:$T272,COUNTIF($G272:$T272,"&lt;="&amp;G272)+1)-G272)))</f>
        <v/>
      </c>
      <c r="AE272" t="str">
        <f>IF(OR($B272="",NOT(ISNUMBER(H272))),"",IF(COUNTIF(I272:$T272,H272)&gt;0,0,IF(COUNTIF($G272:$T272,"&gt;"&amp;H272)=0,"",SMALL($G272:$T272,COUNTIF($G272:$T272,"&lt;="&amp;H272)+1)-H272)))</f>
        <v/>
      </c>
      <c r="AF272">
        <f>IF(OR($B272="",NOT(ISNUMBER(I272))),"",IF(COUNTIF(J272:$T272,I272)&gt;0,0,IF(COUNTIF($G272:$T272,"&gt;"&amp;I272)=0,"",SMALL($G272:$T272,COUNTIF($G272:$T272,"&lt;="&amp;I272)+1)-I272)))</f>
        <v>1</v>
      </c>
      <c r="AG272">
        <f>IF(OR($B272="",NOT(ISNUMBER(J272))),"",IF(COUNTIF(K272:$T272,J272)&gt;0,0,IF(COUNTIF($G272:$T272,"&gt;"&amp;J272)=0,"",SMALL($G272:$T272,COUNTIF($G272:$T272,"&lt;="&amp;J272)+1)-J272)))</f>
        <v>0</v>
      </c>
      <c r="AH272" t="str">
        <f>IF(OR($B272="",NOT(ISNUMBER(K272))),"",IF(COUNTIF(L272:$T272,K272)&gt;0,0,IF(COUNTIF($G272:$T272,"&gt;"&amp;K272)=0,"",SMALL($G272:$T272,COUNTIF($G272:$T272,"&lt;="&amp;K272)+1)-K272)))</f>
        <v/>
      </c>
      <c r="AI272" t="str">
        <f>IF(OR($B272="",NOT(ISNUMBER(L272))),"",IF(COUNTIF(M272:$T272,L272)&gt;0,0,IF(COUNTIF($G272:$T272,"&gt;"&amp;L272)=0,"",SMALL($G272:$T272,COUNTIF($G272:$T272,"&lt;="&amp;L272)+1)-L272)))</f>
        <v/>
      </c>
      <c r="AJ272" t="str">
        <f>IF(OR($B272="",NOT(ISNUMBER(M272))),"",IF(COUNTIF(N272:$T272,M272)&gt;0,0,IF(COUNTIF($G272:$T272,"&gt;"&amp;M272)=0,"",SMALL($G272:$T272,COUNTIF($G272:$T272,"&lt;="&amp;M272)+1)-M272)))</f>
        <v/>
      </c>
      <c r="AK272" t="str">
        <f>IF(OR($B272="",NOT(ISNUMBER(N272))),"",IF(COUNTIF(O272:$T272,N272)&gt;0,0,IF(COUNTIF($G272:$T272,"&gt;"&amp;N272)=0,"",SMALL($G272:$T272,COUNTIF($G272:$T272,"&lt;="&amp;N272)+1)-N272)))</f>
        <v/>
      </c>
      <c r="AL272" t="str">
        <f>IF(OR($B272="",NOT(ISNUMBER(O272))),"",IF(COUNTIF(P272:$T272,O272)&gt;0,0,IF(COUNTIF($G272:$T272,"&gt;"&amp;O272)=0,"",SMALL($G272:$T272,COUNTIF($G272:$T272,"&lt;="&amp;O272)+1)-O272)))</f>
        <v/>
      </c>
      <c r="AM272" t="str">
        <f>IF(OR($B272="",NOT(ISNUMBER(P272))),"",IF(COUNTIF(Q272:$T272,P272)&gt;0,0,IF(COUNTIF($G272:$T272,"&gt;"&amp;P272)=0,"",SMALL($G272:$T272,COUNTIF($G272:$T272,"&lt;="&amp;P272)+1)-P272)))</f>
        <v/>
      </c>
      <c r="AN272" t="str">
        <f>IF(OR($B272="",NOT(ISNUMBER(Q272))),"",IF(COUNTIF(R272:$T272,Q272)&gt;0,0,IF(COUNTIF($G272:$T272,"&gt;"&amp;Q272)=0,"",SMALL($G272:$T272,COUNTIF($G272:$T272,"&lt;="&amp;Q272)+1)-Q272)))</f>
        <v/>
      </c>
      <c r="AO272" t="str">
        <f>IF(OR($B272="",NOT(ISNUMBER(R272))),"",IF(COUNTIF(S272:$T272,R272)&gt;0,0,IF(COUNTIF($G272:$T272,"&gt;"&amp;R272)=0,"",SMALL($G272:$T272,COUNTIF($G272:$T272,"&lt;="&amp;R272)+1)-R272)))</f>
        <v/>
      </c>
      <c r="AP272">
        <f t="shared" ca="1" si="71"/>
        <v>0</v>
      </c>
      <c r="AQ272" s="25" t="str">
        <f t="shared" si="72"/>
        <v/>
      </c>
      <c r="AR272" s="25" t="str">
        <f t="shared" si="73"/>
        <v/>
      </c>
      <c r="AS272" s="25">
        <f t="shared" si="74"/>
        <v>46298</v>
      </c>
      <c r="AT272" s="25">
        <f t="shared" si="75"/>
        <v>46298</v>
      </c>
      <c r="AU272" s="25" t="str">
        <f t="shared" si="76"/>
        <v/>
      </c>
      <c r="AV272" s="25" t="str">
        <f t="shared" si="77"/>
        <v/>
      </c>
      <c r="AW272" s="25" t="str">
        <f t="shared" si="78"/>
        <v/>
      </c>
      <c r="AX272" s="25" t="str">
        <f t="shared" si="79"/>
        <v/>
      </c>
      <c r="AY272" s="25" t="str">
        <f t="shared" si="80"/>
        <v/>
      </c>
      <c r="AZ272" s="25" t="str">
        <f t="shared" si="81"/>
        <v/>
      </c>
      <c r="BA272" s="25" t="str">
        <f t="shared" si="82"/>
        <v/>
      </c>
      <c r="BB272" s="25" t="str">
        <f t="shared" si="83"/>
        <v/>
      </c>
      <c r="BC272" s="25">
        <f t="shared" si="84"/>
        <v>46298</v>
      </c>
    </row>
    <row r="273" spans="1:55" x14ac:dyDescent="0.25">
      <c r="A273" s="151">
        <f t="shared" si="69"/>
        <v>271</v>
      </c>
      <c r="B273" s="151" t="s">
        <v>446</v>
      </c>
      <c r="C273" s="152" t="s">
        <v>285</v>
      </c>
      <c r="D273" s="151">
        <f t="shared" si="68"/>
        <v>1</v>
      </c>
      <c r="E273" s="151" t="s">
        <v>61</v>
      </c>
      <c r="F273" s="173">
        <v>46297</v>
      </c>
      <c r="G273" s="173"/>
      <c r="H273" s="173"/>
      <c r="I273" s="173">
        <v>46297</v>
      </c>
      <c r="J273" s="173">
        <v>46298</v>
      </c>
      <c r="K273" s="173"/>
      <c r="L273" s="173"/>
      <c r="M273" s="173"/>
      <c r="N273" s="173"/>
      <c r="O273" s="173"/>
      <c r="P273" s="173"/>
      <c r="Q273" s="173">
        <v>46298</v>
      </c>
      <c r="R273" s="173"/>
      <c r="S273" s="173"/>
      <c r="T273" s="174">
        <v>46298</v>
      </c>
      <c r="U273" s="151"/>
      <c r="V273" s="152"/>
      <c r="W273" s="175"/>
      <c r="X273" s="173"/>
      <c r="Y273" s="173"/>
      <c r="Z273" s="176" t="str">
        <f>IF(B273="","",IF(S273&lt;&gt;"","Sevk Edildi",IF(AND(X273&lt;&gt;"",Y273=""),"Reworkte",IF(T273&lt;&gt;"","Kapandı"&amp;IF(COUNT(G273:R273)=0,""," – "&amp;LOOKUP(2,1/(G273:R273=MAX(G273:R273)),{"Tasarım","Ply Cutter","Üretim","Kalite (Üretim sonrası)","Talaşlı","Kalite (Talaşlı sonrası)","Montaj","Kalite (Montaj sonrası)","Boya","Kalite (Boya sonrası)","Yarı Mamül","KM"})),IF(COUNT(G273:R273)=0,"Başlamadı",LOOKUP(2,1/(G273:R273=MAX(G273:R273)),{"Tasarımda","Ply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73" s="177">
        <f t="shared" ca="1" si="70"/>
        <v>1</v>
      </c>
      <c r="AB273" s="175"/>
      <c r="AD273" t="str">
        <f>IF(OR($B273="",NOT(ISNUMBER(G273))),"",IF(COUNTIF(H273:$T273,G273)&gt;0,0,IF(COUNTIF($G273:$T273,"&gt;"&amp;G273)=0,"",SMALL($G273:$T273,COUNTIF($G273:$T273,"&lt;="&amp;G273)+1)-G273)))</f>
        <v/>
      </c>
      <c r="AE273" t="str">
        <f>IF(OR($B273="",NOT(ISNUMBER(H273))),"",IF(COUNTIF(I273:$T273,H273)&gt;0,0,IF(COUNTIF($G273:$T273,"&gt;"&amp;H273)=0,"",SMALL($G273:$T273,COUNTIF($G273:$T273,"&lt;="&amp;H273)+1)-H273)))</f>
        <v/>
      </c>
      <c r="AF273">
        <f>IF(OR($B273="",NOT(ISNUMBER(I273))),"",IF(COUNTIF(J273:$T273,I273)&gt;0,0,IF(COUNTIF($G273:$T273,"&gt;"&amp;I273)=0,"",SMALL($G273:$T273,COUNTIF($G273:$T273,"&lt;="&amp;I273)+1)-I273)))</f>
        <v>1</v>
      </c>
      <c r="AG273">
        <f>IF(OR($B273="",NOT(ISNUMBER(J273))),"",IF(COUNTIF(K273:$T273,J273)&gt;0,0,IF(COUNTIF($G273:$T273,"&gt;"&amp;J273)=0,"",SMALL($G273:$T273,COUNTIF($G273:$T273,"&lt;="&amp;J273)+1)-J273)))</f>
        <v>0</v>
      </c>
      <c r="AH273" t="str">
        <f>IF(OR($B273="",NOT(ISNUMBER(K273))),"",IF(COUNTIF(L273:$T273,K273)&gt;0,0,IF(COUNTIF($G273:$T273,"&gt;"&amp;K273)=0,"",SMALL($G273:$T273,COUNTIF($G273:$T273,"&lt;="&amp;K273)+1)-K273)))</f>
        <v/>
      </c>
      <c r="AI273" t="str">
        <f>IF(OR($B273="",NOT(ISNUMBER(L273))),"",IF(COUNTIF(M273:$T273,L273)&gt;0,0,IF(COUNTIF($G273:$T273,"&gt;"&amp;L273)=0,"",SMALL($G273:$T273,COUNTIF($G273:$T273,"&lt;="&amp;L273)+1)-L273)))</f>
        <v/>
      </c>
      <c r="AJ273" t="str">
        <f>IF(OR($B273="",NOT(ISNUMBER(M273))),"",IF(COUNTIF(N273:$T273,M273)&gt;0,0,IF(COUNTIF($G273:$T273,"&gt;"&amp;M273)=0,"",SMALL($G273:$T273,COUNTIF($G273:$T273,"&lt;="&amp;M273)+1)-M273)))</f>
        <v/>
      </c>
      <c r="AK273" t="str">
        <f>IF(OR($B273="",NOT(ISNUMBER(N273))),"",IF(COUNTIF(O273:$T273,N273)&gt;0,0,IF(COUNTIF($G273:$T273,"&gt;"&amp;N273)=0,"",SMALL($G273:$T273,COUNTIF($G273:$T273,"&lt;="&amp;N273)+1)-N273)))</f>
        <v/>
      </c>
      <c r="AL273" t="str">
        <f>IF(OR($B273="",NOT(ISNUMBER(O273))),"",IF(COUNTIF(P273:$T273,O273)&gt;0,0,IF(COUNTIF($G273:$T273,"&gt;"&amp;O273)=0,"",SMALL($G273:$T273,COUNTIF($G273:$T273,"&lt;="&amp;O273)+1)-O273)))</f>
        <v/>
      </c>
      <c r="AM273" t="str">
        <f>IF(OR($B273="",NOT(ISNUMBER(P273))),"",IF(COUNTIF(Q273:$T273,P273)&gt;0,0,IF(COUNTIF($G273:$T273,"&gt;"&amp;P273)=0,"",SMALL($G273:$T273,COUNTIF($G273:$T273,"&lt;="&amp;P273)+1)-P273)))</f>
        <v/>
      </c>
      <c r="AN273">
        <f>IF(OR($B273="",NOT(ISNUMBER(Q273))),"",IF(COUNTIF(R273:$T273,Q273)&gt;0,0,IF(COUNTIF($G273:$T273,"&gt;"&amp;Q273)=0,"",SMALL($G273:$T273,COUNTIF($G273:$T273,"&lt;="&amp;Q273)+1)-Q273)))</f>
        <v>0</v>
      </c>
      <c r="AO273" t="str">
        <f>IF(OR($B273="",NOT(ISNUMBER(R273))),"",IF(COUNTIF(S273:$T273,R273)&gt;0,0,IF(COUNTIF($G273:$T273,"&gt;"&amp;R273)=0,"",SMALL($G273:$T273,COUNTIF($G273:$T273,"&lt;="&amp;R273)+1)-R273)))</f>
        <v/>
      </c>
      <c r="AP273">
        <f t="shared" ca="1" si="71"/>
        <v>0</v>
      </c>
      <c r="AQ273" s="25" t="str">
        <f t="shared" si="72"/>
        <v/>
      </c>
      <c r="AR273" s="25" t="str">
        <f t="shared" si="73"/>
        <v/>
      </c>
      <c r="AS273" s="25">
        <f t="shared" si="74"/>
        <v>46298</v>
      </c>
      <c r="AT273" s="25">
        <f t="shared" si="75"/>
        <v>46298</v>
      </c>
      <c r="AU273" s="25" t="str">
        <f t="shared" si="76"/>
        <v/>
      </c>
      <c r="AV273" s="25" t="str">
        <f t="shared" si="77"/>
        <v/>
      </c>
      <c r="AW273" s="25" t="str">
        <f t="shared" si="78"/>
        <v/>
      </c>
      <c r="AX273" s="25" t="str">
        <f t="shared" si="79"/>
        <v/>
      </c>
      <c r="AY273" s="25" t="str">
        <f t="shared" si="80"/>
        <v/>
      </c>
      <c r="AZ273" s="25" t="str">
        <f t="shared" si="81"/>
        <v/>
      </c>
      <c r="BA273" s="25">
        <f t="shared" si="82"/>
        <v>46298</v>
      </c>
      <c r="BB273" s="25" t="str">
        <f t="shared" si="83"/>
        <v/>
      </c>
      <c r="BC273" s="25">
        <f t="shared" si="84"/>
        <v>46298</v>
      </c>
    </row>
    <row r="274" spans="1:55" x14ac:dyDescent="0.25">
      <c r="A274" s="151">
        <f t="shared" si="69"/>
        <v>272</v>
      </c>
      <c r="B274" s="151" t="s">
        <v>447</v>
      </c>
      <c r="C274" s="152" t="s">
        <v>285</v>
      </c>
      <c r="D274" s="151">
        <f t="shared" si="68"/>
        <v>1</v>
      </c>
      <c r="E274" s="151" t="s">
        <v>61</v>
      </c>
      <c r="F274" s="173">
        <v>46297</v>
      </c>
      <c r="G274" s="173"/>
      <c r="H274" s="173"/>
      <c r="I274" s="173">
        <v>46297</v>
      </c>
      <c r="J274" s="173">
        <v>46298</v>
      </c>
      <c r="K274" s="173"/>
      <c r="L274" s="173"/>
      <c r="M274" s="173"/>
      <c r="N274" s="173"/>
      <c r="O274" s="173"/>
      <c r="P274" s="173"/>
      <c r="Q274" s="173">
        <v>46298</v>
      </c>
      <c r="R274" s="173"/>
      <c r="S274" s="173"/>
      <c r="T274" s="174">
        <v>46298</v>
      </c>
      <c r="U274" s="151"/>
      <c r="V274" s="152"/>
      <c r="W274" s="175"/>
      <c r="X274" s="173"/>
      <c r="Y274" s="173"/>
      <c r="Z274" s="176" t="str">
        <f>IF(B274="","",IF(S274&lt;&gt;"","Sevk Edildi",IF(AND(X274&lt;&gt;"",Y274=""),"Reworkte",IF(T274&lt;&gt;"","Kapandı"&amp;IF(COUNT(G274:R274)=0,""," – "&amp;LOOKUP(2,1/(G274:R274=MAX(G274:R274)),{"Tasarım","Ply Cutter","Üretim","Kalite (Üretim sonrası)","Talaşlı","Kalite (Talaşlı sonrası)","Montaj","Kalite (Montaj sonrası)","Boya","Kalite (Boya sonrası)","Yarı Mamül","KM"})),IF(COUNT(G274:R274)=0,"Başlamadı",LOOKUP(2,1/(G274:R274=MAX(G274:R274)),{"Tasarımda","Ply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74" s="177">
        <f t="shared" ca="1" si="70"/>
        <v>1</v>
      </c>
      <c r="AB274" s="175"/>
      <c r="AD274" t="str">
        <f>IF(OR($B274="",NOT(ISNUMBER(G274))),"",IF(COUNTIF(H274:$T274,G274)&gt;0,0,IF(COUNTIF($G274:$T274,"&gt;"&amp;G274)=0,"",SMALL($G274:$T274,COUNTIF($G274:$T274,"&lt;="&amp;G274)+1)-G274)))</f>
        <v/>
      </c>
      <c r="AE274" t="str">
        <f>IF(OR($B274="",NOT(ISNUMBER(H274))),"",IF(COUNTIF(I274:$T274,H274)&gt;0,0,IF(COUNTIF($G274:$T274,"&gt;"&amp;H274)=0,"",SMALL($G274:$T274,COUNTIF($G274:$T274,"&lt;="&amp;H274)+1)-H274)))</f>
        <v/>
      </c>
      <c r="AF274">
        <f>IF(OR($B274="",NOT(ISNUMBER(I274))),"",IF(COUNTIF(J274:$T274,I274)&gt;0,0,IF(COUNTIF($G274:$T274,"&gt;"&amp;I274)=0,"",SMALL($G274:$T274,COUNTIF($G274:$T274,"&lt;="&amp;I274)+1)-I274)))</f>
        <v>1</v>
      </c>
      <c r="AG274">
        <f>IF(OR($B274="",NOT(ISNUMBER(J274))),"",IF(COUNTIF(K274:$T274,J274)&gt;0,0,IF(COUNTIF($G274:$T274,"&gt;"&amp;J274)=0,"",SMALL($G274:$T274,COUNTIF($G274:$T274,"&lt;="&amp;J274)+1)-J274)))</f>
        <v>0</v>
      </c>
      <c r="AH274" t="str">
        <f>IF(OR($B274="",NOT(ISNUMBER(K274))),"",IF(COUNTIF(L274:$T274,K274)&gt;0,0,IF(COUNTIF($G274:$T274,"&gt;"&amp;K274)=0,"",SMALL($G274:$T274,COUNTIF($G274:$T274,"&lt;="&amp;K274)+1)-K274)))</f>
        <v/>
      </c>
      <c r="AI274" t="str">
        <f>IF(OR($B274="",NOT(ISNUMBER(L274))),"",IF(COUNTIF(M274:$T274,L274)&gt;0,0,IF(COUNTIF($G274:$T274,"&gt;"&amp;L274)=0,"",SMALL($G274:$T274,COUNTIF($G274:$T274,"&lt;="&amp;L274)+1)-L274)))</f>
        <v/>
      </c>
      <c r="AJ274" t="str">
        <f>IF(OR($B274="",NOT(ISNUMBER(M274))),"",IF(COUNTIF(N274:$T274,M274)&gt;0,0,IF(COUNTIF($G274:$T274,"&gt;"&amp;M274)=0,"",SMALL($G274:$T274,COUNTIF($G274:$T274,"&lt;="&amp;M274)+1)-M274)))</f>
        <v/>
      </c>
      <c r="AK274" t="str">
        <f>IF(OR($B274="",NOT(ISNUMBER(N274))),"",IF(COUNTIF(O274:$T274,N274)&gt;0,0,IF(COUNTIF($G274:$T274,"&gt;"&amp;N274)=0,"",SMALL($G274:$T274,COUNTIF($G274:$T274,"&lt;="&amp;N274)+1)-N274)))</f>
        <v/>
      </c>
      <c r="AL274" t="str">
        <f>IF(OR($B274="",NOT(ISNUMBER(O274))),"",IF(COUNTIF(P274:$T274,O274)&gt;0,0,IF(COUNTIF($G274:$T274,"&gt;"&amp;O274)=0,"",SMALL($G274:$T274,COUNTIF($G274:$T274,"&lt;="&amp;O274)+1)-O274)))</f>
        <v/>
      </c>
      <c r="AM274" t="str">
        <f>IF(OR($B274="",NOT(ISNUMBER(P274))),"",IF(COUNTIF(Q274:$T274,P274)&gt;0,0,IF(COUNTIF($G274:$T274,"&gt;"&amp;P274)=0,"",SMALL($G274:$T274,COUNTIF($G274:$T274,"&lt;="&amp;P274)+1)-P274)))</f>
        <v/>
      </c>
      <c r="AN274">
        <f>IF(OR($B274="",NOT(ISNUMBER(Q274))),"",IF(COUNTIF(R274:$T274,Q274)&gt;0,0,IF(COUNTIF($G274:$T274,"&gt;"&amp;Q274)=0,"",SMALL($G274:$T274,COUNTIF($G274:$T274,"&lt;="&amp;Q274)+1)-Q274)))</f>
        <v>0</v>
      </c>
      <c r="AO274" t="str">
        <f>IF(OR($B274="",NOT(ISNUMBER(R274))),"",IF(COUNTIF(S274:$T274,R274)&gt;0,0,IF(COUNTIF($G274:$T274,"&gt;"&amp;R274)=0,"",SMALL($G274:$T274,COUNTIF($G274:$T274,"&lt;="&amp;R274)+1)-R274)))</f>
        <v/>
      </c>
      <c r="AP274">
        <f t="shared" ca="1" si="71"/>
        <v>0</v>
      </c>
      <c r="AQ274" s="25" t="str">
        <f t="shared" si="72"/>
        <v/>
      </c>
      <c r="AR274" s="25" t="str">
        <f t="shared" si="73"/>
        <v/>
      </c>
      <c r="AS274" s="25">
        <f t="shared" si="74"/>
        <v>46298</v>
      </c>
      <c r="AT274" s="25">
        <f t="shared" si="75"/>
        <v>46298</v>
      </c>
      <c r="AU274" s="25" t="str">
        <f t="shared" si="76"/>
        <v/>
      </c>
      <c r="AV274" s="25" t="str">
        <f t="shared" si="77"/>
        <v/>
      </c>
      <c r="AW274" s="25" t="str">
        <f t="shared" si="78"/>
        <v/>
      </c>
      <c r="AX274" s="25" t="str">
        <f t="shared" si="79"/>
        <v/>
      </c>
      <c r="AY274" s="25" t="str">
        <f t="shared" si="80"/>
        <v/>
      </c>
      <c r="AZ274" s="25" t="str">
        <f t="shared" si="81"/>
        <v/>
      </c>
      <c r="BA274" s="25">
        <f t="shared" si="82"/>
        <v>46298</v>
      </c>
      <c r="BB274" s="25" t="str">
        <f t="shared" si="83"/>
        <v/>
      </c>
      <c r="BC274" s="25">
        <f t="shared" si="84"/>
        <v>46298</v>
      </c>
    </row>
    <row r="275" spans="1:55" x14ac:dyDescent="0.25">
      <c r="A275" s="151">
        <f t="shared" si="69"/>
        <v>273</v>
      </c>
      <c r="B275" s="151" t="s">
        <v>448</v>
      </c>
      <c r="C275" s="152" t="s">
        <v>285</v>
      </c>
      <c r="D275" s="151">
        <f t="shared" si="68"/>
        <v>1</v>
      </c>
      <c r="E275" s="151" t="s">
        <v>61</v>
      </c>
      <c r="F275" s="173">
        <v>46297</v>
      </c>
      <c r="G275" s="173"/>
      <c r="H275" s="173"/>
      <c r="I275" s="173">
        <v>46297</v>
      </c>
      <c r="J275" s="173">
        <v>46298</v>
      </c>
      <c r="K275" s="173"/>
      <c r="L275" s="173"/>
      <c r="M275" s="173"/>
      <c r="N275" s="173"/>
      <c r="O275" s="173"/>
      <c r="P275" s="173"/>
      <c r="Q275" s="173">
        <v>46298</v>
      </c>
      <c r="R275" s="173"/>
      <c r="S275" s="173"/>
      <c r="T275" s="174">
        <v>46298</v>
      </c>
      <c r="U275" s="151"/>
      <c r="V275" s="152"/>
      <c r="W275" s="175"/>
      <c r="X275" s="173"/>
      <c r="Y275" s="173"/>
      <c r="Z275" s="176" t="str">
        <f>IF(B275="","",IF(S275&lt;&gt;"","Sevk Edildi",IF(AND(X275&lt;&gt;"",Y275=""),"Reworkte",IF(T275&lt;&gt;"","Kapandı"&amp;IF(COUNT(G275:R275)=0,""," – "&amp;LOOKUP(2,1/(G275:R275=MAX(G275:R275)),{"Tasarım","Ply Cutter","Üretim","Kalite (Üretim sonrası)","Talaşlı","Kalite (Talaşlı sonrası)","Montaj","Kalite (Montaj sonrası)","Boya","Kalite (Boya sonrası)","Yarı Mamül","KM"})),IF(COUNT(G275:R275)=0,"Başlamadı",LOOKUP(2,1/(G275:R275=MAX(G275:R275)),{"Tasarımda","Ply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75" s="177">
        <f t="shared" ca="1" si="70"/>
        <v>1</v>
      </c>
      <c r="AB275" s="175"/>
      <c r="AD275" t="str">
        <f>IF(OR($B275="",NOT(ISNUMBER(G275))),"",IF(COUNTIF(H275:$T275,G275)&gt;0,0,IF(COUNTIF($G275:$T275,"&gt;"&amp;G275)=0,"",SMALL($G275:$T275,COUNTIF($G275:$T275,"&lt;="&amp;G275)+1)-G275)))</f>
        <v/>
      </c>
      <c r="AE275" t="str">
        <f>IF(OR($B275="",NOT(ISNUMBER(H275))),"",IF(COUNTIF(I275:$T275,H275)&gt;0,0,IF(COUNTIF($G275:$T275,"&gt;"&amp;H275)=0,"",SMALL($G275:$T275,COUNTIF($G275:$T275,"&lt;="&amp;H275)+1)-H275)))</f>
        <v/>
      </c>
      <c r="AF275">
        <f>IF(OR($B275="",NOT(ISNUMBER(I275))),"",IF(COUNTIF(J275:$T275,I275)&gt;0,0,IF(COUNTIF($G275:$T275,"&gt;"&amp;I275)=0,"",SMALL($G275:$T275,COUNTIF($G275:$T275,"&lt;="&amp;I275)+1)-I275)))</f>
        <v>1</v>
      </c>
      <c r="AG275">
        <f>IF(OR($B275="",NOT(ISNUMBER(J275))),"",IF(COUNTIF(K275:$T275,J275)&gt;0,0,IF(COUNTIF($G275:$T275,"&gt;"&amp;J275)=0,"",SMALL($G275:$T275,COUNTIF($G275:$T275,"&lt;="&amp;J275)+1)-J275)))</f>
        <v>0</v>
      </c>
      <c r="AH275" t="str">
        <f>IF(OR($B275="",NOT(ISNUMBER(K275))),"",IF(COUNTIF(L275:$T275,K275)&gt;0,0,IF(COUNTIF($G275:$T275,"&gt;"&amp;K275)=0,"",SMALL($G275:$T275,COUNTIF($G275:$T275,"&lt;="&amp;K275)+1)-K275)))</f>
        <v/>
      </c>
      <c r="AI275" t="str">
        <f>IF(OR($B275="",NOT(ISNUMBER(L275))),"",IF(COUNTIF(M275:$T275,L275)&gt;0,0,IF(COUNTIF($G275:$T275,"&gt;"&amp;L275)=0,"",SMALL($G275:$T275,COUNTIF($G275:$T275,"&lt;="&amp;L275)+1)-L275)))</f>
        <v/>
      </c>
      <c r="AJ275" t="str">
        <f>IF(OR($B275="",NOT(ISNUMBER(M275))),"",IF(COUNTIF(N275:$T275,M275)&gt;0,0,IF(COUNTIF($G275:$T275,"&gt;"&amp;M275)=0,"",SMALL($G275:$T275,COUNTIF($G275:$T275,"&lt;="&amp;M275)+1)-M275)))</f>
        <v/>
      </c>
      <c r="AK275" t="str">
        <f>IF(OR($B275="",NOT(ISNUMBER(N275))),"",IF(COUNTIF(O275:$T275,N275)&gt;0,0,IF(COUNTIF($G275:$T275,"&gt;"&amp;N275)=0,"",SMALL($G275:$T275,COUNTIF($G275:$T275,"&lt;="&amp;N275)+1)-N275)))</f>
        <v/>
      </c>
      <c r="AL275" t="str">
        <f>IF(OR($B275="",NOT(ISNUMBER(O275))),"",IF(COUNTIF(P275:$T275,O275)&gt;0,0,IF(COUNTIF($G275:$T275,"&gt;"&amp;O275)=0,"",SMALL($G275:$T275,COUNTIF($G275:$T275,"&lt;="&amp;O275)+1)-O275)))</f>
        <v/>
      </c>
      <c r="AM275" t="str">
        <f>IF(OR($B275="",NOT(ISNUMBER(P275))),"",IF(COUNTIF(Q275:$T275,P275)&gt;0,0,IF(COUNTIF($G275:$T275,"&gt;"&amp;P275)=0,"",SMALL($G275:$T275,COUNTIF($G275:$T275,"&lt;="&amp;P275)+1)-P275)))</f>
        <v/>
      </c>
      <c r="AN275">
        <f>IF(OR($B275="",NOT(ISNUMBER(Q275))),"",IF(COUNTIF(R275:$T275,Q275)&gt;0,0,IF(COUNTIF($G275:$T275,"&gt;"&amp;Q275)=0,"",SMALL($G275:$T275,COUNTIF($G275:$T275,"&lt;="&amp;Q275)+1)-Q275)))</f>
        <v>0</v>
      </c>
      <c r="AO275" t="str">
        <f>IF(OR($B275="",NOT(ISNUMBER(R275))),"",IF(COUNTIF(S275:$T275,R275)&gt;0,0,IF(COUNTIF($G275:$T275,"&gt;"&amp;R275)=0,"",SMALL($G275:$T275,COUNTIF($G275:$T275,"&lt;="&amp;R275)+1)-R275)))</f>
        <v/>
      </c>
      <c r="AP275">
        <f t="shared" ca="1" si="71"/>
        <v>0</v>
      </c>
      <c r="AQ275" s="25" t="str">
        <f t="shared" si="72"/>
        <v/>
      </c>
      <c r="AR275" s="25" t="str">
        <f t="shared" si="73"/>
        <v/>
      </c>
      <c r="AS275" s="25">
        <f t="shared" si="74"/>
        <v>46298</v>
      </c>
      <c r="AT275" s="25">
        <f t="shared" si="75"/>
        <v>46298</v>
      </c>
      <c r="AU275" s="25" t="str">
        <f t="shared" si="76"/>
        <v/>
      </c>
      <c r="AV275" s="25" t="str">
        <f t="shared" si="77"/>
        <v/>
      </c>
      <c r="AW275" s="25" t="str">
        <f t="shared" si="78"/>
        <v/>
      </c>
      <c r="AX275" s="25" t="str">
        <f t="shared" si="79"/>
        <v/>
      </c>
      <c r="AY275" s="25" t="str">
        <f t="shared" si="80"/>
        <v/>
      </c>
      <c r="AZ275" s="25" t="str">
        <f t="shared" si="81"/>
        <v/>
      </c>
      <c r="BA275" s="25">
        <f t="shared" si="82"/>
        <v>46298</v>
      </c>
      <c r="BB275" s="25" t="str">
        <f t="shared" si="83"/>
        <v/>
      </c>
      <c r="BC275" s="25">
        <f t="shared" si="84"/>
        <v>46298</v>
      </c>
    </row>
    <row r="276" spans="1:55" x14ac:dyDescent="0.25">
      <c r="A276" s="151">
        <f t="shared" si="69"/>
        <v>274</v>
      </c>
      <c r="B276" s="151" t="s">
        <v>449</v>
      </c>
      <c r="C276" s="152" t="s">
        <v>119</v>
      </c>
      <c r="D276" s="151">
        <f t="shared" si="68"/>
        <v>1</v>
      </c>
      <c r="E276" s="151" t="s">
        <v>61</v>
      </c>
      <c r="F276" s="173">
        <v>46297</v>
      </c>
      <c r="G276" s="173"/>
      <c r="H276" s="173"/>
      <c r="I276" s="173">
        <v>46297</v>
      </c>
      <c r="J276" s="173">
        <v>46298</v>
      </c>
      <c r="K276" s="173"/>
      <c r="L276" s="173"/>
      <c r="M276" s="173"/>
      <c r="N276" s="173"/>
      <c r="O276" s="173"/>
      <c r="P276" s="173"/>
      <c r="Q276" s="173">
        <v>46300</v>
      </c>
      <c r="R276" s="173"/>
      <c r="S276" s="173"/>
      <c r="T276" s="174">
        <v>46300</v>
      </c>
      <c r="U276" s="151"/>
      <c r="V276" s="152"/>
      <c r="W276" s="175"/>
      <c r="X276" s="173"/>
      <c r="Y276" s="173"/>
      <c r="Z276" s="176" t="str">
        <f>IF(B276="","",IF(S276&lt;&gt;"","Sevk Edildi",IF(AND(X276&lt;&gt;"",Y276=""),"Reworkte",IF(T276&lt;&gt;"","Kapandı"&amp;IF(COUNT(G276:R276)=0,""," – "&amp;LOOKUP(2,1/(G276:R276=MAX(G276:R276)),{"Tasarım","Ply Cutter","Üretim","Kalite (Üretim sonrası)","Talaşlı","Kalite (Talaşlı sonrası)","Montaj","Kalite (Montaj sonrası)","Boya","Kalite (Boya sonrası)","Yarı Mamül","KM"})),IF(COUNT(G276:R276)=0,"Başlamadı",LOOKUP(2,1/(G276:R276=MAX(G276:R276)),{"Tasarımda","Ply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76" s="177">
        <f t="shared" ca="1" si="70"/>
        <v>3</v>
      </c>
      <c r="AB276" s="175"/>
      <c r="AD276" t="str">
        <f>IF(OR($B276="",NOT(ISNUMBER(G276))),"",IF(COUNTIF(H276:$T276,G276)&gt;0,0,IF(COUNTIF($G276:$T276,"&gt;"&amp;G276)=0,"",SMALL($G276:$T276,COUNTIF($G276:$T276,"&lt;="&amp;G276)+1)-G276)))</f>
        <v/>
      </c>
      <c r="AE276" t="str">
        <f>IF(OR($B276="",NOT(ISNUMBER(H276))),"",IF(COUNTIF(I276:$T276,H276)&gt;0,0,IF(COUNTIF($G276:$T276,"&gt;"&amp;H276)=0,"",SMALL($G276:$T276,COUNTIF($G276:$T276,"&lt;="&amp;H276)+1)-H276)))</f>
        <v/>
      </c>
      <c r="AF276">
        <f>IF(OR($B276="",NOT(ISNUMBER(I276))),"",IF(COUNTIF(J276:$T276,I276)&gt;0,0,IF(COUNTIF($G276:$T276,"&gt;"&amp;I276)=0,"",SMALL($G276:$T276,COUNTIF($G276:$T276,"&lt;="&amp;I276)+1)-I276)))</f>
        <v>1</v>
      </c>
      <c r="AG276">
        <f>IF(OR($B276="",NOT(ISNUMBER(J276))),"",IF(COUNTIF(K276:$T276,J276)&gt;0,0,IF(COUNTIF($G276:$T276,"&gt;"&amp;J276)=0,"",SMALL($G276:$T276,COUNTIF($G276:$T276,"&lt;="&amp;J276)+1)-J276)))</f>
        <v>2</v>
      </c>
      <c r="AH276" t="str">
        <f>IF(OR($B276="",NOT(ISNUMBER(K276))),"",IF(COUNTIF(L276:$T276,K276)&gt;0,0,IF(COUNTIF($G276:$T276,"&gt;"&amp;K276)=0,"",SMALL($G276:$T276,COUNTIF($G276:$T276,"&lt;="&amp;K276)+1)-K276)))</f>
        <v/>
      </c>
      <c r="AI276" t="str">
        <f>IF(OR($B276="",NOT(ISNUMBER(L276))),"",IF(COUNTIF(M276:$T276,L276)&gt;0,0,IF(COUNTIF($G276:$T276,"&gt;"&amp;L276)=0,"",SMALL($G276:$T276,COUNTIF($G276:$T276,"&lt;="&amp;L276)+1)-L276)))</f>
        <v/>
      </c>
      <c r="AJ276" t="str">
        <f>IF(OR($B276="",NOT(ISNUMBER(M276))),"",IF(COUNTIF(N276:$T276,M276)&gt;0,0,IF(COUNTIF($G276:$T276,"&gt;"&amp;M276)=0,"",SMALL($G276:$T276,COUNTIF($G276:$T276,"&lt;="&amp;M276)+1)-M276)))</f>
        <v/>
      </c>
      <c r="AK276" t="str">
        <f>IF(OR($B276="",NOT(ISNUMBER(N276))),"",IF(COUNTIF(O276:$T276,N276)&gt;0,0,IF(COUNTIF($G276:$T276,"&gt;"&amp;N276)=0,"",SMALL($G276:$T276,COUNTIF($G276:$T276,"&lt;="&amp;N276)+1)-N276)))</f>
        <v/>
      </c>
      <c r="AL276" t="str">
        <f>IF(OR($B276="",NOT(ISNUMBER(O276))),"",IF(COUNTIF(P276:$T276,O276)&gt;0,0,IF(COUNTIF($G276:$T276,"&gt;"&amp;O276)=0,"",SMALL($G276:$T276,COUNTIF($G276:$T276,"&lt;="&amp;O276)+1)-O276)))</f>
        <v/>
      </c>
      <c r="AM276" t="str">
        <f>IF(OR($B276="",NOT(ISNUMBER(P276))),"",IF(COUNTIF(Q276:$T276,P276)&gt;0,0,IF(COUNTIF($G276:$T276,"&gt;"&amp;P276)=0,"",SMALL($G276:$T276,COUNTIF($G276:$T276,"&lt;="&amp;P276)+1)-P276)))</f>
        <v/>
      </c>
      <c r="AN276">
        <f>IF(OR($B276="",NOT(ISNUMBER(Q276))),"",IF(COUNTIF(R276:$T276,Q276)&gt;0,0,IF(COUNTIF($G276:$T276,"&gt;"&amp;Q276)=0,"",SMALL($G276:$T276,COUNTIF($G276:$T276,"&lt;="&amp;Q276)+1)-Q276)))</f>
        <v>0</v>
      </c>
      <c r="AO276" t="str">
        <f>IF(OR($B276="",NOT(ISNUMBER(R276))),"",IF(COUNTIF(S276:$T276,R276)&gt;0,0,IF(COUNTIF($G276:$T276,"&gt;"&amp;R276)=0,"",SMALL($G276:$T276,COUNTIF($G276:$T276,"&lt;="&amp;R276)+1)-R276)))</f>
        <v/>
      </c>
      <c r="AP276">
        <f t="shared" ca="1" si="71"/>
        <v>0</v>
      </c>
      <c r="AQ276" s="25" t="str">
        <f t="shared" si="72"/>
        <v/>
      </c>
      <c r="AR276" s="25" t="str">
        <f t="shared" si="73"/>
        <v/>
      </c>
      <c r="AS276" s="25">
        <f t="shared" si="74"/>
        <v>46298</v>
      </c>
      <c r="AT276" s="25">
        <f t="shared" si="75"/>
        <v>46300</v>
      </c>
      <c r="AU276" s="25" t="str">
        <f t="shared" si="76"/>
        <v/>
      </c>
      <c r="AV276" s="25" t="str">
        <f t="shared" si="77"/>
        <v/>
      </c>
      <c r="AW276" s="25" t="str">
        <f t="shared" si="78"/>
        <v/>
      </c>
      <c r="AX276" s="25" t="str">
        <f t="shared" si="79"/>
        <v/>
      </c>
      <c r="AY276" s="25" t="str">
        <f t="shared" si="80"/>
        <v/>
      </c>
      <c r="AZ276" s="25" t="str">
        <f t="shared" si="81"/>
        <v/>
      </c>
      <c r="BA276" s="25">
        <f t="shared" si="82"/>
        <v>46300</v>
      </c>
      <c r="BB276" s="25" t="str">
        <f t="shared" si="83"/>
        <v/>
      </c>
      <c r="BC276" s="25">
        <f t="shared" si="84"/>
        <v>46300</v>
      </c>
    </row>
    <row r="277" spans="1:55" x14ac:dyDescent="0.25">
      <c r="A277" s="151">
        <f t="shared" si="69"/>
        <v>275</v>
      </c>
      <c r="B277" s="151" t="s">
        <v>450</v>
      </c>
      <c r="C277" s="152" t="s">
        <v>113</v>
      </c>
      <c r="D277" s="151">
        <f t="shared" si="68"/>
        <v>1</v>
      </c>
      <c r="E277" s="151" t="s">
        <v>61</v>
      </c>
      <c r="F277" s="173">
        <v>46297</v>
      </c>
      <c r="G277" s="173"/>
      <c r="H277" s="173"/>
      <c r="I277" s="173">
        <v>46297</v>
      </c>
      <c r="J277" s="173">
        <v>46298</v>
      </c>
      <c r="K277" s="173"/>
      <c r="L277" s="173"/>
      <c r="M277" s="173"/>
      <c r="N277" s="173"/>
      <c r="O277" s="173"/>
      <c r="P277" s="173"/>
      <c r="Q277" s="173">
        <v>46301</v>
      </c>
      <c r="R277" s="173"/>
      <c r="S277" s="173"/>
      <c r="T277" s="174">
        <v>46301</v>
      </c>
      <c r="U277" s="151"/>
      <c r="V277" s="152"/>
      <c r="W277" s="175"/>
      <c r="X277" s="173"/>
      <c r="Y277" s="173"/>
      <c r="Z277" s="176" t="str">
        <f>IF(B277="","",IF(S277&lt;&gt;"","Sevk Edildi",IF(AND(X277&lt;&gt;"",Y277=""),"Reworkte",IF(T277&lt;&gt;"","Kapandı"&amp;IF(COUNT(G277:R277)=0,""," – "&amp;LOOKUP(2,1/(G277:R277=MAX(G277:R277)),{"Tasarım","Ply Cutter","Üretim","Kalite (Üretim sonrası)","Talaşlı","Kalite (Talaşlı sonrası)","Montaj","Kalite (Montaj sonrası)","Boya","Kalite (Boya sonrası)","Yarı Mamül","KM"})),IF(COUNT(G277:R277)=0,"Başlamadı",LOOKUP(2,1/(G277:R277=MAX(G277:R277)),{"Tasarımda","Ply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77" s="177">
        <f t="shared" ca="1" si="70"/>
        <v>4</v>
      </c>
      <c r="AB277" s="175"/>
      <c r="AD277" t="str">
        <f>IF(OR($B277="",NOT(ISNUMBER(G277))),"",IF(COUNTIF(H277:$T277,G277)&gt;0,0,IF(COUNTIF($G277:$T277,"&gt;"&amp;G277)=0,"",SMALL($G277:$T277,COUNTIF($G277:$T277,"&lt;="&amp;G277)+1)-G277)))</f>
        <v/>
      </c>
      <c r="AE277" t="str">
        <f>IF(OR($B277="",NOT(ISNUMBER(H277))),"",IF(COUNTIF(I277:$T277,H277)&gt;0,0,IF(COUNTIF($G277:$T277,"&gt;"&amp;H277)=0,"",SMALL($G277:$T277,COUNTIF($G277:$T277,"&lt;="&amp;H277)+1)-H277)))</f>
        <v/>
      </c>
      <c r="AF277">
        <f>IF(OR($B277="",NOT(ISNUMBER(I277))),"",IF(COUNTIF(J277:$T277,I277)&gt;0,0,IF(COUNTIF($G277:$T277,"&gt;"&amp;I277)=0,"",SMALL($G277:$T277,COUNTIF($G277:$T277,"&lt;="&amp;I277)+1)-I277)))</f>
        <v>1</v>
      </c>
      <c r="AG277">
        <f>IF(OR($B277="",NOT(ISNUMBER(J277))),"",IF(COUNTIF(K277:$T277,J277)&gt;0,0,IF(COUNTIF($G277:$T277,"&gt;"&amp;J277)=0,"",SMALL($G277:$T277,COUNTIF($G277:$T277,"&lt;="&amp;J277)+1)-J277)))</f>
        <v>3</v>
      </c>
      <c r="AH277" t="str">
        <f>IF(OR($B277="",NOT(ISNUMBER(K277))),"",IF(COUNTIF(L277:$T277,K277)&gt;0,0,IF(COUNTIF($G277:$T277,"&gt;"&amp;K277)=0,"",SMALL($G277:$T277,COUNTIF($G277:$T277,"&lt;="&amp;K277)+1)-K277)))</f>
        <v/>
      </c>
      <c r="AI277" t="str">
        <f>IF(OR($B277="",NOT(ISNUMBER(L277))),"",IF(COUNTIF(M277:$T277,L277)&gt;0,0,IF(COUNTIF($G277:$T277,"&gt;"&amp;L277)=0,"",SMALL($G277:$T277,COUNTIF($G277:$T277,"&lt;="&amp;L277)+1)-L277)))</f>
        <v/>
      </c>
      <c r="AJ277" t="str">
        <f>IF(OR($B277="",NOT(ISNUMBER(M277))),"",IF(COUNTIF(N277:$T277,M277)&gt;0,0,IF(COUNTIF($G277:$T277,"&gt;"&amp;M277)=0,"",SMALL($G277:$T277,COUNTIF($G277:$T277,"&lt;="&amp;M277)+1)-M277)))</f>
        <v/>
      </c>
      <c r="AK277" t="str">
        <f>IF(OR($B277="",NOT(ISNUMBER(N277))),"",IF(COUNTIF(O277:$T277,N277)&gt;0,0,IF(COUNTIF($G277:$T277,"&gt;"&amp;N277)=0,"",SMALL($G277:$T277,COUNTIF($G277:$T277,"&lt;="&amp;N277)+1)-N277)))</f>
        <v/>
      </c>
      <c r="AL277" t="str">
        <f>IF(OR($B277="",NOT(ISNUMBER(O277))),"",IF(COUNTIF(P277:$T277,O277)&gt;0,0,IF(COUNTIF($G277:$T277,"&gt;"&amp;O277)=0,"",SMALL($G277:$T277,COUNTIF($G277:$T277,"&lt;="&amp;O277)+1)-O277)))</f>
        <v/>
      </c>
      <c r="AM277" t="str">
        <f>IF(OR($B277="",NOT(ISNUMBER(P277))),"",IF(COUNTIF(Q277:$T277,P277)&gt;0,0,IF(COUNTIF($G277:$T277,"&gt;"&amp;P277)=0,"",SMALL($G277:$T277,COUNTIF($G277:$T277,"&lt;="&amp;P277)+1)-P277)))</f>
        <v/>
      </c>
      <c r="AN277">
        <f>IF(OR($B277="",NOT(ISNUMBER(Q277))),"",IF(COUNTIF(R277:$T277,Q277)&gt;0,0,IF(COUNTIF($G277:$T277,"&gt;"&amp;Q277)=0,"",SMALL($G277:$T277,COUNTIF($G277:$T277,"&lt;="&amp;Q277)+1)-Q277)))</f>
        <v>0</v>
      </c>
      <c r="AO277" t="str">
        <f>IF(OR($B277="",NOT(ISNUMBER(R277))),"",IF(COUNTIF(S277:$T277,R277)&gt;0,0,IF(COUNTIF($G277:$T277,"&gt;"&amp;R277)=0,"",SMALL($G277:$T277,COUNTIF($G277:$T277,"&lt;="&amp;R277)+1)-R277)))</f>
        <v/>
      </c>
      <c r="AP277">
        <f t="shared" ca="1" si="71"/>
        <v>0</v>
      </c>
      <c r="AQ277" s="25" t="str">
        <f t="shared" si="72"/>
        <v/>
      </c>
      <c r="AR277" s="25" t="str">
        <f t="shared" si="73"/>
        <v/>
      </c>
      <c r="AS277" s="25">
        <f t="shared" si="74"/>
        <v>46298</v>
      </c>
      <c r="AT277" s="25">
        <f t="shared" si="75"/>
        <v>46301</v>
      </c>
      <c r="AU277" s="25" t="str">
        <f t="shared" si="76"/>
        <v/>
      </c>
      <c r="AV277" s="25" t="str">
        <f t="shared" si="77"/>
        <v/>
      </c>
      <c r="AW277" s="25" t="str">
        <f t="shared" si="78"/>
        <v/>
      </c>
      <c r="AX277" s="25" t="str">
        <f t="shared" si="79"/>
        <v/>
      </c>
      <c r="AY277" s="25" t="str">
        <f t="shared" si="80"/>
        <v/>
      </c>
      <c r="AZ277" s="25" t="str">
        <f t="shared" si="81"/>
        <v/>
      </c>
      <c r="BA277" s="25">
        <f t="shared" si="82"/>
        <v>46301</v>
      </c>
      <c r="BB277" s="25" t="str">
        <f t="shared" si="83"/>
        <v/>
      </c>
      <c r="BC277" s="25">
        <f t="shared" si="84"/>
        <v>46301</v>
      </c>
    </row>
    <row r="278" spans="1:55" x14ac:dyDescent="0.25">
      <c r="A278" s="151">
        <f t="shared" si="69"/>
        <v>276</v>
      </c>
      <c r="B278" s="151" t="s">
        <v>451</v>
      </c>
      <c r="C278" s="152" t="s">
        <v>113</v>
      </c>
      <c r="D278" s="151">
        <f t="shared" si="68"/>
        <v>1</v>
      </c>
      <c r="E278" s="151" t="s">
        <v>61</v>
      </c>
      <c r="F278" s="173">
        <v>46297</v>
      </c>
      <c r="G278" s="173"/>
      <c r="H278" s="173"/>
      <c r="I278" s="173">
        <v>46298</v>
      </c>
      <c r="J278" s="173">
        <v>46298</v>
      </c>
      <c r="K278" s="173"/>
      <c r="L278" s="173"/>
      <c r="M278" s="173"/>
      <c r="N278" s="173"/>
      <c r="O278" s="173"/>
      <c r="P278" s="173"/>
      <c r="Q278" s="173">
        <v>46301</v>
      </c>
      <c r="R278" s="173"/>
      <c r="S278" s="173"/>
      <c r="T278" s="174">
        <v>46301</v>
      </c>
      <c r="U278" s="151"/>
      <c r="V278" s="152"/>
      <c r="W278" s="175"/>
      <c r="X278" s="173"/>
      <c r="Y278" s="173"/>
      <c r="Z278" s="176" t="str">
        <f>IF(B278="","",IF(S278&lt;&gt;"","Sevk Edildi",IF(AND(X278&lt;&gt;"",Y278=""),"Reworkte",IF(T278&lt;&gt;"","Kapandı"&amp;IF(COUNT(G278:R278)=0,""," – "&amp;LOOKUP(2,1/(G278:R278=MAX(G278:R278)),{"Tasarım","Ply Cutter","Üretim","Kalite (Üretim sonrası)","Talaşlı","Kalite (Talaşlı sonrası)","Montaj","Kalite (Montaj sonrası)","Boya","Kalite (Boya sonrası)","Yarı Mamül","KM"})),IF(COUNT(G278:R278)=0,"Başlamadı",LOOKUP(2,1/(G278:R278=MAX(G278:R278)),{"Tasarımda","Ply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78" s="177">
        <f t="shared" ca="1" si="70"/>
        <v>4</v>
      </c>
      <c r="AB278" s="175"/>
      <c r="AD278" t="str">
        <f>IF(OR($B278="",NOT(ISNUMBER(G278))),"",IF(COUNTIF(H278:$T278,G278)&gt;0,0,IF(COUNTIF($G278:$T278,"&gt;"&amp;G278)=0,"",SMALL($G278:$T278,COUNTIF($G278:$T278,"&lt;="&amp;G278)+1)-G278)))</f>
        <v/>
      </c>
      <c r="AE278" t="str">
        <f>IF(OR($B278="",NOT(ISNUMBER(H278))),"",IF(COUNTIF(I278:$T278,H278)&gt;0,0,IF(COUNTIF($G278:$T278,"&gt;"&amp;H278)=0,"",SMALL($G278:$T278,COUNTIF($G278:$T278,"&lt;="&amp;H278)+1)-H278)))</f>
        <v/>
      </c>
      <c r="AF278">
        <f>IF(OR($B278="",NOT(ISNUMBER(I278))),"",IF(COUNTIF(J278:$T278,I278)&gt;0,0,IF(COUNTIF($G278:$T278,"&gt;"&amp;I278)=0,"",SMALL($G278:$T278,COUNTIF($G278:$T278,"&lt;="&amp;I278)+1)-I278)))</f>
        <v>0</v>
      </c>
      <c r="AG278">
        <f>IF(OR($B278="",NOT(ISNUMBER(J278))),"",IF(COUNTIF(K278:$T278,J278)&gt;0,0,IF(COUNTIF($G278:$T278,"&gt;"&amp;J278)=0,"",SMALL($G278:$T278,COUNTIF($G278:$T278,"&lt;="&amp;J278)+1)-J278)))</f>
        <v>3</v>
      </c>
      <c r="AH278" t="str">
        <f>IF(OR($B278="",NOT(ISNUMBER(K278))),"",IF(COUNTIF(L278:$T278,K278)&gt;0,0,IF(COUNTIF($G278:$T278,"&gt;"&amp;K278)=0,"",SMALL($G278:$T278,COUNTIF($G278:$T278,"&lt;="&amp;K278)+1)-K278)))</f>
        <v/>
      </c>
      <c r="AI278" t="str">
        <f>IF(OR($B278="",NOT(ISNUMBER(L278))),"",IF(COUNTIF(M278:$T278,L278)&gt;0,0,IF(COUNTIF($G278:$T278,"&gt;"&amp;L278)=0,"",SMALL($G278:$T278,COUNTIF($G278:$T278,"&lt;="&amp;L278)+1)-L278)))</f>
        <v/>
      </c>
      <c r="AJ278" t="str">
        <f>IF(OR($B278="",NOT(ISNUMBER(M278))),"",IF(COUNTIF(N278:$T278,M278)&gt;0,0,IF(COUNTIF($G278:$T278,"&gt;"&amp;M278)=0,"",SMALL($G278:$T278,COUNTIF($G278:$T278,"&lt;="&amp;M278)+1)-M278)))</f>
        <v/>
      </c>
      <c r="AK278" t="str">
        <f>IF(OR($B278="",NOT(ISNUMBER(N278))),"",IF(COUNTIF(O278:$T278,N278)&gt;0,0,IF(COUNTIF($G278:$T278,"&gt;"&amp;N278)=0,"",SMALL($G278:$T278,COUNTIF($G278:$T278,"&lt;="&amp;N278)+1)-N278)))</f>
        <v/>
      </c>
      <c r="AL278" t="str">
        <f>IF(OR($B278="",NOT(ISNUMBER(O278))),"",IF(COUNTIF(P278:$T278,O278)&gt;0,0,IF(COUNTIF($G278:$T278,"&gt;"&amp;O278)=0,"",SMALL($G278:$T278,COUNTIF($G278:$T278,"&lt;="&amp;O278)+1)-O278)))</f>
        <v/>
      </c>
      <c r="AM278" t="str">
        <f>IF(OR($B278="",NOT(ISNUMBER(P278))),"",IF(COUNTIF(Q278:$T278,P278)&gt;0,0,IF(COUNTIF($G278:$T278,"&gt;"&amp;P278)=0,"",SMALL($G278:$T278,COUNTIF($G278:$T278,"&lt;="&amp;P278)+1)-P278)))</f>
        <v/>
      </c>
      <c r="AN278">
        <f>IF(OR($B278="",NOT(ISNUMBER(Q278))),"",IF(COUNTIF(R278:$T278,Q278)&gt;0,0,IF(COUNTIF($G278:$T278,"&gt;"&amp;Q278)=0,"",SMALL($G278:$T278,COUNTIF($G278:$T278,"&lt;="&amp;Q278)+1)-Q278)))</f>
        <v>0</v>
      </c>
      <c r="AO278" t="str">
        <f>IF(OR($B278="",NOT(ISNUMBER(R278))),"",IF(COUNTIF(S278:$T278,R278)&gt;0,0,IF(COUNTIF($G278:$T278,"&gt;"&amp;R278)=0,"",SMALL($G278:$T278,COUNTIF($G278:$T278,"&lt;="&amp;R278)+1)-R278)))</f>
        <v/>
      </c>
      <c r="AP278">
        <f t="shared" ca="1" si="71"/>
        <v>0</v>
      </c>
      <c r="AQ278" s="25" t="str">
        <f t="shared" si="72"/>
        <v/>
      </c>
      <c r="AR278" s="25" t="str">
        <f t="shared" si="73"/>
        <v/>
      </c>
      <c r="AS278" s="25">
        <f t="shared" si="74"/>
        <v>46298</v>
      </c>
      <c r="AT278" s="25">
        <f t="shared" si="75"/>
        <v>46301</v>
      </c>
      <c r="AU278" s="25" t="str">
        <f t="shared" si="76"/>
        <v/>
      </c>
      <c r="AV278" s="25" t="str">
        <f t="shared" si="77"/>
        <v/>
      </c>
      <c r="AW278" s="25" t="str">
        <f t="shared" si="78"/>
        <v/>
      </c>
      <c r="AX278" s="25" t="str">
        <f t="shared" si="79"/>
        <v/>
      </c>
      <c r="AY278" s="25" t="str">
        <f t="shared" si="80"/>
        <v/>
      </c>
      <c r="AZ278" s="25" t="str">
        <f t="shared" si="81"/>
        <v/>
      </c>
      <c r="BA278" s="25">
        <f t="shared" si="82"/>
        <v>46301</v>
      </c>
      <c r="BB278" s="25" t="str">
        <f t="shared" si="83"/>
        <v/>
      </c>
      <c r="BC278" s="25">
        <f t="shared" si="84"/>
        <v>46301</v>
      </c>
    </row>
    <row r="279" spans="1:55" x14ac:dyDescent="0.25">
      <c r="A279" s="151">
        <f t="shared" si="69"/>
        <v>277</v>
      </c>
      <c r="B279" s="151" t="s">
        <v>452</v>
      </c>
      <c r="C279" s="152" t="s">
        <v>318</v>
      </c>
      <c r="D279" s="151">
        <f t="shared" si="68"/>
        <v>1</v>
      </c>
      <c r="E279" s="151" t="s">
        <v>61</v>
      </c>
      <c r="F279" s="173">
        <v>46297</v>
      </c>
      <c r="G279" s="173"/>
      <c r="H279" s="173"/>
      <c r="I279" s="173">
        <v>46297</v>
      </c>
      <c r="J279" s="173">
        <v>46300</v>
      </c>
      <c r="K279" s="173">
        <v>46301</v>
      </c>
      <c r="L279" s="173"/>
      <c r="M279" s="173"/>
      <c r="N279" s="173"/>
      <c r="O279" s="173"/>
      <c r="P279" s="173"/>
      <c r="Q279" s="173"/>
      <c r="R279" s="173"/>
      <c r="S279" s="173"/>
      <c r="T279" s="151"/>
      <c r="U279" s="151"/>
      <c r="V279" s="152"/>
      <c r="W279" s="175"/>
      <c r="X279" s="173"/>
      <c r="Y279" s="173"/>
      <c r="Z279" s="176" t="str">
        <f>IF(B279="","",IF(S279&lt;&gt;"","Sevk Edildi",IF(AND(X279&lt;&gt;"",Y279=""),"Reworkte",IF(T279&lt;&gt;"","Kapandı"&amp;IF(COUNT(G279:R279)=0,""," – "&amp;LOOKUP(2,1/(G279:R279=MAX(G279:R279)),{"Tasarım","Ply Cutter","Üretim","Kalite (Üretim sonrası)","Talaşlı","Kalite (Talaşlı sonrası)","Montaj","Kalite (Montaj sonrası)","Boya","Kalite (Boya sonrası)","Yarı Mamül","KM"})),IF(COUNT(G279:R279)=0,"Başlamadı",LOOKUP(2,1/(G279:R279=MAX(G279:R279)),{"Tasarımda","Ply Cutter'da","Üretimde","Kalitede (Üretim sonrası)","Talaşlıda","Kalitede (Talaşlı sonrası)","Montajda","Kalitede (Montaj sonrası)","Boyada","Kalitede (Boya sonrası)","Yarı Mamülde","KM'de"}))))))</f>
        <v>Talaşlıda</v>
      </c>
      <c r="AA279" s="177">
        <f t="shared" ca="1" si="70"/>
        <v>10</v>
      </c>
      <c r="AB279" s="175"/>
      <c r="AD279" t="str">
        <f>IF(OR($B279="",NOT(ISNUMBER(G279))),"",IF(COUNTIF(H279:$T279,G279)&gt;0,0,IF(COUNTIF($G279:$T279,"&gt;"&amp;G279)=0,"",SMALL($G279:$T279,COUNTIF($G279:$T279,"&lt;="&amp;G279)+1)-G279)))</f>
        <v/>
      </c>
      <c r="AE279" t="str">
        <f>IF(OR($B279="",NOT(ISNUMBER(H279))),"",IF(COUNTIF(I279:$T279,H279)&gt;0,0,IF(COUNTIF($G279:$T279,"&gt;"&amp;H279)=0,"",SMALL($G279:$T279,COUNTIF($G279:$T279,"&lt;="&amp;H279)+1)-H279)))</f>
        <v/>
      </c>
      <c r="AF279">
        <f>IF(OR($B279="",NOT(ISNUMBER(I279))),"",IF(COUNTIF(J279:$T279,I279)&gt;0,0,IF(COUNTIF($G279:$T279,"&gt;"&amp;I279)=0,"",SMALL($G279:$T279,COUNTIF($G279:$T279,"&lt;="&amp;I279)+1)-I279)))</f>
        <v>3</v>
      </c>
      <c r="AG279">
        <f>IF(OR($B279="",NOT(ISNUMBER(J279))),"",IF(COUNTIF(K279:$T279,J279)&gt;0,0,IF(COUNTIF($G279:$T279,"&gt;"&amp;J279)=0,"",SMALL($G279:$T279,COUNTIF($G279:$T279,"&lt;="&amp;J279)+1)-J279)))</f>
        <v>1</v>
      </c>
      <c r="AH279" t="str">
        <f>IF(OR($B279="",NOT(ISNUMBER(K279))),"",IF(COUNTIF(L279:$T279,K279)&gt;0,0,IF(COUNTIF($G279:$T279,"&gt;"&amp;K279)=0,"",SMALL($G279:$T279,COUNTIF($G279:$T279,"&lt;="&amp;K279)+1)-K279)))</f>
        <v/>
      </c>
      <c r="AI279" t="str">
        <f>IF(OR($B279="",NOT(ISNUMBER(L279))),"",IF(COUNTIF(M279:$T279,L279)&gt;0,0,IF(COUNTIF($G279:$T279,"&gt;"&amp;L279)=0,"",SMALL($G279:$T279,COUNTIF($G279:$T279,"&lt;="&amp;L279)+1)-L279)))</f>
        <v/>
      </c>
      <c r="AJ279" t="str">
        <f>IF(OR($B279="",NOT(ISNUMBER(M279))),"",IF(COUNTIF(N279:$T279,M279)&gt;0,0,IF(COUNTIF($G279:$T279,"&gt;"&amp;M279)=0,"",SMALL($G279:$T279,COUNTIF($G279:$T279,"&lt;="&amp;M279)+1)-M279)))</f>
        <v/>
      </c>
      <c r="AK279" t="str">
        <f>IF(OR($B279="",NOT(ISNUMBER(N279))),"",IF(COUNTIF(O279:$T279,N279)&gt;0,0,IF(COUNTIF($G279:$T279,"&gt;"&amp;N279)=0,"",SMALL($G279:$T279,COUNTIF($G279:$T279,"&lt;="&amp;N279)+1)-N279)))</f>
        <v/>
      </c>
      <c r="AL279" t="str">
        <f>IF(OR($B279="",NOT(ISNUMBER(O279))),"",IF(COUNTIF(P279:$T279,O279)&gt;0,0,IF(COUNTIF($G279:$T279,"&gt;"&amp;O279)=0,"",SMALL($G279:$T279,COUNTIF($G279:$T279,"&lt;="&amp;O279)+1)-O279)))</f>
        <v/>
      </c>
      <c r="AM279" t="str">
        <f>IF(OR($B279="",NOT(ISNUMBER(P279))),"",IF(COUNTIF(Q279:$T279,P279)&gt;0,0,IF(COUNTIF($G279:$T279,"&gt;"&amp;P279)=0,"",SMALL($G279:$T279,COUNTIF($G279:$T279,"&lt;="&amp;P279)+1)-P279)))</f>
        <v/>
      </c>
      <c r="AN279" t="str">
        <f>IF(OR($B279="",NOT(ISNUMBER(Q279))),"",IF(COUNTIF(R279:$T279,Q279)&gt;0,0,IF(COUNTIF($G279:$T279,"&gt;"&amp;Q279)=0,"",SMALL($G279:$T279,COUNTIF($G279:$T279,"&lt;="&amp;Q279)+1)-Q279)))</f>
        <v/>
      </c>
      <c r="AO279" t="str">
        <f>IF(OR($B279="",NOT(ISNUMBER(R279))),"",IF(COUNTIF(S279:$T279,R279)&gt;0,0,IF(COUNTIF($G279:$T279,"&gt;"&amp;R279)=0,"",SMALL($G279:$T279,COUNTIF($G279:$T279,"&lt;="&amp;R279)+1)-R279)))</f>
        <v/>
      </c>
      <c r="AP279">
        <f t="shared" ca="1" si="71"/>
        <v>6</v>
      </c>
      <c r="AQ279" s="25" t="str">
        <f t="shared" si="72"/>
        <v/>
      </c>
      <c r="AR279" s="25" t="str">
        <f t="shared" si="73"/>
        <v/>
      </c>
      <c r="AS279" s="25">
        <f t="shared" si="74"/>
        <v>46300</v>
      </c>
      <c r="AT279" s="25">
        <f t="shared" si="75"/>
        <v>46301</v>
      </c>
      <c r="AU279" s="25" t="str">
        <f t="shared" si="76"/>
        <v/>
      </c>
      <c r="AV279" s="25" t="str">
        <f t="shared" si="77"/>
        <v/>
      </c>
      <c r="AW279" s="25" t="str">
        <f t="shared" si="78"/>
        <v/>
      </c>
      <c r="AX279" s="25" t="str">
        <f t="shared" si="79"/>
        <v/>
      </c>
      <c r="AY279" s="25" t="str">
        <f t="shared" si="80"/>
        <v/>
      </c>
      <c r="AZ279" s="25" t="str">
        <f t="shared" si="81"/>
        <v/>
      </c>
      <c r="BA279" s="25" t="str">
        <f t="shared" si="82"/>
        <v/>
      </c>
      <c r="BB279" s="25" t="str">
        <f t="shared" si="83"/>
        <v/>
      </c>
      <c r="BC279" s="25" t="str">
        <f t="shared" si="84"/>
        <v/>
      </c>
    </row>
    <row r="280" spans="1:55" x14ac:dyDescent="0.25">
      <c r="A280" s="151">
        <f t="shared" si="69"/>
        <v>278</v>
      </c>
      <c r="B280" s="151" t="s">
        <v>453</v>
      </c>
      <c r="C280" s="152" t="s">
        <v>454</v>
      </c>
      <c r="D280" s="151">
        <f t="shared" si="68"/>
        <v>6</v>
      </c>
      <c r="E280" s="151" t="s">
        <v>61</v>
      </c>
      <c r="F280" s="173">
        <v>46297</v>
      </c>
      <c r="G280" s="173"/>
      <c r="H280" s="173">
        <v>46297</v>
      </c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4">
        <v>46297</v>
      </c>
      <c r="U280" s="151"/>
      <c r="V280" s="152"/>
      <c r="W280" s="175"/>
      <c r="X280" s="173"/>
      <c r="Y280" s="173"/>
      <c r="Z280" s="176" t="str">
        <f>IF(B280="","",IF(S280&lt;&gt;"","Sevk Edildi",IF(AND(X280&lt;&gt;"",Y280=""),"Reworkte",IF(T280&lt;&gt;"","Kapandı"&amp;IF(COUNT(G280:R280)=0,""," – "&amp;LOOKUP(2,1/(G280:R280=MAX(G280:R280)),{"Tasarım","Ply Cutter","Üretim","Kalite (Üretim sonrası)","Talaşlı","Kalite (Talaşlı sonrası)","Montaj","Kalite (Montaj sonrası)","Boya","Kalite (Boya sonrası)","Yarı Mamül","KM"})),IF(COUNT(G280:R280)=0,"Başlamadı",LOOKUP(2,1/(G280:R280=MAX(G280:R280)),{"Tasarımda","Ply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280" s="177">
        <f t="shared" ca="1" si="70"/>
        <v>0</v>
      </c>
      <c r="AB280" s="175"/>
      <c r="AD280" t="str">
        <f>IF(OR($B280="",NOT(ISNUMBER(G280))),"",IF(COUNTIF(H280:$T280,G280)&gt;0,0,IF(COUNTIF($G280:$T280,"&gt;"&amp;G280)=0,"",SMALL($G280:$T280,COUNTIF($G280:$T280,"&lt;="&amp;G280)+1)-G280)))</f>
        <v/>
      </c>
      <c r="AE280">
        <f>IF(OR($B280="",NOT(ISNUMBER(H280))),"",IF(COUNTIF(I280:$T280,H280)&gt;0,0,IF(COUNTIF($G280:$T280,"&gt;"&amp;H280)=0,"",SMALL($G280:$T280,COUNTIF($G280:$T280,"&lt;="&amp;H280)+1)-H280)))</f>
        <v>0</v>
      </c>
      <c r="AF280" t="str">
        <f>IF(OR($B280="",NOT(ISNUMBER(I280))),"",IF(COUNTIF(J280:$T280,I280)&gt;0,0,IF(COUNTIF($G280:$T280,"&gt;"&amp;I280)=0,"",SMALL($G280:$T280,COUNTIF($G280:$T280,"&lt;="&amp;I280)+1)-I280)))</f>
        <v/>
      </c>
      <c r="AG280" t="str">
        <f>IF(OR($B280="",NOT(ISNUMBER(J280))),"",IF(COUNTIF(K280:$T280,J280)&gt;0,0,IF(COUNTIF($G280:$T280,"&gt;"&amp;J280)=0,"",SMALL($G280:$T280,COUNTIF($G280:$T280,"&lt;="&amp;J280)+1)-J280)))</f>
        <v/>
      </c>
      <c r="AH280" t="str">
        <f>IF(OR($B280="",NOT(ISNUMBER(K280))),"",IF(COUNTIF(L280:$T280,K280)&gt;0,0,IF(COUNTIF($G280:$T280,"&gt;"&amp;K280)=0,"",SMALL($G280:$T280,COUNTIF($G280:$T280,"&lt;="&amp;K280)+1)-K280)))</f>
        <v/>
      </c>
      <c r="AI280" t="str">
        <f>IF(OR($B280="",NOT(ISNUMBER(L280))),"",IF(COUNTIF(M280:$T280,L280)&gt;0,0,IF(COUNTIF($G280:$T280,"&gt;"&amp;L280)=0,"",SMALL($G280:$T280,COUNTIF($G280:$T280,"&lt;="&amp;L280)+1)-L280)))</f>
        <v/>
      </c>
      <c r="AJ280" t="str">
        <f>IF(OR($B280="",NOT(ISNUMBER(M280))),"",IF(COUNTIF(N280:$T280,M280)&gt;0,0,IF(COUNTIF($G280:$T280,"&gt;"&amp;M280)=0,"",SMALL($G280:$T280,COUNTIF($G280:$T280,"&lt;="&amp;M280)+1)-M280)))</f>
        <v/>
      </c>
      <c r="AK280" t="str">
        <f>IF(OR($B280="",NOT(ISNUMBER(N280))),"",IF(COUNTIF(O280:$T280,N280)&gt;0,0,IF(COUNTIF($G280:$T280,"&gt;"&amp;N280)=0,"",SMALL($G280:$T280,COUNTIF($G280:$T280,"&lt;="&amp;N280)+1)-N280)))</f>
        <v/>
      </c>
      <c r="AL280" t="str">
        <f>IF(OR($B280="",NOT(ISNUMBER(O280))),"",IF(COUNTIF(P280:$T280,O280)&gt;0,0,IF(COUNTIF($G280:$T280,"&gt;"&amp;O280)=0,"",SMALL($G280:$T280,COUNTIF($G280:$T280,"&lt;="&amp;O280)+1)-O280)))</f>
        <v/>
      </c>
      <c r="AM280" t="str">
        <f>IF(OR($B280="",NOT(ISNUMBER(P280))),"",IF(COUNTIF(Q280:$T280,P280)&gt;0,0,IF(COUNTIF($G280:$T280,"&gt;"&amp;P280)=0,"",SMALL($G280:$T280,COUNTIF($G280:$T280,"&lt;="&amp;P280)+1)-P280)))</f>
        <v/>
      </c>
      <c r="AN280" t="str">
        <f>IF(OR($B280="",NOT(ISNUMBER(Q280))),"",IF(COUNTIF(R280:$T280,Q280)&gt;0,0,IF(COUNTIF($G280:$T280,"&gt;"&amp;Q280)=0,"",SMALL($G280:$T280,COUNTIF($G280:$T280,"&lt;="&amp;Q280)+1)-Q280)))</f>
        <v/>
      </c>
      <c r="AO280" t="str">
        <f>IF(OR($B280="",NOT(ISNUMBER(R280))),"",IF(COUNTIF(S280:$T280,R280)&gt;0,0,IF(COUNTIF($G280:$T280,"&gt;"&amp;R280)=0,"",SMALL($G280:$T280,COUNTIF($G280:$T280,"&lt;="&amp;R280)+1)-R280)))</f>
        <v/>
      </c>
      <c r="AP280">
        <f t="shared" ca="1" si="71"/>
        <v>0</v>
      </c>
      <c r="AQ280" s="25" t="str">
        <f t="shared" si="72"/>
        <v/>
      </c>
      <c r="AR280" s="25">
        <f t="shared" si="73"/>
        <v>46297</v>
      </c>
      <c r="AS280" s="25" t="str">
        <f t="shared" si="74"/>
        <v/>
      </c>
      <c r="AT280" s="25" t="str">
        <f t="shared" si="75"/>
        <v/>
      </c>
      <c r="AU280" s="25" t="str">
        <f t="shared" si="76"/>
        <v/>
      </c>
      <c r="AV280" s="25" t="str">
        <f t="shared" si="77"/>
        <v/>
      </c>
      <c r="AW280" s="25" t="str">
        <f t="shared" si="78"/>
        <v/>
      </c>
      <c r="AX280" s="25" t="str">
        <f t="shared" si="79"/>
        <v/>
      </c>
      <c r="AY280" s="25" t="str">
        <f t="shared" si="80"/>
        <v/>
      </c>
      <c r="AZ280" s="25" t="str">
        <f t="shared" si="81"/>
        <v/>
      </c>
      <c r="BA280" s="25" t="str">
        <f t="shared" si="82"/>
        <v/>
      </c>
      <c r="BB280" s="25" t="str">
        <f t="shared" si="83"/>
        <v/>
      </c>
      <c r="BC280" s="25">
        <f t="shared" si="84"/>
        <v>46297</v>
      </c>
    </row>
    <row r="281" spans="1:55" x14ac:dyDescent="0.25">
      <c r="A281" s="151">
        <f t="shared" si="69"/>
        <v>279</v>
      </c>
      <c r="B281" s="151" t="s">
        <v>455</v>
      </c>
      <c r="C281" s="152" t="s">
        <v>456</v>
      </c>
      <c r="D281" s="151">
        <f t="shared" si="68"/>
        <v>15</v>
      </c>
      <c r="E281" s="151" t="s">
        <v>61</v>
      </c>
      <c r="F281" s="173">
        <v>46297</v>
      </c>
      <c r="G281" s="173"/>
      <c r="H281" s="173">
        <v>46297</v>
      </c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4">
        <v>46297</v>
      </c>
      <c r="U281" s="151"/>
      <c r="V281" s="152"/>
      <c r="W281" s="175"/>
      <c r="X281" s="173"/>
      <c r="Y281" s="173"/>
      <c r="Z281" s="176" t="str">
        <f>IF(B281="","",IF(S281&lt;&gt;"","Sevk Edildi",IF(AND(X281&lt;&gt;"",Y281=""),"Reworkte",IF(T281&lt;&gt;"","Kapandı"&amp;IF(COUNT(G281:R281)=0,""," – "&amp;LOOKUP(2,1/(G281:R281=MAX(G281:R281)),{"Tasarım","Ply Cutter","Üretim","Kalite (Üretim sonrası)","Talaşlı","Kalite (Talaşlı sonrası)","Montaj","Kalite (Montaj sonrası)","Boya","Kalite (Boya sonrası)","Yarı Mamül","KM"})),IF(COUNT(G281:R281)=0,"Başlamadı",LOOKUP(2,1/(G281:R281=MAX(G281:R281)),{"Tasarımda","Ply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281" s="177">
        <f t="shared" ca="1" si="70"/>
        <v>0</v>
      </c>
      <c r="AB281" s="175"/>
      <c r="AD281" t="str">
        <f>IF(OR($B281="",NOT(ISNUMBER(G281))),"",IF(COUNTIF(H281:$T281,G281)&gt;0,0,IF(COUNTIF($G281:$T281,"&gt;"&amp;G281)=0,"",SMALL($G281:$T281,COUNTIF($G281:$T281,"&lt;="&amp;G281)+1)-G281)))</f>
        <v/>
      </c>
      <c r="AE281">
        <f>IF(OR($B281="",NOT(ISNUMBER(H281))),"",IF(COUNTIF(I281:$T281,H281)&gt;0,0,IF(COUNTIF($G281:$T281,"&gt;"&amp;H281)=0,"",SMALL($G281:$T281,COUNTIF($G281:$T281,"&lt;="&amp;H281)+1)-H281)))</f>
        <v>0</v>
      </c>
      <c r="AF281" t="str">
        <f>IF(OR($B281="",NOT(ISNUMBER(I281))),"",IF(COUNTIF(J281:$T281,I281)&gt;0,0,IF(COUNTIF($G281:$T281,"&gt;"&amp;I281)=0,"",SMALL($G281:$T281,COUNTIF($G281:$T281,"&lt;="&amp;I281)+1)-I281)))</f>
        <v/>
      </c>
      <c r="AG281" t="str">
        <f>IF(OR($B281="",NOT(ISNUMBER(J281))),"",IF(COUNTIF(K281:$T281,J281)&gt;0,0,IF(COUNTIF($G281:$T281,"&gt;"&amp;J281)=0,"",SMALL($G281:$T281,COUNTIF($G281:$T281,"&lt;="&amp;J281)+1)-J281)))</f>
        <v/>
      </c>
      <c r="AH281" t="str">
        <f>IF(OR($B281="",NOT(ISNUMBER(K281))),"",IF(COUNTIF(L281:$T281,K281)&gt;0,0,IF(COUNTIF($G281:$T281,"&gt;"&amp;K281)=0,"",SMALL($G281:$T281,COUNTIF($G281:$T281,"&lt;="&amp;K281)+1)-K281)))</f>
        <v/>
      </c>
      <c r="AI281" t="str">
        <f>IF(OR($B281="",NOT(ISNUMBER(L281))),"",IF(COUNTIF(M281:$T281,L281)&gt;0,0,IF(COUNTIF($G281:$T281,"&gt;"&amp;L281)=0,"",SMALL($G281:$T281,COUNTIF($G281:$T281,"&lt;="&amp;L281)+1)-L281)))</f>
        <v/>
      </c>
      <c r="AJ281" t="str">
        <f>IF(OR($B281="",NOT(ISNUMBER(M281))),"",IF(COUNTIF(N281:$T281,M281)&gt;0,0,IF(COUNTIF($G281:$T281,"&gt;"&amp;M281)=0,"",SMALL($G281:$T281,COUNTIF($G281:$T281,"&lt;="&amp;M281)+1)-M281)))</f>
        <v/>
      </c>
      <c r="AK281" t="str">
        <f>IF(OR($B281="",NOT(ISNUMBER(N281))),"",IF(COUNTIF(O281:$T281,N281)&gt;0,0,IF(COUNTIF($G281:$T281,"&gt;"&amp;N281)=0,"",SMALL($G281:$T281,COUNTIF($G281:$T281,"&lt;="&amp;N281)+1)-N281)))</f>
        <v/>
      </c>
      <c r="AL281" t="str">
        <f>IF(OR($B281="",NOT(ISNUMBER(O281))),"",IF(COUNTIF(P281:$T281,O281)&gt;0,0,IF(COUNTIF($G281:$T281,"&gt;"&amp;O281)=0,"",SMALL($G281:$T281,COUNTIF($G281:$T281,"&lt;="&amp;O281)+1)-O281)))</f>
        <v/>
      </c>
      <c r="AM281" t="str">
        <f>IF(OR($B281="",NOT(ISNUMBER(P281))),"",IF(COUNTIF(Q281:$T281,P281)&gt;0,0,IF(COUNTIF($G281:$T281,"&gt;"&amp;P281)=0,"",SMALL($G281:$T281,COUNTIF($G281:$T281,"&lt;="&amp;P281)+1)-P281)))</f>
        <v/>
      </c>
      <c r="AN281" t="str">
        <f>IF(OR($B281="",NOT(ISNUMBER(Q281))),"",IF(COUNTIF(R281:$T281,Q281)&gt;0,0,IF(COUNTIF($G281:$T281,"&gt;"&amp;Q281)=0,"",SMALL($G281:$T281,COUNTIF($G281:$T281,"&lt;="&amp;Q281)+1)-Q281)))</f>
        <v/>
      </c>
      <c r="AO281" t="str">
        <f>IF(OR($B281="",NOT(ISNUMBER(R281))),"",IF(COUNTIF(S281:$T281,R281)&gt;0,0,IF(COUNTIF($G281:$T281,"&gt;"&amp;R281)=0,"",SMALL($G281:$T281,COUNTIF($G281:$T281,"&lt;="&amp;R281)+1)-R281)))</f>
        <v/>
      </c>
      <c r="AP281">
        <f t="shared" ca="1" si="71"/>
        <v>0</v>
      </c>
      <c r="AQ281" s="25" t="str">
        <f t="shared" si="72"/>
        <v/>
      </c>
      <c r="AR281" s="25">
        <f t="shared" si="73"/>
        <v>46297</v>
      </c>
      <c r="AS281" s="25" t="str">
        <f t="shared" si="74"/>
        <v/>
      </c>
      <c r="AT281" s="25" t="str">
        <f t="shared" si="75"/>
        <v/>
      </c>
      <c r="AU281" s="25" t="str">
        <f t="shared" si="76"/>
        <v/>
      </c>
      <c r="AV281" s="25" t="str">
        <f t="shared" si="77"/>
        <v/>
      </c>
      <c r="AW281" s="25" t="str">
        <f t="shared" si="78"/>
        <v/>
      </c>
      <c r="AX281" s="25" t="str">
        <f t="shared" si="79"/>
        <v/>
      </c>
      <c r="AY281" s="25" t="str">
        <f t="shared" si="80"/>
        <v/>
      </c>
      <c r="AZ281" s="25" t="str">
        <f t="shared" si="81"/>
        <v/>
      </c>
      <c r="BA281" s="25" t="str">
        <f t="shared" si="82"/>
        <v/>
      </c>
      <c r="BB281" s="25" t="str">
        <f t="shared" si="83"/>
        <v/>
      </c>
      <c r="BC281" s="25">
        <f t="shared" si="84"/>
        <v>46297</v>
      </c>
    </row>
    <row r="282" spans="1:55" x14ac:dyDescent="0.25">
      <c r="A282" s="151">
        <f t="shared" si="69"/>
        <v>280</v>
      </c>
      <c r="B282" s="151" t="s">
        <v>457</v>
      </c>
      <c r="C282" s="152" t="s">
        <v>458</v>
      </c>
      <c r="D282" s="151">
        <f t="shared" si="68"/>
        <v>4</v>
      </c>
      <c r="E282" s="151" t="s">
        <v>61</v>
      </c>
      <c r="F282" s="173">
        <v>46297</v>
      </c>
      <c r="G282" s="173"/>
      <c r="H282" s="173">
        <v>46297</v>
      </c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4">
        <v>46297</v>
      </c>
      <c r="U282" s="151"/>
      <c r="V282" s="152"/>
      <c r="W282" s="175"/>
      <c r="X282" s="173"/>
      <c r="Y282" s="173"/>
      <c r="Z282" s="176" t="str">
        <f>IF(B282="","",IF(S282&lt;&gt;"","Sevk Edildi",IF(AND(X282&lt;&gt;"",Y282=""),"Reworkte",IF(T282&lt;&gt;"","Kapandı"&amp;IF(COUNT(G282:R282)=0,""," – "&amp;LOOKUP(2,1/(G282:R282=MAX(G282:R282)),{"Tasarım","Ply Cutter","Üretim","Kalite (Üretim sonrası)","Talaşlı","Kalite (Talaşlı sonrası)","Montaj","Kalite (Montaj sonrası)","Boya","Kalite (Boya sonrası)","Yarı Mamül","KM"})),IF(COUNT(G282:R282)=0,"Başlamadı",LOOKUP(2,1/(G282:R282=MAX(G282:R282)),{"Tasarımda","Ply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282" s="177">
        <f t="shared" ca="1" si="70"/>
        <v>0</v>
      </c>
      <c r="AB282" s="175"/>
      <c r="AD282" t="str">
        <f>IF(OR($B282="",NOT(ISNUMBER(G282))),"",IF(COUNTIF(H282:$T282,G282)&gt;0,0,IF(COUNTIF($G282:$T282,"&gt;"&amp;G282)=0,"",SMALL($G282:$T282,COUNTIF($G282:$T282,"&lt;="&amp;G282)+1)-G282)))</f>
        <v/>
      </c>
      <c r="AE282">
        <f>IF(OR($B282="",NOT(ISNUMBER(H282))),"",IF(COUNTIF(I282:$T282,H282)&gt;0,0,IF(COUNTIF($G282:$T282,"&gt;"&amp;H282)=0,"",SMALL($G282:$T282,COUNTIF($G282:$T282,"&lt;="&amp;H282)+1)-H282)))</f>
        <v>0</v>
      </c>
      <c r="AF282" t="str">
        <f>IF(OR($B282="",NOT(ISNUMBER(I282))),"",IF(COUNTIF(J282:$T282,I282)&gt;0,0,IF(COUNTIF($G282:$T282,"&gt;"&amp;I282)=0,"",SMALL($G282:$T282,COUNTIF($G282:$T282,"&lt;="&amp;I282)+1)-I282)))</f>
        <v/>
      </c>
      <c r="AG282" t="str">
        <f>IF(OR($B282="",NOT(ISNUMBER(J282))),"",IF(COUNTIF(K282:$T282,J282)&gt;0,0,IF(COUNTIF($G282:$T282,"&gt;"&amp;J282)=0,"",SMALL($G282:$T282,COUNTIF($G282:$T282,"&lt;="&amp;J282)+1)-J282)))</f>
        <v/>
      </c>
      <c r="AH282" t="str">
        <f>IF(OR($B282="",NOT(ISNUMBER(K282))),"",IF(COUNTIF(L282:$T282,K282)&gt;0,0,IF(COUNTIF($G282:$T282,"&gt;"&amp;K282)=0,"",SMALL($G282:$T282,COUNTIF($G282:$T282,"&lt;="&amp;K282)+1)-K282)))</f>
        <v/>
      </c>
      <c r="AI282" t="str">
        <f>IF(OR($B282="",NOT(ISNUMBER(L282))),"",IF(COUNTIF(M282:$T282,L282)&gt;0,0,IF(COUNTIF($G282:$T282,"&gt;"&amp;L282)=0,"",SMALL($G282:$T282,COUNTIF($G282:$T282,"&lt;="&amp;L282)+1)-L282)))</f>
        <v/>
      </c>
      <c r="AJ282" t="str">
        <f>IF(OR($B282="",NOT(ISNUMBER(M282))),"",IF(COUNTIF(N282:$T282,M282)&gt;0,0,IF(COUNTIF($G282:$T282,"&gt;"&amp;M282)=0,"",SMALL($G282:$T282,COUNTIF($G282:$T282,"&lt;="&amp;M282)+1)-M282)))</f>
        <v/>
      </c>
      <c r="AK282" t="str">
        <f>IF(OR($B282="",NOT(ISNUMBER(N282))),"",IF(COUNTIF(O282:$T282,N282)&gt;0,0,IF(COUNTIF($G282:$T282,"&gt;"&amp;N282)=0,"",SMALL($G282:$T282,COUNTIF($G282:$T282,"&lt;="&amp;N282)+1)-N282)))</f>
        <v/>
      </c>
      <c r="AL282" t="str">
        <f>IF(OR($B282="",NOT(ISNUMBER(O282))),"",IF(COUNTIF(P282:$T282,O282)&gt;0,0,IF(COUNTIF($G282:$T282,"&gt;"&amp;O282)=0,"",SMALL($G282:$T282,COUNTIF($G282:$T282,"&lt;="&amp;O282)+1)-O282)))</f>
        <v/>
      </c>
      <c r="AM282" t="str">
        <f>IF(OR($B282="",NOT(ISNUMBER(P282))),"",IF(COUNTIF(Q282:$T282,P282)&gt;0,0,IF(COUNTIF($G282:$T282,"&gt;"&amp;P282)=0,"",SMALL($G282:$T282,COUNTIF($G282:$T282,"&lt;="&amp;P282)+1)-P282)))</f>
        <v/>
      </c>
      <c r="AN282" t="str">
        <f>IF(OR($B282="",NOT(ISNUMBER(Q282))),"",IF(COUNTIF(R282:$T282,Q282)&gt;0,0,IF(COUNTIF($G282:$T282,"&gt;"&amp;Q282)=0,"",SMALL($G282:$T282,COUNTIF($G282:$T282,"&lt;="&amp;Q282)+1)-Q282)))</f>
        <v/>
      </c>
      <c r="AO282" t="str">
        <f>IF(OR($B282="",NOT(ISNUMBER(R282))),"",IF(COUNTIF(S282:$T282,R282)&gt;0,0,IF(COUNTIF($G282:$T282,"&gt;"&amp;R282)=0,"",SMALL($G282:$T282,COUNTIF($G282:$T282,"&lt;="&amp;R282)+1)-R282)))</f>
        <v/>
      </c>
      <c r="AP282">
        <f t="shared" ca="1" si="71"/>
        <v>0</v>
      </c>
      <c r="AQ282" s="25" t="str">
        <f t="shared" si="72"/>
        <v/>
      </c>
      <c r="AR282" s="25">
        <f t="shared" si="73"/>
        <v>46297</v>
      </c>
      <c r="AS282" s="25" t="str">
        <f t="shared" si="74"/>
        <v/>
      </c>
      <c r="AT282" s="25" t="str">
        <f t="shared" si="75"/>
        <v/>
      </c>
      <c r="AU282" s="25" t="str">
        <f t="shared" si="76"/>
        <v/>
      </c>
      <c r="AV282" s="25" t="str">
        <f t="shared" si="77"/>
        <v/>
      </c>
      <c r="AW282" s="25" t="str">
        <f t="shared" si="78"/>
        <v/>
      </c>
      <c r="AX282" s="25" t="str">
        <f t="shared" si="79"/>
        <v/>
      </c>
      <c r="AY282" s="25" t="str">
        <f t="shared" si="80"/>
        <v/>
      </c>
      <c r="AZ282" s="25" t="str">
        <f t="shared" si="81"/>
        <v/>
      </c>
      <c r="BA282" s="25" t="str">
        <f t="shared" si="82"/>
        <v/>
      </c>
      <c r="BB282" s="25" t="str">
        <f t="shared" si="83"/>
        <v/>
      </c>
      <c r="BC282" s="25">
        <f t="shared" si="84"/>
        <v>46297</v>
      </c>
    </row>
    <row r="283" spans="1:55" x14ac:dyDescent="0.25">
      <c r="A283" s="151">
        <f t="shared" si="69"/>
        <v>281</v>
      </c>
      <c r="B283" s="151" t="s">
        <v>459</v>
      </c>
      <c r="C283" s="152" t="s">
        <v>460</v>
      </c>
      <c r="D283" s="151">
        <f t="shared" si="68"/>
        <v>6</v>
      </c>
      <c r="E283" s="151" t="s">
        <v>61</v>
      </c>
      <c r="F283" s="173">
        <v>46297</v>
      </c>
      <c r="G283" s="173"/>
      <c r="H283" s="173"/>
      <c r="I283" s="173"/>
      <c r="J283" s="173"/>
      <c r="K283" s="173"/>
      <c r="L283" s="173"/>
      <c r="M283" s="173"/>
      <c r="N283" s="173"/>
      <c r="O283" s="173">
        <v>46297</v>
      </c>
      <c r="P283" s="173">
        <v>46300</v>
      </c>
      <c r="Q283" s="173"/>
      <c r="R283" s="173"/>
      <c r="S283" s="173"/>
      <c r="T283" s="174">
        <v>46300</v>
      </c>
      <c r="U283" s="151"/>
      <c r="V283" s="152"/>
      <c r="W283" s="175"/>
      <c r="X283" s="173"/>
      <c r="Y283" s="173"/>
      <c r="Z283" s="176" t="str">
        <f>IF(B283="","",IF(S283&lt;&gt;"","Sevk Edildi",IF(AND(X283&lt;&gt;"",Y283=""),"Reworkte",IF(T283&lt;&gt;"","Kapandı"&amp;IF(COUNT(G283:R283)=0,""," – "&amp;LOOKUP(2,1/(G283:R283=MAX(G283:R283)),{"Tasarım","Ply Cutter","Üretim","Kalite (Üretim sonrası)","Talaşlı","Kalite (Talaşlı sonrası)","Montaj","Kalite (Montaj sonrası)","Boya","Kalite (Boya sonrası)","Yarı Mamül","KM"})),IF(COUNT(G283:R283)=0,"Başlamadı",LOOKUP(2,1/(G283:R283=MAX(G283:R283)),{"Tasarımda","Ply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283" s="177">
        <f t="shared" ca="1" si="70"/>
        <v>3</v>
      </c>
      <c r="AB283" s="175"/>
      <c r="AD283" t="str">
        <f>IF(OR($B283="",NOT(ISNUMBER(G283))),"",IF(COUNTIF(H283:$T283,G283)&gt;0,0,IF(COUNTIF($G283:$T283,"&gt;"&amp;G283)=0,"",SMALL($G283:$T283,COUNTIF($G283:$T283,"&lt;="&amp;G283)+1)-G283)))</f>
        <v/>
      </c>
      <c r="AE283" t="str">
        <f>IF(OR($B283="",NOT(ISNUMBER(H283))),"",IF(COUNTIF(I283:$T283,H283)&gt;0,0,IF(COUNTIF($G283:$T283,"&gt;"&amp;H283)=0,"",SMALL($G283:$T283,COUNTIF($G283:$T283,"&lt;="&amp;H283)+1)-H283)))</f>
        <v/>
      </c>
      <c r="AF283" t="str">
        <f>IF(OR($B283="",NOT(ISNUMBER(I283))),"",IF(COUNTIF(J283:$T283,I283)&gt;0,0,IF(COUNTIF($G283:$T283,"&gt;"&amp;I283)=0,"",SMALL($G283:$T283,COUNTIF($G283:$T283,"&lt;="&amp;I283)+1)-I283)))</f>
        <v/>
      </c>
      <c r="AG283" t="str">
        <f>IF(OR($B283="",NOT(ISNUMBER(J283))),"",IF(COUNTIF(K283:$T283,J283)&gt;0,0,IF(COUNTIF($G283:$T283,"&gt;"&amp;J283)=0,"",SMALL($G283:$T283,COUNTIF($G283:$T283,"&lt;="&amp;J283)+1)-J283)))</f>
        <v/>
      </c>
      <c r="AH283" t="str">
        <f>IF(OR($B283="",NOT(ISNUMBER(K283))),"",IF(COUNTIF(L283:$T283,K283)&gt;0,0,IF(COUNTIF($G283:$T283,"&gt;"&amp;K283)=0,"",SMALL($G283:$T283,COUNTIF($G283:$T283,"&lt;="&amp;K283)+1)-K283)))</f>
        <v/>
      </c>
      <c r="AI283" t="str">
        <f>IF(OR($B283="",NOT(ISNUMBER(L283))),"",IF(COUNTIF(M283:$T283,L283)&gt;0,0,IF(COUNTIF($G283:$T283,"&gt;"&amp;L283)=0,"",SMALL($G283:$T283,COUNTIF($G283:$T283,"&lt;="&amp;L283)+1)-L283)))</f>
        <v/>
      </c>
      <c r="AJ283" t="str">
        <f>IF(OR($B283="",NOT(ISNUMBER(M283))),"",IF(COUNTIF(N283:$T283,M283)&gt;0,0,IF(COUNTIF($G283:$T283,"&gt;"&amp;M283)=0,"",SMALL($G283:$T283,COUNTIF($G283:$T283,"&lt;="&amp;M283)+1)-M283)))</f>
        <v/>
      </c>
      <c r="AK283" t="str">
        <f>IF(OR($B283="",NOT(ISNUMBER(N283))),"",IF(COUNTIF(O283:$T283,N283)&gt;0,0,IF(COUNTIF($G283:$T283,"&gt;"&amp;N283)=0,"",SMALL($G283:$T283,COUNTIF($G283:$T283,"&lt;="&amp;N283)+1)-N283)))</f>
        <v/>
      </c>
      <c r="AL283">
        <f>IF(OR($B283="",NOT(ISNUMBER(O283))),"",IF(COUNTIF(P283:$T283,O283)&gt;0,0,IF(COUNTIF($G283:$T283,"&gt;"&amp;O283)=0,"",SMALL($G283:$T283,COUNTIF($G283:$T283,"&lt;="&amp;O283)+1)-O283)))</f>
        <v>3</v>
      </c>
      <c r="AM283">
        <f>IF(OR($B283="",NOT(ISNUMBER(P283))),"",IF(COUNTIF(Q283:$T283,P283)&gt;0,0,IF(COUNTIF($G283:$T283,"&gt;"&amp;P283)=0,"",SMALL($G283:$T283,COUNTIF($G283:$T283,"&lt;="&amp;P283)+1)-P283)))</f>
        <v>0</v>
      </c>
      <c r="AN283" t="str">
        <f>IF(OR($B283="",NOT(ISNUMBER(Q283))),"",IF(COUNTIF(R283:$T283,Q283)&gt;0,0,IF(COUNTIF($G283:$T283,"&gt;"&amp;Q283)=0,"",SMALL($G283:$T283,COUNTIF($G283:$T283,"&lt;="&amp;Q283)+1)-Q283)))</f>
        <v/>
      </c>
      <c r="AO283" t="str">
        <f>IF(OR($B283="",NOT(ISNUMBER(R283))),"",IF(COUNTIF(S283:$T283,R283)&gt;0,0,IF(COUNTIF($G283:$T283,"&gt;"&amp;R283)=0,"",SMALL($G283:$T283,COUNTIF($G283:$T283,"&lt;="&amp;R283)+1)-R283)))</f>
        <v/>
      </c>
      <c r="AP283">
        <f t="shared" ca="1" si="71"/>
        <v>0</v>
      </c>
      <c r="AQ283" s="25" t="str">
        <f t="shared" si="72"/>
        <v/>
      </c>
      <c r="AR283" s="25" t="str">
        <f t="shared" si="73"/>
        <v/>
      </c>
      <c r="AS283" s="25" t="str">
        <f t="shared" si="74"/>
        <v/>
      </c>
      <c r="AT283" s="25" t="str">
        <f t="shared" si="75"/>
        <v/>
      </c>
      <c r="AU283" s="25" t="str">
        <f t="shared" si="76"/>
        <v/>
      </c>
      <c r="AV283" s="25" t="str">
        <f t="shared" si="77"/>
        <v/>
      </c>
      <c r="AW283" s="25" t="str">
        <f t="shared" si="78"/>
        <v/>
      </c>
      <c r="AX283" s="25" t="str">
        <f t="shared" si="79"/>
        <v/>
      </c>
      <c r="AY283" s="25">
        <f t="shared" si="80"/>
        <v>46300</v>
      </c>
      <c r="AZ283" s="25">
        <f t="shared" si="81"/>
        <v>46300</v>
      </c>
      <c r="BA283" s="25" t="str">
        <f t="shared" si="82"/>
        <v/>
      </c>
      <c r="BB283" s="25" t="str">
        <f t="shared" si="83"/>
        <v/>
      </c>
      <c r="BC283" s="25">
        <f t="shared" si="84"/>
        <v>46300</v>
      </c>
    </row>
    <row r="284" spans="1:55" x14ac:dyDescent="0.25">
      <c r="A284" s="151">
        <f t="shared" si="69"/>
        <v>282</v>
      </c>
      <c r="B284" s="151" t="s">
        <v>461</v>
      </c>
      <c r="C284" s="152" t="s">
        <v>376</v>
      </c>
      <c r="D284" s="151">
        <f t="shared" si="68"/>
        <v>2</v>
      </c>
      <c r="E284" s="151" t="s">
        <v>61</v>
      </c>
      <c r="F284" s="173">
        <v>46297</v>
      </c>
      <c r="G284" s="173"/>
      <c r="H284" s="173"/>
      <c r="I284" s="173"/>
      <c r="J284" s="173"/>
      <c r="K284" s="173"/>
      <c r="L284" s="173"/>
      <c r="M284" s="173"/>
      <c r="N284" s="173"/>
      <c r="O284" s="173">
        <v>46297</v>
      </c>
      <c r="P284" s="173">
        <v>46300</v>
      </c>
      <c r="Q284" s="173"/>
      <c r="R284" s="173"/>
      <c r="S284" s="173"/>
      <c r="T284" s="174">
        <v>46300</v>
      </c>
      <c r="U284" s="151"/>
      <c r="V284" s="152"/>
      <c r="W284" s="175"/>
      <c r="X284" s="173"/>
      <c r="Y284" s="173"/>
      <c r="Z284" s="176" t="str">
        <f>IF(B284="","",IF(S284&lt;&gt;"","Sevk Edildi",IF(AND(X284&lt;&gt;"",Y284=""),"Reworkte",IF(T284&lt;&gt;"","Kapandı"&amp;IF(COUNT(G284:R284)=0,""," – "&amp;LOOKUP(2,1/(G284:R284=MAX(G284:R284)),{"Tasarım","Ply Cutter","Üretim","Kalite (Üretim sonrası)","Talaşlı","Kalite (Talaşlı sonrası)","Montaj","Kalite (Montaj sonrası)","Boya","Kalite (Boya sonrası)","Yarı Mamül","KM"})),IF(COUNT(G284:R284)=0,"Başlamadı",LOOKUP(2,1/(G284:R284=MAX(G284:R284)),{"Tasarımda","Ply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284" s="177">
        <f t="shared" ca="1" si="70"/>
        <v>3</v>
      </c>
      <c r="AB284" s="175"/>
      <c r="AD284" t="str">
        <f>IF(OR($B284="",NOT(ISNUMBER(G284))),"",IF(COUNTIF(H284:$T284,G284)&gt;0,0,IF(COUNTIF($G284:$T284,"&gt;"&amp;G284)=0,"",SMALL($G284:$T284,COUNTIF($G284:$T284,"&lt;="&amp;G284)+1)-G284)))</f>
        <v/>
      </c>
      <c r="AE284" t="str">
        <f>IF(OR($B284="",NOT(ISNUMBER(H284))),"",IF(COUNTIF(I284:$T284,H284)&gt;0,0,IF(COUNTIF($G284:$T284,"&gt;"&amp;H284)=0,"",SMALL($G284:$T284,COUNTIF($G284:$T284,"&lt;="&amp;H284)+1)-H284)))</f>
        <v/>
      </c>
      <c r="AF284" t="str">
        <f>IF(OR($B284="",NOT(ISNUMBER(I284))),"",IF(COUNTIF(J284:$T284,I284)&gt;0,0,IF(COUNTIF($G284:$T284,"&gt;"&amp;I284)=0,"",SMALL($G284:$T284,COUNTIF($G284:$T284,"&lt;="&amp;I284)+1)-I284)))</f>
        <v/>
      </c>
      <c r="AG284" t="str">
        <f>IF(OR($B284="",NOT(ISNUMBER(J284))),"",IF(COUNTIF(K284:$T284,J284)&gt;0,0,IF(COUNTIF($G284:$T284,"&gt;"&amp;J284)=0,"",SMALL($G284:$T284,COUNTIF($G284:$T284,"&lt;="&amp;J284)+1)-J284)))</f>
        <v/>
      </c>
      <c r="AH284" t="str">
        <f>IF(OR($B284="",NOT(ISNUMBER(K284))),"",IF(COUNTIF(L284:$T284,K284)&gt;0,0,IF(COUNTIF($G284:$T284,"&gt;"&amp;K284)=0,"",SMALL($G284:$T284,COUNTIF($G284:$T284,"&lt;="&amp;K284)+1)-K284)))</f>
        <v/>
      </c>
      <c r="AI284" t="str">
        <f>IF(OR($B284="",NOT(ISNUMBER(L284))),"",IF(COUNTIF(M284:$T284,L284)&gt;0,0,IF(COUNTIF($G284:$T284,"&gt;"&amp;L284)=0,"",SMALL($G284:$T284,COUNTIF($G284:$T284,"&lt;="&amp;L284)+1)-L284)))</f>
        <v/>
      </c>
      <c r="AJ284" t="str">
        <f>IF(OR($B284="",NOT(ISNUMBER(M284))),"",IF(COUNTIF(N284:$T284,M284)&gt;0,0,IF(COUNTIF($G284:$T284,"&gt;"&amp;M284)=0,"",SMALL($G284:$T284,COUNTIF($G284:$T284,"&lt;="&amp;M284)+1)-M284)))</f>
        <v/>
      </c>
      <c r="AK284" t="str">
        <f>IF(OR($B284="",NOT(ISNUMBER(N284))),"",IF(COUNTIF(O284:$T284,N284)&gt;0,0,IF(COUNTIF($G284:$T284,"&gt;"&amp;N284)=0,"",SMALL($G284:$T284,COUNTIF($G284:$T284,"&lt;="&amp;N284)+1)-N284)))</f>
        <v/>
      </c>
      <c r="AL284">
        <f>IF(OR($B284="",NOT(ISNUMBER(O284))),"",IF(COUNTIF(P284:$T284,O284)&gt;0,0,IF(COUNTIF($G284:$T284,"&gt;"&amp;O284)=0,"",SMALL($G284:$T284,COUNTIF($G284:$T284,"&lt;="&amp;O284)+1)-O284)))</f>
        <v>3</v>
      </c>
      <c r="AM284">
        <f>IF(OR($B284="",NOT(ISNUMBER(P284))),"",IF(COUNTIF(Q284:$T284,P284)&gt;0,0,IF(COUNTIF($G284:$T284,"&gt;"&amp;P284)=0,"",SMALL($G284:$T284,COUNTIF($G284:$T284,"&lt;="&amp;P284)+1)-P284)))</f>
        <v>0</v>
      </c>
      <c r="AN284" t="str">
        <f>IF(OR($B284="",NOT(ISNUMBER(Q284))),"",IF(COUNTIF(R284:$T284,Q284)&gt;0,0,IF(COUNTIF($G284:$T284,"&gt;"&amp;Q284)=0,"",SMALL($G284:$T284,COUNTIF($G284:$T284,"&lt;="&amp;Q284)+1)-Q284)))</f>
        <v/>
      </c>
      <c r="AO284" t="str">
        <f>IF(OR($B284="",NOT(ISNUMBER(R284))),"",IF(COUNTIF(S284:$T284,R284)&gt;0,0,IF(COUNTIF($G284:$T284,"&gt;"&amp;R284)=0,"",SMALL($G284:$T284,COUNTIF($G284:$T284,"&lt;="&amp;R284)+1)-R284)))</f>
        <v/>
      </c>
      <c r="AP284">
        <f t="shared" ca="1" si="71"/>
        <v>0</v>
      </c>
      <c r="AQ284" s="25" t="str">
        <f t="shared" si="72"/>
        <v/>
      </c>
      <c r="AR284" s="25" t="str">
        <f t="shared" si="73"/>
        <v/>
      </c>
      <c r="AS284" s="25" t="str">
        <f t="shared" si="74"/>
        <v/>
      </c>
      <c r="AT284" s="25" t="str">
        <f t="shared" si="75"/>
        <v/>
      </c>
      <c r="AU284" s="25" t="str">
        <f t="shared" si="76"/>
        <v/>
      </c>
      <c r="AV284" s="25" t="str">
        <f t="shared" si="77"/>
        <v/>
      </c>
      <c r="AW284" s="25" t="str">
        <f t="shared" si="78"/>
        <v/>
      </c>
      <c r="AX284" s="25" t="str">
        <f t="shared" si="79"/>
        <v/>
      </c>
      <c r="AY284" s="25">
        <f t="shared" si="80"/>
        <v>46300</v>
      </c>
      <c r="AZ284" s="25">
        <f t="shared" si="81"/>
        <v>46300</v>
      </c>
      <c r="BA284" s="25" t="str">
        <f t="shared" si="82"/>
        <v/>
      </c>
      <c r="BB284" s="25" t="str">
        <f t="shared" si="83"/>
        <v/>
      </c>
      <c r="BC284" s="25">
        <f t="shared" si="84"/>
        <v>46300</v>
      </c>
    </row>
    <row r="285" spans="1:55" x14ac:dyDescent="0.25">
      <c r="A285" s="151">
        <f t="shared" si="69"/>
        <v>283</v>
      </c>
      <c r="B285" s="151" t="s">
        <v>462</v>
      </c>
      <c r="C285" s="152" t="s">
        <v>378</v>
      </c>
      <c r="D285" s="151">
        <f t="shared" si="68"/>
        <v>2</v>
      </c>
      <c r="E285" s="151" t="s">
        <v>61</v>
      </c>
      <c r="F285" s="173">
        <v>46297</v>
      </c>
      <c r="G285" s="173"/>
      <c r="H285" s="173"/>
      <c r="I285" s="173"/>
      <c r="J285" s="173"/>
      <c r="K285" s="173"/>
      <c r="L285" s="173"/>
      <c r="M285" s="173"/>
      <c r="N285" s="173"/>
      <c r="O285" s="173">
        <v>46297</v>
      </c>
      <c r="P285" s="173">
        <v>46300</v>
      </c>
      <c r="Q285" s="173"/>
      <c r="R285" s="173"/>
      <c r="S285" s="173"/>
      <c r="T285" s="174">
        <v>46300</v>
      </c>
      <c r="U285" s="151"/>
      <c r="V285" s="152"/>
      <c r="W285" s="175"/>
      <c r="X285" s="173"/>
      <c r="Y285" s="173"/>
      <c r="Z285" s="176" t="str">
        <f>IF(B285="","",IF(S285&lt;&gt;"","Sevk Edildi",IF(AND(X285&lt;&gt;"",Y285=""),"Reworkte",IF(T285&lt;&gt;"","Kapandı"&amp;IF(COUNT(G285:R285)=0,""," – "&amp;LOOKUP(2,1/(G285:R285=MAX(G285:R285)),{"Tasarım","Ply Cutter","Üretim","Kalite (Üretim sonrası)","Talaşlı","Kalite (Talaşlı sonrası)","Montaj","Kalite (Montaj sonrası)","Boya","Kalite (Boya sonrası)","Yarı Mamül","KM"})),IF(COUNT(G285:R285)=0,"Başlamadı",LOOKUP(2,1/(G285:R285=MAX(G285:R285)),{"Tasarımda","Ply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285" s="177">
        <f t="shared" ca="1" si="70"/>
        <v>3</v>
      </c>
      <c r="AB285" s="175"/>
      <c r="AD285" t="str">
        <f>IF(OR($B285="",NOT(ISNUMBER(G285))),"",IF(COUNTIF(H285:$T285,G285)&gt;0,0,IF(COUNTIF($G285:$T285,"&gt;"&amp;G285)=0,"",SMALL($G285:$T285,COUNTIF($G285:$T285,"&lt;="&amp;G285)+1)-G285)))</f>
        <v/>
      </c>
      <c r="AE285" t="str">
        <f>IF(OR($B285="",NOT(ISNUMBER(H285))),"",IF(COUNTIF(I285:$T285,H285)&gt;0,0,IF(COUNTIF($G285:$T285,"&gt;"&amp;H285)=0,"",SMALL($G285:$T285,COUNTIF($G285:$T285,"&lt;="&amp;H285)+1)-H285)))</f>
        <v/>
      </c>
      <c r="AF285" t="str">
        <f>IF(OR($B285="",NOT(ISNUMBER(I285))),"",IF(COUNTIF(J285:$T285,I285)&gt;0,0,IF(COUNTIF($G285:$T285,"&gt;"&amp;I285)=0,"",SMALL($G285:$T285,COUNTIF($G285:$T285,"&lt;="&amp;I285)+1)-I285)))</f>
        <v/>
      </c>
      <c r="AG285" t="str">
        <f>IF(OR($B285="",NOT(ISNUMBER(J285))),"",IF(COUNTIF(K285:$T285,J285)&gt;0,0,IF(COUNTIF($G285:$T285,"&gt;"&amp;J285)=0,"",SMALL($G285:$T285,COUNTIF($G285:$T285,"&lt;="&amp;J285)+1)-J285)))</f>
        <v/>
      </c>
      <c r="AH285" t="str">
        <f>IF(OR($B285="",NOT(ISNUMBER(K285))),"",IF(COUNTIF(L285:$T285,K285)&gt;0,0,IF(COUNTIF($G285:$T285,"&gt;"&amp;K285)=0,"",SMALL($G285:$T285,COUNTIF($G285:$T285,"&lt;="&amp;K285)+1)-K285)))</f>
        <v/>
      </c>
      <c r="AI285" t="str">
        <f>IF(OR($B285="",NOT(ISNUMBER(L285))),"",IF(COUNTIF(M285:$T285,L285)&gt;0,0,IF(COUNTIF($G285:$T285,"&gt;"&amp;L285)=0,"",SMALL($G285:$T285,COUNTIF($G285:$T285,"&lt;="&amp;L285)+1)-L285)))</f>
        <v/>
      </c>
      <c r="AJ285" t="str">
        <f>IF(OR($B285="",NOT(ISNUMBER(M285))),"",IF(COUNTIF(N285:$T285,M285)&gt;0,0,IF(COUNTIF($G285:$T285,"&gt;"&amp;M285)=0,"",SMALL($G285:$T285,COUNTIF($G285:$T285,"&lt;="&amp;M285)+1)-M285)))</f>
        <v/>
      </c>
      <c r="AK285" t="str">
        <f>IF(OR($B285="",NOT(ISNUMBER(N285))),"",IF(COUNTIF(O285:$T285,N285)&gt;0,0,IF(COUNTIF($G285:$T285,"&gt;"&amp;N285)=0,"",SMALL($G285:$T285,COUNTIF($G285:$T285,"&lt;="&amp;N285)+1)-N285)))</f>
        <v/>
      </c>
      <c r="AL285">
        <f>IF(OR($B285="",NOT(ISNUMBER(O285))),"",IF(COUNTIF(P285:$T285,O285)&gt;0,0,IF(COUNTIF($G285:$T285,"&gt;"&amp;O285)=0,"",SMALL($G285:$T285,COUNTIF($G285:$T285,"&lt;="&amp;O285)+1)-O285)))</f>
        <v>3</v>
      </c>
      <c r="AM285">
        <f>IF(OR($B285="",NOT(ISNUMBER(P285))),"",IF(COUNTIF(Q285:$T285,P285)&gt;0,0,IF(COUNTIF($G285:$T285,"&gt;"&amp;P285)=0,"",SMALL($G285:$T285,COUNTIF($G285:$T285,"&lt;="&amp;P285)+1)-P285)))</f>
        <v>0</v>
      </c>
      <c r="AN285" t="str">
        <f>IF(OR($B285="",NOT(ISNUMBER(Q285))),"",IF(COUNTIF(R285:$T285,Q285)&gt;0,0,IF(COUNTIF($G285:$T285,"&gt;"&amp;Q285)=0,"",SMALL($G285:$T285,COUNTIF($G285:$T285,"&lt;="&amp;Q285)+1)-Q285)))</f>
        <v/>
      </c>
      <c r="AO285" t="str">
        <f>IF(OR($B285="",NOT(ISNUMBER(R285))),"",IF(COUNTIF(S285:$T285,R285)&gt;0,0,IF(COUNTIF($G285:$T285,"&gt;"&amp;R285)=0,"",SMALL($G285:$T285,COUNTIF($G285:$T285,"&lt;="&amp;R285)+1)-R285)))</f>
        <v/>
      </c>
      <c r="AP285">
        <f t="shared" ca="1" si="71"/>
        <v>0</v>
      </c>
      <c r="AQ285" s="25" t="str">
        <f t="shared" si="72"/>
        <v/>
      </c>
      <c r="AR285" s="25" t="str">
        <f t="shared" si="73"/>
        <v/>
      </c>
      <c r="AS285" s="25" t="str">
        <f t="shared" si="74"/>
        <v/>
      </c>
      <c r="AT285" s="25" t="str">
        <f t="shared" si="75"/>
        <v/>
      </c>
      <c r="AU285" s="25" t="str">
        <f t="shared" si="76"/>
        <v/>
      </c>
      <c r="AV285" s="25" t="str">
        <f t="shared" si="77"/>
        <v/>
      </c>
      <c r="AW285" s="25" t="str">
        <f t="shared" si="78"/>
        <v/>
      </c>
      <c r="AX285" s="25" t="str">
        <f t="shared" si="79"/>
        <v/>
      </c>
      <c r="AY285" s="25">
        <f t="shared" si="80"/>
        <v>46300</v>
      </c>
      <c r="AZ285" s="25">
        <f t="shared" si="81"/>
        <v>46300</v>
      </c>
      <c r="BA285" s="25" t="str">
        <f t="shared" si="82"/>
        <v/>
      </c>
      <c r="BB285" s="25" t="str">
        <f t="shared" si="83"/>
        <v/>
      </c>
      <c r="BC285" s="25">
        <f t="shared" si="84"/>
        <v>46300</v>
      </c>
    </row>
    <row r="286" spans="1:55" x14ac:dyDescent="0.25">
      <c r="A286" s="151">
        <f t="shared" si="69"/>
        <v>284</v>
      </c>
      <c r="B286" s="151" t="s">
        <v>463</v>
      </c>
      <c r="C286" s="152" t="s">
        <v>464</v>
      </c>
      <c r="D286" s="151">
        <f t="shared" si="68"/>
        <v>6</v>
      </c>
      <c r="E286" s="151" t="s">
        <v>61</v>
      </c>
      <c r="F286" s="173">
        <v>46297</v>
      </c>
      <c r="G286" s="173"/>
      <c r="H286" s="173"/>
      <c r="I286" s="173"/>
      <c r="J286" s="173"/>
      <c r="K286" s="173"/>
      <c r="L286" s="173"/>
      <c r="M286" s="173"/>
      <c r="N286" s="173"/>
      <c r="O286" s="173">
        <v>46297</v>
      </c>
      <c r="P286" s="173">
        <v>46300</v>
      </c>
      <c r="Q286" s="173"/>
      <c r="R286" s="173"/>
      <c r="S286" s="173"/>
      <c r="T286" s="174">
        <v>46300</v>
      </c>
      <c r="U286" s="151"/>
      <c r="V286" s="152"/>
      <c r="W286" s="175"/>
      <c r="X286" s="173"/>
      <c r="Y286" s="173"/>
      <c r="Z286" s="176" t="str">
        <f>IF(B286="","",IF(S286&lt;&gt;"","Sevk Edildi",IF(AND(X286&lt;&gt;"",Y286=""),"Reworkte",IF(T286&lt;&gt;"","Kapandı"&amp;IF(COUNT(G286:R286)=0,""," – "&amp;LOOKUP(2,1/(G286:R286=MAX(G286:R286)),{"Tasarım","Ply Cutter","Üretim","Kalite (Üretim sonrası)","Talaşlı","Kalite (Talaşlı sonrası)","Montaj","Kalite (Montaj sonrası)","Boya","Kalite (Boya sonrası)","Yarı Mamül","KM"})),IF(COUNT(G286:R286)=0,"Başlamadı",LOOKUP(2,1/(G286:R286=MAX(G286:R286)),{"Tasarımda","Ply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286" s="177">
        <f t="shared" ca="1" si="70"/>
        <v>3</v>
      </c>
      <c r="AB286" s="175"/>
      <c r="AD286" t="str">
        <f>IF(OR($B286="",NOT(ISNUMBER(G286))),"",IF(COUNTIF(H286:$T286,G286)&gt;0,0,IF(COUNTIF($G286:$T286,"&gt;"&amp;G286)=0,"",SMALL($G286:$T286,COUNTIF($G286:$T286,"&lt;="&amp;G286)+1)-G286)))</f>
        <v/>
      </c>
      <c r="AE286" t="str">
        <f>IF(OR($B286="",NOT(ISNUMBER(H286))),"",IF(COUNTIF(I286:$T286,H286)&gt;0,0,IF(COUNTIF($G286:$T286,"&gt;"&amp;H286)=0,"",SMALL($G286:$T286,COUNTIF($G286:$T286,"&lt;="&amp;H286)+1)-H286)))</f>
        <v/>
      </c>
      <c r="AF286" t="str">
        <f>IF(OR($B286="",NOT(ISNUMBER(I286))),"",IF(COUNTIF(J286:$T286,I286)&gt;0,0,IF(COUNTIF($G286:$T286,"&gt;"&amp;I286)=0,"",SMALL($G286:$T286,COUNTIF($G286:$T286,"&lt;="&amp;I286)+1)-I286)))</f>
        <v/>
      </c>
      <c r="AG286" t="str">
        <f>IF(OR($B286="",NOT(ISNUMBER(J286))),"",IF(COUNTIF(K286:$T286,J286)&gt;0,0,IF(COUNTIF($G286:$T286,"&gt;"&amp;J286)=0,"",SMALL($G286:$T286,COUNTIF($G286:$T286,"&lt;="&amp;J286)+1)-J286)))</f>
        <v/>
      </c>
      <c r="AH286" t="str">
        <f>IF(OR($B286="",NOT(ISNUMBER(K286))),"",IF(COUNTIF(L286:$T286,K286)&gt;0,0,IF(COUNTIF($G286:$T286,"&gt;"&amp;K286)=0,"",SMALL($G286:$T286,COUNTIF($G286:$T286,"&lt;="&amp;K286)+1)-K286)))</f>
        <v/>
      </c>
      <c r="AI286" t="str">
        <f>IF(OR($B286="",NOT(ISNUMBER(L286))),"",IF(COUNTIF(M286:$T286,L286)&gt;0,0,IF(COUNTIF($G286:$T286,"&gt;"&amp;L286)=0,"",SMALL($G286:$T286,COUNTIF($G286:$T286,"&lt;="&amp;L286)+1)-L286)))</f>
        <v/>
      </c>
      <c r="AJ286" t="str">
        <f>IF(OR($B286="",NOT(ISNUMBER(M286))),"",IF(COUNTIF(N286:$T286,M286)&gt;0,0,IF(COUNTIF($G286:$T286,"&gt;"&amp;M286)=0,"",SMALL($G286:$T286,COUNTIF($G286:$T286,"&lt;="&amp;M286)+1)-M286)))</f>
        <v/>
      </c>
      <c r="AK286" t="str">
        <f>IF(OR($B286="",NOT(ISNUMBER(N286))),"",IF(COUNTIF(O286:$T286,N286)&gt;0,0,IF(COUNTIF($G286:$T286,"&gt;"&amp;N286)=0,"",SMALL($G286:$T286,COUNTIF($G286:$T286,"&lt;="&amp;N286)+1)-N286)))</f>
        <v/>
      </c>
      <c r="AL286">
        <f>IF(OR($B286="",NOT(ISNUMBER(O286))),"",IF(COUNTIF(P286:$T286,O286)&gt;0,0,IF(COUNTIF($G286:$T286,"&gt;"&amp;O286)=0,"",SMALL($G286:$T286,COUNTIF($G286:$T286,"&lt;="&amp;O286)+1)-O286)))</f>
        <v>3</v>
      </c>
      <c r="AM286">
        <f>IF(OR($B286="",NOT(ISNUMBER(P286))),"",IF(COUNTIF(Q286:$T286,P286)&gt;0,0,IF(COUNTIF($G286:$T286,"&gt;"&amp;P286)=0,"",SMALL($G286:$T286,COUNTIF($G286:$T286,"&lt;="&amp;P286)+1)-P286)))</f>
        <v>0</v>
      </c>
      <c r="AN286" t="str">
        <f>IF(OR($B286="",NOT(ISNUMBER(Q286))),"",IF(COUNTIF(R286:$T286,Q286)&gt;0,0,IF(COUNTIF($G286:$T286,"&gt;"&amp;Q286)=0,"",SMALL($G286:$T286,COUNTIF($G286:$T286,"&lt;="&amp;Q286)+1)-Q286)))</f>
        <v/>
      </c>
      <c r="AO286" t="str">
        <f>IF(OR($B286="",NOT(ISNUMBER(R286))),"",IF(COUNTIF(S286:$T286,R286)&gt;0,0,IF(COUNTIF($G286:$T286,"&gt;"&amp;R286)=0,"",SMALL($G286:$T286,COUNTIF($G286:$T286,"&lt;="&amp;R286)+1)-R286)))</f>
        <v/>
      </c>
      <c r="AP286">
        <f t="shared" ca="1" si="71"/>
        <v>0</v>
      </c>
      <c r="AQ286" s="25" t="str">
        <f t="shared" si="72"/>
        <v/>
      </c>
      <c r="AR286" s="25" t="str">
        <f t="shared" si="73"/>
        <v/>
      </c>
      <c r="AS286" s="25" t="str">
        <f t="shared" si="74"/>
        <v/>
      </c>
      <c r="AT286" s="25" t="str">
        <f t="shared" si="75"/>
        <v/>
      </c>
      <c r="AU286" s="25" t="str">
        <f t="shared" si="76"/>
        <v/>
      </c>
      <c r="AV286" s="25" t="str">
        <f t="shared" si="77"/>
        <v/>
      </c>
      <c r="AW286" s="25" t="str">
        <f t="shared" si="78"/>
        <v/>
      </c>
      <c r="AX286" s="25" t="str">
        <f t="shared" si="79"/>
        <v/>
      </c>
      <c r="AY286" s="25">
        <f t="shared" si="80"/>
        <v>46300</v>
      </c>
      <c r="AZ286" s="25">
        <f t="shared" si="81"/>
        <v>46300</v>
      </c>
      <c r="BA286" s="25" t="str">
        <f t="shared" si="82"/>
        <v/>
      </c>
      <c r="BB286" s="25" t="str">
        <f t="shared" si="83"/>
        <v/>
      </c>
      <c r="BC286" s="25">
        <f t="shared" si="84"/>
        <v>46300</v>
      </c>
    </row>
    <row r="287" spans="1:55" x14ac:dyDescent="0.25">
      <c r="A287" s="151">
        <f t="shared" si="69"/>
        <v>285</v>
      </c>
      <c r="B287" s="151" t="s">
        <v>465</v>
      </c>
      <c r="C287" s="152" t="s">
        <v>466</v>
      </c>
      <c r="D287" s="151">
        <f t="shared" si="68"/>
        <v>2</v>
      </c>
      <c r="E287" s="151" t="s">
        <v>61</v>
      </c>
      <c r="F287" s="173">
        <v>46297</v>
      </c>
      <c r="G287" s="173"/>
      <c r="H287" s="173"/>
      <c r="I287" s="173">
        <v>46297</v>
      </c>
      <c r="J287" s="173">
        <v>46298</v>
      </c>
      <c r="K287" s="173"/>
      <c r="L287" s="173"/>
      <c r="M287" s="173"/>
      <c r="N287" s="173"/>
      <c r="O287" s="173"/>
      <c r="P287" s="173"/>
      <c r="Q287" s="173"/>
      <c r="R287" s="173"/>
      <c r="S287" s="173"/>
      <c r="T287" s="174">
        <v>46298</v>
      </c>
      <c r="U287" s="151"/>
      <c r="V287" s="152"/>
      <c r="W287" s="175"/>
      <c r="X287" s="173"/>
      <c r="Y287" s="173"/>
      <c r="Z287" s="176" t="str">
        <f>IF(B287="","",IF(S287&lt;&gt;"","Sevk Edildi",IF(AND(X287&lt;&gt;"",Y287=""),"Reworkte",IF(T287&lt;&gt;"","Kapandı"&amp;IF(COUNT(G287:R287)=0,""," – "&amp;LOOKUP(2,1/(G287:R287=MAX(G287:R287)),{"Tasarım","Ply Cutter","Üretim","Kalite (Üretim sonrası)","Talaşlı","Kalite (Talaşlı sonrası)","Montaj","Kalite (Montaj sonrası)","Boya","Kalite (Boya sonrası)","Yarı Mamül","KM"})),IF(COUNT(G287:R287)=0,"Başlamadı",LOOKUP(2,1/(G287:R287=MAX(G287:R287)),{"Tasarımda","Ply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87" s="177">
        <f t="shared" ca="1" si="70"/>
        <v>1</v>
      </c>
      <c r="AB287" s="175"/>
      <c r="AD287" t="str">
        <f>IF(OR($B287="",NOT(ISNUMBER(G287))),"",IF(COUNTIF(H287:$T287,G287)&gt;0,0,IF(COUNTIF($G287:$T287,"&gt;"&amp;G287)=0,"",SMALL($G287:$T287,COUNTIF($G287:$T287,"&lt;="&amp;G287)+1)-G287)))</f>
        <v/>
      </c>
      <c r="AE287" t="str">
        <f>IF(OR($B287="",NOT(ISNUMBER(H287))),"",IF(COUNTIF(I287:$T287,H287)&gt;0,0,IF(COUNTIF($G287:$T287,"&gt;"&amp;H287)=0,"",SMALL($G287:$T287,COUNTIF($G287:$T287,"&lt;="&amp;H287)+1)-H287)))</f>
        <v/>
      </c>
      <c r="AF287">
        <f>IF(OR($B287="",NOT(ISNUMBER(I287))),"",IF(COUNTIF(J287:$T287,I287)&gt;0,0,IF(COUNTIF($G287:$T287,"&gt;"&amp;I287)=0,"",SMALL($G287:$T287,COUNTIF($G287:$T287,"&lt;="&amp;I287)+1)-I287)))</f>
        <v>1</v>
      </c>
      <c r="AG287">
        <f>IF(OR($B287="",NOT(ISNUMBER(J287))),"",IF(COUNTIF(K287:$T287,J287)&gt;0,0,IF(COUNTIF($G287:$T287,"&gt;"&amp;J287)=0,"",SMALL($G287:$T287,COUNTIF($G287:$T287,"&lt;="&amp;J287)+1)-J287)))</f>
        <v>0</v>
      </c>
      <c r="AH287" t="str">
        <f>IF(OR($B287="",NOT(ISNUMBER(K287))),"",IF(COUNTIF(L287:$T287,K287)&gt;0,0,IF(COUNTIF($G287:$T287,"&gt;"&amp;K287)=0,"",SMALL($G287:$T287,COUNTIF($G287:$T287,"&lt;="&amp;K287)+1)-K287)))</f>
        <v/>
      </c>
      <c r="AI287" t="str">
        <f>IF(OR($B287="",NOT(ISNUMBER(L287))),"",IF(COUNTIF(M287:$T287,L287)&gt;0,0,IF(COUNTIF($G287:$T287,"&gt;"&amp;L287)=0,"",SMALL($G287:$T287,COUNTIF($G287:$T287,"&lt;="&amp;L287)+1)-L287)))</f>
        <v/>
      </c>
      <c r="AJ287" t="str">
        <f>IF(OR($B287="",NOT(ISNUMBER(M287))),"",IF(COUNTIF(N287:$T287,M287)&gt;0,0,IF(COUNTIF($G287:$T287,"&gt;"&amp;M287)=0,"",SMALL($G287:$T287,COUNTIF($G287:$T287,"&lt;="&amp;M287)+1)-M287)))</f>
        <v/>
      </c>
      <c r="AK287" t="str">
        <f>IF(OR($B287="",NOT(ISNUMBER(N287))),"",IF(COUNTIF(O287:$T287,N287)&gt;0,0,IF(COUNTIF($G287:$T287,"&gt;"&amp;N287)=0,"",SMALL($G287:$T287,COUNTIF($G287:$T287,"&lt;="&amp;N287)+1)-N287)))</f>
        <v/>
      </c>
      <c r="AL287" t="str">
        <f>IF(OR($B287="",NOT(ISNUMBER(O287))),"",IF(COUNTIF(P287:$T287,O287)&gt;0,0,IF(COUNTIF($G287:$T287,"&gt;"&amp;O287)=0,"",SMALL($G287:$T287,COUNTIF($G287:$T287,"&lt;="&amp;O287)+1)-O287)))</f>
        <v/>
      </c>
      <c r="AM287" t="str">
        <f>IF(OR($B287="",NOT(ISNUMBER(P287))),"",IF(COUNTIF(Q287:$T287,P287)&gt;0,0,IF(COUNTIF($G287:$T287,"&gt;"&amp;P287)=0,"",SMALL($G287:$T287,COUNTIF($G287:$T287,"&lt;="&amp;P287)+1)-P287)))</f>
        <v/>
      </c>
      <c r="AN287" t="str">
        <f>IF(OR($B287="",NOT(ISNUMBER(Q287))),"",IF(COUNTIF(R287:$T287,Q287)&gt;0,0,IF(COUNTIF($G287:$T287,"&gt;"&amp;Q287)=0,"",SMALL($G287:$T287,COUNTIF($G287:$T287,"&lt;="&amp;Q287)+1)-Q287)))</f>
        <v/>
      </c>
      <c r="AO287" t="str">
        <f>IF(OR($B287="",NOT(ISNUMBER(R287))),"",IF(COUNTIF(S287:$T287,R287)&gt;0,0,IF(COUNTIF($G287:$T287,"&gt;"&amp;R287)=0,"",SMALL($G287:$T287,COUNTIF($G287:$T287,"&lt;="&amp;R287)+1)-R287)))</f>
        <v/>
      </c>
      <c r="AP287">
        <f t="shared" ca="1" si="71"/>
        <v>0</v>
      </c>
      <c r="AQ287" s="25" t="str">
        <f t="shared" si="72"/>
        <v/>
      </c>
      <c r="AR287" s="25" t="str">
        <f t="shared" si="73"/>
        <v/>
      </c>
      <c r="AS287" s="25">
        <f t="shared" si="74"/>
        <v>46298</v>
      </c>
      <c r="AT287" s="25">
        <f t="shared" si="75"/>
        <v>46298</v>
      </c>
      <c r="AU287" s="25" t="str">
        <f t="shared" si="76"/>
        <v/>
      </c>
      <c r="AV287" s="25" t="str">
        <f t="shared" si="77"/>
        <v/>
      </c>
      <c r="AW287" s="25" t="str">
        <f t="shared" si="78"/>
        <v/>
      </c>
      <c r="AX287" s="25" t="str">
        <f t="shared" si="79"/>
        <v/>
      </c>
      <c r="AY287" s="25" t="str">
        <f t="shared" si="80"/>
        <v/>
      </c>
      <c r="AZ287" s="25" t="str">
        <f t="shared" si="81"/>
        <v/>
      </c>
      <c r="BA287" s="25" t="str">
        <f t="shared" si="82"/>
        <v/>
      </c>
      <c r="BB287" s="25" t="str">
        <f t="shared" si="83"/>
        <v/>
      </c>
      <c r="BC287" s="25">
        <f t="shared" si="84"/>
        <v>46298</v>
      </c>
    </row>
    <row r="288" spans="1:55" x14ac:dyDescent="0.25">
      <c r="A288" s="151">
        <f t="shared" si="69"/>
        <v>286</v>
      </c>
      <c r="B288" s="151" t="s">
        <v>467</v>
      </c>
      <c r="C288" s="152" t="s">
        <v>468</v>
      </c>
      <c r="D288" s="151">
        <f t="shared" si="68"/>
        <v>11</v>
      </c>
      <c r="E288" s="151" t="s">
        <v>61</v>
      </c>
      <c r="F288" s="173">
        <v>46297</v>
      </c>
      <c r="G288" s="173"/>
      <c r="H288" s="173">
        <v>46297</v>
      </c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4">
        <v>46297</v>
      </c>
      <c r="U288" s="151"/>
      <c r="V288" s="152"/>
      <c r="W288" s="175"/>
      <c r="X288" s="173"/>
      <c r="Y288" s="173"/>
      <c r="Z288" s="176" t="str">
        <f>IF(B288="","",IF(S288&lt;&gt;"","Sevk Edildi",IF(AND(X288&lt;&gt;"",Y288=""),"Reworkte",IF(T288&lt;&gt;"","Kapandı"&amp;IF(COUNT(G288:R288)=0,""," – "&amp;LOOKUP(2,1/(G288:R288=MAX(G288:R288)),{"Tasarım","Ply Cutter","Üretim","Kalite (Üretim sonrası)","Talaşlı","Kalite (Talaşlı sonrası)","Montaj","Kalite (Montaj sonrası)","Boya","Kalite (Boya sonrası)","Yarı Mamül","KM"})),IF(COUNT(G288:R288)=0,"Başlamadı",LOOKUP(2,1/(G288:R288=MAX(G288:R288)),{"Tasarımda","Ply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288" s="177">
        <f t="shared" ca="1" si="70"/>
        <v>0</v>
      </c>
      <c r="AB288" s="175"/>
      <c r="AD288" t="str">
        <f>IF(OR($B288="",NOT(ISNUMBER(G288))),"",IF(COUNTIF(H288:$T288,G288)&gt;0,0,IF(COUNTIF($G288:$T288,"&gt;"&amp;G288)=0,"",SMALL($G288:$T288,COUNTIF($G288:$T288,"&lt;="&amp;G288)+1)-G288)))</f>
        <v/>
      </c>
      <c r="AE288">
        <f>IF(OR($B288="",NOT(ISNUMBER(H288))),"",IF(COUNTIF(I288:$T288,H288)&gt;0,0,IF(COUNTIF($G288:$T288,"&gt;"&amp;H288)=0,"",SMALL($G288:$T288,COUNTIF($G288:$T288,"&lt;="&amp;H288)+1)-H288)))</f>
        <v>0</v>
      </c>
      <c r="AF288" t="str">
        <f>IF(OR($B288="",NOT(ISNUMBER(I288))),"",IF(COUNTIF(J288:$T288,I288)&gt;0,0,IF(COUNTIF($G288:$T288,"&gt;"&amp;I288)=0,"",SMALL($G288:$T288,COUNTIF($G288:$T288,"&lt;="&amp;I288)+1)-I288)))</f>
        <v/>
      </c>
      <c r="AG288" t="str">
        <f>IF(OR($B288="",NOT(ISNUMBER(J288))),"",IF(COUNTIF(K288:$T288,J288)&gt;0,0,IF(COUNTIF($G288:$T288,"&gt;"&amp;J288)=0,"",SMALL($G288:$T288,COUNTIF($G288:$T288,"&lt;="&amp;J288)+1)-J288)))</f>
        <v/>
      </c>
      <c r="AH288" t="str">
        <f>IF(OR($B288="",NOT(ISNUMBER(K288))),"",IF(COUNTIF(L288:$T288,K288)&gt;0,0,IF(COUNTIF($G288:$T288,"&gt;"&amp;K288)=0,"",SMALL($G288:$T288,COUNTIF($G288:$T288,"&lt;="&amp;K288)+1)-K288)))</f>
        <v/>
      </c>
      <c r="AI288" t="str">
        <f>IF(OR($B288="",NOT(ISNUMBER(L288))),"",IF(COUNTIF(M288:$T288,L288)&gt;0,0,IF(COUNTIF($G288:$T288,"&gt;"&amp;L288)=0,"",SMALL($G288:$T288,COUNTIF($G288:$T288,"&lt;="&amp;L288)+1)-L288)))</f>
        <v/>
      </c>
      <c r="AJ288" t="str">
        <f>IF(OR($B288="",NOT(ISNUMBER(M288))),"",IF(COUNTIF(N288:$T288,M288)&gt;0,0,IF(COUNTIF($G288:$T288,"&gt;"&amp;M288)=0,"",SMALL($G288:$T288,COUNTIF($G288:$T288,"&lt;="&amp;M288)+1)-M288)))</f>
        <v/>
      </c>
      <c r="AK288" t="str">
        <f>IF(OR($B288="",NOT(ISNUMBER(N288))),"",IF(COUNTIF(O288:$T288,N288)&gt;0,0,IF(COUNTIF($G288:$T288,"&gt;"&amp;N288)=0,"",SMALL($G288:$T288,COUNTIF($G288:$T288,"&lt;="&amp;N288)+1)-N288)))</f>
        <v/>
      </c>
      <c r="AL288" t="str">
        <f>IF(OR($B288="",NOT(ISNUMBER(O288))),"",IF(COUNTIF(P288:$T288,O288)&gt;0,0,IF(COUNTIF($G288:$T288,"&gt;"&amp;O288)=0,"",SMALL($G288:$T288,COUNTIF($G288:$T288,"&lt;="&amp;O288)+1)-O288)))</f>
        <v/>
      </c>
      <c r="AM288" t="str">
        <f>IF(OR($B288="",NOT(ISNUMBER(P288))),"",IF(COUNTIF(Q288:$T288,P288)&gt;0,0,IF(COUNTIF($G288:$T288,"&gt;"&amp;P288)=0,"",SMALL($G288:$T288,COUNTIF($G288:$T288,"&lt;="&amp;P288)+1)-P288)))</f>
        <v/>
      </c>
      <c r="AN288" t="str">
        <f>IF(OR($B288="",NOT(ISNUMBER(Q288))),"",IF(COUNTIF(R288:$T288,Q288)&gt;0,0,IF(COUNTIF($G288:$T288,"&gt;"&amp;Q288)=0,"",SMALL($G288:$T288,COUNTIF($G288:$T288,"&lt;="&amp;Q288)+1)-Q288)))</f>
        <v/>
      </c>
      <c r="AO288" t="str">
        <f>IF(OR($B288="",NOT(ISNUMBER(R288))),"",IF(COUNTIF(S288:$T288,R288)&gt;0,0,IF(COUNTIF($G288:$T288,"&gt;"&amp;R288)=0,"",SMALL($G288:$T288,COUNTIF($G288:$T288,"&lt;="&amp;R288)+1)-R288)))</f>
        <v/>
      </c>
      <c r="AP288">
        <f t="shared" ca="1" si="71"/>
        <v>0</v>
      </c>
      <c r="AQ288" s="25" t="str">
        <f t="shared" si="72"/>
        <v/>
      </c>
      <c r="AR288" s="25">
        <f t="shared" si="73"/>
        <v>46297</v>
      </c>
      <c r="AS288" s="25" t="str">
        <f t="shared" si="74"/>
        <v/>
      </c>
      <c r="AT288" s="25" t="str">
        <f t="shared" si="75"/>
        <v/>
      </c>
      <c r="AU288" s="25" t="str">
        <f t="shared" si="76"/>
        <v/>
      </c>
      <c r="AV288" s="25" t="str">
        <f t="shared" si="77"/>
        <v/>
      </c>
      <c r="AW288" s="25" t="str">
        <f t="shared" si="78"/>
        <v/>
      </c>
      <c r="AX288" s="25" t="str">
        <f t="shared" si="79"/>
        <v/>
      </c>
      <c r="AY288" s="25" t="str">
        <f t="shared" si="80"/>
        <v/>
      </c>
      <c r="AZ288" s="25" t="str">
        <f t="shared" si="81"/>
        <v/>
      </c>
      <c r="BA288" s="25" t="str">
        <f t="shared" si="82"/>
        <v/>
      </c>
      <c r="BB288" s="25" t="str">
        <f t="shared" si="83"/>
        <v/>
      </c>
      <c r="BC288" s="25">
        <f t="shared" si="84"/>
        <v>46297</v>
      </c>
    </row>
    <row r="289" spans="1:55" x14ac:dyDescent="0.25">
      <c r="A289" s="151">
        <f t="shared" si="69"/>
        <v>287</v>
      </c>
      <c r="B289" s="151" t="s">
        <v>469</v>
      </c>
      <c r="C289" s="152" t="s">
        <v>470</v>
      </c>
      <c r="D289" s="151">
        <f t="shared" si="68"/>
        <v>1</v>
      </c>
      <c r="E289" s="151" t="s">
        <v>61</v>
      </c>
      <c r="F289" s="173">
        <v>46297</v>
      </c>
      <c r="G289" s="173"/>
      <c r="H289" s="173"/>
      <c r="I289" s="173">
        <v>46297</v>
      </c>
      <c r="J289" s="173">
        <v>46300</v>
      </c>
      <c r="K289" s="173"/>
      <c r="L289" s="173"/>
      <c r="M289" s="173"/>
      <c r="N289" s="173"/>
      <c r="O289" s="173"/>
      <c r="P289" s="173"/>
      <c r="Q289" s="173"/>
      <c r="R289" s="173"/>
      <c r="S289" s="173"/>
      <c r="T289" s="174">
        <v>46300</v>
      </c>
      <c r="U289" s="151"/>
      <c r="V289" s="152"/>
      <c r="W289" s="175"/>
      <c r="X289" s="173"/>
      <c r="Y289" s="173"/>
      <c r="Z289" s="176" t="str">
        <f>IF(B289="","",IF(S289&lt;&gt;"","Sevk Edildi",IF(AND(X289&lt;&gt;"",Y289=""),"Reworkte",IF(T289&lt;&gt;"","Kapandı"&amp;IF(COUNT(G289:R289)=0,""," – "&amp;LOOKUP(2,1/(G289:R289=MAX(G289:R289)),{"Tasarım","Ply Cutter","Üretim","Kalite (Üretim sonrası)","Talaşlı","Kalite (Talaşlı sonrası)","Montaj","Kalite (Montaj sonrası)","Boya","Kalite (Boya sonrası)","Yarı Mamül","KM"})),IF(COUNT(G289:R289)=0,"Başlamadı",LOOKUP(2,1/(G289:R289=MAX(G289:R289)),{"Tasarımda","Ply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89" s="177">
        <f t="shared" ca="1" si="70"/>
        <v>3</v>
      </c>
      <c r="AB289" s="175"/>
      <c r="AD289" t="str">
        <f>IF(OR($B289="",NOT(ISNUMBER(G289))),"",IF(COUNTIF(H289:$T289,G289)&gt;0,0,IF(COUNTIF($G289:$T289,"&gt;"&amp;G289)=0,"",SMALL($G289:$T289,COUNTIF($G289:$T289,"&lt;="&amp;G289)+1)-G289)))</f>
        <v/>
      </c>
      <c r="AE289" t="str">
        <f>IF(OR($B289="",NOT(ISNUMBER(H289))),"",IF(COUNTIF(I289:$T289,H289)&gt;0,0,IF(COUNTIF($G289:$T289,"&gt;"&amp;H289)=0,"",SMALL($G289:$T289,COUNTIF($G289:$T289,"&lt;="&amp;H289)+1)-H289)))</f>
        <v/>
      </c>
      <c r="AF289">
        <f>IF(OR($B289="",NOT(ISNUMBER(I289))),"",IF(COUNTIF(J289:$T289,I289)&gt;0,0,IF(COUNTIF($G289:$T289,"&gt;"&amp;I289)=0,"",SMALL($G289:$T289,COUNTIF($G289:$T289,"&lt;="&amp;I289)+1)-I289)))</f>
        <v>3</v>
      </c>
      <c r="AG289">
        <f>IF(OR($B289="",NOT(ISNUMBER(J289))),"",IF(COUNTIF(K289:$T289,J289)&gt;0,0,IF(COUNTIF($G289:$T289,"&gt;"&amp;J289)=0,"",SMALL($G289:$T289,COUNTIF($G289:$T289,"&lt;="&amp;J289)+1)-J289)))</f>
        <v>0</v>
      </c>
      <c r="AH289" t="str">
        <f>IF(OR($B289="",NOT(ISNUMBER(K289))),"",IF(COUNTIF(L289:$T289,K289)&gt;0,0,IF(COUNTIF($G289:$T289,"&gt;"&amp;K289)=0,"",SMALL($G289:$T289,COUNTIF($G289:$T289,"&lt;="&amp;K289)+1)-K289)))</f>
        <v/>
      </c>
      <c r="AI289" t="str">
        <f>IF(OR($B289="",NOT(ISNUMBER(L289))),"",IF(COUNTIF(M289:$T289,L289)&gt;0,0,IF(COUNTIF($G289:$T289,"&gt;"&amp;L289)=0,"",SMALL($G289:$T289,COUNTIF($G289:$T289,"&lt;="&amp;L289)+1)-L289)))</f>
        <v/>
      </c>
      <c r="AJ289" t="str">
        <f>IF(OR($B289="",NOT(ISNUMBER(M289))),"",IF(COUNTIF(N289:$T289,M289)&gt;0,0,IF(COUNTIF($G289:$T289,"&gt;"&amp;M289)=0,"",SMALL($G289:$T289,COUNTIF($G289:$T289,"&lt;="&amp;M289)+1)-M289)))</f>
        <v/>
      </c>
      <c r="AK289" t="str">
        <f>IF(OR($B289="",NOT(ISNUMBER(N289))),"",IF(COUNTIF(O289:$T289,N289)&gt;0,0,IF(COUNTIF($G289:$T289,"&gt;"&amp;N289)=0,"",SMALL($G289:$T289,COUNTIF($G289:$T289,"&lt;="&amp;N289)+1)-N289)))</f>
        <v/>
      </c>
      <c r="AL289" t="str">
        <f>IF(OR($B289="",NOT(ISNUMBER(O289))),"",IF(COUNTIF(P289:$T289,O289)&gt;0,0,IF(COUNTIF($G289:$T289,"&gt;"&amp;O289)=0,"",SMALL($G289:$T289,COUNTIF($G289:$T289,"&lt;="&amp;O289)+1)-O289)))</f>
        <v/>
      </c>
      <c r="AM289" t="str">
        <f>IF(OR($B289="",NOT(ISNUMBER(P289))),"",IF(COUNTIF(Q289:$T289,P289)&gt;0,0,IF(COUNTIF($G289:$T289,"&gt;"&amp;P289)=0,"",SMALL($G289:$T289,COUNTIF($G289:$T289,"&lt;="&amp;P289)+1)-P289)))</f>
        <v/>
      </c>
      <c r="AN289" t="str">
        <f>IF(OR($B289="",NOT(ISNUMBER(Q289))),"",IF(COUNTIF(R289:$T289,Q289)&gt;0,0,IF(COUNTIF($G289:$T289,"&gt;"&amp;Q289)=0,"",SMALL($G289:$T289,COUNTIF($G289:$T289,"&lt;="&amp;Q289)+1)-Q289)))</f>
        <v/>
      </c>
      <c r="AO289" t="str">
        <f>IF(OR($B289="",NOT(ISNUMBER(R289))),"",IF(COUNTIF(S289:$T289,R289)&gt;0,0,IF(COUNTIF($G289:$T289,"&gt;"&amp;R289)=0,"",SMALL($G289:$T289,COUNTIF($G289:$T289,"&lt;="&amp;R289)+1)-R289)))</f>
        <v/>
      </c>
      <c r="AP289">
        <f t="shared" ca="1" si="71"/>
        <v>0</v>
      </c>
      <c r="AQ289" s="25" t="str">
        <f t="shared" si="72"/>
        <v/>
      </c>
      <c r="AR289" s="25" t="str">
        <f t="shared" si="73"/>
        <v/>
      </c>
      <c r="AS289" s="25">
        <f t="shared" si="74"/>
        <v>46300</v>
      </c>
      <c r="AT289" s="25">
        <f t="shared" si="75"/>
        <v>46300</v>
      </c>
      <c r="AU289" s="25" t="str">
        <f t="shared" si="76"/>
        <v/>
      </c>
      <c r="AV289" s="25" t="str">
        <f t="shared" si="77"/>
        <v/>
      </c>
      <c r="AW289" s="25" t="str">
        <f t="shared" si="78"/>
        <v/>
      </c>
      <c r="AX289" s="25" t="str">
        <f t="shared" si="79"/>
        <v/>
      </c>
      <c r="AY289" s="25" t="str">
        <f t="shared" si="80"/>
        <v/>
      </c>
      <c r="AZ289" s="25" t="str">
        <f t="shared" si="81"/>
        <v/>
      </c>
      <c r="BA289" s="25" t="str">
        <f t="shared" si="82"/>
        <v/>
      </c>
      <c r="BB289" s="25" t="str">
        <f t="shared" si="83"/>
        <v/>
      </c>
      <c r="BC289" s="25">
        <f t="shared" si="84"/>
        <v>46300</v>
      </c>
    </row>
    <row r="290" spans="1:55" x14ac:dyDescent="0.25">
      <c r="A290" s="151">
        <f t="shared" si="69"/>
        <v>288</v>
      </c>
      <c r="B290" s="151" t="s">
        <v>471</v>
      </c>
      <c r="C290" s="152" t="s">
        <v>105</v>
      </c>
      <c r="D290" s="151">
        <f t="shared" si="68"/>
        <v>1</v>
      </c>
      <c r="E290" s="151" t="s">
        <v>61</v>
      </c>
      <c r="F290" s="173">
        <v>46297</v>
      </c>
      <c r="G290" s="173"/>
      <c r="H290" s="173"/>
      <c r="I290" s="173">
        <v>46297</v>
      </c>
      <c r="J290" s="173">
        <v>46297</v>
      </c>
      <c r="K290" s="173">
        <v>46298</v>
      </c>
      <c r="L290" s="173">
        <v>46300</v>
      </c>
      <c r="M290" s="173"/>
      <c r="N290" s="173"/>
      <c r="O290" s="173"/>
      <c r="P290" s="173"/>
      <c r="Q290" s="173"/>
      <c r="R290" s="173"/>
      <c r="S290" s="173"/>
      <c r="T290" s="174">
        <v>46300</v>
      </c>
      <c r="U290" s="151"/>
      <c r="V290" s="152"/>
      <c r="W290" s="175"/>
      <c r="X290" s="173"/>
      <c r="Y290" s="173"/>
      <c r="Z290" s="176" t="str">
        <f>IF(B290="","",IF(S290&lt;&gt;"","Sevk Edildi",IF(AND(X290&lt;&gt;"",Y290=""),"Reworkte",IF(T290&lt;&gt;"","Kapandı"&amp;IF(COUNT(G290:R290)=0,""," – "&amp;LOOKUP(2,1/(G290:R290=MAX(G290:R290)),{"Tasarım","Ply Cutter","Üretim","Kalite (Üretim sonrası)","Talaşlı","Kalite (Talaşlı sonrası)","Montaj","Kalite (Montaj sonrası)","Boya","Kalite (Boya sonrası)","Yarı Mamül","KM"})),IF(COUNT(G290:R290)=0,"Başlamadı",LOOKUP(2,1/(G290:R290=MAX(G290:R290)),{"Tasarımda","Ply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290" s="177">
        <f t="shared" ca="1" si="70"/>
        <v>3</v>
      </c>
      <c r="AB290" s="175"/>
      <c r="AD290" t="str">
        <f>IF(OR($B290="",NOT(ISNUMBER(G290))),"",IF(COUNTIF(H290:$T290,G290)&gt;0,0,IF(COUNTIF($G290:$T290,"&gt;"&amp;G290)=0,"",SMALL($G290:$T290,COUNTIF($G290:$T290,"&lt;="&amp;G290)+1)-G290)))</f>
        <v/>
      </c>
      <c r="AE290" t="str">
        <f>IF(OR($B290="",NOT(ISNUMBER(H290))),"",IF(COUNTIF(I290:$T290,H290)&gt;0,0,IF(COUNTIF($G290:$T290,"&gt;"&amp;H290)=0,"",SMALL($G290:$T290,COUNTIF($G290:$T290,"&lt;="&amp;H290)+1)-H290)))</f>
        <v/>
      </c>
      <c r="AF290">
        <f>IF(OR($B290="",NOT(ISNUMBER(I290))),"",IF(COUNTIF(J290:$T290,I290)&gt;0,0,IF(COUNTIF($G290:$T290,"&gt;"&amp;I290)=0,"",SMALL($G290:$T290,COUNTIF($G290:$T290,"&lt;="&amp;I290)+1)-I290)))</f>
        <v>0</v>
      </c>
      <c r="AG290">
        <f>IF(OR($B290="",NOT(ISNUMBER(J290))),"",IF(COUNTIF(K290:$T290,J290)&gt;0,0,IF(COUNTIF($G290:$T290,"&gt;"&amp;J290)=0,"",SMALL($G290:$T290,COUNTIF($G290:$T290,"&lt;="&amp;J290)+1)-J290)))</f>
        <v>1</v>
      </c>
      <c r="AH290">
        <f>IF(OR($B290="",NOT(ISNUMBER(K290))),"",IF(COUNTIF(L290:$T290,K290)&gt;0,0,IF(COUNTIF($G290:$T290,"&gt;"&amp;K290)=0,"",SMALL($G290:$T290,COUNTIF($G290:$T290,"&lt;="&amp;K290)+1)-K290)))</f>
        <v>2</v>
      </c>
      <c r="AI290">
        <f>IF(OR($B290="",NOT(ISNUMBER(L290))),"",IF(COUNTIF(M290:$T290,L290)&gt;0,0,IF(COUNTIF($G290:$T290,"&gt;"&amp;L290)=0,"",SMALL($G290:$T290,COUNTIF($G290:$T290,"&lt;="&amp;L290)+1)-L290)))</f>
        <v>0</v>
      </c>
      <c r="AJ290" t="str">
        <f>IF(OR($B290="",NOT(ISNUMBER(M290))),"",IF(COUNTIF(N290:$T290,M290)&gt;0,0,IF(COUNTIF($G290:$T290,"&gt;"&amp;M290)=0,"",SMALL($G290:$T290,COUNTIF($G290:$T290,"&lt;="&amp;M290)+1)-M290)))</f>
        <v/>
      </c>
      <c r="AK290" t="str">
        <f>IF(OR($B290="",NOT(ISNUMBER(N290))),"",IF(COUNTIF(O290:$T290,N290)&gt;0,0,IF(COUNTIF($G290:$T290,"&gt;"&amp;N290)=0,"",SMALL($G290:$T290,COUNTIF($G290:$T290,"&lt;="&amp;N290)+1)-N290)))</f>
        <v/>
      </c>
      <c r="AL290" t="str">
        <f>IF(OR($B290="",NOT(ISNUMBER(O290))),"",IF(COUNTIF(P290:$T290,O290)&gt;0,0,IF(COUNTIF($G290:$T290,"&gt;"&amp;O290)=0,"",SMALL($G290:$T290,COUNTIF($G290:$T290,"&lt;="&amp;O290)+1)-O290)))</f>
        <v/>
      </c>
      <c r="AM290" t="str">
        <f>IF(OR($B290="",NOT(ISNUMBER(P290))),"",IF(COUNTIF(Q290:$T290,P290)&gt;0,0,IF(COUNTIF($G290:$T290,"&gt;"&amp;P290)=0,"",SMALL($G290:$T290,COUNTIF($G290:$T290,"&lt;="&amp;P290)+1)-P290)))</f>
        <v/>
      </c>
      <c r="AN290" t="str">
        <f>IF(OR($B290="",NOT(ISNUMBER(Q290))),"",IF(COUNTIF(R290:$T290,Q290)&gt;0,0,IF(COUNTIF($G290:$T290,"&gt;"&amp;Q290)=0,"",SMALL($G290:$T290,COUNTIF($G290:$T290,"&lt;="&amp;Q290)+1)-Q290)))</f>
        <v/>
      </c>
      <c r="AO290" t="str">
        <f>IF(OR($B290="",NOT(ISNUMBER(R290))),"",IF(COUNTIF(S290:$T290,R290)&gt;0,0,IF(COUNTIF($G290:$T290,"&gt;"&amp;R290)=0,"",SMALL($G290:$T290,COUNTIF($G290:$T290,"&lt;="&amp;R290)+1)-R290)))</f>
        <v/>
      </c>
      <c r="AP290">
        <f t="shared" ca="1" si="71"/>
        <v>0</v>
      </c>
      <c r="AQ290" s="25" t="str">
        <f t="shared" si="72"/>
        <v/>
      </c>
      <c r="AR290" s="25" t="str">
        <f t="shared" si="73"/>
        <v/>
      </c>
      <c r="AS290" s="25">
        <f t="shared" si="74"/>
        <v>46297</v>
      </c>
      <c r="AT290" s="25">
        <f t="shared" si="75"/>
        <v>46298</v>
      </c>
      <c r="AU290" s="25">
        <f t="shared" si="76"/>
        <v>46300</v>
      </c>
      <c r="AV290" s="25">
        <f t="shared" si="77"/>
        <v>46300</v>
      </c>
      <c r="AW290" s="25" t="str">
        <f t="shared" si="78"/>
        <v/>
      </c>
      <c r="AX290" s="25" t="str">
        <f t="shared" si="79"/>
        <v/>
      </c>
      <c r="AY290" s="25" t="str">
        <f t="shared" si="80"/>
        <v/>
      </c>
      <c r="AZ290" s="25" t="str">
        <f t="shared" si="81"/>
        <v/>
      </c>
      <c r="BA290" s="25" t="str">
        <f t="shared" si="82"/>
        <v/>
      </c>
      <c r="BB290" s="25" t="str">
        <f t="shared" si="83"/>
        <v/>
      </c>
      <c r="BC290" s="25">
        <f t="shared" si="84"/>
        <v>46300</v>
      </c>
    </row>
    <row r="291" spans="1:55" x14ac:dyDescent="0.25">
      <c r="A291" s="151">
        <f t="shared" si="69"/>
        <v>289</v>
      </c>
      <c r="B291" s="151" t="s">
        <v>472</v>
      </c>
      <c r="C291" s="152" t="s">
        <v>92</v>
      </c>
      <c r="D291" s="151">
        <f t="shared" si="68"/>
        <v>2</v>
      </c>
      <c r="E291" s="151" t="s">
        <v>61</v>
      </c>
      <c r="F291" s="173">
        <v>46297</v>
      </c>
      <c r="G291" s="173"/>
      <c r="H291" s="173"/>
      <c r="I291" s="173">
        <v>46297</v>
      </c>
      <c r="J291" s="173">
        <v>46298</v>
      </c>
      <c r="K291" s="173"/>
      <c r="L291" s="173"/>
      <c r="M291" s="173"/>
      <c r="N291" s="173"/>
      <c r="O291" s="173"/>
      <c r="P291" s="173"/>
      <c r="Q291" s="173">
        <v>46300</v>
      </c>
      <c r="R291" s="173"/>
      <c r="S291" s="173"/>
      <c r="T291" s="174">
        <v>46300</v>
      </c>
      <c r="U291" s="151"/>
      <c r="V291" s="152"/>
      <c r="W291" s="175"/>
      <c r="X291" s="173"/>
      <c r="Y291" s="173"/>
      <c r="Z291" s="176" t="str">
        <f>IF(B291="","",IF(S291&lt;&gt;"","Sevk Edildi",IF(AND(X291&lt;&gt;"",Y291=""),"Reworkte",IF(T291&lt;&gt;"","Kapandı"&amp;IF(COUNT(G291:R291)=0,""," – "&amp;LOOKUP(2,1/(G291:R291=MAX(G291:R291)),{"Tasarım","Ply Cutter","Üretim","Kalite (Üretim sonrası)","Talaşlı","Kalite (Talaşlı sonrası)","Montaj","Kalite (Montaj sonrası)","Boya","Kalite (Boya sonrası)","Yarı Mamül","KM"})),IF(COUNT(G291:R291)=0,"Başlamadı",LOOKUP(2,1/(G291:R291=MAX(G291:R291)),{"Tasarımda","Ply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91" s="177">
        <f t="shared" ca="1" si="70"/>
        <v>3</v>
      </c>
      <c r="AB291" s="175"/>
      <c r="AD291" t="str">
        <f>IF(OR($B291="",NOT(ISNUMBER(G291))),"",IF(COUNTIF(H291:$T291,G291)&gt;0,0,IF(COUNTIF($G291:$T291,"&gt;"&amp;G291)=0,"",SMALL($G291:$T291,COUNTIF($G291:$T291,"&lt;="&amp;G291)+1)-G291)))</f>
        <v/>
      </c>
      <c r="AE291" t="str">
        <f>IF(OR($B291="",NOT(ISNUMBER(H291))),"",IF(COUNTIF(I291:$T291,H291)&gt;0,0,IF(COUNTIF($G291:$T291,"&gt;"&amp;H291)=0,"",SMALL($G291:$T291,COUNTIF($G291:$T291,"&lt;="&amp;H291)+1)-H291)))</f>
        <v/>
      </c>
      <c r="AF291">
        <f>IF(OR($B291="",NOT(ISNUMBER(I291))),"",IF(COUNTIF(J291:$T291,I291)&gt;0,0,IF(COUNTIF($G291:$T291,"&gt;"&amp;I291)=0,"",SMALL($G291:$T291,COUNTIF($G291:$T291,"&lt;="&amp;I291)+1)-I291)))</f>
        <v>1</v>
      </c>
      <c r="AG291">
        <f>IF(OR($B291="",NOT(ISNUMBER(J291))),"",IF(COUNTIF(K291:$T291,J291)&gt;0,0,IF(COUNTIF($G291:$T291,"&gt;"&amp;J291)=0,"",SMALL($G291:$T291,COUNTIF($G291:$T291,"&lt;="&amp;J291)+1)-J291)))</f>
        <v>2</v>
      </c>
      <c r="AH291" t="str">
        <f>IF(OR($B291="",NOT(ISNUMBER(K291))),"",IF(COUNTIF(L291:$T291,K291)&gt;0,0,IF(COUNTIF($G291:$T291,"&gt;"&amp;K291)=0,"",SMALL($G291:$T291,COUNTIF($G291:$T291,"&lt;="&amp;K291)+1)-K291)))</f>
        <v/>
      </c>
      <c r="AI291" t="str">
        <f>IF(OR($B291="",NOT(ISNUMBER(L291))),"",IF(COUNTIF(M291:$T291,L291)&gt;0,0,IF(COUNTIF($G291:$T291,"&gt;"&amp;L291)=0,"",SMALL($G291:$T291,COUNTIF($G291:$T291,"&lt;="&amp;L291)+1)-L291)))</f>
        <v/>
      </c>
      <c r="AJ291" t="str">
        <f>IF(OR($B291="",NOT(ISNUMBER(M291))),"",IF(COUNTIF(N291:$T291,M291)&gt;0,0,IF(COUNTIF($G291:$T291,"&gt;"&amp;M291)=0,"",SMALL($G291:$T291,COUNTIF($G291:$T291,"&lt;="&amp;M291)+1)-M291)))</f>
        <v/>
      </c>
      <c r="AK291" t="str">
        <f>IF(OR($B291="",NOT(ISNUMBER(N291))),"",IF(COUNTIF(O291:$T291,N291)&gt;0,0,IF(COUNTIF($G291:$T291,"&gt;"&amp;N291)=0,"",SMALL($G291:$T291,COUNTIF($G291:$T291,"&lt;="&amp;N291)+1)-N291)))</f>
        <v/>
      </c>
      <c r="AL291" t="str">
        <f>IF(OR($B291="",NOT(ISNUMBER(O291))),"",IF(COUNTIF(P291:$T291,O291)&gt;0,0,IF(COUNTIF($G291:$T291,"&gt;"&amp;O291)=0,"",SMALL($G291:$T291,COUNTIF($G291:$T291,"&lt;="&amp;O291)+1)-O291)))</f>
        <v/>
      </c>
      <c r="AM291" t="str">
        <f>IF(OR($B291="",NOT(ISNUMBER(P291))),"",IF(COUNTIF(Q291:$T291,P291)&gt;0,0,IF(COUNTIF($G291:$T291,"&gt;"&amp;P291)=0,"",SMALL($G291:$T291,COUNTIF($G291:$T291,"&lt;="&amp;P291)+1)-P291)))</f>
        <v/>
      </c>
      <c r="AN291">
        <f>IF(OR($B291="",NOT(ISNUMBER(Q291))),"",IF(COUNTIF(R291:$T291,Q291)&gt;0,0,IF(COUNTIF($G291:$T291,"&gt;"&amp;Q291)=0,"",SMALL($G291:$T291,COUNTIF($G291:$T291,"&lt;="&amp;Q291)+1)-Q291)))</f>
        <v>0</v>
      </c>
      <c r="AO291" t="str">
        <f>IF(OR($B291="",NOT(ISNUMBER(R291))),"",IF(COUNTIF(S291:$T291,R291)&gt;0,0,IF(COUNTIF($G291:$T291,"&gt;"&amp;R291)=0,"",SMALL($G291:$T291,COUNTIF($G291:$T291,"&lt;="&amp;R291)+1)-R291)))</f>
        <v/>
      </c>
      <c r="AP291">
        <f t="shared" ca="1" si="71"/>
        <v>0</v>
      </c>
      <c r="AQ291" s="25" t="str">
        <f t="shared" si="72"/>
        <v/>
      </c>
      <c r="AR291" s="25" t="str">
        <f t="shared" si="73"/>
        <v/>
      </c>
      <c r="AS291" s="25">
        <f t="shared" si="74"/>
        <v>46298</v>
      </c>
      <c r="AT291" s="25">
        <f t="shared" si="75"/>
        <v>46300</v>
      </c>
      <c r="AU291" s="25" t="str">
        <f t="shared" si="76"/>
        <v/>
      </c>
      <c r="AV291" s="25" t="str">
        <f t="shared" si="77"/>
        <v/>
      </c>
      <c r="AW291" s="25" t="str">
        <f t="shared" si="78"/>
        <v/>
      </c>
      <c r="AX291" s="25" t="str">
        <f t="shared" si="79"/>
        <v/>
      </c>
      <c r="AY291" s="25" t="str">
        <f t="shared" si="80"/>
        <v/>
      </c>
      <c r="AZ291" s="25" t="str">
        <f t="shared" si="81"/>
        <v/>
      </c>
      <c r="BA291" s="25">
        <f t="shared" si="82"/>
        <v>46300</v>
      </c>
      <c r="BB291" s="25" t="str">
        <f t="shared" si="83"/>
        <v/>
      </c>
      <c r="BC291" s="25">
        <f t="shared" si="84"/>
        <v>46300</v>
      </c>
    </row>
    <row r="292" spans="1:55" x14ac:dyDescent="0.25">
      <c r="A292" s="151">
        <f t="shared" si="69"/>
        <v>290</v>
      </c>
      <c r="B292" s="151" t="s">
        <v>473</v>
      </c>
      <c r="C292" s="152" t="s">
        <v>74</v>
      </c>
      <c r="D292" s="151">
        <f t="shared" si="68"/>
        <v>1</v>
      </c>
      <c r="E292" s="151" t="s">
        <v>61</v>
      </c>
      <c r="F292" s="173">
        <v>46297</v>
      </c>
      <c r="G292" s="173"/>
      <c r="H292" s="173"/>
      <c r="I292" s="173">
        <v>46297</v>
      </c>
      <c r="J292" s="173">
        <v>46300</v>
      </c>
      <c r="K292" s="173"/>
      <c r="L292" s="173"/>
      <c r="M292" s="173"/>
      <c r="N292" s="173"/>
      <c r="O292" s="173"/>
      <c r="P292" s="173"/>
      <c r="Q292" s="173">
        <v>46300</v>
      </c>
      <c r="R292" s="173"/>
      <c r="S292" s="173"/>
      <c r="T292" s="174">
        <v>46300</v>
      </c>
      <c r="U292" s="151"/>
      <c r="V292" s="152"/>
      <c r="W292" s="175"/>
      <c r="X292" s="173"/>
      <c r="Y292" s="173"/>
      <c r="Z292" s="176" t="str">
        <f>IF(B292="","",IF(S292&lt;&gt;"","Sevk Edildi",IF(AND(X292&lt;&gt;"",Y292=""),"Reworkte",IF(T292&lt;&gt;"","Kapandı"&amp;IF(COUNT(G292:R292)=0,""," – "&amp;LOOKUP(2,1/(G292:R292=MAX(G292:R292)),{"Tasarım","Ply Cutter","Üretim","Kalite (Üretim sonrası)","Talaşlı","Kalite (Talaşlı sonrası)","Montaj","Kalite (Montaj sonrası)","Boya","Kalite (Boya sonrası)","Yarı Mamül","KM"})),IF(COUNT(G292:R292)=0,"Başlamadı",LOOKUP(2,1/(G292:R292=MAX(G292:R292)),{"Tasarımda","Ply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92" s="177">
        <f t="shared" ca="1" si="70"/>
        <v>3</v>
      </c>
      <c r="AB292" s="175"/>
      <c r="AD292" t="str">
        <f>IF(OR($B292="",NOT(ISNUMBER(G292))),"",IF(COUNTIF(H292:$T292,G292)&gt;0,0,IF(COUNTIF($G292:$T292,"&gt;"&amp;G292)=0,"",SMALL($G292:$T292,COUNTIF($G292:$T292,"&lt;="&amp;G292)+1)-G292)))</f>
        <v/>
      </c>
      <c r="AE292" t="str">
        <f>IF(OR($B292="",NOT(ISNUMBER(H292))),"",IF(COUNTIF(I292:$T292,H292)&gt;0,0,IF(COUNTIF($G292:$T292,"&gt;"&amp;H292)=0,"",SMALL($G292:$T292,COUNTIF($G292:$T292,"&lt;="&amp;H292)+1)-H292)))</f>
        <v/>
      </c>
      <c r="AF292">
        <f>IF(OR($B292="",NOT(ISNUMBER(I292))),"",IF(COUNTIF(J292:$T292,I292)&gt;0,0,IF(COUNTIF($G292:$T292,"&gt;"&amp;I292)=0,"",SMALL($G292:$T292,COUNTIF($G292:$T292,"&lt;="&amp;I292)+1)-I292)))</f>
        <v>3</v>
      </c>
      <c r="AG292">
        <f>IF(OR($B292="",NOT(ISNUMBER(J292))),"",IF(COUNTIF(K292:$T292,J292)&gt;0,0,IF(COUNTIF($G292:$T292,"&gt;"&amp;J292)=0,"",SMALL($G292:$T292,COUNTIF($G292:$T292,"&lt;="&amp;J292)+1)-J292)))</f>
        <v>0</v>
      </c>
      <c r="AH292" t="str">
        <f>IF(OR($B292="",NOT(ISNUMBER(K292))),"",IF(COUNTIF(L292:$T292,K292)&gt;0,0,IF(COUNTIF($G292:$T292,"&gt;"&amp;K292)=0,"",SMALL($G292:$T292,COUNTIF($G292:$T292,"&lt;="&amp;K292)+1)-K292)))</f>
        <v/>
      </c>
      <c r="AI292" t="str">
        <f>IF(OR($B292="",NOT(ISNUMBER(L292))),"",IF(COUNTIF(M292:$T292,L292)&gt;0,0,IF(COUNTIF($G292:$T292,"&gt;"&amp;L292)=0,"",SMALL($G292:$T292,COUNTIF($G292:$T292,"&lt;="&amp;L292)+1)-L292)))</f>
        <v/>
      </c>
      <c r="AJ292" t="str">
        <f>IF(OR($B292="",NOT(ISNUMBER(M292))),"",IF(COUNTIF(N292:$T292,M292)&gt;0,0,IF(COUNTIF($G292:$T292,"&gt;"&amp;M292)=0,"",SMALL($G292:$T292,COUNTIF($G292:$T292,"&lt;="&amp;M292)+1)-M292)))</f>
        <v/>
      </c>
      <c r="AK292" t="str">
        <f>IF(OR($B292="",NOT(ISNUMBER(N292))),"",IF(COUNTIF(O292:$T292,N292)&gt;0,0,IF(COUNTIF($G292:$T292,"&gt;"&amp;N292)=0,"",SMALL($G292:$T292,COUNTIF($G292:$T292,"&lt;="&amp;N292)+1)-N292)))</f>
        <v/>
      </c>
      <c r="AL292" t="str">
        <f>IF(OR($B292="",NOT(ISNUMBER(O292))),"",IF(COUNTIF(P292:$T292,O292)&gt;0,0,IF(COUNTIF($G292:$T292,"&gt;"&amp;O292)=0,"",SMALL($G292:$T292,COUNTIF($G292:$T292,"&lt;="&amp;O292)+1)-O292)))</f>
        <v/>
      </c>
      <c r="AM292" t="str">
        <f>IF(OR($B292="",NOT(ISNUMBER(P292))),"",IF(COUNTIF(Q292:$T292,P292)&gt;0,0,IF(COUNTIF($G292:$T292,"&gt;"&amp;P292)=0,"",SMALL($G292:$T292,COUNTIF($G292:$T292,"&lt;="&amp;P292)+1)-P292)))</f>
        <v/>
      </c>
      <c r="AN292">
        <f>IF(OR($B292="",NOT(ISNUMBER(Q292))),"",IF(COUNTIF(R292:$T292,Q292)&gt;0,0,IF(COUNTIF($G292:$T292,"&gt;"&amp;Q292)=0,"",SMALL($G292:$T292,COUNTIF($G292:$T292,"&lt;="&amp;Q292)+1)-Q292)))</f>
        <v>0</v>
      </c>
      <c r="AO292" t="str">
        <f>IF(OR($B292="",NOT(ISNUMBER(R292))),"",IF(COUNTIF(S292:$T292,R292)&gt;0,0,IF(COUNTIF($G292:$T292,"&gt;"&amp;R292)=0,"",SMALL($G292:$T292,COUNTIF($G292:$T292,"&lt;="&amp;R292)+1)-R292)))</f>
        <v/>
      </c>
      <c r="AP292">
        <f t="shared" ca="1" si="71"/>
        <v>0</v>
      </c>
      <c r="AQ292" s="25" t="str">
        <f t="shared" si="72"/>
        <v/>
      </c>
      <c r="AR292" s="25" t="str">
        <f t="shared" si="73"/>
        <v/>
      </c>
      <c r="AS292" s="25">
        <f t="shared" si="74"/>
        <v>46300</v>
      </c>
      <c r="AT292" s="25">
        <f t="shared" si="75"/>
        <v>46300</v>
      </c>
      <c r="AU292" s="25" t="str">
        <f t="shared" si="76"/>
        <v/>
      </c>
      <c r="AV292" s="25" t="str">
        <f t="shared" si="77"/>
        <v/>
      </c>
      <c r="AW292" s="25" t="str">
        <f t="shared" si="78"/>
        <v/>
      </c>
      <c r="AX292" s="25" t="str">
        <f t="shared" si="79"/>
        <v/>
      </c>
      <c r="AY292" s="25" t="str">
        <f t="shared" si="80"/>
        <v/>
      </c>
      <c r="AZ292" s="25" t="str">
        <f t="shared" si="81"/>
        <v/>
      </c>
      <c r="BA292" s="25">
        <f t="shared" si="82"/>
        <v>46300</v>
      </c>
      <c r="BB292" s="25" t="str">
        <f t="shared" si="83"/>
        <v/>
      </c>
      <c r="BC292" s="25">
        <f t="shared" si="84"/>
        <v>46300</v>
      </c>
    </row>
    <row r="293" spans="1:55" x14ac:dyDescent="0.25">
      <c r="A293" s="151">
        <f t="shared" si="69"/>
        <v>291</v>
      </c>
      <c r="B293" s="151" t="s">
        <v>474</v>
      </c>
      <c r="C293" s="152" t="s">
        <v>437</v>
      </c>
      <c r="D293" s="151">
        <f t="shared" si="68"/>
        <v>1</v>
      </c>
      <c r="E293" s="151" t="s">
        <v>61</v>
      </c>
      <c r="F293" s="173">
        <v>46297</v>
      </c>
      <c r="G293" s="173"/>
      <c r="H293" s="173"/>
      <c r="I293" s="173">
        <v>46297</v>
      </c>
      <c r="J293" s="173">
        <v>46301</v>
      </c>
      <c r="K293" s="173"/>
      <c r="L293" s="173"/>
      <c r="M293" s="173"/>
      <c r="N293" s="173"/>
      <c r="O293" s="173"/>
      <c r="P293" s="173"/>
      <c r="Q293" s="173">
        <v>46301</v>
      </c>
      <c r="R293" s="173"/>
      <c r="S293" s="173"/>
      <c r="T293" s="174">
        <v>46301</v>
      </c>
      <c r="U293" s="151"/>
      <c r="V293" s="152"/>
      <c r="W293" s="175"/>
      <c r="X293" s="173"/>
      <c r="Y293" s="173"/>
      <c r="Z293" s="176" t="str">
        <f>IF(B293="","",IF(S293&lt;&gt;"","Sevk Edildi",IF(AND(X293&lt;&gt;"",Y293=""),"Reworkte",IF(T293&lt;&gt;"","Kapandı"&amp;IF(COUNT(G293:R293)=0,""," – "&amp;LOOKUP(2,1/(G293:R293=MAX(G293:R293)),{"Tasarım","Ply Cutter","Üretim","Kalite (Üretim sonrası)","Talaşlı","Kalite (Talaşlı sonrası)","Montaj","Kalite (Montaj sonrası)","Boya","Kalite (Boya sonrası)","Yarı Mamül","KM"})),IF(COUNT(G293:R293)=0,"Başlamadı",LOOKUP(2,1/(G293:R293=MAX(G293:R293)),{"Tasarımda","Ply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93" s="177">
        <f t="shared" ca="1" si="70"/>
        <v>4</v>
      </c>
      <c r="AB293" s="175"/>
      <c r="AD293" t="str">
        <f>IF(OR($B293="",NOT(ISNUMBER(G293))),"",IF(COUNTIF(H293:$T293,G293)&gt;0,0,IF(COUNTIF($G293:$T293,"&gt;"&amp;G293)=0,"",SMALL($G293:$T293,COUNTIF($G293:$T293,"&lt;="&amp;G293)+1)-G293)))</f>
        <v/>
      </c>
      <c r="AE293" t="str">
        <f>IF(OR($B293="",NOT(ISNUMBER(H293))),"",IF(COUNTIF(I293:$T293,H293)&gt;0,0,IF(COUNTIF($G293:$T293,"&gt;"&amp;H293)=0,"",SMALL($G293:$T293,COUNTIF($G293:$T293,"&lt;="&amp;H293)+1)-H293)))</f>
        <v/>
      </c>
      <c r="AF293">
        <f>IF(OR($B293="",NOT(ISNUMBER(I293))),"",IF(COUNTIF(J293:$T293,I293)&gt;0,0,IF(COUNTIF($G293:$T293,"&gt;"&amp;I293)=0,"",SMALL($G293:$T293,COUNTIF($G293:$T293,"&lt;="&amp;I293)+1)-I293)))</f>
        <v>4</v>
      </c>
      <c r="AG293">
        <f>IF(OR($B293="",NOT(ISNUMBER(J293))),"",IF(COUNTIF(K293:$T293,J293)&gt;0,0,IF(COUNTIF($G293:$T293,"&gt;"&amp;J293)=0,"",SMALL($G293:$T293,COUNTIF($G293:$T293,"&lt;="&amp;J293)+1)-J293)))</f>
        <v>0</v>
      </c>
      <c r="AH293" t="str">
        <f>IF(OR($B293="",NOT(ISNUMBER(K293))),"",IF(COUNTIF(L293:$T293,K293)&gt;0,0,IF(COUNTIF($G293:$T293,"&gt;"&amp;K293)=0,"",SMALL($G293:$T293,COUNTIF($G293:$T293,"&lt;="&amp;K293)+1)-K293)))</f>
        <v/>
      </c>
      <c r="AI293" t="str">
        <f>IF(OR($B293="",NOT(ISNUMBER(L293))),"",IF(COUNTIF(M293:$T293,L293)&gt;0,0,IF(COUNTIF($G293:$T293,"&gt;"&amp;L293)=0,"",SMALL($G293:$T293,COUNTIF($G293:$T293,"&lt;="&amp;L293)+1)-L293)))</f>
        <v/>
      </c>
      <c r="AJ293" t="str">
        <f>IF(OR($B293="",NOT(ISNUMBER(M293))),"",IF(COUNTIF(N293:$T293,M293)&gt;0,0,IF(COUNTIF($G293:$T293,"&gt;"&amp;M293)=0,"",SMALL($G293:$T293,COUNTIF($G293:$T293,"&lt;="&amp;M293)+1)-M293)))</f>
        <v/>
      </c>
      <c r="AK293" t="str">
        <f>IF(OR($B293="",NOT(ISNUMBER(N293))),"",IF(COUNTIF(O293:$T293,N293)&gt;0,0,IF(COUNTIF($G293:$T293,"&gt;"&amp;N293)=0,"",SMALL($G293:$T293,COUNTIF($G293:$T293,"&lt;="&amp;N293)+1)-N293)))</f>
        <v/>
      </c>
      <c r="AL293" t="str">
        <f>IF(OR($B293="",NOT(ISNUMBER(O293))),"",IF(COUNTIF(P293:$T293,O293)&gt;0,0,IF(COUNTIF($G293:$T293,"&gt;"&amp;O293)=0,"",SMALL($G293:$T293,COUNTIF($G293:$T293,"&lt;="&amp;O293)+1)-O293)))</f>
        <v/>
      </c>
      <c r="AM293" t="str">
        <f>IF(OR($B293="",NOT(ISNUMBER(P293))),"",IF(COUNTIF(Q293:$T293,P293)&gt;0,0,IF(COUNTIF($G293:$T293,"&gt;"&amp;P293)=0,"",SMALL($G293:$T293,COUNTIF($G293:$T293,"&lt;="&amp;P293)+1)-P293)))</f>
        <v/>
      </c>
      <c r="AN293">
        <f>IF(OR($B293="",NOT(ISNUMBER(Q293))),"",IF(COUNTIF(R293:$T293,Q293)&gt;0,0,IF(COUNTIF($G293:$T293,"&gt;"&amp;Q293)=0,"",SMALL($G293:$T293,COUNTIF($G293:$T293,"&lt;="&amp;Q293)+1)-Q293)))</f>
        <v>0</v>
      </c>
      <c r="AO293" t="str">
        <f>IF(OR($B293="",NOT(ISNUMBER(R293))),"",IF(COUNTIF(S293:$T293,R293)&gt;0,0,IF(COUNTIF($G293:$T293,"&gt;"&amp;R293)=0,"",SMALL($G293:$T293,COUNTIF($G293:$T293,"&lt;="&amp;R293)+1)-R293)))</f>
        <v/>
      </c>
      <c r="AP293">
        <f t="shared" ca="1" si="71"/>
        <v>0</v>
      </c>
      <c r="AQ293" s="25" t="str">
        <f t="shared" si="72"/>
        <v/>
      </c>
      <c r="AR293" s="25" t="str">
        <f t="shared" si="73"/>
        <v/>
      </c>
      <c r="AS293" s="25">
        <f t="shared" si="74"/>
        <v>46301</v>
      </c>
      <c r="AT293" s="25">
        <f t="shared" si="75"/>
        <v>46301</v>
      </c>
      <c r="AU293" s="25" t="str">
        <f t="shared" si="76"/>
        <v/>
      </c>
      <c r="AV293" s="25" t="str">
        <f t="shared" si="77"/>
        <v/>
      </c>
      <c r="AW293" s="25" t="str">
        <f t="shared" si="78"/>
        <v/>
      </c>
      <c r="AX293" s="25" t="str">
        <f t="shared" si="79"/>
        <v/>
      </c>
      <c r="AY293" s="25" t="str">
        <f t="shared" si="80"/>
        <v/>
      </c>
      <c r="AZ293" s="25" t="str">
        <f t="shared" si="81"/>
        <v/>
      </c>
      <c r="BA293" s="25">
        <f t="shared" si="82"/>
        <v>46301</v>
      </c>
      <c r="BB293" s="25" t="str">
        <f t="shared" si="83"/>
        <v/>
      </c>
      <c r="BC293" s="25">
        <f t="shared" si="84"/>
        <v>46301</v>
      </c>
    </row>
    <row r="294" spans="1:55" x14ac:dyDescent="0.25">
      <c r="A294" s="151">
        <f t="shared" si="69"/>
        <v>292</v>
      </c>
      <c r="B294" s="151" t="s">
        <v>475</v>
      </c>
      <c r="C294" s="152" t="s">
        <v>76</v>
      </c>
      <c r="D294" s="151">
        <f t="shared" si="68"/>
        <v>1</v>
      </c>
      <c r="E294" s="151" t="s">
        <v>61</v>
      </c>
      <c r="F294" s="173">
        <v>46297</v>
      </c>
      <c r="G294" s="173"/>
      <c r="H294" s="173"/>
      <c r="I294" s="173">
        <v>46297</v>
      </c>
      <c r="J294" s="173">
        <v>46300</v>
      </c>
      <c r="K294" s="173"/>
      <c r="L294" s="173"/>
      <c r="M294" s="173"/>
      <c r="N294" s="173"/>
      <c r="O294" s="173"/>
      <c r="P294" s="173"/>
      <c r="Q294" s="173">
        <v>46300</v>
      </c>
      <c r="R294" s="173"/>
      <c r="S294" s="173"/>
      <c r="T294" s="174">
        <v>46300</v>
      </c>
      <c r="U294" s="151"/>
      <c r="V294" s="152"/>
      <c r="W294" s="175"/>
      <c r="X294" s="173"/>
      <c r="Y294" s="173"/>
      <c r="Z294" s="176" t="str">
        <f>IF(B294="","",IF(S294&lt;&gt;"","Sevk Edildi",IF(AND(X294&lt;&gt;"",Y294=""),"Reworkte",IF(T294&lt;&gt;"","Kapandı"&amp;IF(COUNT(G294:R294)=0,""," – "&amp;LOOKUP(2,1/(G294:R294=MAX(G294:R294)),{"Tasarım","Ply Cutter","Üretim","Kalite (Üretim sonrası)","Talaşlı","Kalite (Talaşlı sonrası)","Montaj","Kalite (Montaj sonrası)","Boya","Kalite (Boya sonrası)","Yarı Mamül","KM"})),IF(COUNT(G294:R294)=0,"Başlamadı",LOOKUP(2,1/(G294:R294=MAX(G294:R294)),{"Tasarımda","Ply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294" s="177">
        <f t="shared" ca="1" si="70"/>
        <v>3</v>
      </c>
      <c r="AB294" s="175"/>
      <c r="AD294" t="str">
        <f>IF(OR($B294="",NOT(ISNUMBER(G294))),"",IF(COUNTIF(H294:$T294,G294)&gt;0,0,IF(COUNTIF($G294:$T294,"&gt;"&amp;G294)=0,"",SMALL($G294:$T294,COUNTIF($G294:$T294,"&lt;="&amp;G294)+1)-G294)))</f>
        <v/>
      </c>
      <c r="AE294" t="str">
        <f>IF(OR($B294="",NOT(ISNUMBER(H294))),"",IF(COUNTIF(I294:$T294,H294)&gt;0,0,IF(COUNTIF($G294:$T294,"&gt;"&amp;H294)=0,"",SMALL($G294:$T294,COUNTIF($G294:$T294,"&lt;="&amp;H294)+1)-H294)))</f>
        <v/>
      </c>
      <c r="AF294">
        <f>IF(OR($B294="",NOT(ISNUMBER(I294))),"",IF(COUNTIF(J294:$T294,I294)&gt;0,0,IF(COUNTIF($G294:$T294,"&gt;"&amp;I294)=0,"",SMALL($G294:$T294,COUNTIF($G294:$T294,"&lt;="&amp;I294)+1)-I294)))</f>
        <v>3</v>
      </c>
      <c r="AG294">
        <f>IF(OR($B294="",NOT(ISNUMBER(J294))),"",IF(COUNTIF(K294:$T294,J294)&gt;0,0,IF(COUNTIF($G294:$T294,"&gt;"&amp;J294)=0,"",SMALL($G294:$T294,COUNTIF($G294:$T294,"&lt;="&amp;J294)+1)-J294)))</f>
        <v>0</v>
      </c>
      <c r="AH294" t="str">
        <f>IF(OR($B294="",NOT(ISNUMBER(K294))),"",IF(COUNTIF(L294:$T294,K294)&gt;0,0,IF(COUNTIF($G294:$T294,"&gt;"&amp;K294)=0,"",SMALL($G294:$T294,COUNTIF($G294:$T294,"&lt;="&amp;K294)+1)-K294)))</f>
        <v/>
      </c>
      <c r="AI294" t="str">
        <f>IF(OR($B294="",NOT(ISNUMBER(L294))),"",IF(COUNTIF(M294:$T294,L294)&gt;0,0,IF(COUNTIF($G294:$T294,"&gt;"&amp;L294)=0,"",SMALL($G294:$T294,COUNTIF($G294:$T294,"&lt;="&amp;L294)+1)-L294)))</f>
        <v/>
      </c>
      <c r="AJ294" t="str">
        <f>IF(OR($B294="",NOT(ISNUMBER(M294))),"",IF(COUNTIF(N294:$T294,M294)&gt;0,0,IF(COUNTIF($G294:$T294,"&gt;"&amp;M294)=0,"",SMALL($G294:$T294,COUNTIF($G294:$T294,"&lt;="&amp;M294)+1)-M294)))</f>
        <v/>
      </c>
      <c r="AK294" t="str">
        <f>IF(OR($B294="",NOT(ISNUMBER(N294))),"",IF(COUNTIF(O294:$T294,N294)&gt;0,0,IF(COUNTIF($G294:$T294,"&gt;"&amp;N294)=0,"",SMALL($G294:$T294,COUNTIF($G294:$T294,"&lt;="&amp;N294)+1)-N294)))</f>
        <v/>
      </c>
      <c r="AL294" t="str">
        <f>IF(OR($B294="",NOT(ISNUMBER(O294))),"",IF(COUNTIF(P294:$T294,O294)&gt;0,0,IF(COUNTIF($G294:$T294,"&gt;"&amp;O294)=0,"",SMALL($G294:$T294,COUNTIF($G294:$T294,"&lt;="&amp;O294)+1)-O294)))</f>
        <v/>
      </c>
      <c r="AM294" t="str">
        <f>IF(OR($B294="",NOT(ISNUMBER(P294))),"",IF(COUNTIF(Q294:$T294,P294)&gt;0,0,IF(COUNTIF($G294:$T294,"&gt;"&amp;P294)=0,"",SMALL($G294:$T294,COUNTIF($G294:$T294,"&lt;="&amp;P294)+1)-P294)))</f>
        <v/>
      </c>
      <c r="AN294">
        <f>IF(OR($B294="",NOT(ISNUMBER(Q294))),"",IF(COUNTIF(R294:$T294,Q294)&gt;0,0,IF(COUNTIF($G294:$T294,"&gt;"&amp;Q294)=0,"",SMALL($G294:$T294,COUNTIF($G294:$T294,"&lt;="&amp;Q294)+1)-Q294)))</f>
        <v>0</v>
      </c>
      <c r="AO294" t="str">
        <f>IF(OR($B294="",NOT(ISNUMBER(R294))),"",IF(COUNTIF(S294:$T294,R294)&gt;0,0,IF(COUNTIF($G294:$T294,"&gt;"&amp;R294)=0,"",SMALL($G294:$T294,COUNTIF($G294:$T294,"&lt;="&amp;R294)+1)-R294)))</f>
        <v/>
      </c>
      <c r="AP294">
        <f t="shared" ca="1" si="71"/>
        <v>0</v>
      </c>
      <c r="AQ294" s="25" t="str">
        <f t="shared" si="72"/>
        <v/>
      </c>
      <c r="AR294" s="25" t="str">
        <f t="shared" si="73"/>
        <v/>
      </c>
      <c r="AS294" s="25">
        <f t="shared" si="74"/>
        <v>46300</v>
      </c>
      <c r="AT294" s="25">
        <f t="shared" si="75"/>
        <v>46300</v>
      </c>
      <c r="AU294" s="25" t="str">
        <f t="shared" si="76"/>
        <v/>
      </c>
      <c r="AV294" s="25" t="str">
        <f t="shared" si="77"/>
        <v/>
      </c>
      <c r="AW294" s="25" t="str">
        <f t="shared" si="78"/>
        <v/>
      </c>
      <c r="AX294" s="25" t="str">
        <f t="shared" si="79"/>
        <v/>
      </c>
      <c r="AY294" s="25" t="str">
        <f t="shared" si="80"/>
        <v/>
      </c>
      <c r="AZ294" s="25" t="str">
        <f t="shared" si="81"/>
        <v/>
      </c>
      <c r="BA294" s="25">
        <f t="shared" si="82"/>
        <v>46300</v>
      </c>
      <c r="BB294" s="25" t="str">
        <f t="shared" si="83"/>
        <v/>
      </c>
      <c r="BC294" s="25">
        <f t="shared" si="84"/>
        <v>46300</v>
      </c>
    </row>
    <row r="295" spans="1:55" x14ac:dyDescent="0.25">
      <c r="A295" s="151">
        <f t="shared" si="69"/>
        <v>293</v>
      </c>
      <c r="B295" s="151" t="s">
        <v>476</v>
      </c>
      <c r="C295" s="152" t="s">
        <v>94</v>
      </c>
      <c r="D295" s="151">
        <f t="shared" si="68"/>
        <v>1</v>
      </c>
      <c r="E295" s="151" t="s">
        <v>61</v>
      </c>
      <c r="F295" s="173">
        <v>46297</v>
      </c>
      <c r="G295" s="173"/>
      <c r="H295" s="173"/>
      <c r="I295" s="173">
        <v>46297</v>
      </c>
      <c r="J295" s="173">
        <v>46298</v>
      </c>
      <c r="K295" s="173"/>
      <c r="L295" s="173"/>
      <c r="M295" s="173"/>
      <c r="N295" s="173"/>
      <c r="O295" s="173"/>
      <c r="P295" s="173"/>
      <c r="Q295" s="173"/>
      <c r="R295" s="173"/>
      <c r="S295" s="173"/>
      <c r="T295" s="174">
        <v>46298</v>
      </c>
      <c r="U295" s="151"/>
      <c r="V295" s="152"/>
      <c r="W295" s="175"/>
      <c r="X295" s="173"/>
      <c r="Y295" s="173"/>
      <c r="Z295" s="176" t="str">
        <f>IF(B295="","",IF(S295&lt;&gt;"","Sevk Edildi",IF(AND(X295&lt;&gt;"",Y295=""),"Reworkte",IF(T295&lt;&gt;"","Kapandı"&amp;IF(COUNT(G295:R295)=0,""," – "&amp;LOOKUP(2,1/(G295:R295=MAX(G295:R295)),{"Tasarım","Ply Cutter","Üretim","Kalite (Üretim sonrası)","Talaşlı","Kalite (Talaşlı sonrası)","Montaj","Kalite (Montaj sonrası)","Boya","Kalite (Boya sonrası)","Yarı Mamül","KM"})),IF(COUNT(G295:R295)=0,"Başlamadı",LOOKUP(2,1/(G295:R295=MAX(G295:R295)),{"Tasarımda","Ply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95" s="177">
        <f t="shared" ca="1" si="70"/>
        <v>1</v>
      </c>
      <c r="AB295" s="175"/>
      <c r="AD295" t="str">
        <f>IF(OR($B295="",NOT(ISNUMBER(G295))),"",IF(COUNTIF(H295:$T295,G295)&gt;0,0,IF(COUNTIF($G295:$T295,"&gt;"&amp;G295)=0,"",SMALL($G295:$T295,COUNTIF($G295:$T295,"&lt;="&amp;G295)+1)-G295)))</f>
        <v/>
      </c>
      <c r="AE295" t="str">
        <f>IF(OR($B295="",NOT(ISNUMBER(H295))),"",IF(COUNTIF(I295:$T295,H295)&gt;0,0,IF(COUNTIF($G295:$T295,"&gt;"&amp;H295)=0,"",SMALL($G295:$T295,COUNTIF($G295:$T295,"&lt;="&amp;H295)+1)-H295)))</f>
        <v/>
      </c>
      <c r="AF295">
        <f>IF(OR($B295="",NOT(ISNUMBER(I295))),"",IF(COUNTIF(J295:$T295,I295)&gt;0,0,IF(COUNTIF($G295:$T295,"&gt;"&amp;I295)=0,"",SMALL($G295:$T295,COUNTIF($G295:$T295,"&lt;="&amp;I295)+1)-I295)))</f>
        <v>1</v>
      </c>
      <c r="AG295">
        <f>IF(OR($B295="",NOT(ISNUMBER(J295))),"",IF(COUNTIF(K295:$T295,J295)&gt;0,0,IF(COUNTIF($G295:$T295,"&gt;"&amp;J295)=0,"",SMALL($G295:$T295,COUNTIF($G295:$T295,"&lt;="&amp;J295)+1)-J295)))</f>
        <v>0</v>
      </c>
      <c r="AH295" t="str">
        <f>IF(OR($B295="",NOT(ISNUMBER(K295))),"",IF(COUNTIF(L295:$T295,K295)&gt;0,0,IF(COUNTIF($G295:$T295,"&gt;"&amp;K295)=0,"",SMALL($G295:$T295,COUNTIF($G295:$T295,"&lt;="&amp;K295)+1)-K295)))</f>
        <v/>
      </c>
      <c r="AI295" t="str">
        <f>IF(OR($B295="",NOT(ISNUMBER(L295))),"",IF(COUNTIF(M295:$T295,L295)&gt;0,0,IF(COUNTIF($G295:$T295,"&gt;"&amp;L295)=0,"",SMALL($G295:$T295,COUNTIF($G295:$T295,"&lt;="&amp;L295)+1)-L295)))</f>
        <v/>
      </c>
      <c r="AJ295" t="str">
        <f>IF(OR($B295="",NOT(ISNUMBER(M295))),"",IF(COUNTIF(N295:$T295,M295)&gt;0,0,IF(COUNTIF($G295:$T295,"&gt;"&amp;M295)=0,"",SMALL($G295:$T295,COUNTIF($G295:$T295,"&lt;="&amp;M295)+1)-M295)))</f>
        <v/>
      </c>
      <c r="AK295" t="str">
        <f>IF(OR($B295="",NOT(ISNUMBER(N295))),"",IF(COUNTIF(O295:$T295,N295)&gt;0,0,IF(COUNTIF($G295:$T295,"&gt;"&amp;N295)=0,"",SMALL($G295:$T295,COUNTIF($G295:$T295,"&lt;="&amp;N295)+1)-N295)))</f>
        <v/>
      </c>
      <c r="AL295" t="str">
        <f>IF(OR($B295="",NOT(ISNUMBER(O295))),"",IF(COUNTIF(P295:$T295,O295)&gt;0,0,IF(COUNTIF($G295:$T295,"&gt;"&amp;O295)=0,"",SMALL($G295:$T295,COUNTIF($G295:$T295,"&lt;="&amp;O295)+1)-O295)))</f>
        <v/>
      </c>
      <c r="AM295" t="str">
        <f>IF(OR($B295="",NOT(ISNUMBER(P295))),"",IF(COUNTIF(Q295:$T295,P295)&gt;0,0,IF(COUNTIF($G295:$T295,"&gt;"&amp;P295)=0,"",SMALL($G295:$T295,COUNTIF($G295:$T295,"&lt;="&amp;P295)+1)-P295)))</f>
        <v/>
      </c>
      <c r="AN295" t="str">
        <f>IF(OR($B295="",NOT(ISNUMBER(Q295))),"",IF(COUNTIF(R295:$T295,Q295)&gt;0,0,IF(COUNTIF($G295:$T295,"&gt;"&amp;Q295)=0,"",SMALL($G295:$T295,COUNTIF($G295:$T295,"&lt;="&amp;Q295)+1)-Q295)))</f>
        <v/>
      </c>
      <c r="AO295" t="str">
        <f>IF(OR($B295="",NOT(ISNUMBER(R295))),"",IF(COUNTIF(S295:$T295,R295)&gt;0,0,IF(COUNTIF($G295:$T295,"&gt;"&amp;R295)=0,"",SMALL($G295:$T295,COUNTIF($G295:$T295,"&lt;="&amp;R295)+1)-R295)))</f>
        <v/>
      </c>
      <c r="AP295">
        <f t="shared" ca="1" si="71"/>
        <v>0</v>
      </c>
      <c r="AQ295" s="25" t="str">
        <f t="shared" si="72"/>
        <v/>
      </c>
      <c r="AR295" s="25" t="str">
        <f t="shared" si="73"/>
        <v/>
      </c>
      <c r="AS295" s="25">
        <f t="shared" si="74"/>
        <v>46298</v>
      </c>
      <c r="AT295" s="25">
        <f t="shared" si="75"/>
        <v>46298</v>
      </c>
      <c r="AU295" s="25" t="str">
        <f t="shared" si="76"/>
        <v/>
      </c>
      <c r="AV295" s="25" t="str">
        <f t="shared" si="77"/>
        <v/>
      </c>
      <c r="AW295" s="25" t="str">
        <f t="shared" si="78"/>
        <v/>
      </c>
      <c r="AX295" s="25" t="str">
        <f t="shared" si="79"/>
        <v/>
      </c>
      <c r="AY295" s="25" t="str">
        <f t="shared" si="80"/>
        <v/>
      </c>
      <c r="AZ295" s="25" t="str">
        <f t="shared" si="81"/>
        <v/>
      </c>
      <c r="BA295" s="25" t="str">
        <f t="shared" si="82"/>
        <v/>
      </c>
      <c r="BB295" s="25" t="str">
        <f t="shared" si="83"/>
        <v/>
      </c>
      <c r="BC295" s="25">
        <f t="shared" si="84"/>
        <v>46298</v>
      </c>
    </row>
    <row r="296" spans="1:55" x14ac:dyDescent="0.25">
      <c r="A296" s="151">
        <f t="shared" si="69"/>
        <v>294</v>
      </c>
      <c r="B296" s="151" t="s">
        <v>477</v>
      </c>
      <c r="C296" s="152" t="s">
        <v>478</v>
      </c>
      <c r="D296" s="151">
        <f t="shared" si="68"/>
        <v>1</v>
      </c>
      <c r="E296" s="151" t="s">
        <v>61</v>
      </c>
      <c r="F296" s="173">
        <v>46297</v>
      </c>
      <c r="G296" s="173"/>
      <c r="H296" s="173"/>
      <c r="I296" s="173">
        <v>46297</v>
      </c>
      <c r="J296" s="173">
        <v>46300</v>
      </c>
      <c r="K296" s="173"/>
      <c r="L296" s="173"/>
      <c r="M296" s="173"/>
      <c r="N296" s="173"/>
      <c r="O296" s="173"/>
      <c r="P296" s="173"/>
      <c r="Q296" s="173"/>
      <c r="R296" s="173"/>
      <c r="S296" s="173"/>
      <c r="T296" s="174">
        <v>46300</v>
      </c>
      <c r="U296" s="151"/>
      <c r="V296" s="152"/>
      <c r="W296" s="175"/>
      <c r="X296" s="173"/>
      <c r="Y296" s="173"/>
      <c r="Z296" s="176" t="str">
        <f>IF(B296="","",IF(S296&lt;&gt;"","Sevk Edildi",IF(AND(X296&lt;&gt;"",Y296=""),"Reworkte",IF(T296&lt;&gt;"","Kapandı"&amp;IF(COUNT(G296:R296)=0,""," – "&amp;LOOKUP(2,1/(G296:R296=MAX(G296:R296)),{"Tasarım","Ply Cutter","Üretim","Kalite (Üretim sonrası)","Talaşlı","Kalite (Talaşlı sonrası)","Montaj","Kalite (Montaj sonrası)","Boya","Kalite (Boya sonrası)","Yarı Mamül","KM"})),IF(COUNT(G296:R296)=0,"Başlamadı",LOOKUP(2,1/(G296:R296=MAX(G296:R296)),{"Tasarımda","Ply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96" s="177">
        <f t="shared" ca="1" si="70"/>
        <v>3</v>
      </c>
      <c r="AB296" s="175"/>
      <c r="AD296" t="str">
        <f>IF(OR($B296="",NOT(ISNUMBER(G296))),"",IF(COUNTIF(H296:$T296,G296)&gt;0,0,IF(COUNTIF($G296:$T296,"&gt;"&amp;G296)=0,"",SMALL($G296:$T296,COUNTIF($G296:$T296,"&lt;="&amp;G296)+1)-G296)))</f>
        <v/>
      </c>
      <c r="AE296" t="str">
        <f>IF(OR($B296="",NOT(ISNUMBER(H296))),"",IF(COUNTIF(I296:$T296,H296)&gt;0,0,IF(COUNTIF($G296:$T296,"&gt;"&amp;H296)=0,"",SMALL($G296:$T296,COUNTIF($G296:$T296,"&lt;="&amp;H296)+1)-H296)))</f>
        <v/>
      </c>
      <c r="AF296">
        <f>IF(OR($B296="",NOT(ISNUMBER(I296))),"",IF(COUNTIF(J296:$T296,I296)&gt;0,0,IF(COUNTIF($G296:$T296,"&gt;"&amp;I296)=0,"",SMALL($G296:$T296,COUNTIF($G296:$T296,"&lt;="&amp;I296)+1)-I296)))</f>
        <v>3</v>
      </c>
      <c r="AG296">
        <f>IF(OR($B296="",NOT(ISNUMBER(J296))),"",IF(COUNTIF(K296:$T296,J296)&gt;0,0,IF(COUNTIF($G296:$T296,"&gt;"&amp;J296)=0,"",SMALL($G296:$T296,COUNTIF($G296:$T296,"&lt;="&amp;J296)+1)-J296)))</f>
        <v>0</v>
      </c>
      <c r="AH296" t="str">
        <f>IF(OR($B296="",NOT(ISNUMBER(K296))),"",IF(COUNTIF(L296:$T296,K296)&gt;0,0,IF(COUNTIF($G296:$T296,"&gt;"&amp;K296)=0,"",SMALL($G296:$T296,COUNTIF($G296:$T296,"&lt;="&amp;K296)+1)-K296)))</f>
        <v/>
      </c>
      <c r="AI296" t="str">
        <f>IF(OR($B296="",NOT(ISNUMBER(L296))),"",IF(COUNTIF(M296:$T296,L296)&gt;0,0,IF(COUNTIF($G296:$T296,"&gt;"&amp;L296)=0,"",SMALL($G296:$T296,COUNTIF($G296:$T296,"&lt;="&amp;L296)+1)-L296)))</f>
        <v/>
      </c>
      <c r="AJ296" t="str">
        <f>IF(OR($B296="",NOT(ISNUMBER(M296))),"",IF(COUNTIF(N296:$T296,M296)&gt;0,0,IF(COUNTIF($G296:$T296,"&gt;"&amp;M296)=0,"",SMALL($G296:$T296,COUNTIF($G296:$T296,"&lt;="&amp;M296)+1)-M296)))</f>
        <v/>
      </c>
      <c r="AK296" t="str">
        <f>IF(OR($B296="",NOT(ISNUMBER(N296))),"",IF(COUNTIF(O296:$T296,N296)&gt;0,0,IF(COUNTIF($G296:$T296,"&gt;"&amp;N296)=0,"",SMALL($G296:$T296,COUNTIF($G296:$T296,"&lt;="&amp;N296)+1)-N296)))</f>
        <v/>
      </c>
      <c r="AL296" t="str">
        <f>IF(OR($B296="",NOT(ISNUMBER(O296))),"",IF(COUNTIF(P296:$T296,O296)&gt;0,0,IF(COUNTIF($G296:$T296,"&gt;"&amp;O296)=0,"",SMALL($G296:$T296,COUNTIF($G296:$T296,"&lt;="&amp;O296)+1)-O296)))</f>
        <v/>
      </c>
      <c r="AM296" t="str">
        <f>IF(OR($B296="",NOT(ISNUMBER(P296))),"",IF(COUNTIF(Q296:$T296,P296)&gt;0,0,IF(COUNTIF($G296:$T296,"&gt;"&amp;P296)=0,"",SMALL($G296:$T296,COUNTIF($G296:$T296,"&lt;="&amp;P296)+1)-P296)))</f>
        <v/>
      </c>
      <c r="AN296" t="str">
        <f>IF(OR($B296="",NOT(ISNUMBER(Q296))),"",IF(COUNTIF(R296:$T296,Q296)&gt;0,0,IF(COUNTIF($G296:$T296,"&gt;"&amp;Q296)=0,"",SMALL($G296:$T296,COUNTIF($G296:$T296,"&lt;="&amp;Q296)+1)-Q296)))</f>
        <v/>
      </c>
      <c r="AO296" t="str">
        <f>IF(OR($B296="",NOT(ISNUMBER(R296))),"",IF(COUNTIF(S296:$T296,R296)&gt;0,0,IF(COUNTIF($G296:$T296,"&gt;"&amp;R296)=0,"",SMALL($G296:$T296,COUNTIF($G296:$T296,"&lt;="&amp;R296)+1)-R296)))</f>
        <v/>
      </c>
      <c r="AP296">
        <f t="shared" ca="1" si="71"/>
        <v>0</v>
      </c>
      <c r="AQ296" s="25" t="str">
        <f t="shared" si="72"/>
        <v/>
      </c>
      <c r="AR296" s="25" t="str">
        <f t="shared" si="73"/>
        <v/>
      </c>
      <c r="AS296" s="25">
        <f t="shared" si="74"/>
        <v>46300</v>
      </c>
      <c r="AT296" s="25">
        <f t="shared" si="75"/>
        <v>46300</v>
      </c>
      <c r="AU296" s="25" t="str">
        <f t="shared" si="76"/>
        <v/>
      </c>
      <c r="AV296" s="25" t="str">
        <f t="shared" si="77"/>
        <v/>
      </c>
      <c r="AW296" s="25" t="str">
        <f t="shared" si="78"/>
        <v/>
      </c>
      <c r="AX296" s="25" t="str">
        <f t="shared" si="79"/>
        <v/>
      </c>
      <c r="AY296" s="25" t="str">
        <f t="shared" si="80"/>
        <v/>
      </c>
      <c r="AZ296" s="25" t="str">
        <f t="shared" si="81"/>
        <v/>
      </c>
      <c r="BA296" s="25" t="str">
        <f t="shared" si="82"/>
        <v/>
      </c>
      <c r="BB296" s="25" t="str">
        <f t="shared" si="83"/>
        <v/>
      </c>
      <c r="BC296" s="25">
        <f t="shared" si="84"/>
        <v>46300</v>
      </c>
    </row>
    <row r="297" spans="1:55" x14ac:dyDescent="0.25">
      <c r="A297" s="151">
        <f t="shared" si="69"/>
        <v>295</v>
      </c>
      <c r="B297" s="151" t="s">
        <v>479</v>
      </c>
      <c r="C297" s="152" t="s">
        <v>353</v>
      </c>
      <c r="D297" s="151">
        <f t="shared" si="68"/>
        <v>1</v>
      </c>
      <c r="E297" s="151" t="s">
        <v>100</v>
      </c>
      <c r="F297" s="173">
        <v>46298</v>
      </c>
      <c r="G297" s="173"/>
      <c r="H297" s="173"/>
      <c r="I297" s="173">
        <v>46298</v>
      </c>
      <c r="J297" s="173">
        <v>46298</v>
      </c>
      <c r="K297" s="173"/>
      <c r="L297" s="173"/>
      <c r="M297" s="173"/>
      <c r="N297" s="173"/>
      <c r="O297" s="173"/>
      <c r="P297" s="173"/>
      <c r="Q297" s="173"/>
      <c r="R297" s="173"/>
      <c r="S297" s="173"/>
      <c r="T297" s="174">
        <v>46298</v>
      </c>
      <c r="U297" s="151"/>
      <c r="V297" s="152"/>
      <c r="W297" s="175"/>
      <c r="X297" s="173"/>
      <c r="Y297" s="173"/>
      <c r="Z297" s="176" t="str">
        <f>IF(B297="","",IF(S297&lt;&gt;"","Sevk Edildi",IF(AND(X297&lt;&gt;"",Y297=""),"Reworkte",IF(T297&lt;&gt;"","Kapandı"&amp;IF(COUNT(G297:R297)=0,""," – "&amp;LOOKUP(2,1/(G297:R297=MAX(G297:R297)),{"Tasarım","Ply Cutter","Üretim","Kalite (Üretim sonrası)","Talaşlı","Kalite (Talaşlı sonrası)","Montaj","Kalite (Montaj sonrası)","Boya","Kalite (Boya sonrası)","Yarı Mamül","KM"})),IF(COUNT(G297:R297)=0,"Başlamadı",LOOKUP(2,1/(G297:R297=MAX(G297:R297)),{"Tasarımda","Ply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97" s="177">
        <f t="shared" ca="1" si="70"/>
        <v>0</v>
      </c>
      <c r="AB297" s="175"/>
      <c r="AD297" t="str">
        <f>IF(OR($B297="",NOT(ISNUMBER(G297))),"",IF(COUNTIF(H297:$T297,G297)&gt;0,0,IF(COUNTIF($G297:$T297,"&gt;"&amp;G297)=0,"",SMALL($G297:$T297,COUNTIF($G297:$T297,"&lt;="&amp;G297)+1)-G297)))</f>
        <v/>
      </c>
      <c r="AE297" t="str">
        <f>IF(OR($B297="",NOT(ISNUMBER(H297))),"",IF(COUNTIF(I297:$T297,H297)&gt;0,0,IF(COUNTIF($G297:$T297,"&gt;"&amp;H297)=0,"",SMALL($G297:$T297,COUNTIF($G297:$T297,"&lt;="&amp;H297)+1)-H297)))</f>
        <v/>
      </c>
      <c r="AF297">
        <f>IF(OR($B297="",NOT(ISNUMBER(I297))),"",IF(COUNTIF(J297:$T297,I297)&gt;0,0,IF(COUNTIF($G297:$T297,"&gt;"&amp;I297)=0,"",SMALL($G297:$T297,COUNTIF($G297:$T297,"&lt;="&amp;I297)+1)-I297)))</f>
        <v>0</v>
      </c>
      <c r="AG297">
        <f>IF(OR($B297="",NOT(ISNUMBER(J297))),"",IF(COUNTIF(K297:$T297,J297)&gt;0,0,IF(COUNTIF($G297:$T297,"&gt;"&amp;J297)=0,"",SMALL($G297:$T297,COUNTIF($G297:$T297,"&lt;="&amp;J297)+1)-J297)))</f>
        <v>0</v>
      </c>
      <c r="AH297" t="str">
        <f>IF(OR($B297="",NOT(ISNUMBER(K297))),"",IF(COUNTIF(L297:$T297,K297)&gt;0,0,IF(COUNTIF($G297:$T297,"&gt;"&amp;K297)=0,"",SMALL($G297:$T297,COUNTIF($G297:$T297,"&lt;="&amp;K297)+1)-K297)))</f>
        <v/>
      </c>
      <c r="AI297" t="str">
        <f>IF(OR($B297="",NOT(ISNUMBER(L297))),"",IF(COUNTIF(M297:$T297,L297)&gt;0,0,IF(COUNTIF($G297:$T297,"&gt;"&amp;L297)=0,"",SMALL($G297:$T297,COUNTIF($G297:$T297,"&lt;="&amp;L297)+1)-L297)))</f>
        <v/>
      </c>
      <c r="AJ297" t="str">
        <f>IF(OR($B297="",NOT(ISNUMBER(M297))),"",IF(COUNTIF(N297:$T297,M297)&gt;0,0,IF(COUNTIF($G297:$T297,"&gt;"&amp;M297)=0,"",SMALL($G297:$T297,COUNTIF($G297:$T297,"&lt;="&amp;M297)+1)-M297)))</f>
        <v/>
      </c>
      <c r="AK297" t="str">
        <f>IF(OR($B297="",NOT(ISNUMBER(N297))),"",IF(COUNTIF(O297:$T297,N297)&gt;0,0,IF(COUNTIF($G297:$T297,"&gt;"&amp;N297)=0,"",SMALL($G297:$T297,COUNTIF($G297:$T297,"&lt;="&amp;N297)+1)-N297)))</f>
        <v/>
      </c>
      <c r="AL297" t="str">
        <f>IF(OR($B297="",NOT(ISNUMBER(O297))),"",IF(COUNTIF(P297:$T297,O297)&gt;0,0,IF(COUNTIF($G297:$T297,"&gt;"&amp;O297)=0,"",SMALL($G297:$T297,COUNTIF($G297:$T297,"&lt;="&amp;O297)+1)-O297)))</f>
        <v/>
      </c>
      <c r="AM297" t="str">
        <f>IF(OR($B297="",NOT(ISNUMBER(P297))),"",IF(COUNTIF(Q297:$T297,P297)&gt;0,0,IF(COUNTIF($G297:$T297,"&gt;"&amp;P297)=0,"",SMALL($G297:$T297,COUNTIF($G297:$T297,"&lt;="&amp;P297)+1)-P297)))</f>
        <v/>
      </c>
      <c r="AN297" t="str">
        <f>IF(OR($B297="",NOT(ISNUMBER(Q297))),"",IF(COUNTIF(R297:$T297,Q297)&gt;0,0,IF(COUNTIF($G297:$T297,"&gt;"&amp;Q297)=0,"",SMALL($G297:$T297,COUNTIF($G297:$T297,"&lt;="&amp;Q297)+1)-Q297)))</f>
        <v/>
      </c>
      <c r="AO297" t="str">
        <f>IF(OR($B297="",NOT(ISNUMBER(R297))),"",IF(COUNTIF(S297:$T297,R297)&gt;0,0,IF(COUNTIF($G297:$T297,"&gt;"&amp;R297)=0,"",SMALL($G297:$T297,COUNTIF($G297:$T297,"&lt;="&amp;R297)+1)-R297)))</f>
        <v/>
      </c>
      <c r="AP297">
        <f t="shared" ca="1" si="71"/>
        <v>0</v>
      </c>
      <c r="AQ297" s="25" t="str">
        <f t="shared" si="72"/>
        <v/>
      </c>
      <c r="AR297" s="25" t="str">
        <f t="shared" si="73"/>
        <v/>
      </c>
      <c r="AS297" s="25">
        <f t="shared" si="74"/>
        <v>46298</v>
      </c>
      <c r="AT297" s="25">
        <f t="shared" si="75"/>
        <v>46298</v>
      </c>
      <c r="AU297" s="25" t="str">
        <f t="shared" si="76"/>
        <v/>
      </c>
      <c r="AV297" s="25" t="str">
        <f t="shared" si="77"/>
        <v/>
      </c>
      <c r="AW297" s="25" t="str">
        <f t="shared" si="78"/>
        <v/>
      </c>
      <c r="AX297" s="25" t="str">
        <f t="shared" si="79"/>
        <v/>
      </c>
      <c r="AY297" s="25" t="str">
        <f t="shared" si="80"/>
        <v/>
      </c>
      <c r="AZ297" s="25" t="str">
        <f t="shared" si="81"/>
        <v/>
      </c>
      <c r="BA297" s="25" t="str">
        <f t="shared" si="82"/>
        <v/>
      </c>
      <c r="BB297" s="25" t="str">
        <f t="shared" si="83"/>
        <v/>
      </c>
      <c r="BC297" s="25">
        <f t="shared" si="84"/>
        <v>46298</v>
      </c>
    </row>
    <row r="298" spans="1:55" x14ac:dyDescent="0.25">
      <c r="A298" s="151">
        <f t="shared" si="69"/>
        <v>296</v>
      </c>
      <c r="B298" s="151" t="s">
        <v>480</v>
      </c>
      <c r="C298" s="152" t="s">
        <v>355</v>
      </c>
      <c r="D298" s="151">
        <f t="shared" si="68"/>
        <v>1</v>
      </c>
      <c r="E298" s="151" t="s">
        <v>100</v>
      </c>
      <c r="F298" s="173">
        <v>46298</v>
      </c>
      <c r="G298" s="173"/>
      <c r="H298" s="173"/>
      <c r="I298" s="173">
        <v>46298</v>
      </c>
      <c r="J298" s="173">
        <v>46298</v>
      </c>
      <c r="K298" s="173"/>
      <c r="L298" s="173"/>
      <c r="M298" s="173"/>
      <c r="N298" s="173"/>
      <c r="O298" s="173"/>
      <c r="P298" s="173"/>
      <c r="Q298" s="173"/>
      <c r="R298" s="173"/>
      <c r="S298" s="173"/>
      <c r="T298" s="174">
        <v>46298</v>
      </c>
      <c r="U298" s="151"/>
      <c r="V298" s="152"/>
      <c r="W298" s="175"/>
      <c r="X298" s="173"/>
      <c r="Y298" s="173"/>
      <c r="Z298" s="176" t="str">
        <f>IF(B298="","",IF(S298&lt;&gt;"","Sevk Edildi",IF(AND(X298&lt;&gt;"",Y298=""),"Reworkte",IF(T298&lt;&gt;"","Kapandı"&amp;IF(COUNT(G298:R298)=0,""," – "&amp;LOOKUP(2,1/(G298:R298=MAX(G298:R298)),{"Tasarım","Ply Cutter","Üretim","Kalite (Üretim sonrası)","Talaşlı","Kalite (Talaşlı sonrası)","Montaj","Kalite (Montaj sonrası)","Boya","Kalite (Boya sonrası)","Yarı Mamül","KM"})),IF(COUNT(G298:R298)=0,"Başlamadı",LOOKUP(2,1/(G298:R298=MAX(G298:R298)),{"Tasarımda","Ply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98" s="177">
        <f t="shared" ca="1" si="70"/>
        <v>0</v>
      </c>
      <c r="AB298" s="175"/>
      <c r="AD298" t="str">
        <f>IF(OR($B298="",NOT(ISNUMBER(G298))),"",IF(COUNTIF(H298:$T298,G298)&gt;0,0,IF(COUNTIF($G298:$T298,"&gt;"&amp;G298)=0,"",SMALL($G298:$T298,COUNTIF($G298:$T298,"&lt;="&amp;G298)+1)-G298)))</f>
        <v/>
      </c>
      <c r="AE298" t="str">
        <f>IF(OR($B298="",NOT(ISNUMBER(H298))),"",IF(COUNTIF(I298:$T298,H298)&gt;0,0,IF(COUNTIF($G298:$T298,"&gt;"&amp;H298)=0,"",SMALL($G298:$T298,COUNTIF($G298:$T298,"&lt;="&amp;H298)+1)-H298)))</f>
        <v/>
      </c>
      <c r="AF298">
        <f>IF(OR($B298="",NOT(ISNUMBER(I298))),"",IF(COUNTIF(J298:$T298,I298)&gt;0,0,IF(COUNTIF($G298:$T298,"&gt;"&amp;I298)=0,"",SMALL($G298:$T298,COUNTIF($G298:$T298,"&lt;="&amp;I298)+1)-I298)))</f>
        <v>0</v>
      </c>
      <c r="AG298">
        <f>IF(OR($B298="",NOT(ISNUMBER(J298))),"",IF(COUNTIF(K298:$T298,J298)&gt;0,0,IF(COUNTIF($G298:$T298,"&gt;"&amp;J298)=0,"",SMALL($G298:$T298,COUNTIF($G298:$T298,"&lt;="&amp;J298)+1)-J298)))</f>
        <v>0</v>
      </c>
      <c r="AH298" t="str">
        <f>IF(OR($B298="",NOT(ISNUMBER(K298))),"",IF(COUNTIF(L298:$T298,K298)&gt;0,0,IF(COUNTIF($G298:$T298,"&gt;"&amp;K298)=0,"",SMALL($G298:$T298,COUNTIF($G298:$T298,"&lt;="&amp;K298)+1)-K298)))</f>
        <v/>
      </c>
      <c r="AI298" t="str">
        <f>IF(OR($B298="",NOT(ISNUMBER(L298))),"",IF(COUNTIF(M298:$T298,L298)&gt;0,0,IF(COUNTIF($G298:$T298,"&gt;"&amp;L298)=0,"",SMALL($G298:$T298,COUNTIF($G298:$T298,"&lt;="&amp;L298)+1)-L298)))</f>
        <v/>
      </c>
      <c r="AJ298" t="str">
        <f>IF(OR($B298="",NOT(ISNUMBER(M298))),"",IF(COUNTIF(N298:$T298,M298)&gt;0,0,IF(COUNTIF($G298:$T298,"&gt;"&amp;M298)=0,"",SMALL($G298:$T298,COUNTIF($G298:$T298,"&lt;="&amp;M298)+1)-M298)))</f>
        <v/>
      </c>
      <c r="AK298" t="str">
        <f>IF(OR($B298="",NOT(ISNUMBER(N298))),"",IF(COUNTIF(O298:$T298,N298)&gt;0,0,IF(COUNTIF($G298:$T298,"&gt;"&amp;N298)=0,"",SMALL($G298:$T298,COUNTIF($G298:$T298,"&lt;="&amp;N298)+1)-N298)))</f>
        <v/>
      </c>
      <c r="AL298" t="str">
        <f>IF(OR($B298="",NOT(ISNUMBER(O298))),"",IF(COUNTIF(P298:$T298,O298)&gt;0,0,IF(COUNTIF($G298:$T298,"&gt;"&amp;O298)=0,"",SMALL($G298:$T298,COUNTIF($G298:$T298,"&lt;="&amp;O298)+1)-O298)))</f>
        <v/>
      </c>
      <c r="AM298" t="str">
        <f>IF(OR($B298="",NOT(ISNUMBER(P298))),"",IF(COUNTIF(Q298:$T298,P298)&gt;0,0,IF(COUNTIF($G298:$T298,"&gt;"&amp;P298)=0,"",SMALL($G298:$T298,COUNTIF($G298:$T298,"&lt;="&amp;P298)+1)-P298)))</f>
        <v/>
      </c>
      <c r="AN298" t="str">
        <f>IF(OR($B298="",NOT(ISNUMBER(Q298))),"",IF(COUNTIF(R298:$T298,Q298)&gt;0,0,IF(COUNTIF($G298:$T298,"&gt;"&amp;Q298)=0,"",SMALL($G298:$T298,COUNTIF($G298:$T298,"&lt;="&amp;Q298)+1)-Q298)))</f>
        <v/>
      </c>
      <c r="AO298" t="str">
        <f>IF(OR($B298="",NOT(ISNUMBER(R298))),"",IF(COUNTIF(S298:$T298,R298)&gt;0,0,IF(COUNTIF($G298:$T298,"&gt;"&amp;R298)=0,"",SMALL($G298:$T298,COUNTIF($G298:$T298,"&lt;="&amp;R298)+1)-R298)))</f>
        <v/>
      </c>
      <c r="AP298">
        <f t="shared" ca="1" si="71"/>
        <v>0</v>
      </c>
      <c r="AQ298" s="25" t="str">
        <f t="shared" si="72"/>
        <v/>
      </c>
      <c r="AR298" s="25" t="str">
        <f t="shared" si="73"/>
        <v/>
      </c>
      <c r="AS298" s="25">
        <f t="shared" si="74"/>
        <v>46298</v>
      </c>
      <c r="AT298" s="25">
        <f t="shared" si="75"/>
        <v>46298</v>
      </c>
      <c r="AU298" s="25" t="str">
        <f t="shared" si="76"/>
        <v/>
      </c>
      <c r="AV298" s="25" t="str">
        <f t="shared" si="77"/>
        <v/>
      </c>
      <c r="AW298" s="25" t="str">
        <f t="shared" si="78"/>
        <v/>
      </c>
      <c r="AX298" s="25" t="str">
        <f t="shared" si="79"/>
        <v/>
      </c>
      <c r="AY298" s="25" t="str">
        <f t="shared" si="80"/>
        <v/>
      </c>
      <c r="AZ298" s="25" t="str">
        <f t="shared" si="81"/>
        <v/>
      </c>
      <c r="BA298" s="25" t="str">
        <f t="shared" si="82"/>
        <v/>
      </c>
      <c r="BB298" s="25" t="str">
        <f t="shared" si="83"/>
        <v/>
      </c>
      <c r="BC298" s="25">
        <f t="shared" si="84"/>
        <v>46298</v>
      </c>
    </row>
    <row r="299" spans="1:55" x14ac:dyDescent="0.25">
      <c r="A299" s="151">
        <f t="shared" si="69"/>
        <v>297</v>
      </c>
      <c r="B299" s="151" t="s">
        <v>481</v>
      </c>
      <c r="C299" s="152" t="s">
        <v>355</v>
      </c>
      <c r="D299" s="151">
        <f t="shared" si="68"/>
        <v>1</v>
      </c>
      <c r="E299" s="151" t="s">
        <v>100</v>
      </c>
      <c r="F299" s="173">
        <v>46298</v>
      </c>
      <c r="G299" s="173"/>
      <c r="H299" s="173"/>
      <c r="I299" s="173">
        <v>46298</v>
      </c>
      <c r="J299" s="173">
        <v>46298</v>
      </c>
      <c r="K299" s="173"/>
      <c r="L299" s="173"/>
      <c r="M299" s="173"/>
      <c r="N299" s="173"/>
      <c r="O299" s="173"/>
      <c r="P299" s="173"/>
      <c r="Q299" s="173"/>
      <c r="R299" s="173"/>
      <c r="S299" s="173"/>
      <c r="T299" s="174">
        <v>46298</v>
      </c>
      <c r="U299" s="151"/>
      <c r="V299" s="152"/>
      <c r="W299" s="175"/>
      <c r="X299" s="173"/>
      <c r="Y299" s="173"/>
      <c r="Z299" s="176" t="str">
        <f>IF(B299="","",IF(S299&lt;&gt;"","Sevk Edildi",IF(AND(X299&lt;&gt;"",Y299=""),"Reworkte",IF(T299&lt;&gt;"","Kapandı"&amp;IF(COUNT(G299:R299)=0,""," – "&amp;LOOKUP(2,1/(G299:R299=MAX(G299:R299)),{"Tasarım","Ply Cutter","Üretim","Kalite (Üretim sonrası)","Talaşlı","Kalite (Talaşlı sonrası)","Montaj","Kalite (Montaj sonrası)","Boya","Kalite (Boya sonrası)","Yarı Mamül","KM"})),IF(COUNT(G299:R299)=0,"Başlamadı",LOOKUP(2,1/(G299:R299=MAX(G299:R299)),{"Tasarımda","Ply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299" s="177">
        <f t="shared" ca="1" si="70"/>
        <v>0</v>
      </c>
      <c r="AB299" s="175"/>
      <c r="AD299" t="str">
        <f>IF(OR($B299="",NOT(ISNUMBER(G299))),"",IF(COUNTIF(H299:$T299,G299)&gt;0,0,IF(COUNTIF($G299:$T299,"&gt;"&amp;G299)=0,"",SMALL($G299:$T299,COUNTIF($G299:$T299,"&lt;="&amp;G299)+1)-G299)))</f>
        <v/>
      </c>
      <c r="AE299" t="str">
        <f>IF(OR($B299="",NOT(ISNUMBER(H299))),"",IF(COUNTIF(I299:$T299,H299)&gt;0,0,IF(COUNTIF($G299:$T299,"&gt;"&amp;H299)=0,"",SMALL($G299:$T299,COUNTIF($G299:$T299,"&lt;="&amp;H299)+1)-H299)))</f>
        <v/>
      </c>
      <c r="AF299">
        <f>IF(OR($B299="",NOT(ISNUMBER(I299))),"",IF(COUNTIF(J299:$T299,I299)&gt;0,0,IF(COUNTIF($G299:$T299,"&gt;"&amp;I299)=0,"",SMALL($G299:$T299,COUNTIF($G299:$T299,"&lt;="&amp;I299)+1)-I299)))</f>
        <v>0</v>
      </c>
      <c r="AG299">
        <f>IF(OR($B299="",NOT(ISNUMBER(J299))),"",IF(COUNTIF(K299:$T299,J299)&gt;0,0,IF(COUNTIF($G299:$T299,"&gt;"&amp;J299)=0,"",SMALL($G299:$T299,COUNTIF($G299:$T299,"&lt;="&amp;J299)+1)-J299)))</f>
        <v>0</v>
      </c>
      <c r="AH299" t="str">
        <f>IF(OR($B299="",NOT(ISNUMBER(K299))),"",IF(COUNTIF(L299:$T299,K299)&gt;0,0,IF(COUNTIF($G299:$T299,"&gt;"&amp;K299)=0,"",SMALL($G299:$T299,COUNTIF($G299:$T299,"&lt;="&amp;K299)+1)-K299)))</f>
        <v/>
      </c>
      <c r="AI299" t="str">
        <f>IF(OR($B299="",NOT(ISNUMBER(L299))),"",IF(COUNTIF(M299:$T299,L299)&gt;0,0,IF(COUNTIF($G299:$T299,"&gt;"&amp;L299)=0,"",SMALL($G299:$T299,COUNTIF($G299:$T299,"&lt;="&amp;L299)+1)-L299)))</f>
        <v/>
      </c>
      <c r="AJ299" t="str">
        <f>IF(OR($B299="",NOT(ISNUMBER(M299))),"",IF(COUNTIF(N299:$T299,M299)&gt;0,0,IF(COUNTIF($G299:$T299,"&gt;"&amp;M299)=0,"",SMALL($G299:$T299,COUNTIF($G299:$T299,"&lt;="&amp;M299)+1)-M299)))</f>
        <v/>
      </c>
      <c r="AK299" t="str">
        <f>IF(OR($B299="",NOT(ISNUMBER(N299))),"",IF(COUNTIF(O299:$T299,N299)&gt;0,0,IF(COUNTIF($G299:$T299,"&gt;"&amp;N299)=0,"",SMALL($G299:$T299,COUNTIF($G299:$T299,"&lt;="&amp;N299)+1)-N299)))</f>
        <v/>
      </c>
      <c r="AL299" t="str">
        <f>IF(OR($B299="",NOT(ISNUMBER(O299))),"",IF(COUNTIF(P299:$T299,O299)&gt;0,0,IF(COUNTIF($G299:$T299,"&gt;"&amp;O299)=0,"",SMALL($G299:$T299,COUNTIF($G299:$T299,"&lt;="&amp;O299)+1)-O299)))</f>
        <v/>
      </c>
      <c r="AM299" t="str">
        <f>IF(OR($B299="",NOT(ISNUMBER(P299))),"",IF(COUNTIF(Q299:$T299,P299)&gt;0,0,IF(COUNTIF($G299:$T299,"&gt;"&amp;P299)=0,"",SMALL($G299:$T299,COUNTIF($G299:$T299,"&lt;="&amp;P299)+1)-P299)))</f>
        <v/>
      </c>
      <c r="AN299" t="str">
        <f>IF(OR($B299="",NOT(ISNUMBER(Q299))),"",IF(COUNTIF(R299:$T299,Q299)&gt;0,0,IF(COUNTIF($G299:$T299,"&gt;"&amp;Q299)=0,"",SMALL($G299:$T299,COUNTIF($G299:$T299,"&lt;="&amp;Q299)+1)-Q299)))</f>
        <v/>
      </c>
      <c r="AO299" t="str">
        <f>IF(OR($B299="",NOT(ISNUMBER(R299))),"",IF(COUNTIF(S299:$T299,R299)&gt;0,0,IF(COUNTIF($G299:$T299,"&gt;"&amp;R299)=0,"",SMALL($G299:$T299,COUNTIF($G299:$T299,"&lt;="&amp;R299)+1)-R299)))</f>
        <v/>
      </c>
      <c r="AP299">
        <f t="shared" ca="1" si="71"/>
        <v>0</v>
      </c>
      <c r="AQ299" s="25" t="str">
        <f t="shared" si="72"/>
        <v/>
      </c>
      <c r="AR299" s="25" t="str">
        <f t="shared" si="73"/>
        <v/>
      </c>
      <c r="AS299" s="25">
        <f t="shared" si="74"/>
        <v>46298</v>
      </c>
      <c r="AT299" s="25">
        <f t="shared" si="75"/>
        <v>46298</v>
      </c>
      <c r="AU299" s="25" t="str">
        <f t="shared" si="76"/>
        <v/>
      </c>
      <c r="AV299" s="25" t="str">
        <f t="shared" si="77"/>
        <v/>
      </c>
      <c r="AW299" s="25" t="str">
        <f t="shared" si="78"/>
        <v/>
      </c>
      <c r="AX299" s="25" t="str">
        <f t="shared" si="79"/>
        <v/>
      </c>
      <c r="AY299" s="25" t="str">
        <f t="shared" si="80"/>
        <v/>
      </c>
      <c r="AZ299" s="25" t="str">
        <f t="shared" si="81"/>
        <v/>
      </c>
      <c r="BA299" s="25" t="str">
        <f t="shared" si="82"/>
        <v/>
      </c>
      <c r="BB299" s="25" t="str">
        <f t="shared" si="83"/>
        <v/>
      </c>
      <c r="BC299" s="25">
        <f t="shared" si="84"/>
        <v>46298</v>
      </c>
    </row>
    <row r="300" spans="1:55" x14ac:dyDescent="0.25">
      <c r="A300" s="151">
        <f t="shared" si="69"/>
        <v>298</v>
      </c>
      <c r="B300" s="151" t="s">
        <v>482</v>
      </c>
      <c r="C300" s="152" t="s">
        <v>72</v>
      </c>
      <c r="D300" s="151">
        <f t="shared" si="68"/>
        <v>1</v>
      </c>
      <c r="E300" s="151" t="s">
        <v>100</v>
      </c>
      <c r="F300" s="173">
        <v>46298</v>
      </c>
      <c r="G300" s="173"/>
      <c r="H300" s="173"/>
      <c r="I300" s="173">
        <v>46298</v>
      </c>
      <c r="J300" s="173">
        <v>46298</v>
      </c>
      <c r="K300" s="173"/>
      <c r="L300" s="173"/>
      <c r="M300" s="173"/>
      <c r="N300" s="173"/>
      <c r="O300" s="173"/>
      <c r="P300" s="173"/>
      <c r="Q300" s="173"/>
      <c r="R300" s="173"/>
      <c r="S300" s="173"/>
      <c r="T300" s="174">
        <v>46298</v>
      </c>
      <c r="U300" s="151"/>
      <c r="V300" s="152"/>
      <c r="W300" s="175"/>
      <c r="X300" s="173"/>
      <c r="Y300" s="173"/>
      <c r="Z300" s="176" t="str">
        <f>IF(B300="","",IF(S300&lt;&gt;"","Sevk Edildi",IF(AND(X300&lt;&gt;"",Y300=""),"Reworkte",IF(T300&lt;&gt;"","Kapandı"&amp;IF(COUNT(G300:R300)=0,""," – "&amp;LOOKUP(2,1/(G300:R300=MAX(G300:R300)),{"Tasarım","Ply Cutter","Üretim","Kalite (Üretim sonrası)","Talaşlı","Kalite (Talaşlı sonrası)","Montaj","Kalite (Montaj sonrası)","Boya","Kalite (Boya sonrası)","Yarı Mamül","KM"})),IF(COUNT(G300:R300)=0,"Başlamadı",LOOKUP(2,1/(G300:R300=MAX(G300:R300)),{"Tasarımda","Ply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00" s="177">
        <f t="shared" ca="1" si="70"/>
        <v>0</v>
      </c>
      <c r="AB300" s="175"/>
      <c r="AD300" t="str">
        <f>IF(OR($B300="",NOT(ISNUMBER(G300))),"",IF(COUNTIF(H300:$T300,G300)&gt;0,0,IF(COUNTIF($G300:$T300,"&gt;"&amp;G300)=0,"",SMALL($G300:$T300,COUNTIF($G300:$T300,"&lt;="&amp;G300)+1)-G300)))</f>
        <v/>
      </c>
      <c r="AE300" t="str">
        <f>IF(OR($B300="",NOT(ISNUMBER(H300))),"",IF(COUNTIF(I300:$T300,H300)&gt;0,0,IF(COUNTIF($G300:$T300,"&gt;"&amp;H300)=0,"",SMALL($G300:$T300,COUNTIF($G300:$T300,"&lt;="&amp;H300)+1)-H300)))</f>
        <v/>
      </c>
      <c r="AF300">
        <f>IF(OR($B300="",NOT(ISNUMBER(I300))),"",IF(COUNTIF(J300:$T300,I300)&gt;0,0,IF(COUNTIF($G300:$T300,"&gt;"&amp;I300)=0,"",SMALL($G300:$T300,COUNTIF($G300:$T300,"&lt;="&amp;I300)+1)-I300)))</f>
        <v>0</v>
      </c>
      <c r="AG300">
        <f>IF(OR($B300="",NOT(ISNUMBER(J300))),"",IF(COUNTIF(K300:$T300,J300)&gt;0,0,IF(COUNTIF($G300:$T300,"&gt;"&amp;J300)=0,"",SMALL($G300:$T300,COUNTIF($G300:$T300,"&lt;="&amp;J300)+1)-J300)))</f>
        <v>0</v>
      </c>
      <c r="AH300" t="str">
        <f>IF(OR($B300="",NOT(ISNUMBER(K300))),"",IF(COUNTIF(L300:$T300,K300)&gt;0,0,IF(COUNTIF($G300:$T300,"&gt;"&amp;K300)=0,"",SMALL($G300:$T300,COUNTIF($G300:$T300,"&lt;="&amp;K300)+1)-K300)))</f>
        <v/>
      </c>
      <c r="AI300" t="str">
        <f>IF(OR($B300="",NOT(ISNUMBER(L300))),"",IF(COUNTIF(M300:$T300,L300)&gt;0,0,IF(COUNTIF($G300:$T300,"&gt;"&amp;L300)=0,"",SMALL($G300:$T300,COUNTIF($G300:$T300,"&lt;="&amp;L300)+1)-L300)))</f>
        <v/>
      </c>
      <c r="AJ300" t="str">
        <f>IF(OR($B300="",NOT(ISNUMBER(M300))),"",IF(COUNTIF(N300:$T300,M300)&gt;0,0,IF(COUNTIF($G300:$T300,"&gt;"&amp;M300)=0,"",SMALL($G300:$T300,COUNTIF($G300:$T300,"&lt;="&amp;M300)+1)-M300)))</f>
        <v/>
      </c>
      <c r="AK300" t="str">
        <f>IF(OR($B300="",NOT(ISNUMBER(N300))),"",IF(COUNTIF(O300:$T300,N300)&gt;0,0,IF(COUNTIF($G300:$T300,"&gt;"&amp;N300)=0,"",SMALL($G300:$T300,COUNTIF($G300:$T300,"&lt;="&amp;N300)+1)-N300)))</f>
        <v/>
      </c>
      <c r="AL300" t="str">
        <f>IF(OR($B300="",NOT(ISNUMBER(O300))),"",IF(COUNTIF(P300:$T300,O300)&gt;0,0,IF(COUNTIF($G300:$T300,"&gt;"&amp;O300)=0,"",SMALL($G300:$T300,COUNTIF($G300:$T300,"&lt;="&amp;O300)+1)-O300)))</f>
        <v/>
      </c>
      <c r="AM300" t="str">
        <f>IF(OR($B300="",NOT(ISNUMBER(P300))),"",IF(COUNTIF(Q300:$T300,P300)&gt;0,0,IF(COUNTIF($G300:$T300,"&gt;"&amp;P300)=0,"",SMALL($G300:$T300,COUNTIF($G300:$T300,"&lt;="&amp;P300)+1)-P300)))</f>
        <v/>
      </c>
      <c r="AN300" t="str">
        <f>IF(OR($B300="",NOT(ISNUMBER(Q300))),"",IF(COUNTIF(R300:$T300,Q300)&gt;0,0,IF(COUNTIF($G300:$T300,"&gt;"&amp;Q300)=0,"",SMALL($G300:$T300,COUNTIF($G300:$T300,"&lt;="&amp;Q300)+1)-Q300)))</f>
        <v/>
      </c>
      <c r="AO300" t="str">
        <f>IF(OR($B300="",NOT(ISNUMBER(R300))),"",IF(COUNTIF(S300:$T300,R300)&gt;0,0,IF(COUNTIF($G300:$T300,"&gt;"&amp;R300)=0,"",SMALL($G300:$T300,COUNTIF($G300:$T300,"&lt;="&amp;R300)+1)-R300)))</f>
        <v/>
      </c>
      <c r="AP300">
        <f t="shared" ca="1" si="71"/>
        <v>0</v>
      </c>
      <c r="AQ300" s="25" t="str">
        <f t="shared" si="72"/>
        <v/>
      </c>
      <c r="AR300" s="25" t="str">
        <f t="shared" si="73"/>
        <v/>
      </c>
      <c r="AS300" s="25">
        <f t="shared" si="74"/>
        <v>46298</v>
      </c>
      <c r="AT300" s="25">
        <f t="shared" si="75"/>
        <v>46298</v>
      </c>
      <c r="AU300" s="25" t="str">
        <f t="shared" si="76"/>
        <v/>
      </c>
      <c r="AV300" s="25" t="str">
        <f t="shared" si="77"/>
        <v/>
      </c>
      <c r="AW300" s="25" t="str">
        <f t="shared" si="78"/>
        <v/>
      </c>
      <c r="AX300" s="25" t="str">
        <f t="shared" si="79"/>
        <v/>
      </c>
      <c r="AY300" s="25" t="str">
        <f t="shared" si="80"/>
        <v/>
      </c>
      <c r="AZ300" s="25" t="str">
        <f t="shared" si="81"/>
        <v/>
      </c>
      <c r="BA300" s="25" t="str">
        <f t="shared" si="82"/>
        <v/>
      </c>
      <c r="BB300" s="25" t="str">
        <f t="shared" si="83"/>
        <v/>
      </c>
      <c r="BC300" s="25">
        <f t="shared" si="84"/>
        <v>46298</v>
      </c>
    </row>
    <row r="301" spans="1:55" x14ac:dyDescent="0.25">
      <c r="A301" s="151">
        <f t="shared" si="69"/>
        <v>299</v>
      </c>
      <c r="B301" s="151" t="s">
        <v>483</v>
      </c>
      <c r="C301" s="152" t="s">
        <v>180</v>
      </c>
      <c r="D301" s="151">
        <f t="shared" si="68"/>
        <v>1</v>
      </c>
      <c r="E301" s="151" t="s">
        <v>100</v>
      </c>
      <c r="F301" s="173">
        <v>46298</v>
      </c>
      <c r="G301" s="173"/>
      <c r="H301" s="173"/>
      <c r="I301" s="173">
        <v>46298</v>
      </c>
      <c r="J301" s="173">
        <v>46298</v>
      </c>
      <c r="K301" s="173"/>
      <c r="L301" s="173"/>
      <c r="M301" s="173"/>
      <c r="N301" s="173"/>
      <c r="O301" s="173"/>
      <c r="P301" s="173"/>
      <c r="Q301" s="173"/>
      <c r="R301" s="173"/>
      <c r="S301" s="173"/>
      <c r="T301" s="174">
        <v>46298</v>
      </c>
      <c r="U301" s="151"/>
      <c r="V301" s="152"/>
      <c r="W301" s="175"/>
      <c r="X301" s="173"/>
      <c r="Y301" s="173"/>
      <c r="Z301" s="176" t="str">
        <f>IF(B301="","",IF(S301&lt;&gt;"","Sevk Edildi",IF(AND(X301&lt;&gt;"",Y301=""),"Reworkte",IF(T301&lt;&gt;"","Kapandı"&amp;IF(COUNT(G301:R301)=0,""," – "&amp;LOOKUP(2,1/(G301:R301=MAX(G301:R301)),{"Tasarım","Ply Cutter","Üretim","Kalite (Üretim sonrası)","Talaşlı","Kalite (Talaşlı sonrası)","Montaj","Kalite (Montaj sonrası)","Boya","Kalite (Boya sonrası)","Yarı Mamül","KM"})),IF(COUNT(G301:R301)=0,"Başlamadı",LOOKUP(2,1/(G301:R301=MAX(G301:R301)),{"Tasarımda","Ply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01" s="177">
        <f t="shared" ca="1" si="70"/>
        <v>0</v>
      </c>
      <c r="AB301" s="175"/>
      <c r="AD301" t="str">
        <f>IF(OR($B301="",NOT(ISNUMBER(G301))),"",IF(COUNTIF(H301:$T301,G301)&gt;0,0,IF(COUNTIF($G301:$T301,"&gt;"&amp;G301)=0,"",SMALL($G301:$T301,COUNTIF($G301:$T301,"&lt;="&amp;G301)+1)-G301)))</f>
        <v/>
      </c>
      <c r="AE301" t="str">
        <f>IF(OR($B301="",NOT(ISNUMBER(H301))),"",IF(COUNTIF(I301:$T301,H301)&gt;0,0,IF(COUNTIF($G301:$T301,"&gt;"&amp;H301)=0,"",SMALL($G301:$T301,COUNTIF($G301:$T301,"&lt;="&amp;H301)+1)-H301)))</f>
        <v/>
      </c>
      <c r="AF301">
        <f>IF(OR($B301="",NOT(ISNUMBER(I301))),"",IF(COUNTIF(J301:$T301,I301)&gt;0,0,IF(COUNTIF($G301:$T301,"&gt;"&amp;I301)=0,"",SMALL($G301:$T301,COUNTIF($G301:$T301,"&lt;="&amp;I301)+1)-I301)))</f>
        <v>0</v>
      </c>
      <c r="AG301">
        <f>IF(OR($B301="",NOT(ISNUMBER(J301))),"",IF(COUNTIF(K301:$T301,J301)&gt;0,0,IF(COUNTIF($G301:$T301,"&gt;"&amp;J301)=0,"",SMALL($G301:$T301,COUNTIF($G301:$T301,"&lt;="&amp;J301)+1)-J301)))</f>
        <v>0</v>
      </c>
      <c r="AH301" t="str">
        <f>IF(OR($B301="",NOT(ISNUMBER(K301))),"",IF(COUNTIF(L301:$T301,K301)&gt;0,0,IF(COUNTIF($G301:$T301,"&gt;"&amp;K301)=0,"",SMALL($G301:$T301,COUNTIF($G301:$T301,"&lt;="&amp;K301)+1)-K301)))</f>
        <v/>
      </c>
      <c r="AI301" t="str">
        <f>IF(OR($B301="",NOT(ISNUMBER(L301))),"",IF(COUNTIF(M301:$T301,L301)&gt;0,0,IF(COUNTIF($G301:$T301,"&gt;"&amp;L301)=0,"",SMALL($G301:$T301,COUNTIF($G301:$T301,"&lt;="&amp;L301)+1)-L301)))</f>
        <v/>
      </c>
      <c r="AJ301" t="str">
        <f>IF(OR($B301="",NOT(ISNUMBER(M301))),"",IF(COUNTIF(N301:$T301,M301)&gt;0,0,IF(COUNTIF($G301:$T301,"&gt;"&amp;M301)=0,"",SMALL($G301:$T301,COUNTIF($G301:$T301,"&lt;="&amp;M301)+1)-M301)))</f>
        <v/>
      </c>
      <c r="AK301" t="str">
        <f>IF(OR($B301="",NOT(ISNUMBER(N301))),"",IF(COUNTIF(O301:$T301,N301)&gt;0,0,IF(COUNTIF($G301:$T301,"&gt;"&amp;N301)=0,"",SMALL($G301:$T301,COUNTIF($G301:$T301,"&lt;="&amp;N301)+1)-N301)))</f>
        <v/>
      </c>
      <c r="AL301" t="str">
        <f>IF(OR($B301="",NOT(ISNUMBER(O301))),"",IF(COUNTIF(P301:$T301,O301)&gt;0,0,IF(COUNTIF($G301:$T301,"&gt;"&amp;O301)=0,"",SMALL($G301:$T301,COUNTIF($G301:$T301,"&lt;="&amp;O301)+1)-O301)))</f>
        <v/>
      </c>
      <c r="AM301" t="str">
        <f>IF(OR($B301="",NOT(ISNUMBER(P301))),"",IF(COUNTIF(Q301:$T301,P301)&gt;0,0,IF(COUNTIF($G301:$T301,"&gt;"&amp;P301)=0,"",SMALL($G301:$T301,COUNTIF($G301:$T301,"&lt;="&amp;P301)+1)-P301)))</f>
        <v/>
      </c>
      <c r="AN301" t="str">
        <f>IF(OR($B301="",NOT(ISNUMBER(Q301))),"",IF(COUNTIF(R301:$T301,Q301)&gt;0,0,IF(COUNTIF($G301:$T301,"&gt;"&amp;Q301)=0,"",SMALL($G301:$T301,COUNTIF($G301:$T301,"&lt;="&amp;Q301)+1)-Q301)))</f>
        <v/>
      </c>
      <c r="AO301" t="str">
        <f>IF(OR($B301="",NOT(ISNUMBER(R301))),"",IF(COUNTIF(S301:$T301,R301)&gt;0,0,IF(COUNTIF($G301:$T301,"&gt;"&amp;R301)=0,"",SMALL($G301:$T301,COUNTIF($G301:$T301,"&lt;="&amp;R301)+1)-R301)))</f>
        <v/>
      </c>
      <c r="AP301">
        <f t="shared" ca="1" si="71"/>
        <v>0</v>
      </c>
      <c r="AQ301" s="25" t="str">
        <f t="shared" si="72"/>
        <v/>
      </c>
      <c r="AR301" s="25" t="str">
        <f t="shared" si="73"/>
        <v/>
      </c>
      <c r="AS301" s="25">
        <f t="shared" si="74"/>
        <v>46298</v>
      </c>
      <c r="AT301" s="25">
        <f t="shared" si="75"/>
        <v>46298</v>
      </c>
      <c r="AU301" s="25" t="str">
        <f t="shared" si="76"/>
        <v/>
      </c>
      <c r="AV301" s="25" t="str">
        <f t="shared" si="77"/>
        <v/>
      </c>
      <c r="AW301" s="25" t="str">
        <f t="shared" si="78"/>
        <v/>
      </c>
      <c r="AX301" s="25" t="str">
        <f t="shared" si="79"/>
        <v/>
      </c>
      <c r="AY301" s="25" t="str">
        <f t="shared" si="80"/>
        <v/>
      </c>
      <c r="AZ301" s="25" t="str">
        <f t="shared" si="81"/>
        <v/>
      </c>
      <c r="BA301" s="25" t="str">
        <f t="shared" si="82"/>
        <v/>
      </c>
      <c r="BB301" s="25" t="str">
        <f t="shared" si="83"/>
        <v/>
      </c>
      <c r="BC301" s="25">
        <f t="shared" si="84"/>
        <v>46298</v>
      </c>
    </row>
    <row r="302" spans="1:55" x14ac:dyDescent="0.25">
      <c r="A302" s="151">
        <f t="shared" si="69"/>
        <v>300</v>
      </c>
      <c r="B302" s="151" t="s">
        <v>484</v>
      </c>
      <c r="C302" s="152" t="s">
        <v>466</v>
      </c>
      <c r="D302" s="151">
        <f t="shared" si="68"/>
        <v>2</v>
      </c>
      <c r="E302" s="151" t="s">
        <v>100</v>
      </c>
      <c r="F302" s="173">
        <v>46298</v>
      </c>
      <c r="G302" s="173"/>
      <c r="H302" s="173"/>
      <c r="I302" s="173">
        <v>46298</v>
      </c>
      <c r="J302" s="173">
        <v>46298</v>
      </c>
      <c r="K302" s="173"/>
      <c r="L302" s="173"/>
      <c r="M302" s="173"/>
      <c r="N302" s="173"/>
      <c r="O302" s="173"/>
      <c r="P302" s="173"/>
      <c r="Q302" s="173"/>
      <c r="R302" s="173"/>
      <c r="S302" s="173"/>
      <c r="T302" s="174">
        <v>46298</v>
      </c>
      <c r="U302" s="151"/>
      <c r="V302" s="152"/>
      <c r="W302" s="175"/>
      <c r="X302" s="173"/>
      <c r="Y302" s="173"/>
      <c r="Z302" s="176" t="str">
        <f>IF(B302="","",IF(S302&lt;&gt;"","Sevk Edildi",IF(AND(X302&lt;&gt;"",Y302=""),"Reworkte",IF(T302&lt;&gt;"","Kapandı"&amp;IF(COUNT(G302:R302)=0,""," – "&amp;LOOKUP(2,1/(G302:R302=MAX(G302:R302)),{"Tasarım","Ply Cutter","Üretim","Kalite (Üretim sonrası)","Talaşlı","Kalite (Talaşlı sonrası)","Montaj","Kalite (Montaj sonrası)","Boya","Kalite (Boya sonrası)","Yarı Mamül","KM"})),IF(COUNT(G302:R302)=0,"Başlamadı",LOOKUP(2,1/(G302:R302=MAX(G302:R302)),{"Tasarımda","Ply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02" s="177">
        <f t="shared" ca="1" si="70"/>
        <v>0</v>
      </c>
      <c r="AB302" s="175"/>
      <c r="AD302" t="str">
        <f>IF(OR($B302="",NOT(ISNUMBER(G302))),"",IF(COUNTIF(H302:$T302,G302)&gt;0,0,IF(COUNTIF($G302:$T302,"&gt;"&amp;G302)=0,"",SMALL($G302:$T302,COUNTIF($G302:$T302,"&lt;="&amp;G302)+1)-G302)))</f>
        <v/>
      </c>
      <c r="AE302" t="str">
        <f>IF(OR($B302="",NOT(ISNUMBER(H302))),"",IF(COUNTIF(I302:$T302,H302)&gt;0,0,IF(COUNTIF($G302:$T302,"&gt;"&amp;H302)=0,"",SMALL($G302:$T302,COUNTIF($G302:$T302,"&lt;="&amp;H302)+1)-H302)))</f>
        <v/>
      </c>
      <c r="AF302">
        <f>IF(OR($B302="",NOT(ISNUMBER(I302))),"",IF(COUNTIF(J302:$T302,I302)&gt;0,0,IF(COUNTIF($G302:$T302,"&gt;"&amp;I302)=0,"",SMALL($G302:$T302,COUNTIF($G302:$T302,"&lt;="&amp;I302)+1)-I302)))</f>
        <v>0</v>
      </c>
      <c r="AG302">
        <f>IF(OR($B302="",NOT(ISNUMBER(J302))),"",IF(COUNTIF(K302:$T302,J302)&gt;0,0,IF(COUNTIF($G302:$T302,"&gt;"&amp;J302)=0,"",SMALL($G302:$T302,COUNTIF($G302:$T302,"&lt;="&amp;J302)+1)-J302)))</f>
        <v>0</v>
      </c>
      <c r="AH302" t="str">
        <f>IF(OR($B302="",NOT(ISNUMBER(K302))),"",IF(COUNTIF(L302:$T302,K302)&gt;0,0,IF(COUNTIF($G302:$T302,"&gt;"&amp;K302)=0,"",SMALL($G302:$T302,COUNTIF($G302:$T302,"&lt;="&amp;K302)+1)-K302)))</f>
        <v/>
      </c>
      <c r="AI302" t="str">
        <f>IF(OR($B302="",NOT(ISNUMBER(L302))),"",IF(COUNTIF(M302:$T302,L302)&gt;0,0,IF(COUNTIF($G302:$T302,"&gt;"&amp;L302)=0,"",SMALL($G302:$T302,COUNTIF($G302:$T302,"&lt;="&amp;L302)+1)-L302)))</f>
        <v/>
      </c>
      <c r="AJ302" t="str">
        <f>IF(OR($B302="",NOT(ISNUMBER(M302))),"",IF(COUNTIF(N302:$T302,M302)&gt;0,0,IF(COUNTIF($G302:$T302,"&gt;"&amp;M302)=0,"",SMALL($G302:$T302,COUNTIF($G302:$T302,"&lt;="&amp;M302)+1)-M302)))</f>
        <v/>
      </c>
      <c r="AK302" t="str">
        <f>IF(OR($B302="",NOT(ISNUMBER(N302))),"",IF(COUNTIF(O302:$T302,N302)&gt;0,0,IF(COUNTIF($G302:$T302,"&gt;"&amp;N302)=0,"",SMALL($G302:$T302,COUNTIF($G302:$T302,"&lt;="&amp;N302)+1)-N302)))</f>
        <v/>
      </c>
      <c r="AL302" t="str">
        <f>IF(OR($B302="",NOT(ISNUMBER(O302))),"",IF(COUNTIF(P302:$T302,O302)&gt;0,0,IF(COUNTIF($G302:$T302,"&gt;"&amp;O302)=0,"",SMALL($G302:$T302,COUNTIF($G302:$T302,"&lt;="&amp;O302)+1)-O302)))</f>
        <v/>
      </c>
      <c r="AM302" t="str">
        <f>IF(OR($B302="",NOT(ISNUMBER(P302))),"",IF(COUNTIF(Q302:$T302,P302)&gt;0,0,IF(COUNTIF($G302:$T302,"&gt;"&amp;P302)=0,"",SMALL($G302:$T302,COUNTIF($G302:$T302,"&lt;="&amp;P302)+1)-P302)))</f>
        <v/>
      </c>
      <c r="AN302" t="str">
        <f>IF(OR($B302="",NOT(ISNUMBER(Q302))),"",IF(COUNTIF(R302:$T302,Q302)&gt;0,0,IF(COUNTIF($G302:$T302,"&gt;"&amp;Q302)=0,"",SMALL($G302:$T302,COUNTIF($G302:$T302,"&lt;="&amp;Q302)+1)-Q302)))</f>
        <v/>
      </c>
      <c r="AO302" t="str">
        <f>IF(OR($B302="",NOT(ISNUMBER(R302))),"",IF(COUNTIF(S302:$T302,R302)&gt;0,0,IF(COUNTIF($G302:$T302,"&gt;"&amp;R302)=0,"",SMALL($G302:$T302,COUNTIF($G302:$T302,"&lt;="&amp;R302)+1)-R302)))</f>
        <v/>
      </c>
      <c r="AP302">
        <f t="shared" ca="1" si="71"/>
        <v>0</v>
      </c>
      <c r="AQ302" s="25" t="str">
        <f t="shared" si="72"/>
        <v/>
      </c>
      <c r="AR302" s="25" t="str">
        <f t="shared" si="73"/>
        <v/>
      </c>
      <c r="AS302" s="25">
        <f t="shared" si="74"/>
        <v>46298</v>
      </c>
      <c r="AT302" s="25">
        <f t="shared" si="75"/>
        <v>46298</v>
      </c>
      <c r="AU302" s="25" t="str">
        <f t="shared" si="76"/>
        <v/>
      </c>
      <c r="AV302" s="25" t="str">
        <f t="shared" si="77"/>
        <v/>
      </c>
      <c r="AW302" s="25" t="str">
        <f t="shared" si="78"/>
        <v/>
      </c>
      <c r="AX302" s="25" t="str">
        <f t="shared" si="79"/>
        <v/>
      </c>
      <c r="AY302" s="25" t="str">
        <f t="shared" si="80"/>
        <v/>
      </c>
      <c r="AZ302" s="25" t="str">
        <f t="shared" si="81"/>
        <v/>
      </c>
      <c r="BA302" s="25" t="str">
        <f t="shared" si="82"/>
        <v/>
      </c>
      <c r="BB302" s="25" t="str">
        <f t="shared" si="83"/>
        <v/>
      </c>
      <c r="BC302" s="25">
        <f t="shared" si="84"/>
        <v>46298</v>
      </c>
    </row>
    <row r="303" spans="1:55" x14ac:dyDescent="0.25">
      <c r="A303" s="151">
        <f t="shared" si="69"/>
        <v>301</v>
      </c>
      <c r="B303" s="151" t="s">
        <v>485</v>
      </c>
      <c r="C303" s="152" t="s">
        <v>367</v>
      </c>
      <c r="D303" s="151">
        <f t="shared" si="68"/>
        <v>1</v>
      </c>
      <c r="E303" s="151" t="s">
        <v>100</v>
      </c>
      <c r="F303" s="173">
        <v>46298</v>
      </c>
      <c r="G303" s="173"/>
      <c r="H303" s="173"/>
      <c r="I303" s="173">
        <v>46298</v>
      </c>
      <c r="J303" s="173">
        <v>46300</v>
      </c>
      <c r="K303" s="173"/>
      <c r="L303" s="173"/>
      <c r="M303" s="173"/>
      <c r="N303" s="173"/>
      <c r="O303" s="173"/>
      <c r="P303" s="173"/>
      <c r="Q303" s="173">
        <v>46300</v>
      </c>
      <c r="R303" s="173"/>
      <c r="S303" s="173"/>
      <c r="T303" s="174">
        <v>46300</v>
      </c>
      <c r="U303" s="151"/>
      <c r="V303" s="152"/>
      <c r="W303" s="175"/>
      <c r="X303" s="173"/>
      <c r="Y303" s="173"/>
      <c r="Z303" s="176" t="str">
        <f>IF(B303="","",IF(S303&lt;&gt;"","Sevk Edildi",IF(AND(X303&lt;&gt;"",Y303=""),"Reworkte",IF(T303&lt;&gt;"","Kapandı"&amp;IF(COUNT(G303:R303)=0,""," – "&amp;LOOKUP(2,1/(G303:R303=MAX(G303:R303)),{"Tasarım","Ply Cutter","Üretim","Kalite (Üretim sonrası)","Talaşlı","Kalite (Talaşlı sonrası)","Montaj","Kalite (Montaj sonrası)","Boya","Kalite (Boya sonrası)","Yarı Mamül","KM"})),IF(COUNT(G303:R303)=0,"Başlamadı",LOOKUP(2,1/(G303:R303=MAX(G303:R303)),{"Tasarımda","Ply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03" s="177">
        <f t="shared" ca="1" si="70"/>
        <v>2</v>
      </c>
      <c r="AB303" s="175"/>
      <c r="AD303" t="str">
        <f>IF(OR($B303="",NOT(ISNUMBER(G303))),"",IF(COUNTIF(H303:$T303,G303)&gt;0,0,IF(COUNTIF($G303:$T303,"&gt;"&amp;G303)=0,"",SMALL($G303:$T303,COUNTIF($G303:$T303,"&lt;="&amp;G303)+1)-G303)))</f>
        <v/>
      </c>
      <c r="AE303" t="str">
        <f>IF(OR($B303="",NOT(ISNUMBER(H303))),"",IF(COUNTIF(I303:$T303,H303)&gt;0,0,IF(COUNTIF($G303:$T303,"&gt;"&amp;H303)=0,"",SMALL($G303:$T303,COUNTIF($G303:$T303,"&lt;="&amp;H303)+1)-H303)))</f>
        <v/>
      </c>
      <c r="AF303">
        <f>IF(OR($B303="",NOT(ISNUMBER(I303))),"",IF(COUNTIF(J303:$T303,I303)&gt;0,0,IF(COUNTIF($G303:$T303,"&gt;"&amp;I303)=0,"",SMALL($G303:$T303,COUNTIF($G303:$T303,"&lt;="&amp;I303)+1)-I303)))</f>
        <v>2</v>
      </c>
      <c r="AG303">
        <f>IF(OR($B303="",NOT(ISNUMBER(J303))),"",IF(COUNTIF(K303:$T303,J303)&gt;0,0,IF(COUNTIF($G303:$T303,"&gt;"&amp;J303)=0,"",SMALL($G303:$T303,COUNTIF($G303:$T303,"&lt;="&amp;J303)+1)-J303)))</f>
        <v>0</v>
      </c>
      <c r="AH303" t="str">
        <f>IF(OR($B303="",NOT(ISNUMBER(K303))),"",IF(COUNTIF(L303:$T303,K303)&gt;0,0,IF(COUNTIF($G303:$T303,"&gt;"&amp;K303)=0,"",SMALL($G303:$T303,COUNTIF($G303:$T303,"&lt;="&amp;K303)+1)-K303)))</f>
        <v/>
      </c>
      <c r="AI303" t="str">
        <f>IF(OR($B303="",NOT(ISNUMBER(L303))),"",IF(COUNTIF(M303:$T303,L303)&gt;0,0,IF(COUNTIF($G303:$T303,"&gt;"&amp;L303)=0,"",SMALL($G303:$T303,COUNTIF($G303:$T303,"&lt;="&amp;L303)+1)-L303)))</f>
        <v/>
      </c>
      <c r="AJ303" t="str">
        <f>IF(OR($B303="",NOT(ISNUMBER(M303))),"",IF(COUNTIF(N303:$T303,M303)&gt;0,0,IF(COUNTIF($G303:$T303,"&gt;"&amp;M303)=0,"",SMALL($G303:$T303,COUNTIF($G303:$T303,"&lt;="&amp;M303)+1)-M303)))</f>
        <v/>
      </c>
      <c r="AK303" t="str">
        <f>IF(OR($B303="",NOT(ISNUMBER(N303))),"",IF(COUNTIF(O303:$T303,N303)&gt;0,0,IF(COUNTIF($G303:$T303,"&gt;"&amp;N303)=0,"",SMALL($G303:$T303,COUNTIF($G303:$T303,"&lt;="&amp;N303)+1)-N303)))</f>
        <v/>
      </c>
      <c r="AL303" t="str">
        <f>IF(OR($B303="",NOT(ISNUMBER(O303))),"",IF(COUNTIF(P303:$T303,O303)&gt;0,0,IF(COUNTIF($G303:$T303,"&gt;"&amp;O303)=0,"",SMALL($G303:$T303,COUNTIF($G303:$T303,"&lt;="&amp;O303)+1)-O303)))</f>
        <v/>
      </c>
      <c r="AM303" t="str">
        <f>IF(OR($B303="",NOT(ISNUMBER(P303))),"",IF(COUNTIF(Q303:$T303,P303)&gt;0,0,IF(COUNTIF($G303:$T303,"&gt;"&amp;P303)=0,"",SMALL($G303:$T303,COUNTIF($G303:$T303,"&lt;="&amp;P303)+1)-P303)))</f>
        <v/>
      </c>
      <c r="AN303">
        <f>IF(OR($B303="",NOT(ISNUMBER(Q303))),"",IF(COUNTIF(R303:$T303,Q303)&gt;0,0,IF(COUNTIF($G303:$T303,"&gt;"&amp;Q303)=0,"",SMALL($G303:$T303,COUNTIF($G303:$T303,"&lt;="&amp;Q303)+1)-Q303)))</f>
        <v>0</v>
      </c>
      <c r="AO303" t="str">
        <f>IF(OR($B303="",NOT(ISNUMBER(R303))),"",IF(COUNTIF(S303:$T303,R303)&gt;0,0,IF(COUNTIF($G303:$T303,"&gt;"&amp;R303)=0,"",SMALL($G303:$T303,COUNTIF($G303:$T303,"&lt;="&amp;R303)+1)-R303)))</f>
        <v/>
      </c>
      <c r="AP303">
        <f t="shared" ca="1" si="71"/>
        <v>0</v>
      </c>
      <c r="AQ303" s="25" t="str">
        <f t="shared" si="72"/>
        <v/>
      </c>
      <c r="AR303" s="25" t="str">
        <f t="shared" si="73"/>
        <v/>
      </c>
      <c r="AS303" s="25">
        <f t="shared" si="74"/>
        <v>46300</v>
      </c>
      <c r="AT303" s="25">
        <f t="shared" si="75"/>
        <v>46300</v>
      </c>
      <c r="AU303" s="25" t="str">
        <f t="shared" si="76"/>
        <v/>
      </c>
      <c r="AV303" s="25" t="str">
        <f t="shared" si="77"/>
        <v/>
      </c>
      <c r="AW303" s="25" t="str">
        <f t="shared" si="78"/>
        <v/>
      </c>
      <c r="AX303" s="25" t="str">
        <f t="shared" si="79"/>
        <v/>
      </c>
      <c r="AY303" s="25" t="str">
        <f t="shared" si="80"/>
        <v/>
      </c>
      <c r="AZ303" s="25" t="str">
        <f t="shared" si="81"/>
        <v/>
      </c>
      <c r="BA303" s="25">
        <f t="shared" si="82"/>
        <v>46300</v>
      </c>
      <c r="BB303" s="25" t="str">
        <f t="shared" si="83"/>
        <v/>
      </c>
      <c r="BC303" s="25">
        <f t="shared" si="84"/>
        <v>46300</v>
      </c>
    </row>
    <row r="304" spans="1:55" x14ac:dyDescent="0.25">
      <c r="A304" s="151">
        <f t="shared" si="69"/>
        <v>302</v>
      </c>
      <c r="B304" s="151" t="s">
        <v>486</v>
      </c>
      <c r="C304" s="152" t="s">
        <v>423</v>
      </c>
      <c r="D304" s="151">
        <f t="shared" si="68"/>
        <v>1</v>
      </c>
      <c r="E304" s="151" t="s">
        <v>100</v>
      </c>
      <c r="F304" s="173">
        <v>46298</v>
      </c>
      <c r="G304" s="173"/>
      <c r="H304" s="173"/>
      <c r="I304" s="173">
        <v>46300</v>
      </c>
      <c r="J304" s="173">
        <v>46302</v>
      </c>
      <c r="K304" s="173"/>
      <c r="L304" s="173"/>
      <c r="M304" s="173"/>
      <c r="N304" s="173"/>
      <c r="O304" s="173"/>
      <c r="P304" s="173"/>
      <c r="Q304" s="173">
        <v>46302</v>
      </c>
      <c r="R304" s="173"/>
      <c r="S304" s="173"/>
      <c r="T304" s="174">
        <v>46302</v>
      </c>
      <c r="U304" s="151"/>
      <c r="V304" s="152"/>
      <c r="W304" s="175"/>
      <c r="X304" s="173"/>
      <c r="Y304" s="173"/>
      <c r="Z304" s="176" t="str">
        <f>IF(B304="","",IF(S304&lt;&gt;"","Sevk Edildi",IF(AND(X304&lt;&gt;"",Y304=""),"Reworkte",IF(T304&lt;&gt;"","Kapandı"&amp;IF(COUNT(G304:R304)=0,""," – "&amp;LOOKUP(2,1/(G304:R304=MAX(G304:R304)),{"Tasarım","Ply Cutter","Üretim","Kalite (Üretim sonrası)","Talaşlı","Kalite (Talaşlı sonrası)","Montaj","Kalite (Montaj sonrası)","Boya","Kalite (Boya sonrası)","Yarı Mamül","KM"})),IF(COUNT(G304:R304)=0,"Başlamadı",LOOKUP(2,1/(G304:R304=MAX(G304:R304)),{"Tasarımda","Ply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04" s="177">
        <f t="shared" ca="1" si="70"/>
        <v>4</v>
      </c>
      <c r="AB304" s="175"/>
      <c r="AD304" t="str">
        <f>IF(OR($B304="",NOT(ISNUMBER(G304))),"",IF(COUNTIF(H304:$T304,G304)&gt;0,0,IF(COUNTIF($G304:$T304,"&gt;"&amp;G304)=0,"",SMALL($G304:$T304,COUNTIF($G304:$T304,"&lt;="&amp;G304)+1)-G304)))</f>
        <v/>
      </c>
      <c r="AE304" t="str">
        <f>IF(OR($B304="",NOT(ISNUMBER(H304))),"",IF(COUNTIF(I304:$T304,H304)&gt;0,0,IF(COUNTIF($G304:$T304,"&gt;"&amp;H304)=0,"",SMALL($G304:$T304,COUNTIF($G304:$T304,"&lt;="&amp;H304)+1)-H304)))</f>
        <v/>
      </c>
      <c r="AF304">
        <f>IF(OR($B304="",NOT(ISNUMBER(I304))),"",IF(COUNTIF(J304:$T304,I304)&gt;0,0,IF(COUNTIF($G304:$T304,"&gt;"&amp;I304)=0,"",SMALL($G304:$T304,COUNTIF($G304:$T304,"&lt;="&amp;I304)+1)-I304)))</f>
        <v>2</v>
      </c>
      <c r="AG304">
        <f>IF(OR($B304="",NOT(ISNUMBER(J304))),"",IF(COUNTIF(K304:$T304,J304)&gt;0,0,IF(COUNTIF($G304:$T304,"&gt;"&amp;J304)=0,"",SMALL($G304:$T304,COUNTIF($G304:$T304,"&lt;="&amp;J304)+1)-J304)))</f>
        <v>0</v>
      </c>
      <c r="AH304" t="str">
        <f>IF(OR($B304="",NOT(ISNUMBER(K304))),"",IF(COUNTIF(L304:$T304,K304)&gt;0,0,IF(COUNTIF($G304:$T304,"&gt;"&amp;K304)=0,"",SMALL($G304:$T304,COUNTIF($G304:$T304,"&lt;="&amp;K304)+1)-K304)))</f>
        <v/>
      </c>
      <c r="AI304" t="str">
        <f>IF(OR($B304="",NOT(ISNUMBER(L304))),"",IF(COUNTIF(M304:$T304,L304)&gt;0,0,IF(COUNTIF($G304:$T304,"&gt;"&amp;L304)=0,"",SMALL($G304:$T304,COUNTIF($G304:$T304,"&lt;="&amp;L304)+1)-L304)))</f>
        <v/>
      </c>
      <c r="AJ304" t="str">
        <f>IF(OR($B304="",NOT(ISNUMBER(M304))),"",IF(COUNTIF(N304:$T304,M304)&gt;0,0,IF(COUNTIF($G304:$T304,"&gt;"&amp;M304)=0,"",SMALL($G304:$T304,COUNTIF($G304:$T304,"&lt;="&amp;M304)+1)-M304)))</f>
        <v/>
      </c>
      <c r="AK304" t="str">
        <f>IF(OR($B304="",NOT(ISNUMBER(N304))),"",IF(COUNTIF(O304:$T304,N304)&gt;0,0,IF(COUNTIF($G304:$T304,"&gt;"&amp;N304)=0,"",SMALL($G304:$T304,COUNTIF($G304:$T304,"&lt;="&amp;N304)+1)-N304)))</f>
        <v/>
      </c>
      <c r="AL304" t="str">
        <f>IF(OR($B304="",NOT(ISNUMBER(O304))),"",IF(COUNTIF(P304:$T304,O304)&gt;0,0,IF(COUNTIF($G304:$T304,"&gt;"&amp;O304)=0,"",SMALL($G304:$T304,COUNTIF($G304:$T304,"&lt;="&amp;O304)+1)-O304)))</f>
        <v/>
      </c>
      <c r="AM304" t="str">
        <f>IF(OR($B304="",NOT(ISNUMBER(P304))),"",IF(COUNTIF(Q304:$T304,P304)&gt;0,0,IF(COUNTIF($G304:$T304,"&gt;"&amp;P304)=0,"",SMALL($G304:$T304,COUNTIF($G304:$T304,"&lt;="&amp;P304)+1)-P304)))</f>
        <v/>
      </c>
      <c r="AN304">
        <f>IF(OR($B304="",NOT(ISNUMBER(Q304))),"",IF(COUNTIF(R304:$T304,Q304)&gt;0,0,IF(COUNTIF($G304:$T304,"&gt;"&amp;Q304)=0,"",SMALL($G304:$T304,COUNTIF($G304:$T304,"&lt;="&amp;Q304)+1)-Q304)))</f>
        <v>0</v>
      </c>
      <c r="AO304" t="str">
        <f>IF(OR($B304="",NOT(ISNUMBER(R304))),"",IF(COUNTIF(S304:$T304,R304)&gt;0,0,IF(COUNTIF($G304:$T304,"&gt;"&amp;R304)=0,"",SMALL($G304:$T304,COUNTIF($G304:$T304,"&lt;="&amp;R304)+1)-R304)))</f>
        <v/>
      </c>
      <c r="AP304">
        <f t="shared" ca="1" si="71"/>
        <v>0</v>
      </c>
      <c r="AQ304" s="25" t="str">
        <f t="shared" si="72"/>
        <v/>
      </c>
      <c r="AR304" s="25" t="str">
        <f t="shared" si="73"/>
        <v/>
      </c>
      <c r="AS304" s="25">
        <f t="shared" si="74"/>
        <v>46302</v>
      </c>
      <c r="AT304" s="25">
        <f t="shared" si="75"/>
        <v>46302</v>
      </c>
      <c r="AU304" s="25" t="str">
        <f t="shared" si="76"/>
        <v/>
      </c>
      <c r="AV304" s="25" t="str">
        <f t="shared" si="77"/>
        <v/>
      </c>
      <c r="AW304" s="25" t="str">
        <f t="shared" si="78"/>
        <v/>
      </c>
      <c r="AX304" s="25" t="str">
        <f t="shared" si="79"/>
        <v/>
      </c>
      <c r="AY304" s="25" t="str">
        <f t="shared" si="80"/>
        <v/>
      </c>
      <c r="AZ304" s="25" t="str">
        <f t="shared" si="81"/>
        <v/>
      </c>
      <c r="BA304" s="25">
        <f t="shared" si="82"/>
        <v>46302</v>
      </c>
      <c r="BB304" s="25" t="str">
        <f t="shared" si="83"/>
        <v/>
      </c>
      <c r="BC304" s="25">
        <f t="shared" si="84"/>
        <v>46302</v>
      </c>
    </row>
    <row r="305" spans="1:55" x14ac:dyDescent="0.25">
      <c r="A305" s="151">
        <f t="shared" si="69"/>
        <v>303</v>
      </c>
      <c r="B305" s="151" t="s">
        <v>487</v>
      </c>
      <c r="C305" s="152" t="s">
        <v>285</v>
      </c>
      <c r="D305" s="151">
        <f t="shared" si="68"/>
        <v>1</v>
      </c>
      <c r="E305" s="151" t="s">
        <v>100</v>
      </c>
      <c r="F305" s="173">
        <v>46298</v>
      </c>
      <c r="G305" s="173"/>
      <c r="H305" s="173"/>
      <c r="I305" s="173">
        <v>46298</v>
      </c>
      <c r="J305" s="173">
        <v>46300</v>
      </c>
      <c r="K305" s="173"/>
      <c r="L305" s="173"/>
      <c r="M305" s="173"/>
      <c r="N305" s="173"/>
      <c r="O305" s="173"/>
      <c r="P305" s="173"/>
      <c r="Q305" s="173"/>
      <c r="R305" s="173"/>
      <c r="S305" s="173"/>
      <c r="T305" s="174">
        <v>46300</v>
      </c>
      <c r="U305" s="151"/>
      <c r="V305" s="152"/>
      <c r="W305" s="175"/>
      <c r="X305" s="173"/>
      <c r="Y305" s="173"/>
      <c r="Z305" s="176" t="str">
        <f>IF(B305="","",IF(S305&lt;&gt;"","Sevk Edildi",IF(AND(X305&lt;&gt;"",Y305=""),"Reworkte",IF(T305&lt;&gt;"","Kapandı"&amp;IF(COUNT(G305:R305)=0,""," – "&amp;LOOKUP(2,1/(G305:R305=MAX(G305:R305)),{"Tasarım","Ply Cutter","Üretim","Kalite (Üretim sonrası)","Talaşlı","Kalite (Talaşlı sonrası)","Montaj","Kalite (Montaj sonrası)","Boya","Kalite (Boya sonrası)","Yarı Mamül","KM"})),IF(COUNT(G305:R305)=0,"Başlamadı",LOOKUP(2,1/(G305:R305=MAX(G305:R305)),{"Tasarımda","Ply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05" s="177">
        <f t="shared" ca="1" si="70"/>
        <v>2</v>
      </c>
      <c r="AB305" s="175"/>
      <c r="AD305" t="str">
        <f>IF(OR($B305="",NOT(ISNUMBER(G305))),"",IF(COUNTIF(H305:$T305,G305)&gt;0,0,IF(COUNTIF($G305:$T305,"&gt;"&amp;G305)=0,"",SMALL($G305:$T305,COUNTIF($G305:$T305,"&lt;="&amp;G305)+1)-G305)))</f>
        <v/>
      </c>
      <c r="AE305" t="str">
        <f>IF(OR($B305="",NOT(ISNUMBER(H305))),"",IF(COUNTIF(I305:$T305,H305)&gt;0,0,IF(COUNTIF($G305:$T305,"&gt;"&amp;H305)=0,"",SMALL($G305:$T305,COUNTIF($G305:$T305,"&lt;="&amp;H305)+1)-H305)))</f>
        <v/>
      </c>
      <c r="AF305">
        <f>IF(OR($B305="",NOT(ISNUMBER(I305))),"",IF(COUNTIF(J305:$T305,I305)&gt;0,0,IF(COUNTIF($G305:$T305,"&gt;"&amp;I305)=0,"",SMALL($G305:$T305,COUNTIF($G305:$T305,"&lt;="&amp;I305)+1)-I305)))</f>
        <v>2</v>
      </c>
      <c r="AG305">
        <f>IF(OR($B305="",NOT(ISNUMBER(J305))),"",IF(COUNTIF(K305:$T305,J305)&gt;0,0,IF(COUNTIF($G305:$T305,"&gt;"&amp;J305)=0,"",SMALL($G305:$T305,COUNTIF($G305:$T305,"&lt;="&amp;J305)+1)-J305)))</f>
        <v>0</v>
      </c>
      <c r="AH305" t="str">
        <f>IF(OR($B305="",NOT(ISNUMBER(K305))),"",IF(COUNTIF(L305:$T305,K305)&gt;0,0,IF(COUNTIF($G305:$T305,"&gt;"&amp;K305)=0,"",SMALL($G305:$T305,COUNTIF($G305:$T305,"&lt;="&amp;K305)+1)-K305)))</f>
        <v/>
      </c>
      <c r="AI305" t="str">
        <f>IF(OR($B305="",NOT(ISNUMBER(L305))),"",IF(COUNTIF(M305:$T305,L305)&gt;0,0,IF(COUNTIF($G305:$T305,"&gt;"&amp;L305)=0,"",SMALL($G305:$T305,COUNTIF($G305:$T305,"&lt;="&amp;L305)+1)-L305)))</f>
        <v/>
      </c>
      <c r="AJ305" t="str">
        <f>IF(OR($B305="",NOT(ISNUMBER(M305))),"",IF(COUNTIF(N305:$T305,M305)&gt;0,0,IF(COUNTIF($G305:$T305,"&gt;"&amp;M305)=0,"",SMALL($G305:$T305,COUNTIF($G305:$T305,"&lt;="&amp;M305)+1)-M305)))</f>
        <v/>
      </c>
      <c r="AK305" t="str">
        <f>IF(OR($B305="",NOT(ISNUMBER(N305))),"",IF(COUNTIF(O305:$T305,N305)&gt;0,0,IF(COUNTIF($G305:$T305,"&gt;"&amp;N305)=0,"",SMALL($G305:$T305,COUNTIF($G305:$T305,"&lt;="&amp;N305)+1)-N305)))</f>
        <v/>
      </c>
      <c r="AL305" t="str">
        <f>IF(OR($B305="",NOT(ISNUMBER(O305))),"",IF(COUNTIF(P305:$T305,O305)&gt;0,0,IF(COUNTIF($G305:$T305,"&gt;"&amp;O305)=0,"",SMALL($G305:$T305,COUNTIF($G305:$T305,"&lt;="&amp;O305)+1)-O305)))</f>
        <v/>
      </c>
      <c r="AM305" t="str">
        <f>IF(OR($B305="",NOT(ISNUMBER(P305))),"",IF(COUNTIF(Q305:$T305,P305)&gt;0,0,IF(COUNTIF($G305:$T305,"&gt;"&amp;P305)=0,"",SMALL($G305:$T305,COUNTIF($G305:$T305,"&lt;="&amp;P305)+1)-P305)))</f>
        <v/>
      </c>
      <c r="AN305" t="str">
        <f>IF(OR($B305="",NOT(ISNUMBER(Q305))),"",IF(COUNTIF(R305:$T305,Q305)&gt;0,0,IF(COUNTIF($G305:$T305,"&gt;"&amp;Q305)=0,"",SMALL($G305:$T305,COUNTIF($G305:$T305,"&lt;="&amp;Q305)+1)-Q305)))</f>
        <v/>
      </c>
      <c r="AO305" t="str">
        <f>IF(OR($B305="",NOT(ISNUMBER(R305))),"",IF(COUNTIF(S305:$T305,R305)&gt;0,0,IF(COUNTIF($G305:$T305,"&gt;"&amp;R305)=0,"",SMALL($G305:$T305,COUNTIF($G305:$T305,"&lt;="&amp;R305)+1)-R305)))</f>
        <v/>
      </c>
      <c r="AP305">
        <f t="shared" ca="1" si="71"/>
        <v>0</v>
      </c>
      <c r="AQ305" s="25" t="str">
        <f t="shared" si="72"/>
        <v/>
      </c>
      <c r="AR305" s="25" t="str">
        <f t="shared" si="73"/>
        <v/>
      </c>
      <c r="AS305" s="25">
        <f t="shared" si="74"/>
        <v>46300</v>
      </c>
      <c r="AT305" s="25">
        <f t="shared" si="75"/>
        <v>46300</v>
      </c>
      <c r="AU305" s="25" t="str">
        <f t="shared" si="76"/>
        <v/>
      </c>
      <c r="AV305" s="25" t="str">
        <f t="shared" si="77"/>
        <v/>
      </c>
      <c r="AW305" s="25" t="str">
        <f t="shared" si="78"/>
        <v/>
      </c>
      <c r="AX305" s="25" t="str">
        <f t="shared" si="79"/>
        <v/>
      </c>
      <c r="AY305" s="25" t="str">
        <f t="shared" si="80"/>
        <v/>
      </c>
      <c r="AZ305" s="25" t="str">
        <f t="shared" si="81"/>
        <v/>
      </c>
      <c r="BA305" s="25" t="str">
        <f t="shared" si="82"/>
        <v/>
      </c>
      <c r="BB305" s="25" t="str">
        <f t="shared" si="83"/>
        <v/>
      </c>
      <c r="BC305" s="25">
        <f t="shared" si="84"/>
        <v>46300</v>
      </c>
    </row>
    <row r="306" spans="1:55" x14ac:dyDescent="0.25">
      <c r="A306" s="151">
        <f t="shared" si="69"/>
        <v>304</v>
      </c>
      <c r="B306" s="151" t="s">
        <v>488</v>
      </c>
      <c r="C306" s="152" t="s">
        <v>285</v>
      </c>
      <c r="D306" s="151">
        <f t="shared" si="68"/>
        <v>1</v>
      </c>
      <c r="E306" s="151" t="s">
        <v>100</v>
      </c>
      <c r="F306" s="173">
        <v>46298</v>
      </c>
      <c r="G306" s="173"/>
      <c r="H306" s="173"/>
      <c r="I306" s="173">
        <v>46298</v>
      </c>
      <c r="J306" s="173">
        <v>46300</v>
      </c>
      <c r="K306" s="173"/>
      <c r="L306" s="173"/>
      <c r="M306" s="173"/>
      <c r="N306" s="173"/>
      <c r="O306" s="173"/>
      <c r="P306" s="173"/>
      <c r="Q306" s="173"/>
      <c r="R306" s="173"/>
      <c r="S306" s="173"/>
      <c r="T306" s="174">
        <v>46300</v>
      </c>
      <c r="U306" s="151"/>
      <c r="V306" s="152"/>
      <c r="W306" s="175"/>
      <c r="X306" s="173"/>
      <c r="Y306" s="173"/>
      <c r="Z306" s="176" t="str">
        <f>IF(B306="","",IF(S306&lt;&gt;"","Sevk Edildi",IF(AND(X306&lt;&gt;"",Y306=""),"Reworkte",IF(T306&lt;&gt;"","Kapandı"&amp;IF(COUNT(G306:R306)=0,""," – "&amp;LOOKUP(2,1/(G306:R306=MAX(G306:R306)),{"Tasarım","Ply Cutter","Üretim","Kalite (Üretim sonrası)","Talaşlı","Kalite (Talaşlı sonrası)","Montaj","Kalite (Montaj sonrası)","Boya","Kalite (Boya sonrası)","Yarı Mamül","KM"})),IF(COUNT(G306:R306)=0,"Başlamadı",LOOKUP(2,1/(G306:R306=MAX(G306:R306)),{"Tasarımda","Ply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06" s="177">
        <f t="shared" ca="1" si="70"/>
        <v>2</v>
      </c>
      <c r="AB306" s="175"/>
      <c r="AD306" t="str">
        <f>IF(OR($B306="",NOT(ISNUMBER(G306))),"",IF(COUNTIF(H306:$T306,G306)&gt;0,0,IF(COUNTIF($G306:$T306,"&gt;"&amp;G306)=0,"",SMALL($G306:$T306,COUNTIF($G306:$T306,"&lt;="&amp;G306)+1)-G306)))</f>
        <v/>
      </c>
      <c r="AE306" t="str">
        <f>IF(OR($B306="",NOT(ISNUMBER(H306))),"",IF(COUNTIF(I306:$T306,H306)&gt;0,0,IF(COUNTIF($G306:$T306,"&gt;"&amp;H306)=0,"",SMALL($G306:$T306,COUNTIF($G306:$T306,"&lt;="&amp;H306)+1)-H306)))</f>
        <v/>
      </c>
      <c r="AF306">
        <f>IF(OR($B306="",NOT(ISNUMBER(I306))),"",IF(COUNTIF(J306:$T306,I306)&gt;0,0,IF(COUNTIF($G306:$T306,"&gt;"&amp;I306)=0,"",SMALL($G306:$T306,COUNTIF($G306:$T306,"&lt;="&amp;I306)+1)-I306)))</f>
        <v>2</v>
      </c>
      <c r="AG306">
        <f>IF(OR($B306="",NOT(ISNUMBER(J306))),"",IF(COUNTIF(K306:$T306,J306)&gt;0,0,IF(COUNTIF($G306:$T306,"&gt;"&amp;J306)=0,"",SMALL($G306:$T306,COUNTIF($G306:$T306,"&lt;="&amp;J306)+1)-J306)))</f>
        <v>0</v>
      </c>
      <c r="AH306" t="str">
        <f>IF(OR($B306="",NOT(ISNUMBER(K306))),"",IF(COUNTIF(L306:$T306,K306)&gt;0,0,IF(COUNTIF($G306:$T306,"&gt;"&amp;K306)=0,"",SMALL($G306:$T306,COUNTIF($G306:$T306,"&lt;="&amp;K306)+1)-K306)))</f>
        <v/>
      </c>
      <c r="AI306" t="str">
        <f>IF(OR($B306="",NOT(ISNUMBER(L306))),"",IF(COUNTIF(M306:$T306,L306)&gt;0,0,IF(COUNTIF($G306:$T306,"&gt;"&amp;L306)=0,"",SMALL($G306:$T306,COUNTIF($G306:$T306,"&lt;="&amp;L306)+1)-L306)))</f>
        <v/>
      </c>
      <c r="AJ306" t="str">
        <f>IF(OR($B306="",NOT(ISNUMBER(M306))),"",IF(COUNTIF(N306:$T306,M306)&gt;0,0,IF(COUNTIF($G306:$T306,"&gt;"&amp;M306)=0,"",SMALL($G306:$T306,COUNTIF($G306:$T306,"&lt;="&amp;M306)+1)-M306)))</f>
        <v/>
      </c>
      <c r="AK306" t="str">
        <f>IF(OR($B306="",NOT(ISNUMBER(N306))),"",IF(COUNTIF(O306:$T306,N306)&gt;0,0,IF(COUNTIF($G306:$T306,"&gt;"&amp;N306)=0,"",SMALL($G306:$T306,COUNTIF($G306:$T306,"&lt;="&amp;N306)+1)-N306)))</f>
        <v/>
      </c>
      <c r="AL306" t="str">
        <f>IF(OR($B306="",NOT(ISNUMBER(O306))),"",IF(COUNTIF(P306:$T306,O306)&gt;0,0,IF(COUNTIF($G306:$T306,"&gt;"&amp;O306)=0,"",SMALL($G306:$T306,COUNTIF($G306:$T306,"&lt;="&amp;O306)+1)-O306)))</f>
        <v/>
      </c>
      <c r="AM306" t="str">
        <f>IF(OR($B306="",NOT(ISNUMBER(P306))),"",IF(COUNTIF(Q306:$T306,P306)&gt;0,0,IF(COUNTIF($G306:$T306,"&gt;"&amp;P306)=0,"",SMALL($G306:$T306,COUNTIF($G306:$T306,"&lt;="&amp;P306)+1)-P306)))</f>
        <v/>
      </c>
      <c r="AN306" t="str">
        <f>IF(OR($B306="",NOT(ISNUMBER(Q306))),"",IF(COUNTIF(R306:$T306,Q306)&gt;0,0,IF(COUNTIF($G306:$T306,"&gt;"&amp;Q306)=0,"",SMALL($G306:$T306,COUNTIF($G306:$T306,"&lt;="&amp;Q306)+1)-Q306)))</f>
        <v/>
      </c>
      <c r="AO306" t="str">
        <f>IF(OR($B306="",NOT(ISNUMBER(R306))),"",IF(COUNTIF(S306:$T306,R306)&gt;0,0,IF(COUNTIF($G306:$T306,"&gt;"&amp;R306)=0,"",SMALL($G306:$T306,COUNTIF($G306:$T306,"&lt;="&amp;R306)+1)-R306)))</f>
        <v/>
      </c>
      <c r="AP306">
        <f t="shared" ca="1" si="71"/>
        <v>0</v>
      </c>
      <c r="AQ306" s="25" t="str">
        <f t="shared" si="72"/>
        <v/>
      </c>
      <c r="AR306" s="25" t="str">
        <f t="shared" si="73"/>
        <v/>
      </c>
      <c r="AS306" s="25">
        <f t="shared" si="74"/>
        <v>46300</v>
      </c>
      <c r="AT306" s="25">
        <f t="shared" si="75"/>
        <v>46300</v>
      </c>
      <c r="AU306" s="25" t="str">
        <f t="shared" si="76"/>
        <v/>
      </c>
      <c r="AV306" s="25" t="str">
        <f t="shared" si="77"/>
        <v/>
      </c>
      <c r="AW306" s="25" t="str">
        <f t="shared" si="78"/>
        <v/>
      </c>
      <c r="AX306" s="25" t="str">
        <f t="shared" si="79"/>
        <v/>
      </c>
      <c r="AY306" s="25" t="str">
        <f t="shared" si="80"/>
        <v/>
      </c>
      <c r="AZ306" s="25" t="str">
        <f t="shared" si="81"/>
        <v/>
      </c>
      <c r="BA306" s="25" t="str">
        <f t="shared" si="82"/>
        <v/>
      </c>
      <c r="BB306" s="25" t="str">
        <f t="shared" si="83"/>
        <v/>
      </c>
      <c r="BC306" s="25">
        <f t="shared" si="84"/>
        <v>46300</v>
      </c>
    </row>
    <row r="307" spans="1:55" x14ac:dyDescent="0.25">
      <c r="A307" s="151">
        <f t="shared" si="69"/>
        <v>305</v>
      </c>
      <c r="B307" s="151" t="s">
        <v>489</v>
      </c>
      <c r="C307" s="152" t="s">
        <v>285</v>
      </c>
      <c r="D307" s="151">
        <f t="shared" si="68"/>
        <v>1</v>
      </c>
      <c r="E307" s="151" t="s">
        <v>100</v>
      </c>
      <c r="F307" s="173">
        <v>46298</v>
      </c>
      <c r="G307" s="173"/>
      <c r="H307" s="173"/>
      <c r="I307" s="173">
        <v>46298</v>
      </c>
      <c r="J307" s="173">
        <v>46300</v>
      </c>
      <c r="K307" s="173"/>
      <c r="L307" s="173"/>
      <c r="M307" s="173"/>
      <c r="N307" s="173"/>
      <c r="O307" s="173"/>
      <c r="P307" s="173"/>
      <c r="Q307" s="173"/>
      <c r="R307" s="173"/>
      <c r="S307" s="173"/>
      <c r="T307" s="174">
        <v>46300</v>
      </c>
      <c r="U307" s="151"/>
      <c r="V307" s="152"/>
      <c r="W307" s="175"/>
      <c r="X307" s="173"/>
      <c r="Y307" s="173"/>
      <c r="Z307" s="176" t="str">
        <f>IF(B307="","",IF(S307&lt;&gt;"","Sevk Edildi",IF(AND(X307&lt;&gt;"",Y307=""),"Reworkte",IF(T307&lt;&gt;"","Kapandı"&amp;IF(COUNT(G307:R307)=0,""," – "&amp;LOOKUP(2,1/(G307:R307=MAX(G307:R307)),{"Tasarım","Ply Cutter","Üretim","Kalite (Üretim sonrası)","Talaşlı","Kalite (Talaşlı sonrası)","Montaj","Kalite (Montaj sonrası)","Boya","Kalite (Boya sonrası)","Yarı Mamül","KM"})),IF(COUNT(G307:R307)=0,"Başlamadı",LOOKUP(2,1/(G307:R307=MAX(G307:R307)),{"Tasarımda","Ply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07" s="177">
        <f t="shared" ca="1" si="70"/>
        <v>2</v>
      </c>
      <c r="AB307" s="175"/>
      <c r="AD307" t="str">
        <f>IF(OR($B307="",NOT(ISNUMBER(G307))),"",IF(COUNTIF(H307:$T307,G307)&gt;0,0,IF(COUNTIF($G307:$T307,"&gt;"&amp;G307)=0,"",SMALL($G307:$T307,COUNTIF($G307:$T307,"&lt;="&amp;G307)+1)-G307)))</f>
        <v/>
      </c>
      <c r="AE307" t="str">
        <f>IF(OR($B307="",NOT(ISNUMBER(H307))),"",IF(COUNTIF(I307:$T307,H307)&gt;0,0,IF(COUNTIF($G307:$T307,"&gt;"&amp;H307)=0,"",SMALL($G307:$T307,COUNTIF($G307:$T307,"&lt;="&amp;H307)+1)-H307)))</f>
        <v/>
      </c>
      <c r="AF307">
        <f>IF(OR($B307="",NOT(ISNUMBER(I307))),"",IF(COUNTIF(J307:$T307,I307)&gt;0,0,IF(COUNTIF($G307:$T307,"&gt;"&amp;I307)=0,"",SMALL($G307:$T307,COUNTIF($G307:$T307,"&lt;="&amp;I307)+1)-I307)))</f>
        <v>2</v>
      </c>
      <c r="AG307">
        <f>IF(OR($B307="",NOT(ISNUMBER(J307))),"",IF(COUNTIF(K307:$T307,J307)&gt;0,0,IF(COUNTIF($G307:$T307,"&gt;"&amp;J307)=0,"",SMALL($G307:$T307,COUNTIF($G307:$T307,"&lt;="&amp;J307)+1)-J307)))</f>
        <v>0</v>
      </c>
      <c r="AH307" t="str">
        <f>IF(OR($B307="",NOT(ISNUMBER(K307))),"",IF(COUNTIF(L307:$T307,K307)&gt;0,0,IF(COUNTIF($G307:$T307,"&gt;"&amp;K307)=0,"",SMALL($G307:$T307,COUNTIF($G307:$T307,"&lt;="&amp;K307)+1)-K307)))</f>
        <v/>
      </c>
      <c r="AI307" t="str">
        <f>IF(OR($B307="",NOT(ISNUMBER(L307))),"",IF(COUNTIF(M307:$T307,L307)&gt;0,0,IF(COUNTIF($G307:$T307,"&gt;"&amp;L307)=0,"",SMALL($G307:$T307,COUNTIF($G307:$T307,"&lt;="&amp;L307)+1)-L307)))</f>
        <v/>
      </c>
      <c r="AJ307" t="str">
        <f>IF(OR($B307="",NOT(ISNUMBER(M307))),"",IF(COUNTIF(N307:$T307,M307)&gt;0,0,IF(COUNTIF($G307:$T307,"&gt;"&amp;M307)=0,"",SMALL($G307:$T307,COUNTIF($G307:$T307,"&lt;="&amp;M307)+1)-M307)))</f>
        <v/>
      </c>
      <c r="AK307" t="str">
        <f>IF(OR($B307="",NOT(ISNUMBER(N307))),"",IF(COUNTIF(O307:$T307,N307)&gt;0,0,IF(COUNTIF($G307:$T307,"&gt;"&amp;N307)=0,"",SMALL($G307:$T307,COUNTIF($G307:$T307,"&lt;="&amp;N307)+1)-N307)))</f>
        <v/>
      </c>
      <c r="AL307" t="str">
        <f>IF(OR($B307="",NOT(ISNUMBER(O307))),"",IF(COUNTIF(P307:$T307,O307)&gt;0,0,IF(COUNTIF($G307:$T307,"&gt;"&amp;O307)=0,"",SMALL($G307:$T307,COUNTIF($G307:$T307,"&lt;="&amp;O307)+1)-O307)))</f>
        <v/>
      </c>
      <c r="AM307" t="str">
        <f>IF(OR($B307="",NOT(ISNUMBER(P307))),"",IF(COUNTIF(Q307:$T307,P307)&gt;0,0,IF(COUNTIF($G307:$T307,"&gt;"&amp;P307)=0,"",SMALL($G307:$T307,COUNTIF($G307:$T307,"&lt;="&amp;P307)+1)-P307)))</f>
        <v/>
      </c>
      <c r="AN307" t="str">
        <f>IF(OR($B307="",NOT(ISNUMBER(Q307))),"",IF(COUNTIF(R307:$T307,Q307)&gt;0,0,IF(COUNTIF($G307:$T307,"&gt;"&amp;Q307)=0,"",SMALL($G307:$T307,COUNTIF($G307:$T307,"&lt;="&amp;Q307)+1)-Q307)))</f>
        <v/>
      </c>
      <c r="AO307" t="str">
        <f>IF(OR($B307="",NOT(ISNUMBER(R307))),"",IF(COUNTIF(S307:$T307,R307)&gt;0,0,IF(COUNTIF($G307:$T307,"&gt;"&amp;R307)=0,"",SMALL($G307:$T307,COUNTIF($G307:$T307,"&lt;="&amp;R307)+1)-R307)))</f>
        <v/>
      </c>
      <c r="AP307">
        <f t="shared" ca="1" si="71"/>
        <v>0</v>
      </c>
      <c r="AQ307" s="25" t="str">
        <f t="shared" si="72"/>
        <v/>
      </c>
      <c r="AR307" s="25" t="str">
        <f t="shared" si="73"/>
        <v/>
      </c>
      <c r="AS307" s="25">
        <f t="shared" si="74"/>
        <v>46300</v>
      </c>
      <c r="AT307" s="25">
        <f t="shared" si="75"/>
        <v>46300</v>
      </c>
      <c r="AU307" s="25" t="str">
        <f t="shared" si="76"/>
        <v/>
      </c>
      <c r="AV307" s="25" t="str">
        <f t="shared" si="77"/>
        <v/>
      </c>
      <c r="AW307" s="25" t="str">
        <f t="shared" si="78"/>
        <v/>
      </c>
      <c r="AX307" s="25" t="str">
        <f t="shared" si="79"/>
        <v/>
      </c>
      <c r="AY307" s="25" t="str">
        <f t="shared" si="80"/>
        <v/>
      </c>
      <c r="AZ307" s="25" t="str">
        <f t="shared" si="81"/>
        <v/>
      </c>
      <c r="BA307" s="25" t="str">
        <f t="shared" si="82"/>
        <v/>
      </c>
      <c r="BB307" s="25" t="str">
        <f t="shared" si="83"/>
        <v/>
      </c>
      <c r="BC307" s="25">
        <f t="shared" si="84"/>
        <v>46300</v>
      </c>
    </row>
    <row r="308" spans="1:55" x14ac:dyDescent="0.25">
      <c r="A308" s="151">
        <f t="shared" si="69"/>
        <v>306</v>
      </c>
      <c r="B308" s="151" t="s">
        <v>490</v>
      </c>
      <c r="C308" s="152" t="s">
        <v>119</v>
      </c>
      <c r="D308" s="151">
        <f t="shared" si="68"/>
        <v>1</v>
      </c>
      <c r="E308" s="151" t="s">
        <v>100</v>
      </c>
      <c r="F308" s="173">
        <v>46298</v>
      </c>
      <c r="G308" s="173"/>
      <c r="H308" s="173"/>
      <c r="I308" s="173">
        <v>46298</v>
      </c>
      <c r="J308" s="173">
        <v>46300</v>
      </c>
      <c r="K308" s="173"/>
      <c r="L308" s="173"/>
      <c r="M308" s="173"/>
      <c r="N308" s="173"/>
      <c r="O308" s="173"/>
      <c r="P308" s="173"/>
      <c r="Q308" s="173">
        <v>46302</v>
      </c>
      <c r="R308" s="173"/>
      <c r="S308" s="173"/>
      <c r="T308" s="174">
        <v>46302</v>
      </c>
      <c r="U308" s="151"/>
      <c r="V308" s="152"/>
      <c r="W308" s="175"/>
      <c r="X308" s="173"/>
      <c r="Y308" s="173"/>
      <c r="Z308" s="176" t="str">
        <f>IF(B308="","",IF(S308&lt;&gt;"","Sevk Edildi",IF(AND(X308&lt;&gt;"",Y308=""),"Reworkte",IF(T308&lt;&gt;"","Kapandı"&amp;IF(COUNT(G308:R308)=0,""," – "&amp;LOOKUP(2,1/(G308:R308=MAX(G308:R308)),{"Tasarım","Ply Cutter","Üretim","Kalite (Üretim sonrası)","Talaşlı","Kalite (Talaşlı sonrası)","Montaj","Kalite (Montaj sonrası)","Boya","Kalite (Boya sonrası)","Yarı Mamül","KM"})),IF(COUNT(G308:R308)=0,"Başlamadı",LOOKUP(2,1/(G308:R308=MAX(G308:R308)),{"Tasarımda","Ply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08" s="177">
        <f t="shared" ca="1" si="70"/>
        <v>4</v>
      </c>
      <c r="AB308" s="175"/>
      <c r="AD308" t="str">
        <f>IF(OR($B308="",NOT(ISNUMBER(G308))),"",IF(COUNTIF(H308:$T308,G308)&gt;0,0,IF(COUNTIF($G308:$T308,"&gt;"&amp;G308)=0,"",SMALL($G308:$T308,COUNTIF($G308:$T308,"&lt;="&amp;G308)+1)-G308)))</f>
        <v/>
      </c>
      <c r="AE308" t="str">
        <f>IF(OR($B308="",NOT(ISNUMBER(H308))),"",IF(COUNTIF(I308:$T308,H308)&gt;0,0,IF(COUNTIF($G308:$T308,"&gt;"&amp;H308)=0,"",SMALL($G308:$T308,COUNTIF($G308:$T308,"&lt;="&amp;H308)+1)-H308)))</f>
        <v/>
      </c>
      <c r="AF308">
        <f>IF(OR($B308="",NOT(ISNUMBER(I308))),"",IF(COUNTIF(J308:$T308,I308)&gt;0,0,IF(COUNTIF($G308:$T308,"&gt;"&amp;I308)=0,"",SMALL($G308:$T308,COUNTIF($G308:$T308,"&lt;="&amp;I308)+1)-I308)))</f>
        <v>2</v>
      </c>
      <c r="AG308">
        <f>IF(OR($B308="",NOT(ISNUMBER(J308))),"",IF(COUNTIF(K308:$T308,J308)&gt;0,0,IF(COUNTIF($G308:$T308,"&gt;"&amp;J308)=0,"",SMALL($G308:$T308,COUNTIF($G308:$T308,"&lt;="&amp;J308)+1)-J308)))</f>
        <v>2</v>
      </c>
      <c r="AH308" t="str">
        <f>IF(OR($B308="",NOT(ISNUMBER(K308))),"",IF(COUNTIF(L308:$T308,K308)&gt;0,0,IF(COUNTIF($G308:$T308,"&gt;"&amp;K308)=0,"",SMALL($G308:$T308,COUNTIF($G308:$T308,"&lt;="&amp;K308)+1)-K308)))</f>
        <v/>
      </c>
      <c r="AI308" t="str">
        <f>IF(OR($B308="",NOT(ISNUMBER(L308))),"",IF(COUNTIF(M308:$T308,L308)&gt;0,0,IF(COUNTIF($G308:$T308,"&gt;"&amp;L308)=0,"",SMALL($G308:$T308,COUNTIF($G308:$T308,"&lt;="&amp;L308)+1)-L308)))</f>
        <v/>
      </c>
      <c r="AJ308" t="str">
        <f>IF(OR($B308="",NOT(ISNUMBER(M308))),"",IF(COUNTIF(N308:$T308,M308)&gt;0,0,IF(COUNTIF($G308:$T308,"&gt;"&amp;M308)=0,"",SMALL($G308:$T308,COUNTIF($G308:$T308,"&lt;="&amp;M308)+1)-M308)))</f>
        <v/>
      </c>
      <c r="AK308" t="str">
        <f>IF(OR($B308="",NOT(ISNUMBER(N308))),"",IF(COUNTIF(O308:$T308,N308)&gt;0,0,IF(COUNTIF($G308:$T308,"&gt;"&amp;N308)=0,"",SMALL($G308:$T308,COUNTIF($G308:$T308,"&lt;="&amp;N308)+1)-N308)))</f>
        <v/>
      </c>
      <c r="AL308" t="str">
        <f>IF(OR($B308="",NOT(ISNUMBER(O308))),"",IF(COUNTIF(P308:$T308,O308)&gt;0,0,IF(COUNTIF($G308:$T308,"&gt;"&amp;O308)=0,"",SMALL($G308:$T308,COUNTIF($G308:$T308,"&lt;="&amp;O308)+1)-O308)))</f>
        <v/>
      </c>
      <c r="AM308" t="str">
        <f>IF(OR($B308="",NOT(ISNUMBER(P308))),"",IF(COUNTIF(Q308:$T308,P308)&gt;0,0,IF(COUNTIF($G308:$T308,"&gt;"&amp;P308)=0,"",SMALL($G308:$T308,COUNTIF($G308:$T308,"&lt;="&amp;P308)+1)-P308)))</f>
        <v/>
      </c>
      <c r="AN308">
        <f>IF(OR($B308="",NOT(ISNUMBER(Q308))),"",IF(COUNTIF(R308:$T308,Q308)&gt;0,0,IF(COUNTIF($G308:$T308,"&gt;"&amp;Q308)=0,"",SMALL($G308:$T308,COUNTIF($G308:$T308,"&lt;="&amp;Q308)+1)-Q308)))</f>
        <v>0</v>
      </c>
      <c r="AO308" t="str">
        <f>IF(OR($B308="",NOT(ISNUMBER(R308))),"",IF(COUNTIF(S308:$T308,R308)&gt;0,0,IF(COUNTIF($G308:$T308,"&gt;"&amp;R308)=0,"",SMALL($G308:$T308,COUNTIF($G308:$T308,"&lt;="&amp;R308)+1)-R308)))</f>
        <v/>
      </c>
      <c r="AP308">
        <f t="shared" ca="1" si="71"/>
        <v>0</v>
      </c>
      <c r="AQ308" s="25" t="str">
        <f t="shared" si="72"/>
        <v/>
      </c>
      <c r="AR308" s="25" t="str">
        <f t="shared" si="73"/>
        <v/>
      </c>
      <c r="AS308" s="25">
        <f t="shared" si="74"/>
        <v>46300</v>
      </c>
      <c r="AT308" s="25">
        <f t="shared" si="75"/>
        <v>46302</v>
      </c>
      <c r="AU308" s="25" t="str">
        <f t="shared" si="76"/>
        <v/>
      </c>
      <c r="AV308" s="25" t="str">
        <f t="shared" si="77"/>
        <v/>
      </c>
      <c r="AW308" s="25" t="str">
        <f t="shared" si="78"/>
        <v/>
      </c>
      <c r="AX308" s="25" t="str">
        <f t="shared" si="79"/>
        <v/>
      </c>
      <c r="AY308" s="25" t="str">
        <f t="shared" si="80"/>
        <v/>
      </c>
      <c r="AZ308" s="25" t="str">
        <f t="shared" si="81"/>
        <v/>
      </c>
      <c r="BA308" s="25">
        <f t="shared" si="82"/>
        <v>46302</v>
      </c>
      <c r="BB308" s="25" t="str">
        <f t="shared" si="83"/>
        <v/>
      </c>
      <c r="BC308" s="25">
        <f t="shared" si="84"/>
        <v>46302</v>
      </c>
    </row>
    <row r="309" spans="1:55" x14ac:dyDescent="0.25">
      <c r="A309" s="151">
        <f t="shared" si="69"/>
        <v>307</v>
      </c>
      <c r="B309" s="151" t="s">
        <v>491</v>
      </c>
      <c r="C309" s="152" t="s">
        <v>76</v>
      </c>
      <c r="D309" s="151">
        <f t="shared" si="68"/>
        <v>1</v>
      </c>
      <c r="E309" s="151" t="s">
        <v>100</v>
      </c>
      <c r="F309" s="173">
        <v>46298</v>
      </c>
      <c r="G309" s="173"/>
      <c r="H309" s="173"/>
      <c r="I309" s="173">
        <v>46298</v>
      </c>
      <c r="J309" s="173">
        <v>46300</v>
      </c>
      <c r="K309" s="173"/>
      <c r="L309" s="173"/>
      <c r="M309" s="173"/>
      <c r="N309" s="173"/>
      <c r="O309" s="173"/>
      <c r="P309" s="173"/>
      <c r="Q309" s="173">
        <v>46302</v>
      </c>
      <c r="R309" s="173"/>
      <c r="S309" s="173"/>
      <c r="T309" s="174">
        <v>46302</v>
      </c>
      <c r="U309" s="151"/>
      <c r="V309" s="152"/>
      <c r="W309" s="175"/>
      <c r="X309" s="173"/>
      <c r="Y309" s="173"/>
      <c r="Z309" s="176" t="str">
        <f>IF(B309="","",IF(S309&lt;&gt;"","Sevk Edildi",IF(AND(X309&lt;&gt;"",Y309=""),"Reworkte",IF(T309&lt;&gt;"","Kapandı"&amp;IF(COUNT(G309:R309)=0,""," – "&amp;LOOKUP(2,1/(G309:R309=MAX(G309:R309)),{"Tasarım","Ply Cutter","Üretim","Kalite (Üretim sonrası)","Talaşlı","Kalite (Talaşlı sonrası)","Montaj","Kalite (Montaj sonrası)","Boya","Kalite (Boya sonrası)","Yarı Mamül","KM"})),IF(COUNT(G309:R309)=0,"Başlamadı",LOOKUP(2,1/(G309:R309=MAX(G309:R309)),{"Tasarımda","Ply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09" s="177">
        <f t="shared" ca="1" si="70"/>
        <v>4</v>
      </c>
      <c r="AB309" s="175"/>
      <c r="AD309" t="str">
        <f>IF(OR($B309="",NOT(ISNUMBER(G309))),"",IF(COUNTIF(H309:$T309,G309)&gt;0,0,IF(COUNTIF($G309:$T309,"&gt;"&amp;G309)=0,"",SMALL($G309:$T309,COUNTIF($G309:$T309,"&lt;="&amp;G309)+1)-G309)))</f>
        <v/>
      </c>
      <c r="AE309" t="str">
        <f>IF(OR($B309="",NOT(ISNUMBER(H309))),"",IF(COUNTIF(I309:$T309,H309)&gt;0,0,IF(COUNTIF($G309:$T309,"&gt;"&amp;H309)=0,"",SMALL($G309:$T309,COUNTIF($G309:$T309,"&lt;="&amp;H309)+1)-H309)))</f>
        <v/>
      </c>
      <c r="AF309">
        <f>IF(OR($B309="",NOT(ISNUMBER(I309))),"",IF(COUNTIF(J309:$T309,I309)&gt;0,0,IF(COUNTIF($G309:$T309,"&gt;"&amp;I309)=0,"",SMALL($G309:$T309,COUNTIF($G309:$T309,"&lt;="&amp;I309)+1)-I309)))</f>
        <v>2</v>
      </c>
      <c r="AG309">
        <f>IF(OR($B309="",NOT(ISNUMBER(J309))),"",IF(COUNTIF(K309:$T309,J309)&gt;0,0,IF(COUNTIF($G309:$T309,"&gt;"&amp;J309)=0,"",SMALL($G309:$T309,COUNTIF($G309:$T309,"&lt;="&amp;J309)+1)-J309)))</f>
        <v>2</v>
      </c>
      <c r="AH309" t="str">
        <f>IF(OR($B309="",NOT(ISNUMBER(K309))),"",IF(COUNTIF(L309:$T309,K309)&gt;0,0,IF(COUNTIF($G309:$T309,"&gt;"&amp;K309)=0,"",SMALL($G309:$T309,COUNTIF($G309:$T309,"&lt;="&amp;K309)+1)-K309)))</f>
        <v/>
      </c>
      <c r="AI309" t="str">
        <f>IF(OR($B309="",NOT(ISNUMBER(L309))),"",IF(COUNTIF(M309:$T309,L309)&gt;0,0,IF(COUNTIF($G309:$T309,"&gt;"&amp;L309)=0,"",SMALL($G309:$T309,COUNTIF($G309:$T309,"&lt;="&amp;L309)+1)-L309)))</f>
        <v/>
      </c>
      <c r="AJ309" t="str">
        <f>IF(OR($B309="",NOT(ISNUMBER(M309))),"",IF(COUNTIF(N309:$T309,M309)&gt;0,0,IF(COUNTIF($G309:$T309,"&gt;"&amp;M309)=0,"",SMALL($G309:$T309,COUNTIF($G309:$T309,"&lt;="&amp;M309)+1)-M309)))</f>
        <v/>
      </c>
      <c r="AK309" t="str">
        <f>IF(OR($B309="",NOT(ISNUMBER(N309))),"",IF(COUNTIF(O309:$T309,N309)&gt;0,0,IF(COUNTIF($G309:$T309,"&gt;"&amp;N309)=0,"",SMALL($G309:$T309,COUNTIF($G309:$T309,"&lt;="&amp;N309)+1)-N309)))</f>
        <v/>
      </c>
      <c r="AL309" t="str">
        <f>IF(OR($B309="",NOT(ISNUMBER(O309))),"",IF(COUNTIF(P309:$T309,O309)&gt;0,0,IF(COUNTIF($G309:$T309,"&gt;"&amp;O309)=0,"",SMALL($G309:$T309,COUNTIF($G309:$T309,"&lt;="&amp;O309)+1)-O309)))</f>
        <v/>
      </c>
      <c r="AM309" t="str">
        <f>IF(OR($B309="",NOT(ISNUMBER(P309))),"",IF(COUNTIF(Q309:$T309,P309)&gt;0,0,IF(COUNTIF($G309:$T309,"&gt;"&amp;P309)=0,"",SMALL($G309:$T309,COUNTIF($G309:$T309,"&lt;="&amp;P309)+1)-P309)))</f>
        <v/>
      </c>
      <c r="AN309">
        <f>IF(OR($B309="",NOT(ISNUMBER(Q309))),"",IF(COUNTIF(R309:$T309,Q309)&gt;0,0,IF(COUNTIF($G309:$T309,"&gt;"&amp;Q309)=0,"",SMALL($G309:$T309,COUNTIF($G309:$T309,"&lt;="&amp;Q309)+1)-Q309)))</f>
        <v>0</v>
      </c>
      <c r="AO309" t="str">
        <f>IF(OR($B309="",NOT(ISNUMBER(R309))),"",IF(COUNTIF(S309:$T309,R309)&gt;0,0,IF(COUNTIF($G309:$T309,"&gt;"&amp;R309)=0,"",SMALL($G309:$T309,COUNTIF($G309:$T309,"&lt;="&amp;R309)+1)-R309)))</f>
        <v/>
      </c>
      <c r="AP309">
        <f t="shared" ca="1" si="71"/>
        <v>0</v>
      </c>
      <c r="AQ309" s="25" t="str">
        <f t="shared" si="72"/>
        <v/>
      </c>
      <c r="AR309" s="25" t="str">
        <f t="shared" si="73"/>
        <v/>
      </c>
      <c r="AS309" s="25">
        <f t="shared" si="74"/>
        <v>46300</v>
      </c>
      <c r="AT309" s="25">
        <f t="shared" si="75"/>
        <v>46302</v>
      </c>
      <c r="AU309" s="25" t="str">
        <f t="shared" si="76"/>
        <v/>
      </c>
      <c r="AV309" s="25" t="str">
        <f t="shared" si="77"/>
        <v/>
      </c>
      <c r="AW309" s="25" t="str">
        <f t="shared" si="78"/>
        <v/>
      </c>
      <c r="AX309" s="25" t="str">
        <f t="shared" si="79"/>
        <v/>
      </c>
      <c r="AY309" s="25" t="str">
        <f t="shared" si="80"/>
        <v/>
      </c>
      <c r="AZ309" s="25" t="str">
        <f t="shared" si="81"/>
        <v/>
      </c>
      <c r="BA309" s="25">
        <f t="shared" si="82"/>
        <v>46302</v>
      </c>
      <c r="BB309" s="25" t="str">
        <f t="shared" si="83"/>
        <v/>
      </c>
      <c r="BC309" s="25">
        <f t="shared" si="84"/>
        <v>46302</v>
      </c>
    </row>
    <row r="310" spans="1:55" x14ac:dyDescent="0.25">
      <c r="A310" s="151">
        <f t="shared" si="69"/>
        <v>308</v>
      </c>
      <c r="B310" s="151" t="s">
        <v>492</v>
      </c>
      <c r="C310" s="152" t="s">
        <v>92</v>
      </c>
      <c r="D310" s="151">
        <f t="shared" si="68"/>
        <v>2</v>
      </c>
      <c r="E310" s="151" t="s">
        <v>100</v>
      </c>
      <c r="F310" s="173">
        <v>46298</v>
      </c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51"/>
      <c r="U310" s="151"/>
      <c r="V310" s="152"/>
      <c r="W310" s="175"/>
      <c r="X310" s="173"/>
      <c r="Y310" s="173"/>
      <c r="Z310" s="176" t="str">
        <f>IF(B310="","",IF(S310&lt;&gt;"","Sevk Edildi",IF(AND(X310&lt;&gt;"",Y310=""),"Reworkte",IF(T310&lt;&gt;"","Kapandı"&amp;IF(COUNT(G310:R310)=0,""," – "&amp;LOOKUP(2,1/(G310:R310=MAX(G310:R310)),{"Tasarım","Ply Cutter","Üretim","Kalite (Üretim sonrası)","Talaşlı","Kalite (Talaşlı sonrası)","Montaj","Kalite (Montaj sonrası)","Boya","Kalite (Boya sonrası)","Yarı Mamül","KM"})),IF(COUNT(G310:R310)=0,"Başlamadı",LOOKUP(2,1/(G310:R310=MAX(G310:R310)),{"Tasarımda","Ply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310" s="177">
        <f t="shared" ca="1" si="70"/>
        <v>9</v>
      </c>
      <c r="AB310" s="175" t="s">
        <v>493</v>
      </c>
      <c r="AD310" t="str">
        <f>IF(OR($B310="",NOT(ISNUMBER(G310))),"",IF(COUNTIF(H310:$T310,G310)&gt;0,0,IF(COUNTIF($G310:$T310,"&gt;"&amp;G310)=0,"",SMALL($G310:$T310,COUNTIF($G310:$T310,"&lt;="&amp;G310)+1)-G310)))</f>
        <v/>
      </c>
      <c r="AE310" t="str">
        <f>IF(OR($B310="",NOT(ISNUMBER(H310))),"",IF(COUNTIF(I310:$T310,H310)&gt;0,0,IF(COUNTIF($G310:$T310,"&gt;"&amp;H310)=0,"",SMALL($G310:$T310,COUNTIF($G310:$T310,"&lt;="&amp;H310)+1)-H310)))</f>
        <v/>
      </c>
      <c r="AF310" t="str">
        <f>IF(OR($B310="",NOT(ISNUMBER(I310))),"",IF(COUNTIF(J310:$T310,I310)&gt;0,0,IF(COUNTIF($G310:$T310,"&gt;"&amp;I310)=0,"",SMALL($G310:$T310,COUNTIF($G310:$T310,"&lt;="&amp;I310)+1)-I310)))</f>
        <v/>
      </c>
      <c r="AG310" t="str">
        <f>IF(OR($B310="",NOT(ISNUMBER(J310))),"",IF(COUNTIF(K310:$T310,J310)&gt;0,0,IF(COUNTIF($G310:$T310,"&gt;"&amp;J310)=0,"",SMALL($G310:$T310,COUNTIF($G310:$T310,"&lt;="&amp;J310)+1)-J310)))</f>
        <v/>
      </c>
      <c r="AH310" t="str">
        <f>IF(OR($B310="",NOT(ISNUMBER(K310))),"",IF(COUNTIF(L310:$T310,K310)&gt;0,0,IF(COUNTIF($G310:$T310,"&gt;"&amp;K310)=0,"",SMALL($G310:$T310,COUNTIF($G310:$T310,"&lt;="&amp;K310)+1)-K310)))</f>
        <v/>
      </c>
      <c r="AI310" t="str">
        <f>IF(OR($B310="",NOT(ISNUMBER(L310))),"",IF(COUNTIF(M310:$T310,L310)&gt;0,0,IF(COUNTIF($G310:$T310,"&gt;"&amp;L310)=0,"",SMALL($G310:$T310,COUNTIF($G310:$T310,"&lt;="&amp;L310)+1)-L310)))</f>
        <v/>
      </c>
      <c r="AJ310" t="str">
        <f>IF(OR($B310="",NOT(ISNUMBER(M310))),"",IF(COUNTIF(N310:$T310,M310)&gt;0,0,IF(COUNTIF($G310:$T310,"&gt;"&amp;M310)=0,"",SMALL($G310:$T310,COUNTIF($G310:$T310,"&lt;="&amp;M310)+1)-M310)))</f>
        <v/>
      </c>
      <c r="AK310" t="str">
        <f>IF(OR($B310="",NOT(ISNUMBER(N310))),"",IF(COUNTIF(O310:$T310,N310)&gt;0,0,IF(COUNTIF($G310:$T310,"&gt;"&amp;N310)=0,"",SMALL($G310:$T310,COUNTIF($G310:$T310,"&lt;="&amp;N310)+1)-N310)))</f>
        <v/>
      </c>
      <c r="AL310" t="str">
        <f>IF(OR($B310="",NOT(ISNUMBER(O310))),"",IF(COUNTIF(P310:$T310,O310)&gt;0,0,IF(COUNTIF($G310:$T310,"&gt;"&amp;O310)=0,"",SMALL($G310:$T310,COUNTIF($G310:$T310,"&lt;="&amp;O310)+1)-O310)))</f>
        <v/>
      </c>
      <c r="AM310" t="str">
        <f>IF(OR($B310="",NOT(ISNUMBER(P310))),"",IF(COUNTIF(Q310:$T310,P310)&gt;0,0,IF(COUNTIF($G310:$T310,"&gt;"&amp;P310)=0,"",SMALL($G310:$T310,COUNTIF($G310:$T310,"&lt;="&amp;P310)+1)-P310)))</f>
        <v/>
      </c>
      <c r="AN310" t="str">
        <f>IF(OR($B310="",NOT(ISNUMBER(Q310))),"",IF(COUNTIF(R310:$T310,Q310)&gt;0,0,IF(COUNTIF($G310:$T310,"&gt;"&amp;Q310)=0,"",SMALL($G310:$T310,COUNTIF($G310:$T310,"&lt;="&amp;Q310)+1)-Q310)))</f>
        <v/>
      </c>
      <c r="AO310" t="str">
        <f>IF(OR($B310="",NOT(ISNUMBER(R310))),"",IF(COUNTIF(S310:$T310,R310)&gt;0,0,IF(COUNTIF($G310:$T310,"&gt;"&amp;R310)=0,"",SMALL($G310:$T310,COUNTIF($G310:$T310,"&lt;="&amp;R310)+1)-R310)))</f>
        <v/>
      </c>
      <c r="AP310">
        <f t="shared" ca="1" si="71"/>
        <v>0</v>
      </c>
      <c r="AQ310" s="25" t="str">
        <f t="shared" si="72"/>
        <v/>
      </c>
      <c r="AR310" s="25" t="str">
        <f t="shared" si="73"/>
        <v/>
      </c>
      <c r="AS310" s="25" t="str">
        <f t="shared" si="74"/>
        <v/>
      </c>
      <c r="AT310" s="25" t="str">
        <f t="shared" si="75"/>
        <v/>
      </c>
      <c r="AU310" s="25" t="str">
        <f t="shared" si="76"/>
        <v/>
      </c>
      <c r="AV310" s="25" t="str">
        <f t="shared" si="77"/>
        <v/>
      </c>
      <c r="AW310" s="25" t="str">
        <f t="shared" si="78"/>
        <v/>
      </c>
      <c r="AX310" s="25" t="str">
        <f t="shared" si="79"/>
        <v/>
      </c>
      <c r="AY310" s="25" t="str">
        <f t="shared" si="80"/>
        <v/>
      </c>
      <c r="AZ310" s="25" t="str">
        <f t="shared" si="81"/>
        <v/>
      </c>
      <c r="BA310" s="25" t="str">
        <f t="shared" si="82"/>
        <v/>
      </c>
      <c r="BB310" s="25" t="str">
        <f t="shared" si="83"/>
        <v/>
      </c>
      <c r="BC310" s="25" t="str">
        <f t="shared" si="84"/>
        <v/>
      </c>
    </row>
    <row r="311" spans="1:55" x14ac:dyDescent="0.25">
      <c r="A311" s="151">
        <f t="shared" si="69"/>
        <v>309</v>
      </c>
      <c r="B311" s="151" t="s">
        <v>494</v>
      </c>
      <c r="C311" s="152" t="s">
        <v>82</v>
      </c>
      <c r="D311" s="151">
        <f t="shared" si="68"/>
        <v>1</v>
      </c>
      <c r="E311" s="151" t="s">
        <v>100</v>
      </c>
      <c r="F311" s="173">
        <v>46298</v>
      </c>
      <c r="G311" s="173"/>
      <c r="H311" s="173"/>
      <c r="I311" s="173">
        <v>46298</v>
      </c>
      <c r="J311" s="173">
        <v>46300</v>
      </c>
      <c r="K311" s="173"/>
      <c r="L311" s="173"/>
      <c r="M311" s="173"/>
      <c r="N311" s="173"/>
      <c r="O311" s="173"/>
      <c r="P311" s="173"/>
      <c r="Q311" s="173">
        <v>46305</v>
      </c>
      <c r="R311" s="173"/>
      <c r="S311" s="173"/>
      <c r="T311" s="174">
        <v>46305</v>
      </c>
      <c r="U311" s="151"/>
      <c r="V311" s="152"/>
      <c r="W311" s="175"/>
      <c r="X311" s="173"/>
      <c r="Y311" s="173"/>
      <c r="Z311" s="176" t="str">
        <f>IF(B311="","",IF(S311&lt;&gt;"","Sevk Edildi",IF(AND(X311&lt;&gt;"",Y311=""),"Reworkte",IF(T311&lt;&gt;"","Kapandı"&amp;IF(COUNT(G311:R311)=0,""," – "&amp;LOOKUP(2,1/(G311:R311=MAX(G311:R311)),{"Tasarım","Ply Cutter","Üretim","Kalite (Üretim sonrası)","Talaşlı","Kalite (Talaşlı sonrası)","Montaj","Kalite (Montaj sonrası)","Boya","Kalite (Boya sonrası)","Yarı Mamül","KM"})),IF(COUNT(G311:R311)=0,"Başlamadı",LOOKUP(2,1/(G311:R311=MAX(G311:R311)),{"Tasarımda","Ply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11" s="177">
        <f t="shared" ca="1" si="70"/>
        <v>7</v>
      </c>
      <c r="AB311" s="175"/>
      <c r="AD311" t="str">
        <f>IF(OR($B311="",NOT(ISNUMBER(G311))),"",IF(COUNTIF(H311:$T311,G311)&gt;0,0,IF(COUNTIF($G311:$T311,"&gt;"&amp;G311)=0,"",SMALL($G311:$T311,COUNTIF($G311:$T311,"&lt;="&amp;G311)+1)-G311)))</f>
        <v/>
      </c>
      <c r="AE311" t="str">
        <f>IF(OR($B311="",NOT(ISNUMBER(H311))),"",IF(COUNTIF(I311:$T311,H311)&gt;0,0,IF(COUNTIF($G311:$T311,"&gt;"&amp;H311)=0,"",SMALL($G311:$T311,COUNTIF($G311:$T311,"&lt;="&amp;H311)+1)-H311)))</f>
        <v/>
      </c>
      <c r="AF311">
        <f>IF(OR($B311="",NOT(ISNUMBER(I311))),"",IF(COUNTIF(J311:$T311,I311)&gt;0,0,IF(COUNTIF($G311:$T311,"&gt;"&amp;I311)=0,"",SMALL($G311:$T311,COUNTIF($G311:$T311,"&lt;="&amp;I311)+1)-I311)))</f>
        <v>2</v>
      </c>
      <c r="AG311">
        <f>IF(OR($B311="",NOT(ISNUMBER(J311))),"",IF(COUNTIF(K311:$T311,J311)&gt;0,0,IF(COUNTIF($G311:$T311,"&gt;"&amp;J311)=0,"",SMALL($G311:$T311,COUNTIF($G311:$T311,"&lt;="&amp;J311)+1)-J311)))</f>
        <v>5</v>
      </c>
      <c r="AH311" t="str">
        <f>IF(OR($B311="",NOT(ISNUMBER(K311))),"",IF(COUNTIF(L311:$T311,K311)&gt;0,0,IF(COUNTIF($G311:$T311,"&gt;"&amp;K311)=0,"",SMALL($G311:$T311,COUNTIF($G311:$T311,"&lt;="&amp;K311)+1)-K311)))</f>
        <v/>
      </c>
      <c r="AI311" t="str">
        <f>IF(OR($B311="",NOT(ISNUMBER(L311))),"",IF(COUNTIF(M311:$T311,L311)&gt;0,0,IF(COUNTIF($G311:$T311,"&gt;"&amp;L311)=0,"",SMALL($G311:$T311,COUNTIF($G311:$T311,"&lt;="&amp;L311)+1)-L311)))</f>
        <v/>
      </c>
      <c r="AJ311" t="str">
        <f>IF(OR($B311="",NOT(ISNUMBER(M311))),"",IF(COUNTIF(N311:$T311,M311)&gt;0,0,IF(COUNTIF($G311:$T311,"&gt;"&amp;M311)=0,"",SMALL($G311:$T311,COUNTIF($G311:$T311,"&lt;="&amp;M311)+1)-M311)))</f>
        <v/>
      </c>
      <c r="AK311" t="str">
        <f>IF(OR($B311="",NOT(ISNUMBER(N311))),"",IF(COUNTIF(O311:$T311,N311)&gt;0,0,IF(COUNTIF($G311:$T311,"&gt;"&amp;N311)=0,"",SMALL($G311:$T311,COUNTIF($G311:$T311,"&lt;="&amp;N311)+1)-N311)))</f>
        <v/>
      </c>
      <c r="AL311" t="str">
        <f>IF(OR($B311="",NOT(ISNUMBER(O311))),"",IF(COUNTIF(P311:$T311,O311)&gt;0,0,IF(COUNTIF($G311:$T311,"&gt;"&amp;O311)=0,"",SMALL($G311:$T311,COUNTIF($G311:$T311,"&lt;="&amp;O311)+1)-O311)))</f>
        <v/>
      </c>
      <c r="AM311" t="str">
        <f>IF(OR($B311="",NOT(ISNUMBER(P311))),"",IF(COUNTIF(Q311:$T311,P311)&gt;0,0,IF(COUNTIF($G311:$T311,"&gt;"&amp;P311)=0,"",SMALL($G311:$T311,COUNTIF($G311:$T311,"&lt;="&amp;P311)+1)-P311)))</f>
        <v/>
      </c>
      <c r="AN311">
        <f>IF(OR($B311="",NOT(ISNUMBER(Q311))),"",IF(COUNTIF(R311:$T311,Q311)&gt;0,0,IF(COUNTIF($G311:$T311,"&gt;"&amp;Q311)=0,"",SMALL($G311:$T311,COUNTIF($G311:$T311,"&lt;="&amp;Q311)+1)-Q311)))</f>
        <v>0</v>
      </c>
      <c r="AO311" t="str">
        <f>IF(OR($B311="",NOT(ISNUMBER(R311))),"",IF(COUNTIF(S311:$T311,R311)&gt;0,0,IF(COUNTIF($G311:$T311,"&gt;"&amp;R311)=0,"",SMALL($G311:$T311,COUNTIF($G311:$T311,"&lt;="&amp;R311)+1)-R311)))</f>
        <v/>
      </c>
      <c r="AP311">
        <f t="shared" ca="1" si="71"/>
        <v>0</v>
      </c>
      <c r="AQ311" s="25" t="str">
        <f t="shared" si="72"/>
        <v/>
      </c>
      <c r="AR311" s="25" t="str">
        <f t="shared" si="73"/>
        <v/>
      </c>
      <c r="AS311" s="25">
        <f t="shared" si="74"/>
        <v>46300</v>
      </c>
      <c r="AT311" s="25">
        <f t="shared" si="75"/>
        <v>46305</v>
      </c>
      <c r="AU311" s="25" t="str">
        <f t="shared" si="76"/>
        <v/>
      </c>
      <c r="AV311" s="25" t="str">
        <f t="shared" si="77"/>
        <v/>
      </c>
      <c r="AW311" s="25" t="str">
        <f t="shared" si="78"/>
        <v/>
      </c>
      <c r="AX311" s="25" t="str">
        <f t="shared" si="79"/>
        <v/>
      </c>
      <c r="AY311" s="25" t="str">
        <f t="shared" si="80"/>
        <v/>
      </c>
      <c r="AZ311" s="25" t="str">
        <f t="shared" si="81"/>
        <v/>
      </c>
      <c r="BA311" s="25">
        <f t="shared" si="82"/>
        <v>46305</v>
      </c>
      <c r="BB311" s="25" t="str">
        <f t="shared" si="83"/>
        <v/>
      </c>
      <c r="BC311" s="25">
        <f t="shared" si="84"/>
        <v>46305</v>
      </c>
    </row>
    <row r="312" spans="1:55" x14ac:dyDescent="0.25">
      <c r="A312" s="151">
        <f t="shared" si="69"/>
        <v>310</v>
      </c>
      <c r="B312" s="151" t="s">
        <v>495</v>
      </c>
      <c r="C312" s="152" t="s">
        <v>74</v>
      </c>
      <c r="D312" s="151">
        <f t="shared" si="68"/>
        <v>1</v>
      </c>
      <c r="E312" s="151" t="s">
        <v>100</v>
      </c>
      <c r="F312" s="173">
        <v>46298</v>
      </c>
      <c r="G312" s="173"/>
      <c r="H312" s="173"/>
      <c r="I312" s="173">
        <v>46298</v>
      </c>
      <c r="J312" s="173">
        <v>46300</v>
      </c>
      <c r="K312" s="173"/>
      <c r="L312" s="173"/>
      <c r="M312" s="173"/>
      <c r="N312" s="173"/>
      <c r="O312" s="173"/>
      <c r="P312" s="173"/>
      <c r="Q312" s="173">
        <v>46302</v>
      </c>
      <c r="R312" s="173"/>
      <c r="S312" s="173"/>
      <c r="T312" s="174">
        <v>46302</v>
      </c>
      <c r="U312" s="151"/>
      <c r="V312" s="152"/>
      <c r="W312" s="175"/>
      <c r="X312" s="173"/>
      <c r="Y312" s="173"/>
      <c r="Z312" s="176" t="str">
        <f>IF(B312="","",IF(S312&lt;&gt;"","Sevk Edildi",IF(AND(X312&lt;&gt;"",Y312=""),"Reworkte",IF(T312&lt;&gt;"","Kapandı"&amp;IF(COUNT(G312:R312)=0,""," – "&amp;LOOKUP(2,1/(G312:R312=MAX(G312:R312)),{"Tasarım","Ply Cutter","Üretim","Kalite (Üretim sonrası)","Talaşlı","Kalite (Talaşlı sonrası)","Montaj","Kalite (Montaj sonrası)","Boya","Kalite (Boya sonrası)","Yarı Mamül","KM"})),IF(COUNT(G312:R312)=0,"Başlamadı",LOOKUP(2,1/(G312:R312=MAX(G312:R312)),{"Tasarımda","Ply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12" s="177">
        <f t="shared" ca="1" si="70"/>
        <v>4</v>
      </c>
      <c r="AB312" s="175"/>
      <c r="AD312" t="str">
        <f>IF(OR($B312="",NOT(ISNUMBER(G312))),"",IF(COUNTIF(H312:$T312,G312)&gt;0,0,IF(COUNTIF($G312:$T312,"&gt;"&amp;G312)=0,"",SMALL($G312:$T312,COUNTIF($G312:$T312,"&lt;="&amp;G312)+1)-G312)))</f>
        <v/>
      </c>
      <c r="AE312" t="str">
        <f>IF(OR($B312="",NOT(ISNUMBER(H312))),"",IF(COUNTIF(I312:$T312,H312)&gt;0,0,IF(COUNTIF($G312:$T312,"&gt;"&amp;H312)=0,"",SMALL($G312:$T312,COUNTIF($G312:$T312,"&lt;="&amp;H312)+1)-H312)))</f>
        <v/>
      </c>
      <c r="AF312">
        <f>IF(OR($B312="",NOT(ISNUMBER(I312))),"",IF(COUNTIF(J312:$T312,I312)&gt;0,0,IF(COUNTIF($G312:$T312,"&gt;"&amp;I312)=0,"",SMALL($G312:$T312,COUNTIF($G312:$T312,"&lt;="&amp;I312)+1)-I312)))</f>
        <v>2</v>
      </c>
      <c r="AG312">
        <f>IF(OR($B312="",NOT(ISNUMBER(J312))),"",IF(COUNTIF(K312:$T312,J312)&gt;0,0,IF(COUNTIF($G312:$T312,"&gt;"&amp;J312)=0,"",SMALL($G312:$T312,COUNTIF($G312:$T312,"&lt;="&amp;J312)+1)-J312)))</f>
        <v>2</v>
      </c>
      <c r="AH312" t="str">
        <f>IF(OR($B312="",NOT(ISNUMBER(K312))),"",IF(COUNTIF(L312:$T312,K312)&gt;0,0,IF(COUNTIF($G312:$T312,"&gt;"&amp;K312)=0,"",SMALL($G312:$T312,COUNTIF($G312:$T312,"&lt;="&amp;K312)+1)-K312)))</f>
        <v/>
      </c>
      <c r="AI312" t="str">
        <f>IF(OR($B312="",NOT(ISNUMBER(L312))),"",IF(COUNTIF(M312:$T312,L312)&gt;0,0,IF(COUNTIF($G312:$T312,"&gt;"&amp;L312)=0,"",SMALL($G312:$T312,COUNTIF($G312:$T312,"&lt;="&amp;L312)+1)-L312)))</f>
        <v/>
      </c>
      <c r="AJ312" t="str">
        <f>IF(OR($B312="",NOT(ISNUMBER(M312))),"",IF(COUNTIF(N312:$T312,M312)&gt;0,0,IF(COUNTIF($G312:$T312,"&gt;"&amp;M312)=0,"",SMALL($G312:$T312,COUNTIF($G312:$T312,"&lt;="&amp;M312)+1)-M312)))</f>
        <v/>
      </c>
      <c r="AK312" t="str">
        <f>IF(OR($B312="",NOT(ISNUMBER(N312))),"",IF(COUNTIF(O312:$T312,N312)&gt;0,0,IF(COUNTIF($G312:$T312,"&gt;"&amp;N312)=0,"",SMALL($G312:$T312,COUNTIF($G312:$T312,"&lt;="&amp;N312)+1)-N312)))</f>
        <v/>
      </c>
      <c r="AL312" t="str">
        <f>IF(OR($B312="",NOT(ISNUMBER(O312))),"",IF(COUNTIF(P312:$T312,O312)&gt;0,0,IF(COUNTIF($G312:$T312,"&gt;"&amp;O312)=0,"",SMALL($G312:$T312,COUNTIF($G312:$T312,"&lt;="&amp;O312)+1)-O312)))</f>
        <v/>
      </c>
      <c r="AM312" t="str">
        <f>IF(OR($B312="",NOT(ISNUMBER(P312))),"",IF(COUNTIF(Q312:$T312,P312)&gt;0,0,IF(COUNTIF($G312:$T312,"&gt;"&amp;P312)=0,"",SMALL($G312:$T312,COUNTIF($G312:$T312,"&lt;="&amp;P312)+1)-P312)))</f>
        <v/>
      </c>
      <c r="AN312">
        <f>IF(OR($B312="",NOT(ISNUMBER(Q312))),"",IF(COUNTIF(R312:$T312,Q312)&gt;0,0,IF(COUNTIF($G312:$T312,"&gt;"&amp;Q312)=0,"",SMALL($G312:$T312,COUNTIF($G312:$T312,"&lt;="&amp;Q312)+1)-Q312)))</f>
        <v>0</v>
      </c>
      <c r="AO312" t="str">
        <f>IF(OR($B312="",NOT(ISNUMBER(R312))),"",IF(COUNTIF(S312:$T312,R312)&gt;0,0,IF(COUNTIF($G312:$T312,"&gt;"&amp;R312)=0,"",SMALL($G312:$T312,COUNTIF($G312:$T312,"&lt;="&amp;R312)+1)-R312)))</f>
        <v/>
      </c>
      <c r="AP312">
        <f t="shared" ca="1" si="71"/>
        <v>0</v>
      </c>
      <c r="AQ312" s="25" t="str">
        <f t="shared" si="72"/>
        <v/>
      </c>
      <c r="AR312" s="25" t="str">
        <f t="shared" si="73"/>
        <v/>
      </c>
      <c r="AS312" s="25">
        <f t="shared" si="74"/>
        <v>46300</v>
      </c>
      <c r="AT312" s="25">
        <f t="shared" si="75"/>
        <v>46302</v>
      </c>
      <c r="AU312" s="25" t="str">
        <f t="shared" si="76"/>
        <v/>
      </c>
      <c r="AV312" s="25" t="str">
        <f t="shared" si="77"/>
        <v/>
      </c>
      <c r="AW312" s="25" t="str">
        <f t="shared" si="78"/>
        <v/>
      </c>
      <c r="AX312" s="25" t="str">
        <f t="shared" si="79"/>
        <v/>
      </c>
      <c r="AY312" s="25" t="str">
        <f t="shared" si="80"/>
        <v/>
      </c>
      <c r="AZ312" s="25" t="str">
        <f t="shared" si="81"/>
        <v/>
      </c>
      <c r="BA312" s="25">
        <f t="shared" si="82"/>
        <v>46302</v>
      </c>
      <c r="BB312" s="25" t="str">
        <f t="shared" si="83"/>
        <v/>
      </c>
      <c r="BC312" s="25">
        <f t="shared" si="84"/>
        <v>46302</v>
      </c>
    </row>
    <row r="313" spans="1:55" x14ac:dyDescent="0.25">
      <c r="A313" s="151">
        <f t="shared" si="69"/>
        <v>311</v>
      </c>
      <c r="B313" s="151" t="s">
        <v>496</v>
      </c>
      <c r="C313" s="152" t="s">
        <v>497</v>
      </c>
      <c r="D313" s="151">
        <f t="shared" si="68"/>
        <v>4</v>
      </c>
      <c r="E313" s="151" t="s">
        <v>100</v>
      </c>
      <c r="F313" s="173">
        <v>46298</v>
      </c>
      <c r="G313" s="173"/>
      <c r="H313" s="173"/>
      <c r="I313" s="173">
        <v>46298</v>
      </c>
      <c r="J313" s="173">
        <v>46300</v>
      </c>
      <c r="K313" s="173"/>
      <c r="L313" s="173"/>
      <c r="M313" s="173"/>
      <c r="N313" s="173"/>
      <c r="O313" s="173"/>
      <c r="P313" s="173"/>
      <c r="Q313" s="173">
        <v>46302</v>
      </c>
      <c r="R313" s="173"/>
      <c r="S313" s="173"/>
      <c r="T313" s="174">
        <v>46302</v>
      </c>
      <c r="U313" s="151"/>
      <c r="V313" s="152"/>
      <c r="W313" s="175"/>
      <c r="X313" s="173"/>
      <c r="Y313" s="173"/>
      <c r="Z313" s="176" t="str">
        <f>IF(B313="","",IF(S313&lt;&gt;"","Sevk Edildi",IF(AND(X313&lt;&gt;"",Y313=""),"Reworkte",IF(T313&lt;&gt;"","Kapandı"&amp;IF(COUNT(G313:R313)=0,""," – "&amp;LOOKUP(2,1/(G313:R313=MAX(G313:R313)),{"Tasarım","Ply Cutter","Üretim","Kalite (Üretim sonrası)","Talaşlı","Kalite (Talaşlı sonrası)","Montaj","Kalite (Montaj sonrası)","Boya","Kalite (Boya sonrası)","Yarı Mamül","KM"})),IF(COUNT(G313:R313)=0,"Başlamadı",LOOKUP(2,1/(G313:R313=MAX(G313:R313)),{"Tasarımda","Ply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13" s="177">
        <f t="shared" ca="1" si="70"/>
        <v>4</v>
      </c>
      <c r="AB313" s="175"/>
      <c r="AD313" t="str">
        <f>IF(OR($B313="",NOT(ISNUMBER(G313))),"",IF(COUNTIF(H313:$T313,G313)&gt;0,0,IF(COUNTIF($G313:$T313,"&gt;"&amp;G313)=0,"",SMALL($G313:$T313,COUNTIF($G313:$T313,"&lt;="&amp;G313)+1)-G313)))</f>
        <v/>
      </c>
      <c r="AE313" t="str">
        <f>IF(OR($B313="",NOT(ISNUMBER(H313))),"",IF(COUNTIF(I313:$T313,H313)&gt;0,0,IF(COUNTIF($G313:$T313,"&gt;"&amp;H313)=0,"",SMALL($G313:$T313,COUNTIF($G313:$T313,"&lt;="&amp;H313)+1)-H313)))</f>
        <v/>
      </c>
      <c r="AF313">
        <f>IF(OR($B313="",NOT(ISNUMBER(I313))),"",IF(COUNTIF(J313:$T313,I313)&gt;0,0,IF(COUNTIF($G313:$T313,"&gt;"&amp;I313)=0,"",SMALL($G313:$T313,COUNTIF($G313:$T313,"&lt;="&amp;I313)+1)-I313)))</f>
        <v>2</v>
      </c>
      <c r="AG313">
        <f>IF(OR($B313="",NOT(ISNUMBER(J313))),"",IF(COUNTIF(K313:$T313,J313)&gt;0,0,IF(COUNTIF($G313:$T313,"&gt;"&amp;J313)=0,"",SMALL($G313:$T313,COUNTIF($G313:$T313,"&lt;="&amp;J313)+1)-J313)))</f>
        <v>2</v>
      </c>
      <c r="AH313" t="str">
        <f>IF(OR($B313="",NOT(ISNUMBER(K313))),"",IF(COUNTIF(L313:$T313,K313)&gt;0,0,IF(COUNTIF($G313:$T313,"&gt;"&amp;K313)=0,"",SMALL($G313:$T313,COUNTIF($G313:$T313,"&lt;="&amp;K313)+1)-K313)))</f>
        <v/>
      </c>
      <c r="AI313" t="str">
        <f>IF(OR($B313="",NOT(ISNUMBER(L313))),"",IF(COUNTIF(M313:$T313,L313)&gt;0,0,IF(COUNTIF($G313:$T313,"&gt;"&amp;L313)=0,"",SMALL($G313:$T313,COUNTIF($G313:$T313,"&lt;="&amp;L313)+1)-L313)))</f>
        <v/>
      </c>
      <c r="AJ313" t="str">
        <f>IF(OR($B313="",NOT(ISNUMBER(M313))),"",IF(COUNTIF(N313:$T313,M313)&gt;0,0,IF(COUNTIF($G313:$T313,"&gt;"&amp;M313)=0,"",SMALL($G313:$T313,COUNTIF($G313:$T313,"&lt;="&amp;M313)+1)-M313)))</f>
        <v/>
      </c>
      <c r="AK313" t="str">
        <f>IF(OR($B313="",NOT(ISNUMBER(N313))),"",IF(COUNTIF(O313:$T313,N313)&gt;0,0,IF(COUNTIF($G313:$T313,"&gt;"&amp;N313)=0,"",SMALL($G313:$T313,COUNTIF($G313:$T313,"&lt;="&amp;N313)+1)-N313)))</f>
        <v/>
      </c>
      <c r="AL313" t="str">
        <f>IF(OR($B313="",NOT(ISNUMBER(O313))),"",IF(COUNTIF(P313:$T313,O313)&gt;0,0,IF(COUNTIF($G313:$T313,"&gt;"&amp;O313)=0,"",SMALL($G313:$T313,COUNTIF($G313:$T313,"&lt;="&amp;O313)+1)-O313)))</f>
        <v/>
      </c>
      <c r="AM313" t="str">
        <f>IF(OR($B313="",NOT(ISNUMBER(P313))),"",IF(COUNTIF(Q313:$T313,P313)&gt;0,0,IF(COUNTIF($G313:$T313,"&gt;"&amp;P313)=0,"",SMALL($G313:$T313,COUNTIF($G313:$T313,"&lt;="&amp;P313)+1)-P313)))</f>
        <v/>
      </c>
      <c r="AN313">
        <f>IF(OR($B313="",NOT(ISNUMBER(Q313))),"",IF(COUNTIF(R313:$T313,Q313)&gt;0,0,IF(COUNTIF($G313:$T313,"&gt;"&amp;Q313)=0,"",SMALL($G313:$T313,COUNTIF($G313:$T313,"&lt;="&amp;Q313)+1)-Q313)))</f>
        <v>0</v>
      </c>
      <c r="AO313" t="str">
        <f>IF(OR($B313="",NOT(ISNUMBER(R313))),"",IF(COUNTIF(S313:$T313,R313)&gt;0,0,IF(COUNTIF($G313:$T313,"&gt;"&amp;R313)=0,"",SMALL($G313:$T313,COUNTIF($G313:$T313,"&lt;="&amp;R313)+1)-R313)))</f>
        <v/>
      </c>
      <c r="AP313">
        <f t="shared" ca="1" si="71"/>
        <v>0</v>
      </c>
      <c r="AQ313" s="25" t="str">
        <f t="shared" si="72"/>
        <v/>
      </c>
      <c r="AR313" s="25" t="str">
        <f t="shared" si="73"/>
        <v/>
      </c>
      <c r="AS313" s="25">
        <f t="shared" si="74"/>
        <v>46300</v>
      </c>
      <c r="AT313" s="25">
        <f t="shared" si="75"/>
        <v>46302</v>
      </c>
      <c r="AU313" s="25" t="str">
        <f t="shared" si="76"/>
        <v/>
      </c>
      <c r="AV313" s="25" t="str">
        <f t="shared" si="77"/>
        <v/>
      </c>
      <c r="AW313" s="25" t="str">
        <f t="shared" si="78"/>
        <v/>
      </c>
      <c r="AX313" s="25" t="str">
        <f t="shared" si="79"/>
        <v/>
      </c>
      <c r="AY313" s="25" t="str">
        <f t="shared" si="80"/>
        <v/>
      </c>
      <c r="AZ313" s="25" t="str">
        <f t="shared" si="81"/>
        <v/>
      </c>
      <c r="BA313" s="25">
        <f t="shared" si="82"/>
        <v>46302</v>
      </c>
      <c r="BB313" s="25" t="str">
        <f t="shared" si="83"/>
        <v/>
      </c>
      <c r="BC313" s="25">
        <f t="shared" si="84"/>
        <v>46302</v>
      </c>
    </row>
    <row r="314" spans="1:55" x14ac:dyDescent="0.25">
      <c r="A314" s="151">
        <f t="shared" si="69"/>
        <v>312</v>
      </c>
      <c r="B314" s="151" t="s">
        <v>498</v>
      </c>
      <c r="C314" s="152" t="s">
        <v>133</v>
      </c>
      <c r="D314" s="151">
        <f t="shared" si="68"/>
        <v>3</v>
      </c>
      <c r="E314" s="151" t="s">
        <v>100</v>
      </c>
      <c r="F314" s="173">
        <v>46298</v>
      </c>
      <c r="G314" s="173"/>
      <c r="H314" s="173"/>
      <c r="I314" s="173"/>
      <c r="J314" s="173"/>
      <c r="K314" s="173"/>
      <c r="L314" s="173"/>
      <c r="M314" s="173">
        <v>46298</v>
      </c>
      <c r="N314" s="173">
        <v>46300</v>
      </c>
      <c r="O314" s="173"/>
      <c r="P314" s="173"/>
      <c r="Q314" s="173"/>
      <c r="R314" s="173"/>
      <c r="S314" s="173"/>
      <c r="T314" s="174">
        <v>46300</v>
      </c>
      <c r="U314" s="151"/>
      <c r="V314" s="152"/>
      <c r="W314" s="175"/>
      <c r="X314" s="173"/>
      <c r="Y314" s="173"/>
      <c r="Z314" s="176" t="str">
        <f>IF(B314="","",IF(S314&lt;&gt;"","Sevk Edildi",IF(AND(X314&lt;&gt;"",Y314=""),"Reworkte",IF(T314&lt;&gt;"","Kapandı"&amp;IF(COUNT(G314:R314)=0,""," – "&amp;LOOKUP(2,1/(G314:R314=MAX(G314:R314)),{"Tasarım","Ply Cutter","Üretim","Kalite (Üretim sonrası)","Talaşlı","Kalite (Talaşlı sonrası)","Montaj","Kalite (Montaj sonrası)","Boya","Kalite (Boya sonrası)","Yarı Mamül","KM"})),IF(COUNT(G314:R314)=0,"Başlamadı",LOOKUP(2,1/(G314:R314=MAX(G314:R314)),{"Tasarımda","Ply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314" s="177">
        <f t="shared" ca="1" si="70"/>
        <v>2</v>
      </c>
      <c r="AB314" s="175"/>
      <c r="AD314" t="str">
        <f>IF(OR($B314="",NOT(ISNUMBER(G314))),"",IF(COUNTIF(H314:$T314,G314)&gt;0,0,IF(COUNTIF($G314:$T314,"&gt;"&amp;G314)=0,"",SMALL($G314:$T314,COUNTIF($G314:$T314,"&lt;="&amp;G314)+1)-G314)))</f>
        <v/>
      </c>
      <c r="AE314" t="str">
        <f>IF(OR($B314="",NOT(ISNUMBER(H314))),"",IF(COUNTIF(I314:$T314,H314)&gt;0,0,IF(COUNTIF($G314:$T314,"&gt;"&amp;H314)=0,"",SMALL($G314:$T314,COUNTIF($G314:$T314,"&lt;="&amp;H314)+1)-H314)))</f>
        <v/>
      </c>
      <c r="AF314" t="str">
        <f>IF(OR($B314="",NOT(ISNUMBER(I314))),"",IF(COUNTIF(J314:$T314,I314)&gt;0,0,IF(COUNTIF($G314:$T314,"&gt;"&amp;I314)=0,"",SMALL($G314:$T314,COUNTIF($G314:$T314,"&lt;="&amp;I314)+1)-I314)))</f>
        <v/>
      </c>
      <c r="AG314" t="str">
        <f>IF(OR($B314="",NOT(ISNUMBER(J314))),"",IF(COUNTIF(K314:$T314,J314)&gt;0,0,IF(COUNTIF($G314:$T314,"&gt;"&amp;J314)=0,"",SMALL($G314:$T314,COUNTIF($G314:$T314,"&lt;="&amp;J314)+1)-J314)))</f>
        <v/>
      </c>
      <c r="AH314" t="str">
        <f>IF(OR($B314="",NOT(ISNUMBER(K314))),"",IF(COUNTIF(L314:$T314,K314)&gt;0,0,IF(COUNTIF($G314:$T314,"&gt;"&amp;K314)=0,"",SMALL($G314:$T314,COUNTIF($G314:$T314,"&lt;="&amp;K314)+1)-K314)))</f>
        <v/>
      </c>
      <c r="AI314" t="str">
        <f>IF(OR($B314="",NOT(ISNUMBER(L314))),"",IF(COUNTIF(M314:$T314,L314)&gt;0,0,IF(COUNTIF($G314:$T314,"&gt;"&amp;L314)=0,"",SMALL($G314:$T314,COUNTIF($G314:$T314,"&lt;="&amp;L314)+1)-L314)))</f>
        <v/>
      </c>
      <c r="AJ314">
        <f>IF(OR($B314="",NOT(ISNUMBER(M314))),"",IF(COUNTIF(N314:$T314,M314)&gt;0,0,IF(COUNTIF($G314:$T314,"&gt;"&amp;M314)=0,"",SMALL($G314:$T314,COUNTIF($G314:$T314,"&lt;="&amp;M314)+1)-M314)))</f>
        <v>2</v>
      </c>
      <c r="AK314">
        <f>IF(OR($B314="",NOT(ISNUMBER(N314))),"",IF(COUNTIF(O314:$T314,N314)&gt;0,0,IF(COUNTIF($G314:$T314,"&gt;"&amp;N314)=0,"",SMALL($G314:$T314,COUNTIF($G314:$T314,"&lt;="&amp;N314)+1)-N314)))</f>
        <v>0</v>
      </c>
      <c r="AL314" t="str">
        <f>IF(OR($B314="",NOT(ISNUMBER(O314))),"",IF(COUNTIF(P314:$T314,O314)&gt;0,0,IF(COUNTIF($G314:$T314,"&gt;"&amp;O314)=0,"",SMALL($G314:$T314,COUNTIF($G314:$T314,"&lt;="&amp;O314)+1)-O314)))</f>
        <v/>
      </c>
      <c r="AM314" t="str">
        <f>IF(OR($B314="",NOT(ISNUMBER(P314))),"",IF(COUNTIF(Q314:$T314,P314)&gt;0,0,IF(COUNTIF($G314:$T314,"&gt;"&amp;P314)=0,"",SMALL($G314:$T314,COUNTIF($G314:$T314,"&lt;="&amp;P314)+1)-P314)))</f>
        <v/>
      </c>
      <c r="AN314" t="str">
        <f>IF(OR($B314="",NOT(ISNUMBER(Q314))),"",IF(COUNTIF(R314:$T314,Q314)&gt;0,0,IF(COUNTIF($G314:$T314,"&gt;"&amp;Q314)=0,"",SMALL($G314:$T314,COUNTIF($G314:$T314,"&lt;="&amp;Q314)+1)-Q314)))</f>
        <v/>
      </c>
      <c r="AO314" t="str">
        <f>IF(OR($B314="",NOT(ISNUMBER(R314))),"",IF(COUNTIF(S314:$T314,R314)&gt;0,0,IF(COUNTIF($G314:$T314,"&gt;"&amp;R314)=0,"",SMALL($G314:$T314,COUNTIF($G314:$T314,"&lt;="&amp;R314)+1)-R314)))</f>
        <v/>
      </c>
      <c r="AP314">
        <f t="shared" ca="1" si="71"/>
        <v>0</v>
      </c>
      <c r="AQ314" s="25" t="str">
        <f t="shared" si="72"/>
        <v/>
      </c>
      <c r="AR314" s="25" t="str">
        <f t="shared" si="73"/>
        <v/>
      </c>
      <c r="AS314" s="25" t="str">
        <f t="shared" si="74"/>
        <v/>
      </c>
      <c r="AT314" s="25" t="str">
        <f t="shared" si="75"/>
        <v/>
      </c>
      <c r="AU314" s="25" t="str">
        <f t="shared" si="76"/>
        <v/>
      </c>
      <c r="AV314" s="25" t="str">
        <f t="shared" si="77"/>
        <v/>
      </c>
      <c r="AW314" s="25">
        <f t="shared" si="78"/>
        <v>46300</v>
      </c>
      <c r="AX314" s="25">
        <f t="shared" si="79"/>
        <v>46300</v>
      </c>
      <c r="AY314" s="25" t="str">
        <f t="shared" si="80"/>
        <v/>
      </c>
      <c r="AZ314" s="25" t="str">
        <f t="shared" si="81"/>
        <v/>
      </c>
      <c r="BA314" s="25" t="str">
        <f t="shared" si="82"/>
        <v/>
      </c>
      <c r="BB314" s="25" t="str">
        <f t="shared" si="83"/>
        <v/>
      </c>
      <c r="BC314" s="25">
        <f t="shared" si="84"/>
        <v>46300</v>
      </c>
    </row>
    <row r="315" spans="1:55" x14ac:dyDescent="0.25">
      <c r="A315" s="151">
        <f t="shared" si="69"/>
        <v>313</v>
      </c>
      <c r="B315" s="151" t="s">
        <v>499</v>
      </c>
      <c r="C315" s="152" t="s">
        <v>133</v>
      </c>
      <c r="D315" s="151">
        <f t="shared" si="68"/>
        <v>3</v>
      </c>
      <c r="E315" s="151" t="s">
        <v>100</v>
      </c>
      <c r="F315" s="173">
        <v>46298</v>
      </c>
      <c r="G315" s="173"/>
      <c r="H315" s="173"/>
      <c r="I315" s="173"/>
      <c r="J315" s="173"/>
      <c r="K315" s="173"/>
      <c r="L315" s="173"/>
      <c r="M315" s="173">
        <v>46298</v>
      </c>
      <c r="N315" s="173">
        <v>46300</v>
      </c>
      <c r="O315" s="173"/>
      <c r="P315" s="173"/>
      <c r="Q315" s="173"/>
      <c r="R315" s="173"/>
      <c r="S315" s="173"/>
      <c r="T315" s="174">
        <v>46300</v>
      </c>
      <c r="U315" s="151"/>
      <c r="V315" s="152"/>
      <c r="W315" s="175"/>
      <c r="X315" s="173"/>
      <c r="Y315" s="173"/>
      <c r="Z315" s="176" t="str">
        <f>IF(B315="","",IF(S315&lt;&gt;"","Sevk Edildi",IF(AND(X315&lt;&gt;"",Y315=""),"Reworkte",IF(T315&lt;&gt;"","Kapandı"&amp;IF(COUNT(G315:R315)=0,""," – "&amp;LOOKUP(2,1/(G315:R315=MAX(G315:R315)),{"Tasarım","Ply Cutter","Üretim","Kalite (Üretim sonrası)","Talaşlı","Kalite (Talaşlı sonrası)","Montaj","Kalite (Montaj sonrası)","Boya","Kalite (Boya sonrası)","Yarı Mamül","KM"})),IF(COUNT(G315:R315)=0,"Başlamadı",LOOKUP(2,1/(G315:R315=MAX(G315:R315)),{"Tasarımda","Ply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315" s="177">
        <f t="shared" ca="1" si="70"/>
        <v>2</v>
      </c>
      <c r="AB315" s="175"/>
      <c r="AD315" t="str">
        <f>IF(OR($B315="",NOT(ISNUMBER(G315))),"",IF(COUNTIF(H315:$T315,G315)&gt;0,0,IF(COUNTIF($G315:$T315,"&gt;"&amp;G315)=0,"",SMALL($G315:$T315,COUNTIF($G315:$T315,"&lt;="&amp;G315)+1)-G315)))</f>
        <v/>
      </c>
      <c r="AE315" t="str">
        <f>IF(OR($B315="",NOT(ISNUMBER(H315))),"",IF(COUNTIF(I315:$T315,H315)&gt;0,0,IF(COUNTIF($G315:$T315,"&gt;"&amp;H315)=0,"",SMALL($G315:$T315,COUNTIF($G315:$T315,"&lt;="&amp;H315)+1)-H315)))</f>
        <v/>
      </c>
      <c r="AF315" t="str">
        <f>IF(OR($B315="",NOT(ISNUMBER(I315))),"",IF(COUNTIF(J315:$T315,I315)&gt;0,0,IF(COUNTIF($G315:$T315,"&gt;"&amp;I315)=0,"",SMALL($G315:$T315,COUNTIF($G315:$T315,"&lt;="&amp;I315)+1)-I315)))</f>
        <v/>
      </c>
      <c r="AG315" t="str">
        <f>IF(OR($B315="",NOT(ISNUMBER(J315))),"",IF(COUNTIF(K315:$T315,J315)&gt;0,0,IF(COUNTIF($G315:$T315,"&gt;"&amp;J315)=0,"",SMALL($G315:$T315,COUNTIF($G315:$T315,"&lt;="&amp;J315)+1)-J315)))</f>
        <v/>
      </c>
      <c r="AH315" t="str">
        <f>IF(OR($B315="",NOT(ISNUMBER(K315))),"",IF(COUNTIF(L315:$T315,K315)&gt;0,0,IF(COUNTIF($G315:$T315,"&gt;"&amp;K315)=0,"",SMALL($G315:$T315,COUNTIF($G315:$T315,"&lt;="&amp;K315)+1)-K315)))</f>
        <v/>
      </c>
      <c r="AI315" t="str">
        <f>IF(OR($B315="",NOT(ISNUMBER(L315))),"",IF(COUNTIF(M315:$T315,L315)&gt;0,0,IF(COUNTIF($G315:$T315,"&gt;"&amp;L315)=0,"",SMALL($G315:$T315,COUNTIF($G315:$T315,"&lt;="&amp;L315)+1)-L315)))</f>
        <v/>
      </c>
      <c r="AJ315">
        <f>IF(OR($B315="",NOT(ISNUMBER(M315))),"",IF(COUNTIF(N315:$T315,M315)&gt;0,0,IF(COUNTIF($G315:$T315,"&gt;"&amp;M315)=0,"",SMALL($G315:$T315,COUNTIF($G315:$T315,"&lt;="&amp;M315)+1)-M315)))</f>
        <v>2</v>
      </c>
      <c r="AK315">
        <f>IF(OR($B315="",NOT(ISNUMBER(N315))),"",IF(COUNTIF(O315:$T315,N315)&gt;0,0,IF(COUNTIF($G315:$T315,"&gt;"&amp;N315)=0,"",SMALL($G315:$T315,COUNTIF($G315:$T315,"&lt;="&amp;N315)+1)-N315)))</f>
        <v>0</v>
      </c>
      <c r="AL315" t="str">
        <f>IF(OR($B315="",NOT(ISNUMBER(O315))),"",IF(COUNTIF(P315:$T315,O315)&gt;0,0,IF(COUNTIF($G315:$T315,"&gt;"&amp;O315)=0,"",SMALL($G315:$T315,COUNTIF($G315:$T315,"&lt;="&amp;O315)+1)-O315)))</f>
        <v/>
      </c>
      <c r="AM315" t="str">
        <f>IF(OR($B315="",NOT(ISNUMBER(P315))),"",IF(COUNTIF(Q315:$T315,P315)&gt;0,0,IF(COUNTIF($G315:$T315,"&gt;"&amp;P315)=0,"",SMALL($G315:$T315,COUNTIF($G315:$T315,"&lt;="&amp;P315)+1)-P315)))</f>
        <v/>
      </c>
      <c r="AN315" t="str">
        <f>IF(OR($B315="",NOT(ISNUMBER(Q315))),"",IF(COUNTIF(R315:$T315,Q315)&gt;0,0,IF(COUNTIF($G315:$T315,"&gt;"&amp;Q315)=0,"",SMALL($G315:$T315,COUNTIF($G315:$T315,"&lt;="&amp;Q315)+1)-Q315)))</f>
        <v/>
      </c>
      <c r="AO315" t="str">
        <f>IF(OR($B315="",NOT(ISNUMBER(R315))),"",IF(COUNTIF(S315:$T315,R315)&gt;0,0,IF(COUNTIF($G315:$T315,"&gt;"&amp;R315)=0,"",SMALL($G315:$T315,COUNTIF($G315:$T315,"&lt;="&amp;R315)+1)-R315)))</f>
        <v/>
      </c>
      <c r="AP315">
        <f t="shared" ca="1" si="71"/>
        <v>0</v>
      </c>
      <c r="AQ315" s="25" t="str">
        <f t="shared" si="72"/>
        <v/>
      </c>
      <c r="AR315" s="25" t="str">
        <f t="shared" si="73"/>
        <v/>
      </c>
      <c r="AS315" s="25" t="str">
        <f t="shared" si="74"/>
        <v/>
      </c>
      <c r="AT315" s="25" t="str">
        <f t="shared" si="75"/>
        <v/>
      </c>
      <c r="AU315" s="25" t="str">
        <f t="shared" si="76"/>
        <v/>
      </c>
      <c r="AV315" s="25" t="str">
        <f t="shared" si="77"/>
        <v/>
      </c>
      <c r="AW315" s="25">
        <f t="shared" si="78"/>
        <v>46300</v>
      </c>
      <c r="AX315" s="25">
        <f t="shared" si="79"/>
        <v>46300</v>
      </c>
      <c r="AY315" s="25" t="str">
        <f t="shared" si="80"/>
        <v/>
      </c>
      <c r="AZ315" s="25" t="str">
        <f t="shared" si="81"/>
        <v/>
      </c>
      <c r="BA315" s="25" t="str">
        <f t="shared" si="82"/>
        <v/>
      </c>
      <c r="BB315" s="25" t="str">
        <f t="shared" si="83"/>
        <v/>
      </c>
      <c r="BC315" s="25">
        <f t="shared" si="84"/>
        <v>46300</v>
      </c>
    </row>
    <row r="316" spans="1:55" x14ac:dyDescent="0.25">
      <c r="A316" s="151">
        <f t="shared" si="69"/>
        <v>314</v>
      </c>
      <c r="B316" s="151" t="s">
        <v>500</v>
      </c>
      <c r="C316" s="152" t="s">
        <v>133</v>
      </c>
      <c r="D316" s="151">
        <f t="shared" si="68"/>
        <v>3</v>
      </c>
      <c r="E316" s="151" t="s">
        <v>100</v>
      </c>
      <c r="F316" s="173">
        <v>46298</v>
      </c>
      <c r="G316" s="173"/>
      <c r="H316" s="173"/>
      <c r="I316" s="173"/>
      <c r="J316" s="173"/>
      <c r="K316" s="173"/>
      <c r="L316" s="173"/>
      <c r="M316" s="173">
        <v>46298</v>
      </c>
      <c r="N316" s="173">
        <v>46300</v>
      </c>
      <c r="O316" s="173"/>
      <c r="P316" s="173"/>
      <c r="Q316" s="173"/>
      <c r="R316" s="173"/>
      <c r="S316" s="173"/>
      <c r="T316" s="174">
        <v>46300</v>
      </c>
      <c r="U316" s="151"/>
      <c r="V316" s="152"/>
      <c r="W316" s="175"/>
      <c r="X316" s="173"/>
      <c r="Y316" s="173"/>
      <c r="Z316" s="176" t="str">
        <f>IF(B316="","",IF(S316&lt;&gt;"","Sevk Edildi",IF(AND(X316&lt;&gt;"",Y316=""),"Reworkte",IF(T316&lt;&gt;"","Kapandı"&amp;IF(COUNT(G316:R316)=0,""," – "&amp;LOOKUP(2,1/(G316:R316=MAX(G316:R316)),{"Tasarım","Ply Cutter","Üretim","Kalite (Üretim sonrası)","Talaşlı","Kalite (Talaşlı sonrası)","Montaj","Kalite (Montaj sonrası)","Boya","Kalite (Boya sonrası)","Yarı Mamül","KM"})),IF(COUNT(G316:R316)=0,"Başlamadı",LOOKUP(2,1/(G316:R316=MAX(G316:R316)),{"Tasarımda","Ply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316" s="177">
        <f t="shared" ca="1" si="70"/>
        <v>2</v>
      </c>
      <c r="AB316" s="175"/>
      <c r="AD316" t="str">
        <f>IF(OR($B316="",NOT(ISNUMBER(G316))),"",IF(COUNTIF(H316:$T316,G316)&gt;0,0,IF(COUNTIF($G316:$T316,"&gt;"&amp;G316)=0,"",SMALL($G316:$T316,COUNTIF($G316:$T316,"&lt;="&amp;G316)+1)-G316)))</f>
        <v/>
      </c>
      <c r="AE316" t="str">
        <f>IF(OR($B316="",NOT(ISNUMBER(H316))),"",IF(COUNTIF(I316:$T316,H316)&gt;0,0,IF(COUNTIF($G316:$T316,"&gt;"&amp;H316)=0,"",SMALL($G316:$T316,COUNTIF($G316:$T316,"&lt;="&amp;H316)+1)-H316)))</f>
        <v/>
      </c>
      <c r="AF316" t="str">
        <f>IF(OR($B316="",NOT(ISNUMBER(I316))),"",IF(COUNTIF(J316:$T316,I316)&gt;0,0,IF(COUNTIF($G316:$T316,"&gt;"&amp;I316)=0,"",SMALL($G316:$T316,COUNTIF($G316:$T316,"&lt;="&amp;I316)+1)-I316)))</f>
        <v/>
      </c>
      <c r="AG316" t="str">
        <f>IF(OR($B316="",NOT(ISNUMBER(J316))),"",IF(COUNTIF(K316:$T316,J316)&gt;0,0,IF(COUNTIF($G316:$T316,"&gt;"&amp;J316)=0,"",SMALL($G316:$T316,COUNTIF($G316:$T316,"&lt;="&amp;J316)+1)-J316)))</f>
        <v/>
      </c>
      <c r="AH316" t="str">
        <f>IF(OR($B316="",NOT(ISNUMBER(K316))),"",IF(COUNTIF(L316:$T316,K316)&gt;0,0,IF(COUNTIF($G316:$T316,"&gt;"&amp;K316)=0,"",SMALL($G316:$T316,COUNTIF($G316:$T316,"&lt;="&amp;K316)+1)-K316)))</f>
        <v/>
      </c>
      <c r="AI316" t="str">
        <f>IF(OR($B316="",NOT(ISNUMBER(L316))),"",IF(COUNTIF(M316:$T316,L316)&gt;0,0,IF(COUNTIF($G316:$T316,"&gt;"&amp;L316)=0,"",SMALL($G316:$T316,COUNTIF($G316:$T316,"&lt;="&amp;L316)+1)-L316)))</f>
        <v/>
      </c>
      <c r="AJ316">
        <f>IF(OR($B316="",NOT(ISNUMBER(M316))),"",IF(COUNTIF(N316:$T316,M316)&gt;0,0,IF(COUNTIF($G316:$T316,"&gt;"&amp;M316)=0,"",SMALL($G316:$T316,COUNTIF($G316:$T316,"&lt;="&amp;M316)+1)-M316)))</f>
        <v>2</v>
      </c>
      <c r="AK316">
        <f>IF(OR($B316="",NOT(ISNUMBER(N316))),"",IF(COUNTIF(O316:$T316,N316)&gt;0,0,IF(COUNTIF($G316:$T316,"&gt;"&amp;N316)=0,"",SMALL($G316:$T316,COUNTIF($G316:$T316,"&lt;="&amp;N316)+1)-N316)))</f>
        <v>0</v>
      </c>
      <c r="AL316" t="str">
        <f>IF(OR($B316="",NOT(ISNUMBER(O316))),"",IF(COUNTIF(P316:$T316,O316)&gt;0,0,IF(COUNTIF($G316:$T316,"&gt;"&amp;O316)=0,"",SMALL($G316:$T316,COUNTIF($G316:$T316,"&lt;="&amp;O316)+1)-O316)))</f>
        <v/>
      </c>
      <c r="AM316" t="str">
        <f>IF(OR($B316="",NOT(ISNUMBER(P316))),"",IF(COUNTIF(Q316:$T316,P316)&gt;0,0,IF(COUNTIF($G316:$T316,"&gt;"&amp;P316)=0,"",SMALL($G316:$T316,COUNTIF($G316:$T316,"&lt;="&amp;P316)+1)-P316)))</f>
        <v/>
      </c>
      <c r="AN316" t="str">
        <f>IF(OR($B316="",NOT(ISNUMBER(Q316))),"",IF(COUNTIF(R316:$T316,Q316)&gt;0,0,IF(COUNTIF($G316:$T316,"&gt;"&amp;Q316)=0,"",SMALL($G316:$T316,COUNTIF($G316:$T316,"&lt;="&amp;Q316)+1)-Q316)))</f>
        <v/>
      </c>
      <c r="AO316" t="str">
        <f>IF(OR($B316="",NOT(ISNUMBER(R316))),"",IF(COUNTIF(S316:$T316,R316)&gt;0,0,IF(COUNTIF($G316:$T316,"&gt;"&amp;R316)=0,"",SMALL($G316:$T316,COUNTIF($G316:$T316,"&lt;="&amp;R316)+1)-R316)))</f>
        <v/>
      </c>
      <c r="AP316">
        <f t="shared" ca="1" si="71"/>
        <v>0</v>
      </c>
      <c r="AQ316" s="25" t="str">
        <f t="shared" si="72"/>
        <v/>
      </c>
      <c r="AR316" s="25" t="str">
        <f t="shared" si="73"/>
        <v/>
      </c>
      <c r="AS316" s="25" t="str">
        <f t="shared" si="74"/>
        <v/>
      </c>
      <c r="AT316" s="25" t="str">
        <f t="shared" si="75"/>
        <v/>
      </c>
      <c r="AU316" s="25" t="str">
        <f t="shared" si="76"/>
        <v/>
      </c>
      <c r="AV316" s="25" t="str">
        <f t="shared" si="77"/>
        <v/>
      </c>
      <c r="AW316" s="25">
        <f t="shared" si="78"/>
        <v>46300</v>
      </c>
      <c r="AX316" s="25">
        <f t="shared" si="79"/>
        <v>46300</v>
      </c>
      <c r="AY316" s="25" t="str">
        <f t="shared" si="80"/>
        <v/>
      </c>
      <c r="AZ316" s="25" t="str">
        <f t="shared" si="81"/>
        <v/>
      </c>
      <c r="BA316" s="25" t="str">
        <f t="shared" si="82"/>
        <v/>
      </c>
      <c r="BB316" s="25" t="str">
        <f t="shared" si="83"/>
        <v/>
      </c>
      <c r="BC316" s="25">
        <f t="shared" si="84"/>
        <v>46300</v>
      </c>
    </row>
    <row r="317" spans="1:55" x14ac:dyDescent="0.25">
      <c r="A317" s="151">
        <f t="shared" si="69"/>
        <v>315</v>
      </c>
      <c r="B317" s="151" t="s">
        <v>501</v>
      </c>
      <c r="C317" s="152" t="s">
        <v>502</v>
      </c>
      <c r="D317" s="151">
        <f t="shared" si="68"/>
        <v>3</v>
      </c>
      <c r="E317" s="151" t="s">
        <v>100</v>
      </c>
      <c r="F317" s="173">
        <v>46298</v>
      </c>
      <c r="G317" s="173"/>
      <c r="H317" s="173">
        <v>46298</v>
      </c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4">
        <v>46298</v>
      </c>
      <c r="U317" s="151"/>
      <c r="V317" s="152"/>
      <c r="W317" s="175"/>
      <c r="X317" s="173"/>
      <c r="Y317" s="173"/>
      <c r="Z317" s="176" t="str">
        <f>IF(B317="","",IF(S317&lt;&gt;"","Sevk Edildi",IF(AND(X317&lt;&gt;"",Y317=""),"Reworkte",IF(T317&lt;&gt;"","Kapandı"&amp;IF(COUNT(G317:R317)=0,""," – "&amp;LOOKUP(2,1/(G317:R317=MAX(G317:R317)),{"Tasarım","Ply Cutter","Üretim","Kalite (Üretim sonrası)","Talaşlı","Kalite (Talaşlı sonrası)","Montaj","Kalite (Montaj sonrası)","Boya","Kalite (Boya sonrası)","Yarı Mamül","KM"})),IF(COUNT(G317:R317)=0,"Başlamadı",LOOKUP(2,1/(G317:R317=MAX(G317:R317)),{"Tasarımda","Ply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317" s="177">
        <f t="shared" ca="1" si="70"/>
        <v>0</v>
      </c>
      <c r="AB317" s="175"/>
      <c r="AD317" t="str">
        <f>IF(OR($B317="",NOT(ISNUMBER(G317))),"",IF(COUNTIF(H317:$T317,G317)&gt;0,0,IF(COUNTIF($G317:$T317,"&gt;"&amp;G317)=0,"",SMALL($G317:$T317,COUNTIF($G317:$T317,"&lt;="&amp;G317)+1)-G317)))</f>
        <v/>
      </c>
      <c r="AE317">
        <f>IF(OR($B317="",NOT(ISNUMBER(H317))),"",IF(COUNTIF(I317:$T317,H317)&gt;0,0,IF(COUNTIF($G317:$T317,"&gt;"&amp;H317)=0,"",SMALL($G317:$T317,COUNTIF($G317:$T317,"&lt;="&amp;H317)+1)-H317)))</f>
        <v>0</v>
      </c>
      <c r="AF317" t="str">
        <f>IF(OR($B317="",NOT(ISNUMBER(I317))),"",IF(COUNTIF(J317:$T317,I317)&gt;0,0,IF(COUNTIF($G317:$T317,"&gt;"&amp;I317)=0,"",SMALL($G317:$T317,COUNTIF($G317:$T317,"&lt;="&amp;I317)+1)-I317)))</f>
        <v/>
      </c>
      <c r="AG317" t="str">
        <f>IF(OR($B317="",NOT(ISNUMBER(J317))),"",IF(COUNTIF(K317:$T317,J317)&gt;0,0,IF(COUNTIF($G317:$T317,"&gt;"&amp;J317)=0,"",SMALL($G317:$T317,COUNTIF($G317:$T317,"&lt;="&amp;J317)+1)-J317)))</f>
        <v/>
      </c>
      <c r="AH317" t="str">
        <f>IF(OR($B317="",NOT(ISNUMBER(K317))),"",IF(COUNTIF(L317:$T317,K317)&gt;0,0,IF(COUNTIF($G317:$T317,"&gt;"&amp;K317)=0,"",SMALL($G317:$T317,COUNTIF($G317:$T317,"&lt;="&amp;K317)+1)-K317)))</f>
        <v/>
      </c>
      <c r="AI317" t="str">
        <f>IF(OR($B317="",NOT(ISNUMBER(L317))),"",IF(COUNTIF(M317:$T317,L317)&gt;0,0,IF(COUNTIF($G317:$T317,"&gt;"&amp;L317)=0,"",SMALL($G317:$T317,COUNTIF($G317:$T317,"&lt;="&amp;L317)+1)-L317)))</f>
        <v/>
      </c>
      <c r="AJ317" t="str">
        <f>IF(OR($B317="",NOT(ISNUMBER(M317))),"",IF(COUNTIF(N317:$T317,M317)&gt;0,0,IF(COUNTIF($G317:$T317,"&gt;"&amp;M317)=0,"",SMALL($G317:$T317,COUNTIF($G317:$T317,"&lt;="&amp;M317)+1)-M317)))</f>
        <v/>
      </c>
      <c r="AK317" t="str">
        <f>IF(OR($B317="",NOT(ISNUMBER(N317))),"",IF(COUNTIF(O317:$T317,N317)&gt;0,0,IF(COUNTIF($G317:$T317,"&gt;"&amp;N317)=0,"",SMALL($G317:$T317,COUNTIF($G317:$T317,"&lt;="&amp;N317)+1)-N317)))</f>
        <v/>
      </c>
      <c r="AL317" t="str">
        <f>IF(OR($B317="",NOT(ISNUMBER(O317))),"",IF(COUNTIF(P317:$T317,O317)&gt;0,0,IF(COUNTIF($G317:$T317,"&gt;"&amp;O317)=0,"",SMALL($G317:$T317,COUNTIF($G317:$T317,"&lt;="&amp;O317)+1)-O317)))</f>
        <v/>
      </c>
      <c r="AM317" t="str">
        <f>IF(OR($B317="",NOT(ISNUMBER(P317))),"",IF(COUNTIF(Q317:$T317,P317)&gt;0,0,IF(COUNTIF($G317:$T317,"&gt;"&amp;P317)=0,"",SMALL($G317:$T317,COUNTIF($G317:$T317,"&lt;="&amp;P317)+1)-P317)))</f>
        <v/>
      </c>
      <c r="AN317" t="str">
        <f>IF(OR($B317="",NOT(ISNUMBER(Q317))),"",IF(COUNTIF(R317:$T317,Q317)&gt;0,0,IF(COUNTIF($G317:$T317,"&gt;"&amp;Q317)=0,"",SMALL($G317:$T317,COUNTIF($G317:$T317,"&lt;="&amp;Q317)+1)-Q317)))</f>
        <v/>
      </c>
      <c r="AO317" t="str">
        <f>IF(OR($B317="",NOT(ISNUMBER(R317))),"",IF(COUNTIF(S317:$T317,R317)&gt;0,0,IF(COUNTIF($G317:$T317,"&gt;"&amp;R317)=0,"",SMALL($G317:$T317,COUNTIF($G317:$T317,"&lt;="&amp;R317)+1)-R317)))</f>
        <v/>
      </c>
      <c r="AP317">
        <f t="shared" ca="1" si="71"/>
        <v>0</v>
      </c>
      <c r="AQ317" s="25" t="str">
        <f t="shared" si="72"/>
        <v/>
      </c>
      <c r="AR317" s="25">
        <f t="shared" si="73"/>
        <v>46298</v>
      </c>
      <c r="AS317" s="25" t="str">
        <f t="shared" si="74"/>
        <v/>
      </c>
      <c r="AT317" s="25" t="str">
        <f t="shared" si="75"/>
        <v/>
      </c>
      <c r="AU317" s="25" t="str">
        <f t="shared" si="76"/>
        <v/>
      </c>
      <c r="AV317" s="25" t="str">
        <f t="shared" si="77"/>
        <v/>
      </c>
      <c r="AW317" s="25" t="str">
        <f t="shared" si="78"/>
        <v/>
      </c>
      <c r="AX317" s="25" t="str">
        <f t="shared" si="79"/>
        <v/>
      </c>
      <c r="AY317" s="25" t="str">
        <f t="shared" si="80"/>
        <v/>
      </c>
      <c r="AZ317" s="25" t="str">
        <f t="shared" si="81"/>
        <v/>
      </c>
      <c r="BA317" s="25" t="str">
        <f t="shared" si="82"/>
        <v/>
      </c>
      <c r="BB317" s="25" t="str">
        <f t="shared" si="83"/>
        <v/>
      </c>
      <c r="BC317" s="25">
        <f t="shared" si="84"/>
        <v>46298</v>
      </c>
    </row>
    <row r="318" spans="1:55" x14ac:dyDescent="0.25">
      <c r="A318" s="151">
        <f t="shared" si="69"/>
        <v>316</v>
      </c>
      <c r="B318" s="151" t="s">
        <v>503</v>
      </c>
      <c r="C318" s="152" t="s">
        <v>504</v>
      </c>
      <c r="D318" s="151">
        <f t="shared" si="68"/>
        <v>1</v>
      </c>
      <c r="E318" s="151" t="s">
        <v>100</v>
      </c>
      <c r="F318" s="173">
        <v>46298</v>
      </c>
      <c r="G318" s="173"/>
      <c r="H318" s="173">
        <v>46298</v>
      </c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4">
        <v>46298</v>
      </c>
      <c r="U318" s="151"/>
      <c r="V318" s="152"/>
      <c r="W318" s="175"/>
      <c r="X318" s="173"/>
      <c r="Y318" s="173"/>
      <c r="Z318" s="176" t="str">
        <f>IF(B318="","",IF(S318&lt;&gt;"","Sevk Edildi",IF(AND(X318&lt;&gt;"",Y318=""),"Reworkte",IF(T318&lt;&gt;"","Kapandı"&amp;IF(COUNT(G318:R318)=0,""," – "&amp;LOOKUP(2,1/(G318:R318=MAX(G318:R318)),{"Tasarım","Ply Cutter","Üretim","Kalite (Üretim sonrası)","Talaşlı","Kalite (Talaşlı sonrası)","Montaj","Kalite (Montaj sonrası)","Boya","Kalite (Boya sonrası)","Yarı Mamül","KM"})),IF(COUNT(G318:R318)=0,"Başlamadı",LOOKUP(2,1/(G318:R318=MAX(G318:R318)),{"Tasarımda","Ply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318" s="177">
        <f t="shared" ca="1" si="70"/>
        <v>0</v>
      </c>
      <c r="AB318" s="175"/>
      <c r="AD318" t="str">
        <f>IF(OR($B318="",NOT(ISNUMBER(G318))),"",IF(COUNTIF(H318:$T318,G318)&gt;0,0,IF(COUNTIF($G318:$T318,"&gt;"&amp;G318)=0,"",SMALL($G318:$T318,COUNTIF($G318:$T318,"&lt;="&amp;G318)+1)-G318)))</f>
        <v/>
      </c>
      <c r="AE318">
        <f>IF(OR($B318="",NOT(ISNUMBER(H318))),"",IF(COUNTIF(I318:$T318,H318)&gt;0,0,IF(COUNTIF($G318:$T318,"&gt;"&amp;H318)=0,"",SMALL($G318:$T318,COUNTIF($G318:$T318,"&lt;="&amp;H318)+1)-H318)))</f>
        <v>0</v>
      </c>
      <c r="AF318" t="str">
        <f>IF(OR($B318="",NOT(ISNUMBER(I318))),"",IF(COUNTIF(J318:$T318,I318)&gt;0,0,IF(COUNTIF($G318:$T318,"&gt;"&amp;I318)=0,"",SMALL($G318:$T318,COUNTIF($G318:$T318,"&lt;="&amp;I318)+1)-I318)))</f>
        <v/>
      </c>
      <c r="AG318" t="str">
        <f>IF(OR($B318="",NOT(ISNUMBER(J318))),"",IF(COUNTIF(K318:$T318,J318)&gt;0,0,IF(COUNTIF($G318:$T318,"&gt;"&amp;J318)=0,"",SMALL($G318:$T318,COUNTIF($G318:$T318,"&lt;="&amp;J318)+1)-J318)))</f>
        <v/>
      </c>
      <c r="AH318" t="str">
        <f>IF(OR($B318="",NOT(ISNUMBER(K318))),"",IF(COUNTIF(L318:$T318,K318)&gt;0,0,IF(COUNTIF($G318:$T318,"&gt;"&amp;K318)=0,"",SMALL($G318:$T318,COUNTIF($G318:$T318,"&lt;="&amp;K318)+1)-K318)))</f>
        <v/>
      </c>
      <c r="AI318" t="str">
        <f>IF(OR($B318="",NOT(ISNUMBER(L318))),"",IF(COUNTIF(M318:$T318,L318)&gt;0,0,IF(COUNTIF($G318:$T318,"&gt;"&amp;L318)=0,"",SMALL($G318:$T318,COUNTIF($G318:$T318,"&lt;="&amp;L318)+1)-L318)))</f>
        <v/>
      </c>
      <c r="AJ318" t="str">
        <f>IF(OR($B318="",NOT(ISNUMBER(M318))),"",IF(COUNTIF(N318:$T318,M318)&gt;0,0,IF(COUNTIF($G318:$T318,"&gt;"&amp;M318)=0,"",SMALL($G318:$T318,COUNTIF($G318:$T318,"&lt;="&amp;M318)+1)-M318)))</f>
        <v/>
      </c>
      <c r="AK318" t="str">
        <f>IF(OR($B318="",NOT(ISNUMBER(N318))),"",IF(COUNTIF(O318:$T318,N318)&gt;0,0,IF(COUNTIF($G318:$T318,"&gt;"&amp;N318)=0,"",SMALL($G318:$T318,COUNTIF($G318:$T318,"&lt;="&amp;N318)+1)-N318)))</f>
        <v/>
      </c>
      <c r="AL318" t="str">
        <f>IF(OR($B318="",NOT(ISNUMBER(O318))),"",IF(COUNTIF(P318:$T318,O318)&gt;0,0,IF(COUNTIF($G318:$T318,"&gt;"&amp;O318)=0,"",SMALL($G318:$T318,COUNTIF($G318:$T318,"&lt;="&amp;O318)+1)-O318)))</f>
        <v/>
      </c>
      <c r="AM318" t="str">
        <f>IF(OR($B318="",NOT(ISNUMBER(P318))),"",IF(COUNTIF(Q318:$T318,P318)&gt;0,0,IF(COUNTIF($G318:$T318,"&gt;"&amp;P318)=0,"",SMALL($G318:$T318,COUNTIF($G318:$T318,"&lt;="&amp;P318)+1)-P318)))</f>
        <v/>
      </c>
      <c r="AN318" t="str">
        <f>IF(OR($B318="",NOT(ISNUMBER(Q318))),"",IF(COUNTIF(R318:$T318,Q318)&gt;0,0,IF(COUNTIF($G318:$T318,"&gt;"&amp;Q318)=0,"",SMALL($G318:$T318,COUNTIF($G318:$T318,"&lt;="&amp;Q318)+1)-Q318)))</f>
        <v/>
      </c>
      <c r="AO318" t="str">
        <f>IF(OR($B318="",NOT(ISNUMBER(R318))),"",IF(COUNTIF(S318:$T318,R318)&gt;0,0,IF(COUNTIF($G318:$T318,"&gt;"&amp;R318)=0,"",SMALL($G318:$T318,COUNTIF($G318:$T318,"&lt;="&amp;R318)+1)-R318)))</f>
        <v/>
      </c>
      <c r="AP318">
        <f t="shared" ca="1" si="71"/>
        <v>0</v>
      </c>
      <c r="AQ318" s="25" t="str">
        <f t="shared" si="72"/>
        <v/>
      </c>
      <c r="AR318" s="25">
        <f t="shared" si="73"/>
        <v>46298</v>
      </c>
      <c r="AS318" s="25" t="str">
        <f t="shared" si="74"/>
        <v/>
      </c>
      <c r="AT318" s="25" t="str">
        <f t="shared" si="75"/>
        <v/>
      </c>
      <c r="AU318" s="25" t="str">
        <f t="shared" si="76"/>
        <v/>
      </c>
      <c r="AV318" s="25" t="str">
        <f t="shared" si="77"/>
        <v/>
      </c>
      <c r="AW318" s="25" t="str">
        <f t="shared" si="78"/>
        <v/>
      </c>
      <c r="AX318" s="25" t="str">
        <f t="shared" si="79"/>
        <v/>
      </c>
      <c r="AY318" s="25" t="str">
        <f t="shared" si="80"/>
        <v/>
      </c>
      <c r="AZ318" s="25" t="str">
        <f t="shared" si="81"/>
        <v/>
      </c>
      <c r="BA318" s="25" t="str">
        <f t="shared" si="82"/>
        <v/>
      </c>
      <c r="BB318" s="25" t="str">
        <f t="shared" si="83"/>
        <v/>
      </c>
      <c r="BC318" s="25">
        <f t="shared" si="84"/>
        <v>46298</v>
      </c>
    </row>
    <row r="319" spans="1:55" x14ac:dyDescent="0.25">
      <c r="A319" s="151">
        <f t="shared" si="69"/>
        <v>317</v>
      </c>
      <c r="B319" s="151" t="s">
        <v>505</v>
      </c>
      <c r="C319" s="152" t="s">
        <v>133</v>
      </c>
      <c r="D319" s="151">
        <f t="shared" ref="D319:D382" si="85">IFERROR(VALUE(TRIM(MID(C319,FIND(" - ",C319)+3,FIND(" - ",C319,FIND(" - ",C319)+3)-FIND(" - ",C319)-3))),"")</f>
        <v>3</v>
      </c>
      <c r="E319" s="151" t="s">
        <v>100</v>
      </c>
      <c r="F319" s="173">
        <v>46298</v>
      </c>
      <c r="G319" s="173"/>
      <c r="H319" s="173"/>
      <c r="I319" s="173"/>
      <c r="J319" s="173"/>
      <c r="K319" s="173"/>
      <c r="L319" s="173"/>
      <c r="M319" s="173">
        <v>46298</v>
      </c>
      <c r="N319" s="173">
        <v>46300</v>
      </c>
      <c r="O319" s="173"/>
      <c r="P319" s="173"/>
      <c r="Q319" s="173"/>
      <c r="R319" s="173"/>
      <c r="S319" s="173"/>
      <c r="T319" s="174">
        <v>46300</v>
      </c>
      <c r="U319" s="151"/>
      <c r="V319" s="152"/>
      <c r="W319" s="175"/>
      <c r="X319" s="173"/>
      <c r="Y319" s="173"/>
      <c r="Z319" s="176" t="str">
        <f>IF(B319="","",IF(S319&lt;&gt;"","Sevk Edildi",IF(AND(X319&lt;&gt;"",Y319=""),"Reworkte",IF(T319&lt;&gt;"","Kapandı"&amp;IF(COUNT(G319:R319)=0,""," – "&amp;LOOKUP(2,1/(G319:R319=MAX(G319:R319)),{"Tasarım","Ply Cutter","Üretim","Kalite (Üretim sonrası)","Talaşlı","Kalite (Talaşlı sonrası)","Montaj","Kalite (Montaj sonrası)","Boya","Kalite (Boya sonrası)","Yarı Mamül","KM"})),IF(COUNT(G319:R319)=0,"Başlamadı",LOOKUP(2,1/(G319:R319=MAX(G319:R319)),{"Tasarımda","Ply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319" s="177">
        <f t="shared" ca="1" si="70"/>
        <v>2</v>
      </c>
      <c r="AB319" s="175"/>
      <c r="AD319" t="str">
        <f>IF(OR($B319="",NOT(ISNUMBER(G319))),"",IF(COUNTIF(H319:$T319,G319)&gt;0,0,IF(COUNTIF($G319:$T319,"&gt;"&amp;G319)=0,"",SMALL($G319:$T319,COUNTIF($G319:$T319,"&lt;="&amp;G319)+1)-G319)))</f>
        <v/>
      </c>
      <c r="AE319" t="str">
        <f>IF(OR($B319="",NOT(ISNUMBER(H319))),"",IF(COUNTIF(I319:$T319,H319)&gt;0,0,IF(COUNTIF($G319:$T319,"&gt;"&amp;H319)=0,"",SMALL($G319:$T319,COUNTIF($G319:$T319,"&lt;="&amp;H319)+1)-H319)))</f>
        <v/>
      </c>
      <c r="AF319" t="str">
        <f>IF(OR($B319="",NOT(ISNUMBER(I319))),"",IF(COUNTIF(J319:$T319,I319)&gt;0,0,IF(COUNTIF($G319:$T319,"&gt;"&amp;I319)=0,"",SMALL($G319:$T319,COUNTIF($G319:$T319,"&lt;="&amp;I319)+1)-I319)))</f>
        <v/>
      </c>
      <c r="AG319" t="str">
        <f>IF(OR($B319="",NOT(ISNUMBER(J319))),"",IF(COUNTIF(K319:$T319,J319)&gt;0,0,IF(COUNTIF($G319:$T319,"&gt;"&amp;J319)=0,"",SMALL($G319:$T319,COUNTIF($G319:$T319,"&lt;="&amp;J319)+1)-J319)))</f>
        <v/>
      </c>
      <c r="AH319" t="str">
        <f>IF(OR($B319="",NOT(ISNUMBER(K319))),"",IF(COUNTIF(L319:$T319,K319)&gt;0,0,IF(COUNTIF($G319:$T319,"&gt;"&amp;K319)=0,"",SMALL($G319:$T319,COUNTIF($G319:$T319,"&lt;="&amp;K319)+1)-K319)))</f>
        <v/>
      </c>
      <c r="AI319" t="str">
        <f>IF(OR($B319="",NOT(ISNUMBER(L319))),"",IF(COUNTIF(M319:$T319,L319)&gt;0,0,IF(COUNTIF($G319:$T319,"&gt;"&amp;L319)=0,"",SMALL($G319:$T319,COUNTIF($G319:$T319,"&lt;="&amp;L319)+1)-L319)))</f>
        <v/>
      </c>
      <c r="AJ319">
        <f>IF(OR($B319="",NOT(ISNUMBER(M319))),"",IF(COUNTIF(N319:$T319,M319)&gt;0,0,IF(COUNTIF($G319:$T319,"&gt;"&amp;M319)=0,"",SMALL($G319:$T319,COUNTIF($G319:$T319,"&lt;="&amp;M319)+1)-M319)))</f>
        <v>2</v>
      </c>
      <c r="AK319">
        <f>IF(OR($B319="",NOT(ISNUMBER(N319))),"",IF(COUNTIF(O319:$T319,N319)&gt;0,0,IF(COUNTIF($G319:$T319,"&gt;"&amp;N319)=0,"",SMALL($G319:$T319,COUNTIF($G319:$T319,"&lt;="&amp;N319)+1)-N319)))</f>
        <v>0</v>
      </c>
      <c r="AL319" t="str">
        <f>IF(OR($B319="",NOT(ISNUMBER(O319))),"",IF(COUNTIF(P319:$T319,O319)&gt;0,0,IF(COUNTIF($G319:$T319,"&gt;"&amp;O319)=0,"",SMALL($G319:$T319,COUNTIF($G319:$T319,"&lt;="&amp;O319)+1)-O319)))</f>
        <v/>
      </c>
      <c r="AM319" t="str">
        <f>IF(OR($B319="",NOT(ISNUMBER(P319))),"",IF(COUNTIF(Q319:$T319,P319)&gt;0,0,IF(COUNTIF($G319:$T319,"&gt;"&amp;P319)=0,"",SMALL($G319:$T319,COUNTIF($G319:$T319,"&lt;="&amp;P319)+1)-P319)))</f>
        <v/>
      </c>
      <c r="AN319" t="str">
        <f>IF(OR($B319="",NOT(ISNUMBER(Q319))),"",IF(COUNTIF(R319:$T319,Q319)&gt;0,0,IF(COUNTIF($G319:$T319,"&gt;"&amp;Q319)=0,"",SMALL($G319:$T319,COUNTIF($G319:$T319,"&lt;="&amp;Q319)+1)-Q319)))</f>
        <v/>
      </c>
      <c r="AO319" t="str">
        <f>IF(OR($B319="",NOT(ISNUMBER(R319))),"",IF(COUNTIF(S319:$T319,R319)&gt;0,0,IF(COUNTIF($G319:$T319,"&gt;"&amp;R319)=0,"",SMALL($G319:$T319,COUNTIF($G319:$T319,"&lt;="&amp;R319)+1)-R319)))</f>
        <v/>
      </c>
      <c r="AP319">
        <f t="shared" ca="1" si="71"/>
        <v>0</v>
      </c>
      <c r="AQ319" s="25" t="str">
        <f t="shared" si="72"/>
        <v/>
      </c>
      <c r="AR319" s="25" t="str">
        <f t="shared" si="73"/>
        <v/>
      </c>
      <c r="AS319" s="25" t="str">
        <f t="shared" si="74"/>
        <v/>
      </c>
      <c r="AT319" s="25" t="str">
        <f t="shared" si="75"/>
        <v/>
      </c>
      <c r="AU319" s="25" t="str">
        <f t="shared" si="76"/>
        <v/>
      </c>
      <c r="AV319" s="25" t="str">
        <f t="shared" si="77"/>
        <v/>
      </c>
      <c r="AW319" s="25">
        <f t="shared" si="78"/>
        <v>46300</v>
      </c>
      <c r="AX319" s="25">
        <f t="shared" si="79"/>
        <v>46300</v>
      </c>
      <c r="AY319" s="25" t="str">
        <f t="shared" si="80"/>
        <v/>
      </c>
      <c r="AZ319" s="25" t="str">
        <f t="shared" si="81"/>
        <v/>
      </c>
      <c r="BA319" s="25" t="str">
        <f t="shared" si="82"/>
        <v/>
      </c>
      <c r="BB319" s="25" t="str">
        <f t="shared" si="83"/>
        <v/>
      </c>
      <c r="BC319" s="25">
        <f t="shared" si="84"/>
        <v>46300</v>
      </c>
    </row>
    <row r="320" spans="1:55" x14ac:dyDescent="0.25">
      <c r="A320" s="151">
        <f t="shared" si="69"/>
        <v>318</v>
      </c>
      <c r="B320" s="151" t="s">
        <v>506</v>
      </c>
      <c r="C320" s="152" t="s">
        <v>133</v>
      </c>
      <c r="D320" s="151">
        <f t="shared" si="85"/>
        <v>3</v>
      </c>
      <c r="E320" s="151" t="s">
        <v>100</v>
      </c>
      <c r="F320" s="173">
        <v>46298</v>
      </c>
      <c r="G320" s="173"/>
      <c r="H320" s="173"/>
      <c r="I320" s="173"/>
      <c r="J320" s="173"/>
      <c r="K320" s="173"/>
      <c r="L320" s="173"/>
      <c r="M320" s="173">
        <v>46298</v>
      </c>
      <c r="N320" s="173">
        <v>46300</v>
      </c>
      <c r="O320" s="173"/>
      <c r="P320" s="173"/>
      <c r="Q320" s="173"/>
      <c r="R320" s="173"/>
      <c r="S320" s="173"/>
      <c r="T320" s="174">
        <v>46300</v>
      </c>
      <c r="U320" s="151"/>
      <c r="V320" s="152"/>
      <c r="W320" s="175"/>
      <c r="X320" s="173"/>
      <c r="Y320" s="173"/>
      <c r="Z320" s="176" t="str">
        <f>IF(B320="","",IF(S320&lt;&gt;"","Sevk Edildi",IF(AND(X320&lt;&gt;"",Y320=""),"Reworkte",IF(T320&lt;&gt;"","Kapandı"&amp;IF(COUNT(G320:R320)=0,""," – "&amp;LOOKUP(2,1/(G320:R320=MAX(G320:R320)),{"Tasarım","Ply Cutter","Üretim","Kalite (Üretim sonrası)","Talaşlı","Kalite (Talaşlı sonrası)","Montaj","Kalite (Montaj sonrası)","Boya","Kalite (Boya sonrası)","Yarı Mamül","KM"})),IF(COUNT(G320:R320)=0,"Başlamadı",LOOKUP(2,1/(G320:R320=MAX(G320:R320)),{"Tasarımda","Ply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320" s="177">
        <f t="shared" ca="1" si="70"/>
        <v>2</v>
      </c>
      <c r="AB320" s="175"/>
      <c r="AD320" t="str">
        <f>IF(OR($B320="",NOT(ISNUMBER(G320))),"",IF(COUNTIF(H320:$T320,G320)&gt;0,0,IF(COUNTIF($G320:$T320,"&gt;"&amp;G320)=0,"",SMALL($G320:$T320,COUNTIF($G320:$T320,"&lt;="&amp;G320)+1)-G320)))</f>
        <v/>
      </c>
      <c r="AE320" t="str">
        <f>IF(OR($B320="",NOT(ISNUMBER(H320))),"",IF(COUNTIF(I320:$T320,H320)&gt;0,0,IF(COUNTIF($G320:$T320,"&gt;"&amp;H320)=0,"",SMALL($G320:$T320,COUNTIF($G320:$T320,"&lt;="&amp;H320)+1)-H320)))</f>
        <v/>
      </c>
      <c r="AF320" t="str">
        <f>IF(OR($B320="",NOT(ISNUMBER(I320))),"",IF(COUNTIF(J320:$T320,I320)&gt;0,0,IF(COUNTIF($G320:$T320,"&gt;"&amp;I320)=0,"",SMALL($G320:$T320,COUNTIF($G320:$T320,"&lt;="&amp;I320)+1)-I320)))</f>
        <v/>
      </c>
      <c r="AG320" t="str">
        <f>IF(OR($B320="",NOT(ISNUMBER(J320))),"",IF(COUNTIF(K320:$T320,J320)&gt;0,0,IF(COUNTIF($G320:$T320,"&gt;"&amp;J320)=0,"",SMALL($G320:$T320,COUNTIF($G320:$T320,"&lt;="&amp;J320)+1)-J320)))</f>
        <v/>
      </c>
      <c r="AH320" t="str">
        <f>IF(OR($B320="",NOT(ISNUMBER(K320))),"",IF(COUNTIF(L320:$T320,K320)&gt;0,0,IF(COUNTIF($G320:$T320,"&gt;"&amp;K320)=0,"",SMALL($G320:$T320,COUNTIF($G320:$T320,"&lt;="&amp;K320)+1)-K320)))</f>
        <v/>
      </c>
      <c r="AI320" t="str">
        <f>IF(OR($B320="",NOT(ISNUMBER(L320))),"",IF(COUNTIF(M320:$T320,L320)&gt;0,0,IF(COUNTIF($G320:$T320,"&gt;"&amp;L320)=0,"",SMALL($G320:$T320,COUNTIF($G320:$T320,"&lt;="&amp;L320)+1)-L320)))</f>
        <v/>
      </c>
      <c r="AJ320">
        <f>IF(OR($B320="",NOT(ISNUMBER(M320))),"",IF(COUNTIF(N320:$T320,M320)&gt;0,0,IF(COUNTIF($G320:$T320,"&gt;"&amp;M320)=0,"",SMALL($G320:$T320,COUNTIF($G320:$T320,"&lt;="&amp;M320)+1)-M320)))</f>
        <v>2</v>
      </c>
      <c r="AK320">
        <f>IF(OR($B320="",NOT(ISNUMBER(N320))),"",IF(COUNTIF(O320:$T320,N320)&gt;0,0,IF(COUNTIF($G320:$T320,"&gt;"&amp;N320)=0,"",SMALL($G320:$T320,COUNTIF($G320:$T320,"&lt;="&amp;N320)+1)-N320)))</f>
        <v>0</v>
      </c>
      <c r="AL320" t="str">
        <f>IF(OR($B320="",NOT(ISNUMBER(O320))),"",IF(COUNTIF(P320:$T320,O320)&gt;0,0,IF(COUNTIF($G320:$T320,"&gt;"&amp;O320)=0,"",SMALL($G320:$T320,COUNTIF($G320:$T320,"&lt;="&amp;O320)+1)-O320)))</f>
        <v/>
      </c>
      <c r="AM320" t="str">
        <f>IF(OR($B320="",NOT(ISNUMBER(P320))),"",IF(COUNTIF(Q320:$T320,P320)&gt;0,0,IF(COUNTIF($G320:$T320,"&gt;"&amp;P320)=0,"",SMALL($G320:$T320,COUNTIF($G320:$T320,"&lt;="&amp;P320)+1)-P320)))</f>
        <v/>
      </c>
      <c r="AN320" t="str">
        <f>IF(OR($B320="",NOT(ISNUMBER(Q320))),"",IF(COUNTIF(R320:$T320,Q320)&gt;0,0,IF(COUNTIF($G320:$T320,"&gt;"&amp;Q320)=0,"",SMALL($G320:$T320,COUNTIF($G320:$T320,"&lt;="&amp;Q320)+1)-Q320)))</f>
        <v/>
      </c>
      <c r="AO320" t="str">
        <f>IF(OR($B320="",NOT(ISNUMBER(R320))),"",IF(COUNTIF(S320:$T320,R320)&gt;0,0,IF(COUNTIF($G320:$T320,"&gt;"&amp;R320)=0,"",SMALL($G320:$T320,COUNTIF($G320:$T320,"&lt;="&amp;R320)+1)-R320)))</f>
        <v/>
      </c>
      <c r="AP320">
        <f t="shared" ca="1" si="71"/>
        <v>0</v>
      </c>
      <c r="AQ320" s="25" t="str">
        <f t="shared" si="72"/>
        <v/>
      </c>
      <c r="AR320" s="25" t="str">
        <f t="shared" si="73"/>
        <v/>
      </c>
      <c r="AS320" s="25" t="str">
        <f t="shared" si="74"/>
        <v/>
      </c>
      <c r="AT320" s="25" t="str">
        <f t="shared" si="75"/>
        <v/>
      </c>
      <c r="AU320" s="25" t="str">
        <f t="shared" si="76"/>
        <v/>
      </c>
      <c r="AV320" s="25" t="str">
        <f t="shared" si="77"/>
        <v/>
      </c>
      <c r="AW320" s="25">
        <f t="shared" si="78"/>
        <v>46300</v>
      </c>
      <c r="AX320" s="25">
        <f t="shared" si="79"/>
        <v>46300</v>
      </c>
      <c r="AY320" s="25" t="str">
        <f t="shared" si="80"/>
        <v/>
      </c>
      <c r="AZ320" s="25" t="str">
        <f t="shared" si="81"/>
        <v/>
      </c>
      <c r="BA320" s="25" t="str">
        <f t="shared" si="82"/>
        <v/>
      </c>
      <c r="BB320" s="25" t="str">
        <f t="shared" si="83"/>
        <v/>
      </c>
      <c r="BC320" s="25">
        <f t="shared" si="84"/>
        <v>46300</v>
      </c>
    </row>
    <row r="321" spans="1:55" x14ac:dyDescent="0.25">
      <c r="A321" s="151">
        <f t="shared" si="69"/>
        <v>319</v>
      </c>
      <c r="B321" s="151" t="s">
        <v>507</v>
      </c>
      <c r="C321" s="152" t="s">
        <v>508</v>
      </c>
      <c r="D321" s="151">
        <f t="shared" si="85"/>
        <v>11</v>
      </c>
      <c r="E321" s="151" t="s">
        <v>100</v>
      </c>
      <c r="F321" s="173">
        <v>46298</v>
      </c>
      <c r="G321" s="173"/>
      <c r="H321" s="173"/>
      <c r="I321" s="173"/>
      <c r="J321" s="173"/>
      <c r="K321" s="173">
        <v>46298</v>
      </c>
      <c r="L321" s="173">
        <v>46298</v>
      </c>
      <c r="M321" s="173"/>
      <c r="N321" s="173"/>
      <c r="O321" s="173"/>
      <c r="P321" s="173"/>
      <c r="Q321" s="173"/>
      <c r="R321" s="173"/>
      <c r="S321" s="173"/>
      <c r="T321" s="174">
        <v>46298</v>
      </c>
      <c r="U321" s="151"/>
      <c r="V321" s="152"/>
      <c r="W321" s="175"/>
      <c r="X321" s="173"/>
      <c r="Y321" s="173"/>
      <c r="Z321" s="176" t="str">
        <f>IF(B321="","",IF(S321&lt;&gt;"","Sevk Edildi",IF(AND(X321&lt;&gt;"",Y321=""),"Reworkte",IF(T321&lt;&gt;"","Kapandı"&amp;IF(COUNT(G321:R321)=0,""," – "&amp;LOOKUP(2,1/(G321:R321=MAX(G321:R321)),{"Tasarım","Ply Cutter","Üretim","Kalite (Üretim sonrası)","Talaşlı","Kalite (Talaşlı sonrası)","Montaj","Kalite (Montaj sonrası)","Boya","Kalite (Boya sonrası)","Yarı Mamül","KM"})),IF(COUNT(G321:R321)=0,"Başlamadı",LOOKUP(2,1/(G321:R321=MAX(G321:R321)),{"Tasarımda","Ply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21" s="177">
        <f t="shared" ca="1" si="70"/>
        <v>0</v>
      </c>
      <c r="AB321" s="175"/>
      <c r="AD321" t="str">
        <f>IF(OR($B321="",NOT(ISNUMBER(G321))),"",IF(COUNTIF(H321:$T321,G321)&gt;0,0,IF(COUNTIF($G321:$T321,"&gt;"&amp;G321)=0,"",SMALL($G321:$T321,COUNTIF($G321:$T321,"&lt;="&amp;G321)+1)-G321)))</f>
        <v/>
      </c>
      <c r="AE321" t="str">
        <f>IF(OR($B321="",NOT(ISNUMBER(H321))),"",IF(COUNTIF(I321:$T321,H321)&gt;0,0,IF(COUNTIF($G321:$T321,"&gt;"&amp;H321)=0,"",SMALL($G321:$T321,COUNTIF($G321:$T321,"&lt;="&amp;H321)+1)-H321)))</f>
        <v/>
      </c>
      <c r="AF321" t="str">
        <f>IF(OR($B321="",NOT(ISNUMBER(I321))),"",IF(COUNTIF(J321:$T321,I321)&gt;0,0,IF(COUNTIF($G321:$T321,"&gt;"&amp;I321)=0,"",SMALL($G321:$T321,COUNTIF($G321:$T321,"&lt;="&amp;I321)+1)-I321)))</f>
        <v/>
      </c>
      <c r="AG321" t="str">
        <f>IF(OR($B321="",NOT(ISNUMBER(J321))),"",IF(COUNTIF(K321:$T321,J321)&gt;0,0,IF(COUNTIF($G321:$T321,"&gt;"&amp;J321)=0,"",SMALL($G321:$T321,COUNTIF($G321:$T321,"&lt;="&amp;J321)+1)-J321)))</f>
        <v/>
      </c>
      <c r="AH321">
        <f>IF(OR($B321="",NOT(ISNUMBER(K321))),"",IF(COUNTIF(L321:$T321,K321)&gt;0,0,IF(COUNTIF($G321:$T321,"&gt;"&amp;K321)=0,"",SMALL($G321:$T321,COUNTIF($G321:$T321,"&lt;="&amp;K321)+1)-K321)))</f>
        <v>0</v>
      </c>
      <c r="AI321">
        <f>IF(OR($B321="",NOT(ISNUMBER(L321))),"",IF(COUNTIF(M321:$T321,L321)&gt;0,0,IF(COUNTIF($G321:$T321,"&gt;"&amp;L321)=0,"",SMALL($G321:$T321,COUNTIF($G321:$T321,"&lt;="&amp;L321)+1)-L321)))</f>
        <v>0</v>
      </c>
      <c r="AJ321" t="str">
        <f>IF(OR($B321="",NOT(ISNUMBER(M321))),"",IF(COUNTIF(N321:$T321,M321)&gt;0,0,IF(COUNTIF($G321:$T321,"&gt;"&amp;M321)=0,"",SMALL($G321:$T321,COUNTIF($G321:$T321,"&lt;="&amp;M321)+1)-M321)))</f>
        <v/>
      </c>
      <c r="AK321" t="str">
        <f>IF(OR($B321="",NOT(ISNUMBER(N321))),"",IF(COUNTIF(O321:$T321,N321)&gt;0,0,IF(COUNTIF($G321:$T321,"&gt;"&amp;N321)=0,"",SMALL($G321:$T321,COUNTIF($G321:$T321,"&lt;="&amp;N321)+1)-N321)))</f>
        <v/>
      </c>
      <c r="AL321" t="str">
        <f>IF(OR($B321="",NOT(ISNUMBER(O321))),"",IF(COUNTIF(P321:$T321,O321)&gt;0,0,IF(COUNTIF($G321:$T321,"&gt;"&amp;O321)=0,"",SMALL($G321:$T321,COUNTIF($G321:$T321,"&lt;="&amp;O321)+1)-O321)))</f>
        <v/>
      </c>
      <c r="AM321" t="str">
        <f>IF(OR($B321="",NOT(ISNUMBER(P321))),"",IF(COUNTIF(Q321:$T321,P321)&gt;0,0,IF(COUNTIF($G321:$T321,"&gt;"&amp;P321)=0,"",SMALL($G321:$T321,COUNTIF($G321:$T321,"&lt;="&amp;P321)+1)-P321)))</f>
        <v/>
      </c>
      <c r="AN321" t="str">
        <f>IF(OR($B321="",NOT(ISNUMBER(Q321))),"",IF(COUNTIF(R321:$T321,Q321)&gt;0,0,IF(COUNTIF($G321:$T321,"&gt;"&amp;Q321)=0,"",SMALL($G321:$T321,COUNTIF($G321:$T321,"&lt;="&amp;Q321)+1)-Q321)))</f>
        <v/>
      </c>
      <c r="AO321" t="str">
        <f>IF(OR($B321="",NOT(ISNUMBER(R321))),"",IF(COUNTIF(S321:$T321,R321)&gt;0,0,IF(COUNTIF($G321:$T321,"&gt;"&amp;R321)=0,"",SMALL($G321:$T321,COUNTIF($G321:$T321,"&lt;="&amp;R321)+1)-R321)))</f>
        <v/>
      </c>
      <c r="AP321">
        <f t="shared" ca="1" si="71"/>
        <v>0</v>
      </c>
      <c r="AQ321" s="25" t="str">
        <f t="shared" si="72"/>
        <v/>
      </c>
      <c r="AR321" s="25" t="str">
        <f t="shared" si="73"/>
        <v/>
      </c>
      <c r="AS321" s="25" t="str">
        <f t="shared" si="74"/>
        <v/>
      </c>
      <c r="AT321" s="25" t="str">
        <f t="shared" si="75"/>
        <v/>
      </c>
      <c r="AU321" s="25">
        <f t="shared" si="76"/>
        <v>46298</v>
      </c>
      <c r="AV321" s="25">
        <f t="shared" si="77"/>
        <v>46298</v>
      </c>
      <c r="AW321" s="25" t="str">
        <f t="shared" si="78"/>
        <v/>
      </c>
      <c r="AX321" s="25" t="str">
        <f t="shared" si="79"/>
        <v/>
      </c>
      <c r="AY321" s="25" t="str">
        <f t="shared" si="80"/>
        <v/>
      </c>
      <c r="AZ321" s="25" t="str">
        <f t="shared" si="81"/>
        <v/>
      </c>
      <c r="BA321" s="25" t="str">
        <f t="shared" si="82"/>
        <v/>
      </c>
      <c r="BB321" s="25" t="str">
        <f t="shared" si="83"/>
        <v/>
      </c>
      <c r="BC321" s="25">
        <f t="shared" si="84"/>
        <v>46298</v>
      </c>
    </row>
    <row r="322" spans="1:55" x14ac:dyDescent="0.25">
      <c r="A322" s="151">
        <f t="shared" si="69"/>
        <v>320</v>
      </c>
      <c r="B322" s="151" t="s">
        <v>509</v>
      </c>
      <c r="C322" s="152" t="s">
        <v>510</v>
      </c>
      <c r="D322" s="151">
        <f t="shared" si="85"/>
        <v>6</v>
      </c>
      <c r="E322" s="151" t="s">
        <v>100</v>
      </c>
      <c r="F322" s="173">
        <v>46298</v>
      </c>
      <c r="G322" s="173"/>
      <c r="H322" s="173">
        <v>46298</v>
      </c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4">
        <v>46298</v>
      </c>
      <c r="U322" s="151"/>
      <c r="V322" s="152"/>
      <c r="W322" s="175"/>
      <c r="X322" s="173"/>
      <c r="Y322" s="173"/>
      <c r="Z322" s="176" t="str">
        <f>IF(B322="","",IF(S322&lt;&gt;"","Sevk Edildi",IF(AND(X322&lt;&gt;"",Y322=""),"Reworkte",IF(T322&lt;&gt;"","Kapandı"&amp;IF(COUNT(G322:R322)=0,""," – "&amp;LOOKUP(2,1/(G322:R322=MAX(G322:R322)),{"Tasarım","Ply Cutter","Üretim","Kalite (Üretim sonrası)","Talaşlı","Kalite (Talaşlı sonrası)","Montaj","Kalite (Montaj sonrası)","Boya","Kalite (Boya sonrası)","Yarı Mamül","KM"})),IF(COUNT(G322:R322)=0,"Başlamadı",LOOKUP(2,1/(G322:R322=MAX(G322:R322)),{"Tasarımda","Ply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322" s="177">
        <f t="shared" ca="1" si="70"/>
        <v>0</v>
      </c>
      <c r="AB322" s="175"/>
      <c r="AD322" t="str">
        <f>IF(OR($B322="",NOT(ISNUMBER(G322))),"",IF(COUNTIF(H322:$T322,G322)&gt;0,0,IF(COUNTIF($G322:$T322,"&gt;"&amp;G322)=0,"",SMALL($G322:$T322,COUNTIF($G322:$T322,"&lt;="&amp;G322)+1)-G322)))</f>
        <v/>
      </c>
      <c r="AE322">
        <f>IF(OR($B322="",NOT(ISNUMBER(H322))),"",IF(COUNTIF(I322:$T322,H322)&gt;0,0,IF(COUNTIF($G322:$T322,"&gt;"&amp;H322)=0,"",SMALL($G322:$T322,COUNTIF($G322:$T322,"&lt;="&amp;H322)+1)-H322)))</f>
        <v>0</v>
      </c>
      <c r="AF322" t="str">
        <f>IF(OR($B322="",NOT(ISNUMBER(I322))),"",IF(COUNTIF(J322:$T322,I322)&gt;0,0,IF(COUNTIF($G322:$T322,"&gt;"&amp;I322)=0,"",SMALL($G322:$T322,COUNTIF($G322:$T322,"&lt;="&amp;I322)+1)-I322)))</f>
        <v/>
      </c>
      <c r="AG322" t="str">
        <f>IF(OR($B322="",NOT(ISNUMBER(J322))),"",IF(COUNTIF(K322:$T322,J322)&gt;0,0,IF(COUNTIF($G322:$T322,"&gt;"&amp;J322)=0,"",SMALL($G322:$T322,COUNTIF($G322:$T322,"&lt;="&amp;J322)+1)-J322)))</f>
        <v/>
      </c>
      <c r="AH322" t="str">
        <f>IF(OR($B322="",NOT(ISNUMBER(K322))),"",IF(COUNTIF(L322:$T322,K322)&gt;0,0,IF(COUNTIF($G322:$T322,"&gt;"&amp;K322)=0,"",SMALL($G322:$T322,COUNTIF($G322:$T322,"&lt;="&amp;K322)+1)-K322)))</f>
        <v/>
      </c>
      <c r="AI322" t="str">
        <f>IF(OR($B322="",NOT(ISNUMBER(L322))),"",IF(COUNTIF(M322:$T322,L322)&gt;0,0,IF(COUNTIF($G322:$T322,"&gt;"&amp;L322)=0,"",SMALL($G322:$T322,COUNTIF($G322:$T322,"&lt;="&amp;L322)+1)-L322)))</f>
        <v/>
      </c>
      <c r="AJ322" t="str">
        <f>IF(OR($B322="",NOT(ISNUMBER(M322))),"",IF(COUNTIF(N322:$T322,M322)&gt;0,0,IF(COUNTIF($G322:$T322,"&gt;"&amp;M322)=0,"",SMALL($G322:$T322,COUNTIF($G322:$T322,"&lt;="&amp;M322)+1)-M322)))</f>
        <v/>
      </c>
      <c r="AK322" t="str">
        <f>IF(OR($B322="",NOT(ISNUMBER(N322))),"",IF(COUNTIF(O322:$T322,N322)&gt;0,0,IF(COUNTIF($G322:$T322,"&gt;"&amp;N322)=0,"",SMALL($G322:$T322,COUNTIF($G322:$T322,"&lt;="&amp;N322)+1)-N322)))</f>
        <v/>
      </c>
      <c r="AL322" t="str">
        <f>IF(OR($B322="",NOT(ISNUMBER(O322))),"",IF(COUNTIF(P322:$T322,O322)&gt;0,0,IF(COUNTIF($G322:$T322,"&gt;"&amp;O322)=0,"",SMALL($G322:$T322,COUNTIF($G322:$T322,"&lt;="&amp;O322)+1)-O322)))</f>
        <v/>
      </c>
      <c r="AM322" t="str">
        <f>IF(OR($B322="",NOT(ISNUMBER(P322))),"",IF(COUNTIF(Q322:$T322,P322)&gt;0,0,IF(COUNTIF($G322:$T322,"&gt;"&amp;P322)=0,"",SMALL($G322:$T322,COUNTIF($G322:$T322,"&lt;="&amp;P322)+1)-P322)))</f>
        <v/>
      </c>
      <c r="AN322" t="str">
        <f>IF(OR($B322="",NOT(ISNUMBER(Q322))),"",IF(COUNTIF(R322:$T322,Q322)&gt;0,0,IF(COUNTIF($G322:$T322,"&gt;"&amp;Q322)=0,"",SMALL($G322:$T322,COUNTIF($G322:$T322,"&lt;="&amp;Q322)+1)-Q322)))</f>
        <v/>
      </c>
      <c r="AO322" t="str">
        <f>IF(OR($B322="",NOT(ISNUMBER(R322))),"",IF(COUNTIF(S322:$T322,R322)&gt;0,0,IF(COUNTIF($G322:$T322,"&gt;"&amp;R322)=0,"",SMALL($G322:$T322,COUNTIF($G322:$T322,"&lt;="&amp;R322)+1)-R322)))</f>
        <v/>
      </c>
      <c r="AP322">
        <f t="shared" ca="1" si="71"/>
        <v>0</v>
      </c>
      <c r="AQ322" s="25" t="str">
        <f t="shared" si="72"/>
        <v/>
      </c>
      <c r="AR322" s="25">
        <f t="shared" si="73"/>
        <v>46298</v>
      </c>
      <c r="AS322" s="25" t="str">
        <f t="shared" si="74"/>
        <v/>
      </c>
      <c r="AT322" s="25" t="str">
        <f t="shared" si="75"/>
        <v/>
      </c>
      <c r="AU322" s="25" t="str">
        <f t="shared" si="76"/>
        <v/>
      </c>
      <c r="AV322" s="25" t="str">
        <f t="shared" si="77"/>
        <v/>
      </c>
      <c r="AW322" s="25" t="str">
        <f t="shared" si="78"/>
        <v/>
      </c>
      <c r="AX322" s="25" t="str">
        <f t="shared" si="79"/>
        <v/>
      </c>
      <c r="AY322" s="25" t="str">
        <f t="shared" si="80"/>
        <v/>
      </c>
      <c r="AZ322" s="25" t="str">
        <f t="shared" si="81"/>
        <v/>
      </c>
      <c r="BA322" s="25" t="str">
        <f t="shared" si="82"/>
        <v/>
      </c>
      <c r="BB322" s="25" t="str">
        <f t="shared" si="83"/>
        <v/>
      </c>
      <c r="BC322" s="25">
        <f t="shared" si="84"/>
        <v>46298</v>
      </c>
    </row>
    <row r="323" spans="1:55" x14ac:dyDescent="0.25">
      <c r="A323" s="151">
        <f t="shared" ref="A323:A386" si="86">IF(B323="","",ROW()-2)</f>
        <v>321</v>
      </c>
      <c r="B323" s="151" t="s">
        <v>511</v>
      </c>
      <c r="C323" s="152" t="s">
        <v>512</v>
      </c>
      <c r="D323" s="151">
        <f t="shared" si="85"/>
        <v>10</v>
      </c>
      <c r="E323" s="151" t="s">
        <v>100</v>
      </c>
      <c r="F323" s="173">
        <v>46298</v>
      </c>
      <c r="G323" s="173"/>
      <c r="H323" s="173"/>
      <c r="I323" s="173"/>
      <c r="J323" s="173"/>
      <c r="K323" s="173">
        <v>46298</v>
      </c>
      <c r="L323" s="173">
        <v>46300</v>
      </c>
      <c r="M323" s="173"/>
      <c r="N323" s="173"/>
      <c r="O323" s="173"/>
      <c r="P323" s="173"/>
      <c r="Q323" s="173"/>
      <c r="R323" s="173"/>
      <c r="S323" s="173"/>
      <c r="T323" s="174">
        <v>46300</v>
      </c>
      <c r="U323" s="151"/>
      <c r="V323" s="152"/>
      <c r="W323" s="175"/>
      <c r="X323" s="173"/>
      <c r="Y323" s="173"/>
      <c r="Z323" s="176" t="str">
        <f>IF(B323="","",IF(S323&lt;&gt;"","Sevk Edildi",IF(AND(X323&lt;&gt;"",Y323=""),"Reworkte",IF(T323&lt;&gt;"","Kapandı"&amp;IF(COUNT(G323:R323)=0,""," – "&amp;LOOKUP(2,1/(G323:R323=MAX(G323:R323)),{"Tasarım","Ply Cutter","Üretim","Kalite (Üretim sonrası)","Talaşlı","Kalite (Talaşlı sonrası)","Montaj","Kalite (Montaj sonrası)","Boya","Kalite (Boya sonrası)","Yarı Mamül","KM"})),IF(COUNT(G323:R323)=0,"Başlamadı",LOOKUP(2,1/(G323:R323=MAX(G323:R323)),{"Tasarımda","Ply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23" s="177">
        <f t="shared" ref="AA323:AA386" ca="1" si="87">IF(OR(B323="",F323=""),"",IFERROR(IF(S323&lt;&gt;"",S323-F323,IF(T323&lt;&gt;"",T323-F323,TODAY()-F323)),""))</f>
        <v>2</v>
      </c>
      <c r="AB323" s="175"/>
      <c r="AD323" t="str">
        <f>IF(OR($B323="",NOT(ISNUMBER(G323))),"",IF(COUNTIF(H323:$T323,G323)&gt;0,0,IF(COUNTIF($G323:$T323,"&gt;"&amp;G323)=0,"",SMALL($G323:$T323,COUNTIF($G323:$T323,"&lt;="&amp;G323)+1)-G323)))</f>
        <v/>
      </c>
      <c r="AE323" t="str">
        <f>IF(OR($B323="",NOT(ISNUMBER(H323))),"",IF(COUNTIF(I323:$T323,H323)&gt;0,0,IF(COUNTIF($G323:$T323,"&gt;"&amp;H323)=0,"",SMALL($G323:$T323,COUNTIF($G323:$T323,"&lt;="&amp;H323)+1)-H323)))</f>
        <v/>
      </c>
      <c r="AF323" t="str">
        <f>IF(OR($B323="",NOT(ISNUMBER(I323))),"",IF(COUNTIF(J323:$T323,I323)&gt;0,0,IF(COUNTIF($G323:$T323,"&gt;"&amp;I323)=0,"",SMALL($G323:$T323,COUNTIF($G323:$T323,"&lt;="&amp;I323)+1)-I323)))</f>
        <v/>
      </c>
      <c r="AG323" t="str">
        <f>IF(OR($B323="",NOT(ISNUMBER(J323))),"",IF(COUNTIF(K323:$T323,J323)&gt;0,0,IF(COUNTIF($G323:$T323,"&gt;"&amp;J323)=0,"",SMALL($G323:$T323,COUNTIF($G323:$T323,"&lt;="&amp;J323)+1)-J323)))</f>
        <v/>
      </c>
      <c r="AH323">
        <f>IF(OR($B323="",NOT(ISNUMBER(K323))),"",IF(COUNTIF(L323:$T323,K323)&gt;0,0,IF(COUNTIF($G323:$T323,"&gt;"&amp;K323)=0,"",SMALL($G323:$T323,COUNTIF($G323:$T323,"&lt;="&amp;K323)+1)-K323)))</f>
        <v>2</v>
      </c>
      <c r="AI323">
        <f>IF(OR($B323="",NOT(ISNUMBER(L323))),"",IF(COUNTIF(M323:$T323,L323)&gt;0,0,IF(COUNTIF($G323:$T323,"&gt;"&amp;L323)=0,"",SMALL($G323:$T323,COUNTIF($G323:$T323,"&lt;="&amp;L323)+1)-L323)))</f>
        <v>0</v>
      </c>
      <c r="AJ323" t="str">
        <f>IF(OR($B323="",NOT(ISNUMBER(M323))),"",IF(COUNTIF(N323:$T323,M323)&gt;0,0,IF(COUNTIF($G323:$T323,"&gt;"&amp;M323)=0,"",SMALL($G323:$T323,COUNTIF($G323:$T323,"&lt;="&amp;M323)+1)-M323)))</f>
        <v/>
      </c>
      <c r="AK323" t="str">
        <f>IF(OR($B323="",NOT(ISNUMBER(N323))),"",IF(COUNTIF(O323:$T323,N323)&gt;0,0,IF(COUNTIF($G323:$T323,"&gt;"&amp;N323)=0,"",SMALL($G323:$T323,COUNTIF($G323:$T323,"&lt;="&amp;N323)+1)-N323)))</f>
        <v/>
      </c>
      <c r="AL323" t="str">
        <f>IF(OR($B323="",NOT(ISNUMBER(O323))),"",IF(COUNTIF(P323:$T323,O323)&gt;0,0,IF(COUNTIF($G323:$T323,"&gt;"&amp;O323)=0,"",SMALL($G323:$T323,COUNTIF($G323:$T323,"&lt;="&amp;O323)+1)-O323)))</f>
        <v/>
      </c>
      <c r="AM323" t="str">
        <f>IF(OR($B323="",NOT(ISNUMBER(P323))),"",IF(COUNTIF(Q323:$T323,P323)&gt;0,0,IF(COUNTIF($G323:$T323,"&gt;"&amp;P323)=0,"",SMALL($G323:$T323,COUNTIF($G323:$T323,"&lt;="&amp;P323)+1)-P323)))</f>
        <v/>
      </c>
      <c r="AN323" t="str">
        <f>IF(OR($B323="",NOT(ISNUMBER(Q323))),"",IF(COUNTIF(R323:$T323,Q323)&gt;0,0,IF(COUNTIF($G323:$T323,"&gt;"&amp;Q323)=0,"",SMALL($G323:$T323,COUNTIF($G323:$T323,"&lt;="&amp;Q323)+1)-Q323)))</f>
        <v/>
      </c>
      <c r="AO323" t="str">
        <f>IF(OR($B323="",NOT(ISNUMBER(R323))),"",IF(COUNTIF(S323:$T323,R323)&gt;0,0,IF(COUNTIF($G323:$T323,"&gt;"&amp;R323)=0,"",SMALL($G323:$T323,COUNTIF($G323:$T323,"&lt;="&amp;R323)+1)-R323)))</f>
        <v/>
      </c>
      <c r="AP323">
        <f t="shared" ref="AP323:AP386" ca="1" si="88">IF(OR($B323="",Z323="",Z323="Başlamadı",Z323="Sevk Edildi",Z323="Reworkte",LEFT(Z323,7)="Kapandı"),0,TODAY()-MAX($G323:$R323))</f>
        <v>0</v>
      </c>
      <c r="AQ323" s="25" t="str">
        <f t="shared" ref="AQ323:AQ386" si="89">IF(AND(ISNUMBER(G323),ISNUMBER(AD323)),G323+AD323,"")</f>
        <v/>
      </c>
      <c r="AR323" s="25" t="str">
        <f t="shared" ref="AR323:AR386" si="90">IF(AND(ISNUMBER(H323),ISNUMBER(AE323)),H323+AE323,"")</f>
        <v/>
      </c>
      <c r="AS323" s="25" t="str">
        <f t="shared" ref="AS323:AS386" si="91">IF(AND(ISNUMBER(I323),ISNUMBER(AF323)),I323+AF323,"")</f>
        <v/>
      </c>
      <c r="AT323" s="25" t="str">
        <f t="shared" ref="AT323:AT386" si="92">IF(AND(ISNUMBER(J323),ISNUMBER(AG323)),J323+AG323,"")</f>
        <v/>
      </c>
      <c r="AU323" s="25">
        <f t="shared" ref="AU323:AU386" si="93">IF(AND(ISNUMBER(K323),ISNUMBER(AH323)),K323+AH323,"")</f>
        <v>46300</v>
      </c>
      <c r="AV323" s="25">
        <f t="shared" ref="AV323:AV386" si="94">IF(AND(ISNUMBER(L323),ISNUMBER(AI323)),L323+AI323,"")</f>
        <v>46300</v>
      </c>
      <c r="AW323" s="25" t="str">
        <f t="shared" ref="AW323:AW386" si="95">IF(AND(ISNUMBER(M323),ISNUMBER(AJ323)),M323+AJ323,"")</f>
        <v/>
      </c>
      <c r="AX323" s="25" t="str">
        <f t="shared" ref="AX323:AX386" si="96">IF(AND(ISNUMBER(N323),ISNUMBER(AK323)),N323+AK323,"")</f>
        <v/>
      </c>
      <c r="AY323" s="25" t="str">
        <f t="shared" ref="AY323:AY386" si="97">IF(AND(ISNUMBER(O323),ISNUMBER(AL323)),O323+AL323,"")</f>
        <v/>
      </c>
      <c r="AZ323" s="25" t="str">
        <f t="shared" ref="AZ323:AZ386" si="98">IF(AND(ISNUMBER(P323),ISNUMBER(AM323)),P323+AM323,"")</f>
        <v/>
      </c>
      <c r="BA323" s="25" t="str">
        <f t="shared" ref="BA323:BA386" si="99">IF(AND(ISNUMBER(Q323),ISNUMBER(AN323)),Q323+AN323,"")</f>
        <v/>
      </c>
      <c r="BB323" s="25" t="str">
        <f t="shared" ref="BB323:BB386" si="100">IF(AND(ISNUMBER(R323),ISNUMBER(AO323)),R323+AO323,"")</f>
        <v/>
      </c>
      <c r="BC323" s="25">
        <f t="shared" ref="BC323:BC386" si="101">IF(AND(S323="",T323=""),"",MIN(S323,T323))</f>
        <v>46300</v>
      </c>
    </row>
    <row r="324" spans="1:55" x14ac:dyDescent="0.25">
      <c r="A324" s="151">
        <f t="shared" si="86"/>
        <v>322</v>
      </c>
      <c r="B324" s="151" t="s">
        <v>513</v>
      </c>
      <c r="C324" s="152" t="s">
        <v>514</v>
      </c>
      <c r="D324" s="151">
        <f t="shared" si="85"/>
        <v>8</v>
      </c>
      <c r="E324" s="151" t="s">
        <v>100</v>
      </c>
      <c r="F324" s="173">
        <v>46298</v>
      </c>
      <c r="G324" s="173"/>
      <c r="H324" s="173"/>
      <c r="I324" s="173"/>
      <c r="J324" s="173"/>
      <c r="K324" s="173">
        <v>46298</v>
      </c>
      <c r="L324" s="173">
        <v>46300</v>
      </c>
      <c r="M324" s="173"/>
      <c r="N324" s="173"/>
      <c r="O324" s="173"/>
      <c r="P324" s="173"/>
      <c r="Q324" s="173"/>
      <c r="R324" s="173"/>
      <c r="S324" s="173"/>
      <c r="T324" s="174">
        <v>46300</v>
      </c>
      <c r="U324" s="151"/>
      <c r="V324" s="152"/>
      <c r="W324" s="175"/>
      <c r="X324" s="173"/>
      <c r="Y324" s="173"/>
      <c r="Z324" s="176" t="str">
        <f>IF(B324="","",IF(S324&lt;&gt;"","Sevk Edildi",IF(AND(X324&lt;&gt;"",Y324=""),"Reworkte",IF(T324&lt;&gt;"","Kapandı"&amp;IF(COUNT(G324:R324)=0,""," – "&amp;LOOKUP(2,1/(G324:R324=MAX(G324:R324)),{"Tasarım","Ply Cutter","Üretim","Kalite (Üretim sonrası)","Talaşlı","Kalite (Talaşlı sonrası)","Montaj","Kalite (Montaj sonrası)","Boya","Kalite (Boya sonrası)","Yarı Mamül","KM"})),IF(COUNT(G324:R324)=0,"Başlamadı",LOOKUP(2,1/(G324:R324=MAX(G324:R324)),{"Tasarımda","Ply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24" s="177">
        <f t="shared" ca="1" si="87"/>
        <v>2</v>
      </c>
      <c r="AB324" s="175"/>
      <c r="AD324" t="str">
        <f>IF(OR($B324="",NOT(ISNUMBER(G324))),"",IF(COUNTIF(H324:$T324,G324)&gt;0,0,IF(COUNTIF($G324:$T324,"&gt;"&amp;G324)=0,"",SMALL($G324:$T324,COUNTIF($G324:$T324,"&lt;="&amp;G324)+1)-G324)))</f>
        <v/>
      </c>
      <c r="AE324" t="str">
        <f>IF(OR($B324="",NOT(ISNUMBER(H324))),"",IF(COUNTIF(I324:$T324,H324)&gt;0,0,IF(COUNTIF($G324:$T324,"&gt;"&amp;H324)=0,"",SMALL($G324:$T324,COUNTIF($G324:$T324,"&lt;="&amp;H324)+1)-H324)))</f>
        <v/>
      </c>
      <c r="AF324" t="str">
        <f>IF(OR($B324="",NOT(ISNUMBER(I324))),"",IF(COUNTIF(J324:$T324,I324)&gt;0,0,IF(COUNTIF($G324:$T324,"&gt;"&amp;I324)=0,"",SMALL($G324:$T324,COUNTIF($G324:$T324,"&lt;="&amp;I324)+1)-I324)))</f>
        <v/>
      </c>
      <c r="AG324" t="str">
        <f>IF(OR($B324="",NOT(ISNUMBER(J324))),"",IF(COUNTIF(K324:$T324,J324)&gt;0,0,IF(COUNTIF($G324:$T324,"&gt;"&amp;J324)=0,"",SMALL($G324:$T324,COUNTIF($G324:$T324,"&lt;="&amp;J324)+1)-J324)))</f>
        <v/>
      </c>
      <c r="AH324">
        <f>IF(OR($B324="",NOT(ISNUMBER(K324))),"",IF(COUNTIF(L324:$T324,K324)&gt;0,0,IF(COUNTIF($G324:$T324,"&gt;"&amp;K324)=0,"",SMALL($G324:$T324,COUNTIF($G324:$T324,"&lt;="&amp;K324)+1)-K324)))</f>
        <v>2</v>
      </c>
      <c r="AI324">
        <f>IF(OR($B324="",NOT(ISNUMBER(L324))),"",IF(COUNTIF(M324:$T324,L324)&gt;0,0,IF(COUNTIF($G324:$T324,"&gt;"&amp;L324)=0,"",SMALL($G324:$T324,COUNTIF($G324:$T324,"&lt;="&amp;L324)+1)-L324)))</f>
        <v>0</v>
      </c>
      <c r="AJ324" t="str">
        <f>IF(OR($B324="",NOT(ISNUMBER(M324))),"",IF(COUNTIF(N324:$T324,M324)&gt;0,0,IF(COUNTIF($G324:$T324,"&gt;"&amp;M324)=0,"",SMALL($G324:$T324,COUNTIF($G324:$T324,"&lt;="&amp;M324)+1)-M324)))</f>
        <v/>
      </c>
      <c r="AK324" t="str">
        <f>IF(OR($B324="",NOT(ISNUMBER(N324))),"",IF(COUNTIF(O324:$T324,N324)&gt;0,0,IF(COUNTIF($G324:$T324,"&gt;"&amp;N324)=0,"",SMALL($G324:$T324,COUNTIF($G324:$T324,"&lt;="&amp;N324)+1)-N324)))</f>
        <v/>
      </c>
      <c r="AL324" t="str">
        <f>IF(OR($B324="",NOT(ISNUMBER(O324))),"",IF(COUNTIF(P324:$T324,O324)&gt;0,0,IF(COUNTIF($G324:$T324,"&gt;"&amp;O324)=0,"",SMALL($G324:$T324,COUNTIF($G324:$T324,"&lt;="&amp;O324)+1)-O324)))</f>
        <v/>
      </c>
      <c r="AM324" t="str">
        <f>IF(OR($B324="",NOT(ISNUMBER(P324))),"",IF(COUNTIF(Q324:$T324,P324)&gt;0,0,IF(COUNTIF($G324:$T324,"&gt;"&amp;P324)=0,"",SMALL($G324:$T324,COUNTIF($G324:$T324,"&lt;="&amp;P324)+1)-P324)))</f>
        <v/>
      </c>
      <c r="AN324" t="str">
        <f>IF(OR($B324="",NOT(ISNUMBER(Q324))),"",IF(COUNTIF(R324:$T324,Q324)&gt;0,0,IF(COUNTIF($G324:$T324,"&gt;"&amp;Q324)=0,"",SMALL($G324:$T324,COUNTIF($G324:$T324,"&lt;="&amp;Q324)+1)-Q324)))</f>
        <v/>
      </c>
      <c r="AO324" t="str">
        <f>IF(OR($B324="",NOT(ISNUMBER(R324))),"",IF(COUNTIF(S324:$T324,R324)&gt;0,0,IF(COUNTIF($G324:$T324,"&gt;"&amp;R324)=0,"",SMALL($G324:$T324,COUNTIF($G324:$T324,"&lt;="&amp;R324)+1)-R324)))</f>
        <v/>
      </c>
      <c r="AP324">
        <f t="shared" ca="1" si="88"/>
        <v>0</v>
      </c>
      <c r="AQ324" s="25" t="str">
        <f t="shared" si="89"/>
        <v/>
      </c>
      <c r="AR324" s="25" t="str">
        <f t="shared" si="90"/>
        <v/>
      </c>
      <c r="AS324" s="25" t="str">
        <f t="shared" si="91"/>
        <v/>
      </c>
      <c r="AT324" s="25" t="str">
        <f t="shared" si="92"/>
        <v/>
      </c>
      <c r="AU324" s="25">
        <f t="shared" si="93"/>
        <v>46300</v>
      </c>
      <c r="AV324" s="25">
        <f t="shared" si="94"/>
        <v>46300</v>
      </c>
      <c r="AW324" s="25" t="str">
        <f t="shared" si="95"/>
        <v/>
      </c>
      <c r="AX324" s="25" t="str">
        <f t="shared" si="96"/>
        <v/>
      </c>
      <c r="AY324" s="25" t="str">
        <f t="shared" si="97"/>
        <v/>
      </c>
      <c r="AZ324" s="25" t="str">
        <f t="shared" si="98"/>
        <v/>
      </c>
      <c r="BA324" s="25" t="str">
        <f t="shared" si="99"/>
        <v/>
      </c>
      <c r="BB324" s="25" t="str">
        <f t="shared" si="100"/>
        <v/>
      </c>
      <c r="BC324" s="25">
        <f t="shared" si="101"/>
        <v>46300</v>
      </c>
    </row>
    <row r="325" spans="1:55" x14ac:dyDescent="0.25">
      <c r="A325" s="151">
        <f t="shared" si="86"/>
        <v>323</v>
      </c>
      <c r="B325" s="151" t="s">
        <v>515</v>
      </c>
      <c r="C325" s="152" t="s">
        <v>76</v>
      </c>
      <c r="D325" s="151">
        <f t="shared" si="85"/>
        <v>1</v>
      </c>
      <c r="E325" s="151" t="s">
        <v>100</v>
      </c>
      <c r="F325" s="173">
        <v>46298</v>
      </c>
      <c r="G325" s="173"/>
      <c r="H325" s="173"/>
      <c r="I325" s="173">
        <v>46298</v>
      </c>
      <c r="J325" s="173">
        <v>46300</v>
      </c>
      <c r="K325" s="173"/>
      <c r="L325" s="173"/>
      <c r="M325" s="173"/>
      <c r="N325" s="173"/>
      <c r="O325" s="173"/>
      <c r="P325" s="173"/>
      <c r="Q325" s="173">
        <v>46300</v>
      </c>
      <c r="R325" s="173"/>
      <c r="S325" s="173"/>
      <c r="T325" s="174">
        <v>46300</v>
      </c>
      <c r="U325" s="151"/>
      <c r="V325" s="152"/>
      <c r="W325" s="175"/>
      <c r="X325" s="173"/>
      <c r="Y325" s="173"/>
      <c r="Z325" s="176" t="str">
        <f>IF(B325="","",IF(S325&lt;&gt;"","Sevk Edildi",IF(AND(X325&lt;&gt;"",Y325=""),"Reworkte",IF(T325&lt;&gt;"","Kapandı"&amp;IF(COUNT(G325:R325)=0,""," – "&amp;LOOKUP(2,1/(G325:R325=MAX(G325:R325)),{"Tasarım","Ply Cutter","Üretim","Kalite (Üretim sonrası)","Talaşlı","Kalite (Talaşlı sonrası)","Montaj","Kalite (Montaj sonrası)","Boya","Kalite (Boya sonrası)","Yarı Mamül","KM"})),IF(COUNT(G325:R325)=0,"Başlamadı",LOOKUP(2,1/(G325:R325=MAX(G325:R325)),{"Tasarımda","Ply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25" s="177">
        <f t="shared" ca="1" si="87"/>
        <v>2</v>
      </c>
      <c r="AB325" s="175"/>
      <c r="AD325" t="str">
        <f>IF(OR($B325="",NOT(ISNUMBER(G325))),"",IF(COUNTIF(H325:$T325,G325)&gt;0,0,IF(COUNTIF($G325:$T325,"&gt;"&amp;G325)=0,"",SMALL($G325:$T325,COUNTIF($G325:$T325,"&lt;="&amp;G325)+1)-G325)))</f>
        <v/>
      </c>
      <c r="AE325" t="str">
        <f>IF(OR($B325="",NOT(ISNUMBER(H325))),"",IF(COUNTIF(I325:$T325,H325)&gt;0,0,IF(COUNTIF($G325:$T325,"&gt;"&amp;H325)=0,"",SMALL($G325:$T325,COUNTIF($G325:$T325,"&lt;="&amp;H325)+1)-H325)))</f>
        <v/>
      </c>
      <c r="AF325">
        <f>IF(OR($B325="",NOT(ISNUMBER(I325))),"",IF(COUNTIF(J325:$T325,I325)&gt;0,0,IF(COUNTIF($G325:$T325,"&gt;"&amp;I325)=0,"",SMALL($G325:$T325,COUNTIF($G325:$T325,"&lt;="&amp;I325)+1)-I325)))</f>
        <v>2</v>
      </c>
      <c r="AG325">
        <f>IF(OR($B325="",NOT(ISNUMBER(J325))),"",IF(COUNTIF(K325:$T325,J325)&gt;0,0,IF(COUNTIF($G325:$T325,"&gt;"&amp;J325)=0,"",SMALL($G325:$T325,COUNTIF($G325:$T325,"&lt;="&amp;J325)+1)-J325)))</f>
        <v>0</v>
      </c>
      <c r="AH325" t="str">
        <f>IF(OR($B325="",NOT(ISNUMBER(K325))),"",IF(COUNTIF(L325:$T325,K325)&gt;0,0,IF(COUNTIF($G325:$T325,"&gt;"&amp;K325)=0,"",SMALL($G325:$T325,COUNTIF($G325:$T325,"&lt;="&amp;K325)+1)-K325)))</f>
        <v/>
      </c>
      <c r="AI325" t="str">
        <f>IF(OR($B325="",NOT(ISNUMBER(L325))),"",IF(COUNTIF(M325:$T325,L325)&gt;0,0,IF(COUNTIF($G325:$T325,"&gt;"&amp;L325)=0,"",SMALL($G325:$T325,COUNTIF($G325:$T325,"&lt;="&amp;L325)+1)-L325)))</f>
        <v/>
      </c>
      <c r="AJ325" t="str">
        <f>IF(OR($B325="",NOT(ISNUMBER(M325))),"",IF(COUNTIF(N325:$T325,M325)&gt;0,0,IF(COUNTIF($G325:$T325,"&gt;"&amp;M325)=0,"",SMALL($G325:$T325,COUNTIF($G325:$T325,"&lt;="&amp;M325)+1)-M325)))</f>
        <v/>
      </c>
      <c r="AK325" t="str">
        <f>IF(OR($B325="",NOT(ISNUMBER(N325))),"",IF(COUNTIF(O325:$T325,N325)&gt;0,0,IF(COUNTIF($G325:$T325,"&gt;"&amp;N325)=0,"",SMALL($G325:$T325,COUNTIF($G325:$T325,"&lt;="&amp;N325)+1)-N325)))</f>
        <v/>
      </c>
      <c r="AL325" t="str">
        <f>IF(OR($B325="",NOT(ISNUMBER(O325))),"",IF(COUNTIF(P325:$T325,O325)&gt;0,0,IF(COUNTIF($G325:$T325,"&gt;"&amp;O325)=0,"",SMALL($G325:$T325,COUNTIF($G325:$T325,"&lt;="&amp;O325)+1)-O325)))</f>
        <v/>
      </c>
      <c r="AM325" t="str">
        <f>IF(OR($B325="",NOT(ISNUMBER(P325))),"",IF(COUNTIF(Q325:$T325,P325)&gt;0,0,IF(COUNTIF($G325:$T325,"&gt;"&amp;P325)=0,"",SMALL($G325:$T325,COUNTIF($G325:$T325,"&lt;="&amp;P325)+1)-P325)))</f>
        <v/>
      </c>
      <c r="AN325">
        <f>IF(OR($B325="",NOT(ISNUMBER(Q325))),"",IF(COUNTIF(R325:$T325,Q325)&gt;0,0,IF(COUNTIF($G325:$T325,"&gt;"&amp;Q325)=0,"",SMALL($G325:$T325,COUNTIF($G325:$T325,"&lt;="&amp;Q325)+1)-Q325)))</f>
        <v>0</v>
      </c>
      <c r="AO325" t="str">
        <f>IF(OR($B325="",NOT(ISNUMBER(R325))),"",IF(COUNTIF(S325:$T325,R325)&gt;0,0,IF(COUNTIF($G325:$T325,"&gt;"&amp;R325)=0,"",SMALL($G325:$T325,COUNTIF($G325:$T325,"&lt;="&amp;R325)+1)-R325)))</f>
        <v/>
      </c>
      <c r="AP325">
        <f t="shared" ca="1" si="88"/>
        <v>0</v>
      </c>
      <c r="AQ325" s="25" t="str">
        <f t="shared" si="89"/>
        <v/>
      </c>
      <c r="AR325" s="25" t="str">
        <f t="shared" si="90"/>
        <v/>
      </c>
      <c r="AS325" s="25">
        <f t="shared" si="91"/>
        <v>46300</v>
      </c>
      <c r="AT325" s="25">
        <f t="shared" si="92"/>
        <v>46300</v>
      </c>
      <c r="AU325" s="25" t="str">
        <f t="shared" si="93"/>
        <v/>
      </c>
      <c r="AV325" s="25" t="str">
        <f t="shared" si="94"/>
        <v/>
      </c>
      <c r="AW325" s="25" t="str">
        <f t="shared" si="95"/>
        <v/>
      </c>
      <c r="AX325" s="25" t="str">
        <f t="shared" si="96"/>
        <v/>
      </c>
      <c r="AY325" s="25" t="str">
        <f t="shared" si="97"/>
        <v/>
      </c>
      <c r="AZ325" s="25" t="str">
        <f t="shared" si="98"/>
        <v/>
      </c>
      <c r="BA325" s="25">
        <f t="shared" si="99"/>
        <v>46300</v>
      </c>
      <c r="BB325" s="25" t="str">
        <f t="shared" si="100"/>
        <v/>
      </c>
      <c r="BC325" s="25">
        <f t="shared" si="101"/>
        <v>46300</v>
      </c>
    </row>
    <row r="326" spans="1:55" x14ac:dyDescent="0.25">
      <c r="A326" s="151">
        <f t="shared" si="86"/>
        <v>324</v>
      </c>
      <c r="B326" s="151" t="s">
        <v>516</v>
      </c>
      <c r="C326" s="152" t="s">
        <v>296</v>
      </c>
      <c r="D326" s="151">
        <f t="shared" si="85"/>
        <v>7</v>
      </c>
      <c r="E326" s="151" t="s">
        <v>100</v>
      </c>
      <c r="F326" s="173">
        <v>46300</v>
      </c>
      <c r="G326" s="173"/>
      <c r="H326" s="173"/>
      <c r="I326" s="173"/>
      <c r="J326" s="173"/>
      <c r="K326" s="173">
        <v>46300</v>
      </c>
      <c r="L326" s="173">
        <v>46301</v>
      </c>
      <c r="M326" s="173"/>
      <c r="N326" s="173"/>
      <c r="O326" s="173"/>
      <c r="P326" s="173"/>
      <c r="Q326" s="173"/>
      <c r="R326" s="173"/>
      <c r="S326" s="173"/>
      <c r="T326" s="174">
        <v>46301</v>
      </c>
      <c r="U326" s="151"/>
      <c r="V326" s="152"/>
      <c r="W326" s="175"/>
      <c r="X326" s="173"/>
      <c r="Y326" s="173"/>
      <c r="Z326" s="176" t="str">
        <f>IF(B326="","",IF(S326&lt;&gt;"","Sevk Edildi",IF(AND(X326&lt;&gt;"",Y326=""),"Reworkte",IF(T326&lt;&gt;"","Kapandı"&amp;IF(COUNT(G326:R326)=0,""," – "&amp;LOOKUP(2,1/(G326:R326=MAX(G326:R326)),{"Tasarım","Ply Cutter","Üretim","Kalite (Üretim sonrası)","Talaşlı","Kalite (Talaşlı sonrası)","Montaj","Kalite (Montaj sonrası)","Boya","Kalite (Boya sonrası)","Yarı Mamül","KM"})),IF(COUNT(G326:R326)=0,"Başlamadı",LOOKUP(2,1/(G326:R326=MAX(G326:R326)),{"Tasarımda","Ply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26" s="177">
        <f t="shared" ca="1" si="87"/>
        <v>1</v>
      </c>
      <c r="AB326" s="175" t="s">
        <v>974</v>
      </c>
      <c r="AD326" t="str">
        <f>IF(OR($B326="",NOT(ISNUMBER(G326))),"",IF(COUNTIF(H326:$T326,G326)&gt;0,0,IF(COUNTIF($G326:$T326,"&gt;"&amp;G326)=0,"",SMALL($G326:$T326,COUNTIF($G326:$T326,"&lt;="&amp;G326)+1)-G326)))</f>
        <v/>
      </c>
      <c r="AE326" t="str">
        <f>IF(OR($B326="",NOT(ISNUMBER(H326))),"",IF(COUNTIF(I326:$T326,H326)&gt;0,0,IF(COUNTIF($G326:$T326,"&gt;"&amp;H326)=0,"",SMALL($G326:$T326,COUNTIF($G326:$T326,"&lt;="&amp;H326)+1)-H326)))</f>
        <v/>
      </c>
      <c r="AF326" t="str">
        <f>IF(OR($B326="",NOT(ISNUMBER(I326))),"",IF(COUNTIF(J326:$T326,I326)&gt;0,0,IF(COUNTIF($G326:$T326,"&gt;"&amp;I326)=0,"",SMALL($G326:$T326,COUNTIF($G326:$T326,"&lt;="&amp;I326)+1)-I326)))</f>
        <v/>
      </c>
      <c r="AG326" t="str">
        <f>IF(OR($B326="",NOT(ISNUMBER(J326))),"",IF(COUNTIF(K326:$T326,J326)&gt;0,0,IF(COUNTIF($G326:$T326,"&gt;"&amp;J326)=0,"",SMALL($G326:$T326,COUNTIF($G326:$T326,"&lt;="&amp;J326)+1)-J326)))</f>
        <v/>
      </c>
      <c r="AH326">
        <f>IF(OR($B326="",NOT(ISNUMBER(K326))),"",IF(COUNTIF(L326:$T326,K326)&gt;0,0,IF(COUNTIF($G326:$T326,"&gt;"&amp;K326)=0,"",SMALL($G326:$T326,COUNTIF($G326:$T326,"&lt;="&amp;K326)+1)-K326)))</f>
        <v>1</v>
      </c>
      <c r="AI326">
        <f>IF(OR($B326="",NOT(ISNUMBER(L326))),"",IF(COUNTIF(M326:$T326,L326)&gt;0,0,IF(COUNTIF($G326:$T326,"&gt;"&amp;L326)=0,"",SMALL($G326:$T326,COUNTIF($G326:$T326,"&lt;="&amp;L326)+1)-L326)))</f>
        <v>0</v>
      </c>
      <c r="AJ326" t="str">
        <f>IF(OR($B326="",NOT(ISNUMBER(M326))),"",IF(COUNTIF(N326:$T326,M326)&gt;0,0,IF(COUNTIF($G326:$T326,"&gt;"&amp;M326)=0,"",SMALL($G326:$T326,COUNTIF($G326:$T326,"&lt;="&amp;M326)+1)-M326)))</f>
        <v/>
      </c>
      <c r="AK326" t="str">
        <f>IF(OR($B326="",NOT(ISNUMBER(N326))),"",IF(COUNTIF(O326:$T326,N326)&gt;0,0,IF(COUNTIF($G326:$T326,"&gt;"&amp;N326)=0,"",SMALL($G326:$T326,COUNTIF($G326:$T326,"&lt;="&amp;N326)+1)-N326)))</f>
        <v/>
      </c>
      <c r="AL326" t="str">
        <f>IF(OR($B326="",NOT(ISNUMBER(O326))),"",IF(COUNTIF(P326:$T326,O326)&gt;0,0,IF(COUNTIF($G326:$T326,"&gt;"&amp;O326)=0,"",SMALL($G326:$T326,COUNTIF($G326:$T326,"&lt;="&amp;O326)+1)-O326)))</f>
        <v/>
      </c>
      <c r="AM326" t="str">
        <f>IF(OR($B326="",NOT(ISNUMBER(P326))),"",IF(COUNTIF(Q326:$T326,P326)&gt;0,0,IF(COUNTIF($G326:$T326,"&gt;"&amp;P326)=0,"",SMALL($G326:$T326,COUNTIF($G326:$T326,"&lt;="&amp;P326)+1)-P326)))</f>
        <v/>
      </c>
      <c r="AN326" t="str">
        <f>IF(OR($B326="",NOT(ISNUMBER(Q326))),"",IF(COUNTIF(R326:$T326,Q326)&gt;0,0,IF(COUNTIF($G326:$T326,"&gt;"&amp;Q326)=0,"",SMALL($G326:$T326,COUNTIF($G326:$T326,"&lt;="&amp;Q326)+1)-Q326)))</f>
        <v/>
      </c>
      <c r="AO326" t="str">
        <f>IF(OR($B326="",NOT(ISNUMBER(R326))),"",IF(COUNTIF(S326:$T326,R326)&gt;0,0,IF(COUNTIF($G326:$T326,"&gt;"&amp;R326)=0,"",SMALL($G326:$T326,COUNTIF($G326:$T326,"&lt;="&amp;R326)+1)-R326)))</f>
        <v/>
      </c>
      <c r="AP326">
        <f t="shared" ca="1" si="88"/>
        <v>0</v>
      </c>
      <c r="AQ326" s="25" t="str">
        <f t="shared" si="89"/>
        <v/>
      </c>
      <c r="AR326" s="25" t="str">
        <f t="shared" si="90"/>
        <v/>
      </c>
      <c r="AS326" s="25" t="str">
        <f t="shared" si="91"/>
        <v/>
      </c>
      <c r="AT326" s="25" t="str">
        <f t="shared" si="92"/>
        <v/>
      </c>
      <c r="AU326" s="25">
        <f t="shared" si="93"/>
        <v>46301</v>
      </c>
      <c r="AV326" s="25">
        <f t="shared" si="94"/>
        <v>46301</v>
      </c>
      <c r="AW326" s="25" t="str">
        <f t="shared" si="95"/>
        <v/>
      </c>
      <c r="AX326" s="25" t="str">
        <f t="shared" si="96"/>
        <v/>
      </c>
      <c r="AY326" s="25" t="str">
        <f t="shared" si="97"/>
        <v/>
      </c>
      <c r="AZ326" s="25" t="str">
        <f t="shared" si="98"/>
        <v/>
      </c>
      <c r="BA326" s="25" t="str">
        <f t="shared" si="99"/>
        <v/>
      </c>
      <c r="BB326" s="25" t="str">
        <f t="shared" si="100"/>
        <v/>
      </c>
      <c r="BC326" s="25">
        <f t="shared" si="101"/>
        <v>46301</v>
      </c>
    </row>
    <row r="327" spans="1:55" x14ac:dyDescent="0.25">
      <c r="A327" s="151">
        <f t="shared" si="86"/>
        <v>325</v>
      </c>
      <c r="B327" s="151" t="s">
        <v>517</v>
      </c>
      <c r="C327" s="152" t="s">
        <v>518</v>
      </c>
      <c r="D327" s="151">
        <f t="shared" si="85"/>
        <v>12</v>
      </c>
      <c r="E327" s="151" t="s">
        <v>100</v>
      </c>
      <c r="F327" s="173">
        <v>46300</v>
      </c>
      <c r="G327" s="173"/>
      <c r="H327" s="173"/>
      <c r="I327" s="173"/>
      <c r="J327" s="173"/>
      <c r="K327" s="173">
        <v>46300</v>
      </c>
      <c r="L327" s="173">
        <v>46300</v>
      </c>
      <c r="M327" s="173"/>
      <c r="N327" s="173"/>
      <c r="O327" s="173"/>
      <c r="P327" s="173"/>
      <c r="Q327" s="173"/>
      <c r="R327" s="173"/>
      <c r="S327" s="173"/>
      <c r="T327" s="174">
        <v>46301</v>
      </c>
      <c r="U327" s="151"/>
      <c r="V327" s="152"/>
      <c r="W327" s="175"/>
      <c r="X327" s="173"/>
      <c r="Y327" s="173"/>
      <c r="Z327" s="176" t="str">
        <f>IF(B327="","",IF(S327&lt;&gt;"","Sevk Edildi",IF(AND(X327&lt;&gt;"",Y327=""),"Reworkte",IF(T327&lt;&gt;"","Kapandı"&amp;IF(COUNT(G327:R327)=0,""," – "&amp;LOOKUP(2,1/(G327:R327=MAX(G327:R327)),{"Tasarım","Ply Cutter","Üretim","Kalite (Üretim sonrası)","Talaşlı","Kalite (Talaşlı sonrası)","Montaj","Kalite (Montaj sonrası)","Boya","Kalite (Boya sonrası)","Yarı Mamül","KM"})),IF(COUNT(G327:R327)=0,"Başlamadı",LOOKUP(2,1/(G327:R327=MAX(G327:R327)),{"Tasarımda","Ply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27" s="177">
        <f t="shared" ca="1" si="87"/>
        <v>1</v>
      </c>
      <c r="AB327" s="175"/>
      <c r="AD327" t="str">
        <f>IF(OR($B327="",NOT(ISNUMBER(G327))),"",IF(COUNTIF(H327:$T327,G327)&gt;0,0,IF(COUNTIF($G327:$T327,"&gt;"&amp;G327)=0,"",SMALL($G327:$T327,COUNTIF($G327:$T327,"&lt;="&amp;G327)+1)-G327)))</f>
        <v/>
      </c>
      <c r="AE327" t="str">
        <f>IF(OR($B327="",NOT(ISNUMBER(H327))),"",IF(COUNTIF(I327:$T327,H327)&gt;0,0,IF(COUNTIF($G327:$T327,"&gt;"&amp;H327)=0,"",SMALL($G327:$T327,COUNTIF($G327:$T327,"&lt;="&amp;H327)+1)-H327)))</f>
        <v/>
      </c>
      <c r="AF327" t="str">
        <f>IF(OR($B327="",NOT(ISNUMBER(I327))),"",IF(COUNTIF(J327:$T327,I327)&gt;0,0,IF(COUNTIF($G327:$T327,"&gt;"&amp;I327)=0,"",SMALL($G327:$T327,COUNTIF($G327:$T327,"&lt;="&amp;I327)+1)-I327)))</f>
        <v/>
      </c>
      <c r="AG327" t="str">
        <f>IF(OR($B327="",NOT(ISNUMBER(J327))),"",IF(COUNTIF(K327:$T327,J327)&gt;0,0,IF(COUNTIF($G327:$T327,"&gt;"&amp;J327)=0,"",SMALL($G327:$T327,COUNTIF($G327:$T327,"&lt;="&amp;J327)+1)-J327)))</f>
        <v/>
      </c>
      <c r="AH327">
        <f>IF(OR($B327="",NOT(ISNUMBER(K327))),"",IF(COUNTIF(L327:$T327,K327)&gt;0,0,IF(COUNTIF($G327:$T327,"&gt;"&amp;K327)=0,"",SMALL($G327:$T327,COUNTIF($G327:$T327,"&lt;="&amp;K327)+1)-K327)))</f>
        <v>0</v>
      </c>
      <c r="AI327">
        <f>IF(OR($B327="",NOT(ISNUMBER(L327))),"",IF(COUNTIF(M327:$T327,L327)&gt;0,0,IF(COUNTIF($G327:$T327,"&gt;"&amp;L327)=0,"",SMALL($G327:$T327,COUNTIF($G327:$T327,"&lt;="&amp;L327)+1)-L327)))</f>
        <v>1</v>
      </c>
      <c r="AJ327" t="str">
        <f>IF(OR($B327="",NOT(ISNUMBER(M327))),"",IF(COUNTIF(N327:$T327,M327)&gt;0,0,IF(COUNTIF($G327:$T327,"&gt;"&amp;M327)=0,"",SMALL($G327:$T327,COUNTIF($G327:$T327,"&lt;="&amp;M327)+1)-M327)))</f>
        <v/>
      </c>
      <c r="AK327" t="str">
        <f>IF(OR($B327="",NOT(ISNUMBER(N327))),"",IF(COUNTIF(O327:$T327,N327)&gt;0,0,IF(COUNTIF($G327:$T327,"&gt;"&amp;N327)=0,"",SMALL($G327:$T327,COUNTIF($G327:$T327,"&lt;="&amp;N327)+1)-N327)))</f>
        <v/>
      </c>
      <c r="AL327" t="str">
        <f>IF(OR($B327="",NOT(ISNUMBER(O327))),"",IF(COUNTIF(P327:$T327,O327)&gt;0,0,IF(COUNTIF($G327:$T327,"&gt;"&amp;O327)=0,"",SMALL($G327:$T327,COUNTIF($G327:$T327,"&lt;="&amp;O327)+1)-O327)))</f>
        <v/>
      </c>
      <c r="AM327" t="str">
        <f>IF(OR($B327="",NOT(ISNUMBER(P327))),"",IF(COUNTIF(Q327:$T327,P327)&gt;0,0,IF(COUNTIF($G327:$T327,"&gt;"&amp;P327)=0,"",SMALL($G327:$T327,COUNTIF($G327:$T327,"&lt;="&amp;P327)+1)-P327)))</f>
        <v/>
      </c>
      <c r="AN327" t="str">
        <f>IF(OR($B327="",NOT(ISNUMBER(Q327))),"",IF(COUNTIF(R327:$T327,Q327)&gt;0,0,IF(COUNTIF($G327:$T327,"&gt;"&amp;Q327)=0,"",SMALL($G327:$T327,COUNTIF($G327:$T327,"&lt;="&amp;Q327)+1)-Q327)))</f>
        <v/>
      </c>
      <c r="AO327" t="str">
        <f>IF(OR($B327="",NOT(ISNUMBER(R327))),"",IF(COUNTIF(S327:$T327,R327)&gt;0,0,IF(COUNTIF($G327:$T327,"&gt;"&amp;R327)=0,"",SMALL($G327:$T327,COUNTIF($G327:$T327,"&lt;="&amp;R327)+1)-R327)))</f>
        <v/>
      </c>
      <c r="AP327">
        <f t="shared" ca="1" si="88"/>
        <v>0</v>
      </c>
      <c r="AQ327" s="25" t="str">
        <f t="shared" si="89"/>
        <v/>
      </c>
      <c r="AR327" s="25" t="str">
        <f t="shared" si="90"/>
        <v/>
      </c>
      <c r="AS327" s="25" t="str">
        <f t="shared" si="91"/>
        <v/>
      </c>
      <c r="AT327" s="25" t="str">
        <f t="shared" si="92"/>
        <v/>
      </c>
      <c r="AU327" s="25">
        <f t="shared" si="93"/>
        <v>46300</v>
      </c>
      <c r="AV327" s="25">
        <f t="shared" si="94"/>
        <v>46301</v>
      </c>
      <c r="AW327" s="25" t="str">
        <f t="shared" si="95"/>
        <v/>
      </c>
      <c r="AX327" s="25" t="str">
        <f t="shared" si="96"/>
        <v/>
      </c>
      <c r="AY327" s="25" t="str">
        <f t="shared" si="97"/>
        <v/>
      </c>
      <c r="AZ327" s="25" t="str">
        <f t="shared" si="98"/>
        <v/>
      </c>
      <c r="BA327" s="25" t="str">
        <f t="shared" si="99"/>
        <v/>
      </c>
      <c r="BB327" s="25" t="str">
        <f t="shared" si="100"/>
        <v/>
      </c>
      <c r="BC327" s="25">
        <f t="shared" si="101"/>
        <v>46301</v>
      </c>
    </row>
    <row r="328" spans="1:55" x14ac:dyDescent="0.25">
      <c r="A328" s="151">
        <f t="shared" si="86"/>
        <v>326</v>
      </c>
      <c r="B328" s="151" t="s">
        <v>519</v>
      </c>
      <c r="C328" s="152" t="s">
        <v>437</v>
      </c>
      <c r="D328" s="151">
        <f t="shared" si="85"/>
        <v>1</v>
      </c>
      <c r="E328" s="151" t="s">
        <v>61</v>
      </c>
      <c r="F328" s="173">
        <v>46300</v>
      </c>
      <c r="G328" s="173"/>
      <c r="H328" s="173"/>
      <c r="I328" s="173">
        <v>46300</v>
      </c>
      <c r="J328" s="173">
        <v>46301</v>
      </c>
      <c r="K328" s="173"/>
      <c r="L328" s="173"/>
      <c r="M328" s="173"/>
      <c r="N328" s="173"/>
      <c r="O328" s="173"/>
      <c r="P328" s="173"/>
      <c r="Q328" s="173">
        <v>46301</v>
      </c>
      <c r="R328" s="173"/>
      <c r="S328" s="173"/>
      <c r="T328" s="174">
        <v>46301</v>
      </c>
      <c r="U328" s="151"/>
      <c r="V328" s="152"/>
      <c r="W328" s="175"/>
      <c r="X328" s="173"/>
      <c r="Y328" s="173"/>
      <c r="Z328" s="176" t="str">
        <f>IF(B328="","",IF(S328&lt;&gt;"","Sevk Edildi",IF(AND(X328&lt;&gt;"",Y328=""),"Reworkte",IF(T328&lt;&gt;"","Kapandı"&amp;IF(COUNT(G328:R328)=0,""," – "&amp;LOOKUP(2,1/(G328:R328=MAX(G328:R328)),{"Tasarım","Ply Cutter","Üretim","Kalite (Üretim sonrası)","Talaşlı","Kalite (Talaşlı sonrası)","Montaj","Kalite (Montaj sonrası)","Boya","Kalite (Boya sonrası)","Yarı Mamül","KM"})),IF(COUNT(G328:R328)=0,"Başlamadı",LOOKUP(2,1/(G328:R328=MAX(G328:R328)),{"Tasarımda","Ply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28" s="177">
        <f t="shared" ca="1" si="87"/>
        <v>1</v>
      </c>
      <c r="AB328" s="175"/>
      <c r="AD328" t="str">
        <f>IF(OR($B328="",NOT(ISNUMBER(G328))),"",IF(COUNTIF(H328:$T328,G328)&gt;0,0,IF(COUNTIF($G328:$T328,"&gt;"&amp;G328)=0,"",SMALL($G328:$T328,COUNTIF($G328:$T328,"&lt;="&amp;G328)+1)-G328)))</f>
        <v/>
      </c>
      <c r="AE328" t="str">
        <f>IF(OR($B328="",NOT(ISNUMBER(H328))),"",IF(COUNTIF(I328:$T328,H328)&gt;0,0,IF(COUNTIF($G328:$T328,"&gt;"&amp;H328)=0,"",SMALL($G328:$T328,COUNTIF($G328:$T328,"&lt;="&amp;H328)+1)-H328)))</f>
        <v/>
      </c>
      <c r="AF328">
        <f>IF(OR($B328="",NOT(ISNUMBER(I328))),"",IF(COUNTIF(J328:$T328,I328)&gt;0,0,IF(COUNTIF($G328:$T328,"&gt;"&amp;I328)=0,"",SMALL($G328:$T328,COUNTIF($G328:$T328,"&lt;="&amp;I328)+1)-I328)))</f>
        <v>1</v>
      </c>
      <c r="AG328">
        <f>IF(OR($B328="",NOT(ISNUMBER(J328))),"",IF(COUNTIF(K328:$T328,J328)&gt;0,0,IF(COUNTIF($G328:$T328,"&gt;"&amp;J328)=0,"",SMALL($G328:$T328,COUNTIF($G328:$T328,"&lt;="&amp;J328)+1)-J328)))</f>
        <v>0</v>
      </c>
      <c r="AH328" t="str">
        <f>IF(OR($B328="",NOT(ISNUMBER(K328))),"",IF(COUNTIF(L328:$T328,K328)&gt;0,0,IF(COUNTIF($G328:$T328,"&gt;"&amp;K328)=0,"",SMALL($G328:$T328,COUNTIF($G328:$T328,"&lt;="&amp;K328)+1)-K328)))</f>
        <v/>
      </c>
      <c r="AI328" t="str">
        <f>IF(OR($B328="",NOT(ISNUMBER(L328))),"",IF(COUNTIF(M328:$T328,L328)&gt;0,0,IF(COUNTIF($G328:$T328,"&gt;"&amp;L328)=0,"",SMALL($G328:$T328,COUNTIF($G328:$T328,"&lt;="&amp;L328)+1)-L328)))</f>
        <v/>
      </c>
      <c r="AJ328" t="str">
        <f>IF(OR($B328="",NOT(ISNUMBER(M328))),"",IF(COUNTIF(N328:$T328,M328)&gt;0,0,IF(COUNTIF($G328:$T328,"&gt;"&amp;M328)=0,"",SMALL($G328:$T328,COUNTIF($G328:$T328,"&lt;="&amp;M328)+1)-M328)))</f>
        <v/>
      </c>
      <c r="AK328" t="str">
        <f>IF(OR($B328="",NOT(ISNUMBER(N328))),"",IF(COUNTIF(O328:$T328,N328)&gt;0,0,IF(COUNTIF($G328:$T328,"&gt;"&amp;N328)=0,"",SMALL($G328:$T328,COUNTIF($G328:$T328,"&lt;="&amp;N328)+1)-N328)))</f>
        <v/>
      </c>
      <c r="AL328" t="str">
        <f>IF(OR($B328="",NOT(ISNUMBER(O328))),"",IF(COUNTIF(P328:$T328,O328)&gt;0,0,IF(COUNTIF($G328:$T328,"&gt;"&amp;O328)=0,"",SMALL($G328:$T328,COUNTIF($G328:$T328,"&lt;="&amp;O328)+1)-O328)))</f>
        <v/>
      </c>
      <c r="AM328" t="str">
        <f>IF(OR($B328="",NOT(ISNUMBER(P328))),"",IF(COUNTIF(Q328:$T328,P328)&gt;0,0,IF(COUNTIF($G328:$T328,"&gt;"&amp;P328)=0,"",SMALL($G328:$T328,COUNTIF($G328:$T328,"&lt;="&amp;P328)+1)-P328)))</f>
        <v/>
      </c>
      <c r="AN328">
        <f>IF(OR($B328="",NOT(ISNUMBER(Q328))),"",IF(COUNTIF(R328:$T328,Q328)&gt;0,0,IF(COUNTIF($G328:$T328,"&gt;"&amp;Q328)=0,"",SMALL($G328:$T328,COUNTIF($G328:$T328,"&lt;="&amp;Q328)+1)-Q328)))</f>
        <v>0</v>
      </c>
      <c r="AO328" t="str">
        <f>IF(OR($B328="",NOT(ISNUMBER(R328))),"",IF(COUNTIF(S328:$T328,R328)&gt;0,0,IF(COUNTIF($G328:$T328,"&gt;"&amp;R328)=0,"",SMALL($G328:$T328,COUNTIF($G328:$T328,"&lt;="&amp;R328)+1)-R328)))</f>
        <v/>
      </c>
      <c r="AP328">
        <f t="shared" ca="1" si="88"/>
        <v>0</v>
      </c>
      <c r="AQ328" s="25" t="str">
        <f t="shared" si="89"/>
        <v/>
      </c>
      <c r="AR328" s="25" t="str">
        <f t="shared" si="90"/>
        <v/>
      </c>
      <c r="AS328" s="25">
        <f t="shared" si="91"/>
        <v>46301</v>
      </c>
      <c r="AT328" s="25">
        <f t="shared" si="92"/>
        <v>46301</v>
      </c>
      <c r="AU328" s="25" t="str">
        <f t="shared" si="93"/>
        <v/>
      </c>
      <c r="AV328" s="25" t="str">
        <f t="shared" si="94"/>
        <v/>
      </c>
      <c r="AW328" s="25" t="str">
        <f t="shared" si="95"/>
        <v/>
      </c>
      <c r="AX328" s="25" t="str">
        <f t="shared" si="96"/>
        <v/>
      </c>
      <c r="AY328" s="25" t="str">
        <f t="shared" si="97"/>
        <v/>
      </c>
      <c r="AZ328" s="25" t="str">
        <f t="shared" si="98"/>
        <v/>
      </c>
      <c r="BA328" s="25">
        <f t="shared" si="99"/>
        <v>46301</v>
      </c>
      <c r="BB328" s="25" t="str">
        <f t="shared" si="100"/>
        <v/>
      </c>
      <c r="BC328" s="25">
        <f t="shared" si="101"/>
        <v>46301</v>
      </c>
    </row>
    <row r="329" spans="1:55" x14ac:dyDescent="0.25">
      <c r="A329" s="151">
        <f t="shared" si="86"/>
        <v>327</v>
      </c>
      <c r="B329" s="151" t="s">
        <v>520</v>
      </c>
      <c r="C329" s="152" t="s">
        <v>94</v>
      </c>
      <c r="D329" s="151">
        <f t="shared" si="85"/>
        <v>1</v>
      </c>
      <c r="E329" s="151" t="s">
        <v>61</v>
      </c>
      <c r="F329" s="173">
        <v>46300</v>
      </c>
      <c r="G329" s="173"/>
      <c r="H329" s="173"/>
      <c r="I329" s="173">
        <v>46298</v>
      </c>
      <c r="J329" s="173">
        <v>46298</v>
      </c>
      <c r="K329" s="173"/>
      <c r="L329" s="173"/>
      <c r="M329" s="173">
        <v>46300</v>
      </c>
      <c r="N329" s="173"/>
      <c r="O329" s="173"/>
      <c r="P329" s="173"/>
      <c r="Q329" s="173">
        <v>46300</v>
      </c>
      <c r="R329" s="173"/>
      <c r="S329" s="173"/>
      <c r="T329" s="174">
        <v>46300</v>
      </c>
      <c r="U329" s="151"/>
      <c r="V329" s="152"/>
      <c r="W329" s="175"/>
      <c r="X329" s="173"/>
      <c r="Y329" s="173"/>
      <c r="Z329" s="176" t="str">
        <f>IF(B329="","",IF(S329&lt;&gt;"","Sevk Edildi",IF(AND(X329&lt;&gt;"",Y329=""),"Reworkte",IF(T329&lt;&gt;"","Kapandı"&amp;IF(COUNT(G329:R329)=0,""," – "&amp;LOOKUP(2,1/(G329:R329=MAX(G329:R329)),{"Tasarım","Ply Cutter","Üretim","Kalite (Üretim sonrası)","Talaşlı","Kalite (Talaşlı sonrası)","Montaj","Kalite (Montaj sonrası)","Boya","Kalite (Boya sonrası)","Yarı Mamül","KM"})),IF(COUNT(G329:R329)=0,"Başlamadı",LOOKUP(2,1/(G329:R329=MAX(G329:R329)),{"Tasarımda","Ply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29" s="177">
        <f t="shared" ca="1" si="87"/>
        <v>0</v>
      </c>
      <c r="AB329" s="175"/>
      <c r="AD329" t="str">
        <f>IF(OR($B329="",NOT(ISNUMBER(G329))),"",IF(COUNTIF(H329:$T329,G329)&gt;0,0,IF(COUNTIF($G329:$T329,"&gt;"&amp;G329)=0,"",SMALL($G329:$T329,COUNTIF($G329:$T329,"&lt;="&amp;G329)+1)-G329)))</f>
        <v/>
      </c>
      <c r="AE329" t="str">
        <f>IF(OR($B329="",NOT(ISNUMBER(H329))),"",IF(COUNTIF(I329:$T329,H329)&gt;0,0,IF(COUNTIF($G329:$T329,"&gt;"&amp;H329)=0,"",SMALL($G329:$T329,COUNTIF($G329:$T329,"&lt;="&amp;H329)+1)-H329)))</f>
        <v/>
      </c>
      <c r="AF329">
        <f>IF(OR($B329="",NOT(ISNUMBER(I329))),"",IF(COUNTIF(J329:$T329,I329)&gt;0,0,IF(COUNTIF($G329:$T329,"&gt;"&amp;I329)=0,"",SMALL($G329:$T329,COUNTIF($G329:$T329,"&lt;="&amp;I329)+1)-I329)))</f>
        <v>0</v>
      </c>
      <c r="AG329">
        <f>IF(OR($B329="",NOT(ISNUMBER(J329))),"",IF(COUNTIF(K329:$T329,J329)&gt;0,0,IF(COUNTIF($G329:$T329,"&gt;"&amp;J329)=0,"",SMALL($G329:$T329,COUNTIF($G329:$T329,"&lt;="&amp;J329)+1)-J329)))</f>
        <v>2</v>
      </c>
      <c r="AH329" t="str">
        <f>IF(OR($B329="",NOT(ISNUMBER(K329))),"",IF(COUNTIF(L329:$T329,K329)&gt;0,0,IF(COUNTIF($G329:$T329,"&gt;"&amp;K329)=0,"",SMALL($G329:$T329,COUNTIF($G329:$T329,"&lt;="&amp;K329)+1)-K329)))</f>
        <v/>
      </c>
      <c r="AI329" t="str">
        <f>IF(OR($B329="",NOT(ISNUMBER(L329))),"",IF(COUNTIF(M329:$T329,L329)&gt;0,0,IF(COUNTIF($G329:$T329,"&gt;"&amp;L329)=0,"",SMALL($G329:$T329,COUNTIF($G329:$T329,"&lt;="&amp;L329)+1)-L329)))</f>
        <v/>
      </c>
      <c r="AJ329">
        <f>IF(OR($B329="",NOT(ISNUMBER(M329))),"",IF(COUNTIF(N329:$T329,M329)&gt;0,0,IF(COUNTIF($G329:$T329,"&gt;"&amp;M329)=0,"",SMALL($G329:$T329,COUNTIF($G329:$T329,"&lt;="&amp;M329)+1)-M329)))</f>
        <v>0</v>
      </c>
      <c r="AK329" t="str">
        <f>IF(OR($B329="",NOT(ISNUMBER(N329))),"",IF(COUNTIF(O329:$T329,N329)&gt;0,0,IF(COUNTIF($G329:$T329,"&gt;"&amp;N329)=0,"",SMALL($G329:$T329,COUNTIF($G329:$T329,"&lt;="&amp;N329)+1)-N329)))</f>
        <v/>
      </c>
      <c r="AL329" t="str">
        <f>IF(OR($B329="",NOT(ISNUMBER(O329))),"",IF(COUNTIF(P329:$T329,O329)&gt;0,0,IF(COUNTIF($G329:$T329,"&gt;"&amp;O329)=0,"",SMALL($G329:$T329,COUNTIF($G329:$T329,"&lt;="&amp;O329)+1)-O329)))</f>
        <v/>
      </c>
      <c r="AM329" t="str">
        <f>IF(OR($B329="",NOT(ISNUMBER(P329))),"",IF(COUNTIF(Q329:$T329,P329)&gt;0,0,IF(COUNTIF($G329:$T329,"&gt;"&amp;P329)=0,"",SMALL($G329:$T329,COUNTIF($G329:$T329,"&lt;="&amp;P329)+1)-P329)))</f>
        <v/>
      </c>
      <c r="AN329">
        <f>IF(OR($B329="",NOT(ISNUMBER(Q329))),"",IF(COUNTIF(R329:$T329,Q329)&gt;0,0,IF(COUNTIF($G329:$T329,"&gt;"&amp;Q329)=0,"",SMALL($G329:$T329,COUNTIF($G329:$T329,"&lt;="&amp;Q329)+1)-Q329)))</f>
        <v>0</v>
      </c>
      <c r="AO329" t="str">
        <f>IF(OR($B329="",NOT(ISNUMBER(R329))),"",IF(COUNTIF(S329:$T329,R329)&gt;0,0,IF(COUNTIF($G329:$T329,"&gt;"&amp;R329)=0,"",SMALL($G329:$T329,COUNTIF($G329:$T329,"&lt;="&amp;R329)+1)-R329)))</f>
        <v/>
      </c>
      <c r="AP329">
        <f t="shared" ca="1" si="88"/>
        <v>0</v>
      </c>
      <c r="AQ329" s="25" t="str">
        <f t="shared" si="89"/>
        <v/>
      </c>
      <c r="AR329" s="25" t="str">
        <f t="shared" si="90"/>
        <v/>
      </c>
      <c r="AS329" s="25">
        <f t="shared" si="91"/>
        <v>46298</v>
      </c>
      <c r="AT329" s="25">
        <f t="shared" si="92"/>
        <v>46300</v>
      </c>
      <c r="AU329" s="25" t="str">
        <f t="shared" si="93"/>
        <v/>
      </c>
      <c r="AV329" s="25" t="str">
        <f t="shared" si="94"/>
        <v/>
      </c>
      <c r="AW329" s="25">
        <f t="shared" si="95"/>
        <v>46300</v>
      </c>
      <c r="AX329" s="25" t="str">
        <f t="shared" si="96"/>
        <v/>
      </c>
      <c r="AY329" s="25" t="str">
        <f t="shared" si="97"/>
        <v/>
      </c>
      <c r="AZ329" s="25" t="str">
        <f t="shared" si="98"/>
        <v/>
      </c>
      <c r="BA329" s="25">
        <f t="shared" si="99"/>
        <v>46300</v>
      </c>
      <c r="BB329" s="25" t="str">
        <f t="shared" si="100"/>
        <v/>
      </c>
      <c r="BC329" s="25">
        <f t="shared" si="101"/>
        <v>46300</v>
      </c>
    </row>
    <row r="330" spans="1:55" x14ac:dyDescent="0.25">
      <c r="A330" s="151">
        <f t="shared" si="86"/>
        <v>328</v>
      </c>
      <c r="B330" s="151" t="s">
        <v>521</v>
      </c>
      <c r="C330" s="152" t="s">
        <v>367</v>
      </c>
      <c r="D330" s="151">
        <f t="shared" si="85"/>
        <v>1</v>
      </c>
      <c r="E330" s="151" t="s">
        <v>61</v>
      </c>
      <c r="F330" s="173">
        <v>46300</v>
      </c>
      <c r="G330" s="173"/>
      <c r="H330" s="173"/>
      <c r="I330" s="173">
        <v>46300</v>
      </c>
      <c r="J330" s="173">
        <v>46301</v>
      </c>
      <c r="K330" s="173"/>
      <c r="L330" s="173"/>
      <c r="M330" s="173"/>
      <c r="N330" s="173"/>
      <c r="O330" s="173"/>
      <c r="P330" s="173"/>
      <c r="Q330" s="173">
        <v>46302</v>
      </c>
      <c r="R330" s="173"/>
      <c r="S330" s="173"/>
      <c r="T330" s="174">
        <v>46302</v>
      </c>
      <c r="U330" s="151"/>
      <c r="V330" s="152"/>
      <c r="W330" s="175"/>
      <c r="X330" s="173"/>
      <c r="Y330" s="173"/>
      <c r="Z330" s="176" t="str">
        <f>IF(B330="","",IF(S330&lt;&gt;"","Sevk Edildi",IF(AND(X330&lt;&gt;"",Y330=""),"Reworkte",IF(T330&lt;&gt;"","Kapandı"&amp;IF(COUNT(G330:R330)=0,""," – "&amp;LOOKUP(2,1/(G330:R330=MAX(G330:R330)),{"Tasarım","Ply Cutter","Üretim","Kalite (Üretim sonrası)","Talaşlı","Kalite (Talaşlı sonrası)","Montaj","Kalite (Montaj sonrası)","Boya","Kalite (Boya sonrası)","Yarı Mamül","KM"})),IF(COUNT(G330:R330)=0,"Başlamadı",LOOKUP(2,1/(G330:R330=MAX(G330:R330)),{"Tasarımda","Ply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30" s="177">
        <f t="shared" ca="1" si="87"/>
        <v>2</v>
      </c>
      <c r="AB330" s="175"/>
      <c r="AD330" t="str">
        <f>IF(OR($B330="",NOT(ISNUMBER(G330))),"",IF(COUNTIF(H330:$T330,G330)&gt;0,0,IF(COUNTIF($G330:$T330,"&gt;"&amp;G330)=0,"",SMALL($G330:$T330,COUNTIF($G330:$T330,"&lt;="&amp;G330)+1)-G330)))</f>
        <v/>
      </c>
      <c r="AE330" t="str">
        <f>IF(OR($B330="",NOT(ISNUMBER(H330))),"",IF(COUNTIF(I330:$T330,H330)&gt;0,0,IF(COUNTIF($G330:$T330,"&gt;"&amp;H330)=0,"",SMALL($G330:$T330,COUNTIF($G330:$T330,"&lt;="&amp;H330)+1)-H330)))</f>
        <v/>
      </c>
      <c r="AF330">
        <f>IF(OR($B330="",NOT(ISNUMBER(I330))),"",IF(COUNTIF(J330:$T330,I330)&gt;0,0,IF(COUNTIF($G330:$T330,"&gt;"&amp;I330)=0,"",SMALL($G330:$T330,COUNTIF($G330:$T330,"&lt;="&amp;I330)+1)-I330)))</f>
        <v>1</v>
      </c>
      <c r="AG330">
        <f>IF(OR($B330="",NOT(ISNUMBER(J330))),"",IF(COUNTIF(K330:$T330,J330)&gt;0,0,IF(COUNTIF($G330:$T330,"&gt;"&amp;J330)=0,"",SMALL($G330:$T330,COUNTIF($G330:$T330,"&lt;="&amp;J330)+1)-J330)))</f>
        <v>1</v>
      </c>
      <c r="AH330" t="str">
        <f>IF(OR($B330="",NOT(ISNUMBER(K330))),"",IF(COUNTIF(L330:$T330,K330)&gt;0,0,IF(COUNTIF($G330:$T330,"&gt;"&amp;K330)=0,"",SMALL($G330:$T330,COUNTIF($G330:$T330,"&lt;="&amp;K330)+1)-K330)))</f>
        <v/>
      </c>
      <c r="AI330" t="str">
        <f>IF(OR($B330="",NOT(ISNUMBER(L330))),"",IF(COUNTIF(M330:$T330,L330)&gt;0,0,IF(COUNTIF($G330:$T330,"&gt;"&amp;L330)=0,"",SMALL($G330:$T330,COUNTIF($G330:$T330,"&lt;="&amp;L330)+1)-L330)))</f>
        <v/>
      </c>
      <c r="AJ330" t="str">
        <f>IF(OR($B330="",NOT(ISNUMBER(M330))),"",IF(COUNTIF(N330:$T330,M330)&gt;0,0,IF(COUNTIF($G330:$T330,"&gt;"&amp;M330)=0,"",SMALL($G330:$T330,COUNTIF($G330:$T330,"&lt;="&amp;M330)+1)-M330)))</f>
        <v/>
      </c>
      <c r="AK330" t="str">
        <f>IF(OR($B330="",NOT(ISNUMBER(N330))),"",IF(COUNTIF(O330:$T330,N330)&gt;0,0,IF(COUNTIF($G330:$T330,"&gt;"&amp;N330)=0,"",SMALL($G330:$T330,COUNTIF($G330:$T330,"&lt;="&amp;N330)+1)-N330)))</f>
        <v/>
      </c>
      <c r="AL330" t="str">
        <f>IF(OR($B330="",NOT(ISNUMBER(O330))),"",IF(COUNTIF(P330:$T330,O330)&gt;0,0,IF(COUNTIF($G330:$T330,"&gt;"&amp;O330)=0,"",SMALL($G330:$T330,COUNTIF($G330:$T330,"&lt;="&amp;O330)+1)-O330)))</f>
        <v/>
      </c>
      <c r="AM330" t="str">
        <f>IF(OR($B330="",NOT(ISNUMBER(P330))),"",IF(COUNTIF(Q330:$T330,P330)&gt;0,0,IF(COUNTIF($G330:$T330,"&gt;"&amp;P330)=0,"",SMALL($G330:$T330,COUNTIF($G330:$T330,"&lt;="&amp;P330)+1)-P330)))</f>
        <v/>
      </c>
      <c r="AN330">
        <f>IF(OR($B330="",NOT(ISNUMBER(Q330))),"",IF(COUNTIF(R330:$T330,Q330)&gt;0,0,IF(COUNTIF($G330:$T330,"&gt;"&amp;Q330)=0,"",SMALL($G330:$T330,COUNTIF($G330:$T330,"&lt;="&amp;Q330)+1)-Q330)))</f>
        <v>0</v>
      </c>
      <c r="AO330" t="str">
        <f>IF(OR($B330="",NOT(ISNUMBER(R330))),"",IF(COUNTIF(S330:$T330,R330)&gt;0,0,IF(COUNTIF($G330:$T330,"&gt;"&amp;R330)=0,"",SMALL($G330:$T330,COUNTIF($G330:$T330,"&lt;="&amp;R330)+1)-R330)))</f>
        <v/>
      </c>
      <c r="AP330">
        <f t="shared" ca="1" si="88"/>
        <v>0</v>
      </c>
      <c r="AQ330" s="25" t="str">
        <f t="shared" si="89"/>
        <v/>
      </c>
      <c r="AR330" s="25" t="str">
        <f t="shared" si="90"/>
        <v/>
      </c>
      <c r="AS330" s="25">
        <f t="shared" si="91"/>
        <v>46301</v>
      </c>
      <c r="AT330" s="25">
        <f t="shared" si="92"/>
        <v>46302</v>
      </c>
      <c r="AU330" s="25" t="str">
        <f t="shared" si="93"/>
        <v/>
      </c>
      <c r="AV330" s="25" t="str">
        <f t="shared" si="94"/>
        <v/>
      </c>
      <c r="AW330" s="25" t="str">
        <f t="shared" si="95"/>
        <v/>
      </c>
      <c r="AX330" s="25" t="str">
        <f t="shared" si="96"/>
        <v/>
      </c>
      <c r="AY330" s="25" t="str">
        <f t="shared" si="97"/>
        <v/>
      </c>
      <c r="AZ330" s="25" t="str">
        <f t="shared" si="98"/>
        <v/>
      </c>
      <c r="BA330" s="25">
        <f t="shared" si="99"/>
        <v>46302</v>
      </c>
      <c r="BB330" s="25" t="str">
        <f t="shared" si="100"/>
        <v/>
      </c>
      <c r="BC330" s="25">
        <f t="shared" si="101"/>
        <v>46302</v>
      </c>
    </row>
    <row r="331" spans="1:55" x14ac:dyDescent="0.25">
      <c r="A331" s="151">
        <f t="shared" si="86"/>
        <v>329</v>
      </c>
      <c r="B331" s="151" t="s">
        <v>522</v>
      </c>
      <c r="C331" s="152" t="s">
        <v>180</v>
      </c>
      <c r="D331" s="151">
        <f t="shared" si="85"/>
        <v>1</v>
      </c>
      <c r="E331" s="151" t="s">
        <v>61</v>
      </c>
      <c r="F331" s="173">
        <v>46300</v>
      </c>
      <c r="G331" s="173"/>
      <c r="H331" s="173"/>
      <c r="I331" s="173">
        <v>46300</v>
      </c>
      <c r="J331" s="173">
        <v>46301</v>
      </c>
      <c r="K331" s="173"/>
      <c r="L331" s="173"/>
      <c r="M331" s="173"/>
      <c r="N331" s="173"/>
      <c r="O331" s="173"/>
      <c r="P331" s="173"/>
      <c r="Q331" s="173">
        <v>46302</v>
      </c>
      <c r="R331" s="173"/>
      <c r="S331" s="173"/>
      <c r="T331" s="174">
        <v>46302</v>
      </c>
      <c r="U331" s="151"/>
      <c r="V331" s="152"/>
      <c r="W331" s="175"/>
      <c r="X331" s="173"/>
      <c r="Y331" s="173"/>
      <c r="Z331" s="176" t="str">
        <f>IF(B331="","",IF(S331&lt;&gt;"","Sevk Edildi",IF(AND(X331&lt;&gt;"",Y331=""),"Reworkte",IF(T331&lt;&gt;"","Kapandı"&amp;IF(COUNT(G331:R331)=0,""," – "&amp;LOOKUP(2,1/(G331:R331=MAX(G331:R331)),{"Tasarım","Ply Cutter","Üretim","Kalite (Üretim sonrası)","Talaşlı","Kalite (Talaşlı sonrası)","Montaj","Kalite (Montaj sonrası)","Boya","Kalite (Boya sonrası)","Yarı Mamül","KM"})),IF(COUNT(G331:R331)=0,"Başlamadı",LOOKUP(2,1/(G331:R331=MAX(G331:R331)),{"Tasarımda","Ply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31" s="177">
        <f t="shared" ca="1" si="87"/>
        <v>2</v>
      </c>
      <c r="AB331" s="175"/>
      <c r="AD331" t="str">
        <f>IF(OR($B331="",NOT(ISNUMBER(G331))),"",IF(COUNTIF(H331:$T331,G331)&gt;0,0,IF(COUNTIF($G331:$T331,"&gt;"&amp;G331)=0,"",SMALL($G331:$T331,COUNTIF($G331:$T331,"&lt;="&amp;G331)+1)-G331)))</f>
        <v/>
      </c>
      <c r="AE331" t="str">
        <f>IF(OR($B331="",NOT(ISNUMBER(H331))),"",IF(COUNTIF(I331:$T331,H331)&gt;0,0,IF(COUNTIF($G331:$T331,"&gt;"&amp;H331)=0,"",SMALL($G331:$T331,COUNTIF($G331:$T331,"&lt;="&amp;H331)+1)-H331)))</f>
        <v/>
      </c>
      <c r="AF331">
        <f>IF(OR($B331="",NOT(ISNUMBER(I331))),"",IF(COUNTIF(J331:$T331,I331)&gt;0,0,IF(COUNTIF($G331:$T331,"&gt;"&amp;I331)=0,"",SMALL($G331:$T331,COUNTIF($G331:$T331,"&lt;="&amp;I331)+1)-I331)))</f>
        <v>1</v>
      </c>
      <c r="AG331">
        <f>IF(OR($B331="",NOT(ISNUMBER(J331))),"",IF(COUNTIF(K331:$T331,J331)&gt;0,0,IF(COUNTIF($G331:$T331,"&gt;"&amp;J331)=0,"",SMALL($G331:$T331,COUNTIF($G331:$T331,"&lt;="&amp;J331)+1)-J331)))</f>
        <v>1</v>
      </c>
      <c r="AH331" t="str">
        <f>IF(OR($B331="",NOT(ISNUMBER(K331))),"",IF(COUNTIF(L331:$T331,K331)&gt;0,0,IF(COUNTIF($G331:$T331,"&gt;"&amp;K331)=0,"",SMALL($G331:$T331,COUNTIF($G331:$T331,"&lt;="&amp;K331)+1)-K331)))</f>
        <v/>
      </c>
      <c r="AI331" t="str">
        <f>IF(OR($B331="",NOT(ISNUMBER(L331))),"",IF(COUNTIF(M331:$T331,L331)&gt;0,0,IF(COUNTIF($G331:$T331,"&gt;"&amp;L331)=0,"",SMALL($G331:$T331,COUNTIF($G331:$T331,"&lt;="&amp;L331)+1)-L331)))</f>
        <v/>
      </c>
      <c r="AJ331" t="str">
        <f>IF(OR($B331="",NOT(ISNUMBER(M331))),"",IF(COUNTIF(N331:$T331,M331)&gt;0,0,IF(COUNTIF($G331:$T331,"&gt;"&amp;M331)=0,"",SMALL($G331:$T331,COUNTIF($G331:$T331,"&lt;="&amp;M331)+1)-M331)))</f>
        <v/>
      </c>
      <c r="AK331" t="str">
        <f>IF(OR($B331="",NOT(ISNUMBER(N331))),"",IF(COUNTIF(O331:$T331,N331)&gt;0,0,IF(COUNTIF($G331:$T331,"&gt;"&amp;N331)=0,"",SMALL($G331:$T331,COUNTIF($G331:$T331,"&lt;="&amp;N331)+1)-N331)))</f>
        <v/>
      </c>
      <c r="AL331" t="str">
        <f>IF(OR($B331="",NOT(ISNUMBER(O331))),"",IF(COUNTIF(P331:$T331,O331)&gt;0,0,IF(COUNTIF($G331:$T331,"&gt;"&amp;O331)=0,"",SMALL($G331:$T331,COUNTIF($G331:$T331,"&lt;="&amp;O331)+1)-O331)))</f>
        <v/>
      </c>
      <c r="AM331" t="str">
        <f>IF(OR($B331="",NOT(ISNUMBER(P331))),"",IF(COUNTIF(Q331:$T331,P331)&gt;0,0,IF(COUNTIF($G331:$T331,"&gt;"&amp;P331)=0,"",SMALL($G331:$T331,COUNTIF($G331:$T331,"&lt;="&amp;P331)+1)-P331)))</f>
        <v/>
      </c>
      <c r="AN331">
        <f>IF(OR($B331="",NOT(ISNUMBER(Q331))),"",IF(COUNTIF(R331:$T331,Q331)&gt;0,0,IF(COUNTIF($G331:$T331,"&gt;"&amp;Q331)=0,"",SMALL($G331:$T331,COUNTIF($G331:$T331,"&lt;="&amp;Q331)+1)-Q331)))</f>
        <v>0</v>
      </c>
      <c r="AO331" t="str">
        <f>IF(OR($B331="",NOT(ISNUMBER(R331))),"",IF(COUNTIF(S331:$T331,R331)&gt;0,0,IF(COUNTIF($G331:$T331,"&gt;"&amp;R331)=0,"",SMALL($G331:$T331,COUNTIF($G331:$T331,"&lt;="&amp;R331)+1)-R331)))</f>
        <v/>
      </c>
      <c r="AP331">
        <f t="shared" ca="1" si="88"/>
        <v>0</v>
      </c>
      <c r="AQ331" s="25" t="str">
        <f t="shared" si="89"/>
        <v/>
      </c>
      <c r="AR331" s="25" t="str">
        <f t="shared" si="90"/>
        <v/>
      </c>
      <c r="AS331" s="25">
        <f t="shared" si="91"/>
        <v>46301</v>
      </c>
      <c r="AT331" s="25">
        <f t="shared" si="92"/>
        <v>46302</v>
      </c>
      <c r="AU331" s="25" t="str">
        <f t="shared" si="93"/>
        <v/>
      </c>
      <c r="AV331" s="25" t="str">
        <f t="shared" si="94"/>
        <v/>
      </c>
      <c r="AW331" s="25" t="str">
        <f t="shared" si="95"/>
        <v/>
      </c>
      <c r="AX331" s="25" t="str">
        <f t="shared" si="96"/>
        <v/>
      </c>
      <c r="AY331" s="25" t="str">
        <f t="shared" si="97"/>
        <v/>
      </c>
      <c r="AZ331" s="25" t="str">
        <f t="shared" si="98"/>
        <v/>
      </c>
      <c r="BA331" s="25">
        <f t="shared" si="99"/>
        <v>46302</v>
      </c>
      <c r="BB331" s="25" t="str">
        <f t="shared" si="100"/>
        <v/>
      </c>
      <c r="BC331" s="25">
        <f t="shared" si="101"/>
        <v>46302</v>
      </c>
    </row>
    <row r="332" spans="1:55" x14ac:dyDescent="0.25">
      <c r="A332" s="151">
        <f t="shared" si="86"/>
        <v>330</v>
      </c>
      <c r="B332" s="151" t="s">
        <v>523</v>
      </c>
      <c r="C332" s="152" t="s">
        <v>478</v>
      </c>
      <c r="D332" s="151">
        <f t="shared" si="85"/>
        <v>1</v>
      </c>
      <c r="E332" s="151" t="s">
        <v>61</v>
      </c>
      <c r="F332" s="173">
        <v>46300</v>
      </c>
      <c r="G332" s="173"/>
      <c r="H332" s="173"/>
      <c r="I332" s="173">
        <v>46300</v>
      </c>
      <c r="J332" s="173">
        <v>46300</v>
      </c>
      <c r="K332" s="173"/>
      <c r="L332" s="173"/>
      <c r="M332" s="173"/>
      <c r="N332" s="173"/>
      <c r="O332" s="173"/>
      <c r="P332" s="173"/>
      <c r="Q332" s="173"/>
      <c r="R332" s="173"/>
      <c r="S332" s="173"/>
      <c r="T332" s="174">
        <v>46300</v>
      </c>
      <c r="U332" s="151"/>
      <c r="V332" s="152"/>
      <c r="W332" s="175"/>
      <c r="X332" s="173"/>
      <c r="Y332" s="173"/>
      <c r="Z332" s="176" t="str">
        <f>IF(B332="","",IF(S332&lt;&gt;"","Sevk Edildi",IF(AND(X332&lt;&gt;"",Y332=""),"Reworkte",IF(T332&lt;&gt;"","Kapandı"&amp;IF(COUNT(G332:R332)=0,""," – "&amp;LOOKUP(2,1/(G332:R332=MAX(G332:R332)),{"Tasarım","Ply Cutter","Üretim","Kalite (Üretim sonrası)","Talaşlı","Kalite (Talaşlı sonrası)","Montaj","Kalite (Montaj sonrası)","Boya","Kalite (Boya sonrası)","Yarı Mamül","KM"})),IF(COUNT(G332:R332)=0,"Başlamadı",LOOKUP(2,1/(G332:R332=MAX(G332:R332)),{"Tasarımda","Ply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32" s="177">
        <f t="shared" ca="1" si="87"/>
        <v>0</v>
      </c>
      <c r="AB332" s="175"/>
      <c r="AD332" t="str">
        <f>IF(OR($B332="",NOT(ISNUMBER(G332))),"",IF(COUNTIF(H332:$T332,G332)&gt;0,0,IF(COUNTIF($G332:$T332,"&gt;"&amp;G332)=0,"",SMALL($G332:$T332,COUNTIF($G332:$T332,"&lt;="&amp;G332)+1)-G332)))</f>
        <v/>
      </c>
      <c r="AE332" t="str">
        <f>IF(OR($B332="",NOT(ISNUMBER(H332))),"",IF(COUNTIF(I332:$T332,H332)&gt;0,0,IF(COUNTIF($G332:$T332,"&gt;"&amp;H332)=0,"",SMALL($G332:$T332,COUNTIF($G332:$T332,"&lt;="&amp;H332)+1)-H332)))</f>
        <v/>
      </c>
      <c r="AF332">
        <f>IF(OR($B332="",NOT(ISNUMBER(I332))),"",IF(COUNTIF(J332:$T332,I332)&gt;0,0,IF(COUNTIF($G332:$T332,"&gt;"&amp;I332)=0,"",SMALL($G332:$T332,COUNTIF($G332:$T332,"&lt;="&amp;I332)+1)-I332)))</f>
        <v>0</v>
      </c>
      <c r="AG332">
        <f>IF(OR($B332="",NOT(ISNUMBER(J332))),"",IF(COUNTIF(K332:$T332,J332)&gt;0,0,IF(COUNTIF($G332:$T332,"&gt;"&amp;J332)=0,"",SMALL($G332:$T332,COUNTIF($G332:$T332,"&lt;="&amp;J332)+1)-J332)))</f>
        <v>0</v>
      </c>
      <c r="AH332" t="str">
        <f>IF(OR($B332="",NOT(ISNUMBER(K332))),"",IF(COUNTIF(L332:$T332,K332)&gt;0,0,IF(COUNTIF($G332:$T332,"&gt;"&amp;K332)=0,"",SMALL($G332:$T332,COUNTIF($G332:$T332,"&lt;="&amp;K332)+1)-K332)))</f>
        <v/>
      </c>
      <c r="AI332" t="str">
        <f>IF(OR($B332="",NOT(ISNUMBER(L332))),"",IF(COUNTIF(M332:$T332,L332)&gt;0,0,IF(COUNTIF($G332:$T332,"&gt;"&amp;L332)=0,"",SMALL($G332:$T332,COUNTIF($G332:$T332,"&lt;="&amp;L332)+1)-L332)))</f>
        <v/>
      </c>
      <c r="AJ332" t="str">
        <f>IF(OR($B332="",NOT(ISNUMBER(M332))),"",IF(COUNTIF(N332:$T332,M332)&gt;0,0,IF(COUNTIF($G332:$T332,"&gt;"&amp;M332)=0,"",SMALL($G332:$T332,COUNTIF($G332:$T332,"&lt;="&amp;M332)+1)-M332)))</f>
        <v/>
      </c>
      <c r="AK332" t="str">
        <f>IF(OR($B332="",NOT(ISNUMBER(N332))),"",IF(COUNTIF(O332:$T332,N332)&gt;0,0,IF(COUNTIF($G332:$T332,"&gt;"&amp;N332)=0,"",SMALL($G332:$T332,COUNTIF($G332:$T332,"&lt;="&amp;N332)+1)-N332)))</f>
        <v/>
      </c>
      <c r="AL332" t="str">
        <f>IF(OR($B332="",NOT(ISNUMBER(O332))),"",IF(COUNTIF(P332:$T332,O332)&gt;0,0,IF(COUNTIF($G332:$T332,"&gt;"&amp;O332)=0,"",SMALL($G332:$T332,COUNTIF($G332:$T332,"&lt;="&amp;O332)+1)-O332)))</f>
        <v/>
      </c>
      <c r="AM332" t="str">
        <f>IF(OR($B332="",NOT(ISNUMBER(P332))),"",IF(COUNTIF(Q332:$T332,P332)&gt;0,0,IF(COUNTIF($G332:$T332,"&gt;"&amp;P332)=0,"",SMALL($G332:$T332,COUNTIF($G332:$T332,"&lt;="&amp;P332)+1)-P332)))</f>
        <v/>
      </c>
      <c r="AN332" t="str">
        <f>IF(OR($B332="",NOT(ISNUMBER(Q332))),"",IF(COUNTIF(R332:$T332,Q332)&gt;0,0,IF(COUNTIF($G332:$T332,"&gt;"&amp;Q332)=0,"",SMALL($G332:$T332,COUNTIF($G332:$T332,"&lt;="&amp;Q332)+1)-Q332)))</f>
        <v/>
      </c>
      <c r="AO332" t="str">
        <f>IF(OR($B332="",NOT(ISNUMBER(R332))),"",IF(COUNTIF(S332:$T332,R332)&gt;0,0,IF(COUNTIF($G332:$T332,"&gt;"&amp;R332)=0,"",SMALL($G332:$T332,COUNTIF($G332:$T332,"&lt;="&amp;R332)+1)-R332)))</f>
        <v/>
      </c>
      <c r="AP332">
        <f t="shared" ca="1" si="88"/>
        <v>0</v>
      </c>
      <c r="AQ332" s="25" t="str">
        <f t="shared" si="89"/>
        <v/>
      </c>
      <c r="AR332" s="25" t="str">
        <f t="shared" si="90"/>
        <v/>
      </c>
      <c r="AS332" s="25">
        <f t="shared" si="91"/>
        <v>46300</v>
      </c>
      <c r="AT332" s="25">
        <f t="shared" si="92"/>
        <v>46300</v>
      </c>
      <c r="AU332" s="25" t="str">
        <f t="shared" si="93"/>
        <v/>
      </c>
      <c r="AV332" s="25" t="str">
        <f t="shared" si="94"/>
        <v/>
      </c>
      <c r="AW332" s="25" t="str">
        <f t="shared" si="95"/>
        <v/>
      </c>
      <c r="AX332" s="25" t="str">
        <f t="shared" si="96"/>
        <v/>
      </c>
      <c r="AY332" s="25" t="str">
        <f t="shared" si="97"/>
        <v/>
      </c>
      <c r="AZ332" s="25" t="str">
        <f t="shared" si="98"/>
        <v/>
      </c>
      <c r="BA332" s="25" t="str">
        <f t="shared" si="99"/>
        <v/>
      </c>
      <c r="BB332" s="25" t="str">
        <f t="shared" si="100"/>
        <v/>
      </c>
      <c r="BC332" s="25">
        <f t="shared" si="101"/>
        <v>46300</v>
      </c>
    </row>
    <row r="333" spans="1:55" x14ac:dyDescent="0.25">
      <c r="A333" s="151">
        <f t="shared" si="86"/>
        <v>331</v>
      </c>
      <c r="B333" s="151" t="s">
        <v>524</v>
      </c>
      <c r="C333" s="152" t="s">
        <v>525</v>
      </c>
      <c r="D333" s="151">
        <f t="shared" si="85"/>
        <v>4</v>
      </c>
      <c r="E333" s="151" t="s">
        <v>61</v>
      </c>
      <c r="F333" s="173">
        <v>46300</v>
      </c>
      <c r="G333" s="173"/>
      <c r="H333" s="173"/>
      <c r="I333" s="173">
        <v>46300</v>
      </c>
      <c r="J333" s="173">
        <v>46302</v>
      </c>
      <c r="K333" s="173"/>
      <c r="L333" s="173"/>
      <c r="M333" s="173"/>
      <c r="N333" s="173"/>
      <c r="O333" s="173"/>
      <c r="P333" s="173"/>
      <c r="Q333" s="173"/>
      <c r="R333" s="173"/>
      <c r="S333" s="173"/>
      <c r="T333" s="174">
        <v>46302</v>
      </c>
      <c r="U333" s="151"/>
      <c r="V333" s="152"/>
      <c r="W333" s="175"/>
      <c r="X333" s="173"/>
      <c r="Y333" s="173"/>
      <c r="Z333" s="176" t="str">
        <f>IF(B333="","",IF(S333&lt;&gt;"","Sevk Edildi",IF(AND(X333&lt;&gt;"",Y333=""),"Reworkte",IF(T333&lt;&gt;"","Kapandı"&amp;IF(COUNT(G333:R333)=0,""," – "&amp;LOOKUP(2,1/(G333:R333=MAX(G333:R333)),{"Tasarım","Ply Cutter","Üretim","Kalite (Üretim sonrası)","Talaşlı","Kalite (Talaşlı sonrası)","Montaj","Kalite (Montaj sonrası)","Boya","Kalite (Boya sonrası)","Yarı Mamül","KM"})),IF(COUNT(G333:R333)=0,"Başlamadı",LOOKUP(2,1/(G333:R333=MAX(G333:R333)),{"Tasarımda","Ply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33" s="177">
        <f t="shared" ca="1" si="87"/>
        <v>2</v>
      </c>
      <c r="AB333" s="175"/>
      <c r="AD333" t="str">
        <f>IF(OR($B333="",NOT(ISNUMBER(G333))),"",IF(COUNTIF(H333:$T333,G333)&gt;0,0,IF(COUNTIF($G333:$T333,"&gt;"&amp;G333)=0,"",SMALL($G333:$T333,COUNTIF($G333:$T333,"&lt;="&amp;G333)+1)-G333)))</f>
        <v/>
      </c>
      <c r="AE333" t="str">
        <f>IF(OR($B333="",NOT(ISNUMBER(H333))),"",IF(COUNTIF(I333:$T333,H333)&gt;0,0,IF(COUNTIF($G333:$T333,"&gt;"&amp;H333)=0,"",SMALL($G333:$T333,COUNTIF($G333:$T333,"&lt;="&amp;H333)+1)-H333)))</f>
        <v/>
      </c>
      <c r="AF333">
        <f>IF(OR($B333="",NOT(ISNUMBER(I333))),"",IF(COUNTIF(J333:$T333,I333)&gt;0,0,IF(COUNTIF($G333:$T333,"&gt;"&amp;I333)=0,"",SMALL($G333:$T333,COUNTIF($G333:$T333,"&lt;="&amp;I333)+1)-I333)))</f>
        <v>2</v>
      </c>
      <c r="AG333">
        <f>IF(OR($B333="",NOT(ISNUMBER(J333))),"",IF(COUNTIF(K333:$T333,J333)&gt;0,0,IF(COUNTIF($G333:$T333,"&gt;"&amp;J333)=0,"",SMALL($G333:$T333,COUNTIF($G333:$T333,"&lt;="&amp;J333)+1)-J333)))</f>
        <v>0</v>
      </c>
      <c r="AH333" t="str">
        <f>IF(OR($B333="",NOT(ISNUMBER(K333))),"",IF(COUNTIF(L333:$T333,K333)&gt;0,0,IF(COUNTIF($G333:$T333,"&gt;"&amp;K333)=0,"",SMALL($G333:$T333,COUNTIF($G333:$T333,"&lt;="&amp;K333)+1)-K333)))</f>
        <v/>
      </c>
      <c r="AI333" t="str">
        <f>IF(OR($B333="",NOT(ISNUMBER(L333))),"",IF(COUNTIF(M333:$T333,L333)&gt;0,0,IF(COUNTIF($G333:$T333,"&gt;"&amp;L333)=0,"",SMALL($G333:$T333,COUNTIF($G333:$T333,"&lt;="&amp;L333)+1)-L333)))</f>
        <v/>
      </c>
      <c r="AJ333" t="str">
        <f>IF(OR($B333="",NOT(ISNUMBER(M333))),"",IF(COUNTIF(N333:$T333,M333)&gt;0,0,IF(COUNTIF($G333:$T333,"&gt;"&amp;M333)=0,"",SMALL($G333:$T333,COUNTIF($G333:$T333,"&lt;="&amp;M333)+1)-M333)))</f>
        <v/>
      </c>
      <c r="AK333" t="str">
        <f>IF(OR($B333="",NOT(ISNUMBER(N333))),"",IF(COUNTIF(O333:$T333,N333)&gt;0,0,IF(COUNTIF($G333:$T333,"&gt;"&amp;N333)=0,"",SMALL($G333:$T333,COUNTIF($G333:$T333,"&lt;="&amp;N333)+1)-N333)))</f>
        <v/>
      </c>
      <c r="AL333" t="str">
        <f>IF(OR($B333="",NOT(ISNUMBER(O333))),"",IF(COUNTIF(P333:$T333,O333)&gt;0,0,IF(COUNTIF($G333:$T333,"&gt;"&amp;O333)=0,"",SMALL($G333:$T333,COUNTIF($G333:$T333,"&lt;="&amp;O333)+1)-O333)))</f>
        <v/>
      </c>
      <c r="AM333" t="str">
        <f>IF(OR($B333="",NOT(ISNUMBER(P333))),"",IF(COUNTIF(Q333:$T333,P333)&gt;0,0,IF(COUNTIF($G333:$T333,"&gt;"&amp;P333)=0,"",SMALL($G333:$T333,COUNTIF($G333:$T333,"&lt;="&amp;P333)+1)-P333)))</f>
        <v/>
      </c>
      <c r="AN333" t="str">
        <f>IF(OR($B333="",NOT(ISNUMBER(Q333))),"",IF(COUNTIF(R333:$T333,Q333)&gt;0,0,IF(COUNTIF($G333:$T333,"&gt;"&amp;Q333)=0,"",SMALL($G333:$T333,COUNTIF($G333:$T333,"&lt;="&amp;Q333)+1)-Q333)))</f>
        <v/>
      </c>
      <c r="AO333" t="str">
        <f>IF(OR($B333="",NOT(ISNUMBER(R333))),"",IF(COUNTIF(S333:$T333,R333)&gt;0,0,IF(COUNTIF($G333:$T333,"&gt;"&amp;R333)=0,"",SMALL($G333:$T333,COUNTIF($G333:$T333,"&lt;="&amp;R333)+1)-R333)))</f>
        <v/>
      </c>
      <c r="AP333">
        <f t="shared" ca="1" si="88"/>
        <v>0</v>
      </c>
      <c r="AQ333" s="25" t="str">
        <f t="shared" si="89"/>
        <v/>
      </c>
      <c r="AR333" s="25" t="str">
        <f t="shared" si="90"/>
        <v/>
      </c>
      <c r="AS333" s="25">
        <f t="shared" si="91"/>
        <v>46302</v>
      </c>
      <c r="AT333" s="25">
        <f t="shared" si="92"/>
        <v>46302</v>
      </c>
      <c r="AU333" s="25" t="str">
        <f t="shared" si="93"/>
        <v/>
      </c>
      <c r="AV333" s="25" t="str">
        <f t="shared" si="94"/>
        <v/>
      </c>
      <c r="AW333" s="25" t="str">
        <f t="shared" si="95"/>
        <v/>
      </c>
      <c r="AX333" s="25" t="str">
        <f t="shared" si="96"/>
        <v/>
      </c>
      <c r="AY333" s="25" t="str">
        <f t="shared" si="97"/>
        <v/>
      </c>
      <c r="AZ333" s="25" t="str">
        <f t="shared" si="98"/>
        <v/>
      </c>
      <c r="BA333" s="25" t="str">
        <f t="shared" si="99"/>
        <v/>
      </c>
      <c r="BB333" s="25" t="str">
        <f t="shared" si="100"/>
        <v/>
      </c>
      <c r="BC333" s="25">
        <f t="shared" si="101"/>
        <v>46302</v>
      </c>
    </row>
    <row r="334" spans="1:55" x14ac:dyDescent="0.25">
      <c r="A334" s="151">
        <f t="shared" si="86"/>
        <v>332</v>
      </c>
      <c r="B334" s="151" t="s">
        <v>526</v>
      </c>
      <c r="C334" s="152" t="s">
        <v>466</v>
      </c>
      <c r="D334" s="151">
        <f t="shared" si="85"/>
        <v>2</v>
      </c>
      <c r="E334" s="151" t="s">
        <v>61</v>
      </c>
      <c r="F334" s="173">
        <v>46300</v>
      </c>
      <c r="G334" s="173"/>
      <c r="H334" s="173"/>
      <c r="I334" s="173">
        <v>46300</v>
      </c>
      <c r="J334" s="173">
        <v>46301</v>
      </c>
      <c r="K334" s="173"/>
      <c r="L334" s="173"/>
      <c r="M334" s="173"/>
      <c r="N334" s="173"/>
      <c r="O334" s="173"/>
      <c r="P334" s="173"/>
      <c r="Q334" s="173">
        <v>46302</v>
      </c>
      <c r="R334" s="173"/>
      <c r="S334" s="173"/>
      <c r="T334" s="174">
        <v>46302</v>
      </c>
      <c r="U334" s="151"/>
      <c r="V334" s="152"/>
      <c r="W334" s="175"/>
      <c r="X334" s="173"/>
      <c r="Y334" s="173"/>
      <c r="Z334" s="176" t="str">
        <f>IF(B334="","",IF(S334&lt;&gt;"","Sevk Edildi",IF(AND(X334&lt;&gt;"",Y334=""),"Reworkte",IF(T334&lt;&gt;"","Kapandı"&amp;IF(COUNT(G334:R334)=0,""," – "&amp;LOOKUP(2,1/(G334:R334=MAX(G334:R334)),{"Tasarım","Ply Cutter","Üretim","Kalite (Üretim sonrası)","Talaşlı","Kalite (Talaşlı sonrası)","Montaj","Kalite (Montaj sonrası)","Boya","Kalite (Boya sonrası)","Yarı Mamül","KM"})),IF(COUNT(G334:R334)=0,"Başlamadı",LOOKUP(2,1/(G334:R334=MAX(G334:R334)),{"Tasarımda","Ply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34" s="177">
        <f t="shared" ca="1" si="87"/>
        <v>2</v>
      </c>
      <c r="AB334" s="175"/>
      <c r="AD334" t="str">
        <f>IF(OR($B334="",NOT(ISNUMBER(G334))),"",IF(COUNTIF(H334:$T334,G334)&gt;0,0,IF(COUNTIF($G334:$T334,"&gt;"&amp;G334)=0,"",SMALL($G334:$T334,COUNTIF($G334:$T334,"&lt;="&amp;G334)+1)-G334)))</f>
        <v/>
      </c>
      <c r="AE334" t="str">
        <f>IF(OR($B334="",NOT(ISNUMBER(H334))),"",IF(COUNTIF(I334:$T334,H334)&gt;0,0,IF(COUNTIF($G334:$T334,"&gt;"&amp;H334)=0,"",SMALL($G334:$T334,COUNTIF($G334:$T334,"&lt;="&amp;H334)+1)-H334)))</f>
        <v/>
      </c>
      <c r="AF334">
        <f>IF(OR($B334="",NOT(ISNUMBER(I334))),"",IF(COUNTIF(J334:$T334,I334)&gt;0,0,IF(COUNTIF($G334:$T334,"&gt;"&amp;I334)=0,"",SMALL($G334:$T334,COUNTIF($G334:$T334,"&lt;="&amp;I334)+1)-I334)))</f>
        <v>1</v>
      </c>
      <c r="AG334">
        <f>IF(OR($B334="",NOT(ISNUMBER(J334))),"",IF(COUNTIF(K334:$T334,J334)&gt;0,0,IF(COUNTIF($G334:$T334,"&gt;"&amp;J334)=0,"",SMALL($G334:$T334,COUNTIF($G334:$T334,"&lt;="&amp;J334)+1)-J334)))</f>
        <v>1</v>
      </c>
      <c r="AH334" t="str">
        <f>IF(OR($B334="",NOT(ISNUMBER(K334))),"",IF(COUNTIF(L334:$T334,K334)&gt;0,0,IF(COUNTIF($G334:$T334,"&gt;"&amp;K334)=0,"",SMALL($G334:$T334,COUNTIF($G334:$T334,"&lt;="&amp;K334)+1)-K334)))</f>
        <v/>
      </c>
      <c r="AI334" t="str">
        <f>IF(OR($B334="",NOT(ISNUMBER(L334))),"",IF(COUNTIF(M334:$T334,L334)&gt;0,0,IF(COUNTIF($G334:$T334,"&gt;"&amp;L334)=0,"",SMALL($G334:$T334,COUNTIF($G334:$T334,"&lt;="&amp;L334)+1)-L334)))</f>
        <v/>
      </c>
      <c r="AJ334" t="str">
        <f>IF(OR($B334="",NOT(ISNUMBER(M334))),"",IF(COUNTIF(N334:$T334,M334)&gt;0,0,IF(COUNTIF($G334:$T334,"&gt;"&amp;M334)=0,"",SMALL($G334:$T334,COUNTIF($G334:$T334,"&lt;="&amp;M334)+1)-M334)))</f>
        <v/>
      </c>
      <c r="AK334" t="str">
        <f>IF(OR($B334="",NOT(ISNUMBER(N334))),"",IF(COUNTIF(O334:$T334,N334)&gt;0,0,IF(COUNTIF($G334:$T334,"&gt;"&amp;N334)=0,"",SMALL($G334:$T334,COUNTIF($G334:$T334,"&lt;="&amp;N334)+1)-N334)))</f>
        <v/>
      </c>
      <c r="AL334" t="str">
        <f>IF(OR($B334="",NOT(ISNUMBER(O334))),"",IF(COUNTIF(P334:$T334,O334)&gt;0,0,IF(COUNTIF($G334:$T334,"&gt;"&amp;O334)=0,"",SMALL($G334:$T334,COUNTIF($G334:$T334,"&lt;="&amp;O334)+1)-O334)))</f>
        <v/>
      </c>
      <c r="AM334" t="str">
        <f>IF(OR($B334="",NOT(ISNUMBER(P334))),"",IF(COUNTIF(Q334:$T334,P334)&gt;0,0,IF(COUNTIF($G334:$T334,"&gt;"&amp;P334)=0,"",SMALL($G334:$T334,COUNTIF($G334:$T334,"&lt;="&amp;P334)+1)-P334)))</f>
        <v/>
      </c>
      <c r="AN334">
        <f>IF(OR($B334="",NOT(ISNUMBER(Q334))),"",IF(COUNTIF(R334:$T334,Q334)&gt;0,0,IF(COUNTIF($G334:$T334,"&gt;"&amp;Q334)=0,"",SMALL($G334:$T334,COUNTIF($G334:$T334,"&lt;="&amp;Q334)+1)-Q334)))</f>
        <v>0</v>
      </c>
      <c r="AO334" t="str">
        <f>IF(OR($B334="",NOT(ISNUMBER(R334))),"",IF(COUNTIF(S334:$T334,R334)&gt;0,0,IF(COUNTIF($G334:$T334,"&gt;"&amp;R334)=0,"",SMALL($G334:$T334,COUNTIF($G334:$T334,"&lt;="&amp;R334)+1)-R334)))</f>
        <v/>
      </c>
      <c r="AP334">
        <f t="shared" ca="1" si="88"/>
        <v>0</v>
      </c>
      <c r="AQ334" s="25" t="str">
        <f t="shared" si="89"/>
        <v/>
      </c>
      <c r="AR334" s="25" t="str">
        <f t="shared" si="90"/>
        <v/>
      </c>
      <c r="AS334" s="25">
        <f t="shared" si="91"/>
        <v>46301</v>
      </c>
      <c r="AT334" s="25">
        <f t="shared" si="92"/>
        <v>46302</v>
      </c>
      <c r="AU334" s="25" t="str">
        <f t="shared" si="93"/>
        <v/>
      </c>
      <c r="AV334" s="25" t="str">
        <f t="shared" si="94"/>
        <v/>
      </c>
      <c r="AW334" s="25" t="str">
        <f t="shared" si="95"/>
        <v/>
      </c>
      <c r="AX334" s="25" t="str">
        <f t="shared" si="96"/>
        <v/>
      </c>
      <c r="AY334" s="25" t="str">
        <f t="shared" si="97"/>
        <v/>
      </c>
      <c r="AZ334" s="25" t="str">
        <f t="shared" si="98"/>
        <v/>
      </c>
      <c r="BA334" s="25">
        <f t="shared" si="99"/>
        <v>46302</v>
      </c>
      <c r="BB334" s="25" t="str">
        <f t="shared" si="100"/>
        <v/>
      </c>
      <c r="BC334" s="25">
        <f t="shared" si="101"/>
        <v>46302</v>
      </c>
    </row>
    <row r="335" spans="1:55" x14ac:dyDescent="0.25">
      <c r="A335" s="151">
        <f t="shared" si="86"/>
        <v>333</v>
      </c>
      <c r="B335" s="151" t="s">
        <v>527</v>
      </c>
      <c r="C335" s="152" t="s">
        <v>528</v>
      </c>
      <c r="D335" s="151">
        <f t="shared" si="85"/>
        <v>1</v>
      </c>
      <c r="E335" s="151" t="s">
        <v>61</v>
      </c>
      <c r="F335" s="173">
        <v>46300</v>
      </c>
      <c r="G335" s="173"/>
      <c r="H335" s="173"/>
      <c r="I335" s="173">
        <v>46300</v>
      </c>
      <c r="J335" s="173">
        <v>46301</v>
      </c>
      <c r="K335" s="173"/>
      <c r="L335" s="173"/>
      <c r="M335" s="173"/>
      <c r="N335" s="173"/>
      <c r="O335" s="173"/>
      <c r="P335" s="173"/>
      <c r="Q335" s="173">
        <v>46302</v>
      </c>
      <c r="R335" s="173"/>
      <c r="S335" s="173"/>
      <c r="T335" s="174">
        <v>46302</v>
      </c>
      <c r="U335" s="151"/>
      <c r="V335" s="152"/>
      <c r="W335" s="175"/>
      <c r="X335" s="173"/>
      <c r="Y335" s="173"/>
      <c r="Z335" s="176" t="str">
        <f>IF(B335="","",IF(S335&lt;&gt;"","Sevk Edildi",IF(AND(X335&lt;&gt;"",Y335=""),"Reworkte",IF(T335&lt;&gt;"","Kapandı"&amp;IF(COUNT(G335:R335)=0,""," – "&amp;LOOKUP(2,1/(G335:R335=MAX(G335:R335)),{"Tasarım","Ply Cutter","Üretim","Kalite (Üretim sonrası)","Talaşlı","Kalite (Talaşlı sonrası)","Montaj","Kalite (Montaj sonrası)","Boya","Kalite (Boya sonrası)","Yarı Mamül","KM"})),IF(COUNT(G335:R335)=0,"Başlamadı",LOOKUP(2,1/(G335:R335=MAX(G335:R335)),{"Tasarımda","Ply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35" s="177">
        <f t="shared" ca="1" si="87"/>
        <v>2</v>
      </c>
      <c r="AB335" s="175"/>
      <c r="AD335" t="str">
        <f>IF(OR($B335="",NOT(ISNUMBER(G335))),"",IF(COUNTIF(H335:$T335,G335)&gt;0,0,IF(COUNTIF($G335:$T335,"&gt;"&amp;G335)=0,"",SMALL($G335:$T335,COUNTIF($G335:$T335,"&lt;="&amp;G335)+1)-G335)))</f>
        <v/>
      </c>
      <c r="AE335" t="str">
        <f>IF(OR($B335="",NOT(ISNUMBER(H335))),"",IF(COUNTIF(I335:$T335,H335)&gt;0,0,IF(COUNTIF($G335:$T335,"&gt;"&amp;H335)=0,"",SMALL($G335:$T335,COUNTIF($G335:$T335,"&lt;="&amp;H335)+1)-H335)))</f>
        <v/>
      </c>
      <c r="AF335">
        <f>IF(OR($B335="",NOT(ISNUMBER(I335))),"",IF(COUNTIF(J335:$T335,I335)&gt;0,0,IF(COUNTIF($G335:$T335,"&gt;"&amp;I335)=0,"",SMALL($G335:$T335,COUNTIF($G335:$T335,"&lt;="&amp;I335)+1)-I335)))</f>
        <v>1</v>
      </c>
      <c r="AG335">
        <f>IF(OR($B335="",NOT(ISNUMBER(J335))),"",IF(COUNTIF(K335:$T335,J335)&gt;0,0,IF(COUNTIF($G335:$T335,"&gt;"&amp;J335)=0,"",SMALL($G335:$T335,COUNTIF($G335:$T335,"&lt;="&amp;J335)+1)-J335)))</f>
        <v>1</v>
      </c>
      <c r="AH335" t="str">
        <f>IF(OR($B335="",NOT(ISNUMBER(K335))),"",IF(COUNTIF(L335:$T335,K335)&gt;0,0,IF(COUNTIF($G335:$T335,"&gt;"&amp;K335)=0,"",SMALL($G335:$T335,COUNTIF($G335:$T335,"&lt;="&amp;K335)+1)-K335)))</f>
        <v/>
      </c>
      <c r="AI335" t="str">
        <f>IF(OR($B335="",NOT(ISNUMBER(L335))),"",IF(COUNTIF(M335:$T335,L335)&gt;0,0,IF(COUNTIF($G335:$T335,"&gt;"&amp;L335)=0,"",SMALL($G335:$T335,COUNTIF($G335:$T335,"&lt;="&amp;L335)+1)-L335)))</f>
        <v/>
      </c>
      <c r="AJ335" t="str">
        <f>IF(OR($B335="",NOT(ISNUMBER(M335))),"",IF(COUNTIF(N335:$T335,M335)&gt;0,0,IF(COUNTIF($G335:$T335,"&gt;"&amp;M335)=0,"",SMALL($G335:$T335,COUNTIF($G335:$T335,"&lt;="&amp;M335)+1)-M335)))</f>
        <v/>
      </c>
      <c r="AK335" t="str">
        <f>IF(OR($B335="",NOT(ISNUMBER(N335))),"",IF(COUNTIF(O335:$T335,N335)&gt;0,0,IF(COUNTIF($G335:$T335,"&gt;"&amp;N335)=0,"",SMALL($G335:$T335,COUNTIF($G335:$T335,"&lt;="&amp;N335)+1)-N335)))</f>
        <v/>
      </c>
      <c r="AL335" t="str">
        <f>IF(OR($B335="",NOT(ISNUMBER(O335))),"",IF(COUNTIF(P335:$T335,O335)&gt;0,0,IF(COUNTIF($G335:$T335,"&gt;"&amp;O335)=0,"",SMALL($G335:$T335,COUNTIF($G335:$T335,"&lt;="&amp;O335)+1)-O335)))</f>
        <v/>
      </c>
      <c r="AM335" t="str">
        <f>IF(OR($B335="",NOT(ISNUMBER(P335))),"",IF(COUNTIF(Q335:$T335,P335)&gt;0,0,IF(COUNTIF($G335:$T335,"&gt;"&amp;P335)=0,"",SMALL($G335:$T335,COUNTIF($G335:$T335,"&lt;="&amp;P335)+1)-P335)))</f>
        <v/>
      </c>
      <c r="AN335">
        <f>IF(OR($B335="",NOT(ISNUMBER(Q335))),"",IF(COUNTIF(R335:$T335,Q335)&gt;0,0,IF(COUNTIF($G335:$T335,"&gt;"&amp;Q335)=0,"",SMALL($G335:$T335,COUNTIF($G335:$T335,"&lt;="&amp;Q335)+1)-Q335)))</f>
        <v>0</v>
      </c>
      <c r="AO335" t="str">
        <f>IF(OR($B335="",NOT(ISNUMBER(R335))),"",IF(COUNTIF(S335:$T335,R335)&gt;0,0,IF(COUNTIF($G335:$T335,"&gt;"&amp;R335)=0,"",SMALL($G335:$T335,COUNTIF($G335:$T335,"&lt;="&amp;R335)+1)-R335)))</f>
        <v/>
      </c>
      <c r="AP335">
        <f t="shared" ca="1" si="88"/>
        <v>0</v>
      </c>
      <c r="AQ335" s="25" t="str">
        <f t="shared" si="89"/>
        <v/>
      </c>
      <c r="AR335" s="25" t="str">
        <f t="shared" si="90"/>
        <v/>
      </c>
      <c r="AS335" s="25">
        <f t="shared" si="91"/>
        <v>46301</v>
      </c>
      <c r="AT335" s="25">
        <f t="shared" si="92"/>
        <v>46302</v>
      </c>
      <c r="AU335" s="25" t="str">
        <f t="shared" si="93"/>
        <v/>
      </c>
      <c r="AV335" s="25" t="str">
        <f t="shared" si="94"/>
        <v/>
      </c>
      <c r="AW335" s="25" t="str">
        <f t="shared" si="95"/>
        <v/>
      </c>
      <c r="AX335" s="25" t="str">
        <f t="shared" si="96"/>
        <v/>
      </c>
      <c r="AY335" s="25" t="str">
        <f t="shared" si="97"/>
        <v/>
      </c>
      <c r="AZ335" s="25" t="str">
        <f t="shared" si="98"/>
        <v/>
      </c>
      <c r="BA335" s="25">
        <f t="shared" si="99"/>
        <v>46302</v>
      </c>
      <c r="BB335" s="25" t="str">
        <f t="shared" si="100"/>
        <v/>
      </c>
      <c r="BC335" s="25">
        <f t="shared" si="101"/>
        <v>46302</v>
      </c>
    </row>
    <row r="336" spans="1:55" x14ac:dyDescent="0.25">
      <c r="A336" s="151">
        <f t="shared" si="86"/>
        <v>334</v>
      </c>
      <c r="B336" s="151" t="s">
        <v>529</v>
      </c>
      <c r="C336" s="152" t="s">
        <v>355</v>
      </c>
      <c r="D336" s="151">
        <f t="shared" si="85"/>
        <v>1</v>
      </c>
      <c r="E336" s="151" t="s">
        <v>61</v>
      </c>
      <c r="F336" s="173">
        <v>46300</v>
      </c>
      <c r="G336" s="173"/>
      <c r="H336" s="173"/>
      <c r="I336" s="173">
        <v>46300</v>
      </c>
      <c r="J336" s="173">
        <v>46301</v>
      </c>
      <c r="K336" s="173">
        <v>46300</v>
      </c>
      <c r="L336" s="173"/>
      <c r="M336" s="173"/>
      <c r="N336" s="173"/>
      <c r="O336" s="173"/>
      <c r="P336" s="173"/>
      <c r="Q336" s="173">
        <v>46302</v>
      </c>
      <c r="R336" s="173"/>
      <c r="S336" s="173"/>
      <c r="T336" s="174">
        <v>46302</v>
      </c>
      <c r="U336" s="151"/>
      <c r="V336" s="152"/>
      <c r="W336" s="175"/>
      <c r="X336" s="173"/>
      <c r="Y336" s="173"/>
      <c r="Z336" s="176" t="str">
        <f>IF(B336="","",IF(S336&lt;&gt;"","Sevk Edildi",IF(AND(X336&lt;&gt;"",Y336=""),"Reworkte",IF(T336&lt;&gt;"","Kapandı"&amp;IF(COUNT(G336:R336)=0,""," – "&amp;LOOKUP(2,1/(G336:R336=MAX(G336:R336)),{"Tasarım","Ply Cutter","Üretim","Kalite (Üretim sonrası)","Talaşlı","Kalite (Talaşlı sonrası)","Montaj","Kalite (Montaj sonrası)","Boya","Kalite (Boya sonrası)","Yarı Mamül","KM"})),IF(COUNT(G336:R336)=0,"Başlamadı",LOOKUP(2,1/(G336:R336=MAX(G336:R336)),{"Tasarımda","Ply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36" s="177">
        <f t="shared" ca="1" si="87"/>
        <v>2</v>
      </c>
      <c r="AB336" s="175"/>
      <c r="AD336" t="str">
        <f>IF(OR($B336="",NOT(ISNUMBER(G336))),"",IF(COUNTIF(H336:$T336,G336)&gt;0,0,IF(COUNTIF($G336:$T336,"&gt;"&amp;G336)=0,"",SMALL($G336:$T336,COUNTIF($G336:$T336,"&lt;="&amp;G336)+1)-G336)))</f>
        <v/>
      </c>
      <c r="AE336" t="str">
        <f>IF(OR($B336="",NOT(ISNUMBER(H336))),"",IF(COUNTIF(I336:$T336,H336)&gt;0,0,IF(COUNTIF($G336:$T336,"&gt;"&amp;H336)=0,"",SMALL($G336:$T336,COUNTIF($G336:$T336,"&lt;="&amp;H336)+1)-H336)))</f>
        <v/>
      </c>
      <c r="AF336">
        <f>IF(OR($B336="",NOT(ISNUMBER(I336))),"",IF(COUNTIF(J336:$T336,I336)&gt;0,0,IF(COUNTIF($G336:$T336,"&gt;"&amp;I336)=0,"",SMALL($G336:$T336,COUNTIF($G336:$T336,"&lt;="&amp;I336)+1)-I336)))</f>
        <v>0</v>
      </c>
      <c r="AG336">
        <f>IF(OR($B336="",NOT(ISNUMBER(J336))),"",IF(COUNTIF(K336:$T336,J336)&gt;0,0,IF(COUNTIF($G336:$T336,"&gt;"&amp;J336)=0,"",SMALL($G336:$T336,COUNTIF($G336:$T336,"&lt;="&amp;J336)+1)-J336)))</f>
        <v>1</v>
      </c>
      <c r="AH336">
        <f>IF(OR($B336="",NOT(ISNUMBER(K336))),"",IF(COUNTIF(L336:$T336,K336)&gt;0,0,IF(COUNTIF($G336:$T336,"&gt;"&amp;K336)=0,"",SMALL($G336:$T336,COUNTIF($G336:$T336,"&lt;="&amp;K336)+1)-K336)))</f>
        <v>1</v>
      </c>
      <c r="AI336" t="str">
        <f>IF(OR($B336="",NOT(ISNUMBER(L336))),"",IF(COUNTIF(M336:$T336,L336)&gt;0,0,IF(COUNTIF($G336:$T336,"&gt;"&amp;L336)=0,"",SMALL($G336:$T336,COUNTIF($G336:$T336,"&lt;="&amp;L336)+1)-L336)))</f>
        <v/>
      </c>
      <c r="AJ336" t="str">
        <f>IF(OR($B336="",NOT(ISNUMBER(M336))),"",IF(COUNTIF(N336:$T336,M336)&gt;0,0,IF(COUNTIF($G336:$T336,"&gt;"&amp;M336)=0,"",SMALL($G336:$T336,COUNTIF($G336:$T336,"&lt;="&amp;M336)+1)-M336)))</f>
        <v/>
      </c>
      <c r="AK336" t="str">
        <f>IF(OR($B336="",NOT(ISNUMBER(N336))),"",IF(COUNTIF(O336:$T336,N336)&gt;0,0,IF(COUNTIF($G336:$T336,"&gt;"&amp;N336)=0,"",SMALL($G336:$T336,COUNTIF($G336:$T336,"&lt;="&amp;N336)+1)-N336)))</f>
        <v/>
      </c>
      <c r="AL336" t="str">
        <f>IF(OR($B336="",NOT(ISNUMBER(O336))),"",IF(COUNTIF(P336:$T336,O336)&gt;0,0,IF(COUNTIF($G336:$T336,"&gt;"&amp;O336)=0,"",SMALL($G336:$T336,COUNTIF($G336:$T336,"&lt;="&amp;O336)+1)-O336)))</f>
        <v/>
      </c>
      <c r="AM336" t="str">
        <f>IF(OR($B336="",NOT(ISNUMBER(P336))),"",IF(COUNTIF(Q336:$T336,P336)&gt;0,0,IF(COUNTIF($G336:$T336,"&gt;"&amp;P336)=0,"",SMALL($G336:$T336,COUNTIF($G336:$T336,"&lt;="&amp;P336)+1)-P336)))</f>
        <v/>
      </c>
      <c r="AN336">
        <f>IF(OR($B336="",NOT(ISNUMBER(Q336))),"",IF(COUNTIF(R336:$T336,Q336)&gt;0,0,IF(COUNTIF($G336:$T336,"&gt;"&amp;Q336)=0,"",SMALL($G336:$T336,COUNTIF($G336:$T336,"&lt;="&amp;Q336)+1)-Q336)))</f>
        <v>0</v>
      </c>
      <c r="AO336" t="str">
        <f>IF(OR($B336="",NOT(ISNUMBER(R336))),"",IF(COUNTIF(S336:$T336,R336)&gt;0,0,IF(COUNTIF($G336:$T336,"&gt;"&amp;R336)=0,"",SMALL($G336:$T336,COUNTIF($G336:$T336,"&lt;="&amp;R336)+1)-R336)))</f>
        <v/>
      </c>
      <c r="AP336">
        <f t="shared" ca="1" si="88"/>
        <v>0</v>
      </c>
      <c r="AQ336" s="25" t="str">
        <f t="shared" si="89"/>
        <v/>
      </c>
      <c r="AR336" s="25" t="str">
        <f t="shared" si="90"/>
        <v/>
      </c>
      <c r="AS336" s="25">
        <f t="shared" si="91"/>
        <v>46300</v>
      </c>
      <c r="AT336" s="25">
        <f t="shared" si="92"/>
        <v>46302</v>
      </c>
      <c r="AU336" s="25">
        <f t="shared" si="93"/>
        <v>46301</v>
      </c>
      <c r="AV336" s="25" t="str">
        <f t="shared" si="94"/>
        <v/>
      </c>
      <c r="AW336" s="25" t="str">
        <f t="shared" si="95"/>
        <v/>
      </c>
      <c r="AX336" s="25" t="str">
        <f t="shared" si="96"/>
        <v/>
      </c>
      <c r="AY336" s="25" t="str">
        <f t="shared" si="97"/>
        <v/>
      </c>
      <c r="AZ336" s="25" t="str">
        <f t="shared" si="98"/>
        <v/>
      </c>
      <c r="BA336" s="25">
        <f t="shared" si="99"/>
        <v>46302</v>
      </c>
      <c r="BB336" s="25" t="str">
        <f t="shared" si="100"/>
        <v/>
      </c>
      <c r="BC336" s="25">
        <f t="shared" si="101"/>
        <v>46302</v>
      </c>
    </row>
    <row r="337" spans="1:55" x14ac:dyDescent="0.25">
      <c r="A337" s="151">
        <f t="shared" si="86"/>
        <v>335</v>
      </c>
      <c r="B337" s="151" t="s">
        <v>530</v>
      </c>
      <c r="C337" s="152" t="s">
        <v>355</v>
      </c>
      <c r="D337" s="151">
        <f t="shared" si="85"/>
        <v>1</v>
      </c>
      <c r="E337" s="151" t="s">
        <v>61</v>
      </c>
      <c r="F337" s="173">
        <v>46300</v>
      </c>
      <c r="G337" s="173"/>
      <c r="H337" s="173"/>
      <c r="I337" s="173">
        <v>46300</v>
      </c>
      <c r="J337" s="173">
        <v>46301</v>
      </c>
      <c r="K337" s="173">
        <v>46300</v>
      </c>
      <c r="L337" s="173"/>
      <c r="M337" s="173"/>
      <c r="N337" s="173"/>
      <c r="O337" s="173"/>
      <c r="P337" s="173"/>
      <c r="Q337" s="173">
        <v>46302</v>
      </c>
      <c r="R337" s="173"/>
      <c r="S337" s="173"/>
      <c r="T337" s="174">
        <v>46302</v>
      </c>
      <c r="U337" s="151"/>
      <c r="V337" s="152"/>
      <c r="W337" s="175"/>
      <c r="X337" s="173"/>
      <c r="Y337" s="173"/>
      <c r="Z337" s="176" t="str">
        <f>IF(B337="","",IF(S337&lt;&gt;"","Sevk Edildi",IF(AND(X337&lt;&gt;"",Y337=""),"Reworkte",IF(T337&lt;&gt;"","Kapandı"&amp;IF(COUNT(G337:R337)=0,""," – "&amp;LOOKUP(2,1/(G337:R337=MAX(G337:R337)),{"Tasarım","Ply Cutter","Üretim","Kalite (Üretim sonrası)","Talaşlı","Kalite (Talaşlı sonrası)","Montaj","Kalite (Montaj sonrası)","Boya","Kalite (Boya sonrası)","Yarı Mamül","KM"})),IF(COUNT(G337:R337)=0,"Başlamadı",LOOKUP(2,1/(G337:R337=MAX(G337:R337)),{"Tasarımda","Ply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37" s="177">
        <f t="shared" ca="1" si="87"/>
        <v>2</v>
      </c>
      <c r="AB337" s="175"/>
      <c r="AD337" t="str">
        <f>IF(OR($B337="",NOT(ISNUMBER(G337))),"",IF(COUNTIF(H337:$T337,G337)&gt;0,0,IF(COUNTIF($G337:$T337,"&gt;"&amp;G337)=0,"",SMALL($G337:$T337,COUNTIF($G337:$T337,"&lt;="&amp;G337)+1)-G337)))</f>
        <v/>
      </c>
      <c r="AE337" t="str">
        <f>IF(OR($B337="",NOT(ISNUMBER(H337))),"",IF(COUNTIF(I337:$T337,H337)&gt;0,0,IF(COUNTIF($G337:$T337,"&gt;"&amp;H337)=0,"",SMALL($G337:$T337,COUNTIF($G337:$T337,"&lt;="&amp;H337)+1)-H337)))</f>
        <v/>
      </c>
      <c r="AF337">
        <f>IF(OR($B337="",NOT(ISNUMBER(I337))),"",IF(COUNTIF(J337:$T337,I337)&gt;0,0,IF(COUNTIF($G337:$T337,"&gt;"&amp;I337)=0,"",SMALL($G337:$T337,COUNTIF($G337:$T337,"&lt;="&amp;I337)+1)-I337)))</f>
        <v>0</v>
      </c>
      <c r="AG337">
        <f>IF(OR($B337="",NOT(ISNUMBER(J337))),"",IF(COUNTIF(K337:$T337,J337)&gt;0,0,IF(COUNTIF($G337:$T337,"&gt;"&amp;J337)=0,"",SMALL($G337:$T337,COUNTIF($G337:$T337,"&lt;="&amp;J337)+1)-J337)))</f>
        <v>1</v>
      </c>
      <c r="AH337">
        <f>IF(OR($B337="",NOT(ISNUMBER(K337))),"",IF(COUNTIF(L337:$T337,K337)&gt;0,0,IF(COUNTIF($G337:$T337,"&gt;"&amp;K337)=0,"",SMALL($G337:$T337,COUNTIF($G337:$T337,"&lt;="&amp;K337)+1)-K337)))</f>
        <v>1</v>
      </c>
      <c r="AI337" t="str">
        <f>IF(OR($B337="",NOT(ISNUMBER(L337))),"",IF(COUNTIF(M337:$T337,L337)&gt;0,0,IF(COUNTIF($G337:$T337,"&gt;"&amp;L337)=0,"",SMALL($G337:$T337,COUNTIF($G337:$T337,"&lt;="&amp;L337)+1)-L337)))</f>
        <v/>
      </c>
      <c r="AJ337" t="str">
        <f>IF(OR($B337="",NOT(ISNUMBER(M337))),"",IF(COUNTIF(N337:$T337,M337)&gt;0,0,IF(COUNTIF($G337:$T337,"&gt;"&amp;M337)=0,"",SMALL($G337:$T337,COUNTIF($G337:$T337,"&lt;="&amp;M337)+1)-M337)))</f>
        <v/>
      </c>
      <c r="AK337" t="str">
        <f>IF(OR($B337="",NOT(ISNUMBER(N337))),"",IF(COUNTIF(O337:$T337,N337)&gt;0,0,IF(COUNTIF($G337:$T337,"&gt;"&amp;N337)=0,"",SMALL($G337:$T337,COUNTIF($G337:$T337,"&lt;="&amp;N337)+1)-N337)))</f>
        <v/>
      </c>
      <c r="AL337" t="str">
        <f>IF(OR($B337="",NOT(ISNUMBER(O337))),"",IF(COUNTIF(P337:$T337,O337)&gt;0,0,IF(COUNTIF($G337:$T337,"&gt;"&amp;O337)=0,"",SMALL($G337:$T337,COUNTIF($G337:$T337,"&lt;="&amp;O337)+1)-O337)))</f>
        <v/>
      </c>
      <c r="AM337" t="str">
        <f>IF(OR($B337="",NOT(ISNUMBER(P337))),"",IF(COUNTIF(Q337:$T337,P337)&gt;0,0,IF(COUNTIF($G337:$T337,"&gt;"&amp;P337)=0,"",SMALL($G337:$T337,COUNTIF($G337:$T337,"&lt;="&amp;P337)+1)-P337)))</f>
        <v/>
      </c>
      <c r="AN337">
        <f>IF(OR($B337="",NOT(ISNUMBER(Q337))),"",IF(COUNTIF(R337:$T337,Q337)&gt;0,0,IF(COUNTIF($G337:$T337,"&gt;"&amp;Q337)=0,"",SMALL($G337:$T337,COUNTIF($G337:$T337,"&lt;="&amp;Q337)+1)-Q337)))</f>
        <v>0</v>
      </c>
      <c r="AO337" t="str">
        <f>IF(OR($B337="",NOT(ISNUMBER(R337))),"",IF(COUNTIF(S337:$T337,R337)&gt;0,0,IF(COUNTIF($G337:$T337,"&gt;"&amp;R337)=0,"",SMALL($G337:$T337,COUNTIF($G337:$T337,"&lt;="&amp;R337)+1)-R337)))</f>
        <v/>
      </c>
      <c r="AP337">
        <f t="shared" ca="1" si="88"/>
        <v>0</v>
      </c>
      <c r="AQ337" s="25" t="str">
        <f t="shared" si="89"/>
        <v/>
      </c>
      <c r="AR337" s="25" t="str">
        <f t="shared" si="90"/>
        <v/>
      </c>
      <c r="AS337" s="25">
        <f t="shared" si="91"/>
        <v>46300</v>
      </c>
      <c r="AT337" s="25">
        <f t="shared" si="92"/>
        <v>46302</v>
      </c>
      <c r="AU337" s="25">
        <f t="shared" si="93"/>
        <v>46301</v>
      </c>
      <c r="AV337" s="25" t="str">
        <f t="shared" si="94"/>
        <v/>
      </c>
      <c r="AW337" s="25" t="str">
        <f t="shared" si="95"/>
        <v/>
      </c>
      <c r="AX337" s="25" t="str">
        <f t="shared" si="96"/>
        <v/>
      </c>
      <c r="AY337" s="25" t="str">
        <f t="shared" si="97"/>
        <v/>
      </c>
      <c r="AZ337" s="25" t="str">
        <f t="shared" si="98"/>
        <v/>
      </c>
      <c r="BA337" s="25">
        <f t="shared" si="99"/>
        <v>46302</v>
      </c>
      <c r="BB337" s="25" t="str">
        <f t="shared" si="100"/>
        <v/>
      </c>
      <c r="BC337" s="25">
        <f t="shared" si="101"/>
        <v>46302</v>
      </c>
    </row>
    <row r="338" spans="1:55" x14ac:dyDescent="0.25">
      <c r="A338" s="151">
        <f t="shared" si="86"/>
        <v>336</v>
      </c>
      <c r="B338" s="151" t="s">
        <v>531</v>
      </c>
      <c r="C338" s="152" t="s">
        <v>72</v>
      </c>
      <c r="D338" s="151">
        <f t="shared" si="85"/>
        <v>1</v>
      </c>
      <c r="E338" s="151" t="s">
        <v>61</v>
      </c>
      <c r="F338" s="173">
        <v>46300</v>
      </c>
      <c r="G338" s="173"/>
      <c r="H338" s="173"/>
      <c r="I338" s="173">
        <v>46300</v>
      </c>
      <c r="J338" s="173">
        <v>46301</v>
      </c>
      <c r="K338" s="173"/>
      <c r="L338" s="173"/>
      <c r="M338" s="173"/>
      <c r="N338" s="173"/>
      <c r="O338" s="173"/>
      <c r="P338" s="173"/>
      <c r="Q338" s="173"/>
      <c r="R338" s="173"/>
      <c r="S338" s="173"/>
      <c r="T338" s="174">
        <v>46301</v>
      </c>
      <c r="U338" s="151"/>
      <c r="V338" s="152"/>
      <c r="W338" s="175"/>
      <c r="X338" s="173"/>
      <c r="Y338" s="173"/>
      <c r="Z338" s="176" t="str">
        <f>IF(B338="","",IF(S338&lt;&gt;"","Sevk Edildi",IF(AND(X338&lt;&gt;"",Y338=""),"Reworkte",IF(T338&lt;&gt;"","Kapandı"&amp;IF(COUNT(G338:R338)=0,""," – "&amp;LOOKUP(2,1/(G338:R338=MAX(G338:R338)),{"Tasarım","Ply Cutter","Üretim","Kalite (Üretim sonrası)","Talaşlı","Kalite (Talaşlı sonrası)","Montaj","Kalite (Montaj sonrası)","Boya","Kalite (Boya sonrası)","Yarı Mamül","KM"})),IF(COUNT(G338:R338)=0,"Başlamadı",LOOKUP(2,1/(G338:R338=MAX(G338:R338)),{"Tasarımda","Ply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38" s="177">
        <f t="shared" ca="1" si="87"/>
        <v>1</v>
      </c>
      <c r="AB338" s="175"/>
      <c r="AD338" t="str">
        <f>IF(OR($B338="",NOT(ISNUMBER(G338))),"",IF(COUNTIF(H338:$T338,G338)&gt;0,0,IF(COUNTIF($G338:$T338,"&gt;"&amp;G338)=0,"",SMALL($G338:$T338,COUNTIF($G338:$T338,"&lt;="&amp;G338)+1)-G338)))</f>
        <v/>
      </c>
      <c r="AE338" t="str">
        <f>IF(OR($B338="",NOT(ISNUMBER(H338))),"",IF(COUNTIF(I338:$T338,H338)&gt;0,0,IF(COUNTIF($G338:$T338,"&gt;"&amp;H338)=0,"",SMALL($G338:$T338,COUNTIF($G338:$T338,"&lt;="&amp;H338)+1)-H338)))</f>
        <v/>
      </c>
      <c r="AF338">
        <f>IF(OR($B338="",NOT(ISNUMBER(I338))),"",IF(COUNTIF(J338:$T338,I338)&gt;0,0,IF(COUNTIF($G338:$T338,"&gt;"&amp;I338)=0,"",SMALL($G338:$T338,COUNTIF($G338:$T338,"&lt;="&amp;I338)+1)-I338)))</f>
        <v>1</v>
      </c>
      <c r="AG338">
        <f>IF(OR($B338="",NOT(ISNUMBER(J338))),"",IF(COUNTIF(K338:$T338,J338)&gt;0,0,IF(COUNTIF($G338:$T338,"&gt;"&amp;J338)=0,"",SMALL($G338:$T338,COUNTIF($G338:$T338,"&lt;="&amp;J338)+1)-J338)))</f>
        <v>0</v>
      </c>
      <c r="AH338" t="str">
        <f>IF(OR($B338="",NOT(ISNUMBER(K338))),"",IF(COUNTIF(L338:$T338,K338)&gt;0,0,IF(COUNTIF($G338:$T338,"&gt;"&amp;K338)=0,"",SMALL($G338:$T338,COUNTIF($G338:$T338,"&lt;="&amp;K338)+1)-K338)))</f>
        <v/>
      </c>
      <c r="AI338" t="str">
        <f>IF(OR($B338="",NOT(ISNUMBER(L338))),"",IF(COUNTIF(M338:$T338,L338)&gt;0,0,IF(COUNTIF($G338:$T338,"&gt;"&amp;L338)=0,"",SMALL($G338:$T338,COUNTIF($G338:$T338,"&lt;="&amp;L338)+1)-L338)))</f>
        <v/>
      </c>
      <c r="AJ338" t="str">
        <f>IF(OR($B338="",NOT(ISNUMBER(M338))),"",IF(COUNTIF(N338:$T338,M338)&gt;0,0,IF(COUNTIF($G338:$T338,"&gt;"&amp;M338)=0,"",SMALL($G338:$T338,COUNTIF($G338:$T338,"&lt;="&amp;M338)+1)-M338)))</f>
        <v/>
      </c>
      <c r="AK338" t="str">
        <f>IF(OR($B338="",NOT(ISNUMBER(N338))),"",IF(COUNTIF(O338:$T338,N338)&gt;0,0,IF(COUNTIF($G338:$T338,"&gt;"&amp;N338)=0,"",SMALL($G338:$T338,COUNTIF($G338:$T338,"&lt;="&amp;N338)+1)-N338)))</f>
        <v/>
      </c>
      <c r="AL338" t="str">
        <f>IF(OR($B338="",NOT(ISNUMBER(O338))),"",IF(COUNTIF(P338:$T338,O338)&gt;0,0,IF(COUNTIF($G338:$T338,"&gt;"&amp;O338)=0,"",SMALL($G338:$T338,COUNTIF($G338:$T338,"&lt;="&amp;O338)+1)-O338)))</f>
        <v/>
      </c>
      <c r="AM338" t="str">
        <f>IF(OR($B338="",NOT(ISNUMBER(P338))),"",IF(COUNTIF(Q338:$T338,P338)&gt;0,0,IF(COUNTIF($G338:$T338,"&gt;"&amp;P338)=0,"",SMALL($G338:$T338,COUNTIF($G338:$T338,"&lt;="&amp;P338)+1)-P338)))</f>
        <v/>
      </c>
      <c r="AN338" t="str">
        <f>IF(OR($B338="",NOT(ISNUMBER(Q338))),"",IF(COUNTIF(R338:$T338,Q338)&gt;0,0,IF(COUNTIF($G338:$T338,"&gt;"&amp;Q338)=0,"",SMALL($G338:$T338,COUNTIF($G338:$T338,"&lt;="&amp;Q338)+1)-Q338)))</f>
        <v/>
      </c>
      <c r="AO338" t="str">
        <f>IF(OR($B338="",NOT(ISNUMBER(R338))),"",IF(COUNTIF(S338:$T338,R338)&gt;0,0,IF(COUNTIF($G338:$T338,"&gt;"&amp;R338)=0,"",SMALL($G338:$T338,COUNTIF($G338:$T338,"&lt;="&amp;R338)+1)-R338)))</f>
        <v/>
      </c>
      <c r="AP338">
        <f t="shared" ca="1" si="88"/>
        <v>0</v>
      </c>
      <c r="AQ338" s="25" t="str">
        <f t="shared" si="89"/>
        <v/>
      </c>
      <c r="AR338" s="25" t="str">
        <f t="shared" si="90"/>
        <v/>
      </c>
      <c r="AS338" s="25">
        <f t="shared" si="91"/>
        <v>46301</v>
      </c>
      <c r="AT338" s="25">
        <f t="shared" si="92"/>
        <v>46301</v>
      </c>
      <c r="AU338" s="25" t="str">
        <f t="shared" si="93"/>
        <v/>
      </c>
      <c r="AV338" s="25" t="str">
        <f t="shared" si="94"/>
        <v/>
      </c>
      <c r="AW338" s="25" t="str">
        <f t="shared" si="95"/>
        <v/>
      </c>
      <c r="AX338" s="25" t="str">
        <f t="shared" si="96"/>
        <v/>
      </c>
      <c r="AY338" s="25" t="str">
        <f t="shared" si="97"/>
        <v/>
      </c>
      <c r="AZ338" s="25" t="str">
        <f t="shared" si="98"/>
        <v/>
      </c>
      <c r="BA338" s="25" t="str">
        <f t="shared" si="99"/>
        <v/>
      </c>
      <c r="BB338" s="25" t="str">
        <f t="shared" si="100"/>
        <v/>
      </c>
      <c r="BC338" s="25">
        <f t="shared" si="101"/>
        <v>46301</v>
      </c>
    </row>
    <row r="339" spans="1:55" x14ac:dyDescent="0.25">
      <c r="A339" s="151">
        <f t="shared" si="86"/>
        <v>337</v>
      </c>
      <c r="B339" s="151" t="s">
        <v>532</v>
      </c>
      <c r="C339" s="152" t="s">
        <v>186</v>
      </c>
      <c r="D339" s="151">
        <f t="shared" si="85"/>
        <v>1</v>
      </c>
      <c r="E339" s="151" t="s">
        <v>61</v>
      </c>
      <c r="F339" s="173">
        <v>46300</v>
      </c>
      <c r="G339" s="173"/>
      <c r="H339" s="173"/>
      <c r="I339" s="173">
        <v>46298</v>
      </c>
      <c r="J339" s="173">
        <v>46301</v>
      </c>
      <c r="K339" s="173"/>
      <c r="L339" s="173"/>
      <c r="M339" s="173"/>
      <c r="N339" s="173"/>
      <c r="O339" s="173"/>
      <c r="P339" s="173"/>
      <c r="Q339" s="173">
        <v>46302</v>
      </c>
      <c r="R339" s="173"/>
      <c r="S339" s="173"/>
      <c r="T339" s="174">
        <v>46302</v>
      </c>
      <c r="U339" s="151"/>
      <c r="V339" s="152"/>
      <c r="W339" s="175"/>
      <c r="X339" s="173"/>
      <c r="Y339" s="173"/>
      <c r="Z339" s="176" t="str">
        <f>IF(B339="","",IF(S339&lt;&gt;"","Sevk Edildi",IF(AND(X339&lt;&gt;"",Y339=""),"Reworkte",IF(T339&lt;&gt;"","Kapandı"&amp;IF(COUNT(G339:R339)=0,""," – "&amp;LOOKUP(2,1/(G339:R339=MAX(G339:R339)),{"Tasarım","Ply Cutter","Üretim","Kalite (Üretim sonrası)","Talaşlı","Kalite (Talaşlı sonrası)","Montaj","Kalite (Montaj sonrası)","Boya","Kalite (Boya sonrası)","Yarı Mamül","KM"})),IF(COUNT(G339:R339)=0,"Başlamadı",LOOKUP(2,1/(G339:R339=MAX(G339:R339)),{"Tasarımda","Ply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39" s="177">
        <f t="shared" ca="1" si="87"/>
        <v>2</v>
      </c>
      <c r="AB339" s="175"/>
      <c r="AD339" t="str">
        <f>IF(OR($B339="",NOT(ISNUMBER(G339))),"",IF(COUNTIF(H339:$T339,G339)&gt;0,0,IF(COUNTIF($G339:$T339,"&gt;"&amp;G339)=0,"",SMALL($G339:$T339,COUNTIF($G339:$T339,"&lt;="&amp;G339)+1)-G339)))</f>
        <v/>
      </c>
      <c r="AE339" t="str">
        <f>IF(OR($B339="",NOT(ISNUMBER(H339))),"",IF(COUNTIF(I339:$T339,H339)&gt;0,0,IF(COUNTIF($G339:$T339,"&gt;"&amp;H339)=0,"",SMALL($G339:$T339,COUNTIF($G339:$T339,"&lt;="&amp;H339)+1)-H339)))</f>
        <v/>
      </c>
      <c r="AF339">
        <f>IF(OR($B339="",NOT(ISNUMBER(I339))),"",IF(COUNTIF(J339:$T339,I339)&gt;0,0,IF(COUNTIF($G339:$T339,"&gt;"&amp;I339)=0,"",SMALL($G339:$T339,COUNTIF($G339:$T339,"&lt;="&amp;I339)+1)-I339)))</f>
        <v>3</v>
      </c>
      <c r="AG339">
        <f>IF(OR($B339="",NOT(ISNUMBER(J339))),"",IF(COUNTIF(K339:$T339,J339)&gt;0,0,IF(COUNTIF($G339:$T339,"&gt;"&amp;J339)=0,"",SMALL($G339:$T339,COUNTIF($G339:$T339,"&lt;="&amp;J339)+1)-J339)))</f>
        <v>1</v>
      </c>
      <c r="AH339" t="str">
        <f>IF(OR($B339="",NOT(ISNUMBER(K339))),"",IF(COUNTIF(L339:$T339,K339)&gt;0,0,IF(COUNTIF($G339:$T339,"&gt;"&amp;K339)=0,"",SMALL($G339:$T339,COUNTIF($G339:$T339,"&lt;="&amp;K339)+1)-K339)))</f>
        <v/>
      </c>
      <c r="AI339" t="str">
        <f>IF(OR($B339="",NOT(ISNUMBER(L339))),"",IF(COUNTIF(M339:$T339,L339)&gt;0,0,IF(COUNTIF($G339:$T339,"&gt;"&amp;L339)=0,"",SMALL($G339:$T339,COUNTIF($G339:$T339,"&lt;="&amp;L339)+1)-L339)))</f>
        <v/>
      </c>
      <c r="AJ339" t="str">
        <f>IF(OR($B339="",NOT(ISNUMBER(M339))),"",IF(COUNTIF(N339:$T339,M339)&gt;0,0,IF(COUNTIF($G339:$T339,"&gt;"&amp;M339)=0,"",SMALL($G339:$T339,COUNTIF($G339:$T339,"&lt;="&amp;M339)+1)-M339)))</f>
        <v/>
      </c>
      <c r="AK339" t="str">
        <f>IF(OR($B339="",NOT(ISNUMBER(N339))),"",IF(COUNTIF(O339:$T339,N339)&gt;0,0,IF(COUNTIF($G339:$T339,"&gt;"&amp;N339)=0,"",SMALL($G339:$T339,COUNTIF($G339:$T339,"&lt;="&amp;N339)+1)-N339)))</f>
        <v/>
      </c>
      <c r="AL339" t="str">
        <f>IF(OR($B339="",NOT(ISNUMBER(O339))),"",IF(COUNTIF(P339:$T339,O339)&gt;0,0,IF(COUNTIF($G339:$T339,"&gt;"&amp;O339)=0,"",SMALL($G339:$T339,COUNTIF($G339:$T339,"&lt;="&amp;O339)+1)-O339)))</f>
        <v/>
      </c>
      <c r="AM339" t="str">
        <f>IF(OR($B339="",NOT(ISNUMBER(P339))),"",IF(COUNTIF(Q339:$T339,P339)&gt;0,0,IF(COUNTIF($G339:$T339,"&gt;"&amp;P339)=0,"",SMALL($G339:$T339,COUNTIF($G339:$T339,"&lt;="&amp;P339)+1)-P339)))</f>
        <v/>
      </c>
      <c r="AN339">
        <f>IF(OR($B339="",NOT(ISNUMBER(Q339))),"",IF(COUNTIF(R339:$T339,Q339)&gt;0,0,IF(COUNTIF($G339:$T339,"&gt;"&amp;Q339)=0,"",SMALL($G339:$T339,COUNTIF($G339:$T339,"&lt;="&amp;Q339)+1)-Q339)))</f>
        <v>0</v>
      </c>
      <c r="AO339" t="str">
        <f>IF(OR($B339="",NOT(ISNUMBER(R339))),"",IF(COUNTIF(S339:$T339,R339)&gt;0,0,IF(COUNTIF($G339:$T339,"&gt;"&amp;R339)=0,"",SMALL($G339:$T339,COUNTIF($G339:$T339,"&lt;="&amp;R339)+1)-R339)))</f>
        <v/>
      </c>
      <c r="AP339">
        <f t="shared" ca="1" si="88"/>
        <v>0</v>
      </c>
      <c r="AQ339" s="25" t="str">
        <f t="shared" si="89"/>
        <v/>
      </c>
      <c r="AR339" s="25" t="str">
        <f t="shared" si="90"/>
        <v/>
      </c>
      <c r="AS339" s="25">
        <f t="shared" si="91"/>
        <v>46301</v>
      </c>
      <c r="AT339" s="25">
        <f t="shared" si="92"/>
        <v>46302</v>
      </c>
      <c r="AU339" s="25" t="str">
        <f t="shared" si="93"/>
        <v/>
      </c>
      <c r="AV339" s="25" t="str">
        <f t="shared" si="94"/>
        <v/>
      </c>
      <c r="AW339" s="25" t="str">
        <f t="shared" si="95"/>
        <v/>
      </c>
      <c r="AX339" s="25" t="str">
        <f t="shared" si="96"/>
        <v/>
      </c>
      <c r="AY339" s="25" t="str">
        <f t="shared" si="97"/>
        <v/>
      </c>
      <c r="AZ339" s="25" t="str">
        <f t="shared" si="98"/>
        <v/>
      </c>
      <c r="BA339" s="25">
        <f t="shared" si="99"/>
        <v>46302</v>
      </c>
      <c r="BB339" s="25" t="str">
        <f t="shared" si="100"/>
        <v/>
      </c>
      <c r="BC339" s="25">
        <f t="shared" si="101"/>
        <v>46302</v>
      </c>
    </row>
    <row r="340" spans="1:55" x14ac:dyDescent="0.25">
      <c r="A340" s="151">
        <f t="shared" si="86"/>
        <v>338</v>
      </c>
      <c r="B340" s="151" t="s">
        <v>533</v>
      </c>
      <c r="C340" s="152" t="s">
        <v>121</v>
      </c>
      <c r="D340" s="151">
        <f t="shared" si="85"/>
        <v>1</v>
      </c>
      <c r="E340" s="151" t="s">
        <v>61</v>
      </c>
      <c r="F340" s="173">
        <v>46300</v>
      </c>
      <c r="G340" s="173"/>
      <c r="H340" s="173"/>
      <c r="I340" s="173">
        <v>46298</v>
      </c>
      <c r="J340" s="173">
        <v>46305</v>
      </c>
      <c r="K340" s="173"/>
      <c r="L340" s="173"/>
      <c r="M340" s="173"/>
      <c r="N340" s="173"/>
      <c r="O340" s="173"/>
      <c r="P340" s="173"/>
      <c r="Q340" s="173"/>
      <c r="R340" s="173"/>
      <c r="S340" s="173"/>
      <c r="T340" s="174">
        <v>46305</v>
      </c>
      <c r="U340" s="151"/>
      <c r="V340" s="152"/>
      <c r="W340" s="175"/>
      <c r="X340" s="173"/>
      <c r="Y340" s="173"/>
      <c r="Z340" s="176" t="str">
        <f>IF(B340="","",IF(S340&lt;&gt;"","Sevk Edildi",IF(AND(X340&lt;&gt;"",Y340=""),"Reworkte",IF(T340&lt;&gt;"","Kapandı"&amp;IF(COUNT(G340:R340)=0,""," – "&amp;LOOKUP(2,1/(G340:R340=MAX(G340:R340)),{"Tasarım","Ply Cutter","Üretim","Kalite (Üretim sonrası)","Talaşlı","Kalite (Talaşlı sonrası)","Montaj","Kalite (Montaj sonrası)","Boya","Kalite (Boya sonrası)","Yarı Mamül","KM"})),IF(COUNT(G340:R340)=0,"Başlamadı",LOOKUP(2,1/(G340:R340=MAX(G340:R340)),{"Tasarımda","Ply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40" s="177">
        <f t="shared" ca="1" si="87"/>
        <v>5</v>
      </c>
      <c r="AB340" s="175"/>
      <c r="AD340" t="str">
        <f>IF(OR($B340="",NOT(ISNUMBER(G340))),"",IF(COUNTIF(H340:$T340,G340)&gt;0,0,IF(COUNTIF($G340:$T340,"&gt;"&amp;G340)=0,"",SMALL($G340:$T340,COUNTIF($G340:$T340,"&lt;="&amp;G340)+1)-G340)))</f>
        <v/>
      </c>
      <c r="AE340" t="str">
        <f>IF(OR($B340="",NOT(ISNUMBER(H340))),"",IF(COUNTIF(I340:$T340,H340)&gt;0,0,IF(COUNTIF($G340:$T340,"&gt;"&amp;H340)=0,"",SMALL($G340:$T340,COUNTIF($G340:$T340,"&lt;="&amp;H340)+1)-H340)))</f>
        <v/>
      </c>
      <c r="AF340">
        <f>IF(OR($B340="",NOT(ISNUMBER(I340))),"",IF(COUNTIF(J340:$T340,I340)&gt;0,0,IF(COUNTIF($G340:$T340,"&gt;"&amp;I340)=0,"",SMALL($G340:$T340,COUNTIF($G340:$T340,"&lt;="&amp;I340)+1)-I340)))</f>
        <v>7</v>
      </c>
      <c r="AG340">
        <f>IF(OR($B340="",NOT(ISNUMBER(J340))),"",IF(COUNTIF(K340:$T340,J340)&gt;0,0,IF(COUNTIF($G340:$T340,"&gt;"&amp;J340)=0,"",SMALL($G340:$T340,COUNTIF($G340:$T340,"&lt;="&amp;J340)+1)-J340)))</f>
        <v>0</v>
      </c>
      <c r="AH340" t="str">
        <f>IF(OR($B340="",NOT(ISNUMBER(K340))),"",IF(COUNTIF(L340:$T340,K340)&gt;0,0,IF(COUNTIF($G340:$T340,"&gt;"&amp;K340)=0,"",SMALL($G340:$T340,COUNTIF($G340:$T340,"&lt;="&amp;K340)+1)-K340)))</f>
        <v/>
      </c>
      <c r="AI340" t="str">
        <f>IF(OR($B340="",NOT(ISNUMBER(L340))),"",IF(COUNTIF(M340:$T340,L340)&gt;0,0,IF(COUNTIF($G340:$T340,"&gt;"&amp;L340)=0,"",SMALL($G340:$T340,COUNTIF($G340:$T340,"&lt;="&amp;L340)+1)-L340)))</f>
        <v/>
      </c>
      <c r="AJ340" t="str">
        <f>IF(OR($B340="",NOT(ISNUMBER(M340))),"",IF(COUNTIF(N340:$T340,M340)&gt;0,0,IF(COUNTIF($G340:$T340,"&gt;"&amp;M340)=0,"",SMALL($G340:$T340,COUNTIF($G340:$T340,"&lt;="&amp;M340)+1)-M340)))</f>
        <v/>
      </c>
      <c r="AK340" t="str">
        <f>IF(OR($B340="",NOT(ISNUMBER(N340))),"",IF(COUNTIF(O340:$T340,N340)&gt;0,0,IF(COUNTIF($G340:$T340,"&gt;"&amp;N340)=0,"",SMALL($G340:$T340,COUNTIF($G340:$T340,"&lt;="&amp;N340)+1)-N340)))</f>
        <v/>
      </c>
      <c r="AL340" t="str">
        <f>IF(OR($B340="",NOT(ISNUMBER(O340))),"",IF(COUNTIF(P340:$T340,O340)&gt;0,0,IF(COUNTIF($G340:$T340,"&gt;"&amp;O340)=0,"",SMALL($G340:$T340,COUNTIF($G340:$T340,"&lt;="&amp;O340)+1)-O340)))</f>
        <v/>
      </c>
      <c r="AM340" t="str">
        <f>IF(OR($B340="",NOT(ISNUMBER(P340))),"",IF(COUNTIF(Q340:$T340,P340)&gt;0,0,IF(COUNTIF($G340:$T340,"&gt;"&amp;P340)=0,"",SMALL($G340:$T340,COUNTIF($G340:$T340,"&lt;="&amp;P340)+1)-P340)))</f>
        <v/>
      </c>
      <c r="AN340" t="str">
        <f>IF(OR($B340="",NOT(ISNUMBER(Q340))),"",IF(COUNTIF(R340:$T340,Q340)&gt;0,0,IF(COUNTIF($G340:$T340,"&gt;"&amp;Q340)=0,"",SMALL($G340:$T340,COUNTIF($G340:$T340,"&lt;="&amp;Q340)+1)-Q340)))</f>
        <v/>
      </c>
      <c r="AO340" t="str">
        <f>IF(OR($B340="",NOT(ISNUMBER(R340))),"",IF(COUNTIF(S340:$T340,R340)&gt;0,0,IF(COUNTIF($G340:$T340,"&gt;"&amp;R340)=0,"",SMALL($G340:$T340,COUNTIF($G340:$T340,"&lt;="&amp;R340)+1)-R340)))</f>
        <v/>
      </c>
      <c r="AP340">
        <f t="shared" ca="1" si="88"/>
        <v>0</v>
      </c>
      <c r="AQ340" s="25" t="str">
        <f t="shared" si="89"/>
        <v/>
      </c>
      <c r="AR340" s="25" t="str">
        <f t="shared" si="90"/>
        <v/>
      </c>
      <c r="AS340" s="25">
        <f t="shared" si="91"/>
        <v>46305</v>
      </c>
      <c r="AT340" s="25">
        <f t="shared" si="92"/>
        <v>46305</v>
      </c>
      <c r="AU340" s="25" t="str">
        <f t="shared" si="93"/>
        <v/>
      </c>
      <c r="AV340" s="25" t="str">
        <f t="shared" si="94"/>
        <v/>
      </c>
      <c r="AW340" s="25" t="str">
        <f t="shared" si="95"/>
        <v/>
      </c>
      <c r="AX340" s="25" t="str">
        <f t="shared" si="96"/>
        <v/>
      </c>
      <c r="AY340" s="25" t="str">
        <f t="shared" si="97"/>
        <v/>
      </c>
      <c r="AZ340" s="25" t="str">
        <f t="shared" si="98"/>
        <v/>
      </c>
      <c r="BA340" s="25" t="str">
        <f t="shared" si="99"/>
        <v/>
      </c>
      <c r="BB340" s="25" t="str">
        <f t="shared" si="100"/>
        <v/>
      </c>
      <c r="BC340" s="25">
        <f t="shared" si="101"/>
        <v>46305</v>
      </c>
    </row>
    <row r="341" spans="1:55" x14ac:dyDescent="0.25">
      <c r="A341" s="151">
        <f t="shared" si="86"/>
        <v>339</v>
      </c>
      <c r="B341" s="151" t="s">
        <v>534</v>
      </c>
      <c r="C341" s="152" t="s">
        <v>535</v>
      </c>
      <c r="D341" s="151">
        <f t="shared" si="85"/>
        <v>3</v>
      </c>
      <c r="E341" s="151" t="s">
        <v>61</v>
      </c>
      <c r="F341" s="173">
        <v>46300</v>
      </c>
      <c r="G341" s="173"/>
      <c r="H341" s="173"/>
      <c r="I341" s="173">
        <v>46300</v>
      </c>
      <c r="J341" s="173">
        <v>46301</v>
      </c>
      <c r="K341" s="173"/>
      <c r="L341" s="173"/>
      <c r="M341" s="173"/>
      <c r="N341" s="173"/>
      <c r="O341" s="173"/>
      <c r="P341" s="173"/>
      <c r="Q341" s="173">
        <v>46302</v>
      </c>
      <c r="R341" s="173"/>
      <c r="S341" s="173"/>
      <c r="T341" s="174">
        <v>46302</v>
      </c>
      <c r="U341" s="151"/>
      <c r="V341" s="152"/>
      <c r="W341" s="175"/>
      <c r="X341" s="173"/>
      <c r="Y341" s="173"/>
      <c r="Z341" s="176" t="str">
        <f>IF(B341="","",IF(S341&lt;&gt;"","Sevk Edildi",IF(AND(X341&lt;&gt;"",Y341=""),"Reworkte",IF(T341&lt;&gt;"","Kapandı"&amp;IF(COUNT(G341:R341)=0,""," – "&amp;LOOKUP(2,1/(G341:R341=MAX(G341:R341)),{"Tasarım","Ply Cutter","Üretim","Kalite (Üretim sonrası)","Talaşlı","Kalite (Talaşlı sonrası)","Montaj","Kalite (Montaj sonrası)","Boya","Kalite (Boya sonrası)","Yarı Mamül","KM"})),IF(COUNT(G341:R341)=0,"Başlamadı",LOOKUP(2,1/(G341:R341=MAX(G341:R341)),{"Tasarımda","Ply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41" s="177">
        <f t="shared" ca="1" si="87"/>
        <v>2</v>
      </c>
      <c r="AB341" s="175"/>
      <c r="AD341" t="str">
        <f>IF(OR($B341="",NOT(ISNUMBER(G341))),"",IF(COUNTIF(H341:$T341,G341)&gt;0,0,IF(COUNTIF($G341:$T341,"&gt;"&amp;G341)=0,"",SMALL($G341:$T341,COUNTIF($G341:$T341,"&lt;="&amp;G341)+1)-G341)))</f>
        <v/>
      </c>
      <c r="AE341" t="str">
        <f>IF(OR($B341="",NOT(ISNUMBER(H341))),"",IF(COUNTIF(I341:$T341,H341)&gt;0,0,IF(COUNTIF($G341:$T341,"&gt;"&amp;H341)=0,"",SMALL($G341:$T341,COUNTIF($G341:$T341,"&lt;="&amp;H341)+1)-H341)))</f>
        <v/>
      </c>
      <c r="AF341">
        <f>IF(OR($B341="",NOT(ISNUMBER(I341))),"",IF(COUNTIF(J341:$T341,I341)&gt;0,0,IF(COUNTIF($G341:$T341,"&gt;"&amp;I341)=0,"",SMALL($G341:$T341,COUNTIF($G341:$T341,"&lt;="&amp;I341)+1)-I341)))</f>
        <v>1</v>
      </c>
      <c r="AG341">
        <f>IF(OR($B341="",NOT(ISNUMBER(J341))),"",IF(COUNTIF(K341:$T341,J341)&gt;0,0,IF(COUNTIF($G341:$T341,"&gt;"&amp;J341)=0,"",SMALL($G341:$T341,COUNTIF($G341:$T341,"&lt;="&amp;J341)+1)-J341)))</f>
        <v>1</v>
      </c>
      <c r="AH341" t="str">
        <f>IF(OR($B341="",NOT(ISNUMBER(K341))),"",IF(COUNTIF(L341:$T341,K341)&gt;0,0,IF(COUNTIF($G341:$T341,"&gt;"&amp;K341)=0,"",SMALL($G341:$T341,COUNTIF($G341:$T341,"&lt;="&amp;K341)+1)-K341)))</f>
        <v/>
      </c>
      <c r="AI341" t="str">
        <f>IF(OR($B341="",NOT(ISNUMBER(L341))),"",IF(COUNTIF(M341:$T341,L341)&gt;0,0,IF(COUNTIF($G341:$T341,"&gt;"&amp;L341)=0,"",SMALL($G341:$T341,COUNTIF($G341:$T341,"&lt;="&amp;L341)+1)-L341)))</f>
        <v/>
      </c>
      <c r="AJ341" t="str">
        <f>IF(OR($B341="",NOT(ISNUMBER(M341))),"",IF(COUNTIF(N341:$T341,M341)&gt;0,0,IF(COUNTIF($G341:$T341,"&gt;"&amp;M341)=0,"",SMALL($G341:$T341,COUNTIF($G341:$T341,"&lt;="&amp;M341)+1)-M341)))</f>
        <v/>
      </c>
      <c r="AK341" t="str">
        <f>IF(OR($B341="",NOT(ISNUMBER(N341))),"",IF(COUNTIF(O341:$T341,N341)&gt;0,0,IF(COUNTIF($G341:$T341,"&gt;"&amp;N341)=0,"",SMALL($G341:$T341,COUNTIF($G341:$T341,"&lt;="&amp;N341)+1)-N341)))</f>
        <v/>
      </c>
      <c r="AL341" t="str">
        <f>IF(OR($B341="",NOT(ISNUMBER(O341))),"",IF(COUNTIF(P341:$T341,O341)&gt;0,0,IF(COUNTIF($G341:$T341,"&gt;"&amp;O341)=0,"",SMALL($G341:$T341,COUNTIF($G341:$T341,"&lt;="&amp;O341)+1)-O341)))</f>
        <v/>
      </c>
      <c r="AM341" t="str">
        <f>IF(OR($B341="",NOT(ISNUMBER(P341))),"",IF(COUNTIF(Q341:$T341,P341)&gt;0,0,IF(COUNTIF($G341:$T341,"&gt;"&amp;P341)=0,"",SMALL($G341:$T341,COUNTIF($G341:$T341,"&lt;="&amp;P341)+1)-P341)))</f>
        <v/>
      </c>
      <c r="AN341">
        <f>IF(OR($B341="",NOT(ISNUMBER(Q341))),"",IF(COUNTIF(R341:$T341,Q341)&gt;0,0,IF(COUNTIF($G341:$T341,"&gt;"&amp;Q341)=0,"",SMALL($G341:$T341,COUNTIF($G341:$T341,"&lt;="&amp;Q341)+1)-Q341)))</f>
        <v>0</v>
      </c>
      <c r="AO341" t="str">
        <f>IF(OR($B341="",NOT(ISNUMBER(R341))),"",IF(COUNTIF(S341:$T341,R341)&gt;0,0,IF(COUNTIF($G341:$T341,"&gt;"&amp;R341)=0,"",SMALL($G341:$T341,COUNTIF($G341:$T341,"&lt;="&amp;R341)+1)-R341)))</f>
        <v/>
      </c>
      <c r="AP341">
        <f t="shared" ca="1" si="88"/>
        <v>0</v>
      </c>
      <c r="AQ341" s="25" t="str">
        <f t="shared" si="89"/>
        <v/>
      </c>
      <c r="AR341" s="25" t="str">
        <f t="shared" si="90"/>
        <v/>
      </c>
      <c r="AS341" s="25">
        <f t="shared" si="91"/>
        <v>46301</v>
      </c>
      <c r="AT341" s="25">
        <f t="shared" si="92"/>
        <v>46302</v>
      </c>
      <c r="AU341" s="25" t="str">
        <f t="shared" si="93"/>
        <v/>
      </c>
      <c r="AV341" s="25" t="str">
        <f t="shared" si="94"/>
        <v/>
      </c>
      <c r="AW341" s="25" t="str">
        <f t="shared" si="95"/>
        <v/>
      </c>
      <c r="AX341" s="25" t="str">
        <f t="shared" si="96"/>
        <v/>
      </c>
      <c r="AY341" s="25" t="str">
        <f t="shared" si="97"/>
        <v/>
      </c>
      <c r="AZ341" s="25" t="str">
        <f t="shared" si="98"/>
        <v/>
      </c>
      <c r="BA341" s="25">
        <f t="shared" si="99"/>
        <v>46302</v>
      </c>
      <c r="BB341" s="25" t="str">
        <f t="shared" si="100"/>
        <v/>
      </c>
      <c r="BC341" s="25">
        <f t="shared" si="101"/>
        <v>46302</v>
      </c>
    </row>
    <row r="342" spans="1:55" x14ac:dyDescent="0.25">
      <c r="A342" s="151">
        <f t="shared" si="86"/>
        <v>340</v>
      </c>
      <c r="B342" s="151" t="s">
        <v>536</v>
      </c>
      <c r="C342" s="152" t="s">
        <v>537</v>
      </c>
      <c r="D342" s="151">
        <f t="shared" si="85"/>
        <v>18</v>
      </c>
      <c r="E342" s="151" t="s">
        <v>100</v>
      </c>
      <c r="F342" s="173">
        <v>46300</v>
      </c>
      <c r="G342" s="173"/>
      <c r="H342" s="173"/>
      <c r="I342" s="173"/>
      <c r="J342" s="173"/>
      <c r="K342" s="173"/>
      <c r="L342" s="173"/>
      <c r="M342" s="173">
        <v>46300</v>
      </c>
      <c r="N342" s="173">
        <v>46304</v>
      </c>
      <c r="O342" s="173"/>
      <c r="P342" s="173"/>
      <c r="Q342" s="173"/>
      <c r="R342" s="173"/>
      <c r="S342" s="173"/>
      <c r="T342" s="174">
        <v>46304</v>
      </c>
      <c r="U342" s="151"/>
      <c r="V342" s="152"/>
      <c r="W342" s="175"/>
      <c r="X342" s="173"/>
      <c r="Y342" s="173"/>
      <c r="Z342" s="176" t="str">
        <f>IF(B342="","",IF(S342&lt;&gt;"","Sevk Edildi",IF(AND(X342&lt;&gt;"",Y342=""),"Reworkte",IF(T342&lt;&gt;"","Kapandı"&amp;IF(COUNT(G342:R342)=0,""," – "&amp;LOOKUP(2,1/(G342:R342=MAX(G342:R342)),{"Tasarım","Ply Cutter","Üretim","Kalite (Üretim sonrası)","Talaşlı","Kalite (Talaşlı sonrası)","Montaj","Kalite (Montaj sonrası)","Boya","Kalite (Boya sonrası)","Yarı Mamül","KM"})),IF(COUNT(G342:R342)=0,"Başlamadı",LOOKUP(2,1/(G342:R342=MAX(G342:R342)),{"Tasarımda","Ply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342" s="177">
        <f t="shared" ca="1" si="87"/>
        <v>4</v>
      </c>
      <c r="AB342" s="175"/>
      <c r="AD342" t="str">
        <f>IF(OR($B342="",NOT(ISNUMBER(G342))),"",IF(COUNTIF(H342:$T342,G342)&gt;0,0,IF(COUNTIF($G342:$T342,"&gt;"&amp;G342)=0,"",SMALL($G342:$T342,COUNTIF($G342:$T342,"&lt;="&amp;G342)+1)-G342)))</f>
        <v/>
      </c>
      <c r="AE342" t="str">
        <f>IF(OR($B342="",NOT(ISNUMBER(H342))),"",IF(COUNTIF(I342:$T342,H342)&gt;0,0,IF(COUNTIF($G342:$T342,"&gt;"&amp;H342)=0,"",SMALL($G342:$T342,COUNTIF($G342:$T342,"&lt;="&amp;H342)+1)-H342)))</f>
        <v/>
      </c>
      <c r="AF342" t="str">
        <f>IF(OR($B342="",NOT(ISNUMBER(I342))),"",IF(COUNTIF(J342:$T342,I342)&gt;0,0,IF(COUNTIF($G342:$T342,"&gt;"&amp;I342)=0,"",SMALL($G342:$T342,COUNTIF($G342:$T342,"&lt;="&amp;I342)+1)-I342)))</f>
        <v/>
      </c>
      <c r="AG342" t="str">
        <f>IF(OR($B342="",NOT(ISNUMBER(J342))),"",IF(COUNTIF(K342:$T342,J342)&gt;0,0,IF(COUNTIF($G342:$T342,"&gt;"&amp;J342)=0,"",SMALL($G342:$T342,COUNTIF($G342:$T342,"&lt;="&amp;J342)+1)-J342)))</f>
        <v/>
      </c>
      <c r="AH342" t="str">
        <f>IF(OR($B342="",NOT(ISNUMBER(K342))),"",IF(COUNTIF(L342:$T342,K342)&gt;0,0,IF(COUNTIF($G342:$T342,"&gt;"&amp;K342)=0,"",SMALL($G342:$T342,COUNTIF($G342:$T342,"&lt;="&amp;K342)+1)-K342)))</f>
        <v/>
      </c>
      <c r="AI342" t="str">
        <f>IF(OR($B342="",NOT(ISNUMBER(L342))),"",IF(COUNTIF(M342:$T342,L342)&gt;0,0,IF(COUNTIF($G342:$T342,"&gt;"&amp;L342)=0,"",SMALL($G342:$T342,COUNTIF($G342:$T342,"&lt;="&amp;L342)+1)-L342)))</f>
        <v/>
      </c>
      <c r="AJ342">
        <f>IF(OR($B342="",NOT(ISNUMBER(M342))),"",IF(COUNTIF(N342:$T342,M342)&gt;0,0,IF(COUNTIF($G342:$T342,"&gt;"&amp;M342)=0,"",SMALL($G342:$T342,COUNTIF($G342:$T342,"&lt;="&amp;M342)+1)-M342)))</f>
        <v>4</v>
      </c>
      <c r="AK342">
        <f>IF(OR($B342="",NOT(ISNUMBER(N342))),"",IF(COUNTIF(O342:$T342,N342)&gt;0,0,IF(COUNTIF($G342:$T342,"&gt;"&amp;N342)=0,"",SMALL($G342:$T342,COUNTIF($G342:$T342,"&lt;="&amp;N342)+1)-N342)))</f>
        <v>0</v>
      </c>
      <c r="AL342" t="str">
        <f>IF(OR($B342="",NOT(ISNUMBER(O342))),"",IF(COUNTIF(P342:$T342,O342)&gt;0,0,IF(COUNTIF($G342:$T342,"&gt;"&amp;O342)=0,"",SMALL($G342:$T342,COUNTIF($G342:$T342,"&lt;="&amp;O342)+1)-O342)))</f>
        <v/>
      </c>
      <c r="AM342" t="str">
        <f>IF(OR($B342="",NOT(ISNUMBER(P342))),"",IF(COUNTIF(Q342:$T342,P342)&gt;0,0,IF(COUNTIF($G342:$T342,"&gt;"&amp;P342)=0,"",SMALL($G342:$T342,COUNTIF($G342:$T342,"&lt;="&amp;P342)+1)-P342)))</f>
        <v/>
      </c>
      <c r="AN342" t="str">
        <f>IF(OR($B342="",NOT(ISNUMBER(Q342))),"",IF(COUNTIF(R342:$T342,Q342)&gt;0,0,IF(COUNTIF($G342:$T342,"&gt;"&amp;Q342)=0,"",SMALL($G342:$T342,COUNTIF($G342:$T342,"&lt;="&amp;Q342)+1)-Q342)))</f>
        <v/>
      </c>
      <c r="AO342" t="str">
        <f>IF(OR($B342="",NOT(ISNUMBER(R342))),"",IF(COUNTIF(S342:$T342,R342)&gt;0,0,IF(COUNTIF($G342:$T342,"&gt;"&amp;R342)=0,"",SMALL($G342:$T342,COUNTIF($G342:$T342,"&lt;="&amp;R342)+1)-R342)))</f>
        <v/>
      </c>
      <c r="AP342">
        <f t="shared" ca="1" si="88"/>
        <v>0</v>
      </c>
      <c r="AQ342" s="25" t="str">
        <f t="shared" si="89"/>
        <v/>
      </c>
      <c r="AR342" s="25" t="str">
        <f t="shared" si="90"/>
        <v/>
      </c>
      <c r="AS342" s="25" t="str">
        <f t="shared" si="91"/>
        <v/>
      </c>
      <c r="AT342" s="25" t="str">
        <f t="shared" si="92"/>
        <v/>
      </c>
      <c r="AU342" s="25" t="str">
        <f t="shared" si="93"/>
        <v/>
      </c>
      <c r="AV342" s="25" t="str">
        <f t="shared" si="94"/>
        <v/>
      </c>
      <c r="AW342" s="25">
        <f t="shared" si="95"/>
        <v>46304</v>
      </c>
      <c r="AX342" s="25">
        <f t="shared" si="96"/>
        <v>46304</v>
      </c>
      <c r="AY342" s="25" t="str">
        <f t="shared" si="97"/>
        <v/>
      </c>
      <c r="AZ342" s="25" t="str">
        <f t="shared" si="98"/>
        <v/>
      </c>
      <c r="BA342" s="25" t="str">
        <f t="shared" si="99"/>
        <v/>
      </c>
      <c r="BB342" s="25" t="str">
        <f t="shared" si="100"/>
        <v/>
      </c>
      <c r="BC342" s="25">
        <f t="shared" si="101"/>
        <v>46304</v>
      </c>
    </row>
    <row r="343" spans="1:55" x14ac:dyDescent="0.25">
      <c r="A343" s="151">
        <f t="shared" si="86"/>
        <v>341</v>
      </c>
      <c r="B343" s="151" t="s">
        <v>538</v>
      </c>
      <c r="C343" s="152" t="s">
        <v>539</v>
      </c>
      <c r="D343" s="151">
        <f t="shared" si="85"/>
        <v>20</v>
      </c>
      <c r="E343" s="151" t="s">
        <v>61</v>
      </c>
      <c r="F343" s="173">
        <v>46300</v>
      </c>
      <c r="G343" s="173"/>
      <c r="H343" s="173">
        <v>46300</v>
      </c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4">
        <v>46300</v>
      </c>
      <c r="U343" s="151"/>
      <c r="V343" s="152"/>
      <c r="W343" s="175"/>
      <c r="X343" s="173"/>
      <c r="Y343" s="173"/>
      <c r="Z343" s="176" t="str">
        <f>IF(B343="","",IF(S343&lt;&gt;"","Sevk Edildi",IF(AND(X343&lt;&gt;"",Y343=""),"Reworkte",IF(T343&lt;&gt;"","Kapandı"&amp;IF(COUNT(G343:R343)=0,""," – "&amp;LOOKUP(2,1/(G343:R343=MAX(G343:R343)),{"Tasarım","Ply Cutter","Üretim","Kalite (Üretim sonrası)","Talaşlı","Kalite (Talaşlı sonrası)","Montaj","Kalite (Montaj sonrası)","Boya","Kalite (Boya sonrası)","Yarı Mamül","KM"})),IF(COUNT(G343:R343)=0,"Başlamadı",LOOKUP(2,1/(G343:R343=MAX(G343:R343)),{"Tasarımda","Ply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343" s="177">
        <f t="shared" ca="1" si="87"/>
        <v>0</v>
      </c>
      <c r="AB343" s="175"/>
      <c r="AD343" t="str">
        <f>IF(OR($B343="",NOT(ISNUMBER(G343))),"",IF(COUNTIF(H343:$T343,G343)&gt;0,0,IF(COUNTIF($G343:$T343,"&gt;"&amp;G343)=0,"",SMALL($G343:$T343,COUNTIF($G343:$T343,"&lt;="&amp;G343)+1)-G343)))</f>
        <v/>
      </c>
      <c r="AE343">
        <f>IF(OR($B343="",NOT(ISNUMBER(H343))),"",IF(COUNTIF(I343:$T343,H343)&gt;0,0,IF(COUNTIF($G343:$T343,"&gt;"&amp;H343)=0,"",SMALL($G343:$T343,COUNTIF($G343:$T343,"&lt;="&amp;H343)+1)-H343)))</f>
        <v>0</v>
      </c>
      <c r="AF343" t="str">
        <f>IF(OR($B343="",NOT(ISNUMBER(I343))),"",IF(COUNTIF(J343:$T343,I343)&gt;0,0,IF(COUNTIF($G343:$T343,"&gt;"&amp;I343)=0,"",SMALL($G343:$T343,COUNTIF($G343:$T343,"&lt;="&amp;I343)+1)-I343)))</f>
        <v/>
      </c>
      <c r="AG343" t="str">
        <f>IF(OR($B343="",NOT(ISNUMBER(J343))),"",IF(COUNTIF(K343:$T343,J343)&gt;0,0,IF(COUNTIF($G343:$T343,"&gt;"&amp;J343)=0,"",SMALL($G343:$T343,COUNTIF($G343:$T343,"&lt;="&amp;J343)+1)-J343)))</f>
        <v/>
      </c>
      <c r="AH343" t="str">
        <f>IF(OR($B343="",NOT(ISNUMBER(K343))),"",IF(COUNTIF(L343:$T343,K343)&gt;0,0,IF(COUNTIF($G343:$T343,"&gt;"&amp;K343)=0,"",SMALL($G343:$T343,COUNTIF($G343:$T343,"&lt;="&amp;K343)+1)-K343)))</f>
        <v/>
      </c>
      <c r="AI343" t="str">
        <f>IF(OR($B343="",NOT(ISNUMBER(L343))),"",IF(COUNTIF(M343:$T343,L343)&gt;0,0,IF(COUNTIF($G343:$T343,"&gt;"&amp;L343)=0,"",SMALL($G343:$T343,COUNTIF($G343:$T343,"&lt;="&amp;L343)+1)-L343)))</f>
        <v/>
      </c>
      <c r="AJ343" t="str">
        <f>IF(OR($B343="",NOT(ISNUMBER(M343))),"",IF(COUNTIF(N343:$T343,M343)&gt;0,0,IF(COUNTIF($G343:$T343,"&gt;"&amp;M343)=0,"",SMALL($G343:$T343,COUNTIF($G343:$T343,"&lt;="&amp;M343)+1)-M343)))</f>
        <v/>
      </c>
      <c r="AK343" t="str">
        <f>IF(OR($B343="",NOT(ISNUMBER(N343))),"",IF(COUNTIF(O343:$T343,N343)&gt;0,0,IF(COUNTIF($G343:$T343,"&gt;"&amp;N343)=0,"",SMALL($G343:$T343,COUNTIF($G343:$T343,"&lt;="&amp;N343)+1)-N343)))</f>
        <v/>
      </c>
      <c r="AL343" t="str">
        <f>IF(OR($B343="",NOT(ISNUMBER(O343))),"",IF(COUNTIF(P343:$T343,O343)&gt;0,0,IF(COUNTIF($G343:$T343,"&gt;"&amp;O343)=0,"",SMALL($G343:$T343,COUNTIF($G343:$T343,"&lt;="&amp;O343)+1)-O343)))</f>
        <v/>
      </c>
      <c r="AM343" t="str">
        <f>IF(OR($B343="",NOT(ISNUMBER(P343))),"",IF(COUNTIF(Q343:$T343,P343)&gt;0,0,IF(COUNTIF($G343:$T343,"&gt;"&amp;P343)=0,"",SMALL($G343:$T343,COUNTIF($G343:$T343,"&lt;="&amp;P343)+1)-P343)))</f>
        <v/>
      </c>
      <c r="AN343" t="str">
        <f>IF(OR($B343="",NOT(ISNUMBER(Q343))),"",IF(COUNTIF(R343:$T343,Q343)&gt;0,0,IF(COUNTIF($G343:$T343,"&gt;"&amp;Q343)=0,"",SMALL($G343:$T343,COUNTIF($G343:$T343,"&lt;="&amp;Q343)+1)-Q343)))</f>
        <v/>
      </c>
      <c r="AO343" t="str">
        <f>IF(OR($B343="",NOT(ISNUMBER(R343))),"",IF(COUNTIF(S343:$T343,R343)&gt;0,0,IF(COUNTIF($G343:$T343,"&gt;"&amp;R343)=0,"",SMALL($G343:$T343,COUNTIF($G343:$T343,"&lt;="&amp;R343)+1)-R343)))</f>
        <v/>
      </c>
      <c r="AP343">
        <f t="shared" ca="1" si="88"/>
        <v>0</v>
      </c>
      <c r="AQ343" s="25" t="str">
        <f t="shared" si="89"/>
        <v/>
      </c>
      <c r="AR343" s="25">
        <f t="shared" si="90"/>
        <v>46300</v>
      </c>
      <c r="AS343" s="25" t="str">
        <f t="shared" si="91"/>
        <v/>
      </c>
      <c r="AT343" s="25" t="str">
        <f t="shared" si="92"/>
        <v/>
      </c>
      <c r="AU343" s="25" t="str">
        <f t="shared" si="93"/>
        <v/>
      </c>
      <c r="AV343" s="25" t="str">
        <f t="shared" si="94"/>
        <v/>
      </c>
      <c r="AW343" s="25" t="str">
        <f t="shared" si="95"/>
        <v/>
      </c>
      <c r="AX343" s="25" t="str">
        <f t="shared" si="96"/>
        <v/>
      </c>
      <c r="AY343" s="25" t="str">
        <f t="shared" si="97"/>
        <v/>
      </c>
      <c r="AZ343" s="25" t="str">
        <f t="shared" si="98"/>
        <v/>
      </c>
      <c r="BA343" s="25" t="str">
        <f t="shared" si="99"/>
        <v/>
      </c>
      <c r="BB343" s="25" t="str">
        <f t="shared" si="100"/>
        <v/>
      </c>
      <c r="BC343" s="25">
        <f t="shared" si="101"/>
        <v>46300</v>
      </c>
    </row>
    <row r="344" spans="1:55" x14ac:dyDescent="0.25">
      <c r="A344" s="151">
        <f t="shared" si="86"/>
        <v>342</v>
      </c>
      <c r="B344" s="151" t="s">
        <v>540</v>
      </c>
      <c r="C344" s="152" t="s">
        <v>541</v>
      </c>
      <c r="D344" s="151">
        <f t="shared" si="85"/>
        <v>10</v>
      </c>
      <c r="E344" s="151" t="s">
        <v>61</v>
      </c>
      <c r="F344" s="173">
        <v>46300</v>
      </c>
      <c r="G344" s="173"/>
      <c r="H344" s="173"/>
      <c r="I344" s="173"/>
      <c r="J344" s="173"/>
      <c r="K344" s="173">
        <v>46300</v>
      </c>
      <c r="L344" s="173">
        <v>46301</v>
      </c>
      <c r="M344" s="173"/>
      <c r="N344" s="173"/>
      <c r="O344" s="173"/>
      <c r="P344" s="173"/>
      <c r="Q344" s="173"/>
      <c r="R344" s="173"/>
      <c r="S344" s="173"/>
      <c r="T344" s="174">
        <v>46301</v>
      </c>
      <c r="U344" s="151"/>
      <c r="V344" s="152"/>
      <c r="W344" s="175"/>
      <c r="X344" s="173"/>
      <c r="Y344" s="173"/>
      <c r="Z344" s="176" t="str">
        <f>IF(B344="","",IF(S344&lt;&gt;"","Sevk Edildi",IF(AND(X344&lt;&gt;"",Y344=""),"Reworkte",IF(T344&lt;&gt;"","Kapandı"&amp;IF(COUNT(G344:R344)=0,""," – "&amp;LOOKUP(2,1/(G344:R344=MAX(G344:R344)),{"Tasarım","Ply Cutter","Üretim","Kalite (Üretim sonrası)","Talaşlı","Kalite (Talaşlı sonrası)","Montaj","Kalite (Montaj sonrası)","Boya","Kalite (Boya sonrası)","Yarı Mamül","KM"})),IF(COUNT(G344:R344)=0,"Başlamadı",LOOKUP(2,1/(G344:R344=MAX(G344:R344)),{"Tasarımda","Ply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44" s="177">
        <f t="shared" ca="1" si="87"/>
        <v>1</v>
      </c>
      <c r="AB344" s="175"/>
      <c r="AD344" t="str">
        <f>IF(OR($B344="",NOT(ISNUMBER(G344))),"",IF(COUNTIF(H344:$T344,G344)&gt;0,0,IF(COUNTIF($G344:$T344,"&gt;"&amp;G344)=0,"",SMALL($G344:$T344,COUNTIF($G344:$T344,"&lt;="&amp;G344)+1)-G344)))</f>
        <v/>
      </c>
      <c r="AE344" t="str">
        <f>IF(OR($B344="",NOT(ISNUMBER(H344))),"",IF(COUNTIF(I344:$T344,H344)&gt;0,0,IF(COUNTIF($G344:$T344,"&gt;"&amp;H344)=0,"",SMALL($G344:$T344,COUNTIF($G344:$T344,"&lt;="&amp;H344)+1)-H344)))</f>
        <v/>
      </c>
      <c r="AF344" t="str">
        <f>IF(OR($B344="",NOT(ISNUMBER(I344))),"",IF(COUNTIF(J344:$T344,I344)&gt;0,0,IF(COUNTIF($G344:$T344,"&gt;"&amp;I344)=0,"",SMALL($G344:$T344,COUNTIF($G344:$T344,"&lt;="&amp;I344)+1)-I344)))</f>
        <v/>
      </c>
      <c r="AG344" t="str">
        <f>IF(OR($B344="",NOT(ISNUMBER(J344))),"",IF(COUNTIF(K344:$T344,J344)&gt;0,0,IF(COUNTIF($G344:$T344,"&gt;"&amp;J344)=0,"",SMALL($G344:$T344,COUNTIF($G344:$T344,"&lt;="&amp;J344)+1)-J344)))</f>
        <v/>
      </c>
      <c r="AH344">
        <f>IF(OR($B344="",NOT(ISNUMBER(K344))),"",IF(COUNTIF(L344:$T344,K344)&gt;0,0,IF(COUNTIF($G344:$T344,"&gt;"&amp;K344)=0,"",SMALL($G344:$T344,COUNTIF($G344:$T344,"&lt;="&amp;K344)+1)-K344)))</f>
        <v>1</v>
      </c>
      <c r="AI344">
        <f>IF(OR($B344="",NOT(ISNUMBER(L344))),"",IF(COUNTIF(M344:$T344,L344)&gt;0,0,IF(COUNTIF($G344:$T344,"&gt;"&amp;L344)=0,"",SMALL($G344:$T344,COUNTIF($G344:$T344,"&lt;="&amp;L344)+1)-L344)))</f>
        <v>0</v>
      </c>
      <c r="AJ344" t="str">
        <f>IF(OR($B344="",NOT(ISNUMBER(M344))),"",IF(COUNTIF(N344:$T344,M344)&gt;0,0,IF(COUNTIF($G344:$T344,"&gt;"&amp;M344)=0,"",SMALL($G344:$T344,COUNTIF($G344:$T344,"&lt;="&amp;M344)+1)-M344)))</f>
        <v/>
      </c>
      <c r="AK344" t="str">
        <f>IF(OR($B344="",NOT(ISNUMBER(N344))),"",IF(COUNTIF(O344:$T344,N344)&gt;0,0,IF(COUNTIF($G344:$T344,"&gt;"&amp;N344)=0,"",SMALL($G344:$T344,COUNTIF($G344:$T344,"&lt;="&amp;N344)+1)-N344)))</f>
        <v/>
      </c>
      <c r="AL344" t="str">
        <f>IF(OR($B344="",NOT(ISNUMBER(O344))),"",IF(COUNTIF(P344:$T344,O344)&gt;0,0,IF(COUNTIF($G344:$T344,"&gt;"&amp;O344)=0,"",SMALL($G344:$T344,COUNTIF($G344:$T344,"&lt;="&amp;O344)+1)-O344)))</f>
        <v/>
      </c>
      <c r="AM344" t="str">
        <f>IF(OR($B344="",NOT(ISNUMBER(P344))),"",IF(COUNTIF(Q344:$T344,P344)&gt;0,0,IF(COUNTIF($G344:$T344,"&gt;"&amp;P344)=0,"",SMALL($G344:$T344,COUNTIF($G344:$T344,"&lt;="&amp;P344)+1)-P344)))</f>
        <v/>
      </c>
      <c r="AN344" t="str">
        <f>IF(OR($B344="",NOT(ISNUMBER(Q344))),"",IF(COUNTIF(R344:$T344,Q344)&gt;0,0,IF(COUNTIF($G344:$T344,"&gt;"&amp;Q344)=0,"",SMALL($G344:$T344,COUNTIF($G344:$T344,"&lt;="&amp;Q344)+1)-Q344)))</f>
        <v/>
      </c>
      <c r="AO344" t="str">
        <f>IF(OR($B344="",NOT(ISNUMBER(R344))),"",IF(COUNTIF(S344:$T344,R344)&gt;0,0,IF(COUNTIF($G344:$T344,"&gt;"&amp;R344)=0,"",SMALL($G344:$T344,COUNTIF($G344:$T344,"&lt;="&amp;R344)+1)-R344)))</f>
        <v/>
      </c>
      <c r="AP344">
        <f t="shared" ca="1" si="88"/>
        <v>0</v>
      </c>
      <c r="AQ344" s="25" t="str">
        <f t="shared" si="89"/>
        <v/>
      </c>
      <c r="AR344" s="25" t="str">
        <f t="shared" si="90"/>
        <v/>
      </c>
      <c r="AS344" s="25" t="str">
        <f t="shared" si="91"/>
        <v/>
      </c>
      <c r="AT344" s="25" t="str">
        <f t="shared" si="92"/>
        <v/>
      </c>
      <c r="AU344" s="25">
        <f t="shared" si="93"/>
        <v>46301</v>
      </c>
      <c r="AV344" s="25">
        <f t="shared" si="94"/>
        <v>46301</v>
      </c>
      <c r="AW344" s="25" t="str">
        <f t="shared" si="95"/>
        <v/>
      </c>
      <c r="AX344" s="25" t="str">
        <f t="shared" si="96"/>
        <v/>
      </c>
      <c r="AY344" s="25" t="str">
        <f t="shared" si="97"/>
        <v/>
      </c>
      <c r="AZ344" s="25" t="str">
        <f t="shared" si="98"/>
        <v/>
      </c>
      <c r="BA344" s="25" t="str">
        <f t="shared" si="99"/>
        <v/>
      </c>
      <c r="BB344" s="25" t="str">
        <f t="shared" si="100"/>
        <v/>
      </c>
      <c r="BC344" s="25">
        <f t="shared" si="101"/>
        <v>46301</v>
      </c>
    </row>
    <row r="345" spans="1:55" x14ac:dyDescent="0.25">
      <c r="A345" s="151">
        <f t="shared" si="86"/>
        <v>343</v>
      </c>
      <c r="B345" s="151" t="s">
        <v>542</v>
      </c>
      <c r="C345" s="152" t="s">
        <v>285</v>
      </c>
      <c r="D345" s="151">
        <f t="shared" si="85"/>
        <v>1</v>
      </c>
      <c r="E345" s="151" t="s">
        <v>61</v>
      </c>
      <c r="F345" s="173">
        <v>46300</v>
      </c>
      <c r="G345" s="173"/>
      <c r="H345" s="173"/>
      <c r="I345" s="173">
        <v>46300</v>
      </c>
      <c r="J345" s="173">
        <v>46301</v>
      </c>
      <c r="K345" s="173"/>
      <c r="L345" s="173"/>
      <c r="M345" s="173"/>
      <c r="N345" s="173"/>
      <c r="O345" s="173"/>
      <c r="P345" s="173"/>
      <c r="Q345" s="173">
        <v>46303</v>
      </c>
      <c r="R345" s="173"/>
      <c r="S345" s="173"/>
      <c r="T345" s="174">
        <v>46303</v>
      </c>
      <c r="U345" s="151"/>
      <c r="V345" s="152"/>
      <c r="W345" s="175"/>
      <c r="X345" s="173"/>
      <c r="Y345" s="173"/>
      <c r="Z345" s="176" t="str">
        <f>IF(B345="","",IF(S345&lt;&gt;"","Sevk Edildi",IF(AND(X345&lt;&gt;"",Y345=""),"Reworkte",IF(T345&lt;&gt;"","Kapandı"&amp;IF(COUNT(G345:R345)=0,""," – "&amp;LOOKUP(2,1/(G345:R345=MAX(G345:R345)),{"Tasarım","Ply Cutter","Üretim","Kalite (Üretim sonrası)","Talaşlı","Kalite (Talaşlı sonrası)","Montaj","Kalite (Montaj sonrası)","Boya","Kalite (Boya sonrası)","Yarı Mamül","KM"})),IF(COUNT(G345:R345)=0,"Başlamadı",LOOKUP(2,1/(G345:R345=MAX(G345:R345)),{"Tasarımda","Ply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45" s="177">
        <f t="shared" ca="1" si="87"/>
        <v>3</v>
      </c>
      <c r="AB345" s="175"/>
      <c r="AD345" t="str">
        <f>IF(OR($B345="",NOT(ISNUMBER(G345))),"",IF(COUNTIF(H345:$T345,G345)&gt;0,0,IF(COUNTIF($G345:$T345,"&gt;"&amp;G345)=0,"",SMALL($G345:$T345,COUNTIF($G345:$T345,"&lt;="&amp;G345)+1)-G345)))</f>
        <v/>
      </c>
      <c r="AE345" t="str">
        <f>IF(OR($B345="",NOT(ISNUMBER(H345))),"",IF(COUNTIF(I345:$T345,H345)&gt;0,0,IF(COUNTIF($G345:$T345,"&gt;"&amp;H345)=0,"",SMALL($G345:$T345,COUNTIF($G345:$T345,"&lt;="&amp;H345)+1)-H345)))</f>
        <v/>
      </c>
      <c r="AF345">
        <f>IF(OR($B345="",NOT(ISNUMBER(I345))),"",IF(COUNTIF(J345:$T345,I345)&gt;0,0,IF(COUNTIF($G345:$T345,"&gt;"&amp;I345)=0,"",SMALL($G345:$T345,COUNTIF($G345:$T345,"&lt;="&amp;I345)+1)-I345)))</f>
        <v>1</v>
      </c>
      <c r="AG345">
        <f>IF(OR($B345="",NOT(ISNUMBER(J345))),"",IF(COUNTIF(K345:$T345,J345)&gt;0,0,IF(COUNTIF($G345:$T345,"&gt;"&amp;J345)=0,"",SMALL($G345:$T345,COUNTIF($G345:$T345,"&lt;="&amp;J345)+1)-J345)))</f>
        <v>2</v>
      </c>
      <c r="AH345" t="str">
        <f>IF(OR($B345="",NOT(ISNUMBER(K345))),"",IF(COUNTIF(L345:$T345,K345)&gt;0,0,IF(COUNTIF($G345:$T345,"&gt;"&amp;K345)=0,"",SMALL($G345:$T345,COUNTIF($G345:$T345,"&lt;="&amp;K345)+1)-K345)))</f>
        <v/>
      </c>
      <c r="AI345" t="str">
        <f>IF(OR($B345="",NOT(ISNUMBER(L345))),"",IF(COUNTIF(M345:$T345,L345)&gt;0,0,IF(COUNTIF($G345:$T345,"&gt;"&amp;L345)=0,"",SMALL($G345:$T345,COUNTIF($G345:$T345,"&lt;="&amp;L345)+1)-L345)))</f>
        <v/>
      </c>
      <c r="AJ345" t="str">
        <f>IF(OR($B345="",NOT(ISNUMBER(M345))),"",IF(COUNTIF(N345:$T345,M345)&gt;0,0,IF(COUNTIF($G345:$T345,"&gt;"&amp;M345)=0,"",SMALL($G345:$T345,COUNTIF($G345:$T345,"&lt;="&amp;M345)+1)-M345)))</f>
        <v/>
      </c>
      <c r="AK345" t="str">
        <f>IF(OR($B345="",NOT(ISNUMBER(N345))),"",IF(COUNTIF(O345:$T345,N345)&gt;0,0,IF(COUNTIF($G345:$T345,"&gt;"&amp;N345)=0,"",SMALL($G345:$T345,COUNTIF($G345:$T345,"&lt;="&amp;N345)+1)-N345)))</f>
        <v/>
      </c>
      <c r="AL345" t="str">
        <f>IF(OR($B345="",NOT(ISNUMBER(O345))),"",IF(COUNTIF(P345:$T345,O345)&gt;0,0,IF(COUNTIF($G345:$T345,"&gt;"&amp;O345)=0,"",SMALL($G345:$T345,COUNTIF($G345:$T345,"&lt;="&amp;O345)+1)-O345)))</f>
        <v/>
      </c>
      <c r="AM345" t="str">
        <f>IF(OR($B345="",NOT(ISNUMBER(P345))),"",IF(COUNTIF(Q345:$T345,P345)&gt;0,0,IF(COUNTIF($G345:$T345,"&gt;"&amp;P345)=0,"",SMALL($G345:$T345,COUNTIF($G345:$T345,"&lt;="&amp;P345)+1)-P345)))</f>
        <v/>
      </c>
      <c r="AN345">
        <f>IF(OR($B345="",NOT(ISNUMBER(Q345))),"",IF(COUNTIF(R345:$T345,Q345)&gt;0,0,IF(COUNTIF($G345:$T345,"&gt;"&amp;Q345)=0,"",SMALL($G345:$T345,COUNTIF($G345:$T345,"&lt;="&amp;Q345)+1)-Q345)))</f>
        <v>0</v>
      </c>
      <c r="AO345" t="str">
        <f>IF(OR($B345="",NOT(ISNUMBER(R345))),"",IF(COUNTIF(S345:$T345,R345)&gt;0,0,IF(COUNTIF($G345:$T345,"&gt;"&amp;R345)=0,"",SMALL($G345:$T345,COUNTIF($G345:$T345,"&lt;="&amp;R345)+1)-R345)))</f>
        <v/>
      </c>
      <c r="AP345">
        <f t="shared" ca="1" si="88"/>
        <v>0</v>
      </c>
      <c r="AQ345" s="25" t="str">
        <f t="shared" si="89"/>
        <v/>
      </c>
      <c r="AR345" s="25" t="str">
        <f t="shared" si="90"/>
        <v/>
      </c>
      <c r="AS345" s="25">
        <f t="shared" si="91"/>
        <v>46301</v>
      </c>
      <c r="AT345" s="25">
        <f t="shared" si="92"/>
        <v>46303</v>
      </c>
      <c r="AU345" s="25" t="str">
        <f t="shared" si="93"/>
        <v/>
      </c>
      <c r="AV345" s="25" t="str">
        <f t="shared" si="94"/>
        <v/>
      </c>
      <c r="AW345" s="25" t="str">
        <f t="shared" si="95"/>
        <v/>
      </c>
      <c r="AX345" s="25" t="str">
        <f t="shared" si="96"/>
        <v/>
      </c>
      <c r="AY345" s="25" t="str">
        <f t="shared" si="97"/>
        <v/>
      </c>
      <c r="AZ345" s="25" t="str">
        <f t="shared" si="98"/>
        <v/>
      </c>
      <c r="BA345" s="25">
        <f t="shared" si="99"/>
        <v>46303</v>
      </c>
      <c r="BB345" s="25" t="str">
        <f t="shared" si="100"/>
        <v/>
      </c>
      <c r="BC345" s="25">
        <f t="shared" si="101"/>
        <v>46303</v>
      </c>
    </row>
    <row r="346" spans="1:55" x14ac:dyDescent="0.25">
      <c r="A346" s="151">
        <f t="shared" si="86"/>
        <v>344</v>
      </c>
      <c r="B346" s="151" t="s">
        <v>543</v>
      </c>
      <c r="C346" s="152" t="s">
        <v>285</v>
      </c>
      <c r="D346" s="151">
        <f t="shared" si="85"/>
        <v>1</v>
      </c>
      <c r="E346" s="151" t="s">
        <v>61</v>
      </c>
      <c r="F346" s="173">
        <v>46300</v>
      </c>
      <c r="G346" s="173"/>
      <c r="H346" s="173"/>
      <c r="I346" s="173">
        <v>46300</v>
      </c>
      <c r="J346" s="173">
        <v>46301</v>
      </c>
      <c r="K346" s="173"/>
      <c r="L346" s="173"/>
      <c r="M346" s="173"/>
      <c r="N346" s="173"/>
      <c r="O346" s="173"/>
      <c r="P346" s="173"/>
      <c r="Q346" s="173">
        <v>46303</v>
      </c>
      <c r="R346" s="173"/>
      <c r="S346" s="173"/>
      <c r="T346" s="174">
        <v>46303</v>
      </c>
      <c r="U346" s="151"/>
      <c r="V346" s="152"/>
      <c r="W346" s="175"/>
      <c r="X346" s="173"/>
      <c r="Y346" s="173"/>
      <c r="Z346" s="176" t="str">
        <f>IF(B346="","",IF(S346&lt;&gt;"","Sevk Edildi",IF(AND(X346&lt;&gt;"",Y346=""),"Reworkte",IF(T346&lt;&gt;"","Kapandı"&amp;IF(COUNT(G346:R346)=0,""," – "&amp;LOOKUP(2,1/(G346:R346=MAX(G346:R346)),{"Tasarım","Ply Cutter","Üretim","Kalite (Üretim sonrası)","Talaşlı","Kalite (Talaşlı sonrası)","Montaj","Kalite (Montaj sonrası)","Boya","Kalite (Boya sonrası)","Yarı Mamül","KM"})),IF(COUNT(G346:R346)=0,"Başlamadı",LOOKUP(2,1/(G346:R346=MAX(G346:R346)),{"Tasarımda","Ply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46" s="177">
        <f t="shared" ca="1" si="87"/>
        <v>3</v>
      </c>
      <c r="AB346" s="175"/>
      <c r="AD346" t="str">
        <f>IF(OR($B346="",NOT(ISNUMBER(G346))),"",IF(COUNTIF(H346:$T346,G346)&gt;0,0,IF(COUNTIF($G346:$T346,"&gt;"&amp;G346)=0,"",SMALL($G346:$T346,COUNTIF($G346:$T346,"&lt;="&amp;G346)+1)-G346)))</f>
        <v/>
      </c>
      <c r="AE346" t="str">
        <f>IF(OR($B346="",NOT(ISNUMBER(H346))),"",IF(COUNTIF(I346:$T346,H346)&gt;0,0,IF(COUNTIF($G346:$T346,"&gt;"&amp;H346)=0,"",SMALL($G346:$T346,COUNTIF($G346:$T346,"&lt;="&amp;H346)+1)-H346)))</f>
        <v/>
      </c>
      <c r="AF346">
        <f>IF(OR($B346="",NOT(ISNUMBER(I346))),"",IF(COUNTIF(J346:$T346,I346)&gt;0,0,IF(COUNTIF($G346:$T346,"&gt;"&amp;I346)=0,"",SMALL($G346:$T346,COUNTIF($G346:$T346,"&lt;="&amp;I346)+1)-I346)))</f>
        <v>1</v>
      </c>
      <c r="AG346">
        <f>IF(OR($B346="",NOT(ISNUMBER(J346))),"",IF(COUNTIF(K346:$T346,J346)&gt;0,0,IF(COUNTIF($G346:$T346,"&gt;"&amp;J346)=0,"",SMALL($G346:$T346,COUNTIF($G346:$T346,"&lt;="&amp;J346)+1)-J346)))</f>
        <v>2</v>
      </c>
      <c r="AH346" t="str">
        <f>IF(OR($B346="",NOT(ISNUMBER(K346))),"",IF(COUNTIF(L346:$T346,K346)&gt;0,0,IF(COUNTIF($G346:$T346,"&gt;"&amp;K346)=0,"",SMALL($G346:$T346,COUNTIF($G346:$T346,"&lt;="&amp;K346)+1)-K346)))</f>
        <v/>
      </c>
      <c r="AI346" t="str">
        <f>IF(OR($B346="",NOT(ISNUMBER(L346))),"",IF(COUNTIF(M346:$T346,L346)&gt;0,0,IF(COUNTIF($G346:$T346,"&gt;"&amp;L346)=0,"",SMALL($G346:$T346,COUNTIF($G346:$T346,"&lt;="&amp;L346)+1)-L346)))</f>
        <v/>
      </c>
      <c r="AJ346" t="str">
        <f>IF(OR($B346="",NOT(ISNUMBER(M346))),"",IF(COUNTIF(N346:$T346,M346)&gt;0,0,IF(COUNTIF($G346:$T346,"&gt;"&amp;M346)=0,"",SMALL($G346:$T346,COUNTIF($G346:$T346,"&lt;="&amp;M346)+1)-M346)))</f>
        <v/>
      </c>
      <c r="AK346" t="str">
        <f>IF(OR($B346="",NOT(ISNUMBER(N346))),"",IF(COUNTIF(O346:$T346,N346)&gt;0,0,IF(COUNTIF($G346:$T346,"&gt;"&amp;N346)=0,"",SMALL($G346:$T346,COUNTIF($G346:$T346,"&lt;="&amp;N346)+1)-N346)))</f>
        <v/>
      </c>
      <c r="AL346" t="str">
        <f>IF(OR($B346="",NOT(ISNUMBER(O346))),"",IF(COUNTIF(P346:$T346,O346)&gt;0,0,IF(COUNTIF($G346:$T346,"&gt;"&amp;O346)=0,"",SMALL($G346:$T346,COUNTIF($G346:$T346,"&lt;="&amp;O346)+1)-O346)))</f>
        <v/>
      </c>
      <c r="AM346" t="str">
        <f>IF(OR($B346="",NOT(ISNUMBER(P346))),"",IF(COUNTIF(Q346:$T346,P346)&gt;0,0,IF(COUNTIF($G346:$T346,"&gt;"&amp;P346)=0,"",SMALL($G346:$T346,COUNTIF($G346:$T346,"&lt;="&amp;P346)+1)-P346)))</f>
        <v/>
      </c>
      <c r="AN346">
        <f>IF(OR($B346="",NOT(ISNUMBER(Q346))),"",IF(COUNTIF(R346:$T346,Q346)&gt;0,0,IF(COUNTIF($G346:$T346,"&gt;"&amp;Q346)=0,"",SMALL($G346:$T346,COUNTIF($G346:$T346,"&lt;="&amp;Q346)+1)-Q346)))</f>
        <v>0</v>
      </c>
      <c r="AO346" t="str">
        <f>IF(OR($B346="",NOT(ISNUMBER(R346))),"",IF(COUNTIF(S346:$T346,R346)&gt;0,0,IF(COUNTIF($G346:$T346,"&gt;"&amp;R346)=0,"",SMALL($G346:$T346,COUNTIF($G346:$T346,"&lt;="&amp;R346)+1)-R346)))</f>
        <v/>
      </c>
      <c r="AP346">
        <f t="shared" ca="1" si="88"/>
        <v>0</v>
      </c>
      <c r="AQ346" s="25" t="str">
        <f t="shared" si="89"/>
        <v/>
      </c>
      <c r="AR346" s="25" t="str">
        <f t="shared" si="90"/>
        <v/>
      </c>
      <c r="AS346" s="25">
        <f t="shared" si="91"/>
        <v>46301</v>
      </c>
      <c r="AT346" s="25">
        <f t="shared" si="92"/>
        <v>46303</v>
      </c>
      <c r="AU346" s="25" t="str">
        <f t="shared" si="93"/>
        <v/>
      </c>
      <c r="AV346" s="25" t="str">
        <f t="shared" si="94"/>
        <v/>
      </c>
      <c r="AW346" s="25" t="str">
        <f t="shared" si="95"/>
        <v/>
      </c>
      <c r="AX346" s="25" t="str">
        <f t="shared" si="96"/>
        <v/>
      </c>
      <c r="AY346" s="25" t="str">
        <f t="shared" si="97"/>
        <v/>
      </c>
      <c r="AZ346" s="25" t="str">
        <f t="shared" si="98"/>
        <v/>
      </c>
      <c r="BA346" s="25">
        <f t="shared" si="99"/>
        <v>46303</v>
      </c>
      <c r="BB346" s="25" t="str">
        <f t="shared" si="100"/>
        <v/>
      </c>
      <c r="BC346" s="25">
        <f t="shared" si="101"/>
        <v>46303</v>
      </c>
    </row>
    <row r="347" spans="1:55" x14ac:dyDescent="0.25">
      <c r="A347" s="151">
        <f t="shared" si="86"/>
        <v>345</v>
      </c>
      <c r="B347" s="151" t="s">
        <v>544</v>
      </c>
      <c r="C347" s="152" t="s">
        <v>285</v>
      </c>
      <c r="D347" s="151">
        <f t="shared" si="85"/>
        <v>1</v>
      </c>
      <c r="E347" s="151" t="s">
        <v>61</v>
      </c>
      <c r="F347" s="173">
        <v>46300</v>
      </c>
      <c r="G347" s="173"/>
      <c r="H347" s="173"/>
      <c r="I347" s="173">
        <v>46300</v>
      </c>
      <c r="J347" s="173">
        <v>46301</v>
      </c>
      <c r="K347" s="173"/>
      <c r="L347" s="173"/>
      <c r="M347" s="173"/>
      <c r="N347" s="173"/>
      <c r="O347" s="173"/>
      <c r="P347" s="173"/>
      <c r="Q347" s="173">
        <v>46303</v>
      </c>
      <c r="R347" s="173"/>
      <c r="S347" s="173"/>
      <c r="T347" s="174">
        <v>46303</v>
      </c>
      <c r="U347" s="151"/>
      <c r="V347" s="152"/>
      <c r="W347" s="175"/>
      <c r="X347" s="173"/>
      <c r="Y347" s="173"/>
      <c r="Z347" s="176" t="str">
        <f>IF(B347="","",IF(S347&lt;&gt;"","Sevk Edildi",IF(AND(X347&lt;&gt;"",Y347=""),"Reworkte",IF(T347&lt;&gt;"","Kapandı"&amp;IF(COUNT(G347:R347)=0,""," – "&amp;LOOKUP(2,1/(G347:R347=MAX(G347:R347)),{"Tasarım","Ply Cutter","Üretim","Kalite (Üretim sonrası)","Talaşlı","Kalite (Talaşlı sonrası)","Montaj","Kalite (Montaj sonrası)","Boya","Kalite (Boya sonrası)","Yarı Mamül","KM"})),IF(COUNT(G347:R347)=0,"Başlamadı",LOOKUP(2,1/(G347:R347=MAX(G347:R347)),{"Tasarımda","Ply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47" s="177">
        <f t="shared" ca="1" si="87"/>
        <v>3</v>
      </c>
      <c r="AB347" s="175"/>
      <c r="AD347" t="str">
        <f>IF(OR($B347="",NOT(ISNUMBER(G347))),"",IF(COUNTIF(H347:$T347,G347)&gt;0,0,IF(COUNTIF($G347:$T347,"&gt;"&amp;G347)=0,"",SMALL($G347:$T347,COUNTIF($G347:$T347,"&lt;="&amp;G347)+1)-G347)))</f>
        <v/>
      </c>
      <c r="AE347" t="str">
        <f>IF(OR($B347="",NOT(ISNUMBER(H347))),"",IF(COUNTIF(I347:$T347,H347)&gt;0,0,IF(COUNTIF($G347:$T347,"&gt;"&amp;H347)=0,"",SMALL($G347:$T347,COUNTIF($G347:$T347,"&lt;="&amp;H347)+1)-H347)))</f>
        <v/>
      </c>
      <c r="AF347">
        <f>IF(OR($B347="",NOT(ISNUMBER(I347))),"",IF(COUNTIF(J347:$T347,I347)&gt;0,0,IF(COUNTIF($G347:$T347,"&gt;"&amp;I347)=0,"",SMALL($G347:$T347,COUNTIF($G347:$T347,"&lt;="&amp;I347)+1)-I347)))</f>
        <v>1</v>
      </c>
      <c r="AG347">
        <f>IF(OR($B347="",NOT(ISNUMBER(J347))),"",IF(COUNTIF(K347:$T347,J347)&gt;0,0,IF(COUNTIF($G347:$T347,"&gt;"&amp;J347)=0,"",SMALL($G347:$T347,COUNTIF($G347:$T347,"&lt;="&amp;J347)+1)-J347)))</f>
        <v>2</v>
      </c>
      <c r="AH347" t="str">
        <f>IF(OR($B347="",NOT(ISNUMBER(K347))),"",IF(COUNTIF(L347:$T347,K347)&gt;0,0,IF(COUNTIF($G347:$T347,"&gt;"&amp;K347)=0,"",SMALL($G347:$T347,COUNTIF($G347:$T347,"&lt;="&amp;K347)+1)-K347)))</f>
        <v/>
      </c>
      <c r="AI347" t="str">
        <f>IF(OR($B347="",NOT(ISNUMBER(L347))),"",IF(COUNTIF(M347:$T347,L347)&gt;0,0,IF(COUNTIF($G347:$T347,"&gt;"&amp;L347)=0,"",SMALL($G347:$T347,COUNTIF($G347:$T347,"&lt;="&amp;L347)+1)-L347)))</f>
        <v/>
      </c>
      <c r="AJ347" t="str">
        <f>IF(OR($B347="",NOT(ISNUMBER(M347))),"",IF(COUNTIF(N347:$T347,M347)&gt;0,0,IF(COUNTIF($G347:$T347,"&gt;"&amp;M347)=0,"",SMALL($G347:$T347,COUNTIF($G347:$T347,"&lt;="&amp;M347)+1)-M347)))</f>
        <v/>
      </c>
      <c r="AK347" t="str">
        <f>IF(OR($B347="",NOT(ISNUMBER(N347))),"",IF(COUNTIF(O347:$T347,N347)&gt;0,0,IF(COUNTIF($G347:$T347,"&gt;"&amp;N347)=0,"",SMALL($G347:$T347,COUNTIF($G347:$T347,"&lt;="&amp;N347)+1)-N347)))</f>
        <v/>
      </c>
      <c r="AL347" t="str">
        <f>IF(OR($B347="",NOT(ISNUMBER(O347))),"",IF(COUNTIF(P347:$T347,O347)&gt;0,0,IF(COUNTIF($G347:$T347,"&gt;"&amp;O347)=0,"",SMALL($G347:$T347,COUNTIF($G347:$T347,"&lt;="&amp;O347)+1)-O347)))</f>
        <v/>
      </c>
      <c r="AM347" t="str">
        <f>IF(OR($B347="",NOT(ISNUMBER(P347))),"",IF(COUNTIF(Q347:$T347,P347)&gt;0,0,IF(COUNTIF($G347:$T347,"&gt;"&amp;P347)=0,"",SMALL($G347:$T347,COUNTIF($G347:$T347,"&lt;="&amp;P347)+1)-P347)))</f>
        <v/>
      </c>
      <c r="AN347">
        <f>IF(OR($B347="",NOT(ISNUMBER(Q347))),"",IF(COUNTIF(R347:$T347,Q347)&gt;0,0,IF(COUNTIF($G347:$T347,"&gt;"&amp;Q347)=0,"",SMALL($G347:$T347,COUNTIF($G347:$T347,"&lt;="&amp;Q347)+1)-Q347)))</f>
        <v>0</v>
      </c>
      <c r="AO347" t="str">
        <f>IF(OR($B347="",NOT(ISNUMBER(R347))),"",IF(COUNTIF(S347:$T347,R347)&gt;0,0,IF(COUNTIF($G347:$T347,"&gt;"&amp;R347)=0,"",SMALL($G347:$T347,COUNTIF($G347:$T347,"&lt;="&amp;R347)+1)-R347)))</f>
        <v/>
      </c>
      <c r="AP347">
        <f t="shared" ca="1" si="88"/>
        <v>0</v>
      </c>
      <c r="AQ347" s="25" t="str">
        <f t="shared" si="89"/>
        <v/>
      </c>
      <c r="AR347" s="25" t="str">
        <f t="shared" si="90"/>
        <v/>
      </c>
      <c r="AS347" s="25">
        <f t="shared" si="91"/>
        <v>46301</v>
      </c>
      <c r="AT347" s="25">
        <f t="shared" si="92"/>
        <v>46303</v>
      </c>
      <c r="AU347" s="25" t="str">
        <f t="shared" si="93"/>
        <v/>
      </c>
      <c r="AV347" s="25" t="str">
        <f t="shared" si="94"/>
        <v/>
      </c>
      <c r="AW347" s="25" t="str">
        <f t="shared" si="95"/>
        <v/>
      </c>
      <c r="AX347" s="25" t="str">
        <f t="shared" si="96"/>
        <v/>
      </c>
      <c r="AY347" s="25" t="str">
        <f t="shared" si="97"/>
        <v/>
      </c>
      <c r="AZ347" s="25" t="str">
        <f t="shared" si="98"/>
        <v/>
      </c>
      <c r="BA347" s="25">
        <f t="shared" si="99"/>
        <v>46303</v>
      </c>
      <c r="BB347" s="25" t="str">
        <f t="shared" si="100"/>
        <v/>
      </c>
      <c r="BC347" s="25">
        <f t="shared" si="101"/>
        <v>46303</v>
      </c>
    </row>
    <row r="348" spans="1:55" x14ac:dyDescent="0.25">
      <c r="A348" s="151">
        <f t="shared" si="86"/>
        <v>346</v>
      </c>
      <c r="B348" s="151" t="s">
        <v>545</v>
      </c>
      <c r="C348" s="152" t="s">
        <v>376</v>
      </c>
      <c r="D348" s="151">
        <f t="shared" si="85"/>
        <v>2</v>
      </c>
      <c r="E348" s="151" t="s">
        <v>61</v>
      </c>
      <c r="F348" s="173">
        <v>46300</v>
      </c>
      <c r="G348" s="173"/>
      <c r="H348" s="173"/>
      <c r="I348" s="173"/>
      <c r="J348" s="173"/>
      <c r="K348" s="173"/>
      <c r="L348" s="173"/>
      <c r="M348" s="173"/>
      <c r="N348" s="173"/>
      <c r="O348" s="173">
        <v>46300</v>
      </c>
      <c r="P348" s="173">
        <v>46301</v>
      </c>
      <c r="Q348" s="173"/>
      <c r="R348" s="173"/>
      <c r="S348" s="173"/>
      <c r="T348" s="174">
        <v>46301</v>
      </c>
      <c r="U348" s="151"/>
      <c r="V348" s="152"/>
      <c r="W348" s="175"/>
      <c r="X348" s="173"/>
      <c r="Y348" s="173"/>
      <c r="Z348" s="176" t="str">
        <f>IF(B348="","",IF(S348&lt;&gt;"","Sevk Edildi",IF(AND(X348&lt;&gt;"",Y348=""),"Reworkte",IF(T348&lt;&gt;"","Kapandı"&amp;IF(COUNT(G348:R348)=0,""," – "&amp;LOOKUP(2,1/(G348:R348=MAX(G348:R348)),{"Tasarım","Ply Cutter","Üretim","Kalite (Üretim sonrası)","Talaşlı","Kalite (Talaşlı sonrası)","Montaj","Kalite (Montaj sonrası)","Boya","Kalite (Boya sonrası)","Yarı Mamül","KM"})),IF(COUNT(G348:R348)=0,"Başlamadı",LOOKUP(2,1/(G348:R348=MAX(G348:R348)),{"Tasarımda","Ply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348" s="177">
        <f t="shared" ca="1" si="87"/>
        <v>1</v>
      </c>
      <c r="AB348" s="175"/>
      <c r="AD348" t="str">
        <f>IF(OR($B348="",NOT(ISNUMBER(G348))),"",IF(COUNTIF(H348:$T348,G348)&gt;0,0,IF(COUNTIF($G348:$T348,"&gt;"&amp;G348)=0,"",SMALL($G348:$T348,COUNTIF($G348:$T348,"&lt;="&amp;G348)+1)-G348)))</f>
        <v/>
      </c>
      <c r="AE348" t="str">
        <f>IF(OR($B348="",NOT(ISNUMBER(H348))),"",IF(COUNTIF(I348:$T348,H348)&gt;0,0,IF(COUNTIF($G348:$T348,"&gt;"&amp;H348)=0,"",SMALL($G348:$T348,COUNTIF($G348:$T348,"&lt;="&amp;H348)+1)-H348)))</f>
        <v/>
      </c>
      <c r="AF348" t="str">
        <f>IF(OR($B348="",NOT(ISNUMBER(I348))),"",IF(COUNTIF(J348:$T348,I348)&gt;0,0,IF(COUNTIF($G348:$T348,"&gt;"&amp;I348)=0,"",SMALL($G348:$T348,COUNTIF($G348:$T348,"&lt;="&amp;I348)+1)-I348)))</f>
        <v/>
      </c>
      <c r="AG348" t="str">
        <f>IF(OR($B348="",NOT(ISNUMBER(J348))),"",IF(COUNTIF(K348:$T348,J348)&gt;0,0,IF(COUNTIF($G348:$T348,"&gt;"&amp;J348)=0,"",SMALL($G348:$T348,COUNTIF($G348:$T348,"&lt;="&amp;J348)+1)-J348)))</f>
        <v/>
      </c>
      <c r="AH348" t="str">
        <f>IF(OR($B348="",NOT(ISNUMBER(K348))),"",IF(COUNTIF(L348:$T348,K348)&gt;0,0,IF(COUNTIF($G348:$T348,"&gt;"&amp;K348)=0,"",SMALL($G348:$T348,COUNTIF($G348:$T348,"&lt;="&amp;K348)+1)-K348)))</f>
        <v/>
      </c>
      <c r="AI348" t="str">
        <f>IF(OR($B348="",NOT(ISNUMBER(L348))),"",IF(COUNTIF(M348:$T348,L348)&gt;0,0,IF(COUNTIF($G348:$T348,"&gt;"&amp;L348)=0,"",SMALL($G348:$T348,COUNTIF($G348:$T348,"&lt;="&amp;L348)+1)-L348)))</f>
        <v/>
      </c>
      <c r="AJ348" t="str">
        <f>IF(OR($B348="",NOT(ISNUMBER(M348))),"",IF(COUNTIF(N348:$T348,M348)&gt;0,0,IF(COUNTIF($G348:$T348,"&gt;"&amp;M348)=0,"",SMALL($G348:$T348,COUNTIF($G348:$T348,"&lt;="&amp;M348)+1)-M348)))</f>
        <v/>
      </c>
      <c r="AK348" t="str">
        <f>IF(OR($B348="",NOT(ISNUMBER(N348))),"",IF(COUNTIF(O348:$T348,N348)&gt;0,0,IF(COUNTIF($G348:$T348,"&gt;"&amp;N348)=0,"",SMALL($G348:$T348,COUNTIF($G348:$T348,"&lt;="&amp;N348)+1)-N348)))</f>
        <v/>
      </c>
      <c r="AL348">
        <f>IF(OR($B348="",NOT(ISNUMBER(O348))),"",IF(COUNTIF(P348:$T348,O348)&gt;0,0,IF(COUNTIF($G348:$T348,"&gt;"&amp;O348)=0,"",SMALL($G348:$T348,COUNTIF($G348:$T348,"&lt;="&amp;O348)+1)-O348)))</f>
        <v>1</v>
      </c>
      <c r="AM348">
        <f>IF(OR($B348="",NOT(ISNUMBER(P348))),"",IF(COUNTIF(Q348:$T348,P348)&gt;0,0,IF(COUNTIF($G348:$T348,"&gt;"&amp;P348)=0,"",SMALL($G348:$T348,COUNTIF($G348:$T348,"&lt;="&amp;P348)+1)-P348)))</f>
        <v>0</v>
      </c>
      <c r="AN348" t="str">
        <f>IF(OR($B348="",NOT(ISNUMBER(Q348))),"",IF(COUNTIF(R348:$T348,Q348)&gt;0,0,IF(COUNTIF($G348:$T348,"&gt;"&amp;Q348)=0,"",SMALL($G348:$T348,COUNTIF($G348:$T348,"&lt;="&amp;Q348)+1)-Q348)))</f>
        <v/>
      </c>
      <c r="AO348" t="str">
        <f>IF(OR($B348="",NOT(ISNUMBER(R348))),"",IF(COUNTIF(S348:$T348,R348)&gt;0,0,IF(COUNTIF($G348:$T348,"&gt;"&amp;R348)=0,"",SMALL($G348:$T348,COUNTIF($G348:$T348,"&lt;="&amp;R348)+1)-R348)))</f>
        <v/>
      </c>
      <c r="AP348">
        <f t="shared" ca="1" si="88"/>
        <v>0</v>
      </c>
      <c r="AQ348" s="25" t="str">
        <f t="shared" si="89"/>
        <v/>
      </c>
      <c r="AR348" s="25" t="str">
        <f t="shared" si="90"/>
        <v/>
      </c>
      <c r="AS348" s="25" t="str">
        <f t="shared" si="91"/>
        <v/>
      </c>
      <c r="AT348" s="25" t="str">
        <f t="shared" si="92"/>
        <v/>
      </c>
      <c r="AU348" s="25" t="str">
        <f t="shared" si="93"/>
        <v/>
      </c>
      <c r="AV348" s="25" t="str">
        <f t="shared" si="94"/>
        <v/>
      </c>
      <c r="AW348" s="25" t="str">
        <f t="shared" si="95"/>
        <v/>
      </c>
      <c r="AX348" s="25" t="str">
        <f t="shared" si="96"/>
        <v/>
      </c>
      <c r="AY348" s="25">
        <f t="shared" si="97"/>
        <v>46301</v>
      </c>
      <c r="AZ348" s="25">
        <f t="shared" si="98"/>
        <v>46301</v>
      </c>
      <c r="BA348" s="25" t="str">
        <f t="shared" si="99"/>
        <v/>
      </c>
      <c r="BB348" s="25" t="str">
        <f t="shared" si="100"/>
        <v/>
      </c>
      <c r="BC348" s="25">
        <f t="shared" si="101"/>
        <v>46301</v>
      </c>
    </row>
    <row r="349" spans="1:55" x14ac:dyDescent="0.25">
      <c r="A349" s="151">
        <f t="shared" si="86"/>
        <v>347</v>
      </c>
      <c r="B349" s="151" t="s">
        <v>546</v>
      </c>
      <c r="C349" s="152" t="s">
        <v>378</v>
      </c>
      <c r="D349" s="151">
        <f t="shared" si="85"/>
        <v>2</v>
      </c>
      <c r="E349" s="151" t="s">
        <v>61</v>
      </c>
      <c r="F349" s="173">
        <v>46300</v>
      </c>
      <c r="G349" s="173"/>
      <c r="H349" s="173"/>
      <c r="I349" s="173"/>
      <c r="J349" s="173"/>
      <c r="K349" s="173"/>
      <c r="L349" s="173"/>
      <c r="M349" s="173"/>
      <c r="N349" s="173"/>
      <c r="O349" s="173">
        <v>46300</v>
      </c>
      <c r="P349" s="173">
        <v>46301</v>
      </c>
      <c r="Q349" s="173"/>
      <c r="R349" s="173"/>
      <c r="S349" s="173"/>
      <c r="T349" s="174">
        <v>46301</v>
      </c>
      <c r="U349" s="151"/>
      <c r="V349" s="152"/>
      <c r="W349" s="175"/>
      <c r="X349" s="173"/>
      <c r="Y349" s="173"/>
      <c r="Z349" s="176" t="str">
        <f>IF(B349="","",IF(S349&lt;&gt;"","Sevk Edildi",IF(AND(X349&lt;&gt;"",Y349=""),"Reworkte",IF(T349&lt;&gt;"","Kapandı"&amp;IF(COUNT(G349:R349)=0,""," – "&amp;LOOKUP(2,1/(G349:R349=MAX(G349:R349)),{"Tasarım","Ply Cutter","Üretim","Kalite (Üretim sonrası)","Talaşlı","Kalite (Talaşlı sonrası)","Montaj","Kalite (Montaj sonrası)","Boya","Kalite (Boya sonrası)","Yarı Mamül","KM"})),IF(COUNT(G349:R349)=0,"Başlamadı",LOOKUP(2,1/(G349:R349=MAX(G349:R349)),{"Tasarımda","Ply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349" s="177">
        <f t="shared" ca="1" si="87"/>
        <v>1</v>
      </c>
      <c r="AB349" s="175"/>
      <c r="AD349" t="str">
        <f>IF(OR($B349="",NOT(ISNUMBER(G349))),"",IF(COUNTIF(H349:$T349,G349)&gt;0,0,IF(COUNTIF($G349:$T349,"&gt;"&amp;G349)=0,"",SMALL($G349:$T349,COUNTIF($G349:$T349,"&lt;="&amp;G349)+1)-G349)))</f>
        <v/>
      </c>
      <c r="AE349" t="str">
        <f>IF(OR($B349="",NOT(ISNUMBER(H349))),"",IF(COUNTIF(I349:$T349,H349)&gt;0,0,IF(COUNTIF($G349:$T349,"&gt;"&amp;H349)=0,"",SMALL($G349:$T349,COUNTIF($G349:$T349,"&lt;="&amp;H349)+1)-H349)))</f>
        <v/>
      </c>
      <c r="AF349" t="str">
        <f>IF(OR($B349="",NOT(ISNUMBER(I349))),"",IF(COUNTIF(J349:$T349,I349)&gt;0,0,IF(COUNTIF($G349:$T349,"&gt;"&amp;I349)=0,"",SMALL($G349:$T349,COUNTIF($G349:$T349,"&lt;="&amp;I349)+1)-I349)))</f>
        <v/>
      </c>
      <c r="AG349" t="str">
        <f>IF(OR($B349="",NOT(ISNUMBER(J349))),"",IF(COUNTIF(K349:$T349,J349)&gt;0,0,IF(COUNTIF($G349:$T349,"&gt;"&amp;J349)=0,"",SMALL($G349:$T349,COUNTIF($G349:$T349,"&lt;="&amp;J349)+1)-J349)))</f>
        <v/>
      </c>
      <c r="AH349" t="str">
        <f>IF(OR($B349="",NOT(ISNUMBER(K349))),"",IF(COUNTIF(L349:$T349,K349)&gt;0,0,IF(COUNTIF($G349:$T349,"&gt;"&amp;K349)=0,"",SMALL($G349:$T349,COUNTIF($G349:$T349,"&lt;="&amp;K349)+1)-K349)))</f>
        <v/>
      </c>
      <c r="AI349" t="str">
        <f>IF(OR($B349="",NOT(ISNUMBER(L349))),"",IF(COUNTIF(M349:$T349,L349)&gt;0,0,IF(COUNTIF($G349:$T349,"&gt;"&amp;L349)=0,"",SMALL($G349:$T349,COUNTIF($G349:$T349,"&lt;="&amp;L349)+1)-L349)))</f>
        <v/>
      </c>
      <c r="AJ349" t="str">
        <f>IF(OR($B349="",NOT(ISNUMBER(M349))),"",IF(COUNTIF(N349:$T349,M349)&gt;0,0,IF(COUNTIF($G349:$T349,"&gt;"&amp;M349)=0,"",SMALL($G349:$T349,COUNTIF($G349:$T349,"&lt;="&amp;M349)+1)-M349)))</f>
        <v/>
      </c>
      <c r="AK349" t="str">
        <f>IF(OR($B349="",NOT(ISNUMBER(N349))),"",IF(COUNTIF(O349:$T349,N349)&gt;0,0,IF(COUNTIF($G349:$T349,"&gt;"&amp;N349)=0,"",SMALL($G349:$T349,COUNTIF($G349:$T349,"&lt;="&amp;N349)+1)-N349)))</f>
        <v/>
      </c>
      <c r="AL349">
        <f>IF(OR($B349="",NOT(ISNUMBER(O349))),"",IF(COUNTIF(P349:$T349,O349)&gt;0,0,IF(COUNTIF($G349:$T349,"&gt;"&amp;O349)=0,"",SMALL($G349:$T349,COUNTIF($G349:$T349,"&lt;="&amp;O349)+1)-O349)))</f>
        <v>1</v>
      </c>
      <c r="AM349">
        <f>IF(OR($B349="",NOT(ISNUMBER(P349))),"",IF(COUNTIF(Q349:$T349,P349)&gt;0,0,IF(COUNTIF($G349:$T349,"&gt;"&amp;P349)=0,"",SMALL($G349:$T349,COUNTIF($G349:$T349,"&lt;="&amp;P349)+1)-P349)))</f>
        <v>0</v>
      </c>
      <c r="AN349" t="str">
        <f>IF(OR($B349="",NOT(ISNUMBER(Q349))),"",IF(COUNTIF(R349:$T349,Q349)&gt;0,0,IF(COUNTIF($G349:$T349,"&gt;"&amp;Q349)=0,"",SMALL($G349:$T349,COUNTIF($G349:$T349,"&lt;="&amp;Q349)+1)-Q349)))</f>
        <v/>
      </c>
      <c r="AO349" t="str">
        <f>IF(OR($B349="",NOT(ISNUMBER(R349))),"",IF(COUNTIF(S349:$T349,R349)&gt;0,0,IF(COUNTIF($G349:$T349,"&gt;"&amp;R349)=0,"",SMALL($G349:$T349,COUNTIF($G349:$T349,"&lt;="&amp;R349)+1)-R349)))</f>
        <v/>
      </c>
      <c r="AP349">
        <f t="shared" ca="1" si="88"/>
        <v>0</v>
      </c>
      <c r="AQ349" s="25" t="str">
        <f t="shared" si="89"/>
        <v/>
      </c>
      <c r="AR349" s="25" t="str">
        <f t="shared" si="90"/>
        <v/>
      </c>
      <c r="AS349" s="25" t="str">
        <f t="shared" si="91"/>
        <v/>
      </c>
      <c r="AT349" s="25" t="str">
        <f t="shared" si="92"/>
        <v/>
      </c>
      <c r="AU349" s="25" t="str">
        <f t="shared" si="93"/>
        <v/>
      </c>
      <c r="AV349" s="25" t="str">
        <f t="shared" si="94"/>
        <v/>
      </c>
      <c r="AW349" s="25" t="str">
        <f t="shared" si="95"/>
        <v/>
      </c>
      <c r="AX349" s="25" t="str">
        <f t="shared" si="96"/>
        <v/>
      </c>
      <c r="AY349" s="25">
        <f t="shared" si="97"/>
        <v>46301</v>
      </c>
      <c r="AZ349" s="25">
        <f t="shared" si="98"/>
        <v>46301</v>
      </c>
      <c r="BA349" s="25" t="str">
        <f t="shared" si="99"/>
        <v/>
      </c>
      <c r="BB349" s="25" t="str">
        <f t="shared" si="100"/>
        <v/>
      </c>
      <c r="BC349" s="25">
        <f t="shared" si="101"/>
        <v>46301</v>
      </c>
    </row>
    <row r="350" spans="1:55" x14ac:dyDescent="0.25">
      <c r="A350" s="151">
        <f t="shared" si="86"/>
        <v>348</v>
      </c>
      <c r="B350" s="151" t="s">
        <v>547</v>
      </c>
      <c r="C350" s="152" t="s">
        <v>548</v>
      </c>
      <c r="D350" s="151">
        <f t="shared" si="85"/>
        <v>20</v>
      </c>
      <c r="E350" s="151" t="s">
        <v>61</v>
      </c>
      <c r="F350" s="173">
        <v>46300</v>
      </c>
      <c r="G350" s="173"/>
      <c r="H350" s="173"/>
      <c r="I350" s="173"/>
      <c r="J350" s="173"/>
      <c r="K350" s="173">
        <v>46300</v>
      </c>
      <c r="L350" s="173">
        <v>46303</v>
      </c>
      <c r="M350" s="173"/>
      <c r="N350" s="173"/>
      <c r="O350" s="173"/>
      <c r="P350" s="173"/>
      <c r="Q350" s="173"/>
      <c r="R350" s="173"/>
      <c r="S350" s="173"/>
      <c r="T350" s="174">
        <v>46303</v>
      </c>
      <c r="U350" s="151"/>
      <c r="V350" s="152"/>
      <c r="W350" s="175"/>
      <c r="X350" s="173"/>
      <c r="Y350" s="173"/>
      <c r="Z350" s="176" t="str">
        <f>IF(B350="","",IF(S350&lt;&gt;"","Sevk Edildi",IF(AND(X350&lt;&gt;"",Y350=""),"Reworkte",IF(T350&lt;&gt;"","Kapandı"&amp;IF(COUNT(G350:R350)=0,""," – "&amp;LOOKUP(2,1/(G350:R350=MAX(G350:R350)),{"Tasarım","Ply Cutter","Üretim","Kalite (Üretim sonrası)","Talaşlı","Kalite (Talaşlı sonrası)","Montaj","Kalite (Montaj sonrası)","Boya","Kalite (Boya sonrası)","Yarı Mamül","KM"})),IF(COUNT(G350:R350)=0,"Başlamadı",LOOKUP(2,1/(G350:R350=MAX(G350:R350)),{"Tasarımda","Ply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50" s="177">
        <f t="shared" ca="1" si="87"/>
        <v>3</v>
      </c>
      <c r="AB350" s="175"/>
      <c r="AD350" t="str">
        <f>IF(OR($B350="",NOT(ISNUMBER(G350))),"",IF(COUNTIF(H350:$T350,G350)&gt;0,0,IF(COUNTIF($G350:$T350,"&gt;"&amp;G350)=0,"",SMALL($G350:$T350,COUNTIF($G350:$T350,"&lt;="&amp;G350)+1)-G350)))</f>
        <v/>
      </c>
      <c r="AE350" t="str">
        <f>IF(OR($B350="",NOT(ISNUMBER(H350))),"",IF(COUNTIF(I350:$T350,H350)&gt;0,0,IF(COUNTIF($G350:$T350,"&gt;"&amp;H350)=0,"",SMALL($G350:$T350,COUNTIF($G350:$T350,"&lt;="&amp;H350)+1)-H350)))</f>
        <v/>
      </c>
      <c r="AF350" t="str">
        <f>IF(OR($B350="",NOT(ISNUMBER(I350))),"",IF(COUNTIF(J350:$T350,I350)&gt;0,0,IF(COUNTIF($G350:$T350,"&gt;"&amp;I350)=0,"",SMALL($G350:$T350,COUNTIF($G350:$T350,"&lt;="&amp;I350)+1)-I350)))</f>
        <v/>
      </c>
      <c r="AG350" t="str">
        <f>IF(OR($B350="",NOT(ISNUMBER(J350))),"",IF(COUNTIF(K350:$T350,J350)&gt;0,0,IF(COUNTIF($G350:$T350,"&gt;"&amp;J350)=0,"",SMALL($G350:$T350,COUNTIF($G350:$T350,"&lt;="&amp;J350)+1)-J350)))</f>
        <v/>
      </c>
      <c r="AH350">
        <f>IF(OR($B350="",NOT(ISNUMBER(K350))),"",IF(COUNTIF(L350:$T350,K350)&gt;0,0,IF(COUNTIF($G350:$T350,"&gt;"&amp;K350)=0,"",SMALL($G350:$T350,COUNTIF($G350:$T350,"&lt;="&amp;K350)+1)-K350)))</f>
        <v>3</v>
      </c>
      <c r="AI350">
        <f>IF(OR($B350="",NOT(ISNUMBER(L350))),"",IF(COUNTIF(M350:$T350,L350)&gt;0,0,IF(COUNTIF($G350:$T350,"&gt;"&amp;L350)=0,"",SMALL($G350:$T350,COUNTIF($G350:$T350,"&lt;="&amp;L350)+1)-L350)))</f>
        <v>0</v>
      </c>
      <c r="AJ350" t="str">
        <f>IF(OR($B350="",NOT(ISNUMBER(M350))),"",IF(COUNTIF(N350:$T350,M350)&gt;0,0,IF(COUNTIF($G350:$T350,"&gt;"&amp;M350)=0,"",SMALL($G350:$T350,COUNTIF($G350:$T350,"&lt;="&amp;M350)+1)-M350)))</f>
        <v/>
      </c>
      <c r="AK350" t="str">
        <f>IF(OR($B350="",NOT(ISNUMBER(N350))),"",IF(COUNTIF(O350:$T350,N350)&gt;0,0,IF(COUNTIF($G350:$T350,"&gt;"&amp;N350)=0,"",SMALL($G350:$T350,COUNTIF($G350:$T350,"&lt;="&amp;N350)+1)-N350)))</f>
        <v/>
      </c>
      <c r="AL350" t="str">
        <f>IF(OR($B350="",NOT(ISNUMBER(O350))),"",IF(COUNTIF(P350:$T350,O350)&gt;0,0,IF(COUNTIF($G350:$T350,"&gt;"&amp;O350)=0,"",SMALL($G350:$T350,COUNTIF($G350:$T350,"&lt;="&amp;O350)+1)-O350)))</f>
        <v/>
      </c>
      <c r="AM350" t="str">
        <f>IF(OR($B350="",NOT(ISNUMBER(P350))),"",IF(COUNTIF(Q350:$T350,P350)&gt;0,0,IF(COUNTIF($G350:$T350,"&gt;"&amp;P350)=0,"",SMALL($G350:$T350,COUNTIF($G350:$T350,"&lt;="&amp;P350)+1)-P350)))</f>
        <v/>
      </c>
      <c r="AN350" t="str">
        <f>IF(OR($B350="",NOT(ISNUMBER(Q350))),"",IF(COUNTIF(R350:$T350,Q350)&gt;0,0,IF(COUNTIF($G350:$T350,"&gt;"&amp;Q350)=0,"",SMALL($G350:$T350,COUNTIF($G350:$T350,"&lt;="&amp;Q350)+1)-Q350)))</f>
        <v/>
      </c>
      <c r="AO350" t="str">
        <f>IF(OR($B350="",NOT(ISNUMBER(R350))),"",IF(COUNTIF(S350:$T350,R350)&gt;0,0,IF(COUNTIF($G350:$T350,"&gt;"&amp;R350)=0,"",SMALL($G350:$T350,COUNTIF($G350:$T350,"&lt;="&amp;R350)+1)-R350)))</f>
        <v/>
      </c>
      <c r="AP350">
        <f t="shared" ca="1" si="88"/>
        <v>0</v>
      </c>
      <c r="AQ350" s="25" t="str">
        <f t="shared" si="89"/>
        <v/>
      </c>
      <c r="AR350" s="25" t="str">
        <f t="shared" si="90"/>
        <v/>
      </c>
      <c r="AS350" s="25" t="str">
        <f t="shared" si="91"/>
        <v/>
      </c>
      <c r="AT350" s="25" t="str">
        <f t="shared" si="92"/>
        <v/>
      </c>
      <c r="AU350" s="25">
        <f t="shared" si="93"/>
        <v>46303</v>
      </c>
      <c r="AV350" s="25">
        <f t="shared" si="94"/>
        <v>46303</v>
      </c>
      <c r="AW350" s="25" t="str">
        <f t="shared" si="95"/>
        <v/>
      </c>
      <c r="AX350" s="25" t="str">
        <f t="shared" si="96"/>
        <v/>
      </c>
      <c r="AY350" s="25" t="str">
        <f t="shared" si="97"/>
        <v/>
      </c>
      <c r="AZ350" s="25" t="str">
        <f t="shared" si="98"/>
        <v/>
      </c>
      <c r="BA350" s="25" t="str">
        <f t="shared" si="99"/>
        <v/>
      </c>
      <c r="BB350" s="25" t="str">
        <f t="shared" si="100"/>
        <v/>
      </c>
      <c r="BC350" s="25">
        <f t="shared" si="101"/>
        <v>46303</v>
      </c>
    </row>
    <row r="351" spans="1:55" x14ac:dyDescent="0.25">
      <c r="A351" s="151">
        <f t="shared" si="86"/>
        <v>349</v>
      </c>
      <c r="B351" s="151" t="s">
        <v>549</v>
      </c>
      <c r="C351" s="152" t="s">
        <v>497</v>
      </c>
      <c r="D351" s="151">
        <f t="shared" si="85"/>
        <v>4</v>
      </c>
      <c r="E351" s="151" t="s">
        <v>61</v>
      </c>
      <c r="F351" s="173">
        <v>46300</v>
      </c>
      <c r="G351" s="173"/>
      <c r="H351" s="173"/>
      <c r="I351" s="173">
        <v>46300</v>
      </c>
      <c r="J351" s="173">
        <v>46301</v>
      </c>
      <c r="K351" s="173"/>
      <c r="L351" s="173"/>
      <c r="M351" s="173"/>
      <c r="N351" s="173"/>
      <c r="O351" s="173"/>
      <c r="P351" s="173"/>
      <c r="Q351" s="173"/>
      <c r="R351" s="173"/>
      <c r="S351" s="173"/>
      <c r="T351" s="174">
        <v>46304</v>
      </c>
      <c r="U351" s="151"/>
      <c r="V351" s="152"/>
      <c r="W351" s="175"/>
      <c r="X351" s="173"/>
      <c r="Y351" s="173"/>
      <c r="Z351" s="176" t="str">
        <f>IF(B351="","",IF(S351&lt;&gt;"","Sevk Edildi",IF(AND(X351&lt;&gt;"",Y351=""),"Reworkte",IF(T351&lt;&gt;"","Kapandı"&amp;IF(COUNT(G351:R351)=0,""," – "&amp;LOOKUP(2,1/(G351:R351=MAX(G351:R351)),{"Tasarım","Ply Cutter","Üretim","Kalite (Üretim sonrası)","Talaşlı","Kalite (Talaşlı sonrası)","Montaj","Kalite (Montaj sonrası)","Boya","Kalite (Boya sonrası)","Yarı Mamül","KM"})),IF(COUNT(G351:R351)=0,"Başlamadı",LOOKUP(2,1/(G351:R351=MAX(G351:R351)),{"Tasarımda","Ply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51" s="177">
        <f t="shared" ca="1" si="87"/>
        <v>4</v>
      </c>
      <c r="AB351" s="175"/>
      <c r="AD351" t="str">
        <f>IF(OR($B351="",NOT(ISNUMBER(G351))),"",IF(COUNTIF(H351:$T351,G351)&gt;0,0,IF(COUNTIF($G351:$T351,"&gt;"&amp;G351)=0,"",SMALL($G351:$T351,COUNTIF($G351:$T351,"&lt;="&amp;G351)+1)-G351)))</f>
        <v/>
      </c>
      <c r="AE351" t="str">
        <f>IF(OR($B351="",NOT(ISNUMBER(H351))),"",IF(COUNTIF(I351:$T351,H351)&gt;0,0,IF(COUNTIF($G351:$T351,"&gt;"&amp;H351)=0,"",SMALL($G351:$T351,COUNTIF($G351:$T351,"&lt;="&amp;H351)+1)-H351)))</f>
        <v/>
      </c>
      <c r="AF351">
        <f>IF(OR($B351="",NOT(ISNUMBER(I351))),"",IF(COUNTIF(J351:$T351,I351)&gt;0,0,IF(COUNTIF($G351:$T351,"&gt;"&amp;I351)=0,"",SMALL($G351:$T351,COUNTIF($G351:$T351,"&lt;="&amp;I351)+1)-I351)))</f>
        <v>1</v>
      </c>
      <c r="AG351">
        <f>IF(OR($B351="",NOT(ISNUMBER(J351))),"",IF(COUNTIF(K351:$T351,J351)&gt;0,0,IF(COUNTIF($G351:$T351,"&gt;"&amp;J351)=0,"",SMALL($G351:$T351,COUNTIF($G351:$T351,"&lt;="&amp;J351)+1)-J351)))</f>
        <v>3</v>
      </c>
      <c r="AH351" t="str">
        <f>IF(OR($B351="",NOT(ISNUMBER(K351))),"",IF(COUNTIF(L351:$T351,K351)&gt;0,0,IF(COUNTIF($G351:$T351,"&gt;"&amp;K351)=0,"",SMALL($G351:$T351,COUNTIF($G351:$T351,"&lt;="&amp;K351)+1)-K351)))</f>
        <v/>
      </c>
      <c r="AI351" t="str">
        <f>IF(OR($B351="",NOT(ISNUMBER(L351))),"",IF(COUNTIF(M351:$T351,L351)&gt;0,0,IF(COUNTIF($G351:$T351,"&gt;"&amp;L351)=0,"",SMALL($G351:$T351,COUNTIF($G351:$T351,"&lt;="&amp;L351)+1)-L351)))</f>
        <v/>
      </c>
      <c r="AJ351" t="str">
        <f>IF(OR($B351="",NOT(ISNUMBER(M351))),"",IF(COUNTIF(N351:$T351,M351)&gt;0,0,IF(COUNTIF($G351:$T351,"&gt;"&amp;M351)=0,"",SMALL($G351:$T351,COUNTIF($G351:$T351,"&lt;="&amp;M351)+1)-M351)))</f>
        <v/>
      </c>
      <c r="AK351" t="str">
        <f>IF(OR($B351="",NOT(ISNUMBER(N351))),"",IF(COUNTIF(O351:$T351,N351)&gt;0,0,IF(COUNTIF($G351:$T351,"&gt;"&amp;N351)=0,"",SMALL($G351:$T351,COUNTIF($G351:$T351,"&lt;="&amp;N351)+1)-N351)))</f>
        <v/>
      </c>
      <c r="AL351" t="str">
        <f>IF(OR($B351="",NOT(ISNUMBER(O351))),"",IF(COUNTIF(P351:$T351,O351)&gt;0,0,IF(COUNTIF($G351:$T351,"&gt;"&amp;O351)=0,"",SMALL($G351:$T351,COUNTIF($G351:$T351,"&lt;="&amp;O351)+1)-O351)))</f>
        <v/>
      </c>
      <c r="AM351" t="str">
        <f>IF(OR($B351="",NOT(ISNUMBER(P351))),"",IF(COUNTIF(Q351:$T351,P351)&gt;0,0,IF(COUNTIF($G351:$T351,"&gt;"&amp;P351)=0,"",SMALL($G351:$T351,COUNTIF($G351:$T351,"&lt;="&amp;P351)+1)-P351)))</f>
        <v/>
      </c>
      <c r="AN351" t="str">
        <f>IF(OR($B351="",NOT(ISNUMBER(Q351))),"",IF(COUNTIF(R351:$T351,Q351)&gt;0,0,IF(COUNTIF($G351:$T351,"&gt;"&amp;Q351)=0,"",SMALL($G351:$T351,COUNTIF($G351:$T351,"&lt;="&amp;Q351)+1)-Q351)))</f>
        <v/>
      </c>
      <c r="AO351" t="str">
        <f>IF(OR($B351="",NOT(ISNUMBER(R351))),"",IF(COUNTIF(S351:$T351,R351)&gt;0,0,IF(COUNTIF($G351:$T351,"&gt;"&amp;R351)=0,"",SMALL($G351:$T351,COUNTIF($G351:$T351,"&lt;="&amp;R351)+1)-R351)))</f>
        <v/>
      </c>
      <c r="AP351">
        <f t="shared" ca="1" si="88"/>
        <v>0</v>
      </c>
      <c r="AQ351" s="25" t="str">
        <f t="shared" si="89"/>
        <v/>
      </c>
      <c r="AR351" s="25" t="str">
        <f t="shared" si="90"/>
        <v/>
      </c>
      <c r="AS351" s="25">
        <f t="shared" si="91"/>
        <v>46301</v>
      </c>
      <c r="AT351" s="25">
        <f t="shared" si="92"/>
        <v>46304</v>
      </c>
      <c r="AU351" s="25" t="str">
        <f t="shared" si="93"/>
        <v/>
      </c>
      <c r="AV351" s="25" t="str">
        <f t="shared" si="94"/>
        <v/>
      </c>
      <c r="AW351" s="25" t="str">
        <f t="shared" si="95"/>
        <v/>
      </c>
      <c r="AX351" s="25" t="str">
        <f t="shared" si="96"/>
        <v/>
      </c>
      <c r="AY351" s="25" t="str">
        <f t="shared" si="97"/>
        <v/>
      </c>
      <c r="AZ351" s="25" t="str">
        <f t="shared" si="98"/>
        <v/>
      </c>
      <c r="BA351" s="25" t="str">
        <f t="shared" si="99"/>
        <v/>
      </c>
      <c r="BB351" s="25" t="str">
        <f t="shared" si="100"/>
        <v/>
      </c>
      <c r="BC351" s="25">
        <f t="shared" si="101"/>
        <v>46304</v>
      </c>
    </row>
    <row r="352" spans="1:55" x14ac:dyDescent="0.25">
      <c r="A352" s="151">
        <f t="shared" si="86"/>
        <v>350</v>
      </c>
      <c r="B352" s="151" t="s">
        <v>550</v>
      </c>
      <c r="C352" s="152" t="s">
        <v>113</v>
      </c>
      <c r="D352" s="151">
        <f t="shared" si="85"/>
        <v>1</v>
      </c>
      <c r="E352" s="151" t="s">
        <v>61</v>
      </c>
      <c r="F352" s="173">
        <v>46300</v>
      </c>
      <c r="G352" s="173"/>
      <c r="H352" s="173"/>
      <c r="I352" s="173">
        <v>46300</v>
      </c>
      <c r="J352" s="173">
        <v>46301</v>
      </c>
      <c r="K352" s="173"/>
      <c r="L352" s="173"/>
      <c r="M352" s="173"/>
      <c r="N352" s="173"/>
      <c r="O352" s="173"/>
      <c r="P352" s="173"/>
      <c r="Q352" s="173">
        <v>46303</v>
      </c>
      <c r="R352" s="173"/>
      <c r="S352" s="173"/>
      <c r="T352" s="174">
        <v>46303</v>
      </c>
      <c r="U352" s="151"/>
      <c r="V352" s="152"/>
      <c r="W352" s="175"/>
      <c r="X352" s="173"/>
      <c r="Y352" s="173"/>
      <c r="Z352" s="176" t="str">
        <f>IF(B352="","",IF(S352&lt;&gt;"","Sevk Edildi",IF(AND(X352&lt;&gt;"",Y352=""),"Reworkte",IF(T352&lt;&gt;"","Kapandı"&amp;IF(COUNT(G352:R352)=0,""," – "&amp;LOOKUP(2,1/(G352:R352=MAX(G352:R352)),{"Tasarım","Ply Cutter","Üretim","Kalite (Üretim sonrası)","Talaşlı","Kalite (Talaşlı sonrası)","Montaj","Kalite (Montaj sonrası)","Boya","Kalite (Boya sonrası)","Yarı Mamül","KM"})),IF(COUNT(G352:R352)=0,"Başlamadı",LOOKUP(2,1/(G352:R352=MAX(G352:R352)),{"Tasarımda","Ply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52" s="177">
        <f t="shared" ca="1" si="87"/>
        <v>3</v>
      </c>
      <c r="AB352" s="175"/>
      <c r="AD352" t="str">
        <f>IF(OR($B352="",NOT(ISNUMBER(G352))),"",IF(COUNTIF(H352:$T352,G352)&gt;0,0,IF(COUNTIF($G352:$T352,"&gt;"&amp;G352)=0,"",SMALL($G352:$T352,COUNTIF($G352:$T352,"&lt;="&amp;G352)+1)-G352)))</f>
        <v/>
      </c>
      <c r="AE352" t="str">
        <f>IF(OR($B352="",NOT(ISNUMBER(H352))),"",IF(COUNTIF(I352:$T352,H352)&gt;0,0,IF(COUNTIF($G352:$T352,"&gt;"&amp;H352)=0,"",SMALL($G352:$T352,COUNTIF($G352:$T352,"&lt;="&amp;H352)+1)-H352)))</f>
        <v/>
      </c>
      <c r="AF352">
        <f>IF(OR($B352="",NOT(ISNUMBER(I352))),"",IF(COUNTIF(J352:$T352,I352)&gt;0,0,IF(COUNTIF($G352:$T352,"&gt;"&amp;I352)=0,"",SMALL($G352:$T352,COUNTIF($G352:$T352,"&lt;="&amp;I352)+1)-I352)))</f>
        <v>1</v>
      </c>
      <c r="AG352">
        <f>IF(OR($B352="",NOT(ISNUMBER(J352))),"",IF(COUNTIF(K352:$T352,J352)&gt;0,0,IF(COUNTIF($G352:$T352,"&gt;"&amp;J352)=0,"",SMALL($G352:$T352,COUNTIF($G352:$T352,"&lt;="&amp;J352)+1)-J352)))</f>
        <v>2</v>
      </c>
      <c r="AH352" t="str">
        <f>IF(OR($B352="",NOT(ISNUMBER(K352))),"",IF(COUNTIF(L352:$T352,K352)&gt;0,0,IF(COUNTIF($G352:$T352,"&gt;"&amp;K352)=0,"",SMALL($G352:$T352,COUNTIF($G352:$T352,"&lt;="&amp;K352)+1)-K352)))</f>
        <v/>
      </c>
      <c r="AI352" t="str">
        <f>IF(OR($B352="",NOT(ISNUMBER(L352))),"",IF(COUNTIF(M352:$T352,L352)&gt;0,0,IF(COUNTIF($G352:$T352,"&gt;"&amp;L352)=0,"",SMALL($G352:$T352,COUNTIF($G352:$T352,"&lt;="&amp;L352)+1)-L352)))</f>
        <v/>
      </c>
      <c r="AJ352" t="str">
        <f>IF(OR($B352="",NOT(ISNUMBER(M352))),"",IF(COUNTIF(N352:$T352,M352)&gt;0,0,IF(COUNTIF($G352:$T352,"&gt;"&amp;M352)=0,"",SMALL($G352:$T352,COUNTIF($G352:$T352,"&lt;="&amp;M352)+1)-M352)))</f>
        <v/>
      </c>
      <c r="AK352" t="str">
        <f>IF(OR($B352="",NOT(ISNUMBER(N352))),"",IF(COUNTIF(O352:$T352,N352)&gt;0,0,IF(COUNTIF($G352:$T352,"&gt;"&amp;N352)=0,"",SMALL($G352:$T352,COUNTIF($G352:$T352,"&lt;="&amp;N352)+1)-N352)))</f>
        <v/>
      </c>
      <c r="AL352" t="str">
        <f>IF(OR($B352="",NOT(ISNUMBER(O352))),"",IF(COUNTIF(P352:$T352,O352)&gt;0,0,IF(COUNTIF($G352:$T352,"&gt;"&amp;O352)=0,"",SMALL($G352:$T352,COUNTIF($G352:$T352,"&lt;="&amp;O352)+1)-O352)))</f>
        <v/>
      </c>
      <c r="AM352" t="str">
        <f>IF(OR($B352="",NOT(ISNUMBER(P352))),"",IF(COUNTIF(Q352:$T352,P352)&gt;0,0,IF(COUNTIF($G352:$T352,"&gt;"&amp;P352)=0,"",SMALL($G352:$T352,COUNTIF($G352:$T352,"&lt;="&amp;P352)+1)-P352)))</f>
        <v/>
      </c>
      <c r="AN352">
        <f>IF(OR($B352="",NOT(ISNUMBER(Q352))),"",IF(COUNTIF(R352:$T352,Q352)&gt;0,0,IF(COUNTIF($G352:$T352,"&gt;"&amp;Q352)=0,"",SMALL($G352:$T352,COUNTIF($G352:$T352,"&lt;="&amp;Q352)+1)-Q352)))</f>
        <v>0</v>
      </c>
      <c r="AO352" t="str">
        <f>IF(OR($B352="",NOT(ISNUMBER(R352))),"",IF(COUNTIF(S352:$T352,R352)&gt;0,0,IF(COUNTIF($G352:$T352,"&gt;"&amp;R352)=0,"",SMALL($G352:$T352,COUNTIF($G352:$T352,"&lt;="&amp;R352)+1)-R352)))</f>
        <v/>
      </c>
      <c r="AP352">
        <f t="shared" ca="1" si="88"/>
        <v>0</v>
      </c>
      <c r="AQ352" s="25" t="str">
        <f t="shared" si="89"/>
        <v/>
      </c>
      <c r="AR352" s="25" t="str">
        <f t="shared" si="90"/>
        <v/>
      </c>
      <c r="AS352" s="25">
        <f t="shared" si="91"/>
        <v>46301</v>
      </c>
      <c r="AT352" s="25">
        <f t="shared" si="92"/>
        <v>46303</v>
      </c>
      <c r="AU352" s="25" t="str">
        <f t="shared" si="93"/>
        <v/>
      </c>
      <c r="AV352" s="25" t="str">
        <f t="shared" si="94"/>
        <v/>
      </c>
      <c r="AW352" s="25" t="str">
        <f t="shared" si="95"/>
        <v/>
      </c>
      <c r="AX352" s="25" t="str">
        <f t="shared" si="96"/>
        <v/>
      </c>
      <c r="AY352" s="25" t="str">
        <f t="shared" si="97"/>
        <v/>
      </c>
      <c r="AZ352" s="25" t="str">
        <f t="shared" si="98"/>
        <v/>
      </c>
      <c r="BA352" s="25">
        <f t="shared" si="99"/>
        <v>46303</v>
      </c>
      <c r="BB352" s="25" t="str">
        <f t="shared" si="100"/>
        <v/>
      </c>
      <c r="BC352" s="25">
        <f t="shared" si="101"/>
        <v>46303</v>
      </c>
    </row>
    <row r="353" spans="1:55" x14ac:dyDescent="0.25">
      <c r="A353" s="151">
        <f t="shared" si="86"/>
        <v>351</v>
      </c>
      <c r="B353" s="151" t="s">
        <v>551</v>
      </c>
      <c r="C353" s="152" t="s">
        <v>113</v>
      </c>
      <c r="D353" s="151">
        <f t="shared" si="85"/>
        <v>1</v>
      </c>
      <c r="E353" s="151" t="s">
        <v>61</v>
      </c>
      <c r="F353" s="173">
        <v>46300</v>
      </c>
      <c r="G353" s="173"/>
      <c r="H353" s="173"/>
      <c r="I353" s="173">
        <v>46300</v>
      </c>
      <c r="J353" s="173">
        <v>46301</v>
      </c>
      <c r="K353" s="173"/>
      <c r="L353" s="173"/>
      <c r="M353" s="173"/>
      <c r="N353" s="173"/>
      <c r="O353" s="173"/>
      <c r="P353" s="173"/>
      <c r="Q353" s="173"/>
      <c r="R353" s="173"/>
      <c r="S353" s="173"/>
      <c r="T353" s="174">
        <v>46301</v>
      </c>
      <c r="U353" s="151"/>
      <c r="V353" s="152"/>
      <c r="W353" s="175"/>
      <c r="X353" s="173"/>
      <c r="Y353" s="173"/>
      <c r="Z353" s="176" t="str">
        <f>IF(B353="","",IF(S353&lt;&gt;"","Sevk Edildi",IF(AND(X353&lt;&gt;"",Y353=""),"Reworkte",IF(T353&lt;&gt;"","Kapandı"&amp;IF(COUNT(G353:R353)=0,""," – "&amp;LOOKUP(2,1/(G353:R353=MAX(G353:R353)),{"Tasarım","Ply Cutter","Üretim","Kalite (Üretim sonrası)","Talaşlı","Kalite (Talaşlı sonrası)","Montaj","Kalite (Montaj sonrası)","Boya","Kalite (Boya sonrası)","Yarı Mamül","KM"})),IF(COUNT(G353:R353)=0,"Başlamadı",LOOKUP(2,1/(G353:R353=MAX(G353:R353)),{"Tasarımda","Ply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53" s="177">
        <f t="shared" ca="1" si="87"/>
        <v>1</v>
      </c>
      <c r="AB353" s="175"/>
      <c r="AD353" t="str">
        <f>IF(OR($B353="",NOT(ISNUMBER(G353))),"",IF(COUNTIF(H353:$T353,G353)&gt;0,0,IF(COUNTIF($G353:$T353,"&gt;"&amp;G353)=0,"",SMALL($G353:$T353,COUNTIF($G353:$T353,"&lt;="&amp;G353)+1)-G353)))</f>
        <v/>
      </c>
      <c r="AE353" t="str">
        <f>IF(OR($B353="",NOT(ISNUMBER(H353))),"",IF(COUNTIF(I353:$T353,H353)&gt;0,0,IF(COUNTIF($G353:$T353,"&gt;"&amp;H353)=0,"",SMALL($G353:$T353,COUNTIF($G353:$T353,"&lt;="&amp;H353)+1)-H353)))</f>
        <v/>
      </c>
      <c r="AF353">
        <f>IF(OR($B353="",NOT(ISNUMBER(I353))),"",IF(COUNTIF(J353:$T353,I353)&gt;0,0,IF(COUNTIF($G353:$T353,"&gt;"&amp;I353)=0,"",SMALL($G353:$T353,COUNTIF($G353:$T353,"&lt;="&amp;I353)+1)-I353)))</f>
        <v>1</v>
      </c>
      <c r="AG353">
        <f>IF(OR($B353="",NOT(ISNUMBER(J353))),"",IF(COUNTIF(K353:$T353,J353)&gt;0,0,IF(COUNTIF($G353:$T353,"&gt;"&amp;J353)=0,"",SMALL($G353:$T353,COUNTIF($G353:$T353,"&lt;="&amp;J353)+1)-J353)))</f>
        <v>0</v>
      </c>
      <c r="AH353" t="str">
        <f>IF(OR($B353="",NOT(ISNUMBER(K353))),"",IF(COUNTIF(L353:$T353,K353)&gt;0,0,IF(COUNTIF($G353:$T353,"&gt;"&amp;K353)=0,"",SMALL($G353:$T353,COUNTIF($G353:$T353,"&lt;="&amp;K353)+1)-K353)))</f>
        <v/>
      </c>
      <c r="AI353" t="str">
        <f>IF(OR($B353="",NOT(ISNUMBER(L353))),"",IF(COUNTIF(M353:$T353,L353)&gt;0,0,IF(COUNTIF($G353:$T353,"&gt;"&amp;L353)=0,"",SMALL($G353:$T353,COUNTIF($G353:$T353,"&lt;="&amp;L353)+1)-L353)))</f>
        <v/>
      </c>
      <c r="AJ353" t="str">
        <f>IF(OR($B353="",NOT(ISNUMBER(M353))),"",IF(COUNTIF(N353:$T353,M353)&gt;0,0,IF(COUNTIF($G353:$T353,"&gt;"&amp;M353)=0,"",SMALL($G353:$T353,COUNTIF($G353:$T353,"&lt;="&amp;M353)+1)-M353)))</f>
        <v/>
      </c>
      <c r="AK353" t="str">
        <f>IF(OR($B353="",NOT(ISNUMBER(N353))),"",IF(COUNTIF(O353:$T353,N353)&gt;0,0,IF(COUNTIF($G353:$T353,"&gt;"&amp;N353)=0,"",SMALL($G353:$T353,COUNTIF($G353:$T353,"&lt;="&amp;N353)+1)-N353)))</f>
        <v/>
      </c>
      <c r="AL353" t="str">
        <f>IF(OR($B353="",NOT(ISNUMBER(O353))),"",IF(COUNTIF(P353:$T353,O353)&gt;0,0,IF(COUNTIF($G353:$T353,"&gt;"&amp;O353)=0,"",SMALL($G353:$T353,COUNTIF($G353:$T353,"&lt;="&amp;O353)+1)-O353)))</f>
        <v/>
      </c>
      <c r="AM353" t="str">
        <f>IF(OR($B353="",NOT(ISNUMBER(P353))),"",IF(COUNTIF(Q353:$T353,P353)&gt;0,0,IF(COUNTIF($G353:$T353,"&gt;"&amp;P353)=0,"",SMALL($G353:$T353,COUNTIF($G353:$T353,"&lt;="&amp;P353)+1)-P353)))</f>
        <v/>
      </c>
      <c r="AN353" t="str">
        <f>IF(OR($B353="",NOT(ISNUMBER(Q353))),"",IF(COUNTIF(R353:$T353,Q353)&gt;0,0,IF(COUNTIF($G353:$T353,"&gt;"&amp;Q353)=0,"",SMALL($G353:$T353,COUNTIF($G353:$T353,"&lt;="&amp;Q353)+1)-Q353)))</f>
        <v/>
      </c>
      <c r="AO353" t="str">
        <f>IF(OR($B353="",NOT(ISNUMBER(R353))),"",IF(COUNTIF(S353:$T353,R353)&gt;0,0,IF(COUNTIF($G353:$T353,"&gt;"&amp;R353)=0,"",SMALL($G353:$T353,COUNTIF($G353:$T353,"&lt;="&amp;R353)+1)-R353)))</f>
        <v/>
      </c>
      <c r="AP353">
        <f t="shared" ca="1" si="88"/>
        <v>0</v>
      </c>
      <c r="AQ353" s="25" t="str">
        <f t="shared" si="89"/>
        <v/>
      </c>
      <c r="AR353" s="25" t="str">
        <f t="shared" si="90"/>
        <v/>
      </c>
      <c r="AS353" s="25">
        <f t="shared" si="91"/>
        <v>46301</v>
      </c>
      <c r="AT353" s="25">
        <f t="shared" si="92"/>
        <v>46301</v>
      </c>
      <c r="AU353" s="25" t="str">
        <f t="shared" si="93"/>
        <v/>
      </c>
      <c r="AV353" s="25" t="str">
        <f t="shared" si="94"/>
        <v/>
      </c>
      <c r="AW353" s="25" t="str">
        <f t="shared" si="95"/>
        <v/>
      </c>
      <c r="AX353" s="25" t="str">
        <f t="shared" si="96"/>
        <v/>
      </c>
      <c r="AY353" s="25" t="str">
        <f t="shared" si="97"/>
        <v/>
      </c>
      <c r="AZ353" s="25" t="str">
        <f t="shared" si="98"/>
        <v/>
      </c>
      <c r="BA353" s="25" t="str">
        <f t="shared" si="99"/>
        <v/>
      </c>
      <c r="BB353" s="25" t="str">
        <f t="shared" si="100"/>
        <v/>
      </c>
      <c r="BC353" s="25">
        <f t="shared" si="101"/>
        <v>46301</v>
      </c>
    </row>
    <row r="354" spans="1:55" x14ac:dyDescent="0.25">
      <c r="A354" s="151">
        <f t="shared" si="86"/>
        <v>352</v>
      </c>
      <c r="B354" s="151" t="s">
        <v>552</v>
      </c>
      <c r="C354" s="152" t="s">
        <v>345</v>
      </c>
      <c r="D354" s="151">
        <f t="shared" si="85"/>
        <v>1</v>
      </c>
      <c r="E354" s="151" t="s">
        <v>61</v>
      </c>
      <c r="F354" s="173">
        <v>46300</v>
      </c>
      <c r="G354" s="173"/>
      <c r="H354" s="173"/>
      <c r="I354" s="173">
        <v>46300</v>
      </c>
      <c r="J354" s="173">
        <v>46301</v>
      </c>
      <c r="K354" s="173"/>
      <c r="L354" s="173"/>
      <c r="M354" s="173"/>
      <c r="N354" s="173"/>
      <c r="O354" s="173"/>
      <c r="P354" s="173"/>
      <c r="Q354" s="173"/>
      <c r="R354" s="173"/>
      <c r="S354" s="173"/>
      <c r="T354" s="174">
        <v>46304</v>
      </c>
      <c r="U354" s="151"/>
      <c r="V354" s="152"/>
      <c r="W354" s="175"/>
      <c r="X354" s="173"/>
      <c r="Y354" s="173"/>
      <c r="Z354" s="176" t="str">
        <f>IF(B354="","",IF(S354&lt;&gt;"","Sevk Edildi",IF(AND(X354&lt;&gt;"",Y354=""),"Reworkte",IF(T354&lt;&gt;"","Kapandı"&amp;IF(COUNT(G354:R354)=0,""," – "&amp;LOOKUP(2,1/(G354:R354=MAX(G354:R354)),{"Tasarım","Ply Cutter","Üretim","Kalite (Üretim sonrası)","Talaşlı","Kalite (Talaşlı sonrası)","Montaj","Kalite (Montaj sonrası)","Boya","Kalite (Boya sonrası)","Yarı Mamül","KM"})),IF(COUNT(G354:R354)=0,"Başlamadı",LOOKUP(2,1/(G354:R354=MAX(G354:R354)),{"Tasarımda","Ply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54" s="177">
        <f t="shared" ca="1" si="87"/>
        <v>4</v>
      </c>
      <c r="AB354" s="175"/>
      <c r="AD354" t="str">
        <f>IF(OR($B354="",NOT(ISNUMBER(G354))),"",IF(COUNTIF(H354:$T354,G354)&gt;0,0,IF(COUNTIF($G354:$T354,"&gt;"&amp;G354)=0,"",SMALL($G354:$T354,COUNTIF($G354:$T354,"&lt;="&amp;G354)+1)-G354)))</f>
        <v/>
      </c>
      <c r="AE354" t="str">
        <f>IF(OR($B354="",NOT(ISNUMBER(H354))),"",IF(COUNTIF(I354:$T354,H354)&gt;0,0,IF(COUNTIF($G354:$T354,"&gt;"&amp;H354)=0,"",SMALL($G354:$T354,COUNTIF($G354:$T354,"&lt;="&amp;H354)+1)-H354)))</f>
        <v/>
      </c>
      <c r="AF354">
        <f>IF(OR($B354="",NOT(ISNUMBER(I354))),"",IF(COUNTIF(J354:$T354,I354)&gt;0,0,IF(COUNTIF($G354:$T354,"&gt;"&amp;I354)=0,"",SMALL($G354:$T354,COUNTIF($G354:$T354,"&lt;="&amp;I354)+1)-I354)))</f>
        <v>1</v>
      </c>
      <c r="AG354">
        <f>IF(OR($B354="",NOT(ISNUMBER(J354))),"",IF(COUNTIF(K354:$T354,J354)&gt;0,0,IF(COUNTIF($G354:$T354,"&gt;"&amp;J354)=0,"",SMALL($G354:$T354,COUNTIF($G354:$T354,"&lt;="&amp;J354)+1)-J354)))</f>
        <v>3</v>
      </c>
      <c r="AH354" t="str">
        <f>IF(OR($B354="",NOT(ISNUMBER(K354))),"",IF(COUNTIF(L354:$T354,K354)&gt;0,0,IF(COUNTIF($G354:$T354,"&gt;"&amp;K354)=0,"",SMALL($G354:$T354,COUNTIF($G354:$T354,"&lt;="&amp;K354)+1)-K354)))</f>
        <v/>
      </c>
      <c r="AI354" t="str">
        <f>IF(OR($B354="",NOT(ISNUMBER(L354))),"",IF(COUNTIF(M354:$T354,L354)&gt;0,0,IF(COUNTIF($G354:$T354,"&gt;"&amp;L354)=0,"",SMALL($G354:$T354,COUNTIF($G354:$T354,"&lt;="&amp;L354)+1)-L354)))</f>
        <v/>
      </c>
      <c r="AJ354" t="str">
        <f>IF(OR($B354="",NOT(ISNUMBER(M354))),"",IF(COUNTIF(N354:$T354,M354)&gt;0,0,IF(COUNTIF($G354:$T354,"&gt;"&amp;M354)=0,"",SMALL($G354:$T354,COUNTIF($G354:$T354,"&lt;="&amp;M354)+1)-M354)))</f>
        <v/>
      </c>
      <c r="AK354" t="str">
        <f>IF(OR($B354="",NOT(ISNUMBER(N354))),"",IF(COUNTIF(O354:$T354,N354)&gt;0,0,IF(COUNTIF($G354:$T354,"&gt;"&amp;N354)=0,"",SMALL($G354:$T354,COUNTIF($G354:$T354,"&lt;="&amp;N354)+1)-N354)))</f>
        <v/>
      </c>
      <c r="AL354" t="str">
        <f>IF(OR($B354="",NOT(ISNUMBER(O354))),"",IF(COUNTIF(P354:$T354,O354)&gt;0,0,IF(COUNTIF($G354:$T354,"&gt;"&amp;O354)=0,"",SMALL($G354:$T354,COUNTIF($G354:$T354,"&lt;="&amp;O354)+1)-O354)))</f>
        <v/>
      </c>
      <c r="AM354" t="str">
        <f>IF(OR($B354="",NOT(ISNUMBER(P354))),"",IF(COUNTIF(Q354:$T354,P354)&gt;0,0,IF(COUNTIF($G354:$T354,"&gt;"&amp;P354)=0,"",SMALL($G354:$T354,COUNTIF($G354:$T354,"&lt;="&amp;P354)+1)-P354)))</f>
        <v/>
      </c>
      <c r="AN354" t="str">
        <f>IF(OR($B354="",NOT(ISNUMBER(Q354))),"",IF(COUNTIF(R354:$T354,Q354)&gt;0,0,IF(COUNTIF($G354:$T354,"&gt;"&amp;Q354)=0,"",SMALL($G354:$T354,COUNTIF($G354:$T354,"&lt;="&amp;Q354)+1)-Q354)))</f>
        <v/>
      </c>
      <c r="AO354" t="str">
        <f>IF(OR($B354="",NOT(ISNUMBER(R354))),"",IF(COUNTIF(S354:$T354,R354)&gt;0,0,IF(COUNTIF($G354:$T354,"&gt;"&amp;R354)=0,"",SMALL($G354:$T354,COUNTIF($G354:$T354,"&lt;="&amp;R354)+1)-R354)))</f>
        <v/>
      </c>
      <c r="AP354">
        <f t="shared" ca="1" si="88"/>
        <v>0</v>
      </c>
      <c r="AQ354" s="25" t="str">
        <f t="shared" si="89"/>
        <v/>
      </c>
      <c r="AR354" s="25" t="str">
        <f t="shared" si="90"/>
        <v/>
      </c>
      <c r="AS354" s="25">
        <f t="shared" si="91"/>
        <v>46301</v>
      </c>
      <c r="AT354" s="25">
        <f t="shared" si="92"/>
        <v>46304</v>
      </c>
      <c r="AU354" s="25" t="str">
        <f t="shared" si="93"/>
        <v/>
      </c>
      <c r="AV354" s="25" t="str">
        <f t="shared" si="94"/>
        <v/>
      </c>
      <c r="AW354" s="25" t="str">
        <f t="shared" si="95"/>
        <v/>
      </c>
      <c r="AX354" s="25" t="str">
        <f t="shared" si="96"/>
        <v/>
      </c>
      <c r="AY354" s="25" t="str">
        <f t="shared" si="97"/>
        <v/>
      </c>
      <c r="AZ354" s="25" t="str">
        <f t="shared" si="98"/>
        <v/>
      </c>
      <c r="BA354" s="25" t="str">
        <f t="shared" si="99"/>
        <v/>
      </c>
      <c r="BB354" s="25" t="str">
        <f t="shared" si="100"/>
        <v/>
      </c>
      <c r="BC354" s="25">
        <f t="shared" si="101"/>
        <v>46304</v>
      </c>
    </row>
    <row r="355" spans="1:55" x14ac:dyDescent="0.25">
      <c r="A355" s="151">
        <f t="shared" si="86"/>
        <v>353</v>
      </c>
      <c r="B355" s="151" t="s">
        <v>553</v>
      </c>
      <c r="C355" s="152" t="s">
        <v>224</v>
      </c>
      <c r="D355" s="151">
        <f t="shared" si="85"/>
        <v>1</v>
      </c>
      <c r="E355" s="151" t="s">
        <v>61</v>
      </c>
      <c r="F355" s="173">
        <v>46300</v>
      </c>
      <c r="G355" s="173"/>
      <c r="H355" s="173"/>
      <c r="I355" s="173">
        <v>46300</v>
      </c>
      <c r="J355" s="173">
        <v>46300</v>
      </c>
      <c r="K355" s="173"/>
      <c r="L355" s="173"/>
      <c r="M355" s="173"/>
      <c r="N355" s="173"/>
      <c r="O355" s="173"/>
      <c r="P355" s="173"/>
      <c r="Q355" s="173">
        <v>46301</v>
      </c>
      <c r="R355" s="173"/>
      <c r="S355" s="173"/>
      <c r="T355" s="174">
        <v>46301</v>
      </c>
      <c r="U355" s="151"/>
      <c r="V355" s="152"/>
      <c r="W355" s="175"/>
      <c r="X355" s="173"/>
      <c r="Y355" s="173"/>
      <c r="Z355" s="176" t="str">
        <f>IF(B355="","",IF(S355&lt;&gt;"","Sevk Edildi",IF(AND(X355&lt;&gt;"",Y355=""),"Reworkte",IF(T355&lt;&gt;"","Kapandı"&amp;IF(COUNT(G355:R355)=0,""," – "&amp;LOOKUP(2,1/(G355:R355=MAX(G355:R355)),{"Tasarım","Ply Cutter","Üretim","Kalite (Üretim sonrası)","Talaşlı","Kalite (Talaşlı sonrası)","Montaj","Kalite (Montaj sonrası)","Boya","Kalite (Boya sonrası)","Yarı Mamül","KM"})),IF(COUNT(G355:R355)=0,"Başlamadı",LOOKUP(2,1/(G355:R355=MAX(G355:R355)),{"Tasarımda","Ply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55" s="177">
        <f t="shared" ca="1" si="87"/>
        <v>1</v>
      </c>
      <c r="AB355" s="175"/>
      <c r="AD355" t="str">
        <f>IF(OR($B355="",NOT(ISNUMBER(G355))),"",IF(COUNTIF(H355:$T355,G355)&gt;0,0,IF(COUNTIF($G355:$T355,"&gt;"&amp;G355)=0,"",SMALL($G355:$T355,COUNTIF($G355:$T355,"&lt;="&amp;G355)+1)-G355)))</f>
        <v/>
      </c>
      <c r="AE355" t="str">
        <f>IF(OR($B355="",NOT(ISNUMBER(H355))),"",IF(COUNTIF(I355:$T355,H355)&gt;0,0,IF(COUNTIF($G355:$T355,"&gt;"&amp;H355)=0,"",SMALL($G355:$T355,COUNTIF($G355:$T355,"&lt;="&amp;H355)+1)-H355)))</f>
        <v/>
      </c>
      <c r="AF355">
        <f>IF(OR($B355="",NOT(ISNUMBER(I355))),"",IF(COUNTIF(J355:$T355,I355)&gt;0,0,IF(COUNTIF($G355:$T355,"&gt;"&amp;I355)=0,"",SMALL($G355:$T355,COUNTIF($G355:$T355,"&lt;="&amp;I355)+1)-I355)))</f>
        <v>0</v>
      </c>
      <c r="AG355">
        <f>IF(OR($B355="",NOT(ISNUMBER(J355))),"",IF(COUNTIF(K355:$T355,J355)&gt;0,0,IF(COUNTIF($G355:$T355,"&gt;"&amp;J355)=0,"",SMALL($G355:$T355,COUNTIF($G355:$T355,"&lt;="&amp;J355)+1)-J355)))</f>
        <v>1</v>
      </c>
      <c r="AH355" t="str">
        <f>IF(OR($B355="",NOT(ISNUMBER(K355))),"",IF(COUNTIF(L355:$T355,K355)&gt;0,0,IF(COUNTIF($G355:$T355,"&gt;"&amp;K355)=0,"",SMALL($G355:$T355,COUNTIF($G355:$T355,"&lt;="&amp;K355)+1)-K355)))</f>
        <v/>
      </c>
      <c r="AI355" t="str">
        <f>IF(OR($B355="",NOT(ISNUMBER(L355))),"",IF(COUNTIF(M355:$T355,L355)&gt;0,0,IF(COUNTIF($G355:$T355,"&gt;"&amp;L355)=0,"",SMALL($G355:$T355,COUNTIF($G355:$T355,"&lt;="&amp;L355)+1)-L355)))</f>
        <v/>
      </c>
      <c r="AJ355" t="str">
        <f>IF(OR($B355="",NOT(ISNUMBER(M355))),"",IF(COUNTIF(N355:$T355,M355)&gt;0,0,IF(COUNTIF($G355:$T355,"&gt;"&amp;M355)=0,"",SMALL($G355:$T355,COUNTIF($G355:$T355,"&lt;="&amp;M355)+1)-M355)))</f>
        <v/>
      </c>
      <c r="AK355" t="str">
        <f>IF(OR($B355="",NOT(ISNUMBER(N355))),"",IF(COUNTIF(O355:$T355,N355)&gt;0,0,IF(COUNTIF($G355:$T355,"&gt;"&amp;N355)=0,"",SMALL($G355:$T355,COUNTIF($G355:$T355,"&lt;="&amp;N355)+1)-N355)))</f>
        <v/>
      </c>
      <c r="AL355" t="str">
        <f>IF(OR($B355="",NOT(ISNUMBER(O355))),"",IF(COUNTIF(P355:$T355,O355)&gt;0,0,IF(COUNTIF($G355:$T355,"&gt;"&amp;O355)=0,"",SMALL($G355:$T355,COUNTIF($G355:$T355,"&lt;="&amp;O355)+1)-O355)))</f>
        <v/>
      </c>
      <c r="AM355" t="str">
        <f>IF(OR($B355="",NOT(ISNUMBER(P355))),"",IF(COUNTIF(Q355:$T355,P355)&gt;0,0,IF(COUNTIF($G355:$T355,"&gt;"&amp;P355)=0,"",SMALL($G355:$T355,COUNTIF($G355:$T355,"&lt;="&amp;P355)+1)-P355)))</f>
        <v/>
      </c>
      <c r="AN355">
        <f>IF(OR($B355="",NOT(ISNUMBER(Q355))),"",IF(COUNTIF(R355:$T355,Q355)&gt;0,0,IF(COUNTIF($G355:$T355,"&gt;"&amp;Q355)=0,"",SMALL($G355:$T355,COUNTIF($G355:$T355,"&lt;="&amp;Q355)+1)-Q355)))</f>
        <v>0</v>
      </c>
      <c r="AO355" t="str">
        <f>IF(OR($B355="",NOT(ISNUMBER(R355))),"",IF(COUNTIF(S355:$T355,R355)&gt;0,0,IF(COUNTIF($G355:$T355,"&gt;"&amp;R355)=0,"",SMALL($G355:$T355,COUNTIF($G355:$T355,"&lt;="&amp;R355)+1)-R355)))</f>
        <v/>
      </c>
      <c r="AP355">
        <f t="shared" ca="1" si="88"/>
        <v>0</v>
      </c>
      <c r="AQ355" s="25" t="str">
        <f t="shared" si="89"/>
        <v/>
      </c>
      <c r="AR355" s="25" t="str">
        <f t="shared" si="90"/>
        <v/>
      </c>
      <c r="AS355" s="25">
        <f t="shared" si="91"/>
        <v>46300</v>
      </c>
      <c r="AT355" s="25">
        <f t="shared" si="92"/>
        <v>46301</v>
      </c>
      <c r="AU355" s="25" t="str">
        <f t="shared" si="93"/>
        <v/>
      </c>
      <c r="AV355" s="25" t="str">
        <f t="shared" si="94"/>
        <v/>
      </c>
      <c r="AW355" s="25" t="str">
        <f t="shared" si="95"/>
        <v/>
      </c>
      <c r="AX355" s="25" t="str">
        <f t="shared" si="96"/>
        <v/>
      </c>
      <c r="AY355" s="25" t="str">
        <f t="shared" si="97"/>
        <v/>
      </c>
      <c r="AZ355" s="25" t="str">
        <f t="shared" si="98"/>
        <v/>
      </c>
      <c r="BA355" s="25">
        <f t="shared" si="99"/>
        <v>46301</v>
      </c>
      <c r="BB355" s="25" t="str">
        <f t="shared" si="100"/>
        <v/>
      </c>
      <c r="BC355" s="25">
        <f t="shared" si="101"/>
        <v>46301</v>
      </c>
    </row>
    <row r="356" spans="1:55" x14ac:dyDescent="0.25">
      <c r="A356" s="151">
        <f t="shared" si="86"/>
        <v>354</v>
      </c>
      <c r="B356" s="151" t="s">
        <v>554</v>
      </c>
      <c r="C356" s="152" t="s">
        <v>478</v>
      </c>
      <c r="D356" s="151">
        <f t="shared" si="85"/>
        <v>1</v>
      </c>
      <c r="E356" s="151" t="s">
        <v>61</v>
      </c>
      <c r="F356" s="173">
        <v>46300</v>
      </c>
      <c r="G356" s="173"/>
      <c r="H356" s="173"/>
      <c r="I356" s="173">
        <v>46300</v>
      </c>
      <c r="J356" s="173">
        <v>46301</v>
      </c>
      <c r="K356" s="173"/>
      <c r="L356" s="173"/>
      <c r="M356" s="173"/>
      <c r="N356" s="173"/>
      <c r="O356" s="173"/>
      <c r="P356" s="173"/>
      <c r="Q356" s="173">
        <v>46302</v>
      </c>
      <c r="R356" s="173"/>
      <c r="S356" s="173"/>
      <c r="T356" s="174">
        <v>46302</v>
      </c>
      <c r="U356" s="151"/>
      <c r="V356" s="152"/>
      <c r="W356" s="175"/>
      <c r="X356" s="173"/>
      <c r="Y356" s="173"/>
      <c r="Z356" s="176" t="str">
        <f>IF(B356="","",IF(S356&lt;&gt;"","Sevk Edildi",IF(AND(X356&lt;&gt;"",Y356=""),"Reworkte",IF(T356&lt;&gt;"","Kapandı"&amp;IF(COUNT(G356:R356)=0,""," – "&amp;LOOKUP(2,1/(G356:R356=MAX(G356:R356)),{"Tasarım","Ply Cutter","Üretim","Kalite (Üretim sonrası)","Talaşlı","Kalite (Talaşlı sonrası)","Montaj","Kalite (Montaj sonrası)","Boya","Kalite (Boya sonrası)","Yarı Mamül","KM"})),IF(COUNT(G356:R356)=0,"Başlamadı",LOOKUP(2,1/(G356:R356=MAX(G356:R356)),{"Tasarımda","Ply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56" s="177">
        <f t="shared" ca="1" si="87"/>
        <v>2</v>
      </c>
      <c r="AB356" s="175"/>
      <c r="AD356" t="str">
        <f>IF(OR($B356="",NOT(ISNUMBER(G356))),"",IF(COUNTIF(H356:$T356,G356)&gt;0,0,IF(COUNTIF($G356:$T356,"&gt;"&amp;G356)=0,"",SMALL($G356:$T356,COUNTIF($G356:$T356,"&lt;="&amp;G356)+1)-G356)))</f>
        <v/>
      </c>
      <c r="AE356" t="str">
        <f>IF(OR($B356="",NOT(ISNUMBER(H356))),"",IF(COUNTIF(I356:$T356,H356)&gt;0,0,IF(COUNTIF($G356:$T356,"&gt;"&amp;H356)=0,"",SMALL($G356:$T356,COUNTIF($G356:$T356,"&lt;="&amp;H356)+1)-H356)))</f>
        <v/>
      </c>
      <c r="AF356">
        <f>IF(OR($B356="",NOT(ISNUMBER(I356))),"",IF(COUNTIF(J356:$T356,I356)&gt;0,0,IF(COUNTIF($G356:$T356,"&gt;"&amp;I356)=0,"",SMALL($G356:$T356,COUNTIF($G356:$T356,"&lt;="&amp;I356)+1)-I356)))</f>
        <v>1</v>
      </c>
      <c r="AG356">
        <f>IF(OR($B356="",NOT(ISNUMBER(J356))),"",IF(COUNTIF(K356:$T356,J356)&gt;0,0,IF(COUNTIF($G356:$T356,"&gt;"&amp;J356)=0,"",SMALL($G356:$T356,COUNTIF($G356:$T356,"&lt;="&amp;J356)+1)-J356)))</f>
        <v>1</v>
      </c>
      <c r="AH356" t="str">
        <f>IF(OR($B356="",NOT(ISNUMBER(K356))),"",IF(COUNTIF(L356:$T356,K356)&gt;0,0,IF(COUNTIF($G356:$T356,"&gt;"&amp;K356)=0,"",SMALL($G356:$T356,COUNTIF($G356:$T356,"&lt;="&amp;K356)+1)-K356)))</f>
        <v/>
      </c>
      <c r="AI356" t="str">
        <f>IF(OR($B356="",NOT(ISNUMBER(L356))),"",IF(COUNTIF(M356:$T356,L356)&gt;0,0,IF(COUNTIF($G356:$T356,"&gt;"&amp;L356)=0,"",SMALL($G356:$T356,COUNTIF($G356:$T356,"&lt;="&amp;L356)+1)-L356)))</f>
        <v/>
      </c>
      <c r="AJ356" t="str">
        <f>IF(OR($B356="",NOT(ISNUMBER(M356))),"",IF(COUNTIF(N356:$T356,M356)&gt;0,0,IF(COUNTIF($G356:$T356,"&gt;"&amp;M356)=0,"",SMALL($G356:$T356,COUNTIF($G356:$T356,"&lt;="&amp;M356)+1)-M356)))</f>
        <v/>
      </c>
      <c r="AK356" t="str">
        <f>IF(OR($B356="",NOT(ISNUMBER(N356))),"",IF(COUNTIF(O356:$T356,N356)&gt;0,0,IF(COUNTIF($G356:$T356,"&gt;"&amp;N356)=0,"",SMALL($G356:$T356,COUNTIF($G356:$T356,"&lt;="&amp;N356)+1)-N356)))</f>
        <v/>
      </c>
      <c r="AL356" t="str">
        <f>IF(OR($B356="",NOT(ISNUMBER(O356))),"",IF(COUNTIF(P356:$T356,O356)&gt;0,0,IF(COUNTIF($G356:$T356,"&gt;"&amp;O356)=0,"",SMALL($G356:$T356,COUNTIF($G356:$T356,"&lt;="&amp;O356)+1)-O356)))</f>
        <v/>
      </c>
      <c r="AM356" t="str">
        <f>IF(OR($B356="",NOT(ISNUMBER(P356))),"",IF(COUNTIF(Q356:$T356,P356)&gt;0,0,IF(COUNTIF($G356:$T356,"&gt;"&amp;P356)=0,"",SMALL($G356:$T356,COUNTIF($G356:$T356,"&lt;="&amp;P356)+1)-P356)))</f>
        <v/>
      </c>
      <c r="AN356">
        <f>IF(OR($B356="",NOT(ISNUMBER(Q356))),"",IF(COUNTIF(R356:$T356,Q356)&gt;0,0,IF(COUNTIF($G356:$T356,"&gt;"&amp;Q356)=0,"",SMALL($G356:$T356,COUNTIF($G356:$T356,"&lt;="&amp;Q356)+1)-Q356)))</f>
        <v>0</v>
      </c>
      <c r="AO356" t="str">
        <f>IF(OR($B356="",NOT(ISNUMBER(R356))),"",IF(COUNTIF(S356:$T356,R356)&gt;0,0,IF(COUNTIF($G356:$T356,"&gt;"&amp;R356)=0,"",SMALL($G356:$T356,COUNTIF($G356:$T356,"&lt;="&amp;R356)+1)-R356)))</f>
        <v/>
      </c>
      <c r="AP356">
        <f t="shared" ca="1" si="88"/>
        <v>0</v>
      </c>
      <c r="AQ356" s="25" t="str">
        <f t="shared" si="89"/>
        <v/>
      </c>
      <c r="AR356" s="25" t="str">
        <f t="shared" si="90"/>
        <v/>
      </c>
      <c r="AS356" s="25">
        <f t="shared" si="91"/>
        <v>46301</v>
      </c>
      <c r="AT356" s="25">
        <f t="shared" si="92"/>
        <v>46302</v>
      </c>
      <c r="AU356" s="25" t="str">
        <f t="shared" si="93"/>
        <v/>
      </c>
      <c r="AV356" s="25" t="str">
        <f t="shared" si="94"/>
        <v/>
      </c>
      <c r="AW356" s="25" t="str">
        <f t="shared" si="95"/>
        <v/>
      </c>
      <c r="AX356" s="25" t="str">
        <f t="shared" si="96"/>
        <v/>
      </c>
      <c r="AY356" s="25" t="str">
        <f t="shared" si="97"/>
        <v/>
      </c>
      <c r="AZ356" s="25" t="str">
        <f t="shared" si="98"/>
        <v/>
      </c>
      <c r="BA356" s="25">
        <f t="shared" si="99"/>
        <v>46302</v>
      </c>
      <c r="BB356" s="25" t="str">
        <f t="shared" si="100"/>
        <v/>
      </c>
      <c r="BC356" s="25">
        <f t="shared" si="101"/>
        <v>46302</v>
      </c>
    </row>
    <row r="357" spans="1:55" x14ac:dyDescent="0.25">
      <c r="A357" s="151">
        <f t="shared" si="86"/>
        <v>355</v>
      </c>
      <c r="B357" s="151" t="s">
        <v>555</v>
      </c>
      <c r="C357" s="152" t="s">
        <v>556</v>
      </c>
      <c r="D357" s="151">
        <f t="shared" si="85"/>
        <v>2</v>
      </c>
      <c r="E357" s="151" t="s">
        <v>61</v>
      </c>
      <c r="F357" s="173">
        <v>46300</v>
      </c>
      <c r="G357" s="173"/>
      <c r="H357" s="173"/>
      <c r="I357" s="173"/>
      <c r="J357" s="173"/>
      <c r="K357" s="173">
        <v>46300</v>
      </c>
      <c r="L357" s="173">
        <v>46301</v>
      </c>
      <c r="M357" s="173"/>
      <c r="N357" s="173"/>
      <c r="O357" s="173"/>
      <c r="P357" s="173"/>
      <c r="Q357" s="173"/>
      <c r="R357" s="173"/>
      <c r="S357" s="173"/>
      <c r="T357" s="174">
        <v>46301</v>
      </c>
      <c r="U357" s="151"/>
      <c r="V357" s="152"/>
      <c r="W357" s="175"/>
      <c r="X357" s="173"/>
      <c r="Y357" s="173"/>
      <c r="Z357" s="176" t="str">
        <f>IF(B357="","",IF(S357&lt;&gt;"","Sevk Edildi",IF(AND(X357&lt;&gt;"",Y357=""),"Reworkte",IF(T357&lt;&gt;"","Kapandı"&amp;IF(COUNT(G357:R357)=0,""," – "&amp;LOOKUP(2,1/(G357:R357=MAX(G357:R357)),{"Tasarım","Ply Cutter","Üretim","Kalite (Üretim sonrası)","Talaşlı","Kalite (Talaşlı sonrası)","Montaj","Kalite (Montaj sonrası)","Boya","Kalite (Boya sonrası)","Yarı Mamül","KM"})),IF(COUNT(G357:R357)=0,"Başlamadı",LOOKUP(2,1/(G357:R357=MAX(G357:R357)),{"Tasarımda","Ply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57" s="177">
        <f t="shared" ca="1" si="87"/>
        <v>1</v>
      </c>
      <c r="AB357" s="175"/>
      <c r="AD357" t="str">
        <f>IF(OR($B357="",NOT(ISNUMBER(G357))),"",IF(COUNTIF(H357:$T357,G357)&gt;0,0,IF(COUNTIF($G357:$T357,"&gt;"&amp;G357)=0,"",SMALL($G357:$T357,COUNTIF($G357:$T357,"&lt;="&amp;G357)+1)-G357)))</f>
        <v/>
      </c>
      <c r="AE357" t="str">
        <f>IF(OR($B357="",NOT(ISNUMBER(H357))),"",IF(COUNTIF(I357:$T357,H357)&gt;0,0,IF(COUNTIF($G357:$T357,"&gt;"&amp;H357)=0,"",SMALL($G357:$T357,COUNTIF($G357:$T357,"&lt;="&amp;H357)+1)-H357)))</f>
        <v/>
      </c>
      <c r="AF357" t="str">
        <f>IF(OR($B357="",NOT(ISNUMBER(I357))),"",IF(COUNTIF(J357:$T357,I357)&gt;0,0,IF(COUNTIF($G357:$T357,"&gt;"&amp;I357)=0,"",SMALL($G357:$T357,COUNTIF($G357:$T357,"&lt;="&amp;I357)+1)-I357)))</f>
        <v/>
      </c>
      <c r="AG357" t="str">
        <f>IF(OR($B357="",NOT(ISNUMBER(J357))),"",IF(COUNTIF(K357:$T357,J357)&gt;0,0,IF(COUNTIF($G357:$T357,"&gt;"&amp;J357)=0,"",SMALL($G357:$T357,COUNTIF($G357:$T357,"&lt;="&amp;J357)+1)-J357)))</f>
        <v/>
      </c>
      <c r="AH357">
        <f>IF(OR($B357="",NOT(ISNUMBER(K357))),"",IF(COUNTIF(L357:$T357,K357)&gt;0,0,IF(COUNTIF($G357:$T357,"&gt;"&amp;K357)=0,"",SMALL($G357:$T357,COUNTIF($G357:$T357,"&lt;="&amp;K357)+1)-K357)))</f>
        <v>1</v>
      </c>
      <c r="AI357">
        <f>IF(OR($B357="",NOT(ISNUMBER(L357))),"",IF(COUNTIF(M357:$T357,L357)&gt;0,0,IF(COUNTIF($G357:$T357,"&gt;"&amp;L357)=0,"",SMALL($G357:$T357,COUNTIF($G357:$T357,"&lt;="&amp;L357)+1)-L357)))</f>
        <v>0</v>
      </c>
      <c r="AJ357" t="str">
        <f>IF(OR($B357="",NOT(ISNUMBER(M357))),"",IF(COUNTIF(N357:$T357,M357)&gt;0,0,IF(COUNTIF($G357:$T357,"&gt;"&amp;M357)=0,"",SMALL($G357:$T357,COUNTIF($G357:$T357,"&lt;="&amp;M357)+1)-M357)))</f>
        <v/>
      </c>
      <c r="AK357" t="str">
        <f>IF(OR($B357="",NOT(ISNUMBER(N357))),"",IF(COUNTIF(O357:$T357,N357)&gt;0,0,IF(COUNTIF($G357:$T357,"&gt;"&amp;N357)=0,"",SMALL($G357:$T357,COUNTIF($G357:$T357,"&lt;="&amp;N357)+1)-N357)))</f>
        <v/>
      </c>
      <c r="AL357" t="str">
        <f>IF(OR($B357="",NOT(ISNUMBER(O357))),"",IF(COUNTIF(P357:$T357,O357)&gt;0,0,IF(COUNTIF($G357:$T357,"&gt;"&amp;O357)=0,"",SMALL($G357:$T357,COUNTIF($G357:$T357,"&lt;="&amp;O357)+1)-O357)))</f>
        <v/>
      </c>
      <c r="AM357" t="str">
        <f>IF(OR($B357="",NOT(ISNUMBER(P357))),"",IF(COUNTIF(Q357:$T357,P357)&gt;0,0,IF(COUNTIF($G357:$T357,"&gt;"&amp;P357)=0,"",SMALL($G357:$T357,COUNTIF($G357:$T357,"&lt;="&amp;P357)+1)-P357)))</f>
        <v/>
      </c>
      <c r="AN357" t="str">
        <f>IF(OR($B357="",NOT(ISNUMBER(Q357))),"",IF(COUNTIF(R357:$T357,Q357)&gt;0,0,IF(COUNTIF($G357:$T357,"&gt;"&amp;Q357)=0,"",SMALL($G357:$T357,COUNTIF($G357:$T357,"&lt;="&amp;Q357)+1)-Q357)))</f>
        <v/>
      </c>
      <c r="AO357" t="str">
        <f>IF(OR($B357="",NOT(ISNUMBER(R357))),"",IF(COUNTIF(S357:$T357,R357)&gt;0,0,IF(COUNTIF($G357:$T357,"&gt;"&amp;R357)=0,"",SMALL($G357:$T357,COUNTIF($G357:$T357,"&lt;="&amp;R357)+1)-R357)))</f>
        <v/>
      </c>
      <c r="AP357">
        <f t="shared" ca="1" si="88"/>
        <v>0</v>
      </c>
      <c r="AQ357" s="25" t="str">
        <f t="shared" si="89"/>
        <v/>
      </c>
      <c r="AR357" s="25" t="str">
        <f t="shared" si="90"/>
        <v/>
      </c>
      <c r="AS357" s="25" t="str">
        <f t="shared" si="91"/>
        <v/>
      </c>
      <c r="AT357" s="25" t="str">
        <f t="shared" si="92"/>
        <v/>
      </c>
      <c r="AU357" s="25">
        <f t="shared" si="93"/>
        <v>46301</v>
      </c>
      <c r="AV357" s="25">
        <f t="shared" si="94"/>
        <v>46301</v>
      </c>
      <c r="AW357" s="25" t="str">
        <f t="shared" si="95"/>
        <v/>
      </c>
      <c r="AX357" s="25" t="str">
        <f t="shared" si="96"/>
        <v/>
      </c>
      <c r="AY357" s="25" t="str">
        <f t="shared" si="97"/>
        <v/>
      </c>
      <c r="AZ357" s="25" t="str">
        <f t="shared" si="98"/>
        <v/>
      </c>
      <c r="BA357" s="25" t="str">
        <f t="shared" si="99"/>
        <v/>
      </c>
      <c r="BB357" s="25" t="str">
        <f t="shared" si="100"/>
        <v/>
      </c>
      <c r="BC357" s="25">
        <f t="shared" si="101"/>
        <v>46301</v>
      </c>
    </row>
    <row r="358" spans="1:55" x14ac:dyDescent="0.25">
      <c r="A358" s="151">
        <f t="shared" si="86"/>
        <v>356</v>
      </c>
      <c r="B358" s="151" t="s">
        <v>557</v>
      </c>
      <c r="C358" s="152" t="s">
        <v>558</v>
      </c>
      <c r="D358" s="151">
        <f t="shared" si="85"/>
        <v>1</v>
      </c>
      <c r="E358" s="151" t="s">
        <v>61</v>
      </c>
      <c r="F358" s="173">
        <v>46300</v>
      </c>
      <c r="G358" s="173"/>
      <c r="H358" s="173"/>
      <c r="I358" s="173">
        <v>46301</v>
      </c>
      <c r="J358" s="173">
        <v>46302</v>
      </c>
      <c r="K358" s="173"/>
      <c r="L358" s="173"/>
      <c r="M358" s="173"/>
      <c r="N358" s="173"/>
      <c r="O358" s="173"/>
      <c r="P358" s="173"/>
      <c r="Q358" s="173">
        <v>46302</v>
      </c>
      <c r="R358" s="173"/>
      <c r="S358" s="173"/>
      <c r="T358" s="174">
        <v>46302</v>
      </c>
      <c r="U358" s="151"/>
      <c r="V358" s="152"/>
      <c r="W358" s="175"/>
      <c r="X358" s="173"/>
      <c r="Y358" s="173"/>
      <c r="Z358" s="176" t="str">
        <f>IF(B358="","",IF(S358&lt;&gt;"","Sevk Edildi",IF(AND(X358&lt;&gt;"",Y358=""),"Reworkte",IF(T358&lt;&gt;"","Kapandı"&amp;IF(COUNT(G358:R358)=0,""," – "&amp;LOOKUP(2,1/(G358:R358=MAX(G358:R358)),{"Tasarım","Ply Cutter","Üretim","Kalite (Üretim sonrası)","Talaşlı","Kalite (Talaşlı sonrası)","Montaj","Kalite (Montaj sonrası)","Boya","Kalite (Boya sonrası)","Yarı Mamül","KM"})),IF(COUNT(G358:R358)=0,"Başlamadı",LOOKUP(2,1/(G358:R358=MAX(G358:R358)),{"Tasarımda","Ply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58" s="177">
        <f t="shared" ca="1" si="87"/>
        <v>2</v>
      </c>
      <c r="AB358" s="175"/>
      <c r="AD358" t="str">
        <f>IF(OR($B358="",NOT(ISNUMBER(G358))),"",IF(COUNTIF(H358:$T358,G358)&gt;0,0,IF(COUNTIF($G358:$T358,"&gt;"&amp;G358)=0,"",SMALL($G358:$T358,COUNTIF($G358:$T358,"&lt;="&amp;G358)+1)-G358)))</f>
        <v/>
      </c>
      <c r="AE358" t="str">
        <f>IF(OR($B358="",NOT(ISNUMBER(H358))),"",IF(COUNTIF(I358:$T358,H358)&gt;0,0,IF(COUNTIF($G358:$T358,"&gt;"&amp;H358)=0,"",SMALL($G358:$T358,COUNTIF($G358:$T358,"&lt;="&amp;H358)+1)-H358)))</f>
        <v/>
      </c>
      <c r="AF358">
        <f>IF(OR($B358="",NOT(ISNUMBER(I358))),"",IF(COUNTIF(J358:$T358,I358)&gt;0,0,IF(COUNTIF($G358:$T358,"&gt;"&amp;I358)=0,"",SMALL($G358:$T358,COUNTIF($G358:$T358,"&lt;="&amp;I358)+1)-I358)))</f>
        <v>1</v>
      </c>
      <c r="AG358">
        <f>IF(OR($B358="",NOT(ISNUMBER(J358))),"",IF(COUNTIF(K358:$T358,J358)&gt;0,0,IF(COUNTIF($G358:$T358,"&gt;"&amp;J358)=0,"",SMALL($G358:$T358,COUNTIF($G358:$T358,"&lt;="&amp;J358)+1)-J358)))</f>
        <v>0</v>
      </c>
      <c r="AH358" t="str">
        <f>IF(OR($B358="",NOT(ISNUMBER(K358))),"",IF(COUNTIF(L358:$T358,K358)&gt;0,0,IF(COUNTIF($G358:$T358,"&gt;"&amp;K358)=0,"",SMALL($G358:$T358,COUNTIF($G358:$T358,"&lt;="&amp;K358)+1)-K358)))</f>
        <v/>
      </c>
      <c r="AI358" t="str">
        <f>IF(OR($B358="",NOT(ISNUMBER(L358))),"",IF(COUNTIF(M358:$T358,L358)&gt;0,0,IF(COUNTIF($G358:$T358,"&gt;"&amp;L358)=0,"",SMALL($G358:$T358,COUNTIF($G358:$T358,"&lt;="&amp;L358)+1)-L358)))</f>
        <v/>
      </c>
      <c r="AJ358" t="str">
        <f>IF(OR($B358="",NOT(ISNUMBER(M358))),"",IF(COUNTIF(N358:$T358,M358)&gt;0,0,IF(COUNTIF($G358:$T358,"&gt;"&amp;M358)=0,"",SMALL($G358:$T358,COUNTIF($G358:$T358,"&lt;="&amp;M358)+1)-M358)))</f>
        <v/>
      </c>
      <c r="AK358" t="str">
        <f>IF(OR($B358="",NOT(ISNUMBER(N358))),"",IF(COUNTIF(O358:$T358,N358)&gt;0,0,IF(COUNTIF($G358:$T358,"&gt;"&amp;N358)=0,"",SMALL($G358:$T358,COUNTIF($G358:$T358,"&lt;="&amp;N358)+1)-N358)))</f>
        <v/>
      </c>
      <c r="AL358" t="str">
        <f>IF(OR($B358="",NOT(ISNUMBER(O358))),"",IF(COUNTIF(P358:$T358,O358)&gt;0,0,IF(COUNTIF($G358:$T358,"&gt;"&amp;O358)=0,"",SMALL($G358:$T358,COUNTIF($G358:$T358,"&lt;="&amp;O358)+1)-O358)))</f>
        <v/>
      </c>
      <c r="AM358" t="str">
        <f>IF(OR($B358="",NOT(ISNUMBER(P358))),"",IF(COUNTIF(Q358:$T358,P358)&gt;0,0,IF(COUNTIF($G358:$T358,"&gt;"&amp;P358)=0,"",SMALL($G358:$T358,COUNTIF($G358:$T358,"&lt;="&amp;P358)+1)-P358)))</f>
        <v/>
      </c>
      <c r="AN358">
        <f>IF(OR($B358="",NOT(ISNUMBER(Q358))),"",IF(COUNTIF(R358:$T358,Q358)&gt;0,0,IF(COUNTIF($G358:$T358,"&gt;"&amp;Q358)=0,"",SMALL($G358:$T358,COUNTIF($G358:$T358,"&lt;="&amp;Q358)+1)-Q358)))</f>
        <v>0</v>
      </c>
      <c r="AO358" t="str">
        <f>IF(OR($B358="",NOT(ISNUMBER(R358))),"",IF(COUNTIF(S358:$T358,R358)&gt;0,0,IF(COUNTIF($G358:$T358,"&gt;"&amp;R358)=0,"",SMALL($G358:$T358,COUNTIF($G358:$T358,"&lt;="&amp;R358)+1)-R358)))</f>
        <v/>
      </c>
      <c r="AP358">
        <f t="shared" ca="1" si="88"/>
        <v>0</v>
      </c>
      <c r="AQ358" s="25" t="str">
        <f t="shared" si="89"/>
        <v/>
      </c>
      <c r="AR358" s="25" t="str">
        <f t="shared" si="90"/>
        <v/>
      </c>
      <c r="AS358" s="25">
        <f t="shared" si="91"/>
        <v>46302</v>
      </c>
      <c r="AT358" s="25">
        <f t="shared" si="92"/>
        <v>46302</v>
      </c>
      <c r="AU358" s="25" t="str">
        <f t="shared" si="93"/>
        <v/>
      </c>
      <c r="AV358" s="25" t="str">
        <f t="shared" si="94"/>
        <v/>
      </c>
      <c r="AW358" s="25" t="str">
        <f t="shared" si="95"/>
        <v/>
      </c>
      <c r="AX358" s="25" t="str">
        <f t="shared" si="96"/>
        <v/>
      </c>
      <c r="AY358" s="25" t="str">
        <f t="shared" si="97"/>
        <v/>
      </c>
      <c r="AZ358" s="25" t="str">
        <f t="shared" si="98"/>
        <v/>
      </c>
      <c r="BA358" s="25">
        <f t="shared" si="99"/>
        <v>46302</v>
      </c>
      <c r="BB358" s="25" t="str">
        <f t="shared" si="100"/>
        <v/>
      </c>
      <c r="BC358" s="25">
        <f t="shared" si="101"/>
        <v>46302</v>
      </c>
    </row>
    <row r="359" spans="1:55" x14ac:dyDescent="0.25">
      <c r="A359" s="151">
        <f t="shared" si="86"/>
        <v>357</v>
      </c>
      <c r="B359" s="151" t="s">
        <v>559</v>
      </c>
      <c r="C359" s="152" t="s">
        <v>76</v>
      </c>
      <c r="D359" s="151">
        <f t="shared" si="85"/>
        <v>1</v>
      </c>
      <c r="E359" s="151" t="s">
        <v>61</v>
      </c>
      <c r="F359" s="173">
        <v>46300</v>
      </c>
      <c r="G359" s="173"/>
      <c r="H359" s="173"/>
      <c r="I359" s="173">
        <v>46301</v>
      </c>
      <c r="J359" s="173">
        <v>46302</v>
      </c>
      <c r="K359" s="173"/>
      <c r="L359" s="173"/>
      <c r="M359" s="173"/>
      <c r="N359" s="173"/>
      <c r="O359" s="173"/>
      <c r="P359" s="173"/>
      <c r="Q359" s="173">
        <v>46302</v>
      </c>
      <c r="R359" s="173"/>
      <c r="S359" s="173"/>
      <c r="T359" s="174">
        <v>46302</v>
      </c>
      <c r="U359" s="151"/>
      <c r="V359" s="152"/>
      <c r="W359" s="175"/>
      <c r="X359" s="173"/>
      <c r="Y359" s="173"/>
      <c r="Z359" s="176" t="str">
        <f>IF(B359="","",IF(S359&lt;&gt;"","Sevk Edildi",IF(AND(X359&lt;&gt;"",Y359=""),"Reworkte",IF(T359&lt;&gt;"","Kapandı"&amp;IF(COUNT(G359:R359)=0,""," – "&amp;LOOKUP(2,1/(G359:R359=MAX(G359:R359)),{"Tasarım","Ply Cutter","Üretim","Kalite (Üretim sonrası)","Talaşlı","Kalite (Talaşlı sonrası)","Montaj","Kalite (Montaj sonrası)","Boya","Kalite (Boya sonrası)","Yarı Mamül","KM"})),IF(COUNT(G359:R359)=0,"Başlamadı",LOOKUP(2,1/(G359:R359=MAX(G359:R359)),{"Tasarımda","Ply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59" s="177">
        <f t="shared" ca="1" si="87"/>
        <v>2</v>
      </c>
      <c r="AB359" s="175"/>
      <c r="AD359" t="str">
        <f>IF(OR($B359="",NOT(ISNUMBER(G359))),"",IF(COUNTIF(H359:$T359,G359)&gt;0,0,IF(COUNTIF($G359:$T359,"&gt;"&amp;G359)=0,"",SMALL($G359:$T359,COUNTIF($G359:$T359,"&lt;="&amp;G359)+1)-G359)))</f>
        <v/>
      </c>
      <c r="AE359" t="str">
        <f>IF(OR($B359="",NOT(ISNUMBER(H359))),"",IF(COUNTIF(I359:$T359,H359)&gt;0,0,IF(COUNTIF($G359:$T359,"&gt;"&amp;H359)=0,"",SMALL($G359:$T359,COUNTIF($G359:$T359,"&lt;="&amp;H359)+1)-H359)))</f>
        <v/>
      </c>
      <c r="AF359">
        <f>IF(OR($B359="",NOT(ISNUMBER(I359))),"",IF(COUNTIF(J359:$T359,I359)&gt;0,0,IF(COUNTIF($G359:$T359,"&gt;"&amp;I359)=0,"",SMALL($G359:$T359,COUNTIF($G359:$T359,"&lt;="&amp;I359)+1)-I359)))</f>
        <v>1</v>
      </c>
      <c r="AG359">
        <f>IF(OR($B359="",NOT(ISNUMBER(J359))),"",IF(COUNTIF(K359:$T359,J359)&gt;0,0,IF(COUNTIF($G359:$T359,"&gt;"&amp;J359)=0,"",SMALL($G359:$T359,COUNTIF($G359:$T359,"&lt;="&amp;J359)+1)-J359)))</f>
        <v>0</v>
      </c>
      <c r="AH359" t="str">
        <f>IF(OR($B359="",NOT(ISNUMBER(K359))),"",IF(COUNTIF(L359:$T359,K359)&gt;0,0,IF(COUNTIF($G359:$T359,"&gt;"&amp;K359)=0,"",SMALL($G359:$T359,COUNTIF($G359:$T359,"&lt;="&amp;K359)+1)-K359)))</f>
        <v/>
      </c>
      <c r="AI359" t="str">
        <f>IF(OR($B359="",NOT(ISNUMBER(L359))),"",IF(COUNTIF(M359:$T359,L359)&gt;0,0,IF(COUNTIF($G359:$T359,"&gt;"&amp;L359)=0,"",SMALL($G359:$T359,COUNTIF($G359:$T359,"&lt;="&amp;L359)+1)-L359)))</f>
        <v/>
      </c>
      <c r="AJ359" t="str">
        <f>IF(OR($B359="",NOT(ISNUMBER(M359))),"",IF(COUNTIF(N359:$T359,M359)&gt;0,0,IF(COUNTIF($G359:$T359,"&gt;"&amp;M359)=0,"",SMALL($G359:$T359,COUNTIF($G359:$T359,"&lt;="&amp;M359)+1)-M359)))</f>
        <v/>
      </c>
      <c r="AK359" t="str">
        <f>IF(OR($B359="",NOT(ISNUMBER(N359))),"",IF(COUNTIF(O359:$T359,N359)&gt;0,0,IF(COUNTIF($G359:$T359,"&gt;"&amp;N359)=0,"",SMALL($G359:$T359,COUNTIF($G359:$T359,"&lt;="&amp;N359)+1)-N359)))</f>
        <v/>
      </c>
      <c r="AL359" t="str">
        <f>IF(OR($B359="",NOT(ISNUMBER(O359))),"",IF(COUNTIF(P359:$T359,O359)&gt;0,0,IF(COUNTIF($G359:$T359,"&gt;"&amp;O359)=0,"",SMALL($G359:$T359,COUNTIF($G359:$T359,"&lt;="&amp;O359)+1)-O359)))</f>
        <v/>
      </c>
      <c r="AM359" t="str">
        <f>IF(OR($B359="",NOT(ISNUMBER(P359))),"",IF(COUNTIF(Q359:$T359,P359)&gt;0,0,IF(COUNTIF($G359:$T359,"&gt;"&amp;P359)=0,"",SMALL($G359:$T359,COUNTIF($G359:$T359,"&lt;="&amp;P359)+1)-P359)))</f>
        <v/>
      </c>
      <c r="AN359">
        <f>IF(OR($B359="",NOT(ISNUMBER(Q359))),"",IF(COUNTIF(R359:$T359,Q359)&gt;0,0,IF(COUNTIF($G359:$T359,"&gt;"&amp;Q359)=0,"",SMALL($G359:$T359,COUNTIF($G359:$T359,"&lt;="&amp;Q359)+1)-Q359)))</f>
        <v>0</v>
      </c>
      <c r="AO359" t="str">
        <f>IF(OR($B359="",NOT(ISNUMBER(R359))),"",IF(COUNTIF(S359:$T359,R359)&gt;0,0,IF(COUNTIF($G359:$T359,"&gt;"&amp;R359)=0,"",SMALL($G359:$T359,COUNTIF($G359:$T359,"&lt;="&amp;R359)+1)-R359)))</f>
        <v/>
      </c>
      <c r="AP359">
        <f t="shared" ca="1" si="88"/>
        <v>0</v>
      </c>
      <c r="AQ359" s="25" t="str">
        <f t="shared" si="89"/>
        <v/>
      </c>
      <c r="AR359" s="25" t="str">
        <f t="shared" si="90"/>
        <v/>
      </c>
      <c r="AS359" s="25">
        <f t="shared" si="91"/>
        <v>46302</v>
      </c>
      <c r="AT359" s="25">
        <f t="shared" si="92"/>
        <v>46302</v>
      </c>
      <c r="AU359" s="25" t="str">
        <f t="shared" si="93"/>
        <v/>
      </c>
      <c r="AV359" s="25" t="str">
        <f t="shared" si="94"/>
        <v/>
      </c>
      <c r="AW359" s="25" t="str">
        <f t="shared" si="95"/>
        <v/>
      </c>
      <c r="AX359" s="25" t="str">
        <f t="shared" si="96"/>
        <v/>
      </c>
      <c r="AY359" s="25" t="str">
        <f t="shared" si="97"/>
        <v/>
      </c>
      <c r="AZ359" s="25" t="str">
        <f t="shared" si="98"/>
        <v/>
      </c>
      <c r="BA359" s="25">
        <f t="shared" si="99"/>
        <v>46302</v>
      </c>
      <c r="BB359" s="25" t="str">
        <f t="shared" si="100"/>
        <v/>
      </c>
      <c r="BC359" s="25">
        <f t="shared" si="101"/>
        <v>46302</v>
      </c>
    </row>
    <row r="360" spans="1:55" x14ac:dyDescent="0.25">
      <c r="A360" s="151">
        <f t="shared" si="86"/>
        <v>358</v>
      </c>
      <c r="B360" s="151" t="s">
        <v>560</v>
      </c>
      <c r="C360" s="152" t="s">
        <v>72</v>
      </c>
      <c r="D360" s="151">
        <f t="shared" si="85"/>
        <v>1</v>
      </c>
      <c r="E360" s="151" t="s">
        <v>61</v>
      </c>
      <c r="F360" s="173">
        <v>46300</v>
      </c>
      <c r="G360" s="173"/>
      <c r="H360" s="173"/>
      <c r="I360" s="173">
        <v>46301</v>
      </c>
      <c r="J360" s="173">
        <v>46302</v>
      </c>
      <c r="K360" s="173"/>
      <c r="L360" s="173"/>
      <c r="M360" s="173"/>
      <c r="N360" s="173"/>
      <c r="O360" s="173"/>
      <c r="P360" s="173"/>
      <c r="Q360" s="173"/>
      <c r="R360" s="173"/>
      <c r="S360" s="173"/>
      <c r="T360" s="174">
        <v>46302</v>
      </c>
      <c r="U360" s="151"/>
      <c r="V360" s="152"/>
      <c r="W360" s="175"/>
      <c r="X360" s="173"/>
      <c r="Y360" s="173"/>
      <c r="Z360" s="176" t="str">
        <f>IF(B360="","",IF(S360&lt;&gt;"","Sevk Edildi",IF(AND(X360&lt;&gt;"",Y360=""),"Reworkte",IF(T360&lt;&gt;"","Kapandı"&amp;IF(COUNT(G360:R360)=0,""," – "&amp;LOOKUP(2,1/(G360:R360=MAX(G360:R360)),{"Tasarım","Ply Cutter","Üretim","Kalite (Üretim sonrası)","Talaşlı","Kalite (Talaşlı sonrası)","Montaj","Kalite (Montaj sonrası)","Boya","Kalite (Boya sonrası)","Yarı Mamül","KM"})),IF(COUNT(G360:R360)=0,"Başlamadı",LOOKUP(2,1/(G360:R360=MAX(G360:R360)),{"Tasarımda","Ply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60" s="177">
        <f t="shared" ca="1" si="87"/>
        <v>2</v>
      </c>
      <c r="AB360" s="175"/>
      <c r="AD360" t="str">
        <f>IF(OR($B360="",NOT(ISNUMBER(G360))),"",IF(COUNTIF(H360:$T360,G360)&gt;0,0,IF(COUNTIF($G360:$T360,"&gt;"&amp;G360)=0,"",SMALL($G360:$T360,COUNTIF($G360:$T360,"&lt;="&amp;G360)+1)-G360)))</f>
        <v/>
      </c>
      <c r="AE360" t="str">
        <f>IF(OR($B360="",NOT(ISNUMBER(H360))),"",IF(COUNTIF(I360:$T360,H360)&gt;0,0,IF(COUNTIF($G360:$T360,"&gt;"&amp;H360)=0,"",SMALL($G360:$T360,COUNTIF($G360:$T360,"&lt;="&amp;H360)+1)-H360)))</f>
        <v/>
      </c>
      <c r="AF360">
        <f>IF(OR($B360="",NOT(ISNUMBER(I360))),"",IF(COUNTIF(J360:$T360,I360)&gt;0,0,IF(COUNTIF($G360:$T360,"&gt;"&amp;I360)=0,"",SMALL($G360:$T360,COUNTIF($G360:$T360,"&lt;="&amp;I360)+1)-I360)))</f>
        <v>1</v>
      </c>
      <c r="AG360">
        <f>IF(OR($B360="",NOT(ISNUMBER(J360))),"",IF(COUNTIF(K360:$T360,J360)&gt;0,0,IF(COUNTIF($G360:$T360,"&gt;"&amp;J360)=0,"",SMALL($G360:$T360,COUNTIF($G360:$T360,"&lt;="&amp;J360)+1)-J360)))</f>
        <v>0</v>
      </c>
      <c r="AH360" t="str">
        <f>IF(OR($B360="",NOT(ISNUMBER(K360))),"",IF(COUNTIF(L360:$T360,K360)&gt;0,0,IF(COUNTIF($G360:$T360,"&gt;"&amp;K360)=0,"",SMALL($G360:$T360,COUNTIF($G360:$T360,"&lt;="&amp;K360)+1)-K360)))</f>
        <v/>
      </c>
      <c r="AI360" t="str">
        <f>IF(OR($B360="",NOT(ISNUMBER(L360))),"",IF(COUNTIF(M360:$T360,L360)&gt;0,0,IF(COUNTIF($G360:$T360,"&gt;"&amp;L360)=0,"",SMALL($G360:$T360,COUNTIF($G360:$T360,"&lt;="&amp;L360)+1)-L360)))</f>
        <v/>
      </c>
      <c r="AJ360" t="str">
        <f>IF(OR($B360="",NOT(ISNUMBER(M360))),"",IF(COUNTIF(N360:$T360,M360)&gt;0,0,IF(COUNTIF($G360:$T360,"&gt;"&amp;M360)=0,"",SMALL($G360:$T360,COUNTIF($G360:$T360,"&lt;="&amp;M360)+1)-M360)))</f>
        <v/>
      </c>
      <c r="AK360" t="str">
        <f>IF(OR($B360="",NOT(ISNUMBER(N360))),"",IF(COUNTIF(O360:$T360,N360)&gt;0,0,IF(COUNTIF($G360:$T360,"&gt;"&amp;N360)=0,"",SMALL($G360:$T360,COUNTIF($G360:$T360,"&lt;="&amp;N360)+1)-N360)))</f>
        <v/>
      </c>
      <c r="AL360" t="str">
        <f>IF(OR($B360="",NOT(ISNUMBER(O360))),"",IF(COUNTIF(P360:$T360,O360)&gt;0,0,IF(COUNTIF($G360:$T360,"&gt;"&amp;O360)=0,"",SMALL($G360:$T360,COUNTIF($G360:$T360,"&lt;="&amp;O360)+1)-O360)))</f>
        <v/>
      </c>
      <c r="AM360" t="str">
        <f>IF(OR($B360="",NOT(ISNUMBER(P360))),"",IF(COUNTIF(Q360:$T360,P360)&gt;0,0,IF(COUNTIF($G360:$T360,"&gt;"&amp;P360)=0,"",SMALL($G360:$T360,COUNTIF($G360:$T360,"&lt;="&amp;P360)+1)-P360)))</f>
        <v/>
      </c>
      <c r="AN360" t="str">
        <f>IF(OR($B360="",NOT(ISNUMBER(Q360))),"",IF(COUNTIF(R360:$T360,Q360)&gt;0,0,IF(COUNTIF($G360:$T360,"&gt;"&amp;Q360)=0,"",SMALL($G360:$T360,COUNTIF($G360:$T360,"&lt;="&amp;Q360)+1)-Q360)))</f>
        <v/>
      </c>
      <c r="AO360" t="str">
        <f>IF(OR($B360="",NOT(ISNUMBER(R360))),"",IF(COUNTIF(S360:$T360,R360)&gt;0,0,IF(COUNTIF($G360:$T360,"&gt;"&amp;R360)=0,"",SMALL($G360:$T360,COUNTIF($G360:$T360,"&lt;="&amp;R360)+1)-R360)))</f>
        <v/>
      </c>
      <c r="AP360">
        <f t="shared" ca="1" si="88"/>
        <v>0</v>
      </c>
      <c r="AQ360" s="25" t="str">
        <f t="shared" si="89"/>
        <v/>
      </c>
      <c r="AR360" s="25" t="str">
        <f t="shared" si="90"/>
        <v/>
      </c>
      <c r="AS360" s="25">
        <f t="shared" si="91"/>
        <v>46302</v>
      </c>
      <c r="AT360" s="25">
        <f t="shared" si="92"/>
        <v>46302</v>
      </c>
      <c r="AU360" s="25" t="str">
        <f t="shared" si="93"/>
        <v/>
      </c>
      <c r="AV360" s="25" t="str">
        <f t="shared" si="94"/>
        <v/>
      </c>
      <c r="AW360" s="25" t="str">
        <f t="shared" si="95"/>
        <v/>
      </c>
      <c r="AX360" s="25" t="str">
        <f t="shared" si="96"/>
        <v/>
      </c>
      <c r="AY360" s="25" t="str">
        <f t="shared" si="97"/>
        <v/>
      </c>
      <c r="AZ360" s="25" t="str">
        <f t="shared" si="98"/>
        <v/>
      </c>
      <c r="BA360" s="25" t="str">
        <f t="shared" si="99"/>
        <v/>
      </c>
      <c r="BB360" s="25" t="str">
        <f t="shared" si="100"/>
        <v/>
      </c>
      <c r="BC360" s="25">
        <f t="shared" si="101"/>
        <v>46302</v>
      </c>
    </row>
    <row r="361" spans="1:55" x14ac:dyDescent="0.25">
      <c r="A361" s="151">
        <f t="shared" si="86"/>
        <v>359</v>
      </c>
      <c r="B361" s="151" t="s">
        <v>561</v>
      </c>
      <c r="C361" s="152" t="s">
        <v>355</v>
      </c>
      <c r="D361" s="151">
        <f t="shared" si="85"/>
        <v>1</v>
      </c>
      <c r="E361" s="151" t="s">
        <v>61</v>
      </c>
      <c r="F361" s="173">
        <v>46300</v>
      </c>
      <c r="G361" s="173"/>
      <c r="H361" s="173"/>
      <c r="I361" s="173">
        <v>46301</v>
      </c>
      <c r="J361" s="173">
        <v>46302</v>
      </c>
      <c r="K361" s="173"/>
      <c r="L361" s="173"/>
      <c r="M361" s="173"/>
      <c r="N361" s="173"/>
      <c r="O361" s="173"/>
      <c r="P361" s="173"/>
      <c r="Q361" s="173"/>
      <c r="R361" s="173"/>
      <c r="S361" s="173"/>
      <c r="T361" s="174">
        <v>46302</v>
      </c>
      <c r="U361" s="151"/>
      <c r="V361" s="152"/>
      <c r="W361" s="175"/>
      <c r="X361" s="173"/>
      <c r="Y361" s="173"/>
      <c r="Z361" s="176" t="str">
        <f>IF(B361="","",IF(S361&lt;&gt;"","Sevk Edildi",IF(AND(X361&lt;&gt;"",Y361=""),"Reworkte",IF(T361&lt;&gt;"","Kapandı"&amp;IF(COUNT(G361:R361)=0,""," – "&amp;LOOKUP(2,1/(G361:R361=MAX(G361:R361)),{"Tasarım","Ply Cutter","Üretim","Kalite (Üretim sonrası)","Talaşlı","Kalite (Talaşlı sonrası)","Montaj","Kalite (Montaj sonrası)","Boya","Kalite (Boya sonrası)","Yarı Mamül","KM"})),IF(COUNT(G361:R361)=0,"Başlamadı",LOOKUP(2,1/(G361:R361=MAX(G361:R361)),{"Tasarımda","Ply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61" s="177">
        <f t="shared" ca="1" si="87"/>
        <v>2</v>
      </c>
      <c r="AB361" s="175"/>
      <c r="AD361" t="str">
        <f>IF(OR($B361="",NOT(ISNUMBER(G361))),"",IF(COUNTIF(H361:$T361,G361)&gt;0,0,IF(COUNTIF($G361:$T361,"&gt;"&amp;G361)=0,"",SMALL($G361:$T361,COUNTIF($G361:$T361,"&lt;="&amp;G361)+1)-G361)))</f>
        <v/>
      </c>
      <c r="AE361" t="str">
        <f>IF(OR($B361="",NOT(ISNUMBER(H361))),"",IF(COUNTIF(I361:$T361,H361)&gt;0,0,IF(COUNTIF($G361:$T361,"&gt;"&amp;H361)=0,"",SMALL($G361:$T361,COUNTIF($G361:$T361,"&lt;="&amp;H361)+1)-H361)))</f>
        <v/>
      </c>
      <c r="AF361">
        <f>IF(OR($B361="",NOT(ISNUMBER(I361))),"",IF(COUNTIF(J361:$T361,I361)&gt;0,0,IF(COUNTIF($G361:$T361,"&gt;"&amp;I361)=0,"",SMALL($G361:$T361,COUNTIF($G361:$T361,"&lt;="&amp;I361)+1)-I361)))</f>
        <v>1</v>
      </c>
      <c r="AG361">
        <f>IF(OR($B361="",NOT(ISNUMBER(J361))),"",IF(COUNTIF(K361:$T361,J361)&gt;0,0,IF(COUNTIF($G361:$T361,"&gt;"&amp;J361)=0,"",SMALL($G361:$T361,COUNTIF($G361:$T361,"&lt;="&amp;J361)+1)-J361)))</f>
        <v>0</v>
      </c>
      <c r="AH361" t="str">
        <f>IF(OR($B361="",NOT(ISNUMBER(K361))),"",IF(COUNTIF(L361:$T361,K361)&gt;0,0,IF(COUNTIF($G361:$T361,"&gt;"&amp;K361)=0,"",SMALL($G361:$T361,COUNTIF($G361:$T361,"&lt;="&amp;K361)+1)-K361)))</f>
        <v/>
      </c>
      <c r="AI361" t="str">
        <f>IF(OR($B361="",NOT(ISNUMBER(L361))),"",IF(COUNTIF(M361:$T361,L361)&gt;0,0,IF(COUNTIF($G361:$T361,"&gt;"&amp;L361)=0,"",SMALL($G361:$T361,COUNTIF($G361:$T361,"&lt;="&amp;L361)+1)-L361)))</f>
        <v/>
      </c>
      <c r="AJ361" t="str">
        <f>IF(OR($B361="",NOT(ISNUMBER(M361))),"",IF(COUNTIF(N361:$T361,M361)&gt;0,0,IF(COUNTIF($G361:$T361,"&gt;"&amp;M361)=0,"",SMALL($G361:$T361,COUNTIF($G361:$T361,"&lt;="&amp;M361)+1)-M361)))</f>
        <v/>
      </c>
      <c r="AK361" t="str">
        <f>IF(OR($B361="",NOT(ISNUMBER(N361))),"",IF(COUNTIF(O361:$T361,N361)&gt;0,0,IF(COUNTIF($G361:$T361,"&gt;"&amp;N361)=0,"",SMALL($G361:$T361,COUNTIF($G361:$T361,"&lt;="&amp;N361)+1)-N361)))</f>
        <v/>
      </c>
      <c r="AL361" t="str">
        <f>IF(OR($B361="",NOT(ISNUMBER(O361))),"",IF(COUNTIF(P361:$T361,O361)&gt;0,0,IF(COUNTIF($G361:$T361,"&gt;"&amp;O361)=0,"",SMALL($G361:$T361,COUNTIF($G361:$T361,"&lt;="&amp;O361)+1)-O361)))</f>
        <v/>
      </c>
      <c r="AM361" t="str">
        <f>IF(OR($B361="",NOT(ISNUMBER(P361))),"",IF(COUNTIF(Q361:$T361,P361)&gt;0,0,IF(COUNTIF($G361:$T361,"&gt;"&amp;P361)=0,"",SMALL($G361:$T361,COUNTIF($G361:$T361,"&lt;="&amp;P361)+1)-P361)))</f>
        <v/>
      </c>
      <c r="AN361" t="str">
        <f>IF(OR($B361="",NOT(ISNUMBER(Q361))),"",IF(COUNTIF(R361:$T361,Q361)&gt;0,0,IF(COUNTIF($G361:$T361,"&gt;"&amp;Q361)=0,"",SMALL($G361:$T361,COUNTIF($G361:$T361,"&lt;="&amp;Q361)+1)-Q361)))</f>
        <v/>
      </c>
      <c r="AO361" t="str">
        <f>IF(OR($B361="",NOT(ISNUMBER(R361))),"",IF(COUNTIF(S361:$T361,R361)&gt;0,0,IF(COUNTIF($G361:$T361,"&gt;"&amp;R361)=0,"",SMALL($G361:$T361,COUNTIF($G361:$T361,"&lt;="&amp;R361)+1)-R361)))</f>
        <v/>
      </c>
      <c r="AP361">
        <f t="shared" ca="1" si="88"/>
        <v>0</v>
      </c>
      <c r="AQ361" s="25" t="str">
        <f t="shared" si="89"/>
        <v/>
      </c>
      <c r="AR361" s="25" t="str">
        <f t="shared" si="90"/>
        <v/>
      </c>
      <c r="AS361" s="25">
        <f t="shared" si="91"/>
        <v>46302</v>
      </c>
      <c r="AT361" s="25">
        <f t="shared" si="92"/>
        <v>46302</v>
      </c>
      <c r="AU361" s="25" t="str">
        <f t="shared" si="93"/>
        <v/>
      </c>
      <c r="AV361" s="25" t="str">
        <f t="shared" si="94"/>
        <v/>
      </c>
      <c r="AW361" s="25" t="str">
        <f t="shared" si="95"/>
        <v/>
      </c>
      <c r="AX361" s="25" t="str">
        <f t="shared" si="96"/>
        <v/>
      </c>
      <c r="AY361" s="25" t="str">
        <f t="shared" si="97"/>
        <v/>
      </c>
      <c r="AZ361" s="25" t="str">
        <f t="shared" si="98"/>
        <v/>
      </c>
      <c r="BA361" s="25" t="str">
        <f t="shared" si="99"/>
        <v/>
      </c>
      <c r="BB361" s="25" t="str">
        <f t="shared" si="100"/>
        <v/>
      </c>
      <c r="BC361" s="25">
        <f t="shared" si="101"/>
        <v>46302</v>
      </c>
    </row>
    <row r="362" spans="1:55" x14ac:dyDescent="0.25">
      <c r="A362" s="151">
        <f t="shared" si="86"/>
        <v>360</v>
      </c>
      <c r="B362" s="151" t="s">
        <v>562</v>
      </c>
      <c r="C362" s="152" t="s">
        <v>355</v>
      </c>
      <c r="D362" s="151">
        <f t="shared" si="85"/>
        <v>1</v>
      </c>
      <c r="E362" s="151" t="s">
        <v>61</v>
      </c>
      <c r="F362" s="173">
        <v>46300</v>
      </c>
      <c r="G362" s="173"/>
      <c r="H362" s="173"/>
      <c r="I362" s="173">
        <v>46301</v>
      </c>
      <c r="J362" s="173">
        <v>46302</v>
      </c>
      <c r="K362" s="173"/>
      <c r="L362" s="173"/>
      <c r="M362" s="173"/>
      <c r="N362" s="173"/>
      <c r="O362" s="173"/>
      <c r="P362" s="173"/>
      <c r="Q362" s="173"/>
      <c r="R362" s="173"/>
      <c r="S362" s="173"/>
      <c r="T362" s="174">
        <v>46302</v>
      </c>
      <c r="U362" s="151"/>
      <c r="V362" s="152"/>
      <c r="W362" s="175"/>
      <c r="X362" s="173"/>
      <c r="Y362" s="173"/>
      <c r="Z362" s="176" t="str">
        <f>IF(B362="","",IF(S362&lt;&gt;"","Sevk Edildi",IF(AND(X362&lt;&gt;"",Y362=""),"Reworkte",IF(T362&lt;&gt;"","Kapandı"&amp;IF(COUNT(G362:R362)=0,""," – "&amp;LOOKUP(2,1/(G362:R362=MAX(G362:R362)),{"Tasarım","Ply Cutter","Üretim","Kalite (Üretim sonrası)","Talaşlı","Kalite (Talaşlı sonrası)","Montaj","Kalite (Montaj sonrası)","Boya","Kalite (Boya sonrası)","Yarı Mamül","KM"})),IF(COUNT(G362:R362)=0,"Başlamadı",LOOKUP(2,1/(G362:R362=MAX(G362:R362)),{"Tasarımda","Ply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62" s="177">
        <f t="shared" ca="1" si="87"/>
        <v>2</v>
      </c>
      <c r="AB362" s="175"/>
      <c r="AD362" t="str">
        <f>IF(OR($B362="",NOT(ISNUMBER(G362))),"",IF(COUNTIF(H362:$T362,G362)&gt;0,0,IF(COUNTIF($G362:$T362,"&gt;"&amp;G362)=0,"",SMALL($G362:$T362,COUNTIF($G362:$T362,"&lt;="&amp;G362)+1)-G362)))</f>
        <v/>
      </c>
      <c r="AE362" t="str">
        <f>IF(OR($B362="",NOT(ISNUMBER(H362))),"",IF(COUNTIF(I362:$T362,H362)&gt;0,0,IF(COUNTIF($G362:$T362,"&gt;"&amp;H362)=0,"",SMALL($G362:$T362,COUNTIF($G362:$T362,"&lt;="&amp;H362)+1)-H362)))</f>
        <v/>
      </c>
      <c r="AF362">
        <f>IF(OR($B362="",NOT(ISNUMBER(I362))),"",IF(COUNTIF(J362:$T362,I362)&gt;0,0,IF(COUNTIF($G362:$T362,"&gt;"&amp;I362)=0,"",SMALL($G362:$T362,COUNTIF($G362:$T362,"&lt;="&amp;I362)+1)-I362)))</f>
        <v>1</v>
      </c>
      <c r="AG362">
        <f>IF(OR($B362="",NOT(ISNUMBER(J362))),"",IF(COUNTIF(K362:$T362,J362)&gt;0,0,IF(COUNTIF($G362:$T362,"&gt;"&amp;J362)=0,"",SMALL($G362:$T362,COUNTIF($G362:$T362,"&lt;="&amp;J362)+1)-J362)))</f>
        <v>0</v>
      </c>
      <c r="AH362" t="str">
        <f>IF(OR($B362="",NOT(ISNUMBER(K362))),"",IF(COUNTIF(L362:$T362,K362)&gt;0,0,IF(COUNTIF($G362:$T362,"&gt;"&amp;K362)=0,"",SMALL($G362:$T362,COUNTIF($G362:$T362,"&lt;="&amp;K362)+1)-K362)))</f>
        <v/>
      </c>
      <c r="AI362" t="str">
        <f>IF(OR($B362="",NOT(ISNUMBER(L362))),"",IF(COUNTIF(M362:$T362,L362)&gt;0,0,IF(COUNTIF($G362:$T362,"&gt;"&amp;L362)=0,"",SMALL($G362:$T362,COUNTIF($G362:$T362,"&lt;="&amp;L362)+1)-L362)))</f>
        <v/>
      </c>
      <c r="AJ362" t="str">
        <f>IF(OR($B362="",NOT(ISNUMBER(M362))),"",IF(COUNTIF(N362:$T362,M362)&gt;0,0,IF(COUNTIF($G362:$T362,"&gt;"&amp;M362)=0,"",SMALL($G362:$T362,COUNTIF($G362:$T362,"&lt;="&amp;M362)+1)-M362)))</f>
        <v/>
      </c>
      <c r="AK362" t="str">
        <f>IF(OR($B362="",NOT(ISNUMBER(N362))),"",IF(COUNTIF(O362:$T362,N362)&gt;0,0,IF(COUNTIF($G362:$T362,"&gt;"&amp;N362)=0,"",SMALL($G362:$T362,COUNTIF($G362:$T362,"&lt;="&amp;N362)+1)-N362)))</f>
        <v/>
      </c>
      <c r="AL362" t="str">
        <f>IF(OR($B362="",NOT(ISNUMBER(O362))),"",IF(COUNTIF(P362:$T362,O362)&gt;0,0,IF(COUNTIF($G362:$T362,"&gt;"&amp;O362)=0,"",SMALL($G362:$T362,COUNTIF($G362:$T362,"&lt;="&amp;O362)+1)-O362)))</f>
        <v/>
      </c>
      <c r="AM362" t="str">
        <f>IF(OR($B362="",NOT(ISNUMBER(P362))),"",IF(COUNTIF(Q362:$T362,P362)&gt;0,0,IF(COUNTIF($G362:$T362,"&gt;"&amp;P362)=0,"",SMALL($G362:$T362,COUNTIF($G362:$T362,"&lt;="&amp;P362)+1)-P362)))</f>
        <v/>
      </c>
      <c r="AN362" t="str">
        <f>IF(OR($B362="",NOT(ISNUMBER(Q362))),"",IF(COUNTIF(R362:$T362,Q362)&gt;0,0,IF(COUNTIF($G362:$T362,"&gt;"&amp;Q362)=0,"",SMALL($G362:$T362,COUNTIF($G362:$T362,"&lt;="&amp;Q362)+1)-Q362)))</f>
        <v/>
      </c>
      <c r="AO362" t="str">
        <f>IF(OR($B362="",NOT(ISNUMBER(R362))),"",IF(COUNTIF(S362:$T362,R362)&gt;0,0,IF(COUNTIF($G362:$T362,"&gt;"&amp;R362)=0,"",SMALL($G362:$T362,COUNTIF($G362:$T362,"&lt;="&amp;R362)+1)-R362)))</f>
        <v/>
      </c>
      <c r="AP362">
        <f t="shared" ca="1" si="88"/>
        <v>0</v>
      </c>
      <c r="AQ362" s="25" t="str">
        <f t="shared" si="89"/>
        <v/>
      </c>
      <c r="AR362" s="25" t="str">
        <f t="shared" si="90"/>
        <v/>
      </c>
      <c r="AS362" s="25">
        <f t="shared" si="91"/>
        <v>46302</v>
      </c>
      <c r="AT362" s="25">
        <f t="shared" si="92"/>
        <v>46302</v>
      </c>
      <c r="AU362" s="25" t="str">
        <f t="shared" si="93"/>
        <v/>
      </c>
      <c r="AV362" s="25" t="str">
        <f t="shared" si="94"/>
        <v/>
      </c>
      <c r="AW362" s="25" t="str">
        <f t="shared" si="95"/>
        <v/>
      </c>
      <c r="AX362" s="25" t="str">
        <f t="shared" si="96"/>
        <v/>
      </c>
      <c r="AY362" s="25" t="str">
        <f t="shared" si="97"/>
        <v/>
      </c>
      <c r="AZ362" s="25" t="str">
        <f t="shared" si="98"/>
        <v/>
      </c>
      <c r="BA362" s="25" t="str">
        <f t="shared" si="99"/>
        <v/>
      </c>
      <c r="BB362" s="25" t="str">
        <f t="shared" si="100"/>
        <v/>
      </c>
      <c r="BC362" s="25">
        <f t="shared" si="101"/>
        <v>46302</v>
      </c>
    </row>
    <row r="363" spans="1:55" x14ac:dyDescent="0.25">
      <c r="A363" s="151">
        <f t="shared" si="86"/>
        <v>361</v>
      </c>
      <c r="B363" s="151" t="s">
        <v>563</v>
      </c>
      <c r="C363" s="152" t="s">
        <v>478</v>
      </c>
      <c r="D363" s="151">
        <f t="shared" si="85"/>
        <v>1</v>
      </c>
      <c r="E363" s="151" t="s">
        <v>61</v>
      </c>
      <c r="F363" s="173">
        <v>46300</v>
      </c>
      <c r="G363" s="173"/>
      <c r="H363" s="173"/>
      <c r="I363" s="173">
        <v>46301</v>
      </c>
      <c r="J363" s="173">
        <v>46302</v>
      </c>
      <c r="K363" s="173"/>
      <c r="L363" s="173"/>
      <c r="M363" s="173"/>
      <c r="N363" s="173"/>
      <c r="O363" s="173"/>
      <c r="P363" s="173"/>
      <c r="Q363" s="173">
        <v>46302</v>
      </c>
      <c r="R363" s="173"/>
      <c r="S363" s="173"/>
      <c r="T363" s="174">
        <v>46302</v>
      </c>
      <c r="U363" s="151"/>
      <c r="V363" s="152"/>
      <c r="W363" s="175"/>
      <c r="X363" s="173"/>
      <c r="Y363" s="173"/>
      <c r="Z363" s="176" t="str">
        <f>IF(B363="","",IF(S363&lt;&gt;"","Sevk Edildi",IF(AND(X363&lt;&gt;"",Y363=""),"Reworkte",IF(T363&lt;&gt;"","Kapandı"&amp;IF(COUNT(G363:R363)=0,""," – "&amp;LOOKUP(2,1/(G363:R363=MAX(G363:R363)),{"Tasarım","Ply Cutter","Üretim","Kalite (Üretim sonrası)","Talaşlı","Kalite (Talaşlı sonrası)","Montaj","Kalite (Montaj sonrası)","Boya","Kalite (Boya sonrası)","Yarı Mamül","KM"})),IF(COUNT(G363:R363)=0,"Başlamadı",LOOKUP(2,1/(G363:R363=MAX(G363:R363)),{"Tasarımda","Ply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63" s="177">
        <f t="shared" ca="1" si="87"/>
        <v>2</v>
      </c>
      <c r="AB363" s="175"/>
      <c r="AD363" t="str">
        <f>IF(OR($B363="",NOT(ISNUMBER(G363))),"",IF(COUNTIF(H363:$T363,G363)&gt;0,0,IF(COUNTIF($G363:$T363,"&gt;"&amp;G363)=0,"",SMALL($G363:$T363,COUNTIF($G363:$T363,"&lt;="&amp;G363)+1)-G363)))</f>
        <v/>
      </c>
      <c r="AE363" t="str">
        <f>IF(OR($B363="",NOT(ISNUMBER(H363))),"",IF(COUNTIF(I363:$T363,H363)&gt;0,0,IF(COUNTIF($G363:$T363,"&gt;"&amp;H363)=0,"",SMALL($G363:$T363,COUNTIF($G363:$T363,"&lt;="&amp;H363)+1)-H363)))</f>
        <v/>
      </c>
      <c r="AF363">
        <f>IF(OR($B363="",NOT(ISNUMBER(I363))),"",IF(COUNTIF(J363:$T363,I363)&gt;0,0,IF(COUNTIF($G363:$T363,"&gt;"&amp;I363)=0,"",SMALL($G363:$T363,COUNTIF($G363:$T363,"&lt;="&amp;I363)+1)-I363)))</f>
        <v>1</v>
      </c>
      <c r="AG363">
        <f>IF(OR($B363="",NOT(ISNUMBER(J363))),"",IF(COUNTIF(K363:$T363,J363)&gt;0,0,IF(COUNTIF($G363:$T363,"&gt;"&amp;J363)=0,"",SMALL($G363:$T363,COUNTIF($G363:$T363,"&lt;="&amp;J363)+1)-J363)))</f>
        <v>0</v>
      </c>
      <c r="AH363" t="str">
        <f>IF(OR($B363="",NOT(ISNUMBER(K363))),"",IF(COUNTIF(L363:$T363,K363)&gt;0,0,IF(COUNTIF($G363:$T363,"&gt;"&amp;K363)=0,"",SMALL($G363:$T363,COUNTIF($G363:$T363,"&lt;="&amp;K363)+1)-K363)))</f>
        <v/>
      </c>
      <c r="AI363" t="str">
        <f>IF(OR($B363="",NOT(ISNUMBER(L363))),"",IF(COUNTIF(M363:$T363,L363)&gt;0,0,IF(COUNTIF($G363:$T363,"&gt;"&amp;L363)=0,"",SMALL($G363:$T363,COUNTIF($G363:$T363,"&lt;="&amp;L363)+1)-L363)))</f>
        <v/>
      </c>
      <c r="AJ363" t="str">
        <f>IF(OR($B363="",NOT(ISNUMBER(M363))),"",IF(COUNTIF(N363:$T363,M363)&gt;0,0,IF(COUNTIF($G363:$T363,"&gt;"&amp;M363)=0,"",SMALL($G363:$T363,COUNTIF($G363:$T363,"&lt;="&amp;M363)+1)-M363)))</f>
        <v/>
      </c>
      <c r="AK363" t="str">
        <f>IF(OR($B363="",NOT(ISNUMBER(N363))),"",IF(COUNTIF(O363:$T363,N363)&gt;0,0,IF(COUNTIF($G363:$T363,"&gt;"&amp;N363)=0,"",SMALL($G363:$T363,COUNTIF($G363:$T363,"&lt;="&amp;N363)+1)-N363)))</f>
        <v/>
      </c>
      <c r="AL363" t="str">
        <f>IF(OR($B363="",NOT(ISNUMBER(O363))),"",IF(COUNTIF(P363:$T363,O363)&gt;0,0,IF(COUNTIF($G363:$T363,"&gt;"&amp;O363)=0,"",SMALL($G363:$T363,COUNTIF($G363:$T363,"&lt;="&amp;O363)+1)-O363)))</f>
        <v/>
      </c>
      <c r="AM363" t="str">
        <f>IF(OR($B363="",NOT(ISNUMBER(P363))),"",IF(COUNTIF(Q363:$T363,P363)&gt;0,0,IF(COUNTIF($G363:$T363,"&gt;"&amp;P363)=0,"",SMALL($G363:$T363,COUNTIF($G363:$T363,"&lt;="&amp;P363)+1)-P363)))</f>
        <v/>
      </c>
      <c r="AN363">
        <f>IF(OR($B363="",NOT(ISNUMBER(Q363))),"",IF(COUNTIF(R363:$T363,Q363)&gt;0,0,IF(COUNTIF($G363:$T363,"&gt;"&amp;Q363)=0,"",SMALL($G363:$T363,COUNTIF($G363:$T363,"&lt;="&amp;Q363)+1)-Q363)))</f>
        <v>0</v>
      </c>
      <c r="AO363" t="str">
        <f>IF(OR($B363="",NOT(ISNUMBER(R363))),"",IF(COUNTIF(S363:$T363,R363)&gt;0,0,IF(COUNTIF($G363:$T363,"&gt;"&amp;R363)=0,"",SMALL($G363:$T363,COUNTIF($G363:$T363,"&lt;="&amp;R363)+1)-R363)))</f>
        <v/>
      </c>
      <c r="AP363">
        <f t="shared" ca="1" si="88"/>
        <v>0</v>
      </c>
      <c r="AQ363" s="25" t="str">
        <f t="shared" si="89"/>
        <v/>
      </c>
      <c r="AR363" s="25" t="str">
        <f t="shared" si="90"/>
        <v/>
      </c>
      <c r="AS363" s="25">
        <f t="shared" si="91"/>
        <v>46302</v>
      </c>
      <c r="AT363" s="25">
        <f t="shared" si="92"/>
        <v>46302</v>
      </c>
      <c r="AU363" s="25" t="str">
        <f t="shared" si="93"/>
        <v/>
      </c>
      <c r="AV363" s="25" t="str">
        <f t="shared" si="94"/>
        <v/>
      </c>
      <c r="AW363" s="25" t="str">
        <f t="shared" si="95"/>
        <v/>
      </c>
      <c r="AX363" s="25" t="str">
        <f t="shared" si="96"/>
        <v/>
      </c>
      <c r="AY363" s="25" t="str">
        <f t="shared" si="97"/>
        <v/>
      </c>
      <c r="AZ363" s="25" t="str">
        <f t="shared" si="98"/>
        <v/>
      </c>
      <c r="BA363" s="25">
        <f t="shared" si="99"/>
        <v>46302</v>
      </c>
      <c r="BB363" s="25" t="str">
        <f t="shared" si="100"/>
        <v/>
      </c>
      <c r="BC363" s="25">
        <f t="shared" si="101"/>
        <v>46302</v>
      </c>
    </row>
    <row r="364" spans="1:55" x14ac:dyDescent="0.25">
      <c r="A364" s="151">
        <f t="shared" si="86"/>
        <v>362</v>
      </c>
      <c r="B364" s="151" t="s">
        <v>564</v>
      </c>
      <c r="C364" s="152" t="s">
        <v>565</v>
      </c>
      <c r="D364" s="151">
        <f t="shared" si="85"/>
        <v>3</v>
      </c>
      <c r="E364" s="151" t="s">
        <v>61</v>
      </c>
      <c r="F364" s="173">
        <v>46300</v>
      </c>
      <c r="G364" s="173"/>
      <c r="H364" s="173"/>
      <c r="I364" s="173">
        <v>46301</v>
      </c>
      <c r="J364" s="173">
        <v>46302</v>
      </c>
      <c r="K364" s="173"/>
      <c r="L364" s="173"/>
      <c r="M364" s="173"/>
      <c r="N364" s="173"/>
      <c r="O364" s="173"/>
      <c r="P364" s="173"/>
      <c r="Q364" s="173">
        <v>46303</v>
      </c>
      <c r="R364" s="173"/>
      <c r="S364" s="173"/>
      <c r="T364" s="174">
        <v>46303</v>
      </c>
      <c r="U364" s="151"/>
      <c r="V364" s="152"/>
      <c r="W364" s="175"/>
      <c r="X364" s="173"/>
      <c r="Y364" s="173"/>
      <c r="Z364" s="176" t="str">
        <f>IF(B364="","",IF(S364&lt;&gt;"","Sevk Edildi",IF(AND(X364&lt;&gt;"",Y364=""),"Reworkte",IF(T364&lt;&gt;"","Kapandı"&amp;IF(COUNT(G364:R364)=0,""," – "&amp;LOOKUP(2,1/(G364:R364=MAX(G364:R364)),{"Tasarım","Ply Cutter","Üretim","Kalite (Üretim sonrası)","Talaşlı","Kalite (Talaşlı sonrası)","Montaj","Kalite (Montaj sonrası)","Boya","Kalite (Boya sonrası)","Yarı Mamül","KM"})),IF(COUNT(G364:R364)=0,"Başlamadı",LOOKUP(2,1/(G364:R364=MAX(G364:R364)),{"Tasarımda","Ply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64" s="177">
        <f t="shared" ca="1" si="87"/>
        <v>3</v>
      </c>
      <c r="AB364" s="175"/>
      <c r="AD364" t="str">
        <f>IF(OR($B364="",NOT(ISNUMBER(G364))),"",IF(COUNTIF(H364:$T364,G364)&gt;0,0,IF(COUNTIF($G364:$T364,"&gt;"&amp;G364)=0,"",SMALL($G364:$T364,COUNTIF($G364:$T364,"&lt;="&amp;G364)+1)-G364)))</f>
        <v/>
      </c>
      <c r="AE364" t="str">
        <f>IF(OR($B364="",NOT(ISNUMBER(H364))),"",IF(COUNTIF(I364:$T364,H364)&gt;0,0,IF(COUNTIF($G364:$T364,"&gt;"&amp;H364)=0,"",SMALL($G364:$T364,COUNTIF($G364:$T364,"&lt;="&amp;H364)+1)-H364)))</f>
        <v/>
      </c>
      <c r="AF364">
        <f>IF(OR($B364="",NOT(ISNUMBER(I364))),"",IF(COUNTIF(J364:$T364,I364)&gt;0,0,IF(COUNTIF($G364:$T364,"&gt;"&amp;I364)=0,"",SMALL($G364:$T364,COUNTIF($G364:$T364,"&lt;="&amp;I364)+1)-I364)))</f>
        <v>1</v>
      </c>
      <c r="AG364">
        <f>IF(OR($B364="",NOT(ISNUMBER(J364))),"",IF(COUNTIF(K364:$T364,J364)&gt;0,0,IF(COUNTIF($G364:$T364,"&gt;"&amp;J364)=0,"",SMALL($G364:$T364,COUNTIF($G364:$T364,"&lt;="&amp;J364)+1)-J364)))</f>
        <v>1</v>
      </c>
      <c r="AH364" t="str">
        <f>IF(OR($B364="",NOT(ISNUMBER(K364))),"",IF(COUNTIF(L364:$T364,K364)&gt;0,0,IF(COUNTIF($G364:$T364,"&gt;"&amp;K364)=0,"",SMALL($G364:$T364,COUNTIF($G364:$T364,"&lt;="&amp;K364)+1)-K364)))</f>
        <v/>
      </c>
      <c r="AI364" t="str">
        <f>IF(OR($B364="",NOT(ISNUMBER(L364))),"",IF(COUNTIF(M364:$T364,L364)&gt;0,0,IF(COUNTIF($G364:$T364,"&gt;"&amp;L364)=0,"",SMALL($G364:$T364,COUNTIF($G364:$T364,"&lt;="&amp;L364)+1)-L364)))</f>
        <v/>
      </c>
      <c r="AJ364" t="str">
        <f>IF(OR($B364="",NOT(ISNUMBER(M364))),"",IF(COUNTIF(N364:$T364,M364)&gt;0,0,IF(COUNTIF($G364:$T364,"&gt;"&amp;M364)=0,"",SMALL($G364:$T364,COUNTIF($G364:$T364,"&lt;="&amp;M364)+1)-M364)))</f>
        <v/>
      </c>
      <c r="AK364" t="str">
        <f>IF(OR($B364="",NOT(ISNUMBER(N364))),"",IF(COUNTIF(O364:$T364,N364)&gt;0,0,IF(COUNTIF($G364:$T364,"&gt;"&amp;N364)=0,"",SMALL($G364:$T364,COUNTIF($G364:$T364,"&lt;="&amp;N364)+1)-N364)))</f>
        <v/>
      </c>
      <c r="AL364" t="str">
        <f>IF(OR($B364="",NOT(ISNUMBER(O364))),"",IF(COUNTIF(P364:$T364,O364)&gt;0,0,IF(COUNTIF($G364:$T364,"&gt;"&amp;O364)=0,"",SMALL($G364:$T364,COUNTIF($G364:$T364,"&lt;="&amp;O364)+1)-O364)))</f>
        <v/>
      </c>
      <c r="AM364" t="str">
        <f>IF(OR($B364="",NOT(ISNUMBER(P364))),"",IF(COUNTIF(Q364:$T364,P364)&gt;0,0,IF(COUNTIF($G364:$T364,"&gt;"&amp;P364)=0,"",SMALL($G364:$T364,COUNTIF($G364:$T364,"&lt;="&amp;P364)+1)-P364)))</f>
        <v/>
      </c>
      <c r="AN364">
        <f>IF(OR($B364="",NOT(ISNUMBER(Q364))),"",IF(COUNTIF(R364:$T364,Q364)&gt;0,0,IF(COUNTIF($G364:$T364,"&gt;"&amp;Q364)=0,"",SMALL($G364:$T364,COUNTIF($G364:$T364,"&lt;="&amp;Q364)+1)-Q364)))</f>
        <v>0</v>
      </c>
      <c r="AO364" t="str">
        <f>IF(OR($B364="",NOT(ISNUMBER(R364))),"",IF(COUNTIF(S364:$T364,R364)&gt;0,0,IF(COUNTIF($G364:$T364,"&gt;"&amp;R364)=0,"",SMALL($G364:$T364,COUNTIF($G364:$T364,"&lt;="&amp;R364)+1)-R364)))</f>
        <v/>
      </c>
      <c r="AP364">
        <f t="shared" ca="1" si="88"/>
        <v>0</v>
      </c>
      <c r="AQ364" s="25" t="str">
        <f t="shared" si="89"/>
        <v/>
      </c>
      <c r="AR364" s="25" t="str">
        <f t="shared" si="90"/>
        <v/>
      </c>
      <c r="AS364" s="25">
        <f t="shared" si="91"/>
        <v>46302</v>
      </c>
      <c r="AT364" s="25">
        <f t="shared" si="92"/>
        <v>46303</v>
      </c>
      <c r="AU364" s="25" t="str">
        <f t="shared" si="93"/>
        <v/>
      </c>
      <c r="AV364" s="25" t="str">
        <f t="shared" si="94"/>
        <v/>
      </c>
      <c r="AW364" s="25" t="str">
        <f t="shared" si="95"/>
        <v/>
      </c>
      <c r="AX364" s="25" t="str">
        <f t="shared" si="96"/>
        <v/>
      </c>
      <c r="AY364" s="25" t="str">
        <f t="shared" si="97"/>
        <v/>
      </c>
      <c r="AZ364" s="25" t="str">
        <f t="shared" si="98"/>
        <v/>
      </c>
      <c r="BA364" s="25">
        <f t="shared" si="99"/>
        <v>46303</v>
      </c>
      <c r="BB364" s="25" t="str">
        <f t="shared" si="100"/>
        <v/>
      </c>
      <c r="BC364" s="25">
        <f t="shared" si="101"/>
        <v>46303</v>
      </c>
    </row>
    <row r="365" spans="1:55" x14ac:dyDescent="0.25">
      <c r="A365" s="151">
        <f t="shared" si="86"/>
        <v>363</v>
      </c>
      <c r="B365" s="151" t="s">
        <v>566</v>
      </c>
      <c r="C365" s="152" t="s">
        <v>113</v>
      </c>
      <c r="D365" s="151">
        <f t="shared" si="85"/>
        <v>1</v>
      </c>
      <c r="E365" s="151" t="s">
        <v>61</v>
      </c>
      <c r="F365" s="173">
        <v>46301</v>
      </c>
      <c r="G365" s="173"/>
      <c r="H365" s="173"/>
      <c r="I365" s="173">
        <v>46300</v>
      </c>
      <c r="J365" s="173">
        <v>46303</v>
      </c>
      <c r="K365" s="173"/>
      <c r="L365" s="173"/>
      <c r="M365" s="173"/>
      <c r="N365" s="173"/>
      <c r="O365" s="173"/>
      <c r="P365" s="173"/>
      <c r="Q365" s="173"/>
      <c r="R365" s="173"/>
      <c r="S365" s="173"/>
      <c r="T365" s="174">
        <v>46303</v>
      </c>
      <c r="U365" s="151"/>
      <c r="V365" s="152"/>
      <c r="W365" s="175"/>
      <c r="X365" s="173"/>
      <c r="Y365" s="173"/>
      <c r="Z365" s="176" t="str">
        <f>IF(B365="","",IF(S365&lt;&gt;"","Sevk Edildi",IF(AND(X365&lt;&gt;"",Y365=""),"Reworkte",IF(T365&lt;&gt;"","Kapandı"&amp;IF(COUNT(G365:R365)=0,""," – "&amp;LOOKUP(2,1/(G365:R365=MAX(G365:R365)),{"Tasarım","Ply Cutter","Üretim","Kalite (Üretim sonrası)","Talaşlı","Kalite (Talaşlı sonrası)","Montaj","Kalite (Montaj sonrası)","Boya","Kalite (Boya sonrası)","Yarı Mamül","KM"})),IF(COUNT(G365:R365)=0,"Başlamadı",LOOKUP(2,1/(G365:R365=MAX(G365:R365)),{"Tasarımda","Ply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65" s="177">
        <f t="shared" ca="1" si="87"/>
        <v>2</v>
      </c>
      <c r="AB365" s="175"/>
      <c r="AD365" t="str">
        <f>IF(OR($B365="",NOT(ISNUMBER(G365))),"",IF(COUNTIF(H365:$T365,G365)&gt;0,0,IF(COUNTIF($G365:$T365,"&gt;"&amp;G365)=0,"",SMALL($G365:$T365,COUNTIF($G365:$T365,"&lt;="&amp;G365)+1)-G365)))</f>
        <v/>
      </c>
      <c r="AE365" t="str">
        <f>IF(OR($B365="",NOT(ISNUMBER(H365))),"",IF(COUNTIF(I365:$T365,H365)&gt;0,0,IF(COUNTIF($G365:$T365,"&gt;"&amp;H365)=0,"",SMALL($G365:$T365,COUNTIF($G365:$T365,"&lt;="&amp;H365)+1)-H365)))</f>
        <v/>
      </c>
      <c r="AF365">
        <f>IF(OR($B365="",NOT(ISNUMBER(I365))),"",IF(COUNTIF(J365:$T365,I365)&gt;0,0,IF(COUNTIF($G365:$T365,"&gt;"&amp;I365)=0,"",SMALL($G365:$T365,COUNTIF($G365:$T365,"&lt;="&amp;I365)+1)-I365)))</f>
        <v>3</v>
      </c>
      <c r="AG365">
        <f>IF(OR($B365="",NOT(ISNUMBER(J365))),"",IF(COUNTIF(K365:$T365,J365)&gt;0,0,IF(COUNTIF($G365:$T365,"&gt;"&amp;J365)=0,"",SMALL($G365:$T365,COUNTIF($G365:$T365,"&lt;="&amp;J365)+1)-J365)))</f>
        <v>0</v>
      </c>
      <c r="AH365" t="str">
        <f>IF(OR($B365="",NOT(ISNUMBER(K365))),"",IF(COUNTIF(L365:$T365,K365)&gt;0,0,IF(COUNTIF($G365:$T365,"&gt;"&amp;K365)=0,"",SMALL($G365:$T365,COUNTIF($G365:$T365,"&lt;="&amp;K365)+1)-K365)))</f>
        <v/>
      </c>
      <c r="AI365" t="str">
        <f>IF(OR($B365="",NOT(ISNUMBER(L365))),"",IF(COUNTIF(M365:$T365,L365)&gt;0,0,IF(COUNTIF($G365:$T365,"&gt;"&amp;L365)=0,"",SMALL($G365:$T365,COUNTIF($G365:$T365,"&lt;="&amp;L365)+1)-L365)))</f>
        <v/>
      </c>
      <c r="AJ365" t="str">
        <f>IF(OR($B365="",NOT(ISNUMBER(M365))),"",IF(COUNTIF(N365:$T365,M365)&gt;0,0,IF(COUNTIF($G365:$T365,"&gt;"&amp;M365)=0,"",SMALL($G365:$T365,COUNTIF($G365:$T365,"&lt;="&amp;M365)+1)-M365)))</f>
        <v/>
      </c>
      <c r="AK365" t="str">
        <f>IF(OR($B365="",NOT(ISNUMBER(N365))),"",IF(COUNTIF(O365:$T365,N365)&gt;0,0,IF(COUNTIF($G365:$T365,"&gt;"&amp;N365)=0,"",SMALL($G365:$T365,COUNTIF($G365:$T365,"&lt;="&amp;N365)+1)-N365)))</f>
        <v/>
      </c>
      <c r="AL365" t="str">
        <f>IF(OR($B365="",NOT(ISNUMBER(O365))),"",IF(COUNTIF(P365:$T365,O365)&gt;0,0,IF(COUNTIF($G365:$T365,"&gt;"&amp;O365)=0,"",SMALL($G365:$T365,COUNTIF($G365:$T365,"&lt;="&amp;O365)+1)-O365)))</f>
        <v/>
      </c>
      <c r="AM365" t="str">
        <f>IF(OR($B365="",NOT(ISNUMBER(P365))),"",IF(COUNTIF(Q365:$T365,P365)&gt;0,0,IF(COUNTIF($G365:$T365,"&gt;"&amp;P365)=0,"",SMALL($G365:$T365,COUNTIF($G365:$T365,"&lt;="&amp;P365)+1)-P365)))</f>
        <v/>
      </c>
      <c r="AN365" t="str">
        <f>IF(OR($B365="",NOT(ISNUMBER(Q365))),"",IF(COUNTIF(R365:$T365,Q365)&gt;0,0,IF(COUNTIF($G365:$T365,"&gt;"&amp;Q365)=0,"",SMALL($G365:$T365,COUNTIF($G365:$T365,"&lt;="&amp;Q365)+1)-Q365)))</f>
        <v/>
      </c>
      <c r="AO365" t="str">
        <f>IF(OR($B365="",NOT(ISNUMBER(R365))),"",IF(COUNTIF(S365:$T365,R365)&gt;0,0,IF(COUNTIF($G365:$T365,"&gt;"&amp;R365)=0,"",SMALL($G365:$T365,COUNTIF($G365:$T365,"&lt;="&amp;R365)+1)-R365)))</f>
        <v/>
      </c>
      <c r="AP365">
        <f t="shared" ca="1" si="88"/>
        <v>0</v>
      </c>
      <c r="AQ365" s="25" t="str">
        <f t="shared" si="89"/>
        <v/>
      </c>
      <c r="AR365" s="25" t="str">
        <f t="shared" si="90"/>
        <v/>
      </c>
      <c r="AS365" s="25">
        <f t="shared" si="91"/>
        <v>46303</v>
      </c>
      <c r="AT365" s="25">
        <f t="shared" si="92"/>
        <v>46303</v>
      </c>
      <c r="AU365" s="25" t="str">
        <f t="shared" si="93"/>
        <v/>
      </c>
      <c r="AV365" s="25" t="str">
        <f t="shared" si="94"/>
        <v/>
      </c>
      <c r="AW365" s="25" t="str">
        <f t="shared" si="95"/>
        <v/>
      </c>
      <c r="AX365" s="25" t="str">
        <f t="shared" si="96"/>
        <v/>
      </c>
      <c r="AY365" s="25" t="str">
        <f t="shared" si="97"/>
        <v/>
      </c>
      <c r="AZ365" s="25" t="str">
        <f t="shared" si="98"/>
        <v/>
      </c>
      <c r="BA365" s="25" t="str">
        <f t="shared" si="99"/>
        <v/>
      </c>
      <c r="BB365" s="25" t="str">
        <f t="shared" si="100"/>
        <v/>
      </c>
      <c r="BC365" s="25">
        <f t="shared" si="101"/>
        <v>46303</v>
      </c>
    </row>
    <row r="366" spans="1:55" x14ac:dyDescent="0.25">
      <c r="A366" s="151">
        <f t="shared" si="86"/>
        <v>364</v>
      </c>
      <c r="B366" s="151" t="s">
        <v>567</v>
      </c>
      <c r="C366" s="152" t="s">
        <v>113</v>
      </c>
      <c r="D366" s="151">
        <f t="shared" si="85"/>
        <v>1</v>
      </c>
      <c r="E366" s="151" t="s">
        <v>61</v>
      </c>
      <c r="F366" s="173">
        <v>46300</v>
      </c>
      <c r="G366" s="173"/>
      <c r="H366" s="173"/>
      <c r="I366" s="173">
        <v>46300</v>
      </c>
      <c r="J366" s="173">
        <v>46302</v>
      </c>
      <c r="K366" s="173"/>
      <c r="L366" s="173"/>
      <c r="M366" s="173"/>
      <c r="N366" s="173"/>
      <c r="O366" s="173"/>
      <c r="P366" s="173"/>
      <c r="Q366" s="173">
        <v>46303</v>
      </c>
      <c r="R366" s="173"/>
      <c r="S366" s="173"/>
      <c r="T366" s="174">
        <v>46303</v>
      </c>
      <c r="U366" s="151"/>
      <c r="V366" s="152"/>
      <c r="W366" s="175"/>
      <c r="X366" s="173"/>
      <c r="Y366" s="173"/>
      <c r="Z366" s="176" t="str">
        <f>IF(B366="","",IF(S366&lt;&gt;"","Sevk Edildi",IF(AND(X366&lt;&gt;"",Y366=""),"Reworkte",IF(T366&lt;&gt;"","Kapandı"&amp;IF(COUNT(G366:R366)=0,""," – "&amp;LOOKUP(2,1/(G366:R366=MAX(G366:R366)),{"Tasarım","Ply Cutter","Üretim","Kalite (Üretim sonrası)","Talaşlı","Kalite (Talaşlı sonrası)","Montaj","Kalite (Montaj sonrası)","Boya","Kalite (Boya sonrası)","Yarı Mamül","KM"})),IF(COUNT(G366:R366)=0,"Başlamadı",LOOKUP(2,1/(G366:R366=MAX(G366:R366)),{"Tasarımda","Ply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66" s="177">
        <f t="shared" ca="1" si="87"/>
        <v>3</v>
      </c>
      <c r="AB366" s="175"/>
      <c r="AD366" t="str">
        <f>IF(OR($B366="",NOT(ISNUMBER(G366))),"",IF(COUNTIF(H366:$T366,G366)&gt;0,0,IF(COUNTIF($G366:$T366,"&gt;"&amp;G366)=0,"",SMALL($G366:$T366,COUNTIF($G366:$T366,"&lt;="&amp;G366)+1)-G366)))</f>
        <v/>
      </c>
      <c r="AE366" t="str">
        <f>IF(OR($B366="",NOT(ISNUMBER(H366))),"",IF(COUNTIF(I366:$T366,H366)&gt;0,0,IF(COUNTIF($G366:$T366,"&gt;"&amp;H366)=0,"",SMALL($G366:$T366,COUNTIF($G366:$T366,"&lt;="&amp;H366)+1)-H366)))</f>
        <v/>
      </c>
      <c r="AF366">
        <f>IF(OR($B366="",NOT(ISNUMBER(I366))),"",IF(COUNTIF(J366:$T366,I366)&gt;0,0,IF(COUNTIF($G366:$T366,"&gt;"&amp;I366)=0,"",SMALL($G366:$T366,COUNTIF($G366:$T366,"&lt;="&amp;I366)+1)-I366)))</f>
        <v>2</v>
      </c>
      <c r="AG366">
        <f>IF(OR($B366="",NOT(ISNUMBER(J366))),"",IF(COUNTIF(K366:$T366,J366)&gt;0,0,IF(COUNTIF($G366:$T366,"&gt;"&amp;J366)=0,"",SMALL($G366:$T366,COUNTIF($G366:$T366,"&lt;="&amp;J366)+1)-J366)))</f>
        <v>1</v>
      </c>
      <c r="AH366" t="str">
        <f>IF(OR($B366="",NOT(ISNUMBER(K366))),"",IF(COUNTIF(L366:$T366,K366)&gt;0,0,IF(COUNTIF($G366:$T366,"&gt;"&amp;K366)=0,"",SMALL($G366:$T366,COUNTIF($G366:$T366,"&lt;="&amp;K366)+1)-K366)))</f>
        <v/>
      </c>
      <c r="AI366" t="str">
        <f>IF(OR($B366="",NOT(ISNUMBER(L366))),"",IF(COUNTIF(M366:$T366,L366)&gt;0,0,IF(COUNTIF($G366:$T366,"&gt;"&amp;L366)=0,"",SMALL($G366:$T366,COUNTIF($G366:$T366,"&lt;="&amp;L366)+1)-L366)))</f>
        <v/>
      </c>
      <c r="AJ366" t="str">
        <f>IF(OR($B366="",NOT(ISNUMBER(M366))),"",IF(COUNTIF(N366:$T366,M366)&gt;0,0,IF(COUNTIF($G366:$T366,"&gt;"&amp;M366)=0,"",SMALL($G366:$T366,COUNTIF($G366:$T366,"&lt;="&amp;M366)+1)-M366)))</f>
        <v/>
      </c>
      <c r="AK366" t="str">
        <f>IF(OR($B366="",NOT(ISNUMBER(N366))),"",IF(COUNTIF(O366:$T366,N366)&gt;0,0,IF(COUNTIF($G366:$T366,"&gt;"&amp;N366)=0,"",SMALL($G366:$T366,COUNTIF($G366:$T366,"&lt;="&amp;N366)+1)-N366)))</f>
        <v/>
      </c>
      <c r="AL366" t="str">
        <f>IF(OR($B366="",NOT(ISNUMBER(O366))),"",IF(COUNTIF(P366:$T366,O366)&gt;0,0,IF(COUNTIF($G366:$T366,"&gt;"&amp;O366)=0,"",SMALL($G366:$T366,COUNTIF($G366:$T366,"&lt;="&amp;O366)+1)-O366)))</f>
        <v/>
      </c>
      <c r="AM366" t="str">
        <f>IF(OR($B366="",NOT(ISNUMBER(P366))),"",IF(COUNTIF(Q366:$T366,P366)&gt;0,0,IF(COUNTIF($G366:$T366,"&gt;"&amp;P366)=0,"",SMALL($G366:$T366,COUNTIF($G366:$T366,"&lt;="&amp;P366)+1)-P366)))</f>
        <v/>
      </c>
      <c r="AN366">
        <f>IF(OR($B366="",NOT(ISNUMBER(Q366))),"",IF(COUNTIF(R366:$T366,Q366)&gt;0,0,IF(COUNTIF($G366:$T366,"&gt;"&amp;Q366)=0,"",SMALL($G366:$T366,COUNTIF($G366:$T366,"&lt;="&amp;Q366)+1)-Q366)))</f>
        <v>0</v>
      </c>
      <c r="AO366" t="str">
        <f>IF(OR($B366="",NOT(ISNUMBER(R366))),"",IF(COUNTIF(S366:$T366,R366)&gt;0,0,IF(COUNTIF($G366:$T366,"&gt;"&amp;R366)=0,"",SMALL($G366:$T366,COUNTIF($G366:$T366,"&lt;="&amp;R366)+1)-R366)))</f>
        <v/>
      </c>
      <c r="AP366">
        <f t="shared" ca="1" si="88"/>
        <v>0</v>
      </c>
      <c r="AQ366" s="25" t="str">
        <f t="shared" si="89"/>
        <v/>
      </c>
      <c r="AR366" s="25" t="str">
        <f t="shared" si="90"/>
        <v/>
      </c>
      <c r="AS366" s="25">
        <f t="shared" si="91"/>
        <v>46302</v>
      </c>
      <c r="AT366" s="25">
        <f t="shared" si="92"/>
        <v>46303</v>
      </c>
      <c r="AU366" s="25" t="str">
        <f t="shared" si="93"/>
        <v/>
      </c>
      <c r="AV366" s="25" t="str">
        <f t="shared" si="94"/>
        <v/>
      </c>
      <c r="AW366" s="25" t="str">
        <f t="shared" si="95"/>
        <v/>
      </c>
      <c r="AX366" s="25" t="str">
        <f t="shared" si="96"/>
        <v/>
      </c>
      <c r="AY366" s="25" t="str">
        <f t="shared" si="97"/>
        <v/>
      </c>
      <c r="AZ366" s="25" t="str">
        <f t="shared" si="98"/>
        <v/>
      </c>
      <c r="BA366" s="25">
        <f t="shared" si="99"/>
        <v>46303</v>
      </c>
      <c r="BB366" s="25" t="str">
        <f t="shared" si="100"/>
        <v/>
      </c>
      <c r="BC366" s="25">
        <f t="shared" si="101"/>
        <v>46303</v>
      </c>
    </row>
    <row r="367" spans="1:55" x14ac:dyDescent="0.25">
      <c r="A367" s="151">
        <f t="shared" si="86"/>
        <v>365</v>
      </c>
      <c r="B367" s="151" t="s">
        <v>568</v>
      </c>
      <c r="C367" s="152" t="s">
        <v>569</v>
      </c>
      <c r="D367" s="151">
        <f t="shared" si="85"/>
        <v>21</v>
      </c>
      <c r="E367" s="151" t="s">
        <v>61</v>
      </c>
      <c r="F367" s="173">
        <v>46300</v>
      </c>
      <c r="G367" s="173"/>
      <c r="H367" s="173"/>
      <c r="I367" s="173">
        <v>46298</v>
      </c>
      <c r="J367" s="173">
        <v>46302</v>
      </c>
      <c r="K367" s="173"/>
      <c r="L367" s="173"/>
      <c r="M367" s="173"/>
      <c r="N367" s="173"/>
      <c r="O367" s="173"/>
      <c r="P367" s="173"/>
      <c r="Q367" s="173"/>
      <c r="R367" s="173"/>
      <c r="S367" s="173"/>
      <c r="T367" s="174">
        <v>46302</v>
      </c>
      <c r="U367" s="151"/>
      <c r="V367" s="152"/>
      <c r="W367" s="175"/>
      <c r="X367" s="173"/>
      <c r="Y367" s="173"/>
      <c r="Z367" s="176" t="str">
        <f>IF(B367="","",IF(S367&lt;&gt;"","Sevk Edildi",IF(AND(X367&lt;&gt;"",Y367=""),"Reworkte",IF(T367&lt;&gt;"","Kapandı"&amp;IF(COUNT(G367:R367)=0,""," – "&amp;LOOKUP(2,1/(G367:R367=MAX(G367:R367)),{"Tasarım","Ply Cutter","Üretim","Kalite (Üretim sonrası)","Talaşlı","Kalite (Talaşlı sonrası)","Montaj","Kalite (Montaj sonrası)","Boya","Kalite (Boya sonrası)","Yarı Mamül","KM"})),IF(COUNT(G367:R367)=0,"Başlamadı",LOOKUP(2,1/(G367:R367=MAX(G367:R367)),{"Tasarımda","Ply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67" s="177">
        <f t="shared" ca="1" si="87"/>
        <v>2</v>
      </c>
      <c r="AB367" s="175"/>
      <c r="AD367" t="str">
        <f>IF(OR($B367="",NOT(ISNUMBER(G367))),"",IF(COUNTIF(H367:$T367,G367)&gt;0,0,IF(COUNTIF($G367:$T367,"&gt;"&amp;G367)=0,"",SMALL($G367:$T367,COUNTIF($G367:$T367,"&lt;="&amp;G367)+1)-G367)))</f>
        <v/>
      </c>
      <c r="AE367" t="str">
        <f>IF(OR($B367="",NOT(ISNUMBER(H367))),"",IF(COUNTIF(I367:$T367,H367)&gt;0,0,IF(COUNTIF($G367:$T367,"&gt;"&amp;H367)=0,"",SMALL($G367:$T367,COUNTIF($G367:$T367,"&lt;="&amp;H367)+1)-H367)))</f>
        <v/>
      </c>
      <c r="AF367">
        <f>IF(OR($B367="",NOT(ISNUMBER(I367))),"",IF(COUNTIF(J367:$T367,I367)&gt;0,0,IF(COUNTIF($G367:$T367,"&gt;"&amp;I367)=0,"",SMALL($G367:$T367,COUNTIF($G367:$T367,"&lt;="&amp;I367)+1)-I367)))</f>
        <v>4</v>
      </c>
      <c r="AG367">
        <f>IF(OR($B367="",NOT(ISNUMBER(J367))),"",IF(COUNTIF(K367:$T367,J367)&gt;0,0,IF(COUNTIF($G367:$T367,"&gt;"&amp;J367)=0,"",SMALL($G367:$T367,COUNTIF($G367:$T367,"&lt;="&amp;J367)+1)-J367)))</f>
        <v>0</v>
      </c>
      <c r="AH367" t="str">
        <f>IF(OR($B367="",NOT(ISNUMBER(K367))),"",IF(COUNTIF(L367:$T367,K367)&gt;0,0,IF(COUNTIF($G367:$T367,"&gt;"&amp;K367)=0,"",SMALL($G367:$T367,COUNTIF($G367:$T367,"&lt;="&amp;K367)+1)-K367)))</f>
        <v/>
      </c>
      <c r="AI367" t="str">
        <f>IF(OR($B367="",NOT(ISNUMBER(L367))),"",IF(COUNTIF(M367:$T367,L367)&gt;0,0,IF(COUNTIF($G367:$T367,"&gt;"&amp;L367)=0,"",SMALL($G367:$T367,COUNTIF($G367:$T367,"&lt;="&amp;L367)+1)-L367)))</f>
        <v/>
      </c>
      <c r="AJ367" t="str">
        <f>IF(OR($B367="",NOT(ISNUMBER(M367))),"",IF(COUNTIF(N367:$T367,M367)&gt;0,0,IF(COUNTIF($G367:$T367,"&gt;"&amp;M367)=0,"",SMALL($G367:$T367,COUNTIF($G367:$T367,"&lt;="&amp;M367)+1)-M367)))</f>
        <v/>
      </c>
      <c r="AK367" t="str">
        <f>IF(OR($B367="",NOT(ISNUMBER(N367))),"",IF(COUNTIF(O367:$T367,N367)&gt;0,0,IF(COUNTIF($G367:$T367,"&gt;"&amp;N367)=0,"",SMALL($G367:$T367,COUNTIF($G367:$T367,"&lt;="&amp;N367)+1)-N367)))</f>
        <v/>
      </c>
      <c r="AL367" t="str">
        <f>IF(OR($B367="",NOT(ISNUMBER(O367))),"",IF(COUNTIF(P367:$T367,O367)&gt;0,0,IF(COUNTIF($G367:$T367,"&gt;"&amp;O367)=0,"",SMALL($G367:$T367,COUNTIF($G367:$T367,"&lt;="&amp;O367)+1)-O367)))</f>
        <v/>
      </c>
      <c r="AM367" t="str">
        <f>IF(OR($B367="",NOT(ISNUMBER(P367))),"",IF(COUNTIF(Q367:$T367,P367)&gt;0,0,IF(COUNTIF($G367:$T367,"&gt;"&amp;P367)=0,"",SMALL($G367:$T367,COUNTIF($G367:$T367,"&lt;="&amp;P367)+1)-P367)))</f>
        <v/>
      </c>
      <c r="AN367" t="str">
        <f>IF(OR($B367="",NOT(ISNUMBER(Q367))),"",IF(COUNTIF(R367:$T367,Q367)&gt;0,0,IF(COUNTIF($G367:$T367,"&gt;"&amp;Q367)=0,"",SMALL($G367:$T367,COUNTIF($G367:$T367,"&lt;="&amp;Q367)+1)-Q367)))</f>
        <v/>
      </c>
      <c r="AO367" t="str">
        <f>IF(OR($B367="",NOT(ISNUMBER(R367))),"",IF(COUNTIF(S367:$T367,R367)&gt;0,0,IF(COUNTIF($G367:$T367,"&gt;"&amp;R367)=0,"",SMALL($G367:$T367,COUNTIF($G367:$T367,"&lt;="&amp;R367)+1)-R367)))</f>
        <v/>
      </c>
      <c r="AP367">
        <f t="shared" ca="1" si="88"/>
        <v>0</v>
      </c>
      <c r="AQ367" s="25" t="str">
        <f t="shared" si="89"/>
        <v/>
      </c>
      <c r="AR367" s="25" t="str">
        <f t="shared" si="90"/>
        <v/>
      </c>
      <c r="AS367" s="25">
        <f t="shared" si="91"/>
        <v>46302</v>
      </c>
      <c r="AT367" s="25">
        <f t="shared" si="92"/>
        <v>46302</v>
      </c>
      <c r="AU367" s="25" t="str">
        <f t="shared" si="93"/>
        <v/>
      </c>
      <c r="AV367" s="25" t="str">
        <f t="shared" si="94"/>
        <v/>
      </c>
      <c r="AW367" s="25" t="str">
        <f t="shared" si="95"/>
        <v/>
      </c>
      <c r="AX367" s="25" t="str">
        <f t="shared" si="96"/>
        <v/>
      </c>
      <c r="AY367" s="25" t="str">
        <f t="shared" si="97"/>
        <v/>
      </c>
      <c r="AZ367" s="25" t="str">
        <f t="shared" si="98"/>
        <v/>
      </c>
      <c r="BA367" s="25" t="str">
        <f t="shared" si="99"/>
        <v/>
      </c>
      <c r="BB367" s="25" t="str">
        <f t="shared" si="100"/>
        <v/>
      </c>
      <c r="BC367" s="25">
        <f t="shared" si="101"/>
        <v>46302</v>
      </c>
    </row>
    <row r="368" spans="1:55" x14ac:dyDescent="0.25">
      <c r="A368" s="151">
        <f t="shared" si="86"/>
        <v>366</v>
      </c>
      <c r="B368" s="151" t="s">
        <v>570</v>
      </c>
      <c r="C368" s="152" t="s">
        <v>571</v>
      </c>
      <c r="D368" s="151">
        <f t="shared" si="85"/>
        <v>50</v>
      </c>
      <c r="E368" s="151" t="s">
        <v>100</v>
      </c>
      <c r="F368" s="173">
        <v>46300</v>
      </c>
      <c r="G368" s="173"/>
      <c r="H368" s="173"/>
      <c r="I368" s="173"/>
      <c r="J368" s="173"/>
      <c r="K368" s="173">
        <v>46297</v>
      </c>
      <c r="L368" s="173"/>
      <c r="M368" s="173"/>
      <c r="N368" s="173"/>
      <c r="O368" s="173"/>
      <c r="P368" s="173"/>
      <c r="Q368" s="173"/>
      <c r="R368" s="173"/>
      <c r="S368" s="173"/>
      <c r="T368" s="151"/>
      <c r="U368" s="151"/>
      <c r="V368" s="152"/>
      <c r="W368" s="175"/>
      <c r="X368" s="173"/>
      <c r="Y368" s="173"/>
      <c r="Z368" s="176" t="str">
        <f>IF(B368="","",IF(S368&lt;&gt;"","Sevk Edildi",IF(AND(X368&lt;&gt;"",Y368=""),"Reworkte",IF(T368&lt;&gt;"","Kapandı"&amp;IF(COUNT(G368:R368)=0,""," – "&amp;LOOKUP(2,1/(G368:R368=MAX(G368:R368)),{"Tasarım","Ply Cutter","Üretim","Kalite (Üretim sonrası)","Talaşlı","Kalite (Talaşlı sonrası)","Montaj","Kalite (Montaj sonrası)","Boya","Kalite (Boya sonrası)","Yarı Mamül","KM"})),IF(COUNT(G368:R368)=0,"Başlamadı",LOOKUP(2,1/(G368:R368=MAX(G368:R368)),{"Tasarımda","Ply Cutter'da","Üretimde","Kalitede (Üretim sonrası)","Talaşlıda","Kalitede (Talaşlı sonrası)","Montajda","Kalitede (Montaj sonrası)","Boyada","Kalitede (Boya sonrası)","Yarı Mamülde","KM'de"}))))))</f>
        <v>Talaşlıda</v>
      </c>
      <c r="AA368" s="177">
        <f t="shared" ca="1" si="87"/>
        <v>7</v>
      </c>
      <c r="AB368" s="175"/>
      <c r="AD368" t="str">
        <f>IF(OR($B368="",NOT(ISNUMBER(G368))),"",IF(COUNTIF(H368:$T368,G368)&gt;0,0,IF(COUNTIF($G368:$T368,"&gt;"&amp;G368)=0,"",SMALL($G368:$T368,COUNTIF($G368:$T368,"&lt;="&amp;G368)+1)-G368)))</f>
        <v/>
      </c>
      <c r="AE368" t="str">
        <f>IF(OR($B368="",NOT(ISNUMBER(H368))),"",IF(COUNTIF(I368:$T368,H368)&gt;0,0,IF(COUNTIF($G368:$T368,"&gt;"&amp;H368)=0,"",SMALL($G368:$T368,COUNTIF($G368:$T368,"&lt;="&amp;H368)+1)-H368)))</f>
        <v/>
      </c>
      <c r="AF368" t="str">
        <f>IF(OR($B368="",NOT(ISNUMBER(I368))),"",IF(COUNTIF(J368:$T368,I368)&gt;0,0,IF(COUNTIF($G368:$T368,"&gt;"&amp;I368)=0,"",SMALL($G368:$T368,COUNTIF($G368:$T368,"&lt;="&amp;I368)+1)-I368)))</f>
        <v/>
      </c>
      <c r="AG368" t="str">
        <f>IF(OR($B368="",NOT(ISNUMBER(J368))),"",IF(COUNTIF(K368:$T368,J368)&gt;0,0,IF(COUNTIF($G368:$T368,"&gt;"&amp;J368)=0,"",SMALL($G368:$T368,COUNTIF($G368:$T368,"&lt;="&amp;J368)+1)-J368)))</f>
        <v/>
      </c>
      <c r="AH368" t="str">
        <f>IF(OR($B368="",NOT(ISNUMBER(K368))),"",IF(COUNTIF(L368:$T368,K368)&gt;0,0,IF(COUNTIF($G368:$T368,"&gt;"&amp;K368)=0,"",SMALL($G368:$T368,COUNTIF($G368:$T368,"&lt;="&amp;K368)+1)-K368)))</f>
        <v/>
      </c>
      <c r="AI368" t="str">
        <f>IF(OR($B368="",NOT(ISNUMBER(L368))),"",IF(COUNTIF(M368:$T368,L368)&gt;0,0,IF(COUNTIF($G368:$T368,"&gt;"&amp;L368)=0,"",SMALL($G368:$T368,COUNTIF($G368:$T368,"&lt;="&amp;L368)+1)-L368)))</f>
        <v/>
      </c>
      <c r="AJ368" t="str">
        <f>IF(OR($B368="",NOT(ISNUMBER(M368))),"",IF(COUNTIF(N368:$T368,M368)&gt;0,0,IF(COUNTIF($G368:$T368,"&gt;"&amp;M368)=0,"",SMALL($G368:$T368,COUNTIF($G368:$T368,"&lt;="&amp;M368)+1)-M368)))</f>
        <v/>
      </c>
      <c r="AK368" t="str">
        <f>IF(OR($B368="",NOT(ISNUMBER(N368))),"",IF(COUNTIF(O368:$T368,N368)&gt;0,0,IF(COUNTIF($G368:$T368,"&gt;"&amp;N368)=0,"",SMALL($G368:$T368,COUNTIF($G368:$T368,"&lt;="&amp;N368)+1)-N368)))</f>
        <v/>
      </c>
      <c r="AL368" t="str">
        <f>IF(OR($B368="",NOT(ISNUMBER(O368))),"",IF(COUNTIF(P368:$T368,O368)&gt;0,0,IF(COUNTIF($G368:$T368,"&gt;"&amp;O368)=0,"",SMALL($G368:$T368,COUNTIF($G368:$T368,"&lt;="&amp;O368)+1)-O368)))</f>
        <v/>
      </c>
      <c r="AM368" t="str">
        <f>IF(OR($B368="",NOT(ISNUMBER(P368))),"",IF(COUNTIF(Q368:$T368,P368)&gt;0,0,IF(COUNTIF($G368:$T368,"&gt;"&amp;P368)=0,"",SMALL($G368:$T368,COUNTIF($G368:$T368,"&lt;="&amp;P368)+1)-P368)))</f>
        <v/>
      </c>
      <c r="AN368" t="str">
        <f>IF(OR($B368="",NOT(ISNUMBER(Q368))),"",IF(COUNTIF(R368:$T368,Q368)&gt;0,0,IF(COUNTIF($G368:$T368,"&gt;"&amp;Q368)=0,"",SMALL($G368:$T368,COUNTIF($G368:$T368,"&lt;="&amp;Q368)+1)-Q368)))</f>
        <v/>
      </c>
      <c r="AO368" t="str">
        <f>IF(OR($B368="",NOT(ISNUMBER(R368))),"",IF(COUNTIF(S368:$T368,R368)&gt;0,0,IF(COUNTIF($G368:$T368,"&gt;"&amp;R368)=0,"",SMALL($G368:$T368,COUNTIF($G368:$T368,"&lt;="&amp;R368)+1)-R368)))</f>
        <v/>
      </c>
      <c r="AP368">
        <f t="shared" ca="1" si="88"/>
        <v>10</v>
      </c>
      <c r="AQ368" s="25" t="str">
        <f t="shared" si="89"/>
        <v/>
      </c>
      <c r="AR368" s="25" t="str">
        <f t="shared" si="90"/>
        <v/>
      </c>
      <c r="AS368" s="25" t="str">
        <f t="shared" si="91"/>
        <v/>
      </c>
      <c r="AT368" s="25" t="str">
        <f t="shared" si="92"/>
        <v/>
      </c>
      <c r="AU368" s="25" t="str">
        <f t="shared" si="93"/>
        <v/>
      </c>
      <c r="AV368" s="25" t="str">
        <f t="shared" si="94"/>
        <v/>
      </c>
      <c r="AW368" s="25" t="str">
        <f t="shared" si="95"/>
        <v/>
      </c>
      <c r="AX368" s="25" t="str">
        <f t="shared" si="96"/>
        <v/>
      </c>
      <c r="AY368" s="25" t="str">
        <f t="shared" si="97"/>
        <v/>
      </c>
      <c r="AZ368" s="25" t="str">
        <f t="shared" si="98"/>
        <v/>
      </c>
      <c r="BA368" s="25" t="str">
        <f t="shared" si="99"/>
        <v/>
      </c>
      <c r="BB368" s="25" t="str">
        <f t="shared" si="100"/>
        <v/>
      </c>
      <c r="BC368" s="25" t="str">
        <f t="shared" si="101"/>
        <v/>
      </c>
    </row>
    <row r="369" spans="1:55" x14ac:dyDescent="0.25">
      <c r="A369" s="151">
        <f t="shared" si="86"/>
        <v>367</v>
      </c>
      <c r="B369" s="151" t="s">
        <v>572</v>
      </c>
      <c r="C369" s="152" t="s">
        <v>573</v>
      </c>
      <c r="D369" s="151">
        <f t="shared" si="85"/>
        <v>5</v>
      </c>
      <c r="E369" s="151" t="s">
        <v>100</v>
      </c>
      <c r="F369" s="173">
        <v>46300</v>
      </c>
      <c r="G369" s="173"/>
      <c r="H369" s="173"/>
      <c r="I369" s="173"/>
      <c r="J369" s="173"/>
      <c r="K369" s="173">
        <v>46300</v>
      </c>
      <c r="L369" s="173">
        <v>46302</v>
      </c>
      <c r="M369" s="173"/>
      <c r="N369" s="173"/>
      <c r="O369" s="173"/>
      <c r="P369" s="173"/>
      <c r="Q369" s="173"/>
      <c r="R369" s="173"/>
      <c r="S369" s="173"/>
      <c r="T369" s="174">
        <v>46302</v>
      </c>
      <c r="U369" s="151"/>
      <c r="V369" s="152"/>
      <c r="W369" s="175"/>
      <c r="X369" s="173"/>
      <c r="Y369" s="173"/>
      <c r="Z369" s="176" t="str">
        <f>IF(B369="","",IF(S369&lt;&gt;"","Sevk Edildi",IF(AND(X369&lt;&gt;"",Y369=""),"Reworkte",IF(T369&lt;&gt;"","Kapandı"&amp;IF(COUNT(G369:R369)=0,""," – "&amp;LOOKUP(2,1/(G369:R369=MAX(G369:R369)),{"Tasarım","Ply Cutter","Üretim","Kalite (Üretim sonrası)","Talaşlı","Kalite (Talaşlı sonrası)","Montaj","Kalite (Montaj sonrası)","Boya","Kalite (Boya sonrası)","Yarı Mamül","KM"})),IF(COUNT(G369:R369)=0,"Başlamadı",LOOKUP(2,1/(G369:R369=MAX(G369:R369)),{"Tasarımda","Ply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69" s="177">
        <f t="shared" ca="1" si="87"/>
        <v>2</v>
      </c>
      <c r="AB369" s="175"/>
      <c r="AD369" t="str">
        <f>IF(OR($B369="",NOT(ISNUMBER(G369))),"",IF(COUNTIF(H369:$T369,G369)&gt;0,0,IF(COUNTIF($G369:$T369,"&gt;"&amp;G369)=0,"",SMALL($G369:$T369,COUNTIF($G369:$T369,"&lt;="&amp;G369)+1)-G369)))</f>
        <v/>
      </c>
      <c r="AE369" t="str">
        <f>IF(OR($B369="",NOT(ISNUMBER(H369))),"",IF(COUNTIF(I369:$T369,H369)&gt;0,0,IF(COUNTIF($G369:$T369,"&gt;"&amp;H369)=0,"",SMALL($G369:$T369,COUNTIF($G369:$T369,"&lt;="&amp;H369)+1)-H369)))</f>
        <v/>
      </c>
      <c r="AF369" t="str">
        <f>IF(OR($B369="",NOT(ISNUMBER(I369))),"",IF(COUNTIF(J369:$T369,I369)&gt;0,0,IF(COUNTIF($G369:$T369,"&gt;"&amp;I369)=0,"",SMALL($G369:$T369,COUNTIF($G369:$T369,"&lt;="&amp;I369)+1)-I369)))</f>
        <v/>
      </c>
      <c r="AG369" t="str">
        <f>IF(OR($B369="",NOT(ISNUMBER(J369))),"",IF(COUNTIF(K369:$T369,J369)&gt;0,0,IF(COUNTIF($G369:$T369,"&gt;"&amp;J369)=0,"",SMALL($G369:$T369,COUNTIF($G369:$T369,"&lt;="&amp;J369)+1)-J369)))</f>
        <v/>
      </c>
      <c r="AH369">
        <f>IF(OR($B369="",NOT(ISNUMBER(K369))),"",IF(COUNTIF(L369:$T369,K369)&gt;0,0,IF(COUNTIF($G369:$T369,"&gt;"&amp;K369)=0,"",SMALL($G369:$T369,COUNTIF($G369:$T369,"&lt;="&amp;K369)+1)-K369)))</f>
        <v>2</v>
      </c>
      <c r="AI369">
        <f>IF(OR($B369="",NOT(ISNUMBER(L369))),"",IF(COUNTIF(M369:$T369,L369)&gt;0,0,IF(COUNTIF($G369:$T369,"&gt;"&amp;L369)=0,"",SMALL($G369:$T369,COUNTIF($G369:$T369,"&lt;="&amp;L369)+1)-L369)))</f>
        <v>0</v>
      </c>
      <c r="AJ369" t="str">
        <f>IF(OR($B369="",NOT(ISNUMBER(M369))),"",IF(COUNTIF(N369:$T369,M369)&gt;0,0,IF(COUNTIF($G369:$T369,"&gt;"&amp;M369)=0,"",SMALL($G369:$T369,COUNTIF($G369:$T369,"&lt;="&amp;M369)+1)-M369)))</f>
        <v/>
      </c>
      <c r="AK369" t="str">
        <f>IF(OR($B369="",NOT(ISNUMBER(N369))),"",IF(COUNTIF(O369:$T369,N369)&gt;0,0,IF(COUNTIF($G369:$T369,"&gt;"&amp;N369)=0,"",SMALL($G369:$T369,COUNTIF($G369:$T369,"&lt;="&amp;N369)+1)-N369)))</f>
        <v/>
      </c>
      <c r="AL369" t="str">
        <f>IF(OR($B369="",NOT(ISNUMBER(O369))),"",IF(COUNTIF(P369:$T369,O369)&gt;0,0,IF(COUNTIF($G369:$T369,"&gt;"&amp;O369)=0,"",SMALL($G369:$T369,COUNTIF($G369:$T369,"&lt;="&amp;O369)+1)-O369)))</f>
        <v/>
      </c>
      <c r="AM369" t="str">
        <f>IF(OR($B369="",NOT(ISNUMBER(P369))),"",IF(COUNTIF(Q369:$T369,P369)&gt;0,0,IF(COUNTIF($G369:$T369,"&gt;"&amp;P369)=0,"",SMALL($G369:$T369,COUNTIF($G369:$T369,"&lt;="&amp;P369)+1)-P369)))</f>
        <v/>
      </c>
      <c r="AN369" t="str">
        <f>IF(OR($B369="",NOT(ISNUMBER(Q369))),"",IF(COUNTIF(R369:$T369,Q369)&gt;0,0,IF(COUNTIF($G369:$T369,"&gt;"&amp;Q369)=0,"",SMALL($G369:$T369,COUNTIF($G369:$T369,"&lt;="&amp;Q369)+1)-Q369)))</f>
        <v/>
      </c>
      <c r="AO369" t="str">
        <f>IF(OR($B369="",NOT(ISNUMBER(R369))),"",IF(COUNTIF(S369:$T369,R369)&gt;0,0,IF(COUNTIF($G369:$T369,"&gt;"&amp;R369)=0,"",SMALL($G369:$T369,COUNTIF($G369:$T369,"&lt;="&amp;R369)+1)-R369)))</f>
        <v/>
      </c>
      <c r="AP369">
        <f t="shared" ca="1" si="88"/>
        <v>0</v>
      </c>
      <c r="AQ369" s="25" t="str">
        <f t="shared" si="89"/>
        <v/>
      </c>
      <c r="AR369" s="25" t="str">
        <f t="shared" si="90"/>
        <v/>
      </c>
      <c r="AS369" s="25" t="str">
        <f t="shared" si="91"/>
        <v/>
      </c>
      <c r="AT369" s="25" t="str">
        <f t="shared" si="92"/>
        <v/>
      </c>
      <c r="AU369" s="25">
        <f t="shared" si="93"/>
        <v>46302</v>
      </c>
      <c r="AV369" s="25">
        <f t="shared" si="94"/>
        <v>46302</v>
      </c>
      <c r="AW369" s="25" t="str">
        <f t="shared" si="95"/>
        <v/>
      </c>
      <c r="AX369" s="25" t="str">
        <f t="shared" si="96"/>
        <v/>
      </c>
      <c r="AY369" s="25" t="str">
        <f t="shared" si="97"/>
        <v/>
      </c>
      <c r="AZ369" s="25" t="str">
        <f t="shared" si="98"/>
        <v/>
      </c>
      <c r="BA369" s="25" t="str">
        <f t="shared" si="99"/>
        <v/>
      </c>
      <c r="BB369" s="25" t="str">
        <f t="shared" si="100"/>
        <v/>
      </c>
      <c r="BC369" s="25">
        <f t="shared" si="101"/>
        <v>46302</v>
      </c>
    </row>
    <row r="370" spans="1:55" x14ac:dyDescent="0.25">
      <c r="A370" s="151">
        <f t="shared" si="86"/>
        <v>368</v>
      </c>
      <c r="B370" s="151" t="s">
        <v>574</v>
      </c>
      <c r="C370" s="152" t="s">
        <v>575</v>
      </c>
      <c r="D370" s="151">
        <f t="shared" si="85"/>
        <v>10</v>
      </c>
      <c r="E370" s="151" t="s">
        <v>100</v>
      </c>
      <c r="F370" s="173">
        <v>46301</v>
      </c>
      <c r="G370" s="173"/>
      <c r="H370" s="173"/>
      <c r="I370" s="173"/>
      <c r="J370" s="173"/>
      <c r="K370" s="173">
        <v>46301</v>
      </c>
      <c r="L370" s="173">
        <v>46302</v>
      </c>
      <c r="M370" s="173">
        <v>46302</v>
      </c>
      <c r="N370" s="173">
        <v>46303</v>
      </c>
      <c r="O370" s="173"/>
      <c r="P370" s="173"/>
      <c r="Q370" s="173"/>
      <c r="R370" s="173"/>
      <c r="S370" s="173"/>
      <c r="T370" s="174">
        <v>46303</v>
      </c>
      <c r="U370" s="151"/>
      <c r="V370" s="152"/>
      <c r="W370" s="175"/>
      <c r="X370" s="173"/>
      <c r="Y370" s="173"/>
      <c r="Z370" s="176" t="str">
        <f>IF(B370="","",IF(S370&lt;&gt;"","Sevk Edildi",IF(AND(X370&lt;&gt;"",Y370=""),"Reworkte",IF(T370&lt;&gt;"","Kapandı"&amp;IF(COUNT(G370:R370)=0,""," – "&amp;LOOKUP(2,1/(G370:R370=MAX(G370:R370)),{"Tasarım","Ply Cutter","Üretim","Kalite (Üretim sonrası)","Talaşlı","Kalite (Talaşlı sonrası)","Montaj","Kalite (Montaj sonrası)","Boya","Kalite (Boya sonrası)","Yarı Mamül","KM"})),IF(COUNT(G370:R370)=0,"Başlamadı",LOOKUP(2,1/(G370:R370=MAX(G370:R370)),{"Tasarımda","Ply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370" s="177">
        <f t="shared" ca="1" si="87"/>
        <v>2</v>
      </c>
      <c r="AB370" s="175"/>
      <c r="AD370" t="str">
        <f>IF(OR($B370="",NOT(ISNUMBER(G370))),"",IF(COUNTIF(H370:$T370,G370)&gt;0,0,IF(COUNTIF($G370:$T370,"&gt;"&amp;G370)=0,"",SMALL($G370:$T370,COUNTIF($G370:$T370,"&lt;="&amp;G370)+1)-G370)))</f>
        <v/>
      </c>
      <c r="AE370" t="str">
        <f>IF(OR($B370="",NOT(ISNUMBER(H370))),"",IF(COUNTIF(I370:$T370,H370)&gt;0,0,IF(COUNTIF($G370:$T370,"&gt;"&amp;H370)=0,"",SMALL($G370:$T370,COUNTIF($G370:$T370,"&lt;="&amp;H370)+1)-H370)))</f>
        <v/>
      </c>
      <c r="AF370" t="str">
        <f>IF(OR($B370="",NOT(ISNUMBER(I370))),"",IF(COUNTIF(J370:$T370,I370)&gt;0,0,IF(COUNTIF($G370:$T370,"&gt;"&amp;I370)=0,"",SMALL($G370:$T370,COUNTIF($G370:$T370,"&lt;="&amp;I370)+1)-I370)))</f>
        <v/>
      </c>
      <c r="AG370" t="str">
        <f>IF(OR($B370="",NOT(ISNUMBER(J370))),"",IF(COUNTIF(K370:$T370,J370)&gt;0,0,IF(COUNTIF($G370:$T370,"&gt;"&amp;J370)=0,"",SMALL($G370:$T370,COUNTIF($G370:$T370,"&lt;="&amp;J370)+1)-J370)))</f>
        <v/>
      </c>
      <c r="AH370">
        <f>IF(OR($B370="",NOT(ISNUMBER(K370))),"",IF(COUNTIF(L370:$T370,K370)&gt;0,0,IF(COUNTIF($G370:$T370,"&gt;"&amp;K370)=0,"",SMALL($G370:$T370,COUNTIF($G370:$T370,"&lt;="&amp;K370)+1)-K370)))</f>
        <v>1</v>
      </c>
      <c r="AI370">
        <f>IF(OR($B370="",NOT(ISNUMBER(L370))),"",IF(COUNTIF(M370:$T370,L370)&gt;0,0,IF(COUNTIF($G370:$T370,"&gt;"&amp;L370)=0,"",SMALL($G370:$T370,COUNTIF($G370:$T370,"&lt;="&amp;L370)+1)-L370)))</f>
        <v>0</v>
      </c>
      <c r="AJ370">
        <f>IF(OR($B370="",NOT(ISNUMBER(M370))),"",IF(COUNTIF(N370:$T370,M370)&gt;0,0,IF(COUNTIF($G370:$T370,"&gt;"&amp;M370)=0,"",SMALL($G370:$T370,COUNTIF($G370:$T370,"&lt;="&amp;M370)+1)-M370)))</f>
        <v>1</v>
      </c>
      <c r="AK370">
        <f>IF(OR($B370="",NOT(ISNUMBER(N370))),"",IF(COUNTIF(O370:$T370,N370)&gt;0,0,IF(COUNTIF($G370:$T370,"&gt;"&amp;N370)=0,"",SMALL($G370:$T370,COUNTIF($G370:$T370,"&lt;="&amp;N370)+1)-N370)))</f>
        <v>0</v>
      </c>
      <c r="AL370" t="str">
        <f>IF(OR($B370="",NOT(ISNUMBER(O370))),"",IF(COUNTIF(P370:$T370,O370)&gt;0,0,IF(COUNTIF($G370:$T370,"&gt;"&amp;O370)=0,"",SMALL($G370:$T370,COUNTIF($G370:$T370,"&lt;="&amp;O370)+1)-O370)))</f>
        <v/>
      </c>
      <c r="AM370" t="str">
        <f>IF(OR($B370="",NOT(ISNUMBER(P370))),"",IF(COUNTIF(Q370:$T370,P370)&gt;0,0,IF(COUNTIF($G370:$T370,"&gt;"&amp;P370)=0,"",SMALL($G370:$T370,COUNTIF($G370:$T370,"&lt;="&amp;P370)+1)-P370)))</f>
        <v/>
      </c>
      <c r="AN370" t="str">
        <f>IF(OR($B370="",NOT(ISNUMBER(Q370))),"",IF(COUNTIF(R370:$T370,Q370)&gt;0,0,IF(COUNTIF($G370:$T370,"&gt;"&amp;Q370)=0,"",SMALL($G370:$T370,COUNTIF($G370:$T370,"&lt;="&amp;Q370)+1)-Q370)))</f>
        <v/>
      </c>
      <c r="AO370" t="str">
        <f>IF(OR($B370="",NOT(ISNUMBER(R370))),"",IF(COUNTIF(S370:$T370,R370)&gt;0,0,IF(COUNTIF($G370:$T370,"&gt;"&amp;R370)=0,"",SMALL($G370:$T370,COUNTIF($G370:$T370,"&lt;="&amp;R370)+1)-R370)))</f>
        <v/>
      </c>
      <c r="AP370">
        <f t="shared" ca="1" si="88"/>
        <v>0</v>
      </c>
      <c r="AQ370" s="25" t="str">
        <f t="shared" si="89"/>
        <v/>
      </c>
      <c r="AR370" s="25" t="str">
        <f t="shared" si="90"/>
        <v/>
      </c>
      <c r="AS370" s="25" t="str">
        <f t="shared" si="91"/>
        <v/>
      </c>
      <c r="AT370" s="25" t="str">
        <f t="shared" si="92"/>
        <v/>
      </c>
      <c r="AU370" s="25">
        <f t="shared" si="93"/>
        <v>46302</v>
      </c>
      <c r="AV370" s="25">
        <f t="shared" si="94"/>
        <v>46302</v>
      </c>
      <c r="AW370" s="25">
        <f t="shared" si="95"/>
        <v>46303</v>
      </c>
      <c r="AX370" s="25">
        <f t="shared" si="96"/>
        <v>46303</v>
      </c>
      <c r="AY370" s="25" t="str">
        <f t="shared" si="97"/>
        <v/>
      </c>
      <c r="AZ370" s="25" t="str">
        <f t="shared" si="98"/>
        <v/>
      </c>
      <c r="BA370" s="25" t="str">
        <f t="shared" si="99"/>
        <v/>
      </c>
      <c r="BB370" s="25" t="str">
        <f t="shared" si="100"/>
        <v/>
      </c>
      <c r="BC370" s="25">
        <f t="shared" si="101"/>
        <v>46303</v>
      </c>
    </row>
    <row r="371" spans="1:55" x14ac:dyDescent="0.25">
      <c r="A371" s="151">
        <f t="shared" si="86"/>
        <v>369</v>
      </c>
      <c r="B371" s="151" t="s">
        <v>576</v>
      </c>
      <c r="C371" s="152" t="s">
        <v>577</v>
      </c>
      <c r="D371" s="151">
        <f t="shared" si="85"/>
        <v>28</v>
      </c>
      <c r="E371" s="151" t="s">
        <v>100</v>
      </c>
      <c r="F371" s="173">
        <v>46301</v>
      </c>
      <c r="G371" s="173"/>
      <c r="H371" s="173"/>
      <c r="I371" s="173"/>
      <c r="J371" s="173"/>
      <c r="K371" s="173">
        <v>46301</v>
      </c>
      <c r="L371" s="173"/>
      <c r="M371" s="173"/>
      <c r="N371" s="173"/>
      <c r="O371" s="173"/>
      <c r="P371" s="173"/>
      <c r="Q371" s="173"/>
      <c r="R371" s="173"/>
      <c r="S371" s="173"/>
      <c r="T371" s="151"/>
      <c r="U371" s="151"/>
      <c r="V371" s="152"/>
      <c r="W371" s="175"/>
      <c r="X371" s="173"/>
      <c r="Y371" s="173"/>
      <c r="Z371" s="176" t="str">
        <f>IF(B371="","",IF(S371&lt;&gt;"","Sevk Edildi",IF(AND(X371&lt;&gt;"",Y371=""),"Reworkte",IF(T371&lt;&gt;"","Kapandı"&amp;IF(COUNT(G371:R371)=0,""," – "&amp;LOOKUP(2,1/(G371:R371=MAX(G371:R371)),{"Tasarım","Ply Cutter","Üretim","Kalite (Üretim sonrası)","Talaşlı","Kalite (Talaşlı sonrası)","Montaj","Kalite (Montaj sonrası)","Boya","Kalite (Boya sonrası)","Yarı Mamül","KM"})),IF(COUNT(G371:R371)=0,"Başlamadı",LOOKUP(2,1/(G371:R371=MAX(G371:R371)),{"Tasarımda","Ply Cutter'da","Üretimde","Kalitede (Üretim sonrası)","Talaşlıda","Kalitede (Talaşlı sonrası)","Montajda","Kalitede (Montaj sonrası)","Boyada","Kalitede (Boya sonrası)","Yarı Mamülde","KM'de"}))))))</f>
        <v>Talaşlıda</v>
      </c>
      <c r="AA371" s="177">
        <f t="shared" ca="1" si="87"/>
        <v>6</v>
      </c>
      <c r="AB371" s="175"/>
      <c r="AD371" t="str">
        <f>IF(OR($B371="",NOT(ISNUMBER(G371))),"",IF(COUNTIF(H371:$T371,G371)&gt;0,0,IF(COUNTIF($G371:$T371,"&gt;"&amp;G371)=0,"",SMALL($G371:$T371,COUNTIF($G371:$T371,"&lt;="&amp;G371)+1)-G371)))</f>
        <v/>
      </c>
      <c r="AE371" t="str">
        <f>IF(OR($B371="",NOT(ISNUMBER(H371))),"",IF(COUNTIF(I371:$T371,H371)&gt;0,0,IF(COUNTIF($G371:$T371,"&gt;"&amp;H371)=0,"",SMALL($G371:$T371,COUNTIF($G371:$T371,"&lt;="&amp;H371)+1)-H371)))</f>
        <v/>
      </c>
      <c r="AF371" t="str">
        <f>IF(OR($B371="",NOT(ISNUMBER(I371))),"",IF(COUNTIF(J371:$T371,I371)&gt;0,0,IF(COUNTIF($G371:$T371,"&gt;"&amp;I371)=0,"",SMALL($G371:$T371,COUNTIF($G371:$T371,"&lt;="&amp;I371)+1)-I371)))</f>
        <v/>
      </c>
      <c r="AG371" t="str">
        <f>IF(OR($B371="",NOT(ISNUMBER(J371))),"",IF(COUNTIF(K371:$T371,J371)&gt;0,0,IF(COUNTIF($G371:$T371,"&gt;"&amp;J371)=0,"",SMALL($G371:$T371,COUNTIF($G371:$T371,"&lt;="&amp;J371)+1)-J371)))</f>
        <v/>
      </c>
      <c r="AH371" t="str">
        <f>IF(OR($B371="",NOT(ISNUMBER(K371))),"",IF(COUNTIF(L371:$T371,K371)&gt;0,0,IF(COUNTIF($G371:$T371,"&gt;"&amp;K371)=0,"",SMALL($G371:$T371,COUNTIF($G371:$T371,"&lt;="&amp;K371)+1)-K371)))</f>
        <v/>
      </c>
      <c r="AI371" t="str">
        <f>IF(OR($B371="",NOT(ISNUMBER(L371))),"",IF(COUNTIF(M371:$T371,L371)&gt;0,0,IF(COUNTIF($G371:$T371,"&gt;"&amp;L371)=0,"",SMALL($G371:$T371,COUNTIF($G371:$T371,"&lt;="&amp;L371)+1)-L371)))</f>
        <v/>
      </c>
      <c r="AJ371" t="str">
        <f>IF(OR($B371="",NOT(ISNUMBER(M371))),"",IF(COUNTIF(N371:$T371,M371)&gt;0,0,IF(COUNTIF($G371:$T371,"&gt;"&amp;M371)=0,"",SMALL($G371:$T371,COUNTIF($G371:$T371,"&lt;="&amp;M371)+1)-M371)))</f>
        <v/>
      </c>
      <c r="AK371" t="str">
        <f>IF(OR($B371="",NOT(ISNUMBER(N371))),"",IF(COUNTIF(O371:$T371,N371)&gt;0,0,IF(COUNTIF($G371:$T371,"&gt;"&amp;N371)=0,"",SMALL($G371:$T371,COUNTIF($G371:$T371,"&lt;="&amp;N371)+1)-N371)))</f>
        <v/>
      </c>
      <c r="AL371" t="str">
        <f>IF(OR($B371="",NOT(ISNUMBER(O371))),"",IF(COUNTIF(P371:$T371,O371)&gt;0,0,IF(COUNTIF($G371:$T371,"&gt;"&amp;O371)=0,"",SMALL($G371:$T371,COUNTIF($G371:$T371,"&lt;="&amp;O371)+1)-O371)))</f>
        <v/>
      </c>
      <c r="AM371" t="str">
        <f>IF(OR($B371="",NOT(ISNUMBER(P371))),"",IF(COUNTIF(Q371:$T371,P371)&gt;0,0,IF(COUNTIF($G371:$T371,"&gt;"&amp;P371)=0,"",SMALL($G371:$T371,COUNTIF($G371:$T371,"&lt;="&amp;P371)+1)-P371)))</f>
        <v/>
      </c>
      <c r="AN371" t="str">
        <f>IF(OR($B371="",NOT(ISNUMBER(Q371))),"",IF(COUNTIF(R371:$T371,Q371)&gt;0,0,IF(COUNTIF($G371:$T371,"&gt;"&amp;Q371)=0,"",SMALL($G371:$T371,COUNTIF($G371:$T371,"&lt;="&amp;Q371)+1)-Q371)))</f>
        <v/>
      </c>
      <c r="AO371" t="str">
        <f>IF(OR($B371="",NOT(ISNUMBER(R371))),"",IF(COUNTIF(S371:$T371,R371)&gt;0,0,IF(COUNTIF($G371:$T371,"&gt;"&amp;R371)=0,"",SMALL($G371:$T371,COUNTIF($G371:$T371,"&lt;="&amp;R371)+1)-R371)))</f>
        <v/>
      </c>
      <c r="AP371">
        <f t="shared" ca="1" si="88"/>
        <v>6</v>
      </c>
      <c r="AQ371" s="25" t="str">
        <f t="shared" si="89"/>
        <v/>
      </c>
      <c r="AR371" s="25" t="str">
        <f t="shared" si="90"/>
        <v/>
      </c>
      <c r="AS371" s="25" t="str">
        <f t="shared" si="91"/>
        <v/>
      </c>
      <c r="AT371" s="25" t="str">
        <f t="shared" si="92"/>
        <v/>
      </c>
      <c r="AU371" s="25" t="str">
        <f t="shared" si="93"/>
        <v/>
      </c>
      <c r="AV371" s="25" t="str">
        <f t="shared" si="94"/>
        <v/>
      </c>
      <c r="AW371" s="25" t="str">
        <f t="shared" si="95"/>
        <v/>
      </c>
      <c r="AX371" s="25" t="str">
        <f t="shared" si="96"/>
        <v/>
      </c>
      <c r="AY371" s="25" t="str">
        <f t="shared" si="97"/>
        <v/>
      </c>
      <c r="AZ371" s="25" t="str">
        <f t="shared" si="98"/>
        <v/>
      </c>
      <c r="BA371" s="25" t="str">
        <f t="shared" si="99"/>
        <v/>
      </c>
      <c r="BB371" s="25" t="str">
        <f t="shared" si="100"/>
        <v/>
      </c>
      <c r="BC371" s="25" t="str">
        <f t="shared" si="101"/>
        <v/>
      </c>
    </row>
    <row r="372" spans="1:55" x14ac:dyDescent="0.25">
      <c r="A372" s="151">
        <f t="shared" si="86"/>
        <v>370</v>
      </c>
      <c r="B372" s="151" t="s">
        <v>578</v>
      </c>
      <c r="C372" s="152" t="s">
        <v>74</v>
      </c>
      <c r="D372" s="151">
        <f t="shared" si="85"/>
        <v>1</v>
      </c>
      <c r="E372" s="151" t="s">
        <v>61</v>
      </c>
      <c r="F372" s="173">
        <v>46301</v>
      </c>
      <c r="G372" s="173"/>
      <c r="H372" s="173"/>
      <c r="I372" s="173">
        <v>46301</v>
      </c>
      <c r="J372" s="173">
        <v>46302</v>
      </c>
      <c r="K372" s="173"/>
      <c r="L372" s="173"/>
      <c r="M372" s="173"/>
      <c r="N372" s="173"/>
      <c r="O372" s="173"/>
      <c r="P372" s="173"/>
      <c r="Q372" s="173"/>
      <c r="R372" s="173"/>
      <c r="S372" s="173"/>
      <c r="T372" s="174">
        <v>46304</v>
      </c>
      <c r="U372" s="151"/>
      <c r="V372" s="152"/>
      <c r="W372" s="175"/>
      <c r="X372" s="173"/>
      <c r="Y372" s="173"/>
      <c r="Z372" s="176" t="str">
        <f>IF(B372="","",IF(S372&lt;&gt;"","Sevk Edildi",IF(AND(X372&lt;&gt;"",Y372=""),"Reworkte",IF(T372&lt;&gt;"","Kapandı"&amp;IF(COUNT(G372:R372)=0,""," – "&amp;LOOKUP(2,1/(G372:R372=MAX(G372:R372)),{"Tasarım","Ply Cutter","Üretim","Kalite (Üretim sonrası)","Talaşlı","Kalite (Talaşlı sonrası)","Montaj","Kalite (Montaj sonrası)","Boya","Kalite (Boya sonrası)","Yarı Mamül","KM"})),IF(COUNT(G372:R372)=0,"Başlamadı",LOOKUP(2,1/(G372:R372=MAX(G372:R372)),{"Tasarımda","Ply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72" s="177">
        <f t="shared" ca="1" si="87"/>
        <v>3</v>
      </c>
      <c r="AB372" s="175"/>
      <c r="AD372" t="str">
        <f>IF(OR($B372="",NOT(ISNUMBER(G372))),"",IF(COUNTIF(H372:$T372,G372)&gt;0,0,IF(COUNTIF($G372:$T372,"&gt;"&amp;G372)=0,"",SMALL($G372:$T372,COUNTIF($G372:$T372,"&lt;="&amp;G372)+1)-G372)))</f>
        <v/>
      </c>
      <c r="AE372" t="str">
        <f>IF(OR($B372="",NOT(ISNUMBER(H372))),"",IF(COUNTIF(I372:$T372,H372)&gt;0,0,IF(COUNTIF($G372:$T372,"&gt;"&amp;H372)=0,"",SMALL($G372:$T372,COUNTIF($G372:$T372,"&lt;="&amp;H372)+1)-H372)))</f>
        <v/>
      </c>
      <c r="AF372">
        <f>IF(OR($B372="",NOT(ISNUMBER(I372))),"",IF(COUNTIF(J372:$T372,I372)&gt;0,0,IF(COUNTIF($G372:$T372,"&gt;"&amp;I372)=0,"",SMALL($G372:$T372,COUNTIF($G372:$T372,"&lt;="&amp;I372)+1)-I372)))</f>
        <v>1</v>
      </c>
      <c r="AG372">
        <f>IF(OR($B372="",NOT(ISNUMBER(J372))),"",IF(COUNTIF(K372:$T372,J372)&gt;0,0,IF(COUNTIF($G372:$T372,"&gt;"&amp;J372)=0,"",SMALL($G372:$T372,COUNTIF($G372:$T372,"&lt;="&amp;J372)+1)-J372)))</f>
        <v>2</v>
      </c>
      <c r="AH372" t="str">
        <f>IF(OR($B372="",NOT(ISNUMBER(K372))),"",IF(COUNTIF(L372:$T372,K372)&gt;0,0,IF(COUNTIF($G372:$T372,"&gt;"&amp;K372)=0,"",SMALL($G372:$T372,COUNTIF($G372:$T372,"&lt;="&amp;K372)+1)-K372)))</f>
        <v/>
      </c>
      <c r="AI372" t="str">
        <f>IF(OR($B372="",NOT(ISNUMBER(L372))),"",IF(COUNTIF(M372:$T372,L372)&gt;0,0,IF(COUNTIF($G372:$T372,"&gt;"&amp;L372)=0,"",SMALL($G372:$T372,COUNTIF($G372:$T372,"&lt;="&amp;L372)+1)-L372)))</f>
        <v/>
      </c>
      <c r="AJ372" t="str">
        <f>IF(OR($B372="",NOT(ISNUMBER(M372))),"",IF(COUNTIF(N372:$T372,M372)&gt;0,0,IF(COUNTIF($G372:$T372,"&gt;"&amp;M372)=0,"",SMALL($G372:$T372,COUNTIF($G372:$T372,"&lt;="&amp;M372)+1)-M372)))</f>
        <v/>
      </c>
      <c r="AK372" t="str">
        <f>IF(OR($B372="",NOT(ISNUMBER(N372))),"",IF(COUNTIF(O372:$T372,N372)&gt;0,0,IF(COUNTIF($G372:$T372,"&gt;"&amp;N372)=0,"",SMALL($G372:$T372,COUNTIF($G372:$T372,"&lt;="&amp;N372)+1)-N372)))</f>
        <v/>
      </c>
      <c r="AL372" t="str">
        <f>IF(OR($B372="",NOT(ISNUMBER(O372))),"",IF(COUNTIF(P372:$T372,O372)&gt;0,0,IF(COUNTIF($G372:$T372,"&gt;"&amp;O372)=0,"",SMALL($G372:$T372,COUNTIF($G372:$T372,"&lt;="&amp;O372)+1)-O372)))</f>
        <v/>
      </c>
      <c r="AM372" t="str">
        <f>IF(OR($B372="",NOT(ISNUMBER(P372))),"",IF(COUNTIF(Q372:$T372,P372)&gt;0,0,IF(COUNTIF($G372:$T372,"&gt;"&amp;P372)=0,"",SMALL($G372:$T372,COUNTIF($G372:$T372,"&lt;="&amp;P372)+1)-P372)))</f>
        <v/>
      </c>
      <c r="AN372" t="str">
        <f>IF(OR($B372="",NOT(ISNUMBER(Q372))),"",IF(COUNTIF(R372:$T372,Q372)&gt;0,0,IF(COUNTIF($G372:$T372,"&gt;"&amp;Q372)=0,"",SMALL($G372:$T372,COUNTIF($G372:$T372,"&lt;="&amp;Q372)+1)-Q372)))</f>
        <v/>
      </c>
      <c r="AO372" t="str">
        <f>IF(OR($B372="",NOT(ISNUMBER(R372))),"",IF(COUNTIF(S372:$T372,R372)&gt;0,0,IF(COUNTIF($G372:$T372,"&gt;"&amp;R372)=0,"",SMALL($G372:$T372,COUNTIF($G372:$T372,"&lt;="&amp;R372)+1)-R372)))</f>
        <v/>
      </c>
      <c r="AP372">
        <f t="shared" ca="1" si="88"/>
        <v>0</v>
      </c>
      <c r="AQ372" s="25" t="str">
        <f t="shared" si="89"/>
        <v/>
      </c>
      <c r="AR372" s="25" t="str">
        <f t="shared" si="90"/>
        <v/>
      </c>
      <c r="AS372" s="25">
        <f t="shared" si="91"/>
        <v>46302</v>
      </c>
      <c r="AT372" s="25">
        <f t="shared" si="92"/>
        <v>46304</v>
      </c>
      <c r="AU372" s="25" t="str">
        <f t="shared" si="93"/>
        <v/>
      </c>
      <c r="AV372" s="25" t="str">
        <f t="shared" si="94"/>
        <v/>
      </c>
      <c r="AW372" s="25" t="str">
        <f t="shared" si="95"/>
        <v/>
      </c>
      <c r="AX372" s="25" t="str">
        <f t="shared" si="96"/>
        <v/>
      </c>
      <c r="AY372" s="25" t="str">
        <f t="shared" si="97"/>
        <v/>
      </c>
      <c r="AZ372" s="25" t="str">
        <f t="shared" si="98"/>
        <v/>
      </c>
      <c r="BA372" s="25" t="str">
        <f t="shared" si="99"/>
        <v/>
      </c>
      <c r="BB372" s="25" t="str">
        <f t="shared" si="100"/>
        <v/>
      </c>
      <c r="BC372" s="25">
        <f t="shared" si="101"/>
        <v>46304</v>
      </c>
    </row>
    <row r="373" spans="1:55" x14ac:dyDescent="0.25">
      <c r="A373" s="151">
        <f t="shared" si="86"/>
        <v>371</v>
      </c>
      <c r="B373" s="151" t="s">
        <v>579</v>
      </c>
      <c r="C373" s="152" t="s">
        <v>580</v>
      </c>
      <c r="D373" s="151">
        <f t="shared" si="85"/>
        <v>52</v>
      </c>
      <c r="E373" s="151" t="s">
        <v>100</v>
      </c>
      <c r="F373" s="173">
        <v>46301</v>
      </c>
      <c r="G373" s="173"/>
      <c r="H373" s="173"/>
      <c r="I373" s="173"/>
      <c r="J373" s="173"/>
      <c r="K373" s="173">
        <v>46301</v>
      </c>
      <c r="L373" s="173"/>
      <c r="M373" s="173">
        <v>46303</v>
      </c>
      <c r="N373" s="173">
        <v>46303</v>
      </c>
      <c r="O373" s="173"/>
      <c r="P373" s="173"/>
      <c r="Q373" s="173"/>
      <c r="R373" s="173"/>
      <c r="S373" s="173"/>
      <c r="T373" s="151"/>
      <c r="U373" s="151"/>
      <c r="V373" s="152"/>
      <c r="W373" s="175"/>
      <c r="X373" s="173"/>
      <c r="Y373" s="173"/>
      <c r="Z373" s="176" t="str">
        <f>IF(B373="","",IF(S373&lt;&gt;"","Sevk Edildi",IF(AND(X373&lt;&gt;"",Y373=""),"Reworkte",IF(T373&lt;&gt;"","Kapandı"&amp;IF(COUNT(G373:R373)=0,""," – "&amp;LOOKUP(2,1/(G373:R373=MAX(G373:R373)),{"Tasarım","Ply Cutter","Üretim","Kalite (Üretim sonrası)","Talaşlı","Kalite (Talaşlı sonrası)","Montaj","Kalite (Montaj sonrası)","Boya","Kalite (Boya sonrası)","Yarı Mamül","KM"})),IF(COUNT(G373:R373)=0,"Başlamadı",LOOKUP(2,1/(G373:R373=MAX(G373:R373)),{"Tasarımda","Ply Cutter'da","Üretimde","Kalitede (Üretim sonrası)","Talaşlıda","Kalitede (Talaşlı sonrası)","Montajda","Kalitede (Montaj sonrası)","Boyada","Kalitede (Boya sonrası)","Yarı Mamülde","KM'de"}))))))</f>
        <v>Kalitede (Montaj sonrası)</v>
      </c>
      <c r="AA373" s="177">
        <f t="shared" ca="1" si="87"/>
        <v>6</v>
      </c>
      <c r="AB373" s="175"/>
      <c r="AD373" t="str">
        <f>IF(OR($B373="",NOT(ISNUMBER(G373))),"",IF(COUNTIF(H373:$T373,G373)&gt;0,0,IF(COUNTIF($G373:$T373,"&gt;"&amp;G373)=0,"",SMALL($G373:$T373,COUNTIF($G373:$T373,"&lt;="&amp;G373)+1)-G373)))</f>
        <v/>
      </c>
      <c r="AE373" t="str">
        <f>IF(OR($B373="",NOT(ISNUMBER(H373))),"",IF(COUNTIF(I373:$T373,H373)&gt;0,0,IF(COUNTIF($G373:$T373,"&gt;"&amp;H373)=0,"",SMALL($G373:$T373,COUNTIF($G373:$T373,"&lt;="&amp;H373)+1)-H373)))</f>
        <v/>
      </c>
      <c r="AF373" t="str">
        <f>IF(OR($B373="",NOT(ISNUMBER(I373))),"",IF(COUNTIF(J373:$T373,I373)&gt;0,0,IF(COUNTIF($G373:$T373,"&gt;"&amp;I373)=0,"",SMALL($G373:$T373,COUNTIF($G373:$T373,"&lt;="&amp;I373)+1)-I373)))</f>
        <v/>
      </c>
      <c r="AG373" t="str">
        <f>IF(OR($B373="",NOT(ISNUMBER(J373))),"",IF(COUNTIF(K373:$T373,J373)&gt;0,0,IF(COUNTIF($G373:$T373,"&gt;"&amp;J373)=0,"",SMALL($G373:$T373,COUNTIF($G373:$T373,"&lt;="&amp;J373)+1)-J373)))</f>
        <v/>
      </c>
      <c r="AH373">
        <f>IF(OR($B373="",NOT(ISNUMBER(K373))),"",IF(COUNTIF(L373:$T373,K373)&gt;0,0,IF(COUNTIF($G373:$T373,"&gt;"&amp;K373)=0,"",SMALL($G373:$T373,COUNTIF($G373:$T373,"&lt;="&amp;K373)+1)-K373)))</f>
        <v>2</v>
      </c>
      <c r="AI373" t="str">
        <f>IF(OR($B373="",NOT(ISNUMBER(L373))),"",IF(COUNTIF(M373:$T373,L373)&gt;0,0,IF(COUNTIF($G373:$T373,"&gt;"&amp;L373)=0,"",SMALL($G373:$T373,COUNTIF($G373:$T373,"&lt;="&amp;L373)+1)-L373)))</f>
        <v/>
      </c>
      <c r="AJ373">
        <f>IF(OR($B373="",NOT(ISNUMBER(M373))),"",IF(COUNTIF(N373:$T373,M373)&gt;0,0,IF(COUNTIF($G373:$T373,"&gt;"&amp;M373)=0,"",SMALL($G373:$T373,COUNTIF($G373:$T373,"&lt;="&amp;M373)+1)-M373)))</f>
        <v>0</v>
      </c>
      <c r="AK373" t="str">
        <f>IF(OR($B373="",NOT(ISNUMBER(N373))),"",IF(COUNTIF(O373:$T373,N373)&gt;0,0,IF(COUNTIF($G373:$T373,"&gt;"&amp;N373)=0,"",SMALL($G373:$T373,COUNTIF($G373:$T373,"&lt;="&amp;N373)+1)-N373)))</f>
        <v/>
      </c>
      <c r="AL373" t="str">
        <f>IF(OR($B373="",NOT(ISNUMBER(O373))),"",IF(COUNTIF(P373:$T373,O373)&gt;0,0,IF(COUNTIF($G373:$T373,"&gt;"&amp;O373)=0,"",SMALL($G373:$T373,COUNTIF($G373:$T373,"&lt;="&amp;O373)+1)-O373)))</f>
        <v/>
      </c>
      <c r="AM373" t="str">
        <f>IF(OR($B373="",NOT(ISNUMBER(P373))),"",IF(COUNTIF(Q373:$T373,P373)&gt;0,0,IF(COUNTIF($G373:$T373,"&gt;"&amp;P373)=0,"",SMALL($G373:$T373,COUNTIF($G373:$T373,"&lt;="&amp;P373)+1)-P373)))</f>
        <v/>
      </c>
      <c r="AN373" t="str">
        <f>IF(OR($B373="",NOT(ISNUMBER(Q373))),"",IF(COUNTIF(R373:$T373,Q373)&gt;0,0,IF(COUNTIF($G373:$T373,"&gt;"&amp;Q373)=0,"",SMALL($G373:$T373,COUNTIF($G373:$T373,"&lt;="&amp;Q373)+1)-Q373)))</f>
        <v/>
      </c>
      <c r="AO373" t="str">
        <f>IF(OR($B373="",NOT(ISNUMBER(R373))),"",IF(COUNTIF(S373:$T373,R373)&gt;0,0,IF(COUNTIF($G373:$T373,"&gt;"&amp;R373)=0,"",SMALL($G373:$T373,COUNTIF($G373:$T373,"&lt;="&amp;R373)+1)-R373)))</f>
        <v/>
      </c>
      <c r="AP373">
        <f t="shared" ca="1" si="88"/>
        <v>4</v>
      </c>
      <c r="AQ373" s="25" t="str">
        <f t="shared" si="89"/>
        <v/>
      </c>
      <c r="AR373" s="25" t="str">
        <f t="shared" si="90"/>
        <v/>
      </c>
      <c r="AS373" s="25" t="str">
        <f t="shared" si="91"/>
        <v/>
      </c>
      <c r="AT373" s="25" t="str">
        <f t="shared" si="92"/>
        <v/>
      </c>
      <c r="AU373" s="25">
        <f t="shared" si="93"/>
        <v>46303</v>
      </c>
      <c r="AV373" s="25" t="str">
        <f t="shared" si="94"/>
        <v/>
      </c>
      <c r="AW373" s="25">
        <f t="shared" si="95"/>
        <v>46303</v>
      </c>
      <c r="AX373" s="25" t="str">
        <f t="shared" si="96"/>
        <v/>
      </c>
      <c r="AY373" s="25" t="str">
        <f t="shared" si="97"/>
        <v/>
      </c>
      <c r="AZ373" s="25" t="str">
        <f t="shared" si="98"/>
        <v/>
      </c>
      <c r="BA373" s="25" t="str">
        <f t="shared" si="99"/>
        <v/>
      </c>
      <c r="BB373" s="25" t="str">
        <f t="shared" si="100"/>
        <v/>
      </c>
      <c r="BC373" s="25" t="str">
        <f t="shared" si="101"/>
        <v/>
      </c>
    </row>
    <row r="374" spans="1:55" x14ac:dyDescent="0.25">
      <c r="A374" s="151">
        <f t="shared" si="86"/>
        <v>372</v>
      </c>
      <c r="B374" s="151" t="s">
        <v>581</v>
      </c>
      <c r="C374" s="152" t="s">
        <v>180</v>
      </c>
      <c r="D374" s="151">
        <f t="shared" si="85"/>
        <v>1</v>
      </c>
      <c r="E374" s="151" t="s">
        <v>61</v>
      </c>
      <c r="F374" s="173">
        <v>46301</v>
      </c>
      <c r="G374" s="173"/>
      <c r="H374" s="173"/>
      <c r="I374" s="173">
        <v>46301</v>
      </c>
      <c r="J374" s="173">
        <v>46302</v>
      </c>
      <c r="K374" s="173"/>
      <c r="L374" s="173"/>
      <c r="M374" s="173"/>
      <c r="N374" s="173"/>
      <c r="O374" s="173"/>
      <c r="P374" s="173"/>
      <c r="Q374" s="173">
        <v>46302</v>
      </c>
      <c r="R374" s="173"/>
      <c r="S374" s="173"/>
      <c r="T374" s="174">
        <v>46302</v>
      </c>
      <c r="U374" s="151"/>
      <c r="V374" s="152"/>
      <c r="W374" s="175"/>
      <c r="X374" s="173"/>
      <c r="Y374" s="173"/>
      <c r="Z374" s="176" t="str">
        <f>IF(B374="","",IF(S374&lt;&gt;"","Sevk Edildi",IF(AND(X374&lt;&gt;"",Y374=""),"Reworkte",IF(T374&lt;&gt;"","Kapandı"&amp;IF(COUNT(G374:R374)=0,""," – "&amp;LOOKUP(2,1/(G374:R374=MAX(G374:R374)),{"Tasarım","Ply Cutter","Üretim","Kalite (Üretim sonrası)","Talaşlı","Kalite (Talaşlı sonrası)","Montaj","Kalite (Montaj sonrası)","Boya","Kalite (Boya sonrası)","Yarı Mamül","KM"})),IF(COUNT(G374:R374)=0,"Başlamadı",LOOKUP(2,1/(G374:R374=MAX(G374:R374)),{"Tasarımda","Ply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74" s="177">
        <f t="shared" ca="1" si="87"/>
        <v>1</v>
      </c>
      <c r="AB374" s="175"/>
      <c r="AD374" t="str">
        <f>IF(OR($B374="",NOT(ISNUMBER(G374))),"",IF(COUNTIF(H374:$T374,G374)&gt;0,0,IF(COUNTIF($G374:$T374,"&gt;"&amp;G374)=0,"",SMALL($G374:$T374,COUNTIF($G374:$T374,"&lt;="&amp;G374)+1)-G374)))</f>
        <v/>
      </c>
      <c r="AE374" t="str">
        <f>IF(OR($B374="",NOT(ISNUMBER(H374))),"",IF(COUNTIF(I374:$T374,H374)&gt;0,0,IF(COUNTIF($G374:$T374,"&gt;"&amp;H374)=0,"",SMALL($G374:$T374,COUNTIF($G374:$T374,"&lt;="&amp;H374)+1)-H374)))</f>
        <v/>
      </c>
      <c r="AF374">
        <f>IF(OR($B374="",NOT(ISNUMBER(I374))),"",IF(COUNTIF(J374:$T374,I374)&gt;0,0,IF(COUNTIF($G374:$T374,"&gt;"&amp;I374)=0,"",SMALL($G374:$T374,COUNTIF($G374:$T374,"&lt;="&amp;I374)+1)-I374)))</f>
        <v>1</v>
      </c>
      <c r="AG374">
        <f>IF(OR($B374="",NOT(ISNUMBER(J374))),"",IF(COUNTIF(K374:$T374,J374)&gt;0,0,IF(COUNTIF($G374:$T374,"&gt;"&amp;J374)=0,"",SMALL($G374:$T374,COUNTIF($G374:$T374,"&lt;="&amp;J374)+1)-J374)))</f>
        <v>0</v>
      </c>
      <c r="AH374" t="str">
        <f>IF(OR($B374="",NOT(ISNUMBER(K374))),"",IF(COUNTIF(L374:$T374,K374)&gt;0,0,IF(COUNTIF($G374:$T374,"&gt;"&amp;K374)=0,"",SMALL($G374:$T374,COUNTIF($G374:$T374,"&lt;="&amp;K374)+1)-K374)))</f>
        <v/>
      </c>
      <c r="AI374" t="str">
        <f>IF(OR($B374="",NOT(ISNUMBER(L374))),"",IF(COUNTIF(M374:$T374,L374)&gt;0,0,IF(COUNTIF($G374:$T374,"&gt;"&amp;L374)=0,"",SMALL($G374:$T374,COUNTIF($G374:$T374,"&lt;="&amp;L374)+1)-L374)))</f>
        <v/>
      </c>
      <c r="AJ374" t="str">
        <f>IF(OR($B374="",NOT(ISNUMBER(M374))),"",IF(COUNTIF(N374:$T374,M374)&gt;0,0,IF(COUNTIF($G374:$T374,"&gt;"&amp;M374)=0,"",SMALL($G374:$T374,COUNTIF($G374:$T374,"&lt;="&amp;M374)+1)-M374)))</f>
        <v/>
      </c>
      <c r="AK374" t="str">
        <f>IF(OR($B374="",NOT(ISNUMBER(N374))),"",IF(COUNTIF(O374:$T374,N374)&gt;0,0,IF(COUNTIF($G374:$T374,"&gt;"&amp;N374)=0,"",SMALL($G374:$T374,COUNTIF($G374:$T374,"&lt;="&amp;N374)+1)-N374)))</f>
        <v/>
      </c>
      <c r="AL374" t="str">
        <f>IF(OR($B374="",NOT(ISNUMBER(O374))),"",IF(COUNTIF(P374:$T374,O374)&gt;0,0,IF(COUNTIF($G374:$T374,"&gt;"&amp;O374)=0,"",SMALL($G374:$T374,COUNTIF($G374:$T374,"&lt;="&amp;O374)+1)-O374)))</f>
        <v/>
      </c>
      <c r="AM374" t="str">
        <f>IF(OR($B374="",NOT(ISNUMBER(P374))),"",IF(COUNTIF(Q374:$T374,P374)&gt;0,0,IF(COUNTIF($G374:$T374,"&gt;"&amp;P374)=0,"",SMALL($G374:$T374,COUNTIF($G374:$T374,"&lt;="&amp;P374)+1)-P374)))</f>
        <v/>
      </c>
      <c r="AN374">
        <f>IF(OR($B374="",NOT(ISNUMBER(Q374))),"",IF(COUNTIF(R374:$T374,Q374)&gt;0,0,IF(COUNTIF($G374:$T374,"&gt;"&amp;Q374)=0,"",SMALL($G374:$T374,COUNTIF($G374:$T374,"&lt;="&amp;Q374)+1)-Q374)))</f>
        <v>0</v>
      </c>
      <c r="AO374" t="str">
        <f>IF(OR($B374="",NOT(ISNUMBER(R374))),"",IF(COUNTIF(S374:$T374,R374)&gt;0,0,IF(COUNTIF($G374:$T374,"&gt;"&amp;R374)=0,"",SMALL($G374:$T374,COUNTIF($G374:$T374,"&lt;="&amp;R374)+1)-R374)))</f>
        <v/>
      </c>
      <c r="AP374">
        <f t="shared" ca="1" si="88"/>
        <v>0</v>
      </c>
      <c r="AQ374" s="25" t="str">
        <f t="shared" si="89"/>
        <v/>
      </c>
      <c r="AR374" s="25" t="str">
        <f t="shared" si="90"/>
        <v/>
      </c>
      <c r="AS374" s="25">
        <f t="shared" si="91"/>
        <v>46302</v>
      </c>
      <c r="AT374" s="25">
        <f t="shared" si="92"/>
        <v>46302</v>
      </c>
      <c r="AU374" s="25" t="str">
        <f t="shared" si="93"/>
        <v/>
      </c>
      <c r="AV374" s="25" t="str">
        <f t="shared" si="94"/>
        <v/>
      </c>
      <c r="AW374" s="25" t="str">
        <f t="shared" si="95"/>
        <v/>
      </c>
      <c r="AX374" s="25" t="str">
        <f t="shared" si="96"/>
        <v/>
      </c>
      <c r="AY374" s="25" t="str">
        <f t="shared" si="97"/>
        <v/>
      </c>
      <c r="AZ374" s="25" t="str">
        <f t="shared" si="98"/>
        <v/>
      </c>
      <c r="BA374" s="25">
        <f t="shared" si="99"/>
        <v>46302</v>
      </c>
      <c r="BB374" s="25" t="str">
        <f t="shared" si="100"/>
        <v/>
      </c>
      <c r="BC374" s="25">
        <f t="shared" si="101"/>
        <v>46302</v>
      </c>
    </row>
    <row r="375" spans="1:55" x14ac:dyDescent="0.25">
      <c r="A375" s="151">
        <f t="shared" si="86"/>
        <v>373</v>
      </c>
      <c r="B375" s="151" t="s">
        <v>582</v>
      </c>
      <c r="C375" s="152" t="s">
        <v>583</v>
      </c>
      <c r="D375" s="151">
        <f t="shared" si="85"/>
        <v>9</v>
      </c>
      <c r="E375" s="151" t="s">
        <v>100</v>
      </c>
      <c r="F375" s="173">
        <v>46301</v>
      </c>
      <c r="G375" s="173"/>
      <c r="H375" s="173">
        <v>46301</v>
      </c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4">
        <v>46301</v>
      </c>
      <c r="U375" s="151"/>
      <c r="V375" s="152"/>
      <c r="W375" s="175"/>
      <c r="X375" s="173"/>
      <c r="Y375" s="173"/>
      <c r="Z375" s="176" t="str">
        <f>IF(B375="","",IF(S375&lt;&gt;"","Sevk Edildi",IF(AND(X375&lt;&gt;"",Y375=""),"Reworkte",IF(T375&lt;&gt;"","Kapandı"&amp;IF(COUNT(G375:R375)=0,""," – "&amp;LOOKUP(2,1/(G375:R375=MAX(G375:R375)),{"Tasarım","Ply Cutter","Üretim","Kalite (Üretim sonrası)","Talaşlı","Kalite (Talaşlı sonrası)","Montaj","Kalite (Montaj sonrası)","Boya","Kalite (Boya sonrası)","Yarı Mamül","KM"})),IF(COUNT(G375:R375)=0,"Başlamadı",LOOKUP(2,1/(G375:R375=MAX(G375:R375)),{"Tasarımda","Ply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375" s="177">
        <f t="shared" ca="1" si="87"/>
        <v>0</v>
      </c>
      <c r="AB375" s="175"/>
      <c r="AD375" t="str">
        <f>IF(OR($B375="",NOT(ISNUMBER(G375))),"",IF(COUNTIF(H375:$T375,G375)&gt;0,0,IF(COUNTIF($G375:$T375,"&gt;"&amp;G375)=0,"",SMALL($G375:$T375,COUNTIF($G375:$T375,"&lt;="&amp;G375)+1)-G375)))</f>
        <v/>
      </c>
      <c r="AE375">
        <f>IF(OR($B375="",NOT(ISNUMBER(H375))),"",IF(COUNTIF(I375:$T375,H375)&gt;0,0,IF(COUNTIF($G375:$T375,"&gt;"&amp;H375)=0,"",SMALL($G375:$T375,COUNTIF($G375:$T375,"&lt;="&amp;H375)+1)-H375)))</f>
        <v>0</v>
      </c>
      <c r="AF375" t="str">
        <f>IF(OR($B375="",NOT(ISNUMBER(I375))),"",IF(COUNTIF(J375:$T375,I375)&gt;0,0,IF(COUNTIF($G375:$T375,"&gt;"&amp;I375)=0,"",SMALL($G375:$T375,COUNTIF($G375:$T375,"&lt;="&amp;I375)+1)-I375)))</f>
        <v/>
      </c>
      <c r="AG375" t="str">
        <f>IF(OR($B375="",NOT(ISNUMBER(J375))),"",IF(COUNTIF(K375:$T375,J375)&gt;0,0,IF(COUNTIF($G375:$T375,"&gt;"&amp;J375)=0,"",SMALL($G375:$T375,COUNTIF($G375:$T375,"&lt;="&amp;J375)+1)-J375)))</f>
        <v/>
      </c>
      <c r="AH375" t="str">
        <f>IF(OR($B375="",NOT(ISNUMBER(K375))),"",IF(COUNTIF(L375:$T375,K375)&gt;0,0,IF(COUNTIF($G375:$T375,"&gt;"&amp;K375)=0,"",SMALL($G375:$T375,COUNTIF($G375:$T375,"&lt;="&amp;K375)+1)-K375)))</f>
        <v/>
      </c>
      <c r="AI375" t="str">
        <f>IF(OR($B375="",NOT(ISNUMBER(L375))),"",IF(COUNTIF(M375:$T375,L375)&gt;0,0,IF(COUNTIF($G375:$T375,"&gt;"&amp;L375)=0,"",SMALL($G375:$T375,COUNTIF($G375:$T375,"&lt;="&amp;L375)+1)-L375)))</f>
        <v/>
      </c>
      <c r="AJ375" t="str">
        <f>IF(OR($B375="",NOT(ISNUMBER(M375))),"",IF(COUNTIF(N375:$T375,M375)&gt;0,0,IF(COUNTIF($G375:$T375,"&gt;"&amp;M375)=0,"",SMALL($G375:$T375,COUNTIF($G375:$T375,"&lt;="&amp;M375)+1)-M375)))</f>
        <v/>
      </c>
      <c r="AK375" t="str">
        <f>IF(OR($B375="",NOT(ISNUMBER(N375))),"",IF(COUNTIF(O375:$T375,N375)&gt;0,0,IF(COUNTIF($G375:$T375,"&gt;"&amp;N375)=0,"",SMALL($G375:$T375,COUNTIF($G375:$T375,"&lt;="&amp;N375)+1)-N375)))</f>
        <v/>
      </c>
      <c r="AL375" t="str">
        <f>IF(OR($B375="",NOT(ISNUMBER(O375))),"",IF(COUNTIF(P375:$T375,O375)&gt;0,0,IF(COUNTIF($G375:$T375,"&gt;"&amp;O375)=0,"",SMALL($G375:$T375,COUNTIF($G375:$T375,"&lt;="&amp;O375)+1)-O375)))</f>
        <v/>
      </c>
      <c r="AM375" t="str">
        <f>IF(OR($B375="",NOT(ISNUMBER(P375))),"",IF(COUNTIF(Q375:$T375,P375)&gt;0,0,IF(COUNTIF($G375:$T375,"&gt;"&amp;P375)=0,"",SMALL($G375:$T375,COUNTIF($G375:$T375,"&lt;="&amp;P375)+1)-P375)))</f>
        <v/>
      </c>
      <c r="AN375" t="str">
        <f>IF(OR($B375="",NOT(ISNUMBER(Q375))),"",IF(COUNTIF(R375:$T375,Q375)&gt;0,0,IF(COUNTIF($G375:$T375,"&gt;"&amp;Q375)=0,"",SMALL($G375:$T375,COUNTIF($G375:$T375,"&lt;="&amp;Q375)+1)-Q375)))</f>
        <v/>
      </c>
      <c r="AO375" t="str">
        <f>IF(OR($B375="",NOT(ISNUMBER(R375))),"",IF(COUNTIF(S375:$T375,R375)&gt;0,0,IF(COUNTIF($G375:$T375,"&gt;"&amp;R375)=0,"",SMALL($G375:$T375,COUNTIF($G375:$T375,"&lt;="&amp;R375)+1)-R375)))</f>
        <v/>
      </c>
      <c r="AP375">
        <f t="shared" ca="1" si="88"/>
        <v>0</v>
      </c>
      <c r="AQ375" s="25" t="str">
        <f t="shared" si="89"/>
        <v/>
      </c>
      <c r="AR375" s="25">
        <f t="shared" si="90"/>
        <v>46301</v>
      </c>
      <c r="AS375" s="25" t="str">
        <f t="shared" si="91"/>
        <v/>
      </c>
      <c r="AT375" s="25" t="str">
        <f t="shared" si="92"/>
        <v/>
      </c>
      <c r="AU375" s="25" t="str">
        <f t="shared" si="93"/>
        <v/>
      </c>
      <c r="AV375" s="25" t="str">
        <f t="shared" si="94"/>
        <v/>
      </c>
      <c r="AW375" s="25" t="str">
        <f t="shared" si="95"/>
        <v/>
      </c>
      <c r="AX375" s="25" t="str">
        <f t="shared" si="96"/>
        <v/>
      </c>
      <c r="AY375" s="25" t="str">
        <f t="shared" si="97"/>
        <v/>
      </c>
      <c r="AZ375" s="25" t="str">
        <f t="shared" si="98"/>
        <v/>
      </c>
      <c r="BA375" s="25" t="str">
        <f t="shared" si="99"/>
        <v/>
      </c>
      <c r="BB375" s="25" t="str">
        <f t="shared" si="100"/>
        <v/>
      </c>
      <c r="BC375" s="25">
        <f t="shared" si="101"/>
        <v>46301</v>
      </c>
    </row>
    <row r="376" spans="1:55" x14ac:dyDescent="0.25">
      <c r="A376" s="151">
        <f t="shared" si="86"/>
        <v>374</v>
      </c>
      <c r="B376" s="151" t="s">
        <v>584</v>
      </c>
      <c r="C376" s="152" t="s">
        <v>585</v>
      </c>
      <c r="D376" s="151">
        <f t="shared" si="85"/>
        <v>1</v>
      </c>
      <c r="E376" s="151" t="s">
        <v>61</v>
      </c>
      <c r="F376" s="173">
        <v>46301</v>
      </c>
      <c r="G376" s="173"/>
      <c r="H376" s="173"/>
      <c r="I376" s="173">
        <v>46301</v>
      </c>
      <c r="J376" s="173">
        <v>46302</v>
      </c>
      <c r="K376" s="173"/>
      <c r="L376" s="173"/>
      <c r="M376" s="173"/>
      <c r="N376" s="173"/>
      <c r="O376" s="173"/>
      <c r="P376" s="173"/>
      <c r="Q376" s="173">
        <v>46302</v>
      </c>
      <c r="R376" s="173"/>
      <c r="S376" s="173"/>
      <c r="T376" s="174">
        <v>46302</v>
      </c>
      <c r="U376" s="151"/>
      <c r="V376" s="152"/>
      <c r="W376" s="175"/>
      <c r="X376" s="173"/>
      <c r="Y376" s="173"/>
      <c r="Z376" s="176" t="str">
        <f>IF(B376="","",IF(S376&lt;&gt;"","Sevk Edildi",IF(AND(X376&lt;&gt;"",Y376=""),"Reworkte",IF(T376&lt;&gt;"","Kapandı"&amp;IF(COUNT(G376:R376)=0,""," – "&amp;LOOKUP(2,1/(G376:R376=MAX(G376:R376)),{"Tasarım","Ply Cutter","Üretim","Kalite (Üretim sonrası)","Talaşlı","Kalite (Talaşlı sonrası)","Montaj","Kalite (Montaj sonrası)","Boya","Kalite (Boya sonrası)","Yarı Mamül","KM"})),IF(COUNT(G376:R376)=0,"Başlamadı",LOOKUP(2,1/(G376:R376=MAX(G376:R376)),{"Tasarımda","Ply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76" s="177">
        <f t="shared" ca="1" si="87"/>
        <v>1</v>
      </c>
      <c r="AB376" s="175"/>
      <c r="AD376" t="str">
        <f>IF(OR($B376="",NOT(ISNUMBER(G376))),"",IF(COUNTIF(H376:$T376,G376)&gt;0,0,IF(COUNTIF($G376:$T376,"&gt;"&amp;G376)=0,"",SMALL($G376:$T376,COUNTIF($G376:$T376,"&lt;="&amp;G376)+1)-G376)))</f>
        <v/>
      </c>
      <c r="AE376" t="str">
        <f>IF(OR($B376="",NOT(ISNUMBER(H376))),"",IF(COUNTIF(I376:$T376,H376)&gt;0,0,IF(COUNTIF($G376:$T376,"&gt;"&amp;H376)=0,"",SMALL($G376:$T376,COUNTIF($G376:$T376,"&lt;="&amp;H376)+1)-H376)))</f>
        <v/>
      </c>
      <c r="AF376">
        <f>IF(OR($B376="",NOT(ISNUMBER(I376))),"",IF(COUNTIF(J376:$T376,I376)&gt;0,0,IF(COUNTIF($G376:$T376,"&gt;"&amp;I376)=0,"",SMALL($G376:$T376,COUNTIF($G376:$T376,"&lt;="&amp;I376)+1)-I376)))</f>
        <v>1</v>
      </c>
      <c r="AG376">
        <f>IF(OR($B376="",NOT(ISNUMBER(J376))),"",IF(COUNTIF(K376:$T376,J376)&gt;0,0,IF(COUNTIF($G376:$T376,"&gt;"&amp;J376)=0,"",SMALL($G376:$T376,COUNTIF($G376:$T376,"&lt;="&amp;J376)+1)-J376)))</f>
        <v>0</v>
      </c>
      <c r="AH376" t="str">
        <f>IF(OR($B376="",NOT(ISNUMBER(K376))),"",IF(COUNTIF(L376:$T376,K376)&gt;0,0,IF(COUNTIF($G376:$T376,"&gt;"&amp;K376)=0,"",SMALL($G376:$T376,COUNTIF($G376:$T376,"&lt;="&amp;K376)+1)-K376)))</f>
        <v/>
      </c>
      <c r="AI376" t="str">
        <f>IF(OR($B376="",NOT(ISNUMBER(L376))),"",IF(COUNTIF(M376:$T376,L376)&gt;0,0,IF(COUNTIF($G376:$T376,"&gt;"&amp;L376)=0,"",SMALL($G376:$T376,COUNTIF($G376:$T376,"&lt;="&amp;L376)+1)-L376)))</f>
        <v/>
      </c>
      <c r="AJ376" t="str">
        <f>IF(OR($B376="",NOT(ISNUMBER(M376))),"",IF(COUNTIF(N376:$T376,M376)&gt;0,0,IF(COUNTIF($G376:$T376,"&gt;"&amp;M376)=0,"",SMALL($G376:$T376,COUNTIF($G376:$T376,"&lt;="&amp;M376)+1)-M376)))</f>
        <v/>
      </c>
      <c r="AK376" t="str">
        <f>IF(OR($B376="",NOT(ISNUMBER(N376))),"",IF(COUNTIF(O376:$T376,N376)&gt;0,0,IF(COUNTIF($G376:$T376,"&gt;"&amp;N376)=0,"",SMALL($G376:$T376,COUNTIF($G376:$T376,"&lt;="&amp;N376)+1)-N376)))</f>
        <v/>
      </c>
      <c r="AL376" t="str">
        <f>IF(OR($B376="",NOT(ISNUMBER(O376))),"",IF(COUNTIF(P376:$T376,O376)&gt;0,0,IF(COUNTIF($G376:$T376,"&gt;"&amp;O376)=0,"",SMALL($G376:$T376,COUNTIF($G376:$T376,"&lt;="&amp;O376)+1)-O376)))</f>
        <v/>
      </c>
      <c r="AM376" t="str">
        <f>IF(OR($B376="",NOT(ISNUMBER(P376))),"",IF(COUNTIF(Q376:$T376,P376)&gt;0,0,IF(COUNTIF($G376:$T376,"&gt;"&amp;P376)=0,"",SMALL($G376:$T376,COUNTIF($G376:$T376,"&lt;="&amp;P376)+1)-P376)))</f>
        <v/>
      </c>
      <c r="AN376">
        <f>IF(OR($B376="",NOT(ISNUMBER(Q376))),"",IF(COUNTIF(R376:$T376,Q376)&gt;0,0,IF(COUNTIF($G376:$T376,"&gt;"&amp;Q376)=0,"",SMALL($G376:$T376,COUNTIF($G376:$T376,"&lt;="&amp;Q376)+1)-Q376)))</f>
        <v>0</v>
      </c>
      <c r="AO376" t="str">
        <f>IF(OR($B376="",NOT(ISNUMBER(R376))),"",IF(COUNTIF(S376:$T376,R376)&gt;0,0,IF(COUNTIF($G376:$T376,"&gt;"&amp;R376)=0,"",SMALL($G376:$T376,COUNTIF($G376:$T376,"&lt;="&amp;R376)+1)-R376)))</f>
        <v/>
      </c>
      <c r="AP376">
        <f t="shared" ca="1" si="88"/>
        <v>0</v>
      </c>
      <c r="AQ376" s="25" t="str">
        <f t="shared" si="89"/>
        <v/>
      </c>
      <c r="AR376" s="25" t="str">
        <f t="shared" si="90"/>
        <v/>
      </c>
      <c r="AS376" s="25">
        <f t="shared" si="91"/>
        <v>46302</v>
      </c>
      <c r="AT376" s="25">
        <f t="shared" si="92"/>
        <v>46302</v>
      </c>
      <c r="AU376" s="25" t="str">
        <f t="shared" si="93"/>
        <v/>
      </c>
      <c r="AV376" s="25" t="str">
        <f t="shared" si="94"/>
        <v/>
      </c>
      <c r="AW376" s="25" t="str">
        <f t="shared" si="95"/>
        <v/>
      </c>
      <c r="AX376" s="25" t="str">
        <f t="shared" si="96"/>
        <v/>
      </c>
      <c r="AY376" s="25" t="str">
        <f t="shared" si="97"/>
        <v/>
      </c>
      <c r="AZ376" s="25" t="str">
        <f t="shared" si="98"/>
        <v/>
      </c>
      <c r="BA376" s="25">
        <f t="shared" si="99"/>
        <v>46302</v>
      </c>
      <c r="BB376" s="25" t="str">
        <f t="shared" si="100"/>
        <v/>
      </c>
      <c r="BC376" s="25">
        <f t="shared" si="101"/>
        <v>46302</v>
      </c>
    </row>
    <row r="377" spans="1:55" x14ac:dyDescent="0.25">
      <c r="A377" s="151">
        <f t="shared" si="86"/>
        <v>375</v>
      </c>
      <c r="B377" s="151" t="s">
        <v>586</v>
      </c>
      <c r="C377" s="152" t="s">
        <v>437</v>
      </c>
      <c r="D377" s="151">
        <f t="shared" si="85"/>
        <v>1</v>
      </c>
      <c r="E377" s="151" t="s">
        <v>61</v>
      </c>
      <c r="F377" s="173">
        <v>46301</v>
      </c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51"/>
      <c r="U377" s="151"/>
      <c r="V377" s="152"/>
      <c r="W377" s="175"/>
      <c r="X377" s="173"/>
      <c r="Y377" s="173"/>
      <c r="Z377" s="176" t="str">
        <f>IF(B377="","",IF(S377&lt;&gt;"","Sevk Edildi",IF(AND(X377&lt;&gt;"",Y377=""),"Reworkte",IF(T377&lt;&gt;"","Kapandı"&amp;IF(COUNT(G377:R377)=0,""," – "&amp;LOOKUP(2,1/(G377:R377=MAX(G377:R377)),{"Tasarım","Ply Cutter","Üretim","Kalite (Üretim sonrası)","Talaşlı","Kalite (Talaşlı sonrası)","Montaj","Kalite (Montaj sonrası)","Boya","Kalite (Boya sonrası)","Yarı Mamül","KM"})),IF(COUNT(G377:R377)=0,"Başlamadı",LOOKUP(2,1/(G377:R377=MAX(G377:R377)),{"Tasarımda","Ply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377" s="177">
        <f t="shared" ca="1" si="87"/>
        <v>6</v>
      </c>
      <c r="AB377" s="175"/>
      <c r="AD377" t="str">
        <f>IF(OR($B377="",NOT(ISNUMBER(G377))),"",IF(COUNTIF(H377:$T377,G377)&gt;0,0,IF(COUNTIF($G377:$T377,"&gt;"&amp;G377)=0,"",SMALL($G377:$T377,COUNTIF($G377:$T377,"&lt;="&amp;G377)+1)-G377)))</f>
        <v/>
      </c>
      <c r="AE377" t="str">
        <f>IF(OR($B377="",NOT(ISNUMBER(H377))),"",IF(COUNTIF(I377:$T377,H377)&gt;0,0,IF(COUNTIF($G377:$T377,"&gt;"&amp;H377)=0,"",SMALL($G377:$T377,COUNTIF($G377:$T377,"&lt;="&amp;H377)+1)-H377)))</f>
        <v/>
      </c>
      <c r="AF377" t="str">
        <f>IF(OR($B377="",NOT(ISNUMBER(I377))),"",IF(COUNTIF(J377:$T377,I377)&gt;0,0,IF(COUNTIF($G377:$T377,"&gt;"&amp;I377)=0,"",SMALL($G377:$T377,COUNTIF($G377:$T377,"&lt;="&amp;I377)+1)-I377)))</f>
        <v/>
      </c>
      <c r="AG377" t="str">
        <f>IF(OR($B377="",NOT(ISNUMBER(J377))),"",IF(COUNTIF(K377:$T377,J377)&gt;0,0,IF(COUNTIF($G377:$T377,"&gt;"&amp;J377)=0,"",SMALL($G377:$T377,COUNTIF($G377:$T377,"&lt;="&amp;J377)+1)-J377)))</f>
        <v/>
      </c>
      <c r="AH377" t="str">
        <f>IF(OR($B377="",NOT(ISNUMBER(K377))),"",IF(COUNTIF(L377:$T377,K377)&gt;0,0,IF(COUNTIF($G377:$T377,"&gt;"&amp;K377)=0,"",SMALL($G377:$T377,COUNTIF($G377:$T377,"&lt;="&amp;K377)+1)-K377)))</f>
        <v/>
      </c>
      <c r="AI377" t="str">
        <f>IF(OR($B377="",NOT(ISNUMBER(L377))),"",IF(COUNTIF(M377:$T377,L377)&gt;0,0,IF(COUNTIF($G377:$T377,"&gt;"&amp;L377)=0,"",SMALL($G377:$T377,COUNTIF($G377:$T377,"&lt;="&amp;L377)+1)-L377)))</f>
        <v/>
      </c>
      <c r="AJ377" t="str">
        <f>IF(OR($B377="",NOT(ISNUMBER(M377))),"",IF(COUNTIF(N377:$T377,M377)&gt;0,0,IF(COUNTIF($G377:$T377,"&gt;"&amp;M377)=0,"",SMALL($G377:$T377,COUNTIF($G377:$T377,"&lt;="&amp;M377)+1)-M377)))</f>
        <v/>
      </c>
      <c r="AK377" t="str">
        <f>IF(OR($B377="",NOT(ISNUMBER(N377))),"",IF(COUNTIF(O377:$T377,N377)&gt;0,0,IF(COUNTIF($G377:$T377,"&gt;"&amp;N377)=0,"",SMALL($G377:$T377,COUNTIF($G377:$T377,"&lt;="&amp;N377)+1)-N377)))</f>
        <v/>
      </c>
      <c r="AL377" t="str">
        <f>IF(OR($B377="",NOT(ISNUMBER(O377))),"",IF(COUNTIF(P377:$T377,O377)&gt;0,0,IF(COUNTIF($G377:$T377,"&gt;"&amp;O377)=0,"",SMALL($G377:$T377,COUNTIF($G377:$T377,"&lt;="&amp;O377)+1)-O377)))</f>
        <v/>
      </c>
      <c r="AM377" t="str">
        <f>IF(OR($B377="",NOT(ISNUMBER(P377))),"",IF(COUNTIF(Q377:$T377,P377)&gt;0,0,IF(COUNTIF($G377:$T377,"&gt;"&amp;P377)=0,"",SMALL($G377:$T377,COUNTIF($G377:$T377,"&lt;="&amp;P377)+1)-P377)))</f>
        <v/>
      </c>
      <c r="AN377" t="str">
        <f>IF(OR($B377="",NOT(ISNUMBER(Q377))),"",IF(COUNTIF(R377:$T377,Q377)&gt;0,0,IF(COUNTIF($G377:$T377,"&gt;"&amp;Q377)=0,"",SMALL($G377:$T377,COUNTIF($G377:$T377,"&lt;="&amp;Q377)+1)-Q377)))</f>
        <v/>
      </c>
      <c r="AO377" t="str">
        <f>IF(OR($B377="",NOT(ISNUMBER(R377))),"",IF(COUNTIF(S377:$T377,R377)&gt;0,0,IF(COUNTIF($G377:$T377,"&gt;"&amp;R377)=0,"",SMALL($G377:$T377,COUNTIF($G377:$T377,"&lt;="&amp;R377)+1)-R377)))</f>
        <v/>
      </c>
      <c r="AP377">
        <f t="shared" ca="1" si="88"/>
        <v>0</v>
      </c>
      <c r="AQ377" s="25" t="str">
        <f t="shared" si="89"/>
        <v/>
      </c>
      <c r="AR377" s="25" t="str">
        <f t="shared" si="90"/>
        <v/>
      </c>
      <c r="AS377" s="25" t="str">
        <f t="shared" si="91"/>
        <v/>
      </c>
      <c r="AT377" s="25" t="str">
        <f t="shared" si="92"/>
        <v/>
      </c>
      <c r="AU377" s="25" t="str">
        <f t="shared" si="93"/>
        <v/>
      </c>
      <c r="AV377" s="25" t="str">
        <f t="shared" si="94"/>
        <v/>
      </c>
      <c r="AW377" s="25" t="str">
        <f t="shared" si="95"/>
        <v/>
      </c>
      <c r="AX377" s="25" t="str">
        <f t="shared" si="96"/>
        <v/>
      </c>
      <c r="AY377" s="25" t="str">
        <f t="shared" si="97"/>
        <v/>
      </c>
      <c r="AZ377" s="25" t="str">
        <f t="shared" si="98"/>
        <v/>
      </c>
      <c r="BA377" s="25" t="str">
        <f t="shared" si="99"/>
        <v/>
      </c>
      <c r="BB377" s="25" t="str">
        <f t="shared" si="100"/>
        <v/>
      </c>
      <c r="BC377" s="25" t="str">
        <f t="shared" si="101"/>
        <v/>
      </c>
    </row>
    <row r="378" spans="1:55" x14ac:dyDescent="0.25">
      <c r="A378" s="151">
        <f t="shared" si="86"/>
        <v>376</v>
      </c>
      <c r="B378" s="151" t="s">
        <v>587</v>
      </c>
      <c r="C378" s="152" t="s">
        <v>502</v>
      </c>
      <c r="D378" s="151">
        <f t="shared" si="85"/>
        <v>3</v>
      </c>
      <c r="E378" s="151" t="s">
        <v>100</v>
      </c>
      <c r="F378" s="173">
        <v>46301</v>
      </c>
      <c r="G378" s="173"/>
      <c r="H378" s="173">
        <v>46301</v>
      </c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4">
        <v>46301</v>
      </c>
      <c r="U378" s="151"/>
      <c r="V378" s="152"/>
      <c r="W378" s="175"/>
      <c r="X378" s="173"/>
      <c r="Y378" s="173"/>
      <c r="Z378" s="176" t="str">
        <f>IF(B378="","",IF(S378&lt;&gt;"","Sevk Edildi",IF(AND(X378&lt;&gt;"",Y378=""),"Reworkte",IF(T378&lt;&gt;"","Kapandı"&amp;IF(COUNT(G378:R378)=0,""," – "&amp;LOOKUP(2,1/(G378:R378=MAX(G378:R378)),{"Tasarım","Ply Cutter","Üretim","Kalite (Üretim sonrası)","Talaşlı","Kalite (Talaşlı sonrası)","Montaj","Kalite (Montaj sonrası)","Boya","Kalite (Boya sonrası)","Yarı Mamül","KM"})),IF(COUNT(G378:R378)=0,"Başlamadı",LOOKUP(2,1/(G378:R378=MAX(G378:R378)),{"Tasarımda","Ply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378" s="177">
        <f t="shared" ca="1" si="87"/>
        <v>0</v>
      </c>
      <c r="AB378" s="175"/>
      <c r="AD378" t="str">
        <f>IF(OR($B378="",NOT(ISNUMBER(G378))),"",IF(COUNTIF(H378:$T378,G378)&gt;0,0,IF(COUNTIF($G378:$T378,"&gt;"&amp;G378)=0,"",SMALL($G378:$T378,COUNTIF($G378:$T378,"&lt;="&amp;G378)+1)-G378)))</f>
        <v/>
      </c>
      <c r="AE378">
        <f>IF(OR($B378="",NOT(ISNUMBER(H378))),"",IF(COUNTIF(I378:$T378,H378)&gt;0,0,IF(COUNTIF($G378:$T378,"&gt;"&amp;H378)=0,"",SMALL($G378:$T378,COUNTIF($G378:$T378,"&lt;="&amp;H378)+1)-H378)))</f>
        <v>0</v>
      </c>
      <c r="AF378" t="str">
        <f>IF(OR($B378="",NOT(ISNUMBER(I378))),"",IF(COUNTIF(J378:$T378,I378)&gt;0,0,IF(COUNTIF($G378:$T378,"&gt;"&amp;I378)=0,"",SMALL($G378:$T378,COUNTIF($G378:$T378,"&lt;="&amp;I378)+1)-I378)))</f>
        <v/>
      </c>
      <c r="AG378" t="str">
        <f>IF(OR($B378="",NOT(ISNUMBER(J378))),"",IF(COUNTIF(K378:$T378,J378)&gt;0,0,IF(COUNTIF($G378:$T378,"&gt;"&amp;J378)=0,"",SMALL($G378:$T378,COUNTIF($G378:$T378,"&lt;="&amp;J378)+1)-J378)))</f>
        <v/>
      </c>
      <c r="AH378" t="str">
        <f>IF(OR($B378="",NOT(ISNUMBER(K378))),"",IF(COUNTIF(L378:$T378,K378)&gt;0,0,IF(COUNTIF($G378:$T378,"&gt;"&amp;K378)=0,"",SMALL($G378:$T378,COUNTIF($G378:$T378,"&lt;="&amp;K378)+1)-K378)))</f>
        <v/>
      </c>
      <c r="AI378" t="str">
        <f>IF(OR($B378="",NOT(ISNUMBER(L378))),"",IF(COUNTIF(M378:$T378,L378)&gt;0,0,IF(COUNTIF($G378:$T378,"&gt;"&amp;L378)=0,"",SMALL($G378:$T378,COUNTIF($G378:$T378,"&lt;="&amp;L378)+1)-L378)))</f>
        <v/>
      </c>
      <c r="AJ378" t="str">
        <f>IF(OR($B378="",NOT(ISNUMBER(M378))),"",IF(COUNTIF(N378:$T378,M378)&gt;0,0,IF(COUNTIF($G378:$T378,"&gt;"&amp;M378)=0,"",SMALL($G378:$T378,COUNTIF($G378:$T378,"&lt;="&amp;M378)+1)-M378)))</f>
        <v/>
      </c>
      <c r="AK378" t="str">
        <f>IF(OR($B378="",NOT(ISNUMBER(N378))),"",IF(COUNTIF(O378:$T378,N378)&gt;0,0,IF(COUNTIF($G378:$T378,"&gt;"&amp;N378)=0,"",SMALL($G378:$T378,COUNTIF($G378:$T378,"&lt;="&amp;N378)+1)-N378)))</f>
        <v/>
      </c>
      <c r="AL378" t="str">
        <f>IF(OR($B378="",NOT(ISNUMBER(O378))),"",IF(COUNTIF(P378:$T378,O378)&gt;0,0,IF(COUNTIF($G378:$T378,"&gt;"&amp;O378)=0,"",SMALL($G378:$T378,COUNTIF($G378:$T378,"&lt;="&amp;O378)+1)-O378)))</f>
        <v/>
      </c>
      <c r="AM378" t="str">
        <f>IF(OR($B378="",NOT(ISNUMBER(P378))),"",IF(COUNTIF(Q378:$T378,P378)&gt;0,0,IF(COUNTIF($G378:$T378,"&gt;"&amp;P378)=0,"",SMALL($G378:$T378,COUNTIF($G378:$T378,"&lt;="&amp;P378)+1)-P378)))</f>
        <v/>
      </c>
      <c r="AN378" t="str">
        <f>IF(OR($B378="",NOT(ISNUMBER(Q378))),"",IF(COUNTIF(R378:$T378,Q378)&gt;0,0,IF(COUNTIF($G378:$T378,"&gt;"&amp;Q378)=0,"",SMALL($G378:$T378,COUNTIF($G378:$T378,"&lt;="&amp;Q378)+1)-Q378)))</f>
        <v/>
      </c>
      <c r="AO378" t="str">
        <f>IF(OR($B378="",NOT(ISNUMBER(R378))),"",IF(COUNTIF(S378:$T378,R378)&gt;0,0,IF(COUNTIF($G378:$T378,"&gt;"&amp;R378)=0,"",SMALL($G378:$T378,COUNTIF($G378:$T378,"&lt;="&amp;R378)+1)-R378)))</f>
        <v/>
      </c>
      <c r="AP378">
        <f t="shared" ca="1" si="88"/>
        <v>0</v>
      </c>
      <c r="AQ378" s="25" t="str">
        <f t="shared" si="89"/>
        <v/>
      </c>
      <c r="AR378" s="25">
        <f t="shared" si="90"/>
        <v>46301</v>
      </c>
      <c r="AS378" s="25" t="str">
        <f t="shared" si="91"/>
        <v/>
      </c>
      <c r="AT378" s="25" t="str">
        <f t="shared" si="92"/>
        <v/>
      </c>
      <c r="AU378" s="25" t="str">
        <f t="shared" si="93"/>
        <v/>
      </c>
      <c r="AV378" s="25" t="str">
        <f t="shared" si="94"/>
        <v/>
      </c>
      <c r="AW378" s="25" t="str">
        <f t="shared" si="95"/>
        <v/>
      </c>
      <c r="AX378" s="25" t="str">
        <f t="shared" si="96"/>
        <v/>
      </c>
      <c r="AY378" s="25" t="str">
        <f t="shared" si="97"/>
        <v/>
      </c>
      <c r="AZ378" s="25" t="str">
        <f t="shared" si="98"/>
        <v/>
      </c>
      <c r="BA378" s="25" t="str">
        <f t="shared" si="99"/>
        <v/>
      </c>
      <c r="BB378" s="25" t="str">
        <f t="shared" si="100"/>
        <v/>
      </c>
      <c r="BC378" s="25">
        <f t="shared" si="101"/>
        <v>46301</v>
      </c>
    </row>
    <row r="379" spans="1:55" x14ac:dyDescent="0.25">
      <c r="A379" s="151">
        <f t="shared" si="86"/>
        <v>377</v>
      </c>
      <c r="B379" s="151" t="s">
        <v>588</v>
      </c>
      <c r="C379" s="152" t="s">
        <v>589</v>
      </c>
      <c r="D379" s="151">
        <f t="shared" si="85"/>
        <v>20</v>
      </c>
      <c r="E379" s="151" t="s">
        <v>100</v>
      </c>
      <c r="F379" s="173">
        <v>46301</v>
      </c>
      <c r="G379" s="173"/>
      <c r="H379" s="173">
        <v>46301</v>
      </c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4">
        <v>46301</v>
      </c>
      <c r="U379" s="151"/>
      <c r="V379" s="152"/>
      <c r="W379" s="175"/>
      <c r="X379" s="173"/>
      <c r="Y379" s="173"/>
      <c r="Z379" s="176" t="str">
        <f>IF(B379="","",IF(S379&lt;&gt;"","Sevk Edildi",IF(AND(X379&lt;&gt;"",Y379=""),"Reworkte",IF(T379&lt;&gt;"","Kapandı"&amp;IF(COUNT(G379:R379)=0,""," – "&amp;LOOKUP(2,1/(G379:R379=MAX(G379:R379)),{"Tasarım","Ply Cutter","Üretim","Kalite (Üretim sonrası)","Talaşlı","Kalite (Talaşlı sonrası)","Montaj","Kalite (Montaj sonrası)","Boya","Kalite (Boya sonrası)","Yarı Mamül","KM"})),IF(COUNT(G379:R379)=0,"Başlamadı",LOOKUP(2,1/(G379:R379=MAX(G379:R379)),{"Tasarımda","Ply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379" s="177">
        <f t="shared" ca="1" si="87"/>
        <v>0</v>
      </c>
      <c r="AB379" s="175"/>
      <c r="AD379" t="str">
        <f>IF(OR($B379="",NOT(ISNUMBER(G379))),"",IF(COUNTIF(H379:$T379,G379)&gt;0,0,IF(COUNTIF($G379:$T379,"&gt;"&amp;G379)=0,"",SMALL($G379:$T379,COUNTIF($G379:$T379,"&lt;="&amp;G379)+1)-G379)))</f>
        <v/>
      </c>
      <c r="AE379">
        <f>IF(OR($B379="",NOT(ISNUMBER(H379))),"",IF(COUNTIF(I379:$T379,H379)&gt;0,0,IF(COUNTIF($G379:$T379,"&gt;"&amp;H379)=0,"",SMALL($G379:$T379,COUNTIF($G379:$T379,"&lt;="&amp;H379)+1)-H379)))</f>
        <v>0</v>
      </c>
      <c r="AF379" t="str">
        <f>IF(OR($B379="",NOT(ISNUMBER(I379))),"",IF(COUNTIF(J379:$T379,I379)&gt;0,0,IF(COUNTIF($G379:$T379,"&gt;"&amp;I379)=0,"",SMALL($G379:$T379,COUNTIF($G379:$T379,"&lt;="&amp;I379)+1)-I379)))</f>
        <v/>
      </c>
      <c r="AG379" t="str">
        <f>IF(OR($B379="",NOT(ISNUMBER(J379))),"",IF(COUNTIF(K379:$T379,J379)&gt;0,0,IF(COUNTIF($G379:$T379,"&gt;"&amp;J379)=0,"",SMALL($G379:$T379,COUNTIF($G379:$T379,"&lt;="&amp;J379)+1)-J379)))</f>
        <v/>
      </c>
      <c r="AH379" t="str">
        <f>IF(OR($B379="",NOT(ISNUMBER(K379))),"",IF(COUNTIF(L379:$T379,K379)&gt;0,0,IF(COUNTIF($G379:$T379,"&gt;"&amp;K379)=0,"",SMALL($G379:$T379,COUNTIF($G379:$T379,"&lt;="&amp;K379)+1)-K379)))</f>
        <v/>
      </c>
      <c r="AI379" t="str">
        <f>IF(OR($B379="",NOT(ISNUMBER(L379))),"",IF(COUNTIF(M379:$T379,L379)&gt;0,0,IF(COUNTIF($G379:$T379,"&gt;"&amp;L379)=0,"",SMALL($G379:$T379,COUNTIF($G379:$T379,"&lt;="&amp;L379)+1)-L379)))</f>
        <v/>
      </c>
      <c r="AJ379" t="str">
        <f>IF(OR($B379="",NOT(ISNUMBER(M379))),"",IF(COUNTIF(N379:$T379,M379)&gt;0,0,IF(COUNTIF($G379:$T379,"&gt;"&amp;M379)=0,"",SMALL($G379:$T379,COUNTIF($G379:$T379,"&lt;="&amp;M379)+1)-M379)))</f>
        <v/>
      </c>
      <c r="AK379" t="str">
        <f>IF(OR($B379="",NOT(ISNUMBER(N379))),"",IF(COUNTIF(O379:$T379,N379)&gt;0,0,IF(COUNTIF($G379:$T379,"&gt;"&amp;N379)=0,"",SMALL($G379:$T379,COUNTIF($G379:$T379,"&lt;="&amp;N379)+1)-N379)))</f>
        <v/>
      </c>
      <c r="AL379" t="str">
        <f>IF(OR($B379="",NOT(ISNUMBER(O379))),"",IF(COUNTIF(P379:$T379,O379)&gt;0,0,IF(COUNTIF($G379:$T379,"&gt;"&amp;O379)=0,"",SMALL($G379:$T379,COUNTIF($G379:$T379,"&lt;="&amp;O379)+1)-O379)))</f>
        <v/>
      </c>
      <c r="AM379" t="str">
        <f>IF(OR($B379="",NOT(ISNUMBER(P379))),"",IF(COUNTIF(Q379:$T379,P379)&gt;0,0,IF(COUNTIF($G379:$T379,"&gt;"&amp;P379)=0,"",SMALL($G379:$T379,COUNTIF($G379:$T379,"&lt;="&amp;P379)+1)-P379)))</f>
        <v/>
      </c>
      <c r="AN379" t="str">
        <f>IF(OR($B379="",NOT(ISNUMBER(Q379))),"",IF(COUNTIF(R379:$T379,Q379)&gt;0,0,IF(COUNTIF($G379:$T379,"&gt;"&amp;Q379)=0,"",SMALL($G379:$T379,COUNTIF($G379:$T379,"&lt;="&amp;Q379)+1)-Q379)))</f>
        <v/>
      </c>
      <c r="AO379" t="str">
        <f>IF(OR($B379="",NOT(ISNUMBER(R379))),"",IF(COUNTIF(S379:$T379,R379)&gt;0,0,IF(COUNTIF($G379:$T379,"&gt;"&amp;R379)=0,"",SMALL($G379:$T379,COUNTIF($G379:$T379,"&lt;="&amp;R379)+1)-R379)))</f>
        <v/>
      </c>
      <c r="AP379">
        <f t="shared" ca="1" si="88"/>
        <v>0</v>
      </c>
      <c r="AQ379" s="25" t="str">
        <f t="shared" si="89"/>
        <v/>
      </c>
      <c r="AR379" s="25">
        <f t="shared" si="90"/>
        <v>46301</v>
      </c>
      <c r="AS379" s="25" t="str">
        <f t="shared" si="91"/>
        <v/>
      </c>
      <c r="AT379" s="25" t="str">
        <f t="shared" si="92"/>
        <v/>
      </c>
      <c r="AU379" s="25" t="str">
        <f t="shared" si="93"/>
        <v/>
      </c>
      <c r="AV379" s="25" t="str">
        <f t="shared" si="94"/>
        <v/>
      </c>
      <c r="AW379" s="25" t="str">
        <f t="shared" si="95"/>
        <v/>
      </c>
      <c r="AX379" s="25" t="str">
        <f t="shared" si="96"/>
        <v/>
      </c>
      <c r="AY379" s="25" t="str">
        <f t="shared" si="97"/>
        <v/>
      </c>
      <c r="AZ379" s="25" t="str">
        <f t="shared" si="98"/>
        <v/>
      </c>
      <c r="BA379" s="25" t="str">
        <f t="shared" si="99"/>
        <v/>
      </c>
      <c r="BB379" s="25" t="str">
        <f t="shared" si="100"/>
        <v/>
      </c>
      <c r="BC379" s="25">
        <f t="shared" si="101"/>
        <v>46301</v>
      </c>
    </row>
    <row r="380" spans="1:55" x14ac:dyDescent="0.25">
      <c r="A380" s="151">
        <f t="shared" si="86"/>
        <v>378</v>
      </c>
      <c r="B380" s="151" t="s">
        <v>590</v>
      </c>
      <c r="C380" s="152" t="s">
        <v>367</v>
      </c>
      <c r="D380" s="151">
        <f t="shared" si="85"/>
        <v>1</v>
      </c>
      <c r="E380" s="151" t="s">
        <v>61</v>
      </c>
      <c r="F380" s="173">
        <v>46301</v>
      </c>
      <c r="G380" s="173"/>
      <c r="H380" s="173"/>
      <c r="I380" s="173">
        <v>46301</v>
      </c>
      <c r="J380" s="173">
        <v>46302</v>
      </c>
      <c r="K380" s="173"/>
      <c r="L380" s="173"/>
      <c r="M380" s="173"/>
      <c r="N380" s="173"/>
      <c r="O380" s="173"/>
      <c r="P380" s="173"/>
      <c r="Q380" s="173">
        <v>46302</v>
      </c>
      <c r="R380" s="173"/>
      <c r="S380" s="173"/>
      <c r="T380" s="174">
        <v>46302</v>
      </c>
      <c r="U380" s="151"/>
      <c r="V380" s="152"/>
      <c r="W380" s="175"/>
      <c r="X380" s="173"/>
      <c r="Y380" s="173"/>
      <c r="Z380" s="176" t="str">
        <f>IF(B380="","",IF(S380&lt;&gt;"","Sevk Edildi",IF(AND(X380&lt;&gt;"",Y380=""),"Reworkte",IF(T380&lt;&gt;"","Kapandı"&amp;IF(COUNT(G380:R380)=0,""," – "&amp;LOOKUP(2,1/(G380:R380=MAX(G380:R380)),{"Tasarım","Ply Cutter","Üretim","Kalite (Üretim sonrası)","Talaşlı","Kalite (Talaşlı sonrası)","Montaj","Kalite (Montaj sonrası)","Boya","Kalite (Boya sonrası)","Yarı Mamül","KM"})),IF(COUNT(G380:R380)=0,"Başlamadı",LOOKUP(2,1/(G380:R380=MAX(G380:R380)),{"Tasarımda","Ply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80" s="177">
        <f t="shared" ca="1" si="87"/>
        <v>1</v>
      </c>
      <c r="AB380" s="175"/>
      <c r="AD380" t="str">
        <f>IF(OR($B380="",NOT(ISNUMBER(G380))),"",IF(COUNTIF(H380:$T380,G380)&gt;0,0,IF(COUNTIF($G380:$T380,"&gt;"&amp;G380)=0,"",SMALL($G380:$T380,COUNTIF($G380:$T380,"&lt;="&amp;G380)+1)-G380)))</f>
        <v/>
      </c>
      <c r="AE380" t="str">
        <f>IF(OR($B380="",NOT(ISNUMBER(H380))),"",IF(COUNTIF(I380:$T380,H380)&gt;0,0,IF(COUNTIF($G380:$T380,"&gt;"&amp;H380)=0,"",SMALL($G380:$T380,COUNTIF($G380:$T380,"&lt;="&amp;H380)+1)-H380)))</f>
        <v/>
      </c>
      <c r="AF380">
        <f>IF(OR($B380="",NOT(ISNUMBER(I380))),"",IF(COUNTIF(J380:$T380,I380)&gt;0,0,IF(COUNTIF($G380:$T380,"&gt;"&amp;I380)=0,"",SMALL($G380:$T380,COUNTIF($G380:$T380,"&lt;="&amp;I380)+1)-I380)))</f>
        <v>1</v>
      </c>
      <c r="AG380">
        <f>IF(OR($B380="",NOT(ISNUMBER(J380))),"",IF(COUNTIF(K380:$T380,J380)&gt;0,0,IF(COUNTIF($G380:$T380,"&gt;"&amp;J380)=0,"",SMALL($G380:$T380,COUNTIF($G380:$T380,"&lt;="&amp;J380)+1)-J380)))</f>
        <v>0</v>
      </c>
      <c r="AH380" t="str">
        <f>IF(OR($B380="",NOT(ISNUMBER(K380))),"",IF(COUNTIF(L380:$T380,K380)&gt;0,0,IF(COUNTIF($G380:$T380,"&gt;"&amp;K380)=0,"",SMALL($G380:$T380,COUNTIF($G380:$T380,"&lt;="&amp;K380)+1)-K380)))</f>
        <v/>
      </c>
      <c r="AI380" t="str">
        <f>IF(OR($B380="",NOT(ISNUMBER(L380))),"",IF(COUNTIF(M380:$T380,L380)&gt;0,0,IF(COUNTIF($G380:$T380,"&gt;"&amp;L380)=0,"",SMALL($G380:$T380,COUNTIF($G380:$T380,"&lt;="&amp;L380)+1)-L380)))</f>
        <v/>
      </c>
      <c r="AJ380" t="str">
        <f>IF(OR($B380="",NOT(ISNUMBER(M380))),"",IF(COUNTIF(N380:$T380,M380)&gt;0,0,IF(COUNTIF($G380:$T380,"&gt;"&amp;M380)=0,"",SMALL($G380:$T380,COUNTIF($G380:$T380,"&lt;="&amp;M380)+1)-M380)))</f>
        <v/>
      </c>
      <c r="AK380" t="str">
        <f>IF(OR($B380="",NOT(ISNUMBER(N380))),"",IF(COUNTIF(O380:$T380,N380)&gt;0,0,IF(COUNTIF($G380:$T380,"&gt;"&amp;N380)=0,"",SMALL($G380:$T380,COUNTIF($G380:$T380,"&lt;="&amp;N380)+1)-N380)))</f>
        <v/>
      </c>
      <c r="AL380" t="str">
        <f>IF(OR($B380="",NOT(ISNUMBER(O380))),"",IF(COUNTIF(P380:$T380,O380)&gt;0,0,IF(COUNTIF($G380:$T380,"&gt;"&amp;O380)=0,"",SMALL($G380:$T380,COUNTIF($G380:$T380,"&lt;="&amp;O380)+1)-O380)))</f>
        <v/>
      </c>
      <c r="AM380" t="str">
        <f>IF(OR($B380="",NOT(ISNUMBER(P380))),"",IF(COUNTIF(Q380:$T380,P380)&gt;0,0,IF(COUNTIF($G380:$T380,"&gt;"&amp;P380)=0,"",SMALL($G380:$T380,COUNTIF($G380:$T380,"&lt;="&amp;P380)+1)-P380)))</f>
        <v/>
      </c>
      <c r="AN380">
        <f>IF(OR($B380="",NOT(ISNUMBER(Q380))),"",IF(COUNTIF(R380:$T380,Q380)&gt;0,0,IF(COUNTIF($G380:$T380,"&gt;"&amp;Q380)=0,"",SMALL($G380:$T380,COUNTIF($G380:$T380,"&lt;="&amp;Q380)+1)-Q380)))</f>
        <v>0</v>
      </c>
      <c r="AO380" t="str">
        <f>IF(OR($B380="",NOT(ISNUMBER(R380))),"",IF(COUNTIF(S380:$T380,R380)&gt;0,0,IF(COUNTIF($G380:$T380,"&gt;"&amp;R380)=0,"",SMALL($G380:$T380,COUNTIF($G380:$T380,"&lt;="&amp;R380)+1)-R380)))</f>
        <v/>
      </c>
      <c r="AP380">
        <f t="shared" ca="1" si="88"/>
        <v>0</v>
      </c>
      <c r="AQ380" s="25" t="str">
        <f t="shared" si="89"/>
        <v/>
      </c>
      <c r="AR380" s="25" t="str">
        <f t="shared" si="90"/>
        <v/>
      </c>
      <c r="AS380" s="25">
        <f t="shared" si="91"/>
        <v>46302</v>
      </c>
      <c r="AT380" s="25">
        <f t="shared" si="92"/>
        <v>46302</v>
      </c>
      <c r="AU380" s="25" t="str">
        <f t="shared" si="93"/>
        <v/>
      </c>
      <c r="AV380" s="25" t="str">
        <f t="shared" si="94"/>
        <v/>
      </c>
      <c r="AW380" s="25" t="str">
        <f t="shared" si="95"/>
        <v/>
      </c>
      <c r="AX380" s="25" t="str">
        <f t="shared" si="96"/>
        <v/>
      </c>
      <c r="AY380" s="25" t="str">
        <f t="shared" si="97"/>
        <v/>
      </c>
      <c r="AZ380" s="25" t="str">
        <f t="shared" si="98"/>
        <v/>
      </c>
      <c r="BA380" s="25">
        <f t="shared" si="99"/>
        <v>46302</v>
      </c>
      <c r="BB380" s="25" t="str">
        <f t="shared" si="100"/>
        <v/>
      </c>
      <c r="BC380" s="25">
        <f t="shared" si="101"/>
        <v>46302</v>
      </c>
    </row>
    <row r="381" spans="1:55" x14ac:dyDescent="0.25">
      <c r="A381" s="151">
        <f t="shared" si="86"/>
        <v>379</v>
      </c>
      <c r="B381" s="151" t="s">
        <v>591</v>
      </c>
      <c r="C381" s="152" t="s">
        <v>592</v>
      </c>
      <c r="D381" s="151">
        <f t="shared" si="85"/>
        <v>1</v>
      </c>
      <c r="E381" s="151" t="s">
        <v>100</v>
      </c>
      <c r="F381" s="173">
        <v>46301</v>
      </c>
      <c r="G381" s="173"/>
      <c r="H381" s="173"/>
      <c r="I381" s="173">
        <v>46301</v>
      </c>
      <c r="J381" s="173">
        <v>46303</v>
      </c>
      <c r="K381" s="173"/>
      <c r="L381" s="173"/>
      <c r="M381" s="173">
        <v>46304</v>
      </c>
      <c r="N381" s="173"/>
      <c r="O381" s="173"/>
      <c r="P381" s="173"/>
      <c r="Q381" s="173"/>
      <c r="R381" s="173"/>
      <c r="S381" s="173"/>
      <c r="T381" s="151"/>
      <c r="U381" s="151"/>
      <c r="V381" s="152"/>
      <c r="W381" s="175"/>
      <c r="X381" s="173"/>
      <c r="Y381" s="173"/>
      <c r="Z381" s="176" t="str">
        <f>IF(B381="","",IF(S381&lt;&gt;"","Sevk Edildi",IF(AND(X381&lt;&gt;"",Y381=""),"Reworkte",IF(T381&lt;&gt;"","Kapandı"&amp;IF(COUNT(G381:R381)=0,""," – "&amp;LOOKUP(2,1/(G381:R381=MAX(G381:R381)),{"Tasarım","Ply Cutter","Üretim","Kalite (Üretim sonrası)","Talaşlı","Kalite (Talaşlı sonrası)","Montaj","Kalite (Montaj sonrası)","Boya","Kalite (Boya sonrası)","Yarı Mamül","KM"})),IF(COUNT(G381:R381)=0,"Başlamadı",LOOKUP(2,1/(G381:R381=MAX(G381:R381)),{"Tasarımda","Ply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381" s="177">
        <f t="shared" ca="1" si="87"/>
        <v>6</v>
      </c>
      <c r="AB381" s="175"/>
      <c r="AD381" t="str">
        <f>IF(OR($B381="",NOT(ISNUMBER(G381))),"",IF(COUNTIF(H381:$T381,G381)&gt;0,0,IF(COUNTIF($G381:$T381,"&gt;"&amp;G381)=0,"",SMALL($G381:$T381,COUNTIF($G381:$T381,"&lt;="&amp;G381)+1)-G381)))</f>
        <v/>
      </c>
      <c r="AE381" t="str">
        <f>IF(OR($B381="",NOT(ISNUMBER(H381))),"",IF(COUNTIF(I381:$T381,H381)&gt;0,0,IF(COUNTIF($G381:$T381,"&gt;"&amp;H381)=0,"",SMALL($G381:$T381,COUNTIF($G381:$T381,"&lt;="&amp;H381)+1)-H381)))</f>
        <v/>
      </c>
      <c r="AF381">
        <f>IF(OR($B381="",NOT(ISNUMBER(I381))),"",IF(COUNTIF(J381:$T381,I381)&gt;0,0,IF(COUNTIF($G381:$T381,"&gt;"&amp;I381)=0,"",SMALL($G381:$T381,COUNTIF($G381:$T381,"&lt;="&amp;I381)+1)-I381)))</f>
        <v>2</v>
      </c>
      <c r="AG381">
        <f>IF(OR($B381="",NOT(ISNUMBER(J381))),"",IF(COUNTIF(K381:$T381,J381)&gt;0,0,IF(COUNTIF($G381:$T381,"&gt;"&amp;J381)=0,"",SMALL($G381:$T381,COUNTIF($G381:$T381,"&lt;="&amp;J381)+1)-J381)))</f>
        <v>1</v>
      </c>
      <c r="AH381" t="str">
        <f>IF(OR($B381="",NOT(ISNUMBER(K381))),"",IF(COUNTIF(L381:$T381,K381)&gt;0,0,IF(COUNTIF($G381:$T381,"&gt;"&amp;K381)=0,"",SMALL($G381:$T381,COUNTIF($G381:$T381,"&lt;="&amp;K381)+1)-K381)))</f>
        <v/>
      </c>
      <c r="AI381" t="str">
        <f>IF(OR($B381="",NOT(ISNUMBER(L381))),"",IF(COUNTIF(M381:$T381,L381)&gt;0,0,IF(COUNTIF($G381:$T381,"&gt;"&amp;L381)=0,"",SMALL($G381:$T381,COUNTIF($G381:$T381,"&lt;="&amp;L381)+1)-L381)))</f>
        <v/>
      </c>
      <c r="AJ381" t="str">
        <f>IF(OR($B381="",NOT(ISNUMBER(M381))),"",IF(COUNTIF(N381:$T381,M381)&gt;0,0,IF(COUNTIF($G381:$T381,"&gt;"&amp;M381)=0,"",SMALL($G381:$T381,COUNTIF($G381:$T381,"&lt;="&amp;M381)+1)-M381)))</f>
        <v/>
      </c>
      <c r="AK381" t="str">
        <f>IF(OR($B381="",NOT(ISNUMBER(N381))),"",IF(COUNTIF(O381:$T381,N381)&gt;0,0,IF(COUNTIF($G381:$T381,"&gt;"&amp;N381)=0,"",SMALL($G381:$T381,COUNTIF($G381:$T381,"&lt;="&amp;N381)+1)-N381)))</f>
        <v/>
      </c>
      <c r="AL381" t="str">
        <f>IF(OR($B381="",NOT(ISNUMBER(O381))),"",IF(COUNTIF(P381:$T381,O381)&gt;0,0,IF(COUNTIF($G381:$T381,"&gt;"&amp;O381)=0,"",SMALL($G381:$T381,COUNTIF($G381:$T381,"&lt;="&amp;O381)+1)-O381)))</f>
        <v/>
      </c>
      <c r="AM381" t="str">
        <f>IF(OR($B381="",NOT(ISNUMBER(P381))),"",IF(COUNTIF(Q381:$T381,P381)&gt;0,0,IF(COUNTIF($G381:$T381,"&gt;"&amp;P381)=0,"",SMALL($G381:$T381,COUNTIF($G381:$T381,"&lt;="&amp;P381)+1)-P381)))</f>
        <v/>
      </c>
      <c r="AN381" t="str">
        <f>IF(OR($B381="",NOT(ISNUMBER(Q381))),"",IF(COUNTIF(R381:$T381,Q381)&gt;0,0,IF(COUNTIF($G381:$T381,"&gt;"&amp;Q381)=0,"",SMALL($G381:$T381,COUNTIF($G381:$T381,"&lt;="&amp;Q381)+1)-Q381)))</f>
        <v/>
      </c>
      <c r="AO381" t="str">
        <f>IF(OR($B381="",NOT(ISNUMBER(R381))),"",IF(COUNTIF(S381:$T381,R381)&gt;0,0,IF(COUNTIF($G381:$T381,"&gt;"&amp;R381)=0,"",SMALL($G381:$T381,COUNTIF($G381:$T381,"&lt;="&amp;R381)+1)-R381)))</f>
        <v/>
      </c>
      <c r="AP381">
        <f t="shared" ca="1" si="88"/>
        <v>3</v>
      </c>
      <c r="AQ381" s="25" t="str">
        <f t="shared" si="89"/>
        <v/>
      </c>
      <c r="AR381" s="25" t="str">
        <f t="shared" si="90"/>
        <v/>
      </c>
      <c r="AS381" s="25">
        <f t="shared" si="91"/>
        <v>46303</v>
      </c>
      <c r="AT381" s="25">
        <f t="shared" si="92"/>
        <v>46304</v>
      </c>
      <c r="AU381" s="25" t="str">
        <f t="shared" si="93"/>
        <v/>
      </c>
      <c r="AV381" s="25" t="str">
        <f t="shared" si="94"/>
        <v/>
      </c>
      <c r="AW381" s="25" t="str">
        <f t="shared" si="95"/>
        <v/>
      </c>
      <c r="AX381" s="25" t="str">
        <f t="shared" si="96"/>
        <v/>
      </c>
      <c r="AY381" s="25" t="str">
        <f t="shared" si="97"/>
        <v/>
      </c>
      <c r="AZ381" s="25" t="str">
        <f t="shared" si="98"/>
        <v/>
      </c>
      <c r="BA381" s="25" t="str">
        <f t="shared" si="99"/>
        <v/>
      </c>
      <c r="BB381" s="25" t="str">
        <f t="shared" si="100"/>
        <v/>
      </c>
      <c r="BC381" s="25" t="str">
        <f t="shared" si="101"/>
        <v/>
      </c>
    </row>
    <row r="382" spans="1:55" x14ac:dyDescent="0.25">
      <c r="A382" s="151">
        <f t="shared" si="86"/>
        <v>380</v>
      </c>
      <c r="B382" s="151" t="s">
        <v>593</v>
      </c>
      <c r="C382" s="152" t="s">
        <v>592</v>
      </c>
      <c r="D382" s="151">
        <f t="shared" si="85"/>
        <v>1</v>
      </c>
      <c r="E382" s="151" t="s">
        <v>100</v>
      </c>
      <c r="F382" s="173">
        <v>46301</v>
      </c>
      <c r="G382" s="173"/>
      <c r="H382" s="173"/>
      <c r="I382" s="173">
        <v>46301</v>
      </c>
      <c r="J382" s="173">
        <v>46303</v>
      </c>
      <c r="K382" s="173"/>
      <c r="L382" s="173"/>
      <c r="M382" s="173">
        <v>46304</v>
      </c>
      <c r="N382" s="173"/>
      <c r="O382" s="173"/>
      <c r="P382" s="173"/>
      <c r="Q382" s="173"/>
      <c r="R382" s="173"/>
      <c r="S382" s="173"/>
      <c r="T382" s="151"/>
      <c r="U382" s="151"/>
      <c r="V382" s="152"/>
      <c r="W382" s="175"/>
      <c r="X382" s="173"/>
      <c r="Y382" s="173"/>
      <c r="Z382" s="176" t="str">
        <f>IF(B382="","",IF(S382&lt;&gt;"","Sevk Edildi",IF(AND(X382&lt;&gt;"",Y382=""),"Reworkte",IF(T382&lt;&gt;"","Kapandı"&amp;IF(COUNT(G382:R382)=0,""," – "&amp;LOOKUP(2,1/(G382:R382=MAX(G382:R382)),{"Tasarım","Ply Cutter","Üretim","Kalite (Üretim sonrası)","Talaşlı","Kalite (Talaşlı sonrası)","Montaj","Kalite (Montaj sonrası)","Boya","Kalite (Boya sonrası)","Yarı Mamül","KM"})),IF(COUNT(G382:R382)=0,"Başlamadı",LOOKUP(2,1/(G382:R382=MAX(G382:R382)),{"Tasarımda","Ply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382" s="177">
        <f t="shared" ca="1" si="87"/>
        <v>6</v>
      </c>
      <c r="AB382" s="175"/>
      <c r="AD382" t="str">
        <f>IF(OR($B382="",NOT(ISNUMBER(G382))),"",IF(COUNTIF(H382:$T382,G382)&gt;0,0,IF(COUNTIF($G382:$T382,"&gt;"&amp;G382)=0,"",SMALL($G382:$T382,COUNTIF($G382:$T382,"&lt;="&amp;G382)+1)-G382)))</f>
        <v/>
      </c>
      <c r="AE382" t="str">
        <f>IF(OR($B382="",NOT(ISNUMBER(H382))),"",IF(COUNTIF(I382:$T382,H382)&gt;0,0,IF(COUNTIF($G382:$T382,"&gt;"&amp;H382)=0,"",SMALL($G382:$T382,COUNTIF($G382:$T382,"&lt;="&amp;H382)+1)-H382)))</f>
        <v/>
      </c>
      <c r="AF382">
        <f>IF(OR($B382="",NOT(ISNUMBER(I382))),"",IF(COUNTIF(J382:$T382,I382)&gt;0,0,IF(COUNTIF($G382:$T382,"&gt;"&amp;I382)=0,"",SMALL($G382:$T382,COUNTIF($G382:$T382,"&lt;="&amp;I382)+1)-I382)))</f>
        <v>2</v>
      </c>
      <c r="AG382">
        <f>IF(OR($B382="",NOT(ISNUMBER(J382))),"",IF(COUNTIF(K382:$T382,J382)&gt;0,0,IF(COUNTIF($G382:$T382,"&gt;"&amp;J382)=0,"",SMALL($G382:$T382,COUNTIF($G382:$T382,"&lt;="&amp;J382)+1)-J382)))</f>
        <v>1</v>
      </c>
      <c r="AH382" t="str">
        <f>IF(OR($B382="",NOT(ISNUMBER(K382))),"",IF(COUNTIF(L382:$T382,K382)&gt;0,0,IF(COUNTIF($G382:$T382,"&gt;"&amp;K382)=0,"",SMALL($G382:$T382,COUNTIF($G382:$T382,"&lt;="&amp;K382)+1)-K382)))</f>
        <v/>
      </c>
      <c r="AI382" t="str">
        <f>IF(OR($B382="",NOT(ISNUMBER(L382))),"",IF(COUNTIF(M382:$T382,L382)&gt;0,0,IF(COUNTIF($G382:$T382,"&gt;"&amp;L382)=0,"",SMALL($G382:$T382,COUNTIF($G382:$T382,"&lt;="&amp;L382)+1)-L382)))</f>
        <v/>
      </c>
      <c r="AJ382" t="str">
        <f>IF(OR($B382="",NOT(ISNUMBER(M382))),"",IF(COUNTIF(N382:$T382,M382)&gt;0,0,IF(COUNTIF($G382:$T382,"&gt;"&amp;M382)=0,"",SMALL($G382:$T382,COUNTIF($G382:$T382,"&lt;="&amp;M382)+1)-M382)))</f>
        <v/>
      </c>
      <c r="AK382" t="str">
        <f>IF(OR($B382="",NOT(ISNUMBER(N382))),"",IF(COUNTIF(O382:$T382,N382)&gt;0,0,IF(COUNTIF($G382:$T382,"&gt;"&amp;N382)=0,"",SMALL($G382:$T382,COUNTIF($G382:$T382,"&lt;="&amp;N382)+1)-N382)))</f>
        <v/>
      </c>
      <c r="AL382" t="str">
        <f>IF(OR($B382="",NOT(ISNUMBER(O382))),"",IF(COUNTIF(P382:$T382,O382)&gt;0,0,IF(COUNTIF($G382:$T382,"&gt;"&amp;O382)=0,"",SMALL($G382:$T382,COUNTIF($G382:$T382,"&lt;="&amp;O382)+1)-O382)))</f>
        <v/>
      </c>
      <c r="AM382" t="str">
        <f>IF(OR($B382="",NOT(ISNUMBER(P382))),"",IF(COUNTIF(Q382:$T382,P382)&gt;0,0,IF(COUNTIF($G382:$T382,"&gt;"&amp;P382)=0,"",SMALL($G382:$T382,COUNTIF($G382:$T382,"&lt;="&amp;P382)+1)-P382)))</f>
        <v/>
      </c>
      <c r="AN382" t="str">
        <f>IF(OR($B382="",NOT(ISNUMBER(Q382))),"",IF(COUNTIF(R382:$T382,Q382)&gt;0,0,IF(COUNTIF($G382:$T382,"&gt;"&amp;Q382)=0,"",SMALL($G382:$T382,COUNTIF($G382:$T382,"&lt;="&amp;Q382)+1)-Q382)))</f>
        <v/>
      </c>
      <c r="AO382" t="str">
        <f>IF(OR($B382="",NOT(ISNUMBER(R382))),"",IF(COUNTIF(S382:$T382,R382)&gt;0,0,IF(COUNTIF($G382:$T382,"&gt;"&amp;R382)=0,"",SMALL($G382:$T382,COUNTIF($G382:$T382,"&lt;="&amp;R382)+1)-R382)))</f>
        <v/>
      </c>
      <c r="AP382">
        <f t="shared" ca="1" si="88"/>
        <v>3</v>
      </c>
      <c r="AQ382" s="25" t="str">
        <f t="shared" si="89"/>
        <v/>
      </c>
      <c r="AR382" s="25" t="str">
        <f t="shared" si="90"/>
        <v/>
      </c>
      <c r="AS382" s="25">
        <f t="shared" si="91"/>
        <v>46303</v>
      </c>
      <c r="AT382" s="25">
        <f t="shared" si="92"/>
        <v>46304</v>
      </c>
      <c r="AU382" s="25" t="str">
        <f t="shared" si="93"/>
        <v/>
      </c>
      <c r="AV382" s="25" t="str">
        <f t="shared" si="94"/>
        <v/>
      </c>
      <c r="AW382" s="25" t="str">
        <f t="shared" si="95"/>
        <v/>
      </c>
      <c r="AX382" s="25" t="str">
        <f t="shared" si="96"/>
        <v/>
      </c>
      <c r="AY382" s="25" t="str">
        <f t="shared" si="97"/>
        <v/>
      </c>
      <c r="AZ382" s="25" t="str">
        <f t="shared" si="98"/>
        <v/>
      </c>
      <c r="BA382" s="25" t="str">
        <f t="shared" si="99"/>
        <v/>
      </c>
      <c r="BB382" s="25" t="str">
        <f t="shared" si="100"/>
        <v/>
      </c>
      <c r="BC382" s="25" t="str">
        <f t="shared" si="101"/>
        <v/>
      </c>
    </row>
    <row r="383" spans="1:55" x14ac:dyDescent="0.25">
      <c r="A383" s="151">
        <f t="shared" si="86"/>
        <v>381</v>
      </c>
      <c r="B383" s="151" t="s">
        <v>594</v>
      </c>
      <c r="C383" s="152" t="s">
        <v>595</v>
      </c>
      <c r="D383" s="151">
        <f t="shared" ref="D383:D446" si="102">IFERROR(VALUE(TRIM(MID(C383,FIND(" - ",C383)+3,FIND(" - ",C383,FIND(" - ",C383)+3)-FIND(" - ",C383)-3))),"")</f>
        <v>21</v>
      </c>
      <c r="E383" s="151" t="s">
        <v>100</v>
      </c>
      <c r="F383" s="173">
        <v>46301</v>
      </c>
      <c r="G383" s="173"/>
      <c r="H383" s="173"/>
      <c r="I383" s="173"/>
      <c r="J383" s="173"/>
      <c r="K383" s="173"/>
      <c r="L383" s="173"/>
      <c r="M383" s="173">
        <v>46300</v>
      </c>
      <c r="N383" s="173">
        <v>46303</v>
      </c>
      <c r="O383" s="173"/>
      <c r="P383" s="173"/>
      <c r="Q383" s="173"/>
      <c r="R383" s="173"/>
      <c r="S383" s="173"/>
      <c r="T383" s="174">
        <v>46304</v>
      </c>
      <c r="U383" s="151"/>
      <c r="V383" s="152"/>
      <c r="W383" s="175"/>
      <c r="X383" s="173"/>
      <c r="Y383" s="173"/>
      <c r="Z383" s="176" t="str">
        <f>IF(B383="","",IF(S383&lt;&gt;"","Sevk Edildi",IF(AND(X383&lt;&gt;"",Y383=""),"Reworkte",IF(T383&lt;&gt;"","Kapandı"&amp;IF(COUNT(G383:R383)=0,""," – "&amp;LOOKUP(2,1/(G383:R383=MAX(G383:R383)),{"Tasarım","Ply Cutter","Üretim","Kalite (Üretim sonrası)","Talaşlı","Kalite (Talaşlı sonrası)","Montaj","Kalite (Montaj sonrası)","Boya","Kalite (Boya sonrası)","Yarı Mamül","KM"})),IF(COUNT(G383:R383)=0,"Başlamadı",LOOKUP(2,1/(G383:R383=MAX(G383:R383)),{"Tasarımda","Ply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383" s="177">
        <f t="shared" ca="1" si="87"/>
        <v>3</v>
      </c>
      <c r="AB383" s="175"/>
      <c r="AD383" t="str">
        <f>IF(OR($B383="",NOT(ISNUMBER(G383))),"",IF(COUNTIF(H383:$T383,G383)&gt;0,0,IF(COUNTIF($G383:$T383,"&gt;"&amp;G383)=0,"",SMALL($G383:$T383,COUNTIF($G383:$T383,"&lt;="&amp;G383)+1)-G383)))</f>
        <v/>
      </c>
      <c r="AE383" t="str">
        <f>IF(OR($B383="",NOT(ISNUMBER(H383))),"",IF(COUNTIF(I383:$T383,H383)&gt;0,0,IF(COUNTIF($G383:$T383,"&gt;"&amp;H383)=0,"",SMALL($G383:$T383,COUNTIF($G383:$T383,"&lt;="&amp;H383)+1)-H383)))</f>
        <v/>
      </c>
      <c r="AF383" t="str">
        <f>IF(OR($B383="",NOT(ISNUMBER(I383))),"",IF(COUNTIF(J383:$T383,I383)&gt;0,0,IF(COUNTIF($G383:$T383,"&gt;"&amp;I383)=0,"",SMALL($G383:$T383,COUNTIF($G383:$T383,"&lt;="&amp;I383)+1)-I383)))</f>
        <v/>
      </c>
      <c r="AG383" t="str">
        <f>IF(OR($B383="",NOT(ISNUMBER(J383))),"",IF(COUNTIF(K383:$T383,J383)&gt;0,0,IF(COUNTIF($G383:$T383,"&gt;"&amp;J383)=0,"",SMALL($G383:$T383,COUNTIF($G383:$T383,"&lt;="&amp;J383)+1)-J383)))</f>
        <v/>
      </c>
      <c r="AH383" t="str">
        <f>IF(OR($B383="",NOT(ISNUMBER(K383))),"",IF(COUNTIF(L383:$T383,K383)&gt;0,0,IF(COUNTIF($G383:$T383,"&gt;"&amp;K383)=0,"",SMALL($G383:$T383,COUNTIF($G383:$T383,"&lt;="&amp;K383)+1)-K383)))</f>
        <v/>
      </c>
      <c r="AI383" t="str">
        <f>IF(OR($B383="",NOT(ISNUMBER(L383))),"",IF(COUNTIF(M383:$T383,L383)&gt;0,0,IF(COUNTIF($G383:$T383,"&gt;"&amp;L383)=0,"",SMALL($G383:$T383,COUNTIF($G383:$T383,"&lt;="&amp;L383)+1)-L383)))</f>
        <v/>
      </c>
      <c r="AJ383">
        <f>IF(OR($B383="",NOT(ISNUMBER(M383))),"",IF(COUNTIF(N383:$T383,M383)&gt;0,0,IF(COUNTIF($G383:$T383,"&gt;"&amp;M383)=0,"",SMALL($G383:$T383,COUNTIF($G383:$T383,"&lt;="&amp;M383)+1)-M383)))</f>
        <v>3</v>
      </c>
      <c r="AK383">
        <f>IF(OR($B383="",NOT(ISNUMBER(N383))),"",IF(COUNTIF(O383:$T383,N383)&gt;0,0,IF(COUNTIF($G383:$T383,"&gt;"&amp;N383)=0,"",SMALL($G383:$T383,COUNTIF($G383:$T383,"&lt;="&amp;N383)+1)-N383)))</f>
        <v>1</v>
      </c>
      <c r="AL383" t="str">
        <f>IF(OR($B383="",NOT(ISNUMBER(O383))),"",IF(COUNTIF(P383:$T383,O383)&gt;0,0,IF(COUNTIF($G383:$T383,"&gt;"&amp;O383)=0,"",SMALL($G383:$T383,COUNTIF($G383:$T383,"&lt;="&amp;O383)+1)-O383)))</f>
        <v/>
      </c>
      <c r="AM383" t="str">
        <f>IF(OR($B383="",NOT(ISNUMBER(P383))),"",IF(COUNTIF(Q383:$T383,P383)&gt;0,0,IF(COUNTIF($G383:$T383,"&gt;"&amp;P383)=0,"",SMALL($G383:$T383,COUNTIF($G383:$T383,"&lt;="&amp;P383)+1)-P383)))</f>
        <v/>
      </c>
      <c r="AN383" t="str">
        <f>IF(OR($B383="",NOT(ISNUMBER(Q383))),"",IF(COUNTIF(R383:$T383,Q383)&gt;0,0,IF(COUNTIF($G383:$T383,"&gt;"&amp;Q383)=0,"",SMALL($G383:$T383,COUNTIF($G383:$T383,"&lt;="&amp;Q383)+1)-Q383)))</f>
        <v/>
      </c>
      <c r="AO383" t="str">
        <f>IF(OR($B383="",NOT(ISNUMBER(R383))),"",IF(COUNTIF(S383:$T383,R383)&gt;0,0,IF(COUNTIF($G383:$T383,"&gt;"&amp;R383)=0,"",SMALL($G383:$T383,COUNTIF($G383:$T383,"&lt;="&amp;R383)+1)-R383)))</f>
        <v/>
      </c>
      <c r="AP383">
        <f t="shared" ca="1" si="88"/>
        <v>0</v>
      </c>
      <c r="AQ383" s="25" t="str">
        <f t="shared" si="89"/>
        <v/>
      </c>
      <c r="AR383" s="25" t="str">
        <f t="shared" si="90"/>
        <v/>
      </c>
      <c r="AS383" s="25" t="str">
        <f t="shared" si="91"/>
        <v/>
      </c>
      <c r="AT383" s="25" t="str">
        <f t="shared" si="92"/>
        <v/>
      </c>
      <c r="AU383" s="25" t="str">
        <f t="shared" si="93"/>
        <v/>
      </c>
      <c r="AV383" s="25" t="str">
        <f t="shared" si="94"/>
        <v/>
      </c>
      <c r="AW383" s="25">
        <f t="shared" si="95"/>
        <v>46303</v>
      </c>
      <c r="AX383" s="25">
        <f t="shared" si="96"/>
        <v>46304</v>
      </c>
      <c r="AY383" s="25" t="str">
        <f t="shared" si="97"/>
        <v/>
      </c>
      <c r="AZ383" s="25" t="str">
        <f t="shared" si="98"/>
        <v/>
      </c>
      <c r="BA383" s="25" t="str">
        <f t="shared" si="99"/>
        <v/>
      </c>
      <c r="BB383" s="25" t="str">
        <f t="shared" si="100"/>
        <v/>
      </c>
      <c r="BC383" s="25">
        <f t="shared" si="101"/>
        <v>46304</v>
      </c>
    </row>
    <row r="384" spans="1:55" x14ac:dyDescent="0.25">
      <c r="A384" s="151">
        <f t="shared" si="86"/>
        <v>382</v>
      </c>
      <c r="B384" s="151" t="s">
        <v>596</v>
      </c>
      <c r="C384" s="152" t="s">
        <v>597</v>
      </c>
      <c r="D384" s="151">
        <f t="shared" si="102"/>
        <v>50</v>
      </c>
      <c r="E384" s="151" t="s">
        <v>100</v>
      </c>
      <c r="F384" s="173">
        <v>46301</v>
      </c>
      <c r="G384" s="173"/>
      <c r="H384" s="173"/>
      <c r="I384" s="173"/>
      <c r="J384" s="173"/>
      <c r="K384" s="173">
        <v>46301</v>
      </c>
      <c r="L384" s="173">
        <v>46303</v>
      </c>
      <c r="M384" s="173"/>
      <c r="N384" s="173"/>
      <c r="O384" s="173"/>
      <c r="P384" s="173"/>
      <c r="Q384" s="173"/>
      <c r="R384" s="173"/>
      <c r="S384" s="173"/>
      <c r="T384" s="174">
        <v>46303</v>
      </c>
      <c r="U384" s="151"/>
      <c r="V384" s="152"/>
      <c r="W384" s="175"/>
      <c r="X384" s="173"/>
      <c r="Y384" s="173"/>
      <c r="Z384" s="176" t="str">
        <f>IF(B384="","",IF(S384&lt;&gt;"","Sevk Edildi",IF(AND(X384&lt;&gt;"",Y384=""),"Reworkte",IF(T384&lt;&gt;"","Kapandı"&amp;IF(COUNT(G384:R384)=0,""," – "&amp;LOOKUP(2,1/(G384:R384=MAX(G384:R384)),{"Tasarım","Ply Cutter","Üretim","Kalite (Üretim sonrası)","Talaşlı","Kalite (Talaşlı sonrası)","Montaj","Kalite (Montaj sonrası)","Boya","Kalite (Boya sonrası)","Yarı Mamül","KM"})),IF(COUNT(G384:R384)=0,"Başlamadı",LOOKUP(2,1/(G384:R384=MAX(G384:R384)),{"Tasarımda","Ply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84" s="177">
        <f t="shared" ca="1" si="87"/>
        <v>2</v>
      </c>
      <c r="AB384" s="175"/>
      <c r="AD384" t="str">
        <f>IF(OR($B384="",NOT(ISNUMBER(G384))),"",IF(COUNTIF(H384:$T384,G384)&gt;0,0,IF(COUNTIF($G384:$T384,"&gt;"&amp;G384)=0,"",SMALL($G384:$T384,COUNTIF($G384:$T384,"&lt;="&amp;G384)+1)-G384)))</f>
        <v/>
      </c>
      <c r="AE384" t="str">
        <f>IF(OR($B384="",NOT(ISNUMBER(H384))),"",IF(COUNTIF(I384:$T384,H384)&gt;0,0,IF(COUNTIF($G384:$T384,"&gt;"&amp;H384)=0,"",SMALL($G384:$T384,COUNTIF($G384:$T384,"&lt;="&amp;H384)+1)-H384)))</f>
        <v/>
      </c>
      <c r="AF384" t="str">
        <f>IF(OR($B384="",NOT(ISNUMBER(I384))),"",IF(COUNTIF(J384:$T384,I384)&gt;0,0,IF(COUNTIF($G384:$T384,"&gt;"&amp;I384)=0,"",SMALL($G384:$T384,COUNTIF($G384:$T384,"&lt;="&amp;I384)+1)-I384)))</f>
        <v/>
      </c>
      <c r="AG384" t="str">
        <f>IF(OR($B384="",NOT(ISNUMBER(J384))),"",IF(COUNTIF(K384:$T384,J384)&gt;0,0,IF(COUNTIF($G384:$T384,"&gt;"&amp;J384)=0,"",SMALL($G384:$T384,COUNTIF($G384:$T384,"&lt;="&amp;J384)+1)-J384)))</f>
        <v/>
      </c>
      <c r="AH384">
        <f>IF(OR($B384="",NOT(ISNUMBER(K384))),"",IF(COUNTIF(L384:$T384,K384)&gt;0,0,IF(COUNTIF($G384:$T384,"&gt;"&amp;K384)=0,"",SMALL($G384:$T384,COUNTIF($G384:$T384,"&lt;="&amp;K384)+1)-K384)))</f>
        <v>2</v>
      </c>
      <c r="AI384">
        <f>IF(OR($B384="",NOT(ISNUMBER(L384))),"",IF(COUNTIF(M384:$T384,L384)&gt;0,0,IF(COUNTIF($G384:$T384,"&gt;"&amp;L384)=0,"",SMALL($G384:$T384,COUNTIF($G384:$T384,"&lt;="&amp;L384)+1)-L384)))</f>
        <v>0</v>
      </c>
      <c r="AJ384" t="str">
        <f>IF(OR($B384="",NOT(ISNUMBER(M384))),"",IF(COUNTIF(N384:$T384,M384)&gt;0,0,IF(COUNTIF($G384:$T384,"&gt;"&amp;M384)=0,"",SMALL($G384:$T384,COUNTIF($G384:$T384,"&lt;="&amp;M384)+1)-M384)))</f>
        <v/>
      </c>
      <c r="AK384" t="str">
        <f>IF(OR($B384="",NOT(ISNUMBER(N384))),"",IF(COUNTIF(O384:$T384,N384)&gt;0,0,IF(COUNTIF($G384:$T384,"&gt;"&amp;N384)=0,"",SMALL($G384:$T384,COUNTIF($G384:$T384,"&lt;="&amp;N384)+1)-N384)))</f>
        <v/>
      </c>
      <c r="AL384" t="str">
        <f>IF(OR($B384="",NOT(ISNUMBER(O384))),"",IF(COUNTIF(P384:$T384,O384)&gt;0,0,IF(COUNTIF($G384:$T384,"&gt;"&amp;O384)=0,"",SMALL($G384:$T384,COUNTIF($G384:$T384,"&lt;="&amp;O384)+1)-O384)))</f>
        <v/>
      </c>
      <c r="AM384" t="str">
        <f>IF(OR($B384="",NOT(ISNUMBER(P384))),"",IF(COUNTIF(Q384:$T384,P384)&gt;0,0,IF(COUNTIF($G384:$T384,"&gt;"&amp;P384)=0,"",SMALL($G384:$T384,COUNTIF($G384:$T384,"&lt;="&amp;P384)+1)-P384)))</f>
        <v/>
      </c>
      <c r="AN384" t="str">
        <f>IF(OR($B384="",NOT(ISNUMBER(Q384))),"",IF(COUNTIF(R384:$T384,Q384)&gt;0,0,IF(COUNTIF($G384:$T384,"&gt;"&amp;Q384)=0,"",SMALL($G384:$T384,COUNTIF($G384:$T384,"&lt;="&amp;Q384)+1)-Q384)))</f>
        <v/>
      </c>
      <c r="AO384" t="str">
        <f>IF(OR($B384="",NOT(ISNUMBER(R384))),"",IF(COUNTIF(S384:$T384,R384)&gt;0,0,IF(COUNTIF($G384:$T384,"&gt;"&amp;R384)=0,"",SMALL($G384:$T384,COUNTIF($G384:$T384,"&lt;="&amp;R384)+1)-R384)))</f>
        <v/>
      </c>
      <c r="AP384">
        <f t="shared" ca="1" si="88"/>
        <v>0</v>
      </c>
      <c r="AQ384" s="25" t="str">
        <f t="shared" si="89"/>
        <v/>
      </c>
      <c r="AR384" s="25" t="str">
        <f t="shared" si="90"/>
        <v/>
      </c>
      <c r="AS384" s="25" t="str">
        <f t="shared" si="91"/>
        <v/>
      </c>
      <c r="AT384" s="25" t="str">
        <f t="shared" si="92"/>
        <v/>
      </c>
      <c r="AU384" s="25">
        <f t="shared" si="93"/>
        <v>46303</v>
      </c>
      <c r="AV384" s="25">
        <f t="shared" si="94"/>
        <v>46303</v>
      </c>
      <c r="AW384" s="25" t="str">
        <f t="shared" si="95"/>
        <v/>
      </c>
      <c r="AX384" s="25" t="str">
        <f t="shared" si="96"/>
        <v/>
      </c>
      <c r="AY384" s="25" t="str">
        <f t="shared" si="97"/>
        <v/>
      </c>
      <c r="AZ384" s="25" t="str">
        <f t="shared" si="98"/>
        <v/>
      </c>
      <c r="BA384" s="25" t="str">
        <f t="shared" si="99"/>
        <v/>
      </c>
      <c r="BB384" s="25" t="str">
        <f t="shared" si="100"/>
        <v/>
      </c>
      <c r="BC384" s="25">
        <f t="shared" si="101"/>
        <v>46303</v>
      </c>
    </row>
    <row r="385" spans="1:55" x14ac:dyDescent="0.25">
      <c r="A385" s="151">
        <f t="shared" si="86"/>
        <v>383</v>
      </c>
      <c r="B385" s="151" t="s">
        <v>598</v>
      </c>
      <c r="C385" s="152" t="s">
        <v>376</v>
      </c>
      <c r="D385" s="151">
        <f t="shared" si="102"/>
        <v>2</v>
      </c>
      <c r="E385" s="151" t="s">
        <v>61</v>
      </c>
      <c r="F385" s="173">
        <v>46301</v>
      </c>
      <c r="G385" s="173"/>
      <c r="H385" s="173"/>
      <c r="I385" s="173"/>
      <c r="J385" s="173"/>
      <c r="K385" s="173"/>
      <c r="L385" s="173"/>
      <c r="M385" s="173"/>
      <c r="N385" s="173"/>
      <c r="O385" s="173">
        <v>46301</v>
      </c>
      <c r="P385" s="173">
        <v>46305</v>
      </c>
      <c r="Q385" s="173"/>
      <c r="R385" s="173"/>
      <c r="S385" s="173"/>
      <c r="T385" s="174">
        <v>46305</v>
      </c>
      <c r="U385" s="151"/>
      <c r="V385" s="152"/>
      <c r="W385" s="175"/>
      <c r="X385" s="173"/>
      <c r="Y385" s="173"/>
      <c r="Z385" s="176" t="str">
        <f>IF(B385="","",IF(S385&lt;&gt;"","Sevk Edildi",IF(AND(X385&lt;&gt;"",Y385=""),"Reworkte",IF(T385&lt;&gt;"","Kapandı"&amp;IF(COUNT(G385:R385)=0,""," – "&amp;LOOKUP(2,1/(G385:R385=MAX(G385:R385)),{"Tasarım","Ply Cutter","Üretim","Kalite (Üretim sonrası)","Talaşlı","Kalite (Talaşlı sonrası)","Montaj","Kalite (Montaj sonrası)","Boya","Kalite (Boya sonrası)","Yarı Mamül","KM"})),IF(COUNT(G385:R385)=0,"Başlamadı",LOOKUP(2,1/(G385:R385=MAX(G385:R385)),{"Tasarımda","Ply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385" s="177">
        <f t="shared" ca="1" si="87"/>
        <v>4</v>
      </c>
      <c r="AB385" s="175"/>
      <c r="AD385" t="str">
        <f>IF(OR($B385="",NOT(ISNUMBER(G385))),"",IF(COUNTIF(H385:$T385,G385)&gt;0,0,IF(COUNTIF($G385:$T385,"&gt;"&amp;G385)=0,"",SMALL($G385:$T385,COUNTIF($G385:$T385,"&lt;="&amp;G385)+1)-G385)))</f>
        <v/>
      </c>
      <c r="AE385" t="str">
        <f>IF(OR($B385="",NOT(ISNUMBER(H385))),"",IF(COUNTIF(I385:$T385,H385)&gt;0,0,IF(COUNTIF($G385:$T385,"&gt;"&amp;H385)=0,"",SMALL($G385:$T385,COUNTIF($G385:$T385,"&lt;="&amp;H385)+1)-H385)))</f>
        <v/>
      </c>
      <c r="AF385" t="str">
        <f>IF(OR($B385="",NOT(ISNUMBER(I385))),"",IF(COUNTIF(J385:$T385,I385)&gt;0,0,IF(COUNTIF($G385:$T385,"&gt;"&amp;I385)=0,"",SMALL($G385:$T385,COUNTIF($G385:$T385,"&lt;="&amp;I385)+1)-I385)))</f>
        <v/>
      </c>
      <c r="AG385" t="str">
        <f>IF(OR($B385="",NOT(ISNUMBER(J385))),"",IF(COUNTIF(K385:$T385,J385)&gt;0,0,IF(COUNTIF($G385:$T385,"&gt;"&amp;J385)=0,"",SMALL($G385:$T385,COUNTIF($G385:$T385,"&lt;="&amp;J385)+1)-J385)))</f>
        <v/>
      </c>
      <c r="AH385" t="str">
        <f>IF(OR($B385="",NOT(ISNUMBER(K385))),"",IF(COUNTIF(L385:$T385,K385)&gt;0,0,IF(COUNTIF($G385:$T385,"&gt;"&amp;K385)=0,"",SMALL($G385:$T385,COUNTIF($G385:$T385,"&lt;="&amp;K385)+1)-K385)))</f>
        <v/>
      </c>
      <c r="AI385" t="str">
        <f>IF(OR($B385="",NOT(ISNUMBER(L385))),"",IF(COUNTIF(M385:$T385,L385)&gt;0,0,IF(COUNTIF($G385:$T385,"&gt;"&amp;L385)=0,"",SMALL($G385:$T385,COUNTIF($G385:$T385,"&lt;="&amp;L385)+1)-L385)))</f>
        <v/>
      </c>
      <c r="AJ385" t="str">
        <f>IF(OR($B385="",NOT(ISNUMBER(M385))),"",IF(COUNTIF(N385:$T385,M385)&gt;0,0,IF(COUNTIF($G385:$T385,"&gt;"&amp;M385)=0,"",SMALL($G385:$T385,COUNTIF($G385:$T385,"&lt;="&amp;M385)+1)-M385)))</f>
        <v/>
      </c>
      <c r="AK385" t="str">
        <f>IF(OR($B385="",NOT(ISNUMBER(N385))),"",IF(COUNTIF(O385:$T385,N385)&gt;0,0,IF(COUNTIF($G385:$T385,"&gt;"&amp;N385)=0,"",SMALL($G385:$T385,COUNTIF($G385:$T385,"&lt;="&amp;N385)+1)-N385)))</f>
        <v/>
      </c>
      <c r="AL385">
        <f>IF(OR($B385="",NOT(ISNUMBER(O385))),"",IF(COUNTIF(P385:$T385,O385)&gt;0,0,IF(COUNTIF($G385:$T385,"&gt;"&amp;O385)=0,"",SMALL($G385:$T385,COUNTIF($G385:$T385,"&lt;="&amp;O385)+1)-O385)))</f>
        <v>4</v>
      </c>
      <c r="AM385">
        <f>IF(OR($B385="",NOT(ISNUMBER(P385))),"",IF(COUNTIF(Q385:$T385,P385)&gt;0,0,IF(COUNTIF($G385:$T385,"&gt;"&amp;P385)=0,"",SMALL($G385:$T385,COUNTIF($G385:$T385,"&lt;="&amp;P385)+1)-P385)))</f>
        <v>0</v>
      </c>
      <c r="AN385" t="str">
        <f>IF(OR($B385="",NOT(ISNUMBER(Q385))),"",IF(COUNTIF(R385:$T385,Q385)&gt;0,0,IF(COUNTIF($G385:$T385,"&gt;"&amp;Q385)=0,"",SMALL($G385:$T385,COUNTIF($G385:$T385,"&lt;="&amp;Q385)+1)-Q385)))</f>
        <v/>
      </c>
      <c r="AO385" t="str">
        <f>IF(OR($B385="",NOT(ISNUMBER(R385))),"",IF(COUNTIF(S385:$T385,R385)&gt;0,0,IF(COUNTIF($G385:$T385,"&gt;"&amp;R385)=0,"",SMALL($G385:$T385,COUNTIF($G385:$T385,"&lt;="&amp;R385)+1)-R385)))</f>
        <v/>
      </c>
      <c r="AP385">
        <f t="shared" ca="1" si="88"/>
        <v>0</v>
      </c>
      <c r="AQ385" s="25" t="str">
        <f t="shared" si="89"/>
        <v/>
      </c>
      <c r="AR385" s="25" t="str">
        <f t="shared" si="90"/>
        <v/>
      </c>
      <c r="AS385" s="25" t="str">
        <f t="shared" si="91"/>
        <v/>
      </c>
      <c r="AT385" s="25" t="str">
        <f t="shared" si="92"/>
        <v/>
      </c>
      <c r="AU385" s="25" t="str">
        <f t="shared" si="93"/>
        <v/>
      </c>
      <c r="AV385" s="25" t="str">
        <f t="shared" si="94"/>
        <v/>
      </c>
      <c r="AW385" s="25" t="str">
        <f t="shared" si="95"/>
        <v/>
      </c>
      <c r="AX385" s="25" t="str">
        <f t="shared" si="96"/>
        <v/>
      </c>
      <c r="AY385" s="25">
        <f t="shared" si="97"/>
        <v>46305</v>
      </c>
      <c r="AZ385" s="25">
        <f t="shared" si="98"/>
        <v>46305</v>
      </c>
      <c r="BA385" s="25" t="str">
        <f t="shared" si="99"/>
        <v/>
      </c>
      <c r="BB385" s="25" t="str">
        <f t="shared" si="100"/>
        <v/>
      </c>
      <c r="BC385" s="25">
        <f t="shared" si="101"/>
        <v>46305</v>
      </c>
    </row>
    <row r="386" spans="1:55" x14ac:dyDescent="0.25">
      <c r="A386" s="151">
        <f t="shared" si="86"/>
        <v>384</v>
      </c>
      <c r="B386" s="151" t="s">
        <v>599</v>
      </c>
      <c r="C386" s="152" t="s">
        <v>378</v>
      </c>
      <c r="D386" s="151">
        <f t="shared" si="102"/>
        <v>2</v>
      </c>
      <c r="E386" s="151" t="s">
        <v>61</v>
      </c>
      <c r="F386" s="173">
        <v>46301</v>
      </c>
      <c r="G386" s="173"/>
      <c r="H386" s="173"/>
      <c r="I386" s="173"/>
      <c r="J386" s="173"/>
      <c r="K386" s="173"/>
      <c r="L386" s="173"/>
      <c r="M386" s="173"/>
      <c r="N386" s="173"/>
      <c r="O386" s="173">
        <v>46301</v>
      </c>
      <c r="P386" s="173">
        <v>46305</v>
      </c>
      <c r="Q386" s="173"/>
      <c r="R386" s="173"/>
      <c r="S386" s="173"/>
      <c r="T386" s="174">
        <v>46305</v>
      </c>
      <c r="U386" s="151"/>
      <c r="V386" s="152"/>
      <c r="W386" s="175"/>
      <c r="X386" s="173"/>
      <c r="Y386" s="173"/>
      <c r="Z386" s="176" t="str">
        <f>IF(B386="","",IF(S386&lt;&gt;"","Sevk Edildi",IF(AND(X386&lt;&gt;"",Y386=""),"Reworkte",IF(T386&lt;&gt;"","Kapandı"&amp;IF(COUNT(G386:R386)=0,""," – "&amp;LOOKUP(2,1/(G386:R386=MAX(G386:R386)),{"Tasarım","Ply Cutter","Üretim","Kalite (Üretim sonrası)","Talaşlı","Kalite (Talaşlı sonrası)","Montaj","Kalite (Montaj sonrası)","Boya","Kalite (Boya sonrası)","Yarı Mamül","KM"})),IF(COUNT(G386:R386)=0,"Başlamadı",LOOKUP(2,1/(G386:R386=MAX(G386:R386)),{"Tasarımda","Ply Cutter'da","Üretimde","Kalitede (Üretim sonrası)","Talaşlıda","Kalitede (Talaşlı sonrası)","Montajda","Kalitede (Montaj sonrası)","Boyada","Kalitede (Boya sonrası)","Yarı Mamülde","KM'de"}))))))</f>
        <v>Kapandı – Kalite (Boya sonrası)</v>
      </c>
      <c r="AA386" s="177">
        <f t="shared" ca="1" si="87"/>
        <v>4</v>
      </c>
      <c r="AB386" s="175"/>
      <c r="AD386" t="str">
        <f>IF(OR($B386="",NOT(ISNUMBER(G386))),"",IF(COUNTIF(H386:$T386,G386)&gt;0,0,IF(COUNTIF($G386:$T386,"&gt;"&amp;G386)=0,"",SMALL($G386:$T386,COUNTIF($G386:$T386,"&lt;="&amp;G386)+1)-G386)))</f>
        <v/>
      </c>
      <c r="AE386" t="str">
        <f>IF(OR($B386="",NOT(ISNUMBER(H386))),"",IF(COUNTIF(I386:$T386,H386)&gt;0,0,IF(COUNTIF($G386:$T386,"&gt;"&amp;H386)=0,"",SMALL($G386:$T386,COUNTIF($G386:$T386,"&lt;="&amp;H386)+1)-H386)))</f>
        <v/>
      </c>
      <c r="AF386" t="str">
        <f>IF(OR($B386="",NOT(ISNUMBER(I386))),"",IF(COUNTIF(J386:$T386,I386)&gt;0,0,IF(COUNTIF($G386:$T386,"&gt;"&amp;I386)=0,"",SMALL($G386:$T386,COUNTIF($G386:$T386,"&lt;="&amp;I386)+1)-I386)))</f>
        <v/>
      </c>
      <c r="AG386" t="str">
        <f>IF(OR($B386="",NOT(ISNUMBER(J386))),"",IF(COUNTIF(K386:$T386,J386)&gt;0,0,IF(COUNTIF($G386:$T386,"&gt;"&amp;J386)=0,"",SMALL($G386:$T386,COUNTIF($G386:$T386,"&lt;="&amp;J386)+1)-J386)))</f>
        <v/>
      </c>
      <c r="AH386" t="str">
        <f>IF(OR($B386="",NOT(ISNUMBER(K386))),"",IF(COUNTIF(L386:$T386,K386)&gt;0,0,IF(COUNTIF($G386:$T386,"&gt;"&amp;K386)=0,"",SMALL($G386:$T386,COUNTIF($G386:$T386,"&lt;="&amp;K386)+1)-K386)))</f>
        <v/>
      </c>
      <c r="AI386" t="str">
        <f>IF(OR($B386="",NOT(ISNUMBER(L386))),"",IF(COUNTIF(M386:$T386,L386)&gt;0,0,IF(COUNTIF($G386:$T386,"&gt;"&amp;L386)=0,"",SMALL($G386:$T386,COUNTIF($G386:$T386,"&lt;="&amp;L386)+1)-L386)))</f>
        <v/>
      </c>
      <c r="AJ386" t="str">
        <f>IF(OR($B386="",NOT(ISNUMBER(M386))),"",IF(COUNTIF(N386:$T386,M386)&gt;0,0,IF(COUNTIF($G386:$T386,"&gt;"&amp;M386)=0,"",SMALL($G386:$T386,COUNTIF($G386:$T386,"&lt;="&amp;M386)+1)-M386)))</f>
        <v/>
      </c>
      <c r="AK386" t="str">
        <f>IF(OR($B386="",NOT(ISNUMBER(N386))),"",IF(COUNTIF(O386:$T386,N386)&gt;0,0,IF(COUNTIF($G386:$T386,"&gt;"&amp;N386)=0,"",SMALL($G386:$T386,COUNTIF($G386:$T386,"&lt;="&amp;N386)+1)-N386)))</f>
        <v/>
      </c>
      <c r="AL386">
        <f>IF(OR($B386="",NOT(ISNUMBER(O386))),"",IF(COUNTIF(P386:$T386,O386)&gt;0,0,IF(COUNTIF($G386:$T386,"&gt;"&amp;O386)=0,"",SMALL($G386:$T386,COUNTIF($G386:$T386,"&lt;="&amp;O386)+1)-O386)))</f>
        <v>4</v>
      </c>
      <c r="AM386">
        <f>IF(OR($B386="",NOT(ISNUMBER(P386))),"",IF(COUNTIF(Q386:$T386,P386)&gt;0,0,IF(COUNTIF($G386:$T386,"&gt;"&amp;P386)=0,"",SMALL($G386:$T386,COUNTIF($G386:$T386,"&lt;="&amp;P386)+1)-P386)))</f>
        <v>0</v>
      </c>
      <c r="AN386" t="str">
        <f>IF(OR($B386="",NOT(ISNUMBER(Q386))),"",IF(COUNTIF(R386:$T386,Q386)&gt;0,0,IF(COUNTIF($G386:$T386,"&gt;"&amp;Q386)=0,"",SMALL($G386:$T386,COUNTIF($G386:$T386,"&lt;="&amp;Q386)+1)-Q386)))</f>
        <v/>
      </c>
      <c r="AO386" t="str">
        <f>IF(OR($B386="",NOT(ISNUMBER(R386))),"",IF(COUNTIF(S386:$T386,R386)&gt;0,0,IF(COUNTIF($G386:$T386,"&gt;"&amp;R386)=0,"",SMALL($G386:$T386,COUNTIF($G386:$T386,"&lt;="&amp;R386)+1)-R386)))</f>
        <v/>
      </c>
      <c r="AP386">
        <f t="shared" ca="1" si="88"/>
        <v>0</v>
      </c>
      <c r="AQ386" s="25" t="str">
        <f t="shared" si="89"/>
        <v/>
      </c>
      <c r="AR386" s="25" t="str">
        <f t="shared" si="90"/>
        <v/>
      </c>
      <c r="AS386" s="25" t="str">
        <f t="shared" si="91"/>
        <v/>
      </c>
      <c r="AT386" s="25" t="str">
        <f t="shared" si="92"/>
        <v/>
      </c>
      <c r="AU386" s="25" t="str">
        <f t="shared" si="93"/>
        <v/>
      </c>
      <c r="AV386" s="25" t="str">
        <f t="shared" si="94"/>
        <v/>
      </c>
      <c r="AW386" s="25" t="str">
        <f t="shared" si="95"/>
        <v/>
      </c>
      <c r="AX386" s="25" t="str">
        <f t="shared" si="96"/>
        <v/>
      </c>
      <c r="AY386" s="25">
        <f t="shared" si="97"/>
        <v>46305</v>
      </c>
      <c r="AZ386" s="25">
        <f t="shared" si="98"/>
        <v>46305</v>
      </c>
      <c r="BA386" s="25" t="str">
        <f t="shared" si="99"/>
        <v/>
      </c>
      <c r="BB386" s="25" t="str">
        <f t="shared" si="100"/>
        <v/>
      </c>
      <c r="BC386" s="25">
        <f t="shared" si="101"/>
        <v>46305</v>
      </c>
    </row>
    <row r="387" spans="1:55" x14ac:dyDescent="0.25">
      <c r="A387" s="151">
        <f t="shared" ref="A387:A450" si="103">IF(B387="","",ROW()-2)</f>
        <v>385</v>
      </c>
      <c r="B387" s="151" t="s">
        <v>600</v>
      </c>
      <c r="C387" s="152" t="s">
        <v>601</v>
      </c>
      <c r="D387" s="151">
        <f t="shared" si="102"/>
        <v>1</v>
      </c>
      <c r="E387" s="151" t="s">
        <v>61</v>
      </c>
      <c r="F387" s="173">
        <v>46301</v>
      </c>
      <c r="G387" s="173"/>
      <c r="H387" s="173"/>
      <c r="I387" s="173">
        <v>46301</v>
      </c>
      <c r="J387" s="173">
        <v>46302</v>
      </c>
      <c r="K387" s="173"/>
      <c r="L387" s="173"/>
      <c r="M387" s="173"/>
      <c r="N387" s="173"/>
      <c r="O387" s="173"/>
      <c r="P387" s="173"/>
      <c r="Q387" s="173"/>
      <c r="R387" s="173"/>
      <c r="S387" s="173"/>
      <c r="T387" s="174">
        <v>46302</v>
      </c>
      <c r="U387" s="151"/>
      <c r="V387" s="152"/>
      <c r="W387" s="175"/>
      <c r="X387" s="173"/>
      <c r="Y387" s="173"/>
      <c r="Z387" s="176" t="str">
        <f>IF(B387="","",IF(S387&lt;&gt;"","Sevk Edildi",IF(AND(X387&lt;&gt;"",Y387=""),"Reworkte",IF(T387&lt;&gt;"","Kapandı"&amp;IF(COUNT(G387:R387)=0,""," – "&amp;LOOKUP(2,1/(G387:R387=MAX(G387:R387)),{"Tasarım","Ply Cutter","Üretim","Kalite (Üretim sonrası)","Talaşlı","Kalite (Talaşlı sonrası)","Montaj","Kalite (Montaj sonrası)","Boya","Kalite (Boya sonrası)","Yarı Mamül","KM"})),IF(COUNT(G387:R387)=0,"Başlamadı",LOOKUP(2,1/(G387:R387=MAX(G387:R387)),{"Tasarımda","Ply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87" s="177">
        <f t="shared" ref="AA387:AA450" ca="1" si="104">IF(OR(B387="",F387=""),"",IFERROR(IF(S387&lt;&gt;"",S387-F387,IF(T387&lt;&gt;"",T387-F387,TODAY()-F387)),""))</f>
        <v>1</v>
      </c>
      <c r="AB387" s="175" t="s">
        <v>602</v>
      </c>
      <c r="AD387" t="str">
        <f>IF(OR($B387="",NOT(ISNUMBER(G387))),"",IF(COUNTIF(H387:$T387,G387)&gt;0,0,IF(COUNTIF($G387:$T387,"&gt;"&amp;G387)=0,"",SMALL($G387:$T387,COUNTIF($G387:$T387,"&lt;="&amp;G387)+1)-G387)))</f>
        <v/>
      </c>
      <c r="AE387" t="str">
        <f>IF(OR($B387="",NOT(ISNUMBER(H387))),"",IF(COUNTIF(I387:$T387,H387)&gt;0,0,IF(COUNTIF($G387:$T387,"&gt;"&amp;H387)=0,"",SMALL($G387:$T387,COUNTIF($G387:$T387,"&lt;="&amp;H387)+1)-H387)))</f>
        <v/>
      </c>
      <c r="AF387">
        <f>IF(OR($B387="",NOT(ISNUMBER(I387))),"",IF(COUNTIF(J387:$T387,I387)&gt;0,0,IF(COUNTIF($G387:$T387,"&gt;"&amp;I387)=0,"",SMALL($G387:$T387,COUNTIF($G387:$T387,"&lt;="&amp;I387)+1)-I387)))</f>
        <v>1</v>
      </c>
      <c r="AG387">
        <f>IF(OR($B387="",NOT(ISNUMBER(J387))),"",IF(COUNTIF(K387:$T387,J387)&gt;0,0,IF(COUNTIF($G387:$T387,"&gt;"&amp;J387)=0,"",SMALL($G387:$T387,COUNTIF($G387:$T387,"&lt;="&amp;J387)+1)-J387)))</f>
        <v>0</v>
      </c>
      <c r="AH387" t="str">
        <f>IF(OR($B387="",NOT(ISNUMBER(K387))),"",IF(COUNTIF(L387:$T387,K387)&gt;0,0,IF(COUNTIF($G387:$T387,"&gt;"&amp;K387)=0,"",SMALL($G387:$T387,COUNTIF($G387:$T387,"&lt;="&amp;K387)+1)-K387)))</f>
        <v/>
      </c>
      <c r="AI387" t="str">
        <f>IF(OR($B387="",NOT(ISNUMBER(L387))),"",IF(COUNTIF(M387:$T387,L387)&gt;0,0,IF(COUNTIF($G387:$T387,"&gt;"&amp;L387)=0,"",SMALL($G387:$T387,COUNTIF($G387:$T387,"&lt;="&amp;L387)+1)-L387)))</f>
        <v/>
      </c>
      <c r="AJ387" t="str">
        <f>IF(OR($B387="",NOT(ISNUMBER(M387))),"",IF(COUNTIF(N387:$T387,M387)&gt;0,0,IF(COUNTIF($G387:$T387,"&gt;"&amp;M387)=0,"",SMALL($G387:$T387,COUNTIF($G387:$T387,"&lt;="&amp;M387)+1)-M387)))</f>
        <v/>
      </c>
      <c r="AK387" t="str">
        <f>IF(OR($B387="",NOT(ISNUMBER(N387))),"",IF(COUNTIF(O387:$T387,N387)&gt;0,0,IF(COUNTIF($G387:$T387,"&gt;"&amp;N387)=0,"",SMALL($G387:$T387,COUNTIF($G387:$T387,"&lt;="&amp;N387)+1)-N387)))</f>
        <v/>
      </c>
      <c r="AL387" t="str">
        <f>IF(OR($B387="",NOT(ISNUMBER(O387))),"",IF(COUNTIF(P387:$T387,O387)&gt;0,0,IF(COUNTIF($G387:$T387,"&gt;"&amp;O387)=0,"",SMALL($G387:$T387,COUNTIF($G387:$T387,"&lt;="&amp;O387)+1)-O387)))</f>
        <v/>
      </c>
      <c r="AM387" t="str">
        <f>IF(OR($B387="",NOT(ISNUMBER(P387))),"",IF(COUNTIF(Q387:$T387,P387)&gt;0,0,IF(COUNTIF($G387:$T387,"&gt;"&amp;P387)=0,"",SMALL($G387:$T387,COUNTIF($G387:$T387,"&lt;="&amp;P387)+1)-P387)))</f>
        <v/>
      </c>
      <c r="AN387" t="str">
        <f>IF(OR($B387="",NOT(ISNUMBER(Q387))),"",IF(COUNTIF(R387:$T387,Q387)&gt;0,0,IF(COUNTIF($G387:$T387,"&gt;"&amp;Q387)=0,"",SMALL($G387:$T387,COUNTIF($G387:$T387,"&lt;="&amp;Q387)+1)-Q387)))</f>
        <v/>
      </c>
      <c r="AO387" t="str">
        <f>IF(OR($B387="",NOT(ISNUMBER(R387))),"",IF(COUNTIF(S387:$T387,R387)&gt;0,0,IF(COUNTIF($G387:$T387,"&gt;"&amp;R387)=0,"",SMALL($G387:$T387,COUNTIF($G387:$T387,"&lt;="&amp;R387)+1)-R387)))</f>
        <v/>
      </c>
      <c r="AP387">
        <f t="shared" ref="AP387:AP450" ca="1" si="105">IF(OR($B387="",Z387="",Z387="Başlamadı",Z387="Sevk Edildi",Z387="Reworkte",LEFT(Z387,7)="Kapandı"),0,TODAY()-MAX($G387:$R387))</f>
        <v>0</v>
      </c>
      <c r="AQ387" s="25" t="str">
        <f t="shared" ref="AQ387:AQ450" si="106">IF(AND(ISNUMBER(G387),ISNUMBER(AD387)),G387+AD387,"")</f>
        <v/>
      </c>
      <c r="AR387" s="25" t="str">
        <f t="shared" ref="AR387:AR450" si="107">IF(AND(ISNUMBER(H387),ISNUMBER(AE387)),H387+AE387,"")</f>
        <v/>
      </c>
      <c r="AS387" s="25">
        <f t="shared" ref="AS387:AS450" si="108">IF(AND(ISNUMBER(I387),ISNUMBER(AF387)),I387+AF387,"")</f>
        <v>46302</v>
      </c>
      <c r="AT387" s="25">
        <f t="shared" ref="AT387:AT450" si="109">IF(AND(ISNUMBER(J387),ISNUMBER(AG387)),J387+AG387,"")</f>
        <v>46302</v>
      </c>
      <c r="AU387" s="25" t="str">
        <f t="shared" ref="AU387:AU450" si="110">IF(AND(ISNUMBER(K387),ISNUMBER(AH387)),K387+AH387,"")</f>
        <v/>
      </c>
      <c r="AV387" s="25" t="str">
        <f t="shared" ref="AV387:AV450" si="111">IF(AND(ISNUMBER(L387),ISNUMBER(AI387)),L387+AI387,"")</f>
        <v/>
      </c>
      <c r="AW387" s="25" t="str">
        <f t="shared" ref="AW387:AW450" si="112">IF(AND(ISNUMBER(M387),ISNUMBER(AJ387)),M387+AJ387,"")</f>
        <v/>
      </c>
      <c r="AX387" s="25" t="str">
        <f t="shared" ref="AX387:AX450" si="113">IF(AND(ISNUMBER(N387),ISNUMBER(AK387)),N387+AK387,"")</f>
        <v/>
      </c>
      <c r="AY387" s="25" t="str">
        <f t="shared" ref="AY387:AY450" si="114">IF(AND(ISNUMBER(O387),ISNUMBER(AL387)),O387+AL387,"")</f>
        <v/>
      </c>
      <c r="AZ387" s="25" t="str">
        <f t="shared" ref="AZ387:AZ450" si="115">IF(AND(ISNUMBER(P387),ISNUMBER(AM387)),P387+AM387,"")</f>
        <v/>
      </c>
      <c r="BA387" s="25" t="str">
        <f t="shared" ref="BA387:BA450" si="116">IF(AND(ISNUMBER(Q387),ISNUMBER(AN387)),Q387+AN387,"")</f>
        <v/>
      </c>
      <c r="BB387" s="25" t="str">
        <f t="shared" ref="BB387:BB450" si="117">IF(AND(ISNUMBER(R387),ISNUMBER(AO387)),R387+AO387,"")</f>
        <v/>
      </c>
      <c r="BC387" s="25">
        <f t="shared" ref="BC387:BC450" si="118">IF(AND(S387="",T387=""),"",MIN(S387,T387))</f>
        <v>46302</v>
      </c>
    </row>
    <row r="388" spans="1:55" x14ac:dyDescent="0.25">
      <c r="A388" s="151">
        <f t="shared" si="103"/>
        <v>386</v>
      </c>
      <c r="B388" s="151" t="s">
        <v>603</v>
      </c>
      <c r="C388" s="152" t="s">
        <v>105</v>
      </c>
      <c r="D388" s="151">
        <f t="shared" si="102"/>
        <v>1</v>
      </c>
      <c r="E388" s="151" t="s">
        <v>61</v>
      </c>
      <c r="F388" s="173">
        <v>46301</v>
      </c>
      <c r="G388" s="173"/>
      <c r="H388" s="173"/>
      <c r="I388" s="173">
        <v>46301</v>
      </c>
      <c r="J388" s="173">
        <v>46303</v>
      </c>
      <c r="K388" s="173">
        <v>46305</v>
      </c>
      <c r="L388" s="173">
        <v>46305</v>
      </c>
      <c r="M388" s="173"/>
      <c r="N388" s="173"/>
      <c r="O388" s="173"/>
      <c r="P388" s="173"/>
      <c r="Q388" s="173"/>
      <c r="R388" s="173"/>
      <c r="S388" s="173"/>
      <c r="T388" s="174">
        <v>46305</v>
      </c>
      <c r="U388" s="151"/>
      <c r="V388" s="152"/>
      <c r="W388" s="175"/>
      <c r="X388" s="173"/>
      <c r="Y388" s="173"/>
      <c r="Z388" s="176" t="str">
        <f>IF(B388="","",IF(S388&lt;&gt;"","Sevk Edildi",IF(AND(X388&lt;&gt;"",Y388=""),"Reworkte",IF(T388&lt;&gt;"","Kapandı"&amp;IF(COUNT(G388:R388)=0,""," – "&amp;LOOKUP(2,1/(G388:R388=MAX(G388:R388)),{"Tasarım","Ply Cutter","Üretim","Kalite (Üretim sonrası)","Talaşlı","Kalite (Talaşlı sonrası)","Montaj","Kalite (Montaj sonrası)","Boya","Kalite (Boya sonrası)","Yarı Mamül","KM"})),IF(COUNT(G388:R388)=0,"Başlamadı",LOOKUP(2,1/(G388:R388=MAX(G388:R388)),{"Tasarımda","Ply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388" s="177">
        <f t="shared" ca="1" si="104"/>
        <v>4</v>
      </c>
      <c r="AB388" s="175"/>
      <c r="AD388" t="str">
        <f>IF(OR($B388="",NOT(ISNUMBER(G388))),"",IF(COUNTIF(H388:$T388,G388)&gt;0,0,IF(COUNTIF($G388:$T388,"&gt;"&amp;G388)=0,"",SMALL($G388:$T388,COUNTIF($G388:$T388,"&lt;="&amp;G388)+1)-G388)))</f>
        <v/>
      </c>
      <c r="AE388" t="str">
        <f>IF(OR($B388="",NOT(ISNUMBER(H388))),"",IF(COUNTIF(I388:$T388,H388)&gt;0,0,IF(COUNTIF($G388:$T388,"&gt;"&amp;H388)=0,"",SMALL($G388:$T388,COUNTIF($G388:$T388,"&lt;="&amp;H388)+1)-H388)))</f>
        <v/>
      </c>
      <c r="AF388">
        <f>IF(OR($B388="",NOT(ISNUMBER(I388))),"",IF(COUNTIF(J388:$T388,I388)&gt;0,0,IF(COUNTIF($G388:$T388,"&gt;"&amp;I388)=0,"",SMALL($G388:$T388,COUNTIF($G388:$T388,"&lt;="&amp;I388)+1)-I388)))</f>
        <v>2</v>
      </c>
      <c r="AG388">
        <f>IF(OR($B388="",NOT(ISNUMBER(J388))),"",IF(COUNTIF(K388:$T388,J388)&gt;0,0,IF(COUNTIF($G388:$T388,"&gt;"&amp;J388)=0,"",SMALL($G388:$T388,COUNTIF($G388:$T388,"&lt;="&amp;J388)+1)-J388)))</f>
        <v>2</v>
      </c>
      <c r="AH388">
        <f>IF(OR($B388="",NOT(ISNUMBER(K388))),"",IF(COUNTIF(L388:$T388,K388)&gt;0,0,IF(COUNTIF($G388:$T388,"&gt;"&amp;K388)=0,"",SMALL($G388:$T388,COUNTIF($G388:$T388,"&lt;="&amp;K388)+1)-K388)))</f>
        <v>0</v>
      </c>
      <c r="AI388">
        <f>IF(OR($B388="",NOT(ISNUMBER(L388))),"",IF(COUNTIF(M388:$T388,L388)&gt;0,0,IF(COUNTIF($G388:$T388,"&gt;"&amp;L388)=0,"",SMALL($G388:$T388,COUNTIF($G388:$T388,"&lt;="&amp;L388)+1)-L388)))</f>
        <v>0</v>
      </c>
      <c r="AJ388" t="str">
        <f>IF(OR($B388="",NOT(ISNUMBER(M388))),"",IF(COUNTIF(N388:$T388,M388)&gt;0,0,IF(COUNTIF($G388:$T388,"&gt;"&amp;M388)=0,"",SMALL($G388:$T388,COUNTIF($G388:$T388,"&lt;="&amp;M388)+1)-M388)))</f>
        <v/>
      </c>
      <c r="AK388" t="str">
        <f>IF(OR($B388="",NOT(ISNUMBER(N388))),"",IF(COUNTIF(O388:$T388,N388)&gt;0,0,IF(COUNTIF($G388:$T388,"&gt;"&amp;N388)=0,"",SMALL($G388:$T388,COUNTIF($G388:$T388,"&lt;="&amp;N388)+1)-N388)))</f>
        <v/>
      </c>
      <c r="AL388" t="str">
        <f>IF(OR($B388="",NOT(ISNUMBER(O388))),"",IF(COUNTIF(P388:$T388,O388)&gt;0,0,IF(COUNTIF($G388:$T388,"&gt;"&amp;O388)=0,"",SMALL($G388:$T388,COUNTIF($G388:$T388,"&lt;="&amp;O388)+1)-O388)))</f>
        <v/>
      </c>
      <c r="AM388" t="str">
        <f>IF(OR($B388="",NOT(ISNUMBER(P388))),"",IF(COUNTIF(Q388:$T388,P388)&gt;0,0,IF(COUNTIF($G388:$T388,"&gt;"&amp;P388)=0,"",SMALL($G388:$T388,COUNTIF($G388:$T388,"&lt;="&amp;P388)+1)-P388)))</f>
        <v/>
      </c>
      <c r="AN388" t="str">
        <f>IF(OR($B388="",NOT(ISNUMBER(Q388))),"",IF(COUNTIF(R388:$T388,Q388)&gt;0,0,IF(COUNTIF($G388:$T388,"&gt;"&amp;Q388)=0,"",SMALL($G388:$T388,COUNTIF($G388:$T388,"&lt;="&amp;Q388)+1)-Q388)))</f>
        <v/>
      </c>
      <c r="AO388" t="str">
        <f>IF(OR($B388="",NOT(ISNUMBER(R388))),"",IF(COUNTIF(S388:$T388,R388)&gt;0,0,IF(COUNTIF($G388:$T388,"&gt;"&amp;R388)=0,"",SMALL($G388:$T388,COUNTIF($G388:$T388,"&lt;="&amp;R388)+1)-R388)))</f>
        <v/>
      </c>
      <c r="AP388">
        <f t="shared" ca="1" si="105"/>
        <v>0</v>
      </c>
      <c r="AQ388" s="25" t="str">
        <f t="shared" si="106"/>
        <v/>
      </c>
      <c r="AR388" s="25" t="str">
        <f t="shared" si="107"/>
        <v/>
      </c>
      <c r="AS388" s="25">
        <f t="shared" si="108"/>
        <v>46303</v>
      </c>
      <c r="AT388" s="25">
        <f t="shared" si="109"/>
        <v>46305</v>
      </c>
      <c r="AU388" s="25">
        <f t="shared" si="110"/>
        <v>46305</v>
      </c>
      <c r="AV388" s="25">
        <f t="shared" si="111"/>
        <v>46305</v>
      </c>
      <c r="AW388" s="25" t="str">
        <f t="shared" si="112"/>
        <v/>
      </c>
      <c r="AX388" s="25" t="str">
        <f t="shared" si="113"/>
        <v/>
      </c>
      <c r="AY388" s="25" t="str">
        <f t="shared" si="114"/>
        <v/>
      </c>
      <c r="AZ388" s="25" t="str">
        <f t="shared" si="115"/>
        <v/>
      </c>
      <c r="BA388" s="25" t="str">
        <f t="shared" si="116"/>
        <v/>
      </c>
      <c r="BB388" s="25" t="str">
        <f t="shared" si="117"/>
        <v/>
      </c>
      <c r="BC388" s="25">
        <f t="shared" si="118"/>
        <v>46305</v>
      </c>
    </row>
    <row r="389" spans="1:55" x14ac:dyDescent="0.25">
      <c r="A389" s="151">
        <f t="shared" si="103"/>
        <v>387</v>
      </c>
      <c r="B389" s="151" t="s">
        <v>604</v>
      </c>
      <c r="C389" s="152" t="s">
        <v>528</v>
      </c>
      <c r="D389" s="151">
        <f t="shared" si="102"/>
        <v>1</v>
      </c>
      <c r="E389" s="151" t="s">
        <v>61</v>
      </c>
      <c r="F389" s="173">
        <v>46301</v>
      </c>
      <c r="G389" s="173"/>
      <c r="H389" s="173"/>
      <c r="I389" s="173">
        <v>46301</v>
      </c>
      <c r="J389" s="173">
        <v>46302</v>
      </c>
      <c r="K389" s="173"/>
      <c r="L389" s="173"/>
      <c r="M389" s="173"/>
      <c r="N389" s="173"/>
      <c r="O389" s="173"/>
      <c r="P389" s="173"/>
      <c r="Q389" s="173">
        <v>46303</v>
      </c>
      <c r="R389" s="173"/>
      <c r="S389" s="173"/>
      <c r="T389" s="174">
        <v>46303</v>
      </c>
      <c r="U389" s="151"/>
      <c r="V389" s="152"/>
      <c r="W389" s="175"/>
      <c r="X389" s="173"/>
      <c r="Y389" s="173"/>
      <c r="Z389" s="176" t="str">
        <f>IF(B389="","",IF(S389&lt;&gt;"","Sevk Edildi",IF(AND(X389&lt;&gt;"",Y389=""),"Reworkte",IF(T389&lt;&gt;"","Kapandı"&amp;IF(COUNT(G389:R389)=0,""," – "&amp;LOOKUP(2,1/(G389:R389=MAX(G389:R389)),{"Tasarım","Ply Cutter","Üretim","Kalite (Üretim sonrası)","Talaşlı","Kalite (Talaşlı sonrası)","Montaj","Kalite (Montaj sonrası)","Boya","Kalite (Boya sonrası)","Yarı Mamül","KM"})),IF(COUNT(G389:R389)=0,"Başlamadı",LOOKUP(2,1/(G389:R389=MAX(G389:R389)),{"Tasarımda","Ply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89" s="177">
        <f t="shared" ca="1" si="104"/>
        <v>2</v>
      </c>
      <c r="AB389" s="175"/>
      <c r="AD389" t="str">
        <f>IF(OR($B389="",NOT(ISNUMBER(G389))),"",IF(COUNTIF(H389:$T389,G389)&gt;0,0,IF(COUNTIF($G389:$T389,"&gt;"&amp;G389)=0,"",SMALL($G389:$T389,COUNTIF($G389:$T389,"&lt;="&amp;G389)+1)-G389)))</f>
        <v/>
      </c>
      <c r="AE389" t="str">
        <f>IF(OR($B389="",NOT(ISNUMBER(H389))),"",IF(COUNTIF(I389:$T389,H389)&gt;0,0,IF(COUNTIF($G389:$T389,"&gt;"&amp;H389)=0,"",SMALL($G389:$T389,COUNTIF($G389:$T389,"&lt;="&amp;H389)+1)-H389)))</f>
        <v/>
      </c>
      <c r="AF389">
        <f>IF(OR($B389="",NOT(ISNUMBER(I389))),"",IF(COUNTIF(J389:$T389,I389)&gt;0,0,IF(COUNTIF($G389:$T389,"&gt;"&amp;I389)=0,"",SMALL($G389:$T389,COUNTIF($G389:$T389,"&lt;="&amp;I389)+1)-I389)))</f>
        <v>1</v>
      </c>
      <c r="AG389">
        <f>IF(OR($B389="",NOT(ISNUMBER(J389))),"",IF(COUNTIF(K389:$T389,J389)&gt;0,0,IF(COUNTIF($G389:$T389,"&gt;"&amp;J389)=0,"",SMALL($G389:$T389,COUNTIF($G389:$T389,"&lt;="&amp;J389)+1)-J389)))</f>
        <v>1</v>
      </c>
      <c r="AH389" t="str">
        <f>IF(OR($B389="",NOT(ISNUMBER(K389))),"",IF(COUNTIF(L389:$T389,K389)&gt;0,0,IF(COUNTIF($G389:$T389,"&gt;"&amp;K389)=0,"",SMALL($G389:$T389,COUNTIF($G389:$T389,"&lt;="&amp;K389)+1)-K389)))</f>
        <v/>
      </c>
      <c r="AI389" t="str">
        <f>IF(OR($B389="",NOT(ISNUMBER(L389))),"",IF(COUNTIF(M389:$T389,L389)&gt;0,0,IF(COUNTIF($G389:$T389,"&gt;"&amp;L389)=0,"",SMALL($G389:$T389,COUNTIF($G389:$T389,"&lt;="&amp;L389)+1)-L389)))</f>
        <v/>
      </c>
      <c r="AJ389" t="str">
        <f>IF(OR($B389="",NOT(ISNUMBER(M389))),"",IF(COUNTIF(N389:$T389,M389)&gt;0,0,IF(COUNTIF($G389:$T389,"&gt;"&amp;M389)=0,"",SMALL($G389:$T389,COUNTIF($G389:$T389,"&lt;="&amp;M389)+1)-M389)))</f>
        <v/>
      </c>
      <c r="AK389" t="str">
        <f>IF(OR($B389="",NOT(ISNUMBER(N389))),"",IF(COUNTIF(O389:$T389,N389)&gt;0,0,IF(COUNTIF($G389:$T389,"&gt;"&amp;N389)=0,"",SMALL($G389:$T389,COUNTIF($G389:$T389,"&lt;="&amp;N389)+1)-N389)))</f>
        <v/>
      </c>
      <c r="AL389" t="str">
        <f>IF(OR($B389="",NOT(ISNUMBER(O389))),"",IF(COUNTIF(P389:$T389,O389)&gt;0,0,IF(COUNTIF($G389:$T389,"&gt;"&amp;O389)=0,"",SMALL($G389:$T389,COUNTIF($G389:$T389,"&lt;="&amp;O389)+1)-O389)))</f>
        <v/>
      </c>
      <c r="AM389" t="str">
        <f>IF(OR($B389="",NOT(ISNUMBER(P389))),"",IF(COUNTIF(Q389:$T389,P389)&gt;0,0,IF(COUNTIF($G389:$T389,"&gt;"&amp;P389)=0,"",SMALL($G389:$T389,COUNTIF($G389:$T389,"&lt;="&amp;P389)+1)-P389)))</f>
        <v/>
      </c>
      <c r="AN389">
        <f>IF(OR($B389="",NOT(ISNUMBER(Q389))),"",IF(COUNTIF(R389:$T389,Q389)&gt;0,0,IF(COUNTIF($G389:$T389,"&gt;"&amp;Q389)=0,"",SMALL($G389:$T389,COUNTIF($G389:$T389,"&lt;="&amp;Q389)+1)-Q389)))</f>
        <v>0</v>
      </c>
      <c r="AO389" t="str">
        <f>IF(OR($B389="",NOT(ISNUMBER(R389))),"",IF(COUNTIF(S389:$T389,R389)&gt;0,0,IF(COUNTIF($G389:$T389,"&gt;"&amp;R389)=0,"",SMALL($G389:$T389,COUNTIF($G389:$T389,"&lt;="&amp;R389)+1)-R389)))</f>
        <v/>
      </c>
      <c r="AP389">
        <f t="shared" ca="1" si="105"/>
        <v>0</v>
      </c>
      <c r="AQ389" s="25" t="str">
        <f t="shared" si="106"/>
        <v/>
      </c>
      <c r="AR389" s="25" t="str">
        <f t="shared" si="107"/>
        <v/>
      </c>
      <c r="AS389" s="25">
        <f t="shared" si="108"/>
        <v>46302</v>
      </c>
      <c r="AT389" s="25">
        <f t="shared" si="109"/>
        <v>46303</v>
      </c>
      <c r="AU389" s="25" t="str">
        <f t="shared" si="110"/>
        <v/>
      </c>
      <c r="AV389" s="25" t="str">
        <f t="shared" si="111"/>
        <v/>
      </c>
      <c r="AW389" s="25" t="str">
        <f t="shared" si="112"/>
        <v/>
      </c>
      <c r="AX389" s="25" t="str">
        <f t="shared" si="113"/>
        <v/>
      </c>
      <c r="AY389" s="25" t="str">
        <f t="shared" si="114"/>
        <v/>
      </c>
      <c r="AZ389" s="25" t="str">
        <f t="shared" si="115"/>
        <v/>
      </c>
      <c r="BA389" s="25">
        <f t="shared" si="116"/>
        <v>46303</v>
      </c>
      <c r="BB389" s="25" t="str">
        <f t="shared" si="117"/>
        <v/>
      </c>
      <c r="BC389" s="25">
        <f t="shared" si="118"/>
        <v>46303</v>
      </c>
    </row>
    <row r="390" spans="1:55" x14ac:dyDescent="0.25">
      <c r="A390" s="151">
        <f t="shared" si="103"/>
        <v>388</v>
      </c>
      <c r="B390" s="151" t="s">
        <v>605</v>
      </c>
      <c r="C390" s="152" t="s">
        <v>525</v>
      </c>
      <c r="D390" s="151">
        <f t="shared" si="102"/>
        <v>4</v>
      </c>
      <c r="E390" s="151" t="s">
        <v>61</v>
      </c>
      <c r="F390" s="173">
        <v>46301</v>
      </c>
      <c r="G390" s="173"/>
      <c r="H390" s="173"/>
      <c r="I390" s="173">
        <v>46301</v>
      </c>
      <c r="J390" s="173">
        <v>46302</v>
      </c>
      <c r="K390" s="173"/>
      <c r="L390" s="173"/>
      <c r="M390" s="173"/>
      <c r="N390" s="173"/>
      <c r="O390" s="173"/>
      <c r="P390" s="173"/>
      <c r="Q390" s="173"/>
      <c r="R390" s="173"/>
      <c r="S390" s="173"/>
      <c r="T390" s="174">
        <v>46302</v>
      </c>
      <c r="U390" s="151"/>
      <c r="V390" s="152"/>
      <c r="W390" s="175"/>
      <c r="X390" s="173"/>
      <c r="Y390" s="173"/>
      <c r="Z390" s="176" t="str">
        <f>IF(B390="","",IF(S390&lt;&gt;"","Sevk Edildi",IF(AND(X390&lt;&gt;"",Y390=""),"Reworkte",IF(T390&lt;&gt;"","Kapandı"&amp;IF(COUNT(G390:R390)=0,""," – "&amp;LOOKUP(2,1/(G390:R390=MAX(G390:R390)),{"Tasarım","Ply Cutter","Üretim","Kalite (Üretim sonrası)","Talaşlı","Kalite (Talaşlı sonrası)","Montaj","Kalite (Montaj sonrası)","Boya","Kalite (Boya sonrası)","Yarı Mamül","KM"})),IF(COUNT(G390:R390)=0,"Başlamadı",LOOKUP(2,1/(G390:R390=MAX(G390:R390)),{"Tasarımda","Ply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90" s="177">
        <f t="shared" ca="1" si="104"/>
        <v>1</v>
      </c>
      <c r="AB390" s="175"/>
      <c r="AD390" t="str">
        <f>IF(OR($B390="",NOT(ISNUMBER(G390))),"",IF(COUNTIF(H390:$T390,G390)&gt;0,0,IF(COUNTIF($G390:$T390,"&gt;"&amp;G390)=0,"",SMALL($G390:$T390,COUNTIF($G390:$T390,"&lt;="&amp;G390)+1)-G390)))</f>
        <v/>
      </c>
      <c r="AE390" t="str">
        <f>IF(OR($B390="",NOT(ISNUMBER(H390))),"",IF(COUNTIF(I390:$T390,H390)&gt;0,0,IF(COUNTIF($G390:$T390,"&gt;"&amp;H390)=0,"",SMALL($G390:$T390,COUNTIF($G390:$T390,"&lt;="&amp;H390)+1)-H390)))</f>
        <v/>
      </c>
      <c r="AF390">
        <f>IF(OR($B390="",NOT(ISNUMBER(I390))),"",IF(COUNTIF(J390:$T390,I390)&gt;0,0,IF(COUNTIF($G390:$T390,"&gt;"&amp;I390)=0,"",SMALL($G390:$T390,COUNTIF($G390:$T390,"&lt;="&amp;I390)+1)-I390)))</f>
        <v>1</v>
      </c>
      <c r="AG390">
        <f>IF(OR($B390="",NOT(ISNUMBER(J390))),"",IF(COUNTIF(K390:$T390,J390)&gt;0,0,IF(COUNTIF($G390:$T390,"&gt;"&amp;J390)=0,"",SMALL($G390:$T390,COUNTIF($G390:$T390,"&lt;="&amp;J390)+1)-J390)))</f>
        <v>0</v>
      </c>
      <c r="AH390" t="str">
        <f>IF(OR($B390="",NOT(ISNUMBER(K390))),"",IF(COUNTIF(L390:$T390,K390)&gt;0,0,IF(COUNTIF($G390:$T390,"&gt;"&amp;K390)=0,"",SMALL($G390:$T390,COUNTIF($G390:$T390,"&lt;="&amp;K390)+1)-K390)))</f>
        <v/>
      </c>
      <c r="AI390" t="str">
        <f>IF(OR($B390="",NOT(ISNUMBER(L390))),"",IF(COUNTIF(M390:$T390,L390)&gt;0,0,IF(COUNTIF($G390:$T390,"&gt;"&amp;L390)=0,"",SMALL($G390:$T390,COUNTIF($G390:$T390,"&lt;="&amp;L390)+1)-L390)))</f>
        <v/>
      </c>
      <c r="AJ390" t="str">
        <f>IF(OR($B390="",NOT(ISNUMBER(M390))),"",IF(COUNTIF(N390:$T390,M390)&gt;0,0,IF(COUNTIF($G390:$T390,"&gt;"&amp;M390)=0,"",SMALL($G390:$T390,COUNTIF($G390:$T390,"&lt;="&amp;M390)+1)-M390)))</f>
        <v/>
      </c>
      <c r="AK390" t="str">
        <f>IF(OR($B390="",NOT(ISNUMBER(N390))),"",IF(COUNTIF(O390:$T390,N390)&gt;0,0,IF(COUNTIF($G390:$T390,"&gt;"&amp;N390)=0,"",SMALL($G390:$T390,COUNTIF($G390:$T390,"&lt;="&amp;N390)+1)-N390)))</f>
        <v/>
      </c>
      <c r="AL390" t="str">
        <f>IF(OR($B390="",NOT(ISNUMBER(O390))),"",IF(COUNTIF(P390:$T390,O390)&gt;0,0,IF(COUNTIF($G390:$T390,"&gt;"&amp;O390)=0,"",SMALL($G390:$T390,COUNTIF($G390:$T390,"&lt;="&amp;O390)+1)-O390)))</f>
        <v/>
      </c>
      <c r="AM390" t="str">
        <f>IF(OR($B390="",NOT(ISNUMBER(P390))),"",IF(COUNTIF(Q390:$T390,P390)&gt;0,0,IF(COUNTIF($G390:$T390,"&gt;"&amp;P390)=0,"",SMALL($G390:$T390,COUNTIF($G390:$T390,"&lt;="&amp;P390)+1)-P390)))</f>
        <v/>
      </c>
      <c r="AN390" t="str">
        <f>IF(OR($B390="",NOT(ISNUMBER(Q390))),"",IF(COUNTIF(R390:$T390,Q390)&gt;0,0,IF(COUNTIF($G390:$T390,"&gt;"&amp;Q390)=0,"",SMALL($G390:$T390,COUNTIF($G390:$T390,"&lt;="&amp;Q390)+1)-Q390)))</f>
        <v/>
      </c>
      <c r="AO390" t="str">
        <f>IF(OR($B390="",NOT(ISNUMBER(R390))),"",IF(COUNTIF(S390:$T390,R390)&gt;0,0,IF(COUNTIF($G390:$T390,"&gt;"&amp;R390)=0,"",SMALL($G390:$T390,COUNTIF($G390:$T390,"&lt;="&amp;R390)+1)-R390)))</f>
        <v/>
      </c>
      <c r="AP390">
        <f t="shared" ca="1" si="105"/>
        <v>0</v>
      </c>
      <c r="AQ390" s="25" t="str">
        <f t="shared" si="106"/>
        <v/>
      </c>
      <c r="AR390" s="25" t="str">
        <f t="shared" si="107"/>
        <v/>
      </c>
      <c r="AS390" s="25">
        <f t="shared" si="108"/>
        <v>46302</v>
      </c>
      <c r="AT390" s="25">
        <f t="shared" si="109"/>
        <v>46302</v>
      </c>
      <c r="AU390" s="25" t="str">
        <f t="shared" si="110"/>
        <v/>
      </c>
      <c r="AV390" s="25" t="str">
        <f t="shared" si="111"/>
        <v/>
      </c>
      <c r="AW390" s="25" t="str">
        <f t="shared" si="112"/>
        <v/>
      </c>
      <c r="AX390" s="25" t="str">
        <f t="shared" si="113"/>
        <v/>
      </c>
      <c r="AY390" s="25" t="str">
        <f t="shared" si="114"/>
        <v/>
      </c>
      <c r="AZ390" s="25" t="str">
        <f t="shared" si="115"/>
        <v/>
      </c>
      <c r="BA390" s="25" t="str">
        <f t="shared" si="116"/>
        <v/>
      </c>
      <c r="BB390" s="25" t="str">
        <f t="shared" si="117"/>
        <v/>
      </c>
      <c r="BC390" s="25">
        <f t="shared" si="118"/>
        <v>46302</v>
      </c>
    </row>
    <row r="391" spans="1:55" x14ac:dyDescent="0.25">
      <c r="A391" s="151">
        <f t="shared" si="103"/>
        <v>389</v>
      </c>
      <c r="B391" s="151" t="s">
        <v>606</v>
      </c>
      <c r="C391" s="152" t="s">
        <v>64</v>
      </c>
      <c r="D391" s="151">
        <f t="shared" si="102"/>
        <v>1</v>
      </c>
      <c r="E391" s="151" t="s">
        <v>61</v>
      </c>
      <c r="F391" s="173">
        <v>46301</v>
      </c>
      <c r="G391" s="173"/>
      <c r="H391" s="173"/>
      <c r="I391" s="173">
        <v>46301</v>
      </c>
      <c r="J391" s="173">
        <v>46302</v>
      </c>
      <c r="K391" s="173"/>
      <c r="L391" s="173"/>
      <c r="M391" s="173"/>
      <c r="N391" s="173"/>
      <c r="O391" s="173"/>
      <c r="P391" s="173"/>
      <c r="Q391" s="173">
        <v>46303</v>
      </c>
      <c r="R391" s="173"/>
      <c r="S391" s="173"/>
      <c r="T391" s="174">
        <v>46303</v>
      </c>
      <c r="U391" s="151"/>
      <c r="V391" s="152"/>
      <c r="W391" s="175"/>
      <c r="X391" s="173"/>
      <c r="Y391" s="173"/>
      <c r="Z391" s="176" t="str">
        <f>IF(B391="","",IF(S391&lt;&gt;"","Sevk Edildi",IF(AND(X391&lt;&gt;"",Y391=""),"Reworkte",IF(T391&lt;&gt;"","Kapandı"&amp;IF(COUNT(G391:R391)=0,""," – "&amp;LOOKUP(2,1/(G391:R391=MAX(G391:R391)),{"Tasarım","Ply Cutter","Üretim","Kalite (Üretim sonrası)","Talaşlı","Kalite (Talaşlı sonrası)","Montaj","Kalite (Montaj sonrası)","Boya","Kalite (Boya sonrası)","Yarı Mamül","KM"})),IF(COUNT(G391:R391)=0,"Başlamadı",LOOKUP(2,1/(G391:R391=MAX(G391:R391)),{"Tasarımda","Ply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91" s="177">
        <f t="shared" ca="1" si="104"/>
        <v>2</v>
      </c>
      <c r="AB391" s="175"/>
      <c r="AD391" t="str">
        <f>IF(OR($B391="",NOT(ISNUMBER(G391))),"",IF(COUNTIF(H391:$T391,G391)&gt;0,0,IF(COUNTIF($G391:$T391,"&gt;"&amp;G391)=0,"",SMALL($G391:$T391,COUNTIF($G391:$T391,"&lt;="&amp;G391)+1)-G391)))</f>
        <v/>
      </c>
      <c r="AE391" t="str">
        <f>IF(OR($B391="",NOT(ISNUMBER(H391))),"",IF(COUNTIF(I391:$T391,H391)&gt;0,0,IF(COUNTIF($G391:$T391,"&gt;"&amp;H391)=0,"",SMALL($G391:$T391,COUNTIF($G391:$T391,"&lt;="&amp;H391)+1)-H391)))</f>
        <v/>
      </c>
      <c r="AF391">
        <f>IF(OR($B391="",NOT(ISNUMBER(I391))),"",IF(COUNTIF(J391:$T391,I391)&gt;0,0,IF(COUNTIF($G391:$T391,"&gt;"&amp;I391)=0,"",SMALL($G391:$T391,COUNTIF($G391:$T391,"&lt;="&amp;I391)+1)-I391)))</f>
        <v>1</v>
      </c>
      <c r="AG391">
        <f>IF(OR($B391="",NOT(ISNUMBER(J391))),"",IF(COUNTIF(K391:$T391,J391)&gt;0,0,IF(COUNTIF($G391:$T391,"&gt;"&amp;J391)=0,"",SMALL($G391:$T391,COUNTIF($G391:$T391,"&lt;="&amp;J391)+1)-J391)))</f>
        <v>1</v>
      </c>
      <c r="AH391" t="str">
        <f>IF(OR($B391="",NOT(ISNUMBER(K391))),"",IF(COUNTIF(L391:$T391,K391)&gt;0,0,IF(COUNTIF($G391:$T391,"&gt;"&amp;K391)=0,"",SMALL($G391:$T391,COUNTIF($G391:$T391,"&lt;="&amp;K391)+1)-K391)))</f>
        <v/>
      </c>
      <c r="AI391" t="str">
        <f>IF(OR($B391="",NOT(ISNUMBER(L391))),"",IF(COUNTIF(M391:$T391,L391)&gt;0,0,IF(COUNTIF($G391:$T391,"&gt;"&amp;L391)=0,"",SMALL($G391:$T391,COUNTIF($G391:$T391,"&lt;="&amp;L391)+1)-L391)))</f>
        <v/>
      </c>
      <c r="AJ391" t="str">
        <f>IF(OR($B391="",NOT(ISNUMBER(M391))),"",IF(COUNTIF(N391:$T391,M391)&gt;0,0,IF(COUNTIF($G391:$T391,"&gt;"&amp;M391)=0,"",SMALL($G391:$T391,COUNTIF($G391:$T391,"&lt;="&amp;M391)+1)-M391)))</f>
        <v/>
      </c>
      <c r="AK391" t="str">
        <f>IF(OR($B391="",NOT(ISNUMBER(N391))),"",IF(COUNTIF(O391:$T391,N391)&gt;0,0,IF(COUNTIF($G391:$T391,"&gt;"&amp;N391)=0,"",SMALL($G391:$T391,COUNTIF($G391:$T391,"&lt;="&amp;N391)+1)-N391)))</f>
        <v/>
      </c>
      <c r="AL391" t="str">
        <f>IF(OR($B391="",NOT(ISNUMBER(O391))),"",IF(COUNTIF(P391:$T391,O391)&gt;0,0,IF(COUNTIF($G391:$T391,"&gt;"&amp;O391)=0,"",SMALL($G391:$T391,COUNTIF($G391:$T391,"&lt;="&amp;O391)+1)-O391)))</f>
        <v/>
      </c>
      <c r="AM391" t="str">
        <f>IF(OR($B391="",NOT(ISNUMBER(P391))),"",IF(COUNTIF(Q391:$T391,P391)&gt;0,0,IF(COUNTIF($G391:$T391,"&gt;"&amp;P391)=0,"",SMALL($G391:$T391,COUNTIF($G391:$T391,"&lt;="&amp;P391)+1)-P391)))</f>
        <v/>
      </c>
      <c r="AN391">
        <f>IF(OR($B391="",NOT(ISNUMBER(Q391))),"",IF(COUNTIF(R391:$T391,Q391)&gt;0,0,IF(COUNTIF($G391:$T391,"&gt;"&amp;Q391)=0,"",SMALL($G391:$T391,COUNTIF($G391:$T391,"&lt;="&amp;Q391)+1)-Q391)))</f>
        <v>0</v>
      </c>
      <c r="AO391" t="str">
        <f>IF(OR($B391="",NOT(ISNUMBER(R391))),"",IF(COUNTIF(S391:$T391,R391)&gt;0,0,IF(COUNTIF($G391:$T391,"&gt;"&amp;R391)=0,"",SMALL($G391:$T391,COUNTIF($G391:$T391,"&lt;="&amp;R391)+1)-R391)))</f>
        <v/>
      </c>
      <c r="AP391">
        <f t="shared" ca="1" si="105"/>
        <v>0</v>
      </c>
      <c r="AQ391" s="25" t="str">
        <f t="shared" si="106"/>
        <v/>
      </c>
      <c r="AR391" s="25" t="str">
        <f t="shared" si="107"/>
        <v/>
      </c>
      <c r="AS391" s="25">
        <f t="shared" si="108"/>
        <v>46302</v>
      </c>
      <c r="AT391" s="25">
        <f t="shared" si="109"/>
        <v>46303</v>
      </c>
      <c r="AU391" s="25" t="str">
        <f t="shared" si="110"/>
        <v/>
      </c>
      <c r="AV391" s="25" t="str">
        <f t="shared" si="111"/>
        <v/>
      </c>
      <c r="AW391" s="25" t="str">
        <f t="shared" si="112"/>
        <v/>
      </c>
      <c r="AX391" s="25" t="str">
        <f t="shared" si="113"/>
        <v/>
      </c>
      <c r="AY391" s="25" t="str">
        <f t="shared" si="114"/>
        <v/>
      </c>
      <c r="AZ391" s="25" t="str">
        <f t="shared" si="115"/>
        <v/>
      </c>
      <c r="BA391" s="25">
        <f t="shared" si="116"/>
        <v>46303</v>
      </c>
      <c r="BB391" s="25" t="str">
        <f t="shared" si="117"/>
        <v/>
      </c>
      <c r="BC391" s="25">
        <f t="shared" si="118"/>
        <v>46303</v>
      </c>
    </row>
    <row r="392" spans="1:55" x14ac:dyDescent="0.25">
      <c r="A392" s="151">
        <f t="shared" si="103"/>
        <v>390</v>
      </c>
      <c r="B392" s="151" t="s">
        <v>607</v>
      </c>
      <c r="C392" s="152" t="s">
        <v>64</v>
      </c>
      <c r="D392" s="151">
        <f t="shared" si="102"/>
        <v>1</v>
      </c>
      <c r="E392" s="151" t="s">
        <v>61</v>
      </c>
      <c r="F392" s="173">
        <v>46301</v>
      </c>
      <c r="G392" s="173"/>
      <c r="H392" s="173"/>
      <c r="I392" s="173">
        <v>46301</v>
      </c>
      <c r="J392" s="173">
        <v>46302</v>
      </c>
      <c r="K392" s="173"/>
      <c r="L392" s="173"/>
      <c r="M392" s="173"/>
      <c r="N392" s="173"/>
      <c r="O392" s="173"/>
      <c r="P392" s="173"/>
      <c r="Q392" s="173">
        <v>46303</v>
      </c>
      <c r="R392" s="173"/>
      <c r="S392" s="173"/>
      <c r="T392" s="174">
        <v>46303</v>
      </c>
      <c r="U392" s="151"/>
      <c r="V392" s="152"/>
      <c r="W392" s="175"/>
      <c r="X392" s="173"/>
      <c r="Y392" s="173"/>
      <c r="Z392" s="176" t="str">
        <f>IF(B392="","",IF(S392&lt;&gt;"","Sevk Edildi",IF(AND(X392&lt;&gt;"",Y392=""),"Reworkte",IF(T392&lt;&gt;"","Kapandı"&amp;IF(COUNT(G392:R392)=0,""," – "&amp;LOOKUP(2,1/(G392:R392=MAX(G392:R392)),{"Tasarım","Ply Cutter","Üretim","Kalite (Üretim sonrası)","Talaşlı","Kalite (Talaşlı sonrası)","Montaj","Kalite (Montaj sonrası)","Boya","Kalite (Boya sonrası)","Yarı Mamül","KM"})),IF(COUNT(G392:R392)=0,"Başlamadı",LOOKUP(2,1/(G392:R392=MAX(G392:R392)),{"Tasarımda","Ply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92" s="177">
        <f t="shared" ca="1" si="104"/>
        <v>2</v>
      </c>
      <c r="AB392" s="175"/>
      <c r="AD392" t="str">
        <f>IF(OR($B392="",NOT(ISNUMBER(G392))),"",IF(COUNTIF(H392:$T392,G392)&gt;0,0,IF(COUNTIF($G392:$T392,"&gt;"&amp;G392)=0,"",SMALL($G392:$T392,COUNTIF($G392:$T392,"&lt;="&amp;G392)+1)-G392)))</f>
        <v/>
      </c>
      <c r="AE392" t="str">
        <f>IF(OR($B392="",NOT(ISNUMBER(H392))),"",IF(COUNTIF(I392:$T392,H392)&gt;0,0,IF(COUNTIF($G392:$T392,"&gt;"&amp;H392)=0,"",SMALL($G392:$T392,COUNTIF($G392:$T392,"&lt;="&amp;H392)+1)-H392)))</f>
        <v/>
      </c>
      <c r="AF392">
        <f>IF(OR($B392="",NOT(ISNUMBER(I392))),"",IF(COUNTIF(J392:$T392,I392)&gt;0,0,IF(COUNTIF($G392:$T392,"&gt;"&amp;I392)=0,"",SMALL($G392:$T392,COUNTIF($G392:$T392,"&lt;="&amp;I392)+1)-I392)))</f>
        <v>1</v>
      </c>
      <c r="AG392">
        <f>IF(OR($B392="",NOT(ISNUMBER(J392))),"",IF(COUNTIF(K392:$T392,J392)&gt;0,0,IF(COUNTIF($G392:$T392,"&gt;"&amp;J392)=0,"",SMALL($G392:$T392,COUNTIF($G392:$T392,"&lt;="&amp;J392)+1)-J392)))</f>
        <v>1</v>
      </c>
      <c r="AH392" t="str">
        <f>IF(OR($B392="",NOT(ISNUMBER(K392))),"",IF(COUNTIF(L392:$T392,K392)&gt;0,0,IF(COUNTIF($G392:$T392,"&gt;"&amp;K392)=0,"",SMALL($G392:$T392,COUNTIF($G392:$T392,"&lt;="&amp;K392)+1)-K392)))</f>
        <v/>
      </c>
      <c r="AI392" t="str">
        <f>IF(OR($B392="",NOT(ISNUMBER(L392))),"",IF(COUNTIF(M392:$T392,L392)&gt;0,0,IF(COUNTIF($G392:$T392,"&gt;"&amp;L392)=0,"",SMALL($G392:$T392,COUNTIF($G392:$T392,"&lt;="&amp;L392)+1)-L392)))</f>
        <v/>
      </c>
      <c r="AJ392" t="str">
        <f>IF(OR($B392="",NOT(ISNUMBER(M392))),"",IF(COUNTIF(N392:$T392,M392)&gt;0,0,IF(COUNTIF($G392:$T392,"&gt;"&amp;M392)=0,"",SMALL($G392:$T392,COUNTIF($G392:$T392,"&lt;="&amp;M392)+1)-M392)))</f>
        <v/>
      </c>
      <c r="AK392" t="str">
        <f>IF(OR($B392="",NOT(ISNUMBER(N392))),"",IF(COUNTIF(O392:$T392,N392)&gt;0,0,IF(COUNTIF($G392:$T392,"&gt;"&amp;N392)=0,"",SMALL($G392:$T392,COUNTIF($G392:$T392,"&lt;="&amp;N392)+1)-N392)))</f>
        <v/>
      </c>
      <c r="AL392" t="str">
        <f>IF(OR($B392="",NOT(ISNUMBER(O392))),"",IF(COUNTIF(P392:$T392,O392)&gt;0,0,IF(COUNTIF($G392:$T392,"&gt;"&amp;O392)=0,"",SMALL($G392:$T392,COUNTIF($G392:$T392,"&lt;="&amp;O392)+1)-O392)))</f>
        <v/>
      </c>
      <c r="AM392" t="str">
        <f>IF(OR($B392="",NOT(ISNUMBER(P392))),"",IF(COUNTIF(Q392:$T392,P392)&gt;0,0,IF(COUNTIF($G392:$T392,"&gt;"&amp;P392)=0,"",SMALL($G392:$T392,COUNTIF($G392:$T392,"&lt;="&amp;P392)+1)-P392)))</f>
        <v/>
      </c>
      <c r="AN392">
        <f>IF(OR($B392="",NOT(ISNUMBER(Q392))),"",IF(COUNTIF(R392:$T392,Q392)&gt;0,0,IF(COUNTIF($G392:$T392,"&gt;"&amp;Q392)=0,"",SMALL($G392:$T392,COUNTIF($G392:$T392,"&lt;="&amp;Q392)+1)-Q392)))</f>
        <v>0</v>
      </c>
      <c r="AO392" t="str">
        <f>IF(OR($B392="",NOT(ISNUMBER(R392))),"",IF(COUNTIF(S392:$T392,R392)&gt;0,0,IF(COUNTIF($G392:$T392,"&gt;"&amp;R392)=0,"",SMALL($G392:$T392,COUNTIF($G392:$T392,"&lt;="&amp;R392)+1)-R392)))</f>
        <v/>
      </c>
      <c r="AP392">
        <f t="shared" ca="1" si="105"/>
        <v>0</v>
      </c>
      <c r="AQ392" s="25" t="str">
        <f t="shared" si="106"/>
        <v/>
      </c>
      <c r="AR392" s="25" t="str">
        <f t="shared" si="107"/>
        <v/>
      </c>
      <c r="AS392" s="25">
        <f t="shared" si="108"/>
        <v>46302</v>
      </c>
      <c r="AT392" s="25">
        <f t="shared" si="109"/>
        <v>46303</v>
      </c>
      <c r="AU392" s="25" t="str">
        <f t="shared" si="110"/>
        <v/>
      </c>
      <c r="AV392" s="25" t="str">
        <f t="shared" si="111"/>
        <v/>
      </c>
      <c r="AW392" s="25" t="str">
        <f t="shared" si="112"/>
        <v/>
      </c>
      <c r="AX392" s="25" t="str">
        <f t="shared" si="113"/>
        <v/>
      </c>
      <c r="AY392" s="25" t="str">
        <f t="shared" si="114"/>
        <v/>
      </c>
      <c r="AZ392" s="25" t="str">
        <f t="shared" si="115"/>
        <v/>
      </c>
      <c r="BA392" s="25">
        <f t="shared" si="116"/>
        <v>46303</v>
      </c>
      <c r="BB392" s="25" t="str">
        <f t="shared" si="117"/>
        <v/>
      </c>
      <c r="BC392" s="25">
        <f t="shared" si="118"/>
        <v>46303</v>
      </c>
    </row>
    <row r="393" spans="1:55" x14ac:dyDescent="0.25">
      <c r="A393" s="151">
        <f t="shared" si="103"/>
        <v>391</v>
      </c>
      <c r="B393" s="151" t="s">
        <v>608</v>
      </c>
      <c r="C393" s="152" t="s">
        <v>82</v>
      </c>
      <c r="D393" s="151">
        <f t="shared" si="102"/>
        <v>1</v>
      </c>
      <c r="E393" s="151" t="s">
        <v>61</v>
      </c>
      <c r="F393" s="173">
        <v>46301</v>
      </c>
      <c r="G393" s="173"/>
      <c r="H393" s="173"/>
      <c r="I393" s="173">
        <v>46301</v>
      </c>
      <c r="J393" s="173">
        <v>46303</v>
      </c>
      <c r="K393" s="173"/>
      <c r="L393" s="173"/>
      <c r="M393" s="173"/>
      <c r="N393" s="173"/>
      <c r="O393" s="173"/>
      <c r="P393" s="173"/>
      <c r="Q393" s="173">
        <v>46305</v>
      </c>
      <c r="R393" s="173"/>
      <c r="S393" s="173"/>
      <c r="T393" s="174">
        <v>46305</v>
      </c>
      <c r="U393" s="151"/>
      <c r="V393" s="152"/>
      <c r="W393" s="175"/>
      <c r="X393" s="173"/>
      <c r="Y393" s="173"/>
      <c r="Z393" s="176" t="str">
        <f>IF(B393="","",IF(S393&lt;&gt;"","Sevk Edildi",IF(AND(X393&lt;&gt;"",Y393=""),"Reworkte",IF(T393&lt;&gt;"","Kapandı"&amp;IF(COUNT(G393:R393)=0,""," – "&amp;LOOKUP(2,1/(G393:R393=MAX(G393:R393)),{"Tasarım","Ply Cutter","Üretim","Kalite (Üretim sonrası)","Talaşlı","Kalite (Talaşlı sonrası)","Montaj","Kalite (Montaj sonrası)","Boya","Kalite (Boya sonrası)","Yarı Mamül","KM"})),IF(COUNT(G393:R393)=0,"Başlamadı",LOOKUP(2,1/(G393:R393=MAX(G393:R393)),{"Tasarımda","Ply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93" s="177">
        <f t="shared" ca="1" si="104"/>
        <v>4</v>
      </c>
      <c r="AB393" s="175"/>
      <c r="AD393" t="str">
        <f>IF(OR($B393="",NOT(ISNUMBER(G393))),"",IF(COUNTIF(H393:$T393,G393)&gt;0,0,IF(COUNTIF($G393:$T393,"&gt;"&amp;G393)=0,"",SMALL($G393:$T393,COUNTIF($G393:$T393,"&lt;="&amp;G393)+1)-G393)))</f>
        <v/>
      </c>
      <c r="AE393" t="str">
        <f>IF(OR($B393="",NOT(ISNUMBER(H393))),"",IF(COUNTIF(I393:$T393,H393)&gt;0,0,IF(COUNTIF($G393:$T393,"&gt;"&amp;H393)=0,"",SMALL($G393:$T393,COUNTIF($G393:$T393,"&lt;="&amp;H393)+1)-H393)))</f>
        <v/>
      </c>
      <c r="AF393">
        <f>IF(OR($B393="",NOT(ISNUMBER(I393))),"",IF(COUNTIF(J393:$T393,I393)&gt;0,0,IF(COUNTIF($G393:$T393,"&gt;"&amp;I393)=0,"",SMALL($G393:$T393,COUNTIF($G393:$T393,"&lt;="&amp;I393)+1)-I393)))</f>
        <v>2</v>
      </c>
      <c r="AG393">
        <f>IF(OR($B393="",NOT(ISNUMBER(J393))),"",IF(COUNTIF(K393:$T393,J393)&gt;0,0,IF(COUNTIF($G393:$T393,"&gt;"&amp;J393)=0,"",SMALL($G393:$T393,COUNTIF($G393:$T393,"&lt;="&amp;J393)+1)-J393)))</f>
        <v>2</v>
      </c>
      <c r="AH393" t="str">
        <f>IF(OR($B393="",NOT(ISNUMBER(K393))),"",IF(COUNTIF(L393:$T393,K393)&gt;0,0,IF(COUNTIF($G393:$T393,"&gt;"&amp;K393)=0,"",SMALL($G393:$T393,COUNTIF($G393:$T393,"&lt;="&amp;K393)+1)-K393)))</f>
        <v/>
      </c>
      <c r="AI393" t="str">
        <f>IF(OR($B393="",NOT(ISNUMBER(L393))),"",IF(COUNTIF(M393:$T393,L393)&gt;0,0,IF(COUNTIF($G393:$T393,"&gt;"&amp;L393)=0,"",SMALL($G393:$T393,COUNTIF($G393:$T393,"&lt;="&amp;L393)+1)-L393)))</f>
        <v/>
      </c>
      <c r="AJ393" t="str">
        <f>IF(OR($B393="",NOT(ISNUMBER(M393))),"",IF(COUNTIF(N393:$T393,M393)&gt;0,0,IF(COUNTIF($G393:$T393,"&gt;"&amp;M393)=0,"",SMALL($G393:$T393,COUNTIF($G393:$T393,"&lt;="&amp;M393)+1)-M393)))</f>
        <v/>
      </c>
      <c r="AK393" t="str">
        <f>IF(OR($B393="",NOT(ISNUMBER(N393))),"",IF(COUNTIF(O393:$T393,N393)&gt;0,0,IF(COUNTIF($G393:$T393,"&gt;"&amp;N393)=0,"",SMALL($G393:$T393,COUNTIF($G393:$T393,"&lt;="&amp;N393)+1)-N393)))</f>
        <v/>
      </c>
      <c r="AL393" t="str">
        <f>IF(OR($B393="",NOT(ISNUMBER(O393))),"",IF(COUNTIF(P393:$T393,O393)&gt;0,0,IF(COUNTIF($G393:$T393,"&gt;"&amp;O393)=0,"",SMALL($G393:$T393,COUNTIF($G393:$T393,"&lt;="&amp;O393)+1)-O393)))</f>
        <v/>
      </c>
      <c r="AM393" t="str">
        <f>IF(OR($B393="",NOT(ISNUMBER(P393))),"",IF(COUNTIF(Q393:$T393,P393)&gt;0,0,IF(COUNTIF($G393:$T393,"&gt;"&amp;P393)=0,"",SMALL($G393:$T393,COUNTIF($G393:$T393,"&lt;="&amp;P393)+1)-P393)))</f>
        <v/>
      </c>
      <c r="AN393">
        <f>IF(OR($B393="",NOT(ISNUMBER(Q393))),"",IF(COUNTIF(R393:$T393,Q393)&gt;0,0,IF(COUNTIF($G393:$T393,"&gt;"&amp;Q393)=0,"",SMALL($G393:$T393,COUNTIF($G393:$T393,"&lt;="&amp;Q393)+1)-Q393)))</f>
        <v>0</v>
      </c>
      <c r="AO393" t="str">
        <f>IF(OR($B393="",NOT(ISNUMBER(R393))),"",IF(COUNTIF(S393:$T393,R393)&gt;0,0,IF(COUNTIF($G393:$T393,"&gt;"&amp;R393)=0,"",SMALL($G393:$T393,COUNTIF($G393:$T393,"&lt;="&amp;R393)+1)-R393)))</f>
        <v/>
      </c>
      <c r="AP393">
        <f t="shared" ca="1" si="105"/>
        <v>0</v>
      </c>
      <c r="AQ393" s="25" t="str">
        <f t="shared" si="106"/>
        <v/>
      </c>
      <c r="AR393" s="25" t="str">
        <f t="shared" si="107"/>
        <v/>
      </c>
      <c r="AS393" s="25">
        <f t="shared" si="108"/>
        <v>46303</v>
      </c>
      <c r="AT393" s="25">
        <f t="shared" si="109"/>
        <v>46305</v>
      </c>
      <c r="AU393" s="25" t="str">
        <f t="shared" si="110"/>
        <v/>
      </c>
      <c r="AV393" s="25" t="str">
        <f t="shared" si="111"/>
        <v/>
      </c>
      <c r="AW393" s="25" t="str">
        <f t="shared" si="112"/>
        <v/>
      </c>
      <c r="AX393" s="25" t="str">
        <f t="shared" si="113"/>
        <v/>
      </c>
      <c r="AY393" s="25" t="str">
        <f t="shared" si="114"/>
        <v/>
      </c>
      <c r="AZ393" s="25" t="str">
        <f t="shared" si="115"/>
        <v/>
      </c>
      <c r="BA393" s="25">
        <f t="shared" si="116"/>
        <v>46305</v>
      </c>
      <c r="BB393" s="25" t="str">
        <f t="shared" si="117"/>
        <v/>
      </c>
      <c r="BC393" s="25">
        <f t="shared" si="118"/>
        <v>46305</v>
      </c>
    </row>
    <row r="394" spans="1:55" x14ac:dyDescent="0.25">
      <c r="A394" s="151">
        <f t="shared" si="103"/>
        <v>392</v>
      </c>
      <c r="B394" s="151" t="s">
        <v>609</v>
      </c>
      <c r="C394" s="152" t="s">
        <v>74</v>
      </c>
      <c r="D394" s="151">
        <f t="shared" si="102"/>
        <v>1</v>
      </c>
      <c r="E394" s="151" t="s">
        <v>61</v>
      </c>
      <c r="F394" s="173">
        <v>46301</v>
      </c>
      <c r="G394" s="173"/>
      <c r="H394" s="173"/>
      <c r="I394" s="173">
        <v>46301</v>
      </c>
      <c r="J394" s="173">
        <v>46302</v>
      </c>
      <c r="K394" s="173"/>
      <c r="L394" s="173"/>
      <c r="M394" s="173"/>
      <c r="N394" s="173"/>
      <c r="O394" s="173"/>
      <c r="P394" s="173"/>
      <c r="Q394" s="173"/>
      <c r="R394" s="173"/>
      <c r="S394" s="173"/>
      <c r="T394" s="174">
        <v>46305</v>
      </c>
      <c r="U394" s="151"/>
      <c r="V394" s="152"/>
      <c r="W394" s="175"/>
      <c r="X394" s="173"/>
      <c r="Y394" s="173"/>
      <c r="Z394" s="176" t="str">
        <f>IF(B394="","",IF(S394&lt;&gt;"","Sevk Edildi",IF(AND(X394&lt;&gt;"",Y394=""),"Reworkte",IF(T394&lt;&gt;"","Kapandı"&amp;IF(COUNT(G394:R394)=0,""," – "&amp;LOOKUP(2,1/(G394:R394=MAX(G394:R394)),{"Tasarım","Ply Cutter","Üretim","Kalite (Üretim sonrası)","Talaşlı","Kalite (Talaşlı sonrası)","Montaj","Kalite (Montaj sonrası)","Boya","Kalite (Boya sonrası)","Yarı Mamül","KM"})),IF(COUNT(G394:R394)=0,"Başlamadı",LOOKUP(2,1/(G394:R394=MAX(G394:R394)),{"Tasarımda","Ply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94" s="177">
        <f t="shared" ca="1" si="104"/>
        <v>4</v>
      </c>
      <c r="AB394" s="175"/>
      <c r="AD394" t="str">
        <f>IF(OR($B394="",NOT(ISNUMBER(G394))),"",IF(COUNTIF(H394:$T394,G394)&gt;0,0,IF(COUNTIF($G394:$T394,"&gt;"&amp;G394)=0,"",SMALL($G394:$T394,COUNTIF($G394:$T394,"&lt;="&amp;G394)+1)-G394)))</f>
        <v/>
      </c>
      <c r="AE394" t="str">
        <f>IF(OR($B394="",NOT(ISNUMBER(H394))),"",IF(COUNTIF(I394:$T394,H394)&gt;0,0,IF(COUNTIF($G394:$T394,"&gt;"&amp;H394)=0,"",SMALL($G394:$T394,COUNTIF($G394:$T394,"&lt;="&amp;H394)+1)-H394)))</f>
        <v/>
      </c>
      <c r="AF394">
        <f>IF(OR($B394="",NOT(ISNUMBER(I394))),"",IF(COUNTIF(J394:$T394,I394)&gt;0,0,IF(COUNTIF($G394:$T394,"&gt;"&amp;I394)=0,"",SMALL($G394:$T394,COUNTIF($G394:$T394,"&lt;="&amp;I394)+1)-I394)))</f>
        <v>1</v>
      </c>
      <c r="AG394">
        <f>IF(OR($B394="",NOT(ISNUMBER(J394))),"",IF(COUNTIF(K394:$T394,J394)&gt;0,0,IF(COUNTIF($G394:$T394,"&gt;"&amp;J394)=0,"",SMALL($G394:$T394,COUNTIF($G394:$T394,"&lt;="&amp;J394)+1)-J394)))</f>
        <v>3</v>
      </c>
      <c r="AH394" t="str">
        <f>IF(OR($B394="",NOT(ISNUMBER(K394))),"",IF(COUNTIF(L394:$T394,K394)&gt;0,0,IF(COUNTIF($G394:$T394,"&gt;"&amp;K394)=0,"",SMALL($G394:$T394,COUNTIF($G394:$T394,"&lt;="&amp;K394)+1)-K394)))</f>
        <v/>
      </c>
      <c r="AI394" t="str">
        <f>IF(OR($B394="",NOT(ISNUMBER(L394))),"",IF(COUNTIF(M394:$T394,L394)&gt;0,0,IF(COUNTIF($G394:$T394,"&gt;"&amp;L394)=0,"",SMALL($G394:$T394,COUNTIF($G394:$T394,"&lt;="&amp;L394)+1)-L394)))</f>
        <v/>
      </c>
      <c r="AJ394" t="str">
        <f>IF(OR($B394="",NOT(ISNUMBER(M394))),"",IF(COUNTIF(N394:$T394,M394)&gt;0,0,IF(COUNTIF($G394:$T394,"&gt;"&amp;M394)=0,"",SMALL($G394:$T394,COUNTIF($G394:$T394,"&lt;="&amp;M394)+1)-M394)))</f>
        <v/>
      </c>
      <c r="AK394" t="str">
        <f>IF(OR($B394="",NOT(ISNUMBER(N394))),"",IF(COUNTIF(O394:$T394,N394)&gt;0,0,IF(COUNTIF($G394:$T394,"&gt;"&amp;N394)=0,"",SMALL($G394:$T394,COUNTIF($G394:$T394,"&lt;="&amp;N394)+1)-N394)))</f>
        <v/>
      </c>
      <c r="AL394" t="str">
        <f>IF(OR($B394="",NOT(ISNUMBER(O394))),"",IF(COUNTIF(P394:$T394,O394)&gt;0,0,IF(COUNTIF($G394:$T394,"&gt;"&amp;O394)=0,"",SMALL($G394:$T394,COUNTIF($G394:$T394,"&lt;="&amp;O394)+1)-O394)))</f>
        <v/>
      </c>
      <c r="AM394" t="str">
        <f>IF(OR($B394="",NOT(ISNUMBER(P394))),"",IF(COUNTIF(Q394:$T394,P394)&gt;0,0,IF(COUNTIF($G394:$T394,"&gt;"&amp;P394)=0,"",SMALL($G394:$T394,COUNTIF($G394:$T394,"&lt;="&amp;P394)+1)-P394)))</f>
        <v/>
      </c>
      <c r="AN394" t="str">
        <f>IF(OR($B394="",NOT(ISNUMBER(Q394))),"",IF(COUNTIF(R394:$T394,Q394)&gt;0,0,IF(COUNTIF($G394:$T394,"&gt;"&amp;Q394)=0,"",SMALL($G394:$T394,COUNTIF($G394:$T394,"&lt;="&amp;Q394)+1)-Q394)))</f>
        <v/>
      </c>
      <c r="AO394" t="str">
        <f>IF(OR($B394="",NOT(ISNUMBER(R394))),"",IF(COUNTIF(S394:$T394,R394)&gt;0,0,IF(COUNTIF($G394:$T394,"&gt;"&amp;R394)=0,"",SMALL($G394:$T394,COUNTIF($G394:$T394,"&lt;="&amp;R394)+1)-R394)))</f>
        <v/>
      </c>
      <c r="AP394">
        <f t="shared" ca="1" si="105"/>
        <v>0</v>
      </c>
      <c r="AQ394" s="25" t="str">
        <f t="shared" si="106"/>
        <v/>
      </c>
      <c r="AR394" s="25" t="str">
        <f t="shared" si="107"/>
        <v/>
      </c>
      <c r="AS394" s="25">
        <f t="shared" si="108"/>
        <v>46302</v>
      </c>
      <c r="AT394" s="25">
        <f t="shared" si="109"/>
        <v>46305</v>
      </c>
      <c r="AU394" s="25" t="str">
        <f t="shared" si="110"/>
        <v/>
      </c>
      <c r="AV394" s="25" t="str">
        <f t="shared" si="111"/>
        <v/>
      </c>
      <c r="AW394" s="25" t="str">
        <f t="shared" si="112"/>
        <v/>
      </c>
      <c r="AX394" s="25" t="str">
        <f t="shared" si="113"/>
        <v/>
      </c>
      <c r="AY394" s="25" t="str">
        <f t="shared" si="114"/>
        <v/>
      </c>
      <c r="AZ394" s="25" t="str">
        <f t="shared" si="115"/>
        <v/>
      </c>
      <c r="BA394" s="25" t="str">
        <f t="shared" si="116"/>
        <v/>
      </c>
      <c r="BB394" s="25" t="str">
        <f t="shared" si="117"/>
        <v/>
      </c>
      <c r="BC394" s="25">
        <f t="shared" si="118"/>
        <v>46305</v>
      </c>
    </row>
    <row r="395" spans="1:55" x14ac:dyDescent="0.25">
      <c r="A395" s="151">
        <f t="shared" si="103"/>
        <v>393</v>
      </c>
      <c r="B395" s="151" t="s">
        <v>610</v>
      </c>
      <c r="C395" s="152" t="s">
        <v>497</v>
      </c>
      <c r="D395" s="151">
        <f t="shared" si="102"/>
        <v>4</v>
      </c>
      <c r="E395" s="151" t="s">
        <v>61</v>
      </c>
      <c r="F395" s="173">
        <v>46301</v>
      </c>
      <c r="G395" s="173"/>
      <c r="H395" s="173"/>
      <c r="I395" s="173">
        <v>46301</v>
      </c>
      <c r="J395" s="173">
        <v>46302</v>
      </c>
      <c r="K395" s="173"/>
      <c r="L395" s="173"/>
      <c r="M395" s="173"/>
      <c r="N395" s="173"/>
      <c r="O395" s="173"/>
      <c r="P395" s="173"/>
      <c r="Q395" s="173"/>
      <c r="R395" s="173"/>
      <c r="S395" s="173"/>
      <c r="T395" s="174">
        <v>46304</v>
      </c>
      <c r="U395" s="151"/>
      <c r="V395" s="152"/>
      <c r="W395" s="175"/>
      <c r="X395" s="173"/>
      <c r="Y395" s="173"/>
      <c r="Z395" s="176" t="str">
        <f>IF(B395="","",IF(S395&lt;&gt;"","Sevk Edildi",IF(AND(X395&lt;&gt;"",Y395=""),"Reworkte",IF(T395&lt;&gt;"","Kapandı"&amp;IF(COUNT(G395:R395)=0,""," – "&amp;LOOKUP(2,1/(G395:R395=MAX(G395:R395)),{"Tasarım","Ply Cutter","Üretim","Kalite (Üretim sonrası)","Talaşlı","Kalite (Talaşlı sonrası)","Montaj","Kalite (Montaj sonrası)","Boya","Kalite (Boya sonrası)","Yarı Mamül","KM"})),IF(COUNT(G395:R395)=0,"Başlamadı",LOOKUP(2,1/(G395:R395=MAX(G395:R395)),{"Tasarımda","Ply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95" s="177">
        <f t="shared" ca="1" si="104"/>
        <v>3</v>
      </c>
      <c r="AB395" s="175"/>
      <c r="AD395" t="str">
        <f>IF(OR($B395="",NOT(ISNUMBER(G395))),"",IF(COUNTIF(H395:$T395,G395)&gt;0,0,IF(COUNTIF($G395:$T395,"&gt;"&amp;G395)=0,"",SMALL($G395:$T395,COUNTIF($G395:$T395,"&lt;="&amp;G395)+1)-G395)))</f>
        <v/>
      </c>
      <c r="AE395" t="str">
        <f>IF(OR($B395="",NOT(ISNUMBER(H395))),"",IF(COUNTIF(I395:$T395,H395)&gt;0,0,IF(COUNTIF($G395:$T395,"&gt;"&amp;H395)=0,"",SMALL($G395:$T395,COUNTIF($G395:$T395,"&lt;="&amp;H395)+1)-H395)))</f>
        <v/>
      </c>
      <c r="AF395">
        <f>IF(OR($B395="",NOT(ISNUMBER(I395))),"",IF(COUNTIF(J395:$T395,I395)&gt;0,0,IF(COUNTIF($G395:$T395,"&gt;"&amp;I395)=0,"",SMALL($G395:$T395,COUNTIF($G395:$T395,"&lt;="&amp;I395)+1)-I395)))</f>
        <v>1</v>
      </c>
      <c r="AG395">
        <f>IF(OR($B395="",NOT(ISNUMBER(J395))),"",IF(COUNTIF(K395:$T395,J395)&gt;0,0,IF(COUNTIF($G395:$T395,"&gt;"&amp;J395)=0,"",SMALL($G395:$T395,COUNTIF($G395:$T395,"&lt;="&amp;J395)+1)-J395)))</f>
        <v>2</v>
      </c>
      <c r="AH395" t="str">
        <f>IF(OR($B395="",NOT(ISNUMBER(K395))),"",IF(COUNTIF(L395:$T395,K395)&gt;0,0,IF(COUNTIF($G395:$T395,"&gt;"&amp;K395)=0,"",SMALL($G395:$T395,COUNTIF($G395:$T395,"&lt;="&amp;K395)+1)-K395)))</f>
        <v/>
      </c>
      <c r="AI395" t="str">
        <f>IF(OR($B395="",NOT(ISNUMBER(L395))),"",IF(COUNTIF(M395:$T395,L395)&gt;0,0,IF(COUNTIF($G395:$T395,"&gt;"&amp;L395)=0,"",SMALL($G395:$T395,COUNTIF($G395:$T395,"&lt;="&amp;L395)+1)-L395)))</f>
        <v/>
      </c>
      <c r="AJ395" t="str">
        <f>IF(OR($B395="",NOT(ISNUMBER(M395))),"",IF(COUNTIF(N395:$T395,M395)&gt;0,0,IF(COUNTIF($G395:$T395,"&gt;"&amp;M395)=0,"",SMALL($G395:$T395,COUNTIF($G395:$T395,"&lt;="&amp;M395)+1)-M395)))</f>
        <v/>
      </c>
      <c r="AK395" t="str">
        <f>IF(OR($B395="",NOT(ISNUMBER(N395))),"",IF(COUNTIF(O395:$T395,N395)&gt;0,0,IF(COUNTIF($G395:$T395,"&gt;"&amp;N395)=0,"",SMALL($G395:$T395,COUNTIF($G395:$T395,"&lt;="&amp;N395)+1)-N395)))</f>
        <v/>
      </c>
      <c r="AL395" t="str">
        <f>IF(OR($B395="",NOT(ISNUMBER(O395))),"",IF(COUNTIF(P395:$T395,O395)&gt;0,0,IF(COUNTIF($G395:$T395,"&gt;"&amp;O395)=0,"",SMALL($G395:$T395,COUNTIF($G395:$T395,"&lt;="&amp;O395)+1)-O395)))</f>
        <v/>
      </c>
      <c r="AM395" t="str">
        <f>IF(OR($B395="",NOT(ISNUMBER(P395))),"",IF(COUNTIF(Q395:$T395,P395)&gt;0,0,IF(COUNTIF($G395:$T395,"&gt;"&amp;P395)=0,"",SMALL($G395:$T395,COUNTIF($G395:$T395,"&lt;="&amp;P395)+1)-P395)))</f>
        <v/>
      </c>
      <c r="AN395" t="str">
        <f>IF(OR($B395="",NOT(ISNUMBER(Q395))),"",IF(COUNTIF(R395:$T395,Q395)&gt;0,0,IF(COUNTIF($G395:$T395,"&gt;"&amp;Q395)=0,"",SMALL($G395:$T395,COUNTIF($G395:$T395,"&lt;="&amp;Q395)+1)-Q395)))</f>
        <v/>
      </c>
      <c r="AO395" t="str">
        <f>IF(OR($B395="",NOT(ISNUMBER(R395))),"",IF(COUNTIF(S395:$T395,R395)&gt;0,0,IF(COUNTIF($G395:$T395,"&gt;"&amp;R395)=0,"",SMALL($G395:$T395,COUNTIF($G395:$T395,"&lt;="&amp;R395)+1)-R395)))</f>
        <v/>
      </c>
      <c r="AP395">
        <f t="shared" ca="1" si="105"/>
        <v>0</v>
      </c>
      <c r="AQ395" s="25" t="str">
        <f t="shared" si="106"/>
        <v/>
      </c>
      <c r="AR395" s="25" t="str">
        <f t="shared" si="107"/>
        <v/>
      </c>
      <c r="AS395" s="25">
        <f t="shared" si="108"/>
        <v>46302</v>
      </c>
      <c r="AT395" s="25">
        <f t="shared" si="109"/>
        <v>46304</v>
      </c>
      <c r="AU395" s="25" t="str">
        <f t="shared" si="110"/>
        <v/>
      </c>
      <c r="AV395" s="25" t="str">
        <f t="shared" si="111"/>
        <v/>
      </c>
      <c r="AW395" s="25" t="str">
        <f t="shared" si="112"/>
        <v/>
      </c>
      <c r="AX395" s="25" t="str">
        <f t="shared" si="113"/>
        <v/>
      </c>
      <c r="AY395" s="25" t="str">
        <f t="shared" si="114"/>
        <v/>
      </c>
      <c r="AZ395" s="25" t="str">
        <f t="shared" si="115"/>
        <v/>
      </c>
      <c r="BA395" s="25" t="str">
        <f t="shared" si="116"/>
        <v/>
      </c>
      <c r="BB395" s="25" t="str">
        <f t="shared" si="117"/>
        <v/>
      </c>
      <c r="BC395" s="25">
        <f t="shared" si="118"/>
        <v>46304</v>
      </c>
    </row>
    <row r="396" spans="1:55" x14ac:dyDescent="0.25">
      <c r="A396" s="151">
        <f t="shared" si="103"/>
        <v>394</v>
      </c>
      <c r="B396" s="151" t="s">
        <v>611</v>
      </c>
      <c r="C396" s="152" t="s">
        <v>612</v>
      </c>
      <c r="D396" s="151">
        <f t="shared" si="102"/>
        <v>2</v>
      </c>
      <c r="E396" s="151" t="s">
        <v>100</v>
      </c>
      <c r="F396" s="173">
        <v>46302</v>
      </c>
      <c r="G396" s="173"/>
      <c r="H396" s="173">
        <v>46302</v>
      </c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4">
        <v>46302</v>
      </c>
      <c r="U396" s="151"/>
      <c r="V396" s="152"/>
      <c r="W396" s="175"/>
      <c r="X396" s="173"/>
      <c r="Y396" s="173"/>
      <c r="Z396" s="176" t="str">
        <f>IF(B396="","",IF(S396&lt;&gt;"","Sevk Edildi",IF(AND(X396&lt;&gt;"",Y396=""),"Reworkte",IF(T396&lt;&gt;"","Kapandı"&amp;IF(COUNT(G396:R396)=0,""," – "&amp;LOOKUP(2,1/(G396:R396=MAX(G396:R396)),{"Tasarım","Ply Cutter","Üretim","Kalite (Üretim sonrası)","Talaşlı","Kalite (Talaşlı sonrası)","Montaj","Kalite (Montaj sonrası)","Boya","Kalite (Boya sonrası)","Yarı Mamül","KM"})),IF(COUNT(G396:R396)=0,"Başlamadı",LOOKUP(2,1/(G396:R396=MAX(G396:R396)),{"Tasarımda","Ply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396" s="177">
        <f t="shared" ca="1" si="104"/>
        <v>0</v>
      </c>
      <c r="AB396" s="175"/>
      <c r="AD396" t="str">
        <f>IF(OR($B396="",NOT(ISNUMBER(G396))),"",IF(COUNTIF(H396:$T396,G396)&gt;0,0,IF(COUNTIF($G396:$T396,"&gt;"&amp;G396)=0,"",SMALL($G396:$T396,COUNTIF($G396:$T396,"&lt;="&amp;G396)+1)-G396)))</f>
        <v/>
      </c>
      <c r="AE396">
        <f>IF(OR($B396="",NOT(ISNUMBER(H396))),"",IF(COUNTIF(I396:$T396,H396)&gt;0,0,IF(COUNTIF($G396:$T396,"&gt;"&amp;H396)=0,"",SMALL($G396:$T396,COUNTIF($G396:$T396,"&lt;="&amp;H396)+1)-H396)))</f>
        <v>0</v>
      </c>
      <c r="AF396" t="str">
        <f>IF(OR($B396="",NOT(ISNUMBER(I396))),"",IF(COUNTIF(J396:$T396,I396)&gt;0,0,IF(COUNTIF($G396:$T396,"&gt;"&amp;I396)=0,"",SMALL($G396:$T396,COUNTIF($G396:$T396,"&lt;="&amp;I396)+1)-I396)))</f>
        <v/>
      </c>
      <c r="AG396" t="str">
        <f>IF(OR($B396="",NOT(ISNUMBER(J396))),"",IF(COUNTIF(K396:$T396,J396)&gt;0,0,IF(COUNTIF($G396:$T396,"&gt;"&amp;J396)=0,"",SMALL($G396:$T396,COUNTIF($G396:$T396,"&lt;="&amp;J396)+1)-J396)))</f>
        <v/>
      </c>
      <c r="AH396" t="str">
        <f>IF(OR($B396="",NOT(ISNUMBER(K396))),"",IF(COUNTIF(L396:$T396,K396)&gt;0,0,IF(COUNTIF($G396:$T396,"&gt;"&amp;K396)=0,"",SMALL($G396:$T396,COUNTIF($G396:$T396,"&lt;="&amp;K396)+1)-K396)))</f>
        <v/>
      </c>
      <c r="AI396" t="str">
        <f>IF(OR($B396="",NOT(ISNUMBER(L396))),"",IF(COUNTIF(M396:$T396,L396)&gt;0,0,IF(COUNTIF($G396:$T396,"&gt;"&amp;L396)=0,"",SMALL($G396:$T396,COUNTIF($G396:$T396,"&lt;="&amp;L396)+1)-L396)))</f>
        <v/>
      </c>
      <c r="AJ396" t="str">
        <f>IF(OR($B396="",NOT(ISNUMBER(M396))),"",IF(COUNTIF(N396:$T396,M396)&gt;0,0,IF(COUNTIF($G396:$T396,"&gt;"&amp;M396)=0,"",SMALL($G396:$T396,COUNTIF($G396:$T396,"&lt;="&amp;M396)+1)-M396)))</f>
        <v/>
      </c>
      <c r="AK396" t="str">
        <f>IF(OR($B396="",NOT(ISNUMBER(N396))),"",IF(COUNTIF(O396:$T396,N396)&gt;0,0,IF(COUNTIF($G396:$T396,"&gt;"&amp;N396)=0,"",SMALL($G396:$T396,COUNTIF($G396:$T396,"&lt;="&amp;N396)+1)-N396)))</f>
        <v/>
      </c>
      <c r="AL396" t="str">
        <f>IF(OR($B396="",NOT(ISNUMBER(O396))),"",IF(COUNTIF(P396:$T396,O396)&gt;0,0,IF(COUNTIF($G396:$T396,"&gt;"&amp;O396)=0,"",SMALL($G396:$T396,COUNTIF($G396:$T396,"&lt;="&amp;O396)+1)-O396)))</f>
        <v/>
      </c>
      <c r="AM396" t="str">
        <f>IF(OR($B396="",NOT(ISNUMBER(P396))),"",IF(COUNTIF(Q396:$T396,P396)&gt;0,0,IF(COUNTIF($G396:$T396,"&gt;"&amp;P396)=0,"",SMALL($G396:$T396,COUNTIF($G396:$T396,"&lt;="&amp;P396)+1)-P396)))</f>
        <v/>
      </c>
      <c r="AN396" t="str">
        <f>IF(OR($B396="",NOT(ISNUMBER(Q396))),"",IF(COUNTIF(R396:$T396,Q396)&gt;0,0,IF(COUNTIF($G396:$T396,"&gt;"&amp;Q396)=0,"",SMALL($G396:$T396,COUNTIF($G396:$T396,"&lt;="&amp;Q396)+1)-Q396)))</f>
        <v/>
      </c>
      <c r="AO396" t="str">
        <f>IF(OR($B396="",NOT(ISNUMBER(R396))),"",IF(COUNTIF(S396:$T396,R396)&gt;0,0,IF(COUNTIF($G396:$T396,"&gt;"&amp;R396)=0,"",SMALL($G396:$T396,COUNTIF($G396:$T396,"&lt;="&amp;R396)+1)-R396)))</f>
        <v/>
      </c>
      <c r="AP396">
        <f t="shared" ca="1" si="105"/>
        <v>0</v>
      </c>
      <c r="AQ396" s="25" t="str">
        <f t="shared" si="106"/>
        <v/>
      </c>
      <c r="AR396" s="25">
        <f t="shared" si="107"/>
        <v>46302</v>
      </c>
      <c r="AS396" s="25" t="str">
        <f t="shared" si="108"/>
        <v/>
      </c>
      <c r="AT396" s="25" t="str">
        <f t="shared" si="109"/>
        <v/>
      </c>
      <c r="AU396" s="25" t="str">
        <f t="shared" si="110"/>
        <v/>
      </c>
      <c r="AV396" s="25" t="str">
        <f t="shared" si="111"/>
        <v/>
      </c>
      <c r="AW396" s="25" t="str">
        <f t="shared" si="112"/>
        <v/>
      </c>
      <c r="AX396" s="25" t="str">
        <f t="shared" si="113"/>
        <v/>
      </c>
      <c r="AY396" s="25" t="str">
        <f t="shared" si="114"/>
        <v/>
      </c>
      <c r="AZ396" s="25" t="str">
        <f t="shared" si="115"/>
        <v/>
      </c>
      <c r="BA396" s="25" t="str">
        <f t="shared" si="116"/>
        <v/>
      </c>
      <c r="BB396" s="25" t="str">
        <f t="shared" si="117"/>
        <v/>
      </c>
      <c r="BC396" s="25">
        <f t="shared" si="118"/>
        <v>46302</v>
      </c>
    </row>
    <row r="397" spans="1:55" x14ac:dyDescent="0.25">
      <c r="A397" s="151">
        <f t="shared" si="103"/>
        <v>395</v>
      </c>
      <c r="B397" s="151" t="s">
        <v>613</v>
      </c>
      <c r="C397" s="152" t="s">
        <v>525</v>
      </c>
      <c r="D397" s="151">
        <f t="shared" si="102"/>
        <v>4</v>
      </c>
      <c r="E397" s="151" t="s">
        <v>61</v>
      </c>
      <c r="F397" s="173">
        <v>46302</v>
      </c>
      <c r="G397" s="173"/>
      <c r="H397" s="173"/>
      <c r="I397" s="173">
        <v>46302</v>
      </c>
      <c r="J397" s="173">
        <v>46302</v>
      </c>
      <c r="K397" s="173"/>
      <c r="L397" s="173"/>
      <c r="M397" s="173"/>
      <c r="N397" s="173"/>
      <c r="O397" s="173"/>
      <c r="P397" s="173"/>
      <c r="Q397" s="173"/>
      <c r="R397" s="173"/>
      <c r="S397" s="173"/>
      <c r="T397" s="174">
        <v>46302</v>
      </c>
      <c r="U397" s="151"/>
      <c r="V397" s="152"/>
      <c r="W397" s="175"/>
      <c r="X397" s="173"/>
      <c r="Y397" s="173"/>
      <c r="Z397" s="176" t="str">
        <f>IF(B397="","",IF(S397&lt;&gt;"","Sevk Edildi",IF(AND(X397&lt;&gt;"",Y397=""),"Reworkte",IF(T397&lt;&gt;"","Kapandı"&amp;IF(COUNT(G397:R397)=0,""," – "&amp;LOOKUP(2,1/(G397:R397=MAX(G397:R397)),{"Tasarım","Ply Cutter","Üretim","Kalite (Üretim sonrası)","Talaşlı","Kalite (Talaşlı sonrası)","Montaj","Kalite (Montaj sonrası)","Boya","Kalite (Boya sonrası)","Yarı Mamül","KM"})),IF(COUNT(G397:R397)=0,"Başlamadı",LOOKUP(2,1/(G397:R397=MAX(G397:R397)),{"Tasarımda","Ply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97" s="177">
        <f t="shared" ca="1" si="104"/>
        <v>0</v>
      </c>
      <c r="AB397" s="175"/>
      <c r="AD397" t="str">
        <f>IF(OR($B397="",NOT(ISNUMBER(G397))),"",IF(COUNTIF(H397:$T397,G397)&gt;0,0,IF(COUNTIF($G397:$T397,"&gt;"&amp;G397)=0,"",SMALL($G397:$T397,COUNTIF($G397:$T397,"&lt;="&amp;G397)+1)-G397)))</f>
        <v/>
      </c>
      <c r="AE397" t="str">
        <f>IF(OR($B397="",NOT(ISNUMBER(H397))),"",IF(COUNTIF(I397:$T397,H397)&gt;0,0,IF(COUNTIF($G397:$T397,"&gt;"&amp;H397)=0,"",SMALL($G397:$T397,COUNTIF($G397:$T397,"&lt;="&amp;H397)+1)-H397)))</f>
        <v/>
      </c>
      <c r="AF397">
        <f>IF(OR($B397="",NOT(ISNUMBER(I397))),"",IF(COUNTIF(J397:$T397,I397)&gt;0,0,IF(COUNTIF($G397:$T397,"&gt;"&amp;I397)=0,"",SMALL($G397:$T397,COUNTIF($G397:$T397,"&lt;="&amp;I397)+1)-I397)))</f>
        <v>0</v>
      </c>
      <c r="AG397">
        <f>IF(OR($B397="",NOT(ISNUMBER(J397))),"",IF(COUNTIF(K397:$T397,J397)&gt;0,0,IF(COUNTIF($G397:$T397,"&gt;"&amp;J397)=0,"",SMALL($G397:$T397,COUNTIF($G397:$T397,"&lt;="&amp;J397)+1)-J397)))</f>
        <v>0</v>
      </c>
      <c r="AH397" t="str">
        <f>IF(OR($B397="",NOT(ISNUMBER(K397))),"",IF(COUNTIF(L397:$T397,K397)&gt;0,0,IF(COUNTIF($G397:$T397,"&gt;"&amp;K397)=0,"",SMALL($G397:$T397,COUNTIF($G397:$T397,"&lt;="&amp;K397)+1)-K397)))</f>
        <v/>
      </c>
      <c r="AI397" t="str">
        <f>IF(OR($B397="",NOT(ISNUMBER(L397))),"",IF(COUNTIF(M397:$T397,L397)&gt;0,0,IF(COUNTIF($G397:$T397,"&gt;"&amp;L397)=0,"",SMALL($G397:$T397,COUNTIF($G397:$T397,"&lt;="&amp;L397)+1)-L397)))</f>
        <v/>
      </c>
      <c r="AJ397" t="str">
        <f>IF(OR($B397="",NOT(ISNUMBER(M397))),"",IF(COUNTIF(N397:$T397,M397)&gt;0,0,IF(COUNTIF($G397:$T397,"&gt;"&amp;M397)=0,"",SMALL($G397:$T397,COUNTIF($G397:$T397,"&lt;="&amp;M397)+1)-M397)))</f>
        <v/>
      </c>
      <c r="AK397" t="str">
        <f>IF(OR($B397="",NOT(ISNUMBER(N397))),"",IF(COUNTIF(O397:$T397,N397)&gt;0,0,IF(COUNTIF($G397:$T397,"&gt;"&amp;N397)=0,"",SMALL($G397:$T397,COUNTIF($G397:$T397,"&lt;="&amp;N397)+1)-N397)))</f>
        <v/>
      </c>
      <c r="AL397" t="str">
        <f>IF(OR($B397="",NOT(ISNUMBER(O397))),"",IF(COUNTIF(P397:$T397,O397)&gt;0,0,IF(COUNTIF($G397:$T397,"&gt;"&amp;O397)=0,"",SMALL($G397:$T397,COUNTIF($G397:$T397,"&lt;="&amp;O397)+1)-O397)))</f>
        <v/>
      </c>
      <c r="AM397" t="str">
        <f>IF(OR($B397="",NOT(ISNUMBER(P397))),"",IF(COUNTIF(Q397:$T397,P397)&gt;0,0,IF(COUNTIF($G397:$T397,"&gt;"&amp;P397)=0,"",SMALL($G397:$T397,COUNTIF($G397:$T397,"&lt;="&amp;P397)+1)-P397)))</f>
        <v/>
      </c>
      <c r="AN397" t="str">
        <f>IF(OR($B397="",NOT(ISNUMBER(Q397))),"",IF(COUNTIF(R397:$T397,Q397)&gt;0,0,IF(COUNTIF($G397:$T397,"&gt;"&amp;Q397)=0,"",SMALL($G397:$T397,COUNTIF($G397:$T397,"&lt;="&amp;Q397)+1)-Q397)))</f>
        <v/>
      </c>
      <c r="AO397" t="str">
        <f>IF(OR($B397="",NOT(ISNUMBER(R397))),"",IF(COUNTIF(S397:$T397,R397)&gt;0,0,IF(COUNTIF($G397:$T397,"&gt;"&amp;R397)=0,"",SMALL($G397:$T397,COUNTIF($G397:$T397,"&lt;="&amp;R397)+1)-R397)))</f>
        <v/>
      </c>
      <c r="AP397">
        <f t="shared" ca="1" si="105"/>
        <v>0</v>
      </c>
      <c r="AQ397" s="25" t="str">
        <f t="shared" si="106"/>
        <v/>
      </c>
      <c r="AR397" s="25" t="str">
        <f t="shared" si="107"/>
        <v/>
      </c>
      <c r="AS397" s="25">
        <f t="shared" si="108"/>
        <v>46302</v>
      </c>
      <c r="AT397" s="25">
        <f t="shared" si="109"/>
        <v>46302</v>
      </c>
      <c r="AU397" s="25" t="str">
        <f t="shared" si="110"/>
        <v/>
      </c>
      <c r="AV397" s="25" t="str">
        <f t="shared" si="111"/>
        <v/>
      </c>
      <c r="AW397" s="25" t="str">
        <f t="shared" si="112"/>
        <v/>
      </c>
      <c r="AX397" s="25" t="str">
        <f t="shared" si="113"/>
        <v/>
      </c>
      <c r="AY397" s="25" t="str">
        <f t="shared" si="114"/>
        <v/>
      </c>
      <c r="AZ397" s="25" t="str">
        <f t="shared" si="115"/>
        <v/>
      </c>
      <c r="BA397" s="25" t="str">
        <f t="shared" si="116"/>
        <v/>
      </c>
      <c r="BB397" s="25" t="str">
        <f t="shared" si="117"/>
        <v/>
      </c>
      <c r="BC397" s="25">
        <f t="shared" si="118"/>
        <v>46302</v>
      </c>
    </row>
    <row r="398" spans="1:55" x14ac:dyDescent="0.25">
      <c r="A398" s="151">
        <f t="shared" si="103"/>
        <v>396</v>
      </c>
      <c r="B398" s="151" t="s">
        <v>614</v>
      </c>
      <c r="C398" s="152" t="s">
        <v>528</v>
      </c>
      <c r="D398" s="151">
        <f t="shared" si="102"/>
        <v>1</v>
      </c>
      <c r="E398" s="151" t="s">
        <v>61</v>
      </c>
      <c r="F398" s="173">
        <v>46302</v>
      </c>
      <c r="G398" s="173"/>
      <c r="H398" s="173"/>
      <c r="I398" s="173">
        <v>46302</v>
      </c>
      <c r="J398" s="173">
        <v>46303</v>
      </c>
      <c r="K398" s="173"/>
      <c r="L398" s="173"/>
      <c r="M398" s="173"/>
      <c r="N398" s="173"/>
      <c r="O398" s="173"/>
      <c r="P398" s="173"/>
      <c r="Q398" s="173"/>
      <c r="R398" s="173"/>
      <c r="S398" s="173"/>
      <c r="T398" s="174">
        <v>46303</v>
      </c>
      <c r="U398" s="151"/>
      <c r="V398" s="152"/>
      <c r="W398" s="175"/>
      <c r="X398" s="173"/>
      <c r="Y398" s="173"/>
      <c r="Z398" s="176" t="str">
        <f>IF(B398="","",IF(S398&lt;&gt;"","Sevk Edildi",IF(AND(X398&lt;&gt;"",Y398=""),"Reworkte",IF(T398&lt;&gt;"","Kapandı"&amp;IF(COUNT(G398:R398)=0,""," – "&amp;LOOKUP(2,1/(G398:R398=MAX(G398:R398)),{"Tasarım","Ply Cutter","Üretim","Kalite (Üretim sonrası)","Talaşlı","Kalite (Talaşlı sonrası)","Montaj","Kalite (Montaj sonrası)","Boya","Kalite (Boya sonrası)","Yarı Mamül","KM"})),IF(COUNT(G398:R398)=0,"Başlamadı",LOOKUP(2,1/(G398:R398=MAX(G398:R398)),{"Tasarımda","Ply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398" s="177">
        <f t="shared" ca="1" si="104"/>
        <v>1</v>
      </c>
      <c r="AB398" s="175"/>
      <c r="AD398" t="str">
        <f>IF(OR($B398="",NOT(ISNUMBER(G398))),"",IF(COUNTIF(H398:$T398,G398)&gt;0,0,IF(COUNTIF($G398:$T398,"&gt;"&amp;G398)=0,"",SMALL($G398:$T398,COUNTIF($G398:$T398,"&lt;="&amp;G398)+1)-G398)))</f>
        <v/>
      </c>
      <c r="AE398" t="str">
        <f>IF(OR($B398="",NOT(ISNUMBER(H398))),"",IF(COUNTIF(I398:$T398,H398)&gt;0,0,IF(COUNTIF($G398:$T398,"&gt;"&amp;H398)=0,"",SMALL($G398:$T398,COUNTIF($G398:$T398,"&lt;="&amp;H398)+1)-H398)))</f>
        <v/>
      </c>
      <c r="AF398">
        <f>IF(OR($B398="",NOT(ISNUMBER(I398))),"",IF(COUNTIF(J398:$T398,I398)&gt;0,0,IF(COUNTIF($G398:$T398,"&gt;"&amp;I398)=0,"",SMALL($G398:$T398,COUNTIF($G398:$T398,"&lt;="&amp;I398)+1)-I398)))</f>
        <v>1</v>
      </c>
      <c r="AG398">
        <f>IF(OR($B398="",NOT(ISNUMBER(J398))),"",IF(COUNTIF(K398:$T398,J398)&gt;0,0,IF(COUNTIF($G398:$T398,"&gt;"&amp;J398)=0,"",SMALL($G398:$T398,COUNTIF($G398:$T398,"&lt;="&amp;J398)+1)-J398)))</f>
        <v>0</v>
      </c>
      <c r="AH398" t="str">
        <f>IF(OR($B398="",NOT(ISNUMBER(K398))),"",IF(COUNTIF(L398:$T398,K398)&gt;0,0,IF(COUNTIF($G398:$T398,"&gt;"&amp;K398)=0,"",SMALL($G398:$T398,COUNTIF($G398:$T398,"&lt;="&amp;K398)+1)-K398)))</f>
        <v/>
      </c>
      <c r="AI398" t="str">
        <f>IF(OR($B398="",NOT(ISNUMBER(L398))),"",IF(COUNTIF(M398:$T398,L398)&gt;0,0,IF(COUNTIF($G398:$T398,"&gt;"&amp;L398)=0,"",SMALL($G398:$T398,COUNTIF($G398:$T398,"&lt;="&amp;L398)+1)-L398)))</f>
        <v/>
      </c>
      <c r="AJ398" t="str">
        <f>IF(OR($B398="",NOT(ISNUMBER(M398))),"",IF(COUNTIF(N398:$T398,M398)&gt;0,0,IF(COUNTIF($G398:$T398,"&gt;"&amp;M398)=0,"",SMALL($G398:$T398,COUNTIF($G398:$T398,"&lt;="&amp;M398)+1)-M398)))</f>
        <v/>
      </c>
      <c r="AK398" t="str">
        <f>IF(OR($B398="",NOT(ISNUMBER(N398))),"",IF(COUNTIF(O398:$T398,N398)&gt;0,0,IF(COUNTIF($G398:$T398,"&gt;"&amp;N398)=0,"",SMALL($G398:$T398,COUNTIF($G398:$T398,"&lt;="&amp;N398)+1)-N398)))</f>
        <v/>
      </c>
      <c r="AL398" t="str">
        <f>IF(OR($B398="",NOT(ISNUMBER(O398))),"",IF(COUNTIF(P398:$T398,O398)&gt;0,0,IF(COUNTIF($G398:$T398,"&gt;"&amp;O398)=0,"",SMALL($G398:$T398,COUNTIF($G398:$T398,"&lt;="&amp;O398)+1)-O398)))</f>
        <v/>
      </c>
      <c r="AM398" t="str">
        <f>IF(OR($B398="",NOT(ISNUMBER(P398))),"",IF(COUNTIF(Q398:$T398,P398)&gt;0,0,IF(COUNTIF($G398:$T398,"&gt;"&amp;P398)=0,"",SMALL($G398:$T398,COUNTIF($G398:$T398,"&lt;="&amp;P398)+1)-P398)))</f>
        <v/>
      </c>
      <c r="AN398" t="str">
        <f>IF(OR($B398="",NOT(ISNUMBER(Q398))),"",IF(COUNTIF(R398:$T398,Q398)&gt;0,0,IF(COUNTIF($G398:$T398,"&gt;"&amp;Q398)=0,"",SMALL($G398:$T398,COUNTIF($G398:$T398,"&lt;="&amp;Q398)+1)-Q398)))</f>
        <v/>
      </c>
      <c r="AO398" t="str">
        <f>IF(OR($B398="",NOT(ISNUMBER(R398))),"",IF(COUNTIF(S398:$T398,R398)&gt;0,0,IF(COUNTIF($G398:$T398,"&gt;"&amp;R398)=0,"",SMALL($G398:$T398,COUNTIF($G398:$T398,"&lt;="&amp;R398)+1)-R398)))</f>
        <v/>
      </c>
      <c r="AP398">
        <f t="shared" ca="1" si="105"/>
        <v>0</v>
      </c>
      <c r="AQ398" s="25" t="str">
        <f t="shared" si="106"/>
        <v/>
      </c>
      <c r="AR398" s="25" t="str">
        <f t="shared" si="107"/>
        <v/>
      </c>
      <c r="AS398" s="25">
        <f t="shared" si="108"/>
        <v>46303</v>
      </c>
      <c r="AT398" s="25">
        <f t="shared" si="109"/>
        <v>46303</v>
      </c>
      <c r="AU398" s="25" t="str">
        <f t="shared" si="110"/>
        <v/>
      </c>
      <c r="AV398" s="25" t="str">
        <f t="shared" si="111"/>
        <v/>
      </c>
      <c r="AW398" s="25" t="str">
        <f t="shared" si="112"/>
        <v/>
      </c>
      <c r="AX398" s="25" t="str">
        <f t="shared" si="113"/>
        <v/>
      </c>
      <c r="AY398" s="25" t="str">
        <f t="shared" si="114"/>
        <v/>
      </c>
      <c r="AZ398" s="25" t="str">
        <f t="shared" si="115"/>
        <v/>
      </c>
      <c r="BA398" s="25" t="str">
        <f t="shared" si="116"/>
        <v/>
      </c>
      <c r="BB398" s="25" t="str">
        <f t="shared" si="117"/>
        <v/>
      </c>
      <c r="BC398" s="25">
        <f t="shared" si="118"/>
        <v>46303</v>
      </c>
    </row>
    <row r="399" spans="1:55" x14ac:dyDescent="0.25">
      <c r="A399" s="151">
        <f t="shared" si="103"/>
        <v>397</v>
      </c>
      <c r="B399" s="151" t="s">
        <v>615</v>
      </c>
      <c r="C399" s="152" t="s">
        <v>466</v>
      </c>
      <c r="D399" s="151">
        <f t="shared" si="102"/>
        <v>2</v>
      </c>
      <c r="E399" s="151" t="s">
        <v>61</v>
      </c>
      <c r="F399" s="173">
        <v>46302</v>
      </c>
      <c r="G399" s="173"/>
      <c r="H399" s="173"/>
      <c r="I399" s="173">
        <v>46302</v>
      </c>
      <c r="J399" s="173">
        <v>46303</v>
      </c>
      <c r="K399" s="173"/>
      <c r="L399" s="173"/>
      <c r="M399" s="173"/>
      <c r="N399" s="173"/>
      <c r="O399" s="173"/>
      <c r="P399" s="173"/>
      <c r="Q399" s="173">
        <v>46303</v>
      </c>
      <c r="R399" s="173"/>
      <c r="S399" s="173"/>
      <c r="T399" s="174">
        <v>46303</v>
      </c>
      <c r="U399" s="151"/>
      <c r="V399" s="152"/>
      <c r="W399" s="175"/>
      <c r="X399" s="173"/>
      <c r="Y399" s="173"/>
      <c r="Z399" s="176" t="str">
        <f>IF(B399="","",IF(S399&lt;&gt;"","Sevk Edildi",IF(AND(X399&lt;&gt;"",Y399=""),"Reworkte",IF(T399&lt;&gt;"","Kapandı"&amp;IF(COUNT(G399:R399)=0,""," – "&amp;LOOKUP(2,1/(G399:R399=MAX(G399:R399)),{"Tasarım","Ply Cutter","Üretim","Kalite (Üretim sonrası)","Talaşlı","Kalite (Talaşlı sonrası)","Montaj","Kalite (Montaj sonrası)","Boya","Kalite (Boya sonrası)","Yarı Mamül","KM"})),IF(COUNT(G399:R399)=0,"Başlamadı",LOOKUP(2,1/(G399:R399=MAX(G399:R399)),{"Tasarımda","Ply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399" s="177">
        <f t="shared" ca="1" si="104"/>
        <v>1</v>
      </c>
      <c r="AB399" s="175"/>
      <c r="AD399" t="str">
        <f>IF(OR($B399="",NOT(ISNUMBER(G399))),"",IF(COUNTIF(H399:$T399,G399)&gt;0,0,IF(COUNTIF($G399:$T399,"&gt;"&amp;G399)=0,"",SMALL($G399:$T399,COUNTIF($G399:$T399,"&lt;="&amp;G399)+1)-G399)))</f>
        <v/>
      </c>
      <c r="AE399" t="str">
        <f>IF(OR($B399="",NOT(ISNUMBER(H399))),"",IF(COUNTIF(I399:$T399,H399)&gt;0,0,IF(COUNTIF($G399:$T399,"&gt;"&amp;H399)=0,"",SMALL($G399:$T399,COUNTIF($G399:$T399,"&lt;="&amp;H399)+1)-H399)))</f>
        <v/>
      </c>
      <c r="AF399">
        <f>IF(OR($B399="",NOT(ISNUMBER(I399))),"",IF(COUNTIF(J399:$T399,I399)&gt;0,0,IF(COUNTIF($G399:$T399,"&gt;"&amp;I399)=0,"",SMALL($G399:$T399,COUNTIF($G399:$T399,"&lt;="&amp;I399)+1)-I399)))</f>
        <v>1</v>
      </c>
      <c r="AG399">
        <f>IF(OR($B399="",NOT(ISNUMBER(J399))),"",IF(COUNTIF(K399:$T399,J399)&gt;0,0,IF(COUNTIF($G399:$T399,"&gt;"&amp;J399)=0,"",SMALL($G399:$T399,COUNTIF($G399:$T399,"&lt;="&amp;J399)+1)-J399)))</f>
        <v>0</v>
      </c>
      <c r="AH399" t="str">
        <f>IF(OR($B399="",NOT(ISNUMBER(K399))),"",IF(COUNTIF(L399:$T399,K399)&gt;0,0,IF(COUNTIF($G399:$T399,"&gt;"&amp;K399)=0,"",SMALL($G399:$T399,COUNTIF($G399:$T399,"&lt;="&amp;K399)+1)-K399)))</f>
        <v/>
      </c>
      <c r="AI399" t="str">
        <f>IF(OR($B399="",NOT(ISNUMBER(L399))),"",IF(COUNTIF(M399:$T399,L399)&gt;0,0,IF(COUNTIF($G399:$T399,"&gt;"&amp;L399)=0,"",SMALL($G399:$T399,COUNTIF($G399:$T399,"&lt;="&amp;L399)+1)-L399)))</f>
        <v/>
      </c>
      <c r="AJ399" t="str">
        <f>IF(OR($B399="",NOT(ISNUMBER(M399))),"",IF(COUNTIF(N399:$T399,M399)&gt;0,0,IF(COUNTIF($G399:$T399,"&gt;"&amp;M399)=0,"",SMALL($G399:$T399,COUNTIF($G399:$T399,"&lt;="&amp;M399)+1)-M399)))</f>
        <v/>
      </c>
      <c r="AK399" t="str">
        <f>IF(OR($B399="",NOT(ISNUMBER(N399))),"",IF(COUNTIF(O399:$T399,N399)&gt;0,0,IF(COUNTIF($G399:$T399,"&gt;"&amp;N399)=0,"",SMALL($G399:$T399,COUNTIF($G399:$T399,"&lt;="&amp;N399)+1)-N399)))</f>
        <v/>
      </c>
      <c r="AL399" t="str">
        <f>IF(OR($B399="",NOT(ISNUMBER(O399))),"",IF(COUNTIF(P399:$T399,O399)&gt;0,0,IF(COUNTIF($G399:$T399,"&gt;"&amp;O399)=0,"",SMALL($G399:$T399,COUNTIF($G399:$T399,"&lt;="&amp;O399)+1)-O399)))</f>
        <v/>
      </c>
      <c r="AM399" t="str">
        <f>IF(OR($B399="",NOT(ISNUMBER(P399))),"",IF(COUNTIF(Q399:$T399,P399)&gt;0,0,IF(COUNTIF($G399:$T399,"&gt;"&amp;P399)=0,"",SMALL($G399:$T399,COUNTIF($G399:$T399,"&lt;="&amp;P399)+1)-P399)))</f>
        <v/>
      </c>
      <c r="AN399">
        <f>IF(OR($B399="",NOT(ISNUMBER(Q399))),"",IF(COUNTIF(R399:$T399,Q399)&gt;0,0,IF(COUNTIF($G399:$T399,"&gt;"&amp;Q399)=0,"",SMALL($G399:$T399,COUNTIF($G399:$T399,"&lt;="&amp;Q399)+1)-Q399)))</f>
        <v>0</v>
      </c>
      <c r="AO399" t="str">
        <f>IF(OR($B399="",NOT(ISNUMBER(R399))),"",IF(COUNTIF(S399:$T399,R399)&gt;0,0,IF(COUNTIF($G399:$T399,"&gt;"&amp;R399)=0,"",SMALL($G399:$T399,COUNTIF($G399:$T399,"&lt;="&amp;R399)+1)-R399)))</f>
        <v/>
      </c>
      <c r="AP399">
        <f t="shared" ca="1" si="105"/>
        <v>0</v>
      </c>
      <c r="AQ399" s="25" t="str">
        <f t="shared" si="106"/>
        <v/>
      </c>
      <c r="AR399" s="25" t="str">
        <f t="shared" si="107"/>
        <v/>
      </c>
      <c r="AS399" s="25">
        <f t="shared" si="108"/>
        <v>46303</v>
      </c>
      <c r="AT399" s="25">
        <f t="shared" si="109"/>
        <v>46303</v>
      </c>
      <c r="AU399" s="25" t="str">
        <f t="shared" si="110"/>
        <v/>
      </c>
      <c r="AV399" s="25" t="str">
        <f t="shared" si="111"/>
        <v/>
      </c>
      <c r="AW399" s="25" t="str">
        <f t="shared" si="112"/>
        <v/>
      </c>
      <c r="AX399" s="25" t="str">
        <f t="shared" si="113"/>
        <v/>
      </c>
      <c r="AY399" s="25" t="str">
        <f t="shared" si="114"/>
        <v/>
      </c>
      <c r="AZ399" s="25" t="str">
        <f t="shared" si="115"/>
        <v/>
      </c>
      <c r="BA399" s="25">
        <f t="shared" si="116"/>
        <v>46303</v>
      </c>
      <c r="BB399" s="25" t="str">
        <f t="shared" si="117"/>
        <v/>
      </c>
      <c r="BC399" s="25">
        <f t="shared" si="118"/>
        <v>46303</v>
      </c>
    </row>
    <row r="400" spans="1:55" x14ac:dyDescent="0.25">
      <c r="A400" s="151">
        <f t="shared" si="103"/>
        <v>398</v>
      </c>
      <c r="B400" s="151" t="s">
        <v>616</v>
      </c>
      <c r="C400" s="152" t="s">
        <v>478</v>
      </c>
      <c r="D400" s="151">
        <f t="shared" si="102"/>
        <v>1</v>
      </c>
      <c r="E400" s="151" t="s">
        <v>61</v>
      </c>
      <c r="F400" s="173">
        <v>46302</v>
      </c>
      <c r="G400" s="173"/>
      <c r="H400" s="173"/>
      <c r="I400" s="173">
        <v>46302</v>
      </c>
      <c r="J400" s="173">
        <v>46303</v>
      </c>
      <c r="K400" s="173"/>
      <c r="L400" s="173"/>
      <c r="M400" s="173"/>
      <c r="N400" s="173"/>
      <c r="O400" s="173"/>
      <c r="P400" s="173"/>
      <c r="Q400" s="173">
        <v>46303</v>
      </c>
      <c r="R400" s="173"/>
      <c r="S400" s="173"/>
      <c r="T400" s="174">
        <v>46303</v>
      </c>
      <c r="U400" s="151"/>
      <c r="V400" s="152"/>
      <c r="W400" s="175"/>
      <c r="X400" s="173"/>
      <c r="Y400" s="173"/>
      <c r="Z400" s="176" t="str">
        <f>IF(B400="","",IF(S400&lt;&gt;"","Sevk Edildi",IF(AND(X400&lt;&gt;"",Y400=""),"Reworkte",IF(T400&lt;&gt;"","Kapandı"&amp;IF(COUNT(G400:R400)=0,""," – "&amp;LOOKUP(2,1/(G400:R400=MAX(G400:R400)),{"Tasarım","Ply Cutter","Üretim","Kalite (Üretim sonrası)","Talaşlı","Kalite (Talaşlı sonrası)","Montaj","Kalite (Montaj sonrası)","Boya","Kalite (Boya sonrası)","Yarı Mamül","KM"})),IF(COUNT(G400:R400)=0,"Başlamadı",LOOKUP(2,1/(G400:R400=MAX(G400:R400)),{"Tasarımda","Ply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00" s="177">
        <f t="shared" ca="1" si="104"/>
        <v>1</v>
      </c>
      <c r="AB400" s="175"/>
      <c r="AD400" t="str">
        <f>IF(OR($B400="",NOT(ISNUMBER(G400))),"",IF(COUNTIF(H400:$T400,G400)&gt;0,0,IF(COUNTIF($G400:$T400,"&gt;"&amp;G400)=0,"",SMALL($G400:$T400,COUNTIF($G400:$T400,"&lt;="&amp;G400)+1)-G400)))</f>
        <v/>
      </c>
      <c r="AE400" t="str">
        <f>IF(OR($B400="",NOT(ISNUMBER(H400))),"",IF(COUNTIF(I400:$T400,H400)&gt;0,0,IF(COUNTIF($G400:$T400,"&gt;"&amp;H400)=0,"",SMALL($G400:$T400,COUNTIF($G400:$T400,"&lt;="&amp;H400)+1)-H400)))</f>
        <v/>
      </c>
      <c r="AF400">
        <f>IF(OR($B400="",NOT(ISNUMBER(I400))),"",IF(COUNTIF(J400:$T400,I400)&gt;0,0,IF(COUNTIF($G400:$T400,"&gt;"&amp;I400)=0,"",SMALL($G400:$T400,COUNTIF($G400:$T400,"&lt;="&amp;I400)+1)-I400)))</f>
        <v>1</v>
      </c>
      <c r="AG400">
        <f>IF(OR($B400="",NOT(ISNUMBER(J400))),"",IF(COUNTIF(K400:$T400,J400)&gt;0,0,IF(COUNTIF($G400:$T400,"&gt;"&amp;J400)=0,"",SMALL($G400:$T400,COUNTIF($G400:$T400,"&lt;="&amp;J400)+1)-J400)))</f>
        <v>0</v>
      </c>
      <c r="AH400" t="str">
        <f>IF(OR($B400="",NOT(ISNUMBER(K400))),"",IF(COUNTIF(L400:$T400,K400)&gt;0,0,IF(COUNTIF($G400:$T400,"&gt;"&amp;K400)=0,"",SMALL($G400:$T400,COUNTIF($G400:$T400,"&lt;="&amp;K400)+1)-K400)))</f>
        <v/>
      </c>
      <c r="AI400" t="str">
        <f>IF(OR($B400="",NOT(ISNUMBER(L400))),"",IF(COUNTIF(M400:$T400,L400)&gt;0,0,IF(COUNTIF($G400:$T400,"&gt;"&amp;L400)=0,"",SMALL($G400:$T400,COUNTIF($G400:$T400,"&lt;="&amp;L400)+1)-L400)))</f>
        <v/>
      </c>
      <c r="AJ400" t="str">
        <f>IF(OR($B400="",NOT(ISNUMBER(M400))),"",IF(COUNTIF(N400:$T400,M400)&gt;0,0,IF(COUNTIF($G400:$T400,"&gt;"&amp;M400)=0,"",SMALL($G400:$T400,COUNTIF($G400:$T400,"&lt;="&amp;M400)+1)-M400)))</f>
        <v/>
      </c>
      <c r="AK400" t="str">
        <f>IF(OR($B400="",NOT(ISNUMBER(N400))),"",IF(COUNTIF(O400:$T400,N400)&gt;0,0,IF(COUNTIF($G400:$T400,"&gt;"&amp;N400)=0,"",SMALL($G400:$T400,COUNTIF($G400:$T400,"&lt;="&amp;N400)+1)-N400)))</f>
        <v/>
      </c>
      <c r="AL400" t="str">
        <f>IF(OR($B400="",NOT(ISNUMBER(O400))),"",IF(COUNTIF(P400:$T400,O400)&gt;0,0,IF(COUNTIF($G400:$T400,"&gt;"&amp;O400)=0,"",SMALL($G400:$T400,COUNTIF($G400:$T400,"&lt;="&amp;O400)+1)-O400)))</f>
        <v/>
      </c>
      <c r="AM400" t="str">
        <f>IF(OR($B400="",NOT(ISNUMBER(P400))),"",IF(COUNTIF(Q400:$T400,P400)&gt;0,0,IF(COUNTIF($G400:$T400,"&gt;"&amp;P400)=0,"",SMALL($G400:$T400,COUNTIF($G400:$T400,"&lt;="&amp;P400)+1)-P400)))</f>
        <v/>
      </c>
      <c r="AN400">
        <f>IF(OR($B400="",NOT(ISNUMBER(Q400))),"",IF(COUNTIF(R400:$T400,Q400)&gt;0,0,IF(COUNTIF($G400:$T400,"&gt;"&amp;Q400)=0,"",SMALL($G400:$T400,COUNTIF($G400:$T400,"&lt;="&amp;Q400)+1)-Q400)))</f>
        <v>0</v>
      </c>
      <c r="AO400" t="str">
        <f>IF(OR($B400="",NOT(ISNUMBER(R400))),"",IF(COUNTIF(S400:$T400,R400)&gt;0,0,IF(COUNTIF($G400:$T400,"&gt;"&amp;R400)=0,"",SMALL($G400:$T400,COUNTIF($G400:$T400,"&lt;="&amp;R400)+1)-R400)))</f>
        <v/>
      </c>
      <c r="AP400">
        <f t="shared" ca="1" si="105"/>
        <v>0</v>
      </c>
      <c r="AQ400" s="25" t="str">
        <f t="shared" si="106"/>
        <v/>
      </c>
      <c r="AR400" s="25" t="str">
        <f t="shared" si="107"/>
        <v/>
      </c>
      <c r="AS400" s="25">
        <f t="shared" si="108"/>
        <v>46303</v>
      </c>
      <c r="AT400" s="25">
        <f t="shared" si="109"/>
        <v>46303</v>
      </c>
      <c r="AU400" s="25" t="str">
        <f t="shared" si="110"/>
        <v/>
      </c>
      <c r="AV400" s="25" t="str">
        <f t="shared" si="111"/>
        <v/>
      </c>
      <c r="AW400" s="25" t="str">
        <f t="shared" si="112"/>
        <v/>
      </c>
      <c r="AX400" s="25" t="str">
        <f t="shared" si="113"/>
        <v/>
      </c>
      <c r="AY400" s="25" t="str">
        <f t="shared" si="114"/>
        <v/>
      </c>
      <c r="AZ400" s="25" t="str">
        <f t="shared" si="115"/>
        <v/>
      </c>
      <c r="BA400" s="25">
        <f t="shared" si="116"/>
        <v>46303</v>
      </c>
      <c r="BB400" s="25" t="str">
        <f t="shared" si="117"/>
        <v/>
      </c>
      <c r="BC400" s="25">
        <f t="shared" si="118"/>
        <v>46303</v>
      </c>
    </row>
    <row r="401" spans="1:55" x14ac:dyDescent="0.25">
      <c r="A401" s="151">
        <f t="shared" si="103"/>
        <v>399</v>
      </c>
      <c r="B401" s="151" t="s">
        <v>617</v>
      </c>
      <c r="C401" s="152" t="s">
        <v>180</v>
      </c>
      <c r="D401" s="151">
        <f t="shared" si="102"/>
        <v>1</v>
      </c>
      <c r="E401" s="151" t="s">
        <v>61</v>
      </c>
      <c r="F401" s="173">
        <v>46302</v>
      </c>
      <c r="G401" s="173"/>
      <c r="H401" s="173"/>
      <c r="I401" s="173">
        <v>46302</v>
      </c>
      <c r="J401" s="173">
        <v>46303</v>
      </c>
      <c r="K401" s="173"/>
      <c r="L401" s="173"/>
      <c r="M401" s="173"/>
      <c r="N401" s="173"/>
      <c r="O401" s="173"/>
      <c r="P401" s="173"/>
      <c r="Q401" s="173">
        <v>46303</v>
      </c>
      <c r="R401" s="173"/>
      <c r="S401" s="173"/>
      <c r="T401" s="174">
        <v>46303</v>
      </c>
      <c r="U401" s="151"/>
      <c r="V401" s="152"/>
      <c r="W401" s="175"/>
      <c r="X401" s="173"/>
      <c r="Y401" s="173"/>
      <c r="Z401" s="176" t="str">
        <f>IF(B401="","",IF(S401&lt;&gt;"","Sevk Edildi",IF(AND(X401&lt;&gt;"",Y401=""),"Reworkte",IF(T401&lt;&gt;"","Kapandı"&amp;IF(COUNT(G401:R401)=0,""," – "&amp;LOOKUP(2,1/(G401:R401=MAX(G401:R401)),{"Tasarım","Ply Cutter","Üretim","Kalite (Üretim sonrası)","Talaşlı","Kalite (Talaşlı sonrası)","Montaj","Kalite (Montaj sonrası)","Boya","Kalite (Boya sonrası)","Yarı Mamül","KM"})),IF(COUNT(G401:R401)=0,"Başlamadı",LOOKUP(2,1/(G401:R401=MAX(G401:R401)),{"Tasarımda","Ply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01" s="177">
        <f t="shared" ca="1" si="104"/>
        <v>1</v>
      </c>
      <c r="AB401" s="175"/>
      <c r="AD401" t="str">
        <f>IF(OR($B401="",NOT(ISNUMBER(G401))),"",IF(COUNTIF(H401:$T401,G401)&gt;0,0,IF(COUNTIF($G401:$T401,"&gt;"&amp;G401)=0,"",SMALL($G401:$T401,COUNTIF($G401:$T401,"&lt;="&amp;G401)+1)-G401)))</f>
        <v/>
      </c>
      <c r="AE401" t="str">
        <f>IF(OR($B401="",NOT(ISNUMBER(H401))),"",IF(COUNTIF(I401:$T401,H401)&gt;0,0,IF(COUNTIF($G401:$T401,"&gt;"&amp;H401)=0,"",SMALL($G401:$T401,COUNTIF($G401:$T401,"&lt;="&amp;H401)+1)-H401)))</f>
        <v/>
      </c>
      <c r="AF401">
        <f>IF(OR($B401="",NOT(ISNUMBER(I401))),"",IF(COUNTIF(J401:$T401,I401)&gt;0,0,IF(COUNTIF($G401:$T401,"&gt;"&amp;I401)=0,"",SMALL($G401:$T401,COUNTIF($G401:$T401,"&lt;="&amp;I401)+1)-I401)))</f>
        <v>1</v>
      </c>
      <c r="AG401">
        <f>IF(OR($B401="",NOT(ISNUMBER(J401))),"",IF(COUNTIF(K401:$T401,J401)&gt;0,0,IF(COUNTIF($G401:$T401,"&gt;"&amp;J401)=0,"",SMALL($G401:$T401,COUNTIF($G401:$T401,"&lt;="&amp;J401)+1)-J401)))</f>
        <v>0</v>
      </c>
      <c r="AH401" t="str">
        <f>IF(OR($B401="",NOT(ISNUMBER(K401))),"",IF(COUNTIF(L401:$T401,K401)&gt;0,0,IF(COUNTIF($G401:$T401,"&gt;"&amp;K401)=0,"",SMALL($G401:$T401,COUNTIF($G401:$T401,"&lt;="&amp;K401)+1)-K401)))</f>
        <v/>
      </c>
      <c r="AI401" t="str">
        <f>IF(OR($B401="",NOT(ISNUMBER(L401))),"",IF(COUNTIF(M401:$T401,L401)&gt;0,0,IF(COUNTIF($G401:$T401,"&gt;"&amp;L401)=0,"",SMALL($G401:$T401,COUNTIF($G401:$T401,"&lt;="&amp;L401)+1)-L401)))</f>
        <v/>
      </c>
      <c r="AJ401" t="str">
        <f>IF(OR($B401="",NOT(ISNUMBER(M401))),"",IF(COUNTIF(N401:$T401,M401)&gt;0,0,IF(COUNTIF($G401:$T401,"&gt;"&amp;M401)=0,"",SMALL($G401:$T401,COUNTIF($G401:$T401,"&lt;="&amp;M401)+1)-M401)))</f>
        <v/>
      </c>
      <c r="AK401" t="str">
        <f>IF(OR($B401="",NOT(ISNUMBER(N401))),"",IF(COUNTIF(O401:$T401,N401)&gt;0,0,IF(COUNTIF($G401:$T401,"&gt;"&amp;N401)=0,"",SMALL($G401:$T401,COUNTIF($G401:$T401,"&lt;="&amp;N401)+1)-N401)))</f>
        <v/>
      </c>
      <c r="AL401" t="str">
        <f>IF(OR($B401="",NOT(ISNUMBER(O401))),"",IF(COUNTIF(P401:$T401,O401)&gt;0,0,IF(COUNTIF($G401:$T401,"&gt;"&amp;O401)=0,"",SMALL($G401:$T401,COUNTIF($G401:$T401,"&lt;="&amp;O401)+1)-O401)))</f>
        <v/>
      </c>
      <c r="AM401" t="str">
        <f>IF(OR($B401="",NOT(ISNUMBER(P401))),"",IF(COUNTIF(Q401:$T401,P401)&gt;0,0,IF(COUNTIF($G401:$T401,"&gt;"&amp;P401)=0,"",SMALL($G401:$T401,COUNTIF($G401:$T401,"&lt;="&amp;P401)+1)-P401)))</f>
        <v/>
      </c>
      <c r="AN401">
        <f>IF(OR($B401="",NOT(ISNUMBER(Q401))),"",IF(COUNTIF(R401:$T401,Q401)&gt;0,0,IF(COUNTIF($G401:$T401,"&gt;"&amp;Q401)=0,"",SMALL($G401:$T401,COUNTIF($G401:$T401,"&lt;="&amp;Q401)+1)-Q401)))</f>
        <v>0</v>
      </c>
      <c r="AO401" t="str">
        <f>IF(OR($B401="",NOT(ISNUMBER(R401))),"",IF(COUNTIF(S401:$T401,R401)&gt;0,0,IF(COUNTIF($G401:$T401,"&gt;"&amp;R401)=0,"",SMALL($G401:$T401,COUNTIF($G401:$T401,"&lt;="&amp;R401)+1)-R401)))</f>
        <v/>
      </c>
      <c r="AP401">
        <f t="shared" ca="1" si="105"/>
        <v>0</v>
      </c>
      <c r="AQ401" s="25" t="str">
        <f t="shared" si="106"/>
        <v/>
      </c>
      <c r="AR401" s="25" t="str">
        <f t="shared" si="107"/>
        <v/>
      </c>
      <c r="AS401" s="25">
        <f t="shared" si="108"/>
        <v>46303</v>
      </c>
      <c r="AT401" s="25">
        <f t="shared" si="109"/>
        <v>46303</v>
      </c>
      <c r="AU401" s="25" t="str">
        <f t="shared" si="110"/>
        <v/>
      </c>
      <c r="AV401" s="25" t="str">
        <f t="shared" si="111"/>
        <v/>
      </c>
      <c r="AW401" s="25" t="str">
        <f t="shared" si="112"/>
        <v/>
      </c>
      <c r="AX401" s="25" t="str">
        <f t="shared" si="113"/>
        <v/>
      </c>
      <c r="AY401" s="25" t="str">
        <f t="shared" si="114"/>
        <v/>
      </c>
      <c r="AZ401" s="25" t="str">
        <f t="shared" si="115"/>
        <v/>
      </c>
      <c r="BA401" s="25">
        <f t="shared" si="116"/>
        <v>46303</v>
      </c>
      <c r="BB401" s="25" t="str">
        <f t="shared" si="117"/>
        <v/>
      </c>
      <c r="BC401" s="25">
        <f t="shared" si="118"/>
        <v>46303</v>
      </c>
    </row>
    <row r="402" spans="1:55" x14ac:dyDescent="0.25">
      <c r="A402" s="151">
        <f t="shared" si="103"/>
        <v>400</v>
      </c>
      <c r="B402" s="151" t="s">
        <v>618</v>
      </c>
      <c r="C402" s="152" t="s">
        <v>558</v>
      </c>
      <c r="D402" s="151">
        <f t="shared" si="102"/>
        <v>1</v>
      </c>
      <c r="E402" s="151" t="s">
        <v>61</v>
      </c>
      <c r="F402" s="173">
        <v>46302</v>
      </c>
      <c r="G402" s="173"/>
      <c r="H402" s="173"/>
      <c r="I402" s="173">
        <v>46302</v>
      </c>
      <c r="J402" s="173">
        <v>46303</v>
      </c>
      <c r="K402" s="173"/>
      <c r="L402" s="173"/>
      <c r="M402" s="173"/>
      <c r="N402" s="173"/>
      <c r="O402" s="173"/>
      <c r="P402" s="173"/>
      <c r="Q402" s="173"/>
      <c r="R402" s="173"/>
      <c r="S402" s="173"/>
      <c r="T402" s="174">
        <v>46303</v>
      </c>
      <c r="U402" s="151"/>
      <c r="V402" s="152"/>
      <c r="W402" s="175"/>
      <c r="X402" s="173"/>
      <c r="Y402" s="173"/>
      <c r="Z402" s="176" t="str">
        <f>IF(B402="","",IF(S402&lt;&gt;"","Sevk Edildi",IF(AND(X402&lt;&gt;"",Y402=""),"Reworkte",IF(T402&lt;&gt;"","Kapandı"&amp;IF(COUNT(G402:R402)=0,""," – "&amp;LOOKUP(2,1/(G402:R402=MAX(G402:R402)),{"Tasarım","Ply Cutter","Üretim","Kalite (Üretim sonrası)","Talaşlı","Kalite (Talaşlı sonrası)","Montaj","Kalite (Montaj sonrası)","Boya","Kalite (Boya sonrası)","Yarı Mamül","KM"})),IF(COUNT(G402:R402)=0,"Başlamadı",LOOKUP(2,1/(G402:R402=MAX(G402:R402)),{"Tasarımda","Ply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02" s="177">
        <f t="shared" ca="1" si="104"/>
        <v>1</v>
      </c>
      <c r="AB402" s="175"/>
      <c r="AD402" t="str">
        <f>IF(OR($B402="",NOT(ISNUMBER(G402))),"",IF(COUNTIF(H402:$T402,G402)&gt;0,0,IF(COUNTIF($G402:$T402,"&gt;"&amp;G402)=0,"",SMALL($G402:$T402,COUNTIF($G402:$T402,"&lt;="&amp;G402)+1)-G402)))</f>
        <v/>
      </c>
      <c r="AE402" t="str">
        <f>IF(OR($B402="",NOT(ISNUMBER(H402))),"",IF(COUNTIF(I402:$T402,H402)&gt;0,0,IF(COUNTIF($G402:$T402,"&gt;"&amp;H402)=0,"",SMALL($G402:$T402,COUNTIF($G402:$T402,"&lt;="&amp;H402)+1)-H402)))</f>
        <v/>
      </c>
      <c r="AF402">
        <f>IF(OR($B402="",NOT(ISNUMBER(I402))),"",IF(COUNTIF(J402:$T402,I402)&gt;0,0,IF(COUNTIF($G402:$T402,"&gt;"&amp;I402)=0,"",SMALL($G402:$T402,COUNTIF($G402:$T402,"&lt;="&amp;I402)+1)-I402)))</f>
        <v>1</v>
      </c>
      <c r="AG402">
        <f>IF(OR($B402="",NOT(ISNUMBER(J402))),"",IF(COUNTIF(K402:$T402,J402)&gt;0,0,IF(COUNTIF($G402:$T402,"&gt;"&amp;J402)=0,"",SMALL($G402:$T402,COUNTIF($G402:$T402,"&lt;="&amp;J402)+1)-J402)))</f>
        <v>0</v>
      </c>
      <c r="AH402" t="str">
        <f>IF(OR($B402="",NOT(ISNUMBER(K402))),"",IF(COUNTIF(L402:$T402,K402)&gt;0,0,IF(COUNTIF($G402:$T402,"&gt;"&amp;K402)=0,"",SMALL($G402:$T402,COUNTIF($G402:$T402,"&lt;="&amp;K402)+1)-K402)))</f>
        <v/>
      </c>
      <c r="AI402" t="str">
        <f>IF(OR($B402="",NOT(ISNUMBER(L402))),"",IF(COUNTIF(M402:$T402,L402)&gt;0,0,IF(COUNTIF($G402:$T402,"&gt;"&amp;L402)=0,"",SMALL($G402:$T402,COUNTIF($G402:$T402,"&lt;="&amp;L402)+1)-L402)))</f>
        <v/>
      </c>
      <c r="AJ402" t="str">
        <f>IF(OR($B402="",NOT(ISNUMBER(M402))),"",IF(COUNTIF(N402:$T402,M402)&gt;0,0,IF(COUNTIF($G402:$T402,"&gt;"&amp;M402)=0,"",SMALL($G402:$T402,COUNTIF($G402:$T402,"&lt;="&amp;M402)+1)-M402)))</f>
        <v/>
      </c>
      <c r="AK402" t="str">
        <f>IF(OR($B402="",NOT(ISNUMBER(N402))),"",IF(COUNTIF(O402:$T402,N402)&gt;0,0,IF(COUNTIF($G402:$T402,"&gt;"&amp;N402)=0,"",SMALL($G402:$T402,COUNTIF($G402:$T402,"&lt;="&amp;N402)+1)-N402)))</f>
        <v/>
      </c>
      <c r="AL402" t="str">
        <f>IF(OR($B402="",NOT(ISNUMBER(O402))),"",IF(COUNTIF(P402:$T402,O402)&gt;0,0,IF(COUNTIF($G402:$T402,"&gt;"&amp;O402)=0,"",SMALL($G402:$T402,COUNTIF($G402:$T402,"&lt;="&amp;O402)+1)-O402)))</f>
        <v/>
      </c>
      <c r="AM402" t="str">
        <f>IF(OR($B402="",NOT(ISNUMBER(P402))),"",IF(COUNTIF(Q402:$T402,P402)&gt;0,0,IF(COUNTIF($G402:$T402,"&gt;"&amp;P402)=0,"",SMALL($G402:$T402,COUNTIF($G402:$T402,"&lt;="&amp;P402)+1)-P402)))</f>
        <v/>
      </c>
      <c r="AN402" t="str">
        <f>IF(OR($B402="",NOT(ISNUMBER(Q402))),"",IF(COUNTIF(R402:$T402,Q402)&gt;0,0,IF(COUNTIF($G402:$T402,"&gt;"&amp;Q402)=0,"",SMALL($G402:$T402,COUNTIF($G402:$T402,"&lt;="&amp;Q402)+1)-Q402)))</f>
        <v/>
      </c>
      <c r="AO402" t="str">
        <f>IF(OR($B402="",NOT(ISNUMBER(R402))),"",IF(COUNTIF(S402:$T402,R402)&gt;0,0,IF(COUNTIF($G402:$T402,"&gt;"&amp;R402)=0,"",SMALL($G402:$T402,COUNTIF($G402:$T402,"&lt;="&amp;R402)+1)-R402)))</f>
        <v/>
      </c>
      <c r="AP402">
        <f t="shared" ca="1" si="105"/>
        <v>0</v>
      </c>
      <c r="AQ402" s="25" t="str">
        <f t="shared" si="106"/>
        <v/>
      </c>
      <c r="AR402" s="25" t="str">
        <f t="shared" si="107"/>
        <v/>
      </c>
      <c r="AS402" s="25">
        <f t="shared" si="108"/>
        <v>46303</v>
      </c>
      <c r="AT402" s="25">
        <f t="shared" si="109"/>
        <v>46303</v>
      </c>
      <c r="AU402" s="25" t="str">
        <f t="shared" si="110"/>
        <v/>
      </c>
      <c r="AV402" s="25" t="str">
        <f t="shared" si="111"/>
        <v/>
      </c>
      <c r="AW402" s="25" t="str">
        <f t="shared" si="112"/>
        <v/>
      </c>
      <c r="AX402" s="25" t="str">
        <f t="shared" si="113"/>
        <v/>
      </c>
      <c r="AY402" s="25" t="str">
        <f t="shared" si="114"/>
        <v/>
      </c>
      <c r="AZ402" s="25" t="str">
        <f t="shared" si="115"/>
        <v/>
      </c>
      <c r="BA402" s="25" t="str">
        <f t="shared" si="116"/>
        <v/>
      </c>
      <c r="BB402" s="25" t="str">
        <f t="shared" si="117"/>
        <v/>
      </c>
      <c r="BC402" s="25">
        <f t="shared" si="118"/>
        <v>46303</v>
      </c>
    </row>
    <row r="403" spans="1:55" x14ac:dyDescent="0.25">
      <c r="A403" s="151">
        <f t="shared" si="103"/>
        <v>401</v>
      </c>
      <c r="B403" s="151" t="s">
        <v>619</v>
      </c>
      <c r="C403" s="152" t="s">
        <v>248</v>
      </c>
      <c r="D403" s="151">
        <f t="shared" si="102"/>
        <v>1</v>
      </c>
      <c r="E403" s="151" t="s">
        <v>61</v>
      </c>
      <c r="F403" s="173">
        <v>46302</v>
      </c>
      <c r="G403" s="173"/>
      <c r="H403" s="173"/>
      <c r="I403" s="173">
        <v>46302</v>
      </c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4">
        <v>46305</v>
      </c>
      <c r="U403" s="151"/>
      <c r="V403" s="152"/>
      <c r="W403" s="175"/>
      <c r="X403" s="173"/>
      <c r="Y403" s="173"/>
      <c r="Z403" s="176" t="str">
        <f>IF(B403="","",IF(S403&lt;&gt;"","Sevk Edildi",IF(AND(X403&lt;&gt;"",Y403=""),"Reworkte",IF(T403&lt;&gt;"","Kapandı"&amp;IF(COUNT(G403:R403)=0,""," – "&amp;LOOKUP(2,1/(G403:R403=MAX(G403:R403)),{"Tasarım","Ply Cutter","Üretim","Kalite (Üretim sonrası)","Talaşlı","Kalite (Talaşlı sonrası)","Montaj","Kalite (Montaj sonrası)","Boya","Kalite (Boya sonrası)","Yarı Mamül","KM"})),IF(COUNT(G403:R403)=0,"Başlamadı",LOOKUP(2,1/(G403:R403=MAX(G403:R403)),{"Tasarımda","Ply Cutter'da","Üretimde","Kalitede (Üretim sonrası)","Talaşlıda","Kalitede (Talaşlı sonrası)","Montajda","Kalitede (Montaj sonrası)","Boyada","Kalitede (Boya sonrası)","Yarı Mamülde","KM'de"}))))))</f>
        <v>Kapandı – Üretim</v>
      </c>
      <c r="AA403" s="177">
        <f t="shared" ca="1" si="104"/>
        <v>3</v>
      </c>
      <c r="AB403" s="175"/>
      <c r="AD403" t="str">
        <f>IF(OR($B403="",NOT(ISNUMBER(G403))),"",IF(COUNTIF(H403:$T403,G403)&gt;0,0,IF(COUNTIF($G403:$T403,"&gt;"&amp;G403)=0,"",SMALL($G403:$T403,COUNTIF($G403:$T403,"&lt;="&amp;G403)+1)-G403)))</f>
        <v/>
      </c>
      <c r="AE403" t="str">
        <f>IF(OR($B403="",NOT(ISNUMBER(H403))),"",IF(COUNTIF(I403:$T403,H403)&gt;0,0,IF(COUNTIF($G403:$T403,"&gt;"&amp;H403)=0,"",SMALL($G403:$T403,COUNTIF($G403:$T403,"&lt;="&amp;H403)+1)-H403)))</f>
        <v/>
      </c>
      <c r="AF403">
        <f>IF(OR($B403="",NOT(ISNUMBER(I403))),"",IF(COUNTIF(J403:$T403,I403)&gt;0,0,IF(COUNTIF($G403:$T403,"&gt;"&amp;I403)=0,"",SMALL($G403:$T403,COUNTIF($G403:$T403,"&lt;="&amp;I403)+1)-I403)))</f>
        <v>3</v>
      </c>
      <c r="AG403" t="str">
        <f>IF(OR($B403="",NOT(ISNUMBER(J403))),"",IF(COUNTIF(K403:$T403,J403)&gt;0,0,IF(COUNTIF($G403:$T403,"&gt;"&amp;J403)=0,"",SMALL($G403:$T403,COUNTIF($G403:$T403,"&lt;="&amp;J403)+1)-J403)))</f>
        <v/>
      </c>
      <c r="AH403" t="str">
        <f>IF(OR($B403="",NOT(ISNUMBER(K403))),"",IF(COUNTIF(L403:$T403,K403)&gt;0,0,IF(COUNTIF($G403:$T403,"&gt;"&amp;K403)=0,"",SMALL($G403:$T403,COUNTIF($G403:$T403,"&lt;="&amp;K403)+1)-K403)))</f>
        <v/>
      </c>
      <c r="AI403" t="str">
        <f>IF(OR($B403="",NOT(ISNUMBER(L403))),"",IF(COUNTIF(M403:$T403,L403)&gt;0,0,IF(COUNTIF($G403:$T403,"&gt;"&amp;L403)=0,"",SMALL($G403:$T403,COUNTIF($G403:$T403,"&lt;="&amp;L403)+1)-L403)))</f>
        <v/>
      </c>
      <c r="AJ403" t="str">
        <f>IF(OR($B403="",NOT(ISNUMBER(M403))),"",IF(COUNTIF(N403:$T403,M403)&gt;0,0,IF(COUNTIF($G403:$T403,"&gt;"&amp;M403)=0,"",SMALL($G403:$T403,COUNTIF($G403:$T403,"&lt;="&amp;M403)+1)-M403)))</f>
        <v/>
      </c>
      <c r="AK403" t="str">
        <f>IF(OR($B403="",NOT(ISNUMBER(N403))),"",IF(COUNTIF(O403:$T403,N403)&gt;0,0,IF(COUNTIF($G403:$T403,"&gt;"&amp;N403)=0,"",SMALL($G403:$T403,COUNTIF($G403:$T403,"&lt;="&amp;N403)+1)-N403)))</f>
        <v/>
      </c>
      <c r="AL403" t="str">
        <f>IF(OR($B403="",NOT(ISNUMBER(O403))),"",IF(COUNTIF(P403:$T403,O403)&gt;0,0,IF(COUNTIF($G403:$T403,"&gt;"&amp;O403)=0,"",SMALL($G403:$T403,COUNTIF($G403:$T403,"&lt;="&amp;O403)+1)-O403)))</f>
        <v/>
      </c>
      <c r="AM403" t="str">
        <f>IF(OR($B403="",NOT(ISNUMBER(P403))),"",IF(COUNTIF(Q403:$T403,P403)&gt;0,0,IF(COUNTIF($G403:$T403,"&gt;"&amp;P403)=0,"",SMALL($G403:$T403,COUNTIF($G403:$T403,"&lt;="&amp;P403)+1)-P403)))</f>
        <v/>
      </c>
      <c r="AN403" t="str">
        <f>IF(OR($B403="",NOT(ISNUMBER(Q403))),"",IF(COUNTIF(R403:$T403,Q403)&gt;0,0,IF(COUNTIF($G403:$T403,"&gt;"&amp;Q403)=0,"",SMALL($G403:$T403,COUNTIF($G403:$T403,"&lt;="&amp;Q403)+1)-Q403)))</f>
        <v/>
      </c>
      <c r="AO403" t="str">
        <f>IF(OR($B403="",NOT(ISNUMBER(R403))),"",IF(COUNTIF(S403:$T403,R403)&gt;0,0,IF(COUNTIF($G403:$T403,"&gt;"&amp;R403)=0,"",SMALL($G403:$T403,COUNTIF($G403:$T403,"&lt;="&amp;R403)+1)-R403)))</f>
        <v/>
      </c>
      <c r="AP403">
        <f t="shared" ca="1" si="105"/>
        <v>0</v>
      </c>
      <c r="AQ403" s="25" t="str">
        <f t="shared" si="106"/>
        <v/>
      </c>
      <c r="AR403" s="25" t="str">
        <f t="shared" si="107"/>
        <v/>
      </c>
      <c r="AS403" s="25">
        <f t="shared" si="108"/>
        <v>46305</v>
      </c>
      <c r="AT403" s="25" t="str">
        <f t="shared" si="109"/>
        <v/>
      </c>
      <c r="AU403" s="25" t="str">
        <f t="shared" si="110"/>
        <v/>
      </c>
      <c r="AV403" s="25" t="str">
        <f t="shared" si="111"/>
        <v/>
      </c>
      <c r="AW403" s="25" t="str">
        <f t="shared" si="112"/>
        <v/>
      </c>
      <c r="AX403" s="25" t="str">
        <f t="shared" si="113"/>
        <v/>
      </c>
      <c r="AY403" s="25" t="str">
        <f t="shared" si="114"/>
        <v/>
      </c>
      <c r="AZ403" s="25" t="str">
        <f t="shared" si="115"/>
        <v/>
      </c>
      <c r="BA403" s="25" t="str">
        <f t="shared" si="116"/>
        <v/>
      </c>
      <c r="BB403" s="25" t="str">
        <f t="shared" si="117"/>
        <v/>
      </c>
      <c r="BC403" s="25">
        <f t="shared" si="118"/>
        <v>46305</v>
      </c>
    </row>
    <row r="404" spans="1:55" x14ac:dyDescent="0.25">
      <c r="A404" s="151">
        <f t="shared" si="103"/>
        <v>402</v>
      </c>
      <c r="B404" s="151" t="s">
        <v>620</v>
      </c>
      <c r="C404" s="152" t="s">
        <v>355</v>
      </c>
      <c r="D404" s="151">
        <f t="shared" si="102"/>
        <v>1</v>
      </c>
      <c r="E404" s="151" t="s">
        <v>61</v>
      </c>
      <c r="F404" s="173">
        <v>46302</v>
      </c>
      <c r="G404" s="173"/>
      <c r="H404" s="173"/>
      <c r="I404" s="173">
        <v>46302</v>
      </c>
      <c r="J404" s="173">
        <v>46303</v>
      </c>
      <c r="K404" s="173"/>
      <c r="L404" s="173"/>
      <c r="M404" s="173"/>
      <c r="N404" s="173"/>
      <c r="O404" s="173"/>
      <c r="P404" s="173"/>
      <c r="Q404" s="173"/>
      <c r="R404" s="173"/>
      <c r="S404" s="173"/>
      <c r="T404" s="174">
        <v>46303</v>
      </c>
      <c r="U404" s="151"/>
      <c r="V404" s="152"/>
      <c r="W404" s="175"/>
      <c r="X404" s="173"/>
      <c r="Y404" s="173"/>
      <c r="Z404" s="176" t="str">
        <f>IF(B404="","",IF(S404&lt;&gt;"","Sevk Edildi",IF(AND(X404&lt;&gt;"",Y404=""),"Reworkte",IF(T404&lt;&gt;"","Kapandı"&amp;IF(COUNT(G404:R404)=0,""," – "&amp;LOOKUP(2,1/(G404:R404=MAX(G404:R404)),{"Tasarım","Ply Cutter","Üretim","Kalite (Üretim sonrası)","Talaşlı","Kalite (Talaşlı sonrası)","Montaj","Kalite (Montaj sonrası)","Boya","Kalite (Boya sonrası)","Yarı Mamül","KM"})),IF(COUNT(G404:R404)=0,"Başlamadı",LOOKUP(2,1/(G404:R404=MAX(G404:R404)),{"Tasarımda","Ply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04" s="177">
        <f t="shared" ca="1" si="104"/>
        <v>1</v>
      </c>
      <c r="AB404" s="175"/>
      <c r="AD404" t="str">
        <f>IF(OR($B404="",NOT(ISNUMBER(G404))),"",IF(COUNTIF(H404:$T404,G404)&gt;0,0,IF(COUNTIF($G404:$T404,"&gt;"&amp;G404)=0,"",SMALL($G404:$T404,COUNTIF($G404:$T404,"&lt;="&amp;G404)+1)-G404)))</f>
        <v/>
      </c>
      <c r="AE404" t="str">
        <f>IF(OR($B404="",NOT(ISNUMBER(H404))),"",IF(COUNTIF(I404:$T404,H404)&gt;0,0,IF(COUNTIF($G404:$T404,"&gt;"&amp;H404)=0,"",SMALL($G404:$T404,COUNTIF($G404:$T404,"&lt;="&amp;H404)+1)-H404)))</f>
        <v/>
      </c>
      <c r="AF404">
        <f>IF(OR($B404="",NOT(ISNUMBER(I404))),"",IF(COUNTIF(J404:$T404,I404)&gt;0,0,IF(COUNTIF($G404:$T404,"&gt;"&amp;I404)=0,"",SMALL($G404:$T404,COUNTIF($G404:$T404,"&lt;="&amp;I404)+1)-I404)))</f>
        <v>1</v>
      </c>
      <c r="AG404">
        <f>IF(OR($B404="",NOT(ISNUMBER(J404))),"",IF(COUNTIF(K404:$T404,J404)&gt;0,0,IF(COUNTIF($G404:$T404,"&gt;"&amp;J404)=0,"",SMALL($G404:$T404,COUNTIF($G404:$T404,"&lt;="&amp;J404)+1)-J404)))</f>
        <v>0</v>
      </c>
      <c r="AH404" t="str">
        <f>IF(OR($B404="",NOT(ISNUMBER(K404))),"",IF(COUNTIF(L404:$T404,K404)&gt;0,0,IF(COUNTIF($G404:$T404,"&gt;"&amp;K404)=0,"",SMALL($G404:$T404,COUNTIF($G404:$T404,"&lt;="&amp;K404)+1)-K404)))</f>
        <v/>
      </c>
      <c r="AI404" t="str">
        <f>IF(OR($B404="",NOT(ISNUMBER(L404))),"",IF(COUNTIF(M404:$T404,L404)&gt;0,0,IF(COUNTIF($G404:$T404,"&gt;"&amp;L404)=0,"",SMALL($G404:$T404,COUNTIF($G404:$T404,"&lt;="&amp;L404)+1)-L404)))</f>
        <v/>
      </c>
      <c r="AJ404" t="str">
        <f>IF(OR($B404="",NOT(ISNUMBER(M404))),"",IF(COUNTIF(N404:$T404,M404)&gt;0,0,IF(COUNTIF($G404:$T404,"&gt;"&amp;M404)=0,"",SMALL($G404:$T404,COUNTIF($G404:$T404,"&lt;="&amp;M404)+1)-M404)))</f>
        <v/>
      </c>
      <c r="AK404" t="str">
        <f>IF(OR($B404="",NOT(ISNUMBER(N404))),"",IF(COUNTIF(O404:$T404,N404)&gt;0,0,IF(COUNTIF($G404:$T404,"&gt;"&amp;N404)=0,"",SMALL($G404:$T404,COUNTIF($G404:$T404,"&lt;="&amp;N404)+1)-N404)))</f>
        <v/>
      </c>
      <c r="AL404" t="str">
        <f>IF(OR($B404="",NOT(ISNUMBER(O404))),"",IF(COUNTIF(P404:$T404,O404)&gt;0,0,IF(COUNTIF($G404:$T404,"&gt;"&amp;O404)=0,"",SMALL($G404:$T404,COUNTIF($G404:$T404,"&lt;="&amp;O404)+1)-O404)))</f>
        <v/>
      </c>
      <c r="AM404" t="str">
        <f>IF(OR($B404="",NOT(ISNUMBER(P404))),"",IF(COUNTIF(Q404:$T404,P404)&gt;0,0,IF(COUNTIF($G404:$T404,"&gt;"&amp;P404)=0,"",SMALL($G404:$T404,COUNTIF($G404:$T404,"&lt;="&amp;P404)+1)-P404)))</f>
        <v/>
      </c>
      <c r="AN404" t="str">
        <f>IF(OR($B404="",NOT(ISNUMBER(Q404))),"",IF(COUNTIF(R404:$T404,Q404)&gt;0,0,IF(COUNTIF($G404:$T404,"&gt;"&amp;Q404)=0,"",SMALL($G404:$T404,COUNTIF($G404:$T404,"&lt;="&amp;Q404)+1)-Q404)))</f>
        <v/>
      </c>
      <c r="AO404" t="str">
        <f>IF(OR($B404="",NOT(ISNUMBER(R404))),"",IF(COUNTIF(S404:$T404,R404)&gt;0,0,IF(COUNTIF($G404:$T404,"&gt;"&amp;R404)=0,"",SMALL($G404:$T404,COUNTIF($G404:$T404,"&lt;="&amp;R404)+1)-R404)))</f>
        <v/>
      </c>
      <c r="AP404">
        <f t="shared" ca="1" si="105"/>
        <v>0</v>
      </c>
      <c r="AQ404" s="25" t="str">
        <f t="shared" si="106"/>
        <v/>
      </c>
      <c r="AR404" s="25" t="str">
        <f t="shared" si="107"/>
        <v/>
      </c>
      <c r="AS404" s="25">
        <f t="shared" si="108"/>
        <v>46303</v>
      </c>
      <c r="AT404" s="25">
        <f t="shared" si="109"/>
        <v>46303</v>
      </c>
      <c r="AU404" s="25" t="str">
        <f t="shared" si="110"/>
        <v/>
      </c>
      <c r="AV404" s="25" t="str">
        <f t="shared" si="111"/>
        <v/>
      </c>
      <c r="AW404" s="25" t="str">
        <f t="shared" si="112"/>
        <v/>
      </c>
      <c r="AX404" s="25" t="str">
        <f t="shared" si="113"/>
        <v/>
      </c>
      <c r="AY404" s="25" t="str">
        <f t="shared" si="114"/>
        <v/>
      </c>
      <c r="AZ404" s="25" t="str">
        <f t="shared" si="115"/>
        <v/>
      </c>
      <c r="BA404" s="25" t="str">
        <f t="shared" si="116"/>
        <v/>
      </c>
      <c r="BB404" s="25" t="str">
        <f t="shared" si="117"/>
        <v/>
      </c>
      <c r="BC404" s="25">
        <f t="shared" si="118"/>
        <v>46303</v>
      </c>
    </row>
    <row r="405" spans="1:55" x14ac:dyDescent="0.25">
      <c r="A405" s="151">
        <f t="shared" si="103"/>
        <v>403</v>
      </c>
      <c r="B405" s="151" t="s">
        <v>621</v>
      </c>
      <c r="C405" s="152" t="s">
        <v>72</v>
      </c>
      <c r="D405" s="151">
        <f t="shared" si="102"/>
        <v>1</v>
      </c>
      <c r="E405" s="151" t="s">
        <v>61</v>
      </c>
      <c r="F405" s="173">
        <v>46302</v>
      </c>
      <c r="G405" s="173"/>
      <c r="H405" s="173"/>
      <c r="I405" s="173">
        <v>46302</v>
      </c>
      <c r="J405" s="173">
        <v>46303</v>
      </c>
      <c r="K405" s="173"/>
      <c r="L405" s="173"/>
      <c r="M405" s="173"/>
      <c r="N405" s="173"/>
      <c r="O405" s="173"/>
      <c r="P405" s="173"/>
      <c r="Q405" s="173"/>
      <c r="R405" s="173"/>
      <c r="S405" s="173"/>
      <c r="T405" s="174">
        <v>46303</v>
      </c>
      <c r="U405" s="151"/>
      <c r="V405" s="152"/>
      <c r="W405" s="175"/>
      <c r="X405" s="173"/>
      <c r="Y405" s="173"/>
      <c r="Z405" s="176" t="str">
        <f>IF(B405="","",IF(S405&lt;&gt;"","Sevk Edildi",IF(AND(X405&lt;&gt;"",Y405=""),"Reworkte",IF(T405&lt;&gt;"","Kapandı"&amp;IF(COUNT(G405:R405)=0,""," – "&amp;LOOKUP(2,1/(G405:R405=MAX(G405:R405)),{"Tasarım","Ply Cutter","Üretim","Kalite (Üretim sonrası)","Talaşlı","Kalite (Talaşlı sonrası)","Montaj","Kalite (Montaj sonrası)","Boya","Kalite (Boya sonrası)","Yarı Mamül","KM"})),IF(COUNT(G405:R405)=0,"Başlamadı",LOOKUP(2,1/(G405:R405=MAX(G405:R405)),{"Tasarımda","Ply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05" s="177">
        <f t="shared" ca="1" si="104"/>
        <v>1</v>
      </c>
      <c r="AB405" s="175"/>
      <c r="AD405" t="str">
        <f>IF(OR($B405="",NOT(ISNUMBER(G405))),"",IF(COUNTIF(H405:$T405,G405)&gt;0,0,IF(COUNTIF($G405:$T405,"&gt;"&amp;G405)=0,"",SMALL($G405:$T405,COUNTIF($G405:$T405,"&lt;="&amp;G405)+1)-G405)))</f>
        <v/>
      </c>
      <c r="AE405" t="str">
        <f>IF(OR($B405="",NOT(ISNUMBER(H405))),"",IF(COUNTIF(I405:$T405,H405)&gt;0,0,IF(COUNTIF($G405:$T405,"&gt;"&amp;H405)=0,"",SMALL($G405:$T405,COUNTIF($G405:$T405,"&lt;="&amp;H405)+1)-H405)))</f>
        <v/>
      </c>
      <c r="AF405">
        <f>IF(OR($B405="",NOT(ISNUMBER(I405))),"",IF(COUNTIF(J405:$T405,I405)&gt;0,0,IF(COUNTIF($G405:$T405,"&gt;"&amp;I405)=0,"",SMALL($G405:$T405,COUNTIF($G405:$T405,"&lt;="&amp;I405)+1)-I405)))</f>
        <v>1</v>
      </c>
      <c r="AG405">
        <f>IF(OR($B405="",NOT(ISNUMBER(J405))),"",IF(COUNTIF(K405:$T405,J405)&gt;0,0,IF(COUNTIF($G405:$T405,"&gt;"&amp;J405)=0,"",SMALL($G405:$T405,COUNTIF($G405:$T405,"&lt;="&amp;J405)+1)-J405)))</f>
        <v>0</v>
      </c>
      <c r="AH405" t="str">
        <f>IF(OR($B405="",NOT(ISNUMBER(K405))),"",IF(COUNTIF(L405:$T405,K405)&gt;0,0,IF(COUNTIF($G405:$T405,"&gt;"&amp;K405)=0,"",SMALL($G405:$T405,COUNTIF($G405:$T405,"&lt;="&amp;K405)+1)-K405)))</f>
        <v/>
      </c>
      <c r="AI405" t="str">
        <f>IF(OR($B405="",NOT(ISNUMBER(L405))),"",IF(COUNTIF(M405:$T405,L405)&gt;0,0,IF(COUNTIF($G405:$T405,"&gt;"&amp;L405)=0,"",SMALL($G405:$T405,COUNTIF($G405:$T405,"&lt;="&amp;L405)+1)-L405)))</f>
        <v/>
      </c>
      <c r="AJ405" t="str">
        <f>IF(OR($B405="",NOT(ISNUMBER(M405))),"",IF(COUNTIF(N405:$T405,M405)&gt;0,0,IF(COUNTIF($G405:$T405,"&gt;"&amp;M405)=0,"",SMALL($G405:$T405,COUNTIF($G405:$T405,"&lt;="&amp;M405)+1)-M405)))</f>
        <v/>
      </c>
      <c r="AK405" t="str">
        <f>IF(OR($B405="",NOT(ISNUMBER(N405))),"",IF(COUNTIF(O405:$T405,N405)&gt;0,0,IF(COUNTIF($G405:$T405,"&gt;"&amp;N405)=0,"",SMALL($G405:$T405,COUNTIF($G405:$T405,"&lt;="&amp;N405)+1)-N405)))</f>
        <v/>
      </c>
      <c r="AL405" t="str">
        <f>IF(OR($B405="",NOT(ISNUMBER(O405))),"",IF(COUNTIF(P405:$T405,O405)&gt;0,0,IF(COUNTIF($G405:$T405,"&gt;"&amp;O405)=0,"",SMALL($G405:$T405,COUNTIF($G405:$T405,"&lt;="&amp;O405)+1)-O405)))</f>
        <v/>
      </c>
      <c r="AM405" t="str">
        <f>IF(OR($B405="",NOT(ISNUMBER(P405))),"",IF(COUNTIF(Q405:$T405,P405)&gt;0,0,IF(COUNTIF($G405:$T405,"&gt;"&amp;P405)=0,"",SMALL($G405:$T405,COUNTIF($G405:$T405,"&lt;="&amp;P405)+1)-P405)))</f>
        <v/>
      </c>
      <c r="AN405" t="str">
        <f>IF(OR($B405="",NOT(ISNUMBER(Q405))),"",IF(COUNTIF(R405:$T405,Q405)&gt;0,0,IF(COUNTIF($G405:$T405,"&gt;"&amp;Q405)=0,"",SMALL($G405:$T405,COUNTIF($G405:$T405,"&lt;="&amp;Q405)+1)-Q405)))</f>
        <v/>
      </c>
      <c r="AO405" t="str">
        <f>IF(OR($B405="",NOT(ISNUMBER(R405))),"",IF(COUNTIF(S405:$T405,R405)&gt;0,0,IF(COUNTIF($G405:$T405,"&gt;"&amp;R405)=0,"",SMALL($G405:$T405,COUNTIF($G405:$T405,"&lt;="&amp;R405)+1)-R405)))</f>
        <v/>
      </c>
      <c r="AP405">
        <f t="shared" ca="1" si="105"/>
        <v>0</v>
      </c>
      <c r="AQ405" s="25" t="str">
        <f t="shared" si="106"/>
        <v/>
      </c>
      <c r="AR405" s="25" t="str">
        <f t="shared" si="107"/>
        <v/>
      </c>
      <c r="AS405" s="25">
        <f t="shared" si="108"/>
        <v>46303</v>
      </c>
      <c r="AT405" s="25">
        <f t="shared" si="109"/>
        <v>46303</v>
      </c>
      <c r="AU405" s="25" t="str">
        <f t="shared" si="110"/>
        <v/>
      </c>
      <c r="AV405" s="25" t="str">
        <f t="shared" si="111"/>
        <v/>
      </c>
      <c r="AW405" s="25" t="str">
        <f t="shared" si="112"/>
        <v/>
      </c>
      <c r="AX405" s="25" t="str">
        <f t="shared" si="113"/>
        <v/>
      </c>
      <c r="AY405" s="25" t="str">
        <f t="shared" si="114"/>
        <v/>
      </c>
      <c r="AZ405" s="25" t="str">
        <f t="shared" si="115"/>
        <v/>
      </c>
      <c r="BA405" s="25" t="str">
        <f t="shared" si="116"/>
        <v/>
      </c>
      <c r="BB405" s="25" t="str">
        <f t="shared" si="117"/>
        <v/>
      </c>
      <c r="BC405" s="25">
        <f t="shared" si="118"/>
        <v>46303</v>
      </c>
    </row>
    <row r="406" spans="1:55" x14ac:dyDescent="0.25">
      <c r="A406" s="151">
        <f t="shared" si="103"/>
        <v>404</v>
      </c>
      <c r="B406" s="151" t="s">
        <v>622</v>
      </c>
      <c r="C406" s="152" t="s">
        <v>565</v>
      </c>
      <c r="D406" s="151">
        <f t="shared" si="102"/>
        <v>3</v>
      </c>
      <c r="E406" s="151" t="s">
        <v>61</v>
      </c>
      <c r="F406" s="173">
        <v>46302</v>
      </c>
      <c r="G406" s="173"/>
      <c r="H406" s="173"/>
      <c r="I406" s="173">
        <v>46302</v>
      </c>
      <c r="J406" s="173">
        <v>46303</v>
      </c>
      <c r="K406" s="173"/>
      <c r="L406" s="173"/>
      <c r="M406" s="173"/>
      <c r="N406" s="173"/>
      <c r="O406" s="173"/>
      <c r="P406" s="173"/>
      <c r="Q406" s="173"/>
      <c r="R406" s="173"/>
      <c r="S406" s="173"/>
      <c r="T406" s="174">
        <v>46303</v>
      </c>
      <c r="U406" s="151"/>
      <c r="V406" s="152"/>
      <c r="W406" s="175"/>
      <c r="X406" s="173"/>
      <c r="Y406" s="173"/>
      <c r="Z406" s="176" t="str">
        <f>IF(B406="","",IF(S406&lt;&gt;"","Sevk Edildi",IF(AND(X406&lt;&gt;"",Y406=""),"Reworkte",IF(T406&lt;&gt;"","Kapandı"&amp;IF(COUNT(G406:R406)=0,""," – "&amp;LOOKUP(2,1/(G406:R406=MAX(G406:R406)),{"Tasarım","Ply Cutter","Üretim","Kalite (Üretim sonrası)","Talaşlı","Kalite (Talaşlı sonrası)","Montaj","Kalite (Montaj sonrası)","Boya","Kalite (Boya sonrası)","Yarı Mamül","KM"})),IF(COUNT(G406:R406)=0,"Başlamadı",LOOKUP(2,1/(G406:R406=MAX(G406:R406)),{"Tasarımda","Ply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06" s="177">
        <f t="shared" ca="1" si="104"/>
        <v>1</v>
      </c>
      <c r="AB406" s="175"/>
      <c r="AD406" t="str">
        <f>IF(OR($B406="",NOT(ISNUMBER(G406))),"",IF(COUNTIF(H406:$T406,G406)&gt;0,0,IF(COUNTIF($G406:$T406,"&gt;"&amp;G406)=0,"",SMALL($G406:$T406,COUNTIF($G406:$T406,"&lt;="&amp;G406)+1)-G406)))</f>
        <v/>
      </c>
      <c r="AE406" t="str">
        <f>IF(OR($B406="",NOT(ISNUMBER(H406))),"",IF(COUNTIF(I406:$T406,H406)&gt;0,0,IF(COUNTIF($G406:$T406,"&gt;"&amp;H406)=0,"",SMALL($G406:$T406,COUNTIF($G406:$T406,"&lt;="&amp;H406)+1)-H406)))</f>
        <v/>
      </c>
      <c r="AF406">
        <f>IF(OR($B406="",NOT(ISNUMBER(I406))),"",IF(COUNTIF(J406:$T406,I406)&gt;0,0,IF(COUNTIF($G406:$T406,"&gt;"&amp;I406)=0,"",SMALL($G406:$T406,COUNTIF($G406:$T406,"&lt;="&amp;I406)+1)-I406)))</f>
        <v>1</v>
      </c>
      <c r="AG406">
        <f>IF(OR($B406="",NOT(ISNUMBER(J406))),"",IF(COUNTIF(K406:$T406,J406)&gt;0,0,IF(COUNTIF($G406:$T406,"&gt;"&amp;J406)=0,"",SMALL($G406:$T406,COUNTIF($G406:$T406,"&lt;="&amp;J406)+1)-J406)))</f>
        <v>0</v>
      </c>
      <c r="AH406" t="str">
        <f>IF(OR($B406="",NOT(ISNUMBER(K406))),"",IF(COUNTIF(L406:$T406,K406)&gt;0,0,IF(COUNTIF($G406:$T406,"&gt;"&amp;K406)=0,"",SMALL($G406:$T406,COUNTIF($G406:$T406,"&lt;="&amp;K406)+1)-K406)))</f>
        <v/>
      </c>
      <c r="AI406" t="str">
        <f>IF(OR($B406="",NOT(ISNUMBER(L406))),"",IF(COUNTIF(M406:$T406,L406)&gt;0,0,IF(COUNTIF($G406:$T406,"&gt;"&amp;L406)=0,"",SMALL($G406:$T406,COUNTIF($G406:$T406,"&lt;="&amp;L406)+1)-L406)))</f>
        <v/>
      </c>
      <c r="AJ406" t="str">
        <f>IF(OR($B406="",NOT(ISNUMBER(M406))),"",IF(COUNTIF(N406:$T406,M406)&gt;0,0,IF(COUNTIF($G406:$T406,"&gt;"&amp;M406)=0,"",SMALL($G406:$T406,COUNTIF($G406:$T406,"&lt;="&amp;M406)+1)-M406)))</f>
        <v/>
      </c>
      <c r="AK406" t="str">
        <f>IF(OR($B406="",NOT(ISNUMBER(N406))),"",IF(COUNTIF(O406:$T406,N406)&gt;0,0,IF(COUNTIF($G406:$T406,"&gt;"&amp;N406)=0,"",SMALL($G406:$T406,COUNTIF($G406:$T406,"&lt;="&amp;N406)+1)-N406)))</f>
        <v/>
      </c>
      <c r="AL406" t="str">
        <f>IF(OR($B406="",NOT(ISNUMBER(O406))),"",IF(COUNTIF(P406:$T406,O406)&gt;0,0,IF(COUNTIF($G406:$T406,"&gt;"&amp;O406)=0,"",SMALL($G406:$T406,COUNTIF($G406:$T406,"&lt;="&amp;O406)+1)-O406)))</f>
        <v/>
      </c>
      <c r="AM406" t="str">
        <f>IF(OR($B406="",NOT(ISNUMBER(P406))),"",IF(COUNTIF(Q406:$T406,P406)&gt;0,0,IF(COUNTIF($G406:$T406,"&gt;"&amp;P406)=0,"",SMALL($G406:$T406,COUNTIF($G406:$T406,"&lt;="&amp;P406)+1)-P406)))</f>
        <v/>
      </c>
      <c r="AN406" t="str">
        <f>IF(OR($B406="",NOT(ISNUMBER(Q406))),"",IF(COUNTIF(R406:$T406,Q406)&gt;0,0,IF(COUNTIF($G406:$T406,"&gt;"&amp;Q406)=0,"",SMALL($G406:$T406,COUNTIF($G406:$T406,"&lt;="&amp;Q406)+1)-Q406)))</f>
        <v/>
      </c>
      <c r="AO406" t="str">
        <f>IF(OR($B406="",NOT(ISNUMBER(R406))),"",IF(COUNTIF(S406:$T406,R406)&gt;0,0,IF(COUNTIF($G406:$T406,"&gt;"&amp;R406)=0,"",SMALL($G406:$T406,COUNTIF($G406:$T406,"&lt;="&amp;R406)+1)-R406)))</f>
        <v/>
      </c>
      <c r="AP406">
        <f t="shared" ca="1" si="105"/>
        <v>0</v>
      </c>
      <c r="AQ406" s="25" t="str">
        <f t="shared" si="106"/>
        <v/>
      </c>
      <c r="AR406" s="25" t="str">
        <f t="shared" si="107"/>
        <v/>
      </c>
      <c r="AS406" s="25">
        <f t="shared" si="108"/>
        <v>46303</v>
      </c>
      <c r="AT406" s="25">
        <f t="shared" si="109"/>
        <v>46303</v>
      </c>
      <c r="AU406" s="25" t="str">
        <f t="shared" si="110"/>
        <v/>
      </c>
      <c r="AV406" s="25" t="str">
        <f t="shared" si="111"/>
        <v/>
      </c>
      <c r="AW406" s="25" t="str">
        <f t="shared" si="112"/>
        <v/>
      </c>
      <c r="AX406" s="25" t="str">
        <f t="shared" si="113"/>
        <v/>
      </c>
      <c r="AY406" s="25" t="str">
        <f t="shared" si="114"/>
        <v/>
      </c>
      <c r="AZ406" s="25" t="str">
        <f t="shared" si="115"/>
        <v/>
      </c>
      <c r="BA406" s="25" t="str">
        <f t="shared" si="116"/>
        <v/>
      </c>
      <c r="BB406" s="25" t="str">
        <f t="shared" si="117"/>
        <v/>
      </c>
      <c r="BC406" s="25">
        <f t="shared" si="118"/>
        <v>46303</v>
      </c>
    </row>
    <row r="407" spans="1:55" x14ac:dyDescent="0.25">
      <c r="A407" s="151">
        <f t="shared" si="103"/>
        <v>405</v>
      </c>
      <c r="B407" s="151" t="s">
        <v>623</v>
      </c>
      <c r="C407" s="152" t="s">
        <v>624</v>
      </c>
      <c r="D407" s="151">
        <f t="shared" si="102"/>
        <v>1</v>
      </c>
      <c r="E407" s="151" t="s">
        <v>61</v>
      </c>
      <c r="F407" s="173">
        <v>46302</v>
      </c>
      <c r="G407" s="173"/>
      <c r="H407" s="173"/>
      <c r="I407" s="173"/>
      <c r="J407" s="173"/>
      <c r="K407" s="173"/>
      <c r="L407" s="173"/>
      <c r="M407" s="173"/>
      <c r="N407" s="173"/>
      <c r="O407" s="173">
        <v>46302</v>
      </c>
      <c r="P407" s="173"/>
      <c r="Q407" s="173"/>
      <c r="R407" s="173"/>
      <c r="S407" s="173"/>
      <c r="T407" s="151"/>
      <c r="U407" s="151"/>
      <c r="V407" s="152"/>
      <c r="W407" s="175"/>
      <c r="X407" s="173"/>
      <c r="Y407" s="173"/>
      <c r="Z407" s="176" t="str">
        <f>IF(B407="","",IF(S407&lt;&gt;"","Sevk Edildi",IF(AND(X407&lt;&gt;"",Y407=""),"Reworkte",IF(T407&lt;&gt;"","Kapandı"&amp;IF(COUNT(G407:R407)=0,""," – "&amp;LOOKUP(2,1/(G407:R407=MAX(G407:R407)),{"Tasarım","Ply Cutter","Üretim","Kalite (Üretim sonrası)","Talaşlı","Kalite (Talaşlı sonrası)","Montaj","Kalite (Montaj sonrası)","Boya","Kalite (Boya sonrası)","Yarı Mamül","KM"})),IF(COUNT(G407:R407)=0,"Başlamadı",LOOKUP(2,1/(G407:R407=MAX(G407:R407)),{"Tasarımda","Ply Cutter'da","Üretimde","Kalitede (Üretim sonrası)","Talaşlıda","Kalitede (Talaşlı sonrası)","Montajda","Kalitede (Montaj sonrası)","Boyada","Kalitede (Boya sonrası)","Yarı Mamülde","KM'de"}))))))</f>
        <v>Boyada</v>
      </c>
      <c r="AA407" s="177">
        <f t="shared" ca="1" si="104"/>
        <v>5</v>
      </c>
      <c r="AB407" s="175"/>
      <c r="AD407" t="str">
        <f>IF(OR($B407="",NOT(ISNUMBER(G407))),"",IF(COUNTIF(H407:$T407,G407)&gt;0,0,IF(COUNTIF($G407:$T407,"&gt;"&amp;G407)=0,"",SMALL($G407:$T407,COUNTIF($G407:$T407,"&lt;="&amp;G407)+1)-G407)))</f>
        <v/>
      </c>
      <c r="AE407" t="str">
        <f>IF(OR($B407="",NOT(ISNUMBER(H407))),"",IF(COUNTIF(I407:$T407,H407)&gt;0,0,IF(COUNTIF($G407:$T407,"&gt;"&amp;H407)=0,"",SMALL($G407:$T407,COUNTIF($G407:$T407,"&lt;="&amp;H407)+1)-H407)))</f>
        <v/>
      </c>
      <c r="AF407" t="str">
        <f>IF(OR($B407="",NOT(ISNUMBER(I407))),"",IF(COUNTIF(J407:$T407,I407)&gt;0,0,IF(COUNTIF($G407:$T407,"&gt;"&amp;I407)=0,"",SMALL($G407:$T407,COUNTIF($G407:$T407,"&lt;="&amp;I407)+1)-I407)))</f>
        <v/>
      </c>
      <c r="AG407" t="str">
        <f>IF(OR($B407="",NOT(ISNUMBER(J407))),"",IF(COUNTIF(K407:$T407,J407)&gt;0,0,IF(COUNTIF($G407:$T407,"&gt;"&amp;J407)=0,"",SMALL($G407:$T407,COUNTIF($G407:$T407,"&lt;="&amp;J407)+1)-J407)))</f>
        <v/>
      </c>
      <c r="AH407" t="str">
        <f>IF(OR($B407="",NOT(ISNUMBER(K407))),"",IF(COUNTIF(L407:$T407,K407)&gt;0,0,IF(COUNTIF($G407:$T407,"&gt;"&amp;K407)=0,"",SMALL($G407:$T407,COUNTIF($G407:$T407,"&lt;="&amp;K407)+1)-K407)))</f>
        <v/>
      </c>
      <c r="AI407" t="str">
        <f>IF(OR($B407="",NOT(ISNUMBER(L407))),"",IF(COUNTIF(M407:$T407,L407)&gt;0,0,IF(COUNTIF($G407:$T407,"&gt;"&amp;L407)=0,"",SMALL($G407:$T407,COUNTIF($G407:$T407,"&lt;="&amp;L407)+1)-L407)))</f>
        <v/>
      </c>
      <c r="AJ407" t="str">
        <f>IF(OR($B407="",NOT(ISNUMBER(M407))),"",IF(COUNTIF(N407:$T407,M407)&gt;0,0,IF(COUNTIF($G407:$T407,"&gt;"&amp;M407)=0,"",SMALL($G407:$T407,COUNTIF($G407:$T407,"&lt;="&amp;M407)+1)-M407)))</f>
        <v/>
      </c>
      <c r="AK407" t="str">
        <f>IF(OR($B407="",NOT(ISNUMBER(N407))),"",IF(COUNTIF(O407:$T407,N407)&gt;0,0,IF(COUNTIF($G407:$T407,"&gt;"&amp;N407)=0,"",SMALL($G407:$T407,COUNTIF($G407:$T407,"&lt;="&amp;N407)+1)-N407)))</f>
        <v/>
      </c>
      <c r="AL407" t="str">
        <f>IF(OR($B407="",NOT(ISNUMBER(O407))),"",IF(COUNTIF(P407:$T407,O407)&gt;0,0,IF(COUNTIF($G407:$T407,"&gt;"&amp;O407)=0,"",SMALL($G407:$T407,COUNTIF($G407:$T407,"&lt;="&amp;O407)+1)-O407)))</f>
        <v/>
      </c>
      <c r="AM407" t="str">
        <f>IF(OR($B407="",NOT(ISNUMBER(P407))),"",IF(COUNTIF(Q407:$T407,P407)&gt;0,0,IF(COUNTIF($G407:$T407,"&gt;"&amp;P407)=0,"",SMALL($G407:$T407,COUNTIF($G407:$T407,"&lt;="&amp;P407)+1)-P407)))</f>
        <v/>
      </c>
      <c r="AN407" t="str">
        <f>IF(OR($B407="",NOT(ISNUMBER(Q407))),"",IF(COUNTIF(R407:$T407,Q407)&gt;0,0,IF(COUNTIF($G407:$T407,"&gt;"&amp;Q407)=0,"",SMALL($G407:$T407,COUNTIF($G407:$T407,"&lt;="&amp;Q407)+1)-Q407)))</f>
        <v/>
      </c>
      <c r="AO407" t="str">
        <f>IF(OR($B407="",NOT(ISNUMBER(R407))),"",IF(COUNTIF(S407:$T407,R407)&gt;0,0,IF(COUNTIF($G407:$T407,"&gt;"&amp;R407)=0,"",SMALL($G407:$T407,COUNTIF($G407:$T407,"&lt;="&amp;R407)+1)-R407)))</f>
        <v/>
      </c>
      <c r="AP407">
        <f t="shared" ca="1" si="105"/>
        <v>5</v>
      </c>
      <c r="AQ407" s="25" t="str">
        <f t="shared" si="106"/>
        <v/>
      </c>
      <c r="AR407" s="25" t="str">
        <f t="shared" si="107"/>
        <v/>
      </c>
      <c r="AS407" s="25" t="str">
        <f t="shared" si="108"/>
        <v/>
      </c>
      <c r="AT407" s="25" t="str">
        <f t="shared" si="109"/>
        <v/>
      </c>
      <c r="AU407" s="25" t="str">
        <f t="shared" si="110"/>
        <v/>
      </c>
      <c r="AV407" s="25" t="str">
        <f t="shared" si="111"/>
        <v/>
      </c>
      <c r="AW407" s="25" t="str">
        <f t="shared" si="112"/>
        <v/>
      </c>
      <c r="AX407" s="25" t="str">
        <f t="shared" si="113"/>
        <v/>
      </c>
      <c r="AY407" s="25" t="str">
        <f t="shared" si="114"/>
        <v/>
      </c>
      <c r="AZ407" s="25" t="str">
        <f t="shared" si="115"/>
        <v/>
      </c>
      <c r="BA407" s="25" t="str">
        <f t="shared" si="116"/>
        <v/>
      </c>
      <c r="BB407" s="25" t="str">
        <f t="shared" si="117"/>
        <v/>
      </c>
      <c r="BC407" s="25" t="str">
        <f t="shared" si="118"/>
        <v/>
      </c>
    </row>
    <row r="408" spans="1:55" x14ac:dyDescent="0.25">
      <c r="A408" s="151">
        <f t="shared" si="103"/>
        <v>406</v>
      </c>
      <c r="B408" s="151" t="s">
        <v>625</v>
      </c>
      <c r="C408" s="152" t="s">
        <v>376</v>
      </c>
      <c r="D408" s="151">
        <f t="shared" si="102"/>
        <v>2</v>
      </c>
      <c r="E408" s="151" t="s">
        <v>61</v>
      </c>
      <c r="F408" s="173">
        <v>46302</v>
      </c>
      <c r="G408" s="173"/>
      <c r="H408" s="173"/>
      <c r="I408" s="173"/>
      <c r="J408" s="173"/>
      <c r="K408" s="173"/>
      <c r="L408" s="173"/>
      <c r="M408" s="173"/>
      <c r="N408" s="173"/>
      <c r="O408" s="173">
        <v>46302</v>
      </c>
      <c r="P408" s="173"/>
      <c r="Q408" s="173"/>
      <c r="R408" s="173"/>
      <c r="S408" s="173"/>
      <c r="T408" s="151"/>
      <c r="U408" s="151"/>
      <c r="V408" s="152"/>
      <c r="W408" s="175"/>
      <c r="X408" s="173"/>
      <c r="Y408" s="173"/>
      <c r="Z408" s="176" t="str">
        <f>IF(B408="","",IF(S408&lt;&gt;"","Sevk Edildi",IF(AND(X408&lt;&gt;"",Y408=""),"Reworkte",IF(T408&lt;&gt;"","Kapandı"&amp;IF(COUNT(G408:R408)=0,""," – "&amp;LOOKUP(2,1/(G408:R408=MAX(G408:R408)),{"Tasarım","Ply Cutter","Üretim","Kalite (Üretim sonrası)","Talaşlı","Kalite (Talaşlı sonrası)","Montaj","Kalite (Montaj sonrası)","Boya","Kalite (Boya sonrası)","Yarı Mamül","KM"})),IF(COUNT(G408:R408)=0,"Başlamadı",LOOKUP(2,1/(G408:R408=MAX(G408:R408)),{"Tasarımda","Ply Cutter'da","Üretimde","Kalitede (Üretim sonrası)","Talaşlıda","Kalitede (Talaşlı sonrası)","Montajda","Kalitede (Montaj sonrası)","Boyada","Kalitede (Boya sonrası)","Yarı Mamülde","KM'de"}))))))</f>
        <v>Boyada</v>
      </c>
      <c r="AA408" s="177">
        <f t="shared" ca="1" si="104"/>
        <v>5</v>
      </c>
      <c r="AB408" s="175"/>
      <c r="AD408" t="str">
        <f>IF(OR($B408="",NOT(ISNUMBER(G408))),"",IF(COUNTIF(H408:$T408,G408)&gt;0,0,IF(COUNTIF($G408:$T408,"&gt;"&amp;G408)=0,"",SMALL($G408:$T408,COUNTIF($G408:$T408,"&lt;="&amp;G408)+1)-G408)))</f>
        <v/>
      </c>
      <c r="AE408" t="str">
        <f>IF(OR($B408="",NOT(ISNUMBER(H408))),"",IF(COUNTIF(I408:$T408,H408)&gt;0,0,IF(COUNTIF($G408:$T408,"&gt;"&amp;H408)=0,"",SMALL($G408:$T408,COUNTIF($G408:$T408,"&lt;="&amp;H408)+1)-H408)))</f>
        <v/>
      </c>
      <c r="AF408" t="str">
        <f>IF(OR($B408="",NOT(ISNUMBER(I408))),"",IF(COUNTIF(J408:$T408,I408)&gt;0,0,IF(COUNTIF($G408:$T408,"&gt;"&amp;I408)=0,"",SMALL($G408:$T408,COUNTIF($G408:$T408,"&lt;="&amp;I408)+1)-I408)))</f>
        <v/>
      </c>
      <c r="AG408" t="str">
        <f>IF(OR($B408="",NOT(ISNUMBER(J408))),"",IF(COUNTIF(K408:$T408,J408)&gt;0,0,IF(COUNTIF($G408:$T408,"&gt;"&amp;J408)=0,"",SMALL($G408:$T408,COUNTIF($G408:$T408,"&lt;="&amp;J408)+1)-J408)))</f>
        <v/>
      </c>
      <c r="AH408" t="str">
        <f>IF(OR($B408="",NOT(ISNUMBER(K408))),"",IF(COUNTIF(L408:$T408,K408)&gt;0,0,IF(COUNTIF($G408:$T408,"&gt;"&amp;K408)=0,"",SMALL($G408:$T408,COUNTIF($G408:$T408,"&lt;="&amp;K408)+1)-K408)))</f>
        <v/>
      </c>
      <c r="AI408" t="str">
        <f>IF(OR($B408="",NOT(ISNUMBER(L408))),"",IF(COUNTIF(M408:$T408,L408)&gt;0,0,IF(COUNTIF($G408:$T408,"&gt;"&amp;L408)=0,"",SMALL($G408:$T408,COUNTIF($G408:$T408,"&lt;="&amp;L408)+1)-L408)))</f>
        <v/>
      </c>
      <c r="AJ408" t="str">
        <f>IF(OR($B408="",NOT(ISNUMBER(M408))),"",IF(COUNTIF(N408:$T408,M408)&gt;0,0,IF(COUNTIF($G408:$T408,"&gt;"&amp;M408)=0,"",SMALL($G408:$T408,COUNTIF($G408:$T408,"&lt;="&amp;M408)+1)-M408)))</f>
        <v/>
      </c>
      <c r="AK408" t="str">
        <f>IF(OR($B408="",NOT(ISNUMBER(N408))),"",IF(COUNTIF(O408:$T408,N408)&gt;0,0,IF(COUNTIF($G408:$T408,"&gt;"&amp;N408)=0,"",SMALL($G408:$T408,COUNTIF($G408:$T408,"&lt;="&amp;N408)+1)-N408)))</f>
        <v/>
      </c>
      <c r="AL408" t="str">
        <f>IF(OR($B408="",NOT(ISNUMBER(O408))),"",IF(COUNTIF(P408:$T408,O408)&gt;0,0,IF(COUNTIF($G408:$T408,"&gt;"&amp;O408)=0,"",SMALL($G408:$T408,COUNTIF($G408:$T408,"&lt;="&amp;O408)+1)-O408)))</f>
        <v/>
      </c>
      <c r="AM408" t="str">
        <f>IF(OR($B408="",NOT(ISNUMBER(P408))),"",IF(COUNTIF(Q408:$T408,P408)&gt;0,0,IF(COUNTIF($G408:$T408,"&gt;"&amp;P408)=0,"",SMALL($G408:$T408,COUNTIF($G408:$T408,"&lt;="&amp;P408)+1)-P408)))</f>
        <v/>
      </c>
      <c r="AN408" t="str">
        <f>IF(OR($B408="",NOT(ISNUMBER(Q408))),"",IF(COUNTIF(R408:$T408,Q408)&gt;0,0,IF(COUNTIF($G408:$T408,"&gt;"&amp;Q408)=0,"",SMALL($G408:$T408,COUNTIF($G408:$T408,"&lt;="&amp;Q408)+1)-Q408)))</f>
        <v/>
      </c>
      <c r="AO408" t="str">
        <f>IF(OR($B408="",NOT(ISNUMBER(R408))),"",IF(COUNTIF(S408:$T408,R408)&gt;0,0,IF(COUNTIF($G408:$T408,"&gt;"&amp;R408)=0,"",SMALL($G408:$T408,COUNTIF($G408:$T408,"&lt;="&amp;R408)+1)-R408)))</f>
        <v/>
      </c>
      <c r="AP408">
        <f t="shared" ca="1" si="105"/>
        <v>5</v>
      </c>
      <c r="AQ408" s="25" t="str">
        <f t="shared" si="106"/>
        <v/>
      </c>
      <c r="AR408" s="25" t="str">
        <f t="shared" si="107"/>
        <v/>
      </c>
      <c r="AS408" s="25" t="str">
        <f t="shared" si="108"/>
        <v/>
      </c>
      <c r="AT408" s="25" t="str">
        <f t="shared" si="109"/>
        <v/>
      </c>
      <c r="AU408" s="25" t="str">
        <f t="shared" si="110"/>
        <v/>
      </c>
      <c r="AV408" s="25" t="str">
        <f t="shared" si="111"/>
        <v/>
      </c>
      <c r="AW408" s="25" t="str">
        <f t="shared" si="112"/>
        <v/>
      </c>
      <c r="AX408" s="25" t="str">
        <f t="shared" si="113"/>
        <v/>
      </c>
      <c r="AY408" s="25" t="str">
        <f t="shared" si="114"/>
        <v/>
      </c>
      <c r="AZ408" s="25" t="str">
        <f t="shared" si="115"/>
        <v/>
      </c>
      <c r="BA408" s="25" t="str">
        <f t="shared" si="116"/>
        <v/>
      </c>
      <c r="BB408" s="25" t="str">
        <f t="shared" si="117"/>
        <v/>
      </c>
      <c r="BC408" s="25" t="str">
        <f t="shared" si="118"/>
        <v/>
      </c>
    </row>
    <row r="409" spans="1:55" x14ac:dyDescent="0.25">
      <c r="A409" s="151">
        <f t="shared" si="103"/>
        <v>407</v>
      </c>
      <c r="B409" s="151" t="s">
        <v>626</v>
      </c>
      <c r="C409" s="152" t="s">
        <v>378</v>
      </c>
      <c r="D409" s="151">
        <f t="shared" si="102"/>
        <v>2</v>
      </c>
      <c r="E409" s="151" t="s">
        <v>61</v>
      </c>
      <c r="F409" s="173">
        <v>46302</v>
      </c>
      <c r="G409" s="173"/>
      <c r="H409" s="173"/>
      <c r="I409" s="173"/>
      <c r="J409" s="173"/>
      <c r="K409" s="173"/>
      <c r="L409" s="173"/>
      <c r="M409" s="173"/>
      <c r="N409" s="173"/>
      <c r="O409" s="173">
        <v>46302</v>
      </c>
      <c r="P409" s="173"/>
      <c r="Q409" s="173"/>
      <c r="R409" s="173"/>
      <c r="S409" s="173"/>
      <c r="T409" s="151"/>
      <c r="U409" s="151"/>
      <c r="V409" s="152"/>
      <c r="W409" s="175"/>
      <c r="X409" s="173"/>
      <c r="Y409" s="173"/>
      <c r="Z409" s="176" t="str">
        <f>IF(B409="","",IF(S409&lt;&gt;"","Sevk Edildi",IF(AND(X409&lt;&gt;"",Y409=""),"Reworkte",IF(T409&lt;&gt;"","Kapandı"&amp;IF(COUNT(G409:R409)=0,""," – "&amp;LOOKUP(2,1/(G409:R409=MAX(G409:R409)),{"Tasarım","Ply Cutter","Üretim","Kalite (Üretim sonrası)","Talaşlı","Kalite (Talaşlı sonrası)","Montaj","Kalite (Montaj sonrası)","Boya","Kalite (Boya sonrası)","Yarı Mamül","KM"})),IF(COUNT(G409:R409)=0,"Başlamadı",LOOKUP(2,1/(G409:R409=MAX(G409:R409)),{"Tasarımda","Ply Cutter'da","Üretimde","Kalitede (Üretim sonrası)","Talaşlıda","Kalitede (Talaşlı sonrası)","Montajda","Kalitede (Montaj sonrası)","Boyada","Kalitede (Boya sonrası)","Yarı Mamülde","KM'de"}))))))</f>
        <v>Boyada</v>
      </c>
      <c r="AA409" s="177">
        <f t="shared" ca="1" si="104"/>
        <v>5</v>
      </c>
      <c r="AB409" s="175"/>
      <c r="AD409" t="str">
        <f>IF(OR($B409="",NOT(ISNUMBER(G409))),"",IF(COUNTIF(H409:$T409,G409)&gt;0,0,IF(COUNTIF($G409:$T409,"&gt;"&amp;G409)=0,"",SMALL($G409:$T409,COUNTIF($G409:$T409,"&lt;="&amp;G409)+1)-G409)))</f>
        <v/>
      </c>
      <c r="AE409" t="str">
        <f>IF(OR($B409="",NOT(ISNUMBER(H409))),"",IF(COUNTIF(I409:$T409,H409)&gt;0,0,IF(COUNTIF($G409:$T409,"&gt;"&amp;H409)=0,"",SMALL($G409:$T409,COUNTIF($G409:$T409,"&lt;="&amp;H409)+1)-H409)))</f>
        <v/>
      </c>
      <c r="AF409" t="str">
        <f>IF(OR($B409="",NOT(ISNUMBER(I409))),"",IF(COUNTIF(J409:$T409,I409)&gt;0,0,IF(COUNTIF($G409:$T409,"&gt;"&amp;I409)=0,"",SMALL($G409:$T409,COUNTIF($G409:$T409,"&lt;="&amp;I409)+1)-I409)))</f>
        <v/>
      </c>
      <c r="AG409" t="str">
        <f>IF(OR($B409="",NOT(ISNUMBER(J409))),"",IF(COUNTIF(K409:$T409,J409)&gt;0,0,IF(COUNTIF($G409:$T409,"&gt;"&amp;J409)=0,"",SMALL($G409:$T409,COUNTIF($G409:$T409,"&lt;="&amp;J409)+1)-J409)))</f>
        <v/>
      </c>
      <c r="AH409" t="str">
        <f>IF(OR($B409="",NOT(ISNUMBER(K409))),"",IF(COUNTIF(L409:$T409,K409)&gt;0,0,IF(COUNTIF($G409:$T409,"&gt;"&amp;K409)=0,"",SMALL($G409:$T409,COUNTIF($G409:$T409,"&lt;="&amp;K409)+1)-K409)))</f>
        <v/>
      </c>
      <c r="AI409" t="str">
        <f>IF(OR($B409="",NOT(ISNUMBER(L409))),"",IF(COUNTIF(M409:$T409,L409)&gt;0,0,IF(COUNTIF($G409:$T409,"&gt;"&amp;L409)=0,"",SMALL($G409:$T409,COUNTIF($G409:$T409,"&lt;="&amp;L409)+1)-L409)))</f>
        <v/>
      </c>
      <c r="AJ409" t="str">
        <f>IF(OR($B409="",NOT(ISNUMBER(M409))),"",IF(COUNTIF(N409:$T409,M409)&gt;0,0,IF(COUNTIF($G409:$T409,"&gt;"&amp;M409)=0,"",SMALL($G409:$T409,COUNTIF($G409:$T409,"&lt;="&amp;M409)+1)-M409)))</f>
        <v/>
      </c>
      <c r="AK409" t="str">
        <f>IF(OR($B409="",NOT(ISNUMBER(N409))),"",IF(COUNTIF(O409:$T409,N409)&gt;0,0,IF(COUNTIF($G409:$T409,"&gt;"&amp;N409)=0,"",SMALL($G409:$T409,COUNTIF($G409:$T409,"&lt;="&amp;N409)+1)-N409)))</f>
        <v/>
      </c>
      <c r="AL409" t="str">
        <f>IF(OR($B409="",NOT(ISNUMBER(O409))),"",IF(COUNTIF(P409:$T409,O409)&gt;0,0,IF(COUNTIF($G409:$T409,"&gt;"&amp;O409)=0,"",SMALL($G409:$T409,COUNTIF($G409:$T409,"&lt;="&amp;O409)+1)-O409)))</f>
        <v/>
      </c>
      <c r="AM409" t="str">
        <f>IF(OR($B409="",NOT(ISNUMBER(P409))),"",IF(COUNTIF(Q409:$T409,P409)&gt;0,0,IF(COUNTIF($G409:$T409,"&gt;"&amp;P409)=0,"",SMALL($G409:$T409,COUNTIF($G409:$T409,"&lt;="&amp;P409)+1)-P409)))</f>
        <v/>
      </c>
      <c r="AN409" t="str">
        <f>IF(OR($B409="",NOT(ISNUMBER(Q409))),"",IF(COUNTIF(R409:$T409,Q409)&gt;0,0,IF(COUNTIF($G409:$T409,"&gt;"&amp;Q409)=0,"",SMALL($G409:$T409,COUNTIF($G409:$T409,"&lt;="&amp;Q409)+1)-Q409)))</f>
        <v/>
      </c>
      <c r="AO409" t="str">
        <f>IF(OR($B409="",NOT(ISNUMBER(R409))),"",IF(COUNTIF(S409:$T409,R409)&gt;0,0,IF(COUNTIF($G409:$T409,"&gt;"&amp;R409)=0,"",SMALL($G409:$T409,COUNTIF($G409:$T409,"&lt;="&amp;R409)+1)-R409)))</f>
        <v/>
      </c>
      <c r="AP409">
        <f t="shared" ca="1" si="105"/>
        <v>5</v>
      </c>
      <c r="AQ409" s="25" t="str">
        <f t="shared" si="106"/>
        <v/>
      </c>
      <c r="AR409" s="25" t="str">
        <f t="shared" si="107"/>
        <v/>
      </c>
      <c r="AS409" s="25" t="str">
        <f t="shared" si="108"/>
        <v/>
      </c>
      <c r="AT409" s="25" t="str">
        <f t="shared" si="109"/>
        <v/>
      </c>
      <c r="AU409" s="25" t="str">
        <f t="shared" si="110"/>
        <v/>
      </c>
      <c r="AV409" s="25" t="str">
        <f t="shared" si="111"/>
        <v/>
      </c>
      <c r="AW409" s="25" t="str">
        <f t="shared" si="112"/>
        <v/>
      </c>
      <c r="AX409" s="25" t="str">
        <f t="shared" si="113"/>
        <v/>
      </c>
      <c r="AY409" s="25" t="str">
        <f t="shared" si="114"/>
        <v/>
      </c>
      <c r="AZ409" s="25" t="str">
        <f t="shared" si="115"/>
        <v/>
      </c>
      <c r="BA409" s="25" t="str">
        <f t="shared" si="116"/>
        <v/>
      </c>
      <c r="BB409" s="25" t="str">
        <f t="shared" si="117"/>
        <v/>
      </c>
      <c r="BC409" s="25" t="str">
        <f t="shared" si="118"/>
        <v/>
      </c>
    </row>
    <row r="410" spans="1:55" x14ac:dyDescent="0.25">
      <c r="A410" s="151">
        <f t="shared" si="103"/>
        <v>408</v>
      </c>
      <c r="B410" s="151" t="s">
        <v>627</v>
      </c>
      <c r="C410" s="152" t="s">
        <v>628</v>
      </c>
      <c r="D410" s="151">
        <f t="shared" si="102"/>
        <v>2</v>
      </c>
      <c r="E410" s="151" t="s">
        <v>61</v>
      </c>
      <c r="F410" s="173">
        <v>46302</v>
      </c>
      <c r="G410" s="173"/>
      <c r="H410" s="173"/>
      <c r="I410" s="173"/>
      <c r="J410" s="173"/>
      <c r="K410" s="173"/>
      <c r="L410" s="173"/>
      <c r="M410" s="173"/>
      <c r="N410" s="173"/>
      <c r="O410" s="173">
        <v>46302</v>
      </c>
      <c r="P410" s="173"/>
      <c r="Q410" s="173"/>
      <c r="R410" s="173"/>
      <c r="S410" s="173"/>
      <c r="T410" s="151"/>
      <c r="U410" s="151"/>
      <c r="V410" s="152"/>
      <c r="W410" s="175"/>
      <c r="X410" s="173"/>
      <c r="Y410" s="173"/>
      <c r="Z410" s="176" t="str">
        <f>IF(B410="","",IF(S410&lt;&gt;"","Sevk Edildi",IF(AND(X410&lt;&gt;"",Y410=""),"Reworkte",IF(T410&lt;&gt;"","Kapandı"&amp;IF(COUNT(G410:R410)=0,""," – "&amp;LOOKUP(2,1/(G410:R410=MAX(G410:R410)),{"Tasarım","Ply Cutter","Üretim","Kalite (Üretim sonrası)","Talaşlı","Kalite (Talaşlı sonrası)","Montaj","Kalite (Montaj sonrası)","Boya","Kalite (Boya sonrası)","Yarı Mamül","KM"})),IF(COUNT(G410:R410)=0,"Başlamadı",LOOKUP(2,1/(G410:R410=MAX(G410:R410)),{"Tasarımda","Ply Cutter'da","Üretimde","Kalitede (Üretim sonrası)","Talaşlıda","Kalitede (Talaşlı sonrası)","Montajda","Kalitede (Montaj sonrası)","Boyada","Kalitede (Boya sonrası)","Yarı Mamülde","KM'de"}))))))</f>
        <v>Boyada</v>
      </c>
      <c r="AA410" s="177">
        <f t="shared" ca="1" si="104"/>
        <v>5</v>
      </c>
      <c r="AB410" s="175"/>
      <c r="AD410" t="str">
        <f>IF(OR($B410="",NOT(ISNUMBER(G410))),"",IF(COUNTIF(H410:$T410,G410)&gt;0,0,IF(COUNTIF($G410:$T410,"&gt;"&amp;G410)=0,"",SMALL($G410:$T410,COUNTIF($G410:$T410,"&lt;="&amp;G410)+1)-G410)))</f>
        <v/>
      </c>
      <c r="AE410" t="str">
        <f>IF(OR($B410="",NOT(ISNUMBER(H410))),"",IF(COUNTIF(I410:$T410,H410)&gt;0,0,IF(COUNTIF($G410:$T410,"&gt;"&amp;H410)=0,"",SMALL($G410:$T410,COUNTIF($G410:$T410,"&lt;="&amp;H410)+1)-H410)))</f>
        <v/>
      </c>
      <c r="AF410" t="str">
        <f>IF(OR($B410="",NOT(ISNUMBER(I410))),"",IF(COUNTIF(J410:$T410,I410)&gt;0,0,IF(COUNTIF($G410:$T410,"&gt;"&amp;I410)=0,"",SMALL($G410:$T410,COUNTIF($G410:$T410,"&lt;="&amp;I410)+1)-I410)))</f>
        <v/>
      </c>
      <c r="AG410" t="str">
        <f>IF(OR($B410="",NOT(ISNUMBER(J410))),"",IF(COUNTIF(K410:$T410,J410)&gt;0,0,IF(COUNTIF($G410:$T410,"&gt;"&amp;J410)=0,"",SMALL($G410:$T410,COUNTIF($G410:$T410,"&lt;="&amp;J410)+1)-J410)))</f>
        <v/>
      </c>
      <c r="AH410" t="str">
        <f>IF(OR($B410="",NOT(ISNUMBER(K410))),"",IF(COUNTIF(L410:$T410,K410)&gt;0,0,IF(COUNTIF($G410:$T410,"&gt;"&amp;K410)=0,"",SMALL($G410:$T410,COUNTIF($G410:$T410,"&lt;="&amp;K410)+1)-K410)))</f>
        <v/>
      </c>
      <c r="AI410" t="str">
        <f>IF(OR($B410="",NOT(ISNUMBER(L410))),"",IF(COUNTIF(M410:$T410,L410)&gt;0,0,IF(COUNTIF($G410:$T410,"&gt;"&amp;L410)=0,"",SMALL($G410:$T410,COUNTIF($G410:$T410,"&lt;="&amp;L410)+1)-L410)))</f>
        <v/>
      </c>
      <c r="AJ410" t="str">
        <f>IF(OR($B410="",NOT(ISNUMBER(M410))),"",IF(COUNTIF(N410:$T410,M410)&gt;0,0,IF(COUNTIF($G410:$T410,"&gt;"&amp;M410)=0,"",SMALL($G410:$T410,COUNTIF($G410:$T410,"&lt;="&amp;M410)+1)-M410)))</f>
        <v/>
      </c>
      <c r="AK410" t="str">
        <f>IF(OR($B410="",NOT(ISNUMBER(N410))),"",IF(COUNTIF(O410:$T410,N410)&gt;0,0,IF(COUNTIF($G410:$T410,"&gt;"&amp;N410)=0,"",SMALL($G410:$T410,COUNTIF($G410:$T410,"&lt;="&amp;N410)+1)-N410)))</f>
        <v/>
      </c>
      <c r="AL410" t="str">
        <f>IF(OR($B410="",NOT(ISNUMBER(O410))),"",IF(COUNTIF(P410:$T410,O410)&gt;0,0,IF(COUNTIF($G410:$T410,"&gt;"&amp;O410)=0,"",SMALL($G410:$T410,COUNTIF($G410:$T410,"&lt;="&amp;O410)+1)-O410)))</f>
        <v/>
      </c>
      <c r="AM410" t="str">
        <f>IF(OR($B410="",NOT(ISNUMBER(P410))),"",IF(COUNTIF(Q410:$T410,P410)&gt;0,0,IF(COUNTIF($G410:$T410,"&gt;"&amp;P410)=0,"",SMALL($G410:$T410,COUNTIF($G410:$T410,"&lt;="&amp;P410)+1)-P410)))</f>
        <v/>
      </c>
      <c r="AN410" t="str">
        <f>IF(OR($B410="",NOT(ISNUMBER(Q410))),"",IF(COUNTIF(R410:$T410,Q410)&gt;0,0,IF(COUNTIF($G410:$T410,"&gt;"&amp;Q410)=0,"",SMALL($G410:$T410,COUNTIF($G410:$T410,"&lt;="&amp;Q410)+1)-Q410)))</f>
        <v/>
      </c>
      <c r="AO410" t="str">
        <f>IF(OR($B410="",NOT(ISNUMBER(R410))),"",IF(COUNTIF(S410:$T410,R410)&gt;0,0,IF(COUNTIF($G410:$T410,"&gt;"&amp;R410)=0,"",SMALL($G410:$T410,COUNTIF($G410:$T410,"&lt;="&amp;R410)+1)-R410)))</f>
        <v/>
      </c>
      <c r="AP410">
        <f t="shared" ca="1" si="105"/>
        <v>5</v>
      </c>
      <c r="AQ410" s="25" t="str">
        <f t="shared" si="106"/>
        <v/>
      </c>
      <c r="AR410" s="25" t="str">
        <f t="shared" si="107"/>
        <v/>
      </c>
      <c r="AS410" s="25" t="str">
        <f t="shared" si="108"/>
        <v/>
      </c>
      <c r="AT410" s="25" t="str">
        <f t="shared" si="109"/>
        <v/>
      </c>
      <c r="AU410" s="25" t="str">
        <f t="shared" si="110"/>
        <v/>
      </c>
      <c r="AV410" s="25" t="str">
        <f t="shared" si="111"/>
        <v/>
      </c>
      <c r="AW410" s="25" t="str">
        <f t="shared" si="112"/>
        <v/>
      </c>
      <c r="AX410" s="25" t="str">
        <f t="shared" si="113"/>
        <v/>
      </c>
      <c r="AY410" s="25" t="str">
        <f t="shared" si="114"/>
        <v/>
      </c>
      <c r="AZ410" s="25" t="str">
        <f t="shared" si="115"/>
        <v/>
      </c>
      <c r="BA410" s="25" t="str">
        <f t="shared" si="116"/>
        <v/>
      </c>
      <c r="BB410" s="25" t="str">
        <f t="shared" si="117"/>
        <v/>
      </c>
      <c r="BC410" s="25" t="str">
        <f t="shared" si="118"/>
        <v/>
      </c>
    </row>
    <row r="411" spans="1:55" x14ac:dyDescent="0.25">
      <c r="A411" s="151">
        <f t="shared" si="103"/>
        <v>409</v>
      </c>
      <c r="B411" s="151" t="s">
        <v>629</v>
      </c>
      <c r="C411" s="152" t="s">
        <v>630</v>
      </c>
      <c r="D411" s="151">
        <f t="shared" si="102"/>
        <v>31</v>
      </c>
      <c r="E411" s="151" t="s">
        <v>61</v>
      </c>
      <c r="F411" s="173">
        <v>46302</v>
      </c>
      <c r="G411" s="173"/>
      <c r="H411" s="173">
        <v>46302</v>
      </c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4">
        <v>46302</v>
      </c>
      <c r="U411" s="151"/>
      <c r="V411" s="152"/>
      <c r="W411" s="175"/>
      <c r="X411" s="173"/>
      <c r="Y411" s="173"/>
      <c r="Z411" s="176" t="str">
        <f>IF(B411="","",IF(S411&lt;&gt;"","Sevk Edildi",IF(AND(X411&lt;&gt;"",Y411=""),"Reworkte",IF(T411&lt;&gt;"","Kapandı"&amp;IF(COUNT(G411:R411)=0,""," – "&amp;LOOKUP(2,1/(G411:R411=MAX(G411:R411)),{"Tasarım","Ply Cutter","Üretim","Kalite (Üretim sonrası)","Talaşlı","Kalite (Talaşlı sonrası)","Montaj","Kalite (Montaj sonrası)","Boya","Kalite (Boya sonrası)","Yarı Mamül","KM"})),IF(COUNT(G411:R411)=0,"Başlamadı",LOOKUP(2,1/(G411:R411=MAX(G411:R411)),{"Tasarımda","Ply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11" s="177">
        <f t="shared" ca="1" si="104"/>
        <v>0</v>
      </c>
      <c r="AB411" s="175"/>
      <c r="AD411" t="str">
        <f>IF(OR($B411="",NOT(ISNUMBER(G411))),"",IF(COUNTIF(H411:$T411,G411)&gt;0,0,IF(COUNTIF($G411:$T411,"&gt;"&amp;G411)=0,"",SMALL($G411:$T411,COUNTIF($G411:$T411,"&lt;="&amp;G411)+1)-G411)))</f>
        <v/>
      </c>
      <c r="AE411">
        <f>IF(OR($B411="",NOT(ISNUMBER(H411))),"",IF(COUNTIF(I411:$T411,H411)&gt;0,0,IF(COUNTIF($G411:$T411,"&gt;"&amp;H411)=0,"",SMALL($G411:$T411,COUNTIF($G411:$T411,"&lt;="&amp;H411)+1)-H411)))</f>
        <v>0</v>
      </c>
      <c r="AF411" t="str">
        <f>IF(OR($B411="",NOT(ISNUMBER(I411))),"",IF(COUNTIF(J411:$T411,I411)&gt;0,0,IF(COUNTIF($G411:$T411,"&gt;"&amp;I411)=0,"",SMALL($G411:$T411,COUNTIF($G411:$T411,"&lt;="&amp;I411)+1)-I411)))</f>
        <v/>
      </c>
      <c r="AG411" t="str">
        <f>IF(OR($B411="",NOT(ISNUMBER(J411))),"",IF(COUNTIF(K411:$T411,J411)&gt;0,0,IF(COUNTIF($G411:$T411,"&gt;"&amp;J411)=0,"",SMALL($G411:$T411,COUNTIF($G411:$T411,"&lt;="&amp;J411)+1)-J411)))</f>
        <v/>
      </c>
      <c r="AH411" t="str">
        <f>IF(OR($B411="",NOT(ISNUMBER(K411))),"",IF(COUNTIF(L411:$T411,K411)&gt;0,0,IF(COUNTIF($G411:$T411,"&gt;"&amp;K411)=0,"",SMALL($G411:$T411,COUNTIF($G411:$T411,"&lt;="&amp;K411)+1)-K411)))</f>
        <v/>
      </c>
      <c r="AI411" t="str">
        <f>IF(OR($B411="",NOT(ISNUMBER(L411))),"",IF(COUNTIF(M411:$T411,L411)&gt;0,0,IF(COUNTIF($G411:$T411,"&gt;"&amp;L411)=0,"",SMALL($G411:$T411,COUNTIF($G411:$T411,"&lt;="&amp;L411)+1)-L411)))</f>
        <v/>
      </c>
      <c r="AJ411" t="str">
        <f>IF(OR($B411="",NOT(ISNUMBER(M411))),"",IF(COUNTIF(N411:$T411,M411)&gt;0,0,IF(COUNTIF($G411:$T411,"&gt;"&amp;M411)=0,"",SMALL($G411:$T411,COUNTIF($G411:$T411,"&lt;="&amp;M411)+1)-M411)))</f>
        <v/>
      </c>
      <c r="AK411" t="str">
        <f>IF(OR($B411="",NOT(ISNUMBER(N411))),"",IF(COUNTIF(O411:$T411,N411)&gt;0,0,IF(COUNTIF($G411:$T411,"&gt;"&amp;N411)=0,"",SMALL($G411:$T411,COUNTIF($G411:$T411,"&lt;="&amp;N411)+1)-N411)))</f>
        <v/>
      </c>
      <c r="AL411" t="str">
        <f>IF(OR($B411="",NOT(ISNUMBER(O411))),"",IF(COUNTIF(P411:$T411,O411)&gt;0,0,IF(COUNTIF($G411:$T411,"&gt;"&amp;O411)=0,"",SMALL($G411:$T411,COUNTIF($G411:$T411,"&lt;="&amp;O411)+1)-O411)))</f>
        <v/>
      </c>
      <c r="AM411" t="str">
        <f>IF(OR($B411="",NOT(ISNUMBER(P411))),"",IF(COUNTIF(Q411:$T411,P411)&gt;0,0,IF(COUNTIF($G411:$T411,"&gt;"&amp;P411)=0,"",SMALL($G411:$T411,COUNTIF($G411:$T411,"&lt;="&amp;P411)+1)-P411)))</f>
        <v/>
      </c>
      <c r="AN411" t="str">
        <f>IF(OR($B411="",NOT(ISNUMBER(Q411))),"",IF(COUNTIF(R411:$T411,Q411)&gt;0,0,IF(COUNTIF($G411:$T411,"&gt;"&amp;Q411)=0,"",SMALL($G411:$T411,COUNTIF($G411:$T411,"&lt;="&amp;Q411)+1)-Q411)))</f>
        <v/>
      </c>
      <c r="AO411" t="str">
        <f>IF(OR($B411="",NOT(ISNUMBER(R411))),"",IF(COUNTIF(S411:$T411,R411)&gt;0,0,IF(COUNTIF($G411:$T411,"&gt;"&amp;R411)=0,"",SMALL($G411:$T411,COUNTIF($G411:$T411,"&lt;="&amp;R411)+1)-R411)))</f>
        <v/>
      </c>
      <c r="AP411">
        <f t="shared" ca="1" si="105"/>
        <v>0</v>
      </c>
      <c r="AQ411" s="25" t="str">
        <f t="shared" si="106"/>
        <v/>
      </c>
      <c r="AR411" s="25">
        <f t="shared" si="107"/>
        <v>46302</v>
      </c>
      <c r="AS411" s="25" t="str">
        <f t="shared" si="108"/>
        <v/>
      </c>
      <c r="AT411" s="25" t="str">
        <f t="shared" si="109"/>
        <v/>
      </c>
      <c r="AU411" s="25" t="str">
        <f t="shared" si="110"/>
        <v/>
      </c>
      <c r="AV411" s="25" t="str">
        <f t="shared" si="111"/>
        <v/>
      </c>
      <c r="AW411" s="25" t="str">
        <f>IF(AND(ISNUMBER(M411),ISNUMBER(AJ411)),M411+AJ411,"")</f>
        <v/>
      </c>
      <c r="AX411" s="25" t="str">
        <f t="shared" si="113"/>
        <v/>
      </c>
      <c r="AY411" s="25" t="str">
        <f t="shared" si="114"/>
        <v/>
      </c>
      <c r="AZ411" s="25" t="str">
        <f t="shared" si="115"/>
        <v/>
      </c>
      <c r="BA411" s="25" t="str">
        <f t="shared" si="116"/>
        <v/>
      </c>
      <c r="BB411" s="25" t="str">
        <f t="shared" si="117"/>
        <v/>
      </c>
      <c r="BC411" s="25">
        <f t="shared" si="118"/>
        <v>46302</v>
      </c>
    </row>
    <row r="412" spans="1:55" x14ac:dyDescent="0.25">
      <c r="A412" s="151">
        <f t="shared" si="103"/>
        <v>410</v>
      </c>
      <c r="B412" s="151" t="s">
        <v>631</v>
      </c>
      <c r="C412" s="152" t="s">
        <v>632</v>
      </c>
      <c r="D412" s="151">
        <f t="shared" si="102"/>
        <v>31</v>
      </c>
      <c r="E412" s="151" t="s">
        <v>61</v>
      </c>
      <c r="F412" s="173">
        <v>46302</v>
      </c>
      <c r="G412" s="173"/>
      <c r="H412" s="173">
        <v>46302</v>
      </c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4">
        <v>46302</v>
      </c>
      <c r="U412" s="151"/>
      <c r="V412" s="152"/>
      <c r="W412" s="175"/>
      <c r="X412" s="173"/>
      <c r="Y412" s="173"/>
      <c r="Z412" s="176" t="str">
        <f>IF(B412="","",IF(S412&lt;&gt;"","Sevk Edildi",IF(AND(X412&lt;&gt;"",Y412=""),"Reworkte",IF(T412&lt;&gt;"","Kapandı"&amp;IF(COUNT(G412:R412)=0,""," – "&amp;LOOKUP(2,1/(G412:R412=MAX(G412:R412)),{"Tasarım","Ply Cutter","Üretim","Kalite (Üretim sonrası)","Talaşlı","Kalite (Talaşlı sonrası)","Montaj","Kalite (Montaj sonrası)","Boya","Kalite (Boya sonrası)","Yarı Mamül","KM"})),IF(COUNT(G412:R412)=0,"Başlamadı",LOOKUP(2,1/(G412:R412=MAX(G412:R412)),{"Tasarımda","Ply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12" s="177">
        <f t="shared" ca="1" si="104"/>
        <v>0</v>
      </c>
      <c r="AB412" s="175"/>
      <c r="AD412" t="str">
        <f>IF(OR($B412="",NOT(ISNUMBER(G412))),"",IF(COUNTIF(H412:$T412,G412)&gt;0,0,IF(COUNTIF($G412:$T412,"&gt;"&amp;G412)=0,"",SMALL($G412:$T412,COUNTIF($G412:$T412,"&lt;="&amp;G412)+1)-G412)))</f>
        <v/>
      </c>
      <c r="AE412">
        <f>IF(OR($B412="",NOT(ISNUMBER(H412))),"",IF(COUNTIF(I412:$T412,H412)&gt;0,0,IF(COUNTIF($G412:$T412,"&gt;"&amp;H412)=0,"",SMALL($G412:$T412,COUNTIF($G412:$T412,"&lt;="&amp;H412)+1)-H412)))</f>
        <v>0</v>
      </c>
      <c r="AF412" t="str">
        <f>IF(OR($B412="",NOT(ISNUMBER(I412))),"",IF(COUNTIF(J412:$T412,I412)&gt;0,0,IF(COUNTIF($G412:$T412,"&gt;"&amp;I412)=0,"",SMALL($G412:$T412,COUNTIF($G412:$T412,"&lt;="&amp;I412)+1)-I412)))</f>
        <v/>
      </c>
      <c r="AG412" t="str">
        <f>IF(OR($B412="",NOT(ISNUMBER(J412))),"",IF(COUNTIF(K412:$T412,J412)&gt;0,0,IF(COUNTIF($G412:$T412,"&gt;"&amp;J412)=0,"",SMALL($G412:$T412,COUNTIF($G412:$T412,"&lt;="&amp;J412)+1)-J412)))</f>
        <v/>
      </c>
      <c r="AH412" t="str">
        <f>IF(OR($B412="",NOT(ISNUMBER(K412))),"",IF(COUNTIF(L412:$T412,K412)&gt;0,0,IF(COUNTIF($G412:$T412,"&gt;"&amp;K412)=0,"",SMALL($G412:$T412,COUNTIF($G412:$T412,"&lt;="&amp;K412)+1)-K412)))</f>
        <v/>
      </c>
      <c r="AI412" t="str">
        <f>IF(OR($B412="",NOT(ISNUMBER(L412))),"",IF(COUNTIF(M412:$T412,L412)&gt;0,0,IF(COUNTIF($G412:$T412,"&gt;"&amp;L412)=0,"",SMALL($G412:$T412,COUNTIF($G412:$T412,"&lt;="&amp;L412)+1)-L412)))</f>
        <v/>
      </c>
      <c r="AJ412" t="str">
        <f>IF(OR($B412="",NOT(ISNUMBER(M412))),"",IF(COUNTIF(N412:$T412,M412)&gt;0,0,IF(COUNTIF($G412:$T412,"&gt;"&amp;M412)=0,"",SMALL($G412:$T412,COUNTIF($G412:$T412,"&lt;="&amp;M412)+1)-M412)))</f>
        <v/>
      </c>
      <c r="AK412" t="str">
        <f>IF(OR($B412="",NOT(ISNUMBER(N412))),"",IF(COUNTIF(O412:$T412,N412)&gt;0,0,IF(COUNTIF($G412:$T412,"&gt;"&amp;N412)=0,"",SMALL($G412:$T412,COUNTIF($G412:$T412,"&lt;="&amp;N412)+1)-N412)))</f>
        <v/>
      </c>
      <c r="AL412" t="str">
        <f>IF(OR($B412="",NOT(ISNUMBER(O412))),"",IF(COUNTIF(P412:$T412,O412)&gt;0,0,IF(COUNTIF($G412:$T412,"&gt;"&amp;O412)=0,"",SMALL($G412:$T412,COUNTIF($G412:$T412,"&lt;="&amp;O412)+1)-O412)))</f>
        <v/>
      </c>
      <c r="AM412" t="str">
        <f>IF(OR($B412="",NOT(ISNUMBER(P412))),"",IF(COUNTIF(Q412:$T412,P412)&gt;0,0,IF(COUNTIF($G412:$T412,"&gt;"&amp;P412)=0,"",SMALL($G412:$T412,COUNTIF($G412:$T412,"&lt;="&amp;P412)+1)-P412)))</f>
        <v/>
      </c>
      <c r="AN412" t="str">
        <f>IF(OR($B412="",NOT(ISNUMBER(Q412))),"",IF(COUNTIF(R412:$T412,Q412)&gt;0,0,IF(COUNTIF($G412:$T412,"&gt;"&amp;Q412)=0,"",SMALL($G412:$T412,COUNTIF($G412:$T412,"&lt;="&amp;Q412)+1)-Q412)))</f>
        <v/>
      </c>
      <c r="AO412" t="str">
        <f>IF(OR($B412="",NOT(ISNUMBER(R412))),"",IF(COUNTIF(S412:$T412,R412)&gt;0,0,IF(COUNTIF($G412:$T412,"&gt;"&amp;R412)=0,"",SMALL($G412:$T412,COUNTIF($G412:$T412,"&lt;="&amp;R412)+1)-R412)))</f>
        <v/>
      </c>
      <c r="AP412">
        <f t="shared" ca="1" si="105"/>
        <v>0</v>
      </c>
      <c r="AQ412" s="25" t="str">
        <f t="shared" si="106"/>
        <v/>
      </c>
      <c r="AR412" s="25">
        <f t="shared" si="107"/>
        <v>46302</v>
      </c>
      <c r="AS412" s="25" t="str">
        <f t="shared" si="108"/>
        <v/>
      </c>
      <c r="AT412" s="25" t="str">
        <f t="shared" si="109"/>
        <v/>
      </c>
      <c r="AU412" s="25" t="str">
        <f t="shared" si="110"/>
        <v/>
      </c>
      <c r="AV412" s="25" t="str">
        <f t="shared" si="111"/>
        <v/>
      </c>
      <c r="AW412" s="25" t="str">
        <f>IF(AND(ISNUMBER(M412),ISNUMBER(AJ412)),M412+AJ412,"")</f>
        <v/>
      </c>
      <c r="AX412" s="25" t="str">
        <f t="shared" si="113"/>
        <v/>
      </c>
      <c r="AY412" s="25" t="str">
        <f t="shared" si="114"/>
        <v/>
      </c>
      <c r="AZ412" s="25" t="str">
        <f t="shared" si="115"/>
        <v/>
      </c>
      <c r="BA412" s="25" t="str">
        <f t="shared" si="116"/>
        <v/>
      </c>
      <c r="BB412" s="25" t="str">
        <f t="shared" si="117"/>
        <v/>
      </c>
      <c r="BC412" s="25">
        <f t="shared" si="118"/>
        <v>46302</v>
      </c>
    </row>
    <row r="413" spans="1:55" ht="25.5" customHeight="1" x14ac:dyDescent="0.25">
      <c r="A413" s="151">
        <f t="shared" si="103"/>
        <v>411</v>
      </c>
      <c r="B413" s="151" t="s">
        <v>633</v>
      </c>
      <c r="C413" s="152" t="s">
        <v>76</v>
      </c>
      <c r="D413" s="151">
        <f t="shared" si="102"/>
        <v>1</v>
      </c>
      <c r="E413" s="151" t="s">
        <v>61</v>
      </c>
      <c r="F413" s="173">
        <v>46302</v>
      </c>
      <c r="G413" s="173"/>
      <c r="H413" s="173"/>
      <c r="I413" s="173">
        <v>46291</v>
      </c>
      <c r="J413" s="173">
        <v>46293</v>
      </c>
      <c r="K413" s="173"/>
      <c r="L413" s="173"/>
      <c r="M413" s="173"/>
      <c r="N413" s="173"/>
      <c r="O413" s="173"/>
      <c r="P413" s="173"/>
      <c r="Q413" s="173">
        <v>46295</v>
      </c>
      <c r="R413" s="173"/>
      <c r="S413" s="173"/>
      <c r="T413" s="174">
        <v>46295</v>
      </c>
      <c r="U413" s="151"/>
      <c r="V413" s="152"/>
      <c r="W413" s="175"/>
      <c r="X413" s="173"/>
      <c r="Y413" s="173"/>
      <c r="Z413" s="176" t="str">
        <f>IF(B413="","",IF(S413&lt;&gt;"","Sevk Edildi",IF(AND(X413&lt;&gt;"",Y413=""),"Reworkte",IF(T413&lt;&gt;"","Kapandı"&amp;IF(COUNT(G413:R413)=0,""," – "&amp;LOOKUP(2,1/(G413:R413=MAX(G413:R413)),{"Tasarım","Ply Cutter","Üretim","Kalite (Üretim sonrası)","Talaşlı","Kalite (Talaşlı sonrası)","Montaj","Kalite (Montaj sonrası)","Boya","Kalite (Boya sonrası)","Yarı Mamül","KM"})),IF(COUNT(G413:R413)=0,"Başlamadı",LOOKUP(2,1/(G413:R413=MAX(G413:R413)),{"Tasarımda","Ply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13" s="177">
        <f t="shared" ca="1" si="104"/>
        <v>-7</v>
      </c>
      <c r="AB413" s="175" t="s">
        <v>634</v>
      </c>
      <c r="AD413" t="str">
        <f>IF(OR($B413="",NOT(ISNUMBER(G413))),"",IF(COUNTIF(H413:$T413,G413)&gt;0,0,IF(COUNTIF($G413:$T413,"&gt;"&amp;G413)=0,"",SMALL($G413:$T413,COUNTIF($G413:$T413,"&lt;="&amp;G413)+1)-G413)))</f>
        <v/>
      </c>
      <c r="AE413" t="str">
        <f>IF(OR($B413="",NOT(ISNUMBER(H413))),"",IF(COUNTIF(I413:$T413,H413)&gt;0,0,IF(COUNTIF($G413:$T413,"&gt;"&amp;H413)=0,"",SMALL($G413:$T413,COUNTIF($G413:$T413,"&lt;="&amp;H413)+1)-H413)))</f>
        <v/>
      </c>
      <c r="AF413">
        <f>IF(OR($B413="",NOT(ISNUMBER(I413))),"",IF(COUNTIF(J413:$T413,I413)&gt;0,0,IF(COUNTIF($G413:$T413,"&gt;"&amp;I413)=0,"",SMALL($G413:$T413,COUNTIF($G413:$T413,"&lt;="&amp;I413)+1)-I413)))</f>
        <v>2</v>
      </c>
      <c r="AG413">
        <f>IF(OR($B413="",NOT(ISNUMBER(J413))),"",IF(COUNTIF(K413:$T413,J413)&gt;0,0,IF(COUNTIF($G413:$T413,"&gt;"&amp;J413)=0,"",SMALL($G413:$T413,COUNTIF($G413:$T413,"&lt;="&amp;J413)+1)-J413)))</f>
        <v>2</v>
      </c>
      <c r="AH413" t="str">
        <f>IF(OR($B413="",NOT(ISNUMBER(K413))),"",IF(COUNTIF(L413:$T413,K413)&gt;0,0,IF(COUNTIF($G413:$T413,"&gt;"&amp;K413)=0,"",SMALL($G413:$T413,COUNTIF($G413:$T413,"&lt;="&amp;K413)+1)-K413)))</f>
        <v/>
      </c>
      <c r="AI413" t="str">
        <f>IF(OR($B413="",NOT(ISNUMBER(L413))),"",IF(COUNTIF(M413:$T413,L413)&gt;0,0,IF(COUNTIF($G413:$T413,"&gt;"&amp;L413)=0,"",SMALL($G413:$T413,COUNTIF($G413:$T413,"&lt;="&amp;L413)+1)-L413)))</f>
        <v/>
      </c>
      <c r="AJ413" t="str">
        <f>IF(OR($B413="",NOT(ISNUMBER(M413))),"",IF(COUNTIF(N413:$T413,M413)&gt;0,0,IF(COUNTIF($G413:$T413,"&gt;"&amp;M413)=0,"",SMALL($G413:$T413,COUNTIF($G413:$T413,"&lt;="&amp;M413)+1)-M413)))</f>
        <v/>
      </c>
      <c r="AK413" t="str">
        <f>IF(OR($B413="",NOT(ISNUMBER(N413))),"",IF(COUNTIF(O413:$T413,N413)&gt;0,0,IF(COUNTIF($G413:$T413,"&gt;"&amp;N413)=0,"",SMALL($G413:$T413,COUNTIF($G413:$T413,"&lt;="&amp;N413)+1)-N413)))</f>
        <v/>
      </c>
      <c r="AL413" t="str">
        <f>IF(OR($B413="",NOT(ISNUMBER(O413))),"",IF(COUNTIF(P413:$T413,O413)&gt;0,0,IF(COUNTIF($G413:$T413,"&gt;"&amp;O413)=0,"",SMALL($G413:$T413,COUNTIF($G413:$T413,"&lt;="&amp;O413)+1)-O413)))</f>
        <v/>
      </c>
      <c r="AM413" t="str">
        <f>IF(OR($B413="",NOT(ISNUMBER(P413))),"",IF(COUNTIF(Q413:$T413,P413)&gt;0,0,IF(COUNTIF($G413:$T413,"&gt;"&amp;P413)=0,"",SMALL($G413:$T413,COUNTIF($G413:$T413,"&lt;="&amp;P413)+1)-P413)))</f>
        <v/>
      </c>
      <c r="AN413">
        <f>IF(OR($B413="",NOT(ISNUMBER(Q413))),"",IF(COUNTIF(R413:$T413,Q413)&gt;0,0,IF(COUNTIF($G413:$T413,"&gt;"&amp;Q413)=0,"",SMALL($G413:$T413,COUNTIF($G413:$T413,"&lt;="&amp;Q413)+1)-Q413)))</f>
        <v>0</v>
      </c>
      <c r="AO413" t="str">
        <f>IF(OR($B413="",NOT(ISNUMBER(R413))),"",IF(COUNTIF(S413:$T413,R413)&gt;0,0,IF(COUNTIF($G413:$T413,"&gt;"&amp;R413)=0,"",SMALL($G413:$T413,COUNTIF($G413:$T413,"&lt;="&amp;R413)+1)-R413)))</f>
        <v/>
      </c>
      <c r="AP413">
        <f t="shared" ca="1" si="105"/>
        <v>0</v>
      </c>
      <c r="AQ413" s="25" t="str">
        <f t="shared" si="106"/>
        <v/>
      </c>
      <c r="AR413" s="25" t="str">
        <f t="shared" si="107"/>
        <v/>
      </c>
      <c r="AS413" s="25">
        <f t="shared" si="108"/>
        <v>46293</v>
      </c>
      <c r="AT413" s="25">
        <f t="shared" si="109"/>
        <v>46295</v>
      </c>
      <c r="AU413" s="25" t="str">
        <f t="shared" si="110"/>
        <v/>
      </c>
      <c r="AV413" s="25" t="str">
        <f t="shared" si="111"/>
        <v/>
      </c>
      <c r="AW413" s="25" t="str">
        <f t="shared" si="112"/>
        <v/>
      </c>
      <c r="AX413" s="25" t="str">
        <f t="shared" si="113"/>
        <v/>
      </c>
      <c r="AY413" s="25" t="str">
        <f t="shared" si="114"/>
        <v/>
      </c>
      <c r="AZ413" s="25" t="str">
        <f t="shared" si="115"/>
        <v/>
      </c>
      <c r="BA413" s="25">
        <f t="shared" si="116"/>
        <v>46295</v>
      </c>
      <c r="BB413" s="25" t="str">
        <f t="shared" si="117"/>
        <v/>
      </c>
      <c r="BC413" s="25">
        <f t="shared" si="118"/>
        <v>46295</v>
      </c>
    </row>
    <row r="414" spans="1:55" x14ac:dyDescent="0.25">
      <c r="A414" s="151">
        <f t="shared" si="103"/>
        <v>412</v>
      </c>
      <c r="B414" s="151" t="s">
        <v>635</v>
      </c>
      <c r="C414" s="152" t="s">
        <v>525</v>
      </c>
      <c r="D414" s="151">
        <f t="shared" si="102"/>
        <v>4</v>
      </c>
      <c r="E414" s="151" t="s">
        <v>61</v>
      </c>
      <c r="F414" s="173">
        <v>46302</v>
      </c>
      <c r="G414" s="173"/>
      <c r="H414" s="173"/>
      <c r="I414" s="173">
        <v>46302</v>
      </c>
      <c r="J414" s="173">
        <v>46303</v>
      </c>
      <c r="K414" s="173"/>
      <c r="L414" s="173"/>
      <c r="M414" s="173"/>
      <c r="N414" s="173"/>
      <c r="O414" s="173"/>
      <c r="P414" s="173"/>
      <c r="Q414" s="173"/>
      <c r="R414" s="173"/>
      <c r="S414" s="173"/>
      <c r="T414" s="174">
        <v>46303</v>
      </c>
      <c r="U414" s="151"/>
      <c r="V414" s="152"/>
      <c r="W414" s="175"/>
      <c r="X414" s="173"/>
      <c r="Y414" s="173"/>
      <c r="Z414" s="176" t="str">
        <f>IF(B414="","",IF(S414&lt;&gt;"","Sevk Edildi",IF(AND(X414&lt;&gt;"",Y414=""),"Reworkte",IF(T414&lt;&gt;"","Kapandı"&amp;IF(COUNT(G414:R414)=0,""," – "&amp;LOOKUP(2,1/(G414:R414=MAX(G414:R414)),{"Tasarım","Ply Cutter","Üretim","Kalite (Üretim sonrası)","Talaşlı","Kalite (Talaşlı sonrası)","Montaj","Kalite (Montaj sonrası)","Boya","Kalite (Boya sonrası)","Yarı Mamül","KM"})),IF(COUNT(G414:R414)=0,"Başlamadı",LOOKUP(2,1/(G414:R414=MAX(G414:R414)),{"Tasarımda","Ply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14" s="177">
        <f t="shared" ca="1" si="104"/>
        <v>1</v>
      </c>
      <c r="AB414" s="175"/>
      <c r="AD414" t="str">
        <f>IF(OR($B414="",NOT(ISNUMBER(G414))),"",IF(COUNTIF(H414:$T414,G414)&gt;0,0,IF(COUNTIF($G414:$T414,"&gt;"&amp;G414)=0,"",SMALL($G414:$T414,COUNTIF($G414:$T414,"&lt;="&amp;G414)+1)-G414)))</f>
        <v/>
      </c>
      <c r="AE414" t="str">
        <f>IF(OR($B414="",NOT(ISNUMBER(H414))),"",IF(COUNTIF(I414:$T414,H414)&gt;0,0,IF(COUNTIF($G414:$T414,"&gt;"&amp;H414)=0,"",SMALL($G414:$T414,COUNTIF($G414:$T414,"&lt;="&amp;H414)+1)-H414)))</f>
        <v/>
      </c>
      <c r="AF414">
        <f>IF(OR($B414="",NOT(ISNUMBER(I414))),"",IF(COUNTIF(J414:$T414,I414)&gt;0,0,IF(COUNTIF($G414:$T414,"&gt;"&amp;I414)=0,"",SMALL($G414:$T414,COUNTIF($G414:$T414,"&lt;="&amp;I414)+1)-I414)))</f>
        <v>1</v>
      </c>
      <c r="AG414">
        <f>IF(OR($B414="",NOT(ISNUMBER(J414))),"",IF(COUNTIF(K414:$T414,J414)&gt;0,0,IF(COUNTIF($G414:$T414,"&gt;"&amp;J414)=0,"",SMALL($G414:$T414,COUNTIF($G414:$T414,"&lt;="&amp;J414)+1)-J414)))</f>
        <v>0</v>
      </c>
      <c r="AH414" t="str">
        <f>IF(OR($B414="",NOT(ISNUMBER(K414))),"",IF(COUNTIF(L414:$T414,K414)&gt;0,0,IF(COUNTIF($G414:$T414,"&gt;"&amp;K414)=0,"",SMALL($G414:$T414,COUNTIF($G414:$T414,"&lt;="&amp;K414)+1)-K414)))</f>
        <v/>
      </c>
      <c r="AI414" t="str">
        <f>IF(OR($B414="",NOT(ISNUMBER(L414))),"",IF(COUNTIF(M414:$T414,L414)&gt;0,0,IF(COUNTIF($G414:$T414,"&gt;"&amp;L414)=0,"",SMALL($G414:$T414,COUNTIF($G414:$T414,"&lt;="&amp;L414)+1)-L414)))</f>
        <v/>
      </c>
      <c r="AJ414" t="str">
        <f>IF(OR($B414="",NOT(ISNUMBER(M414))),"",IF(COUNTIF(N414:$T414,M414)&gt;0,0,IF(COUNTIF($G414:$T414,"&gt;"&amp;M414)=0,"",SMALL($G414:$T414,COUNTIF($G414:$T414,"&lt;="&amp;M414)+1)-M414)))</f>
        <v/>
      </c>
      <c r="AK414" t="str">
        <f>IF(OR($B414="",NOT(ISNUMBER(N414))),"",IF(COUNTIF(O414:$T414,N414)&gt;0,0,IF(COUNTIF($G414:$T414,"&gt;"&amp;N414)=0,"",SMALL($G414:$T414,COUNTIF($G414:$T414,"&lt;="&amp;N414)+1)-N414)))</f>
        <v/>
      </c>
      <c r="AL414" t="str">
        <f>IF(OR($B414="",NOT(ISNUMBER(O414))),"",IF(COUNTIF(P414:$T414,O414)&gt;0,0,IF(COUNTIF($G414:$T414,"&gt;"&amp;O414)=0,"",SMALL($G414:$T414,COUNTIF($G414:$T414,"&lt;="&amp;O414)+1)-O414)))</f>
        <v/>
      </c>
      <c r="AM414" t="str">
        <f>IF(OR($B414="",NOT(ISNUMBER(P414))),"",IF(COUNTIF(Q414:$T414,P414)&gt;0,0,IF(COUNTIF($G414:$T414,"&gt;"&amp;P414)=0,"",SMALL($G414:$T414,COUNTIF($G414:$T414,"&lt;="&amp;P414)+1)-P414)))</f>
        <v/>
      </c>
      <c r="AN414" t="str">
        <f>IF(OR($B414="",NOT(ISNUMBER(Q414))),"",IF(COUNTIF(R414:$T414,Q414)&gt;0,0,IF(COUNTIF($G414:$T414,"&gt;"&amp;Q414)=0,"",SMALL($G414:$T414,COUNTIF($G414:$T414,"&lt;="&amp;Q414)+1)-Q414)))</f>
        <v/>
      </c>
      <c r="AO414" t="str">
        <f>IF(OR($B414="",NOT(ISNUMBER(R414))),"",IF(COUNTIF(S414:$T414,R414)&gt;0,0,IF(COUNTIF($G414:$T414,"&gt;"&amp;R414)=0,"",SMALL($G414:$T414,COUNTIF($G414:$T414,"&lt;="&amp;R414)+1)-R414)))</f>
        <v/>
      </c>
      <c r="AP414">
        <f t="shared" ca="1" si="105"/>
        <v>0</v>
      </c>
      <c r="AQ414" s="25" t="str">
        <f t="shared" si="106"/>
        <v/>
      </c>
      <c r="AR414" s="25" t="str">
        <f t="shared" si="107"/>
        <v/>
      </c>
      <c r="AS414" s="25">
        <f t="shared" si="108"/>
        <v>46303</v>
      </c>
      <c r="AT414" s="25">
        <f t="shared" si="109"/>
        <v>46303</v>
      </c>
      <c r="AU414" s="25" t="str">
        <f t="shared" si="110"/>
        <v/>
      </c>
      <c r="AV414" s="25" t="str">
        <f t="shared" si="111"/>
        <v/>
      </c>
      <c r="AW414" s="25" t="str">
        <f t="shared" si="112"/>
        <v/>
      </c>
      <c r="AX414" s="25" t="str">
        <f t="shared" si="113"/>
        <v/>
      </c>
      <c r="AY414" s="25" t="str">
        <f t="shared" si="114"/>
        <v/>
      </c>
      <c r="AZ414" s="25" t="str">
        <f t="shared" si="115"/>
        <v/>
      </c>
      <c r="BA414" s="25" t="str">
        <f t="shared" si="116"/>
        <v/>
      </c>
      <c r="BB414" s="25" t="str">
        <f t="shared" si="117"/>
        <v/>
      </c>
      <c r="BC414" s="25">
        <f t="shared" si="118"/>
        <v>46303</v>
      </c>
    </row>
    <row r="415" spans="1:55" x14ac:dyDescent="0.25">
      <c r="A415" s="151">
        <f t="shared" si="103"/>
        <v>413</v>
      </c>
      <c r="B415" s="151" t="s">
        <v>636</v>
      </c>
      <c r="C415" s="152" t="s">
        <v>497</v>
      </c>
      <c r="D415" s="151">
        <f t="shared" si="102"/>
        <v>4</v>
      </c>
      <c r="E415" s="151" t="s">
        <v>61</v>
      </c>
      <c r="F415" s="173">
        <v>46302</v>
      </c>
      <c r="G415" s="173"/>
      <c r="H415" s="173"/>
      <c r="I415" s="173">
        <v>46302</v>
      </c>
      <c r="J415" s="173">
        <v>46303</v>
      </c>
      <c r="K415" s="173"/>
      <c r="L415" s="173"/>
      <c r="M415" s="173"/>
      <c r="N415" s="173"/>
      <c r="O415" s="173"/>
      <c r="P415" s="173"/>
      <c r="Q415" s="173"/>
      <c r="R415" s="173"/>
      <c r="S415" s="173"/>
      <c r="T415" s="174">
        <v>46304</v>
      </c>
      <c r="U415" s="151"/>
      <c r="V415" s="152"/>
      <c r="W415" s="175"/>
      <c r="X415" s="173"/>
      <c r="Y415" s="173"/>
      <c r="Z415" s="176" t="str">
        <f>IF(B415="","",IF(S415&lt;&gt;"","Sevk Edildi",IF(AND(X415&lt;&gt;"",Y415=""),"Reworkte",IF(T415&lt;&gt;"","Kapandı"&amp;IF(COUNT(G415:R415)=0,""," – "&amp;LOOKUP(2,1/(G415:R415=MAX(G415:R415)),{"Tasarım","Ply Cutter","Üretim","Kalite (Üretim sonrası)","Talaşlı","Kalite (Talaşlı sonrası)","Montaj","Kalite (Montaj sonrası)","Boya","Kalite (Boya sonrası)","Yarı Mamül","KM"})),IF(COUNT(G415:R415)=0,"Başlamadı",LOOKUP(2,1/(G415:R415=MAX(G415:R415)),{"Tasarımda","Ply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15" s="177">
        <f t="shared" ca="1" si="104"/>
        <v>2</v>
      </c>
      <c r="AB415" s="175"/>
      <c r="AD415" t="str">
        <f>IF(OR($B415="",NOT(ISNUMBER(G415))),"",IF(COUNTIF(H415:$T415,G415)&gt;0,0,IF(COUNTIF($G415:$T415,"&gt;"&amp;G415)=0,"",SMALL($G415:$T415,COUNTIF($G415:$T415,"&lt;="&amp;G415)+1)-G415)))</f>
        <v/>
      </c>
      <c r="AE415" t="str">
        <f>IF(OR($B415="",NOT(ISNUMBER(H415))),"",IF(COUNTIF(I415:$T415,H415)&gt;0,0,IF(COUNTIF($G415:$T415,"&gt;"&amp;H415)=0,"",SMALL($G415:$T415,COUNTIF($G415:$T415,"&lt;="&amp;H415)+1)-H415)))</f>
        <v/>
      </c>
      <c r="AF415">
        <f>IF(OR($B415="",NOT(ISNUMBER(I415))),"",IF(COUNTIF(J415:$T415,I415)&gt;0,0,IF(COUNTIF($G415:$T415,"&gt;"&amp;I415)=0,"",SMALL($G415:$T415,COUNTIF($G415:$T415,"&lt;="&amp;I415)+1)-I415)))</f>
        <v>1</v>
      </c>
      <c r="AG415">
        <f>IF(OR($B415="",NOT(ISNUMBER(J415))),"",IF(COUNTIF(K415:$T415,J415)&gt;0,0,IF(COUNTIF($G415:$T415,"&gt;"&amp;J415)=0,"",SMALL($G415:$T415,COUNTIF($G415:$T415,"&lt;="&amp;J415)+1)-J415)))</f>
        <v>1</v>
      </c>
      <c r="AH415" t="str">
        <f>IF(OR($B415="",NOT(ISNUMBER(K415))),"",IF(COUNTIF(L415:$T415,K415)&gt;0,0,IF(COUNTIF($G415:$T415,"&gt;"&amp;K415)=0,"",SMALL($G415:$T415,COUNTIF($G415:$T415,"&lt;="&amp;K415)+1)-K415)))</f>
        <v/>
      </c>
      <c r="AI415" t="str">
        <f>IF(OR($B415="",NOT(ISNUMBER(L415))),"",IF(COUNTIF(M415:$T415,L415)&gt;0,0,IF(COUNTIF($G415:$T415,"&gt;"&amp;L415)=0,"",SMALL($G415:$T415,COUNTIF($G415:$T415,"&lt;="&amp;L415)+1)-L415)))</f>
        <v/>
      </c>
      <c r="AJ415" t="str">
        <f>IF(OR($B415="",NOT(ISNUMBER(M415))),"",IF(COUNTIF(N415:$T415,M415)&gt;0,0,IF(COUNTIF($G415:$T415,"&gt;"&amp;M415)=0,"",SMALL($G415:$T415,COUNTIF($G415:$T415,"&lt;="&amp;M415)+1)-M415)))</f>
        <v/>
      </c>
      <c r="AK415" t="str">
        <f>IF(OR($B415="",NOT(ISNUMBER(N415))),"",IF(COUNTIF(O415:$T415,N415)&gt;0,0,IF(COUNTIF($G415:$T415,"&gt;"&amp;N415)=0,"",SMALL($G415:$T415,COUNTIF($G415:$T415,"&lt;="&amp;N415)+1)-N415)))</f>
        <v/>
      </c>
      <c r="AL415" t="str">
        <f>IF(OR($B415="",NOT(ISNUMBER(O415))),"",IF(COUNTIF(P415:$T415,O415)&gt;0,0,IF(COUNTIF($G415:$T415,"&gt;"&amp;O415)=0,"",SMALL($G415:$T415,COUNTIF($G415:$T415,"&lt;="&amp;O415)+1)-O415)))</f>
        <v/>
      </c>
      <c r="AM415" t="str">
        <f>IF(OR($B415="",NOT(ISNUMBER(P415))),"",IF(COUNTIF(Q415:$T415,P415)&gt;0,0,IF(COUNTIF($G415:$T415,"&gt;"&amp;P415)=0,"",SMALL($G415:$T415,COUNTIF($G415:$T415,"&lt;="&amp;P415)+1)-P415)))</f>
        <v/>
      </c>
      <c r="AN415" t="str">
        <f>IF(OR($B415="",NOT(ISNUMBER(Q415))),"",IF(COUNTIF(R415:$T415,Q415)&gt;0,0,IF(COUNTIF($G415:$T415,"&gt;"&amp;Q415)=0,"",SMALL($G415:$T415,COUNTIF($G415:$T415,"&lt;="&amp;Q415)+1)-Q415)))</f>
        <v/>
      </c>
      <c r="AO415" t="str">
        <f>IF(OR($B415="",NOT(ISNUMBER(R415))),"",IF(COUNTIF(S415:$T415,R415)&gt;0,0,IF(COUNTIF($G415:$T415,"&gt;"&amp;R415)=0,"",SMALL($G415:$T415,COUNTIF($G415:$T415,"&lt;="&amp;R415)+1)-R415)))</f>
        <v/>
      </c>
      <c r="AP415">
        <f t="shared" ca="1" si="105"/>
        <v>0</v>
      </c>
      <c r="AQ415" s="25" t="str">
        <f t="shared" si="106"/>
        <v/>
      </c>
      <c r="AR415" s="25" t="str">
        <f t="shared" si="107"/>
        <v/>
      </c>
      <c r="AS415" s="25">
        <f t="shared" si="108"/>
        <v>46303</v>
      </c>
      <c r="AT415" s="25">
        <f t="shared" si="109"/>
        <v>46304</v>
      </c>
      <c r="AU415" s="25" t="str">
        <f t="shared" si="110"/>
        <v/>
      </c>
      <c r="AV415" s="25" t="str">
        <f t="shared" si="111"/>
        <v/>
      </c>
      <c r="AW415" s="25" t="str">
        <f t="shared" si="112"/>
        <v/>
      </c>
      <c r="AX415" s="25" t="str">
        <f t="shared" si="113"/>
        <v/>
      </c>
      <c r="AY415" s="25" t="str">
        <f t="shared" si="114"/>
        <v/>
      </c>
      <c r="AZ415" s="25" t="str">
        <f t="shared" si="115"/>
        <v/>
      </c>
      <c r="BA415" s="25" t="str">
        <f t="shared" si="116"/>
        <v/>
      </c>
      <c r="BB415" s="25" t="str">
        <f t="shared" si="117"/>
        <v/>
      </c>
      <c r="BC415" s="25">
        <f t="shared" si="118"/>
        <v>46304</v>
      </c>
    </row>
    <row r="416" spans="1:55" x14ac:dyDescent="0.25">
      <c r="A416" s="151">
        <f t="shared" si="103"/>
        <v>414</v>
      </c>
      <c r="B416" s="151" t="s">
        <v>637</v>
      </c>
      <c r="C416" s="152" t="s">
        <v>74</v>
      </c>
      <c r="D416" s="151">
        <f t="shared" si="102"/>
        <v>1</v>
      </c>
      <c r="E416" s="151" t="s">
        <v>61</v>
      </c>
      <c r="F416" s="173">
        <v>46302</v>
      </c>
      <c r="G416" s="173"/>
      <c r="H416" s="173"/>
      <c r="I416" s="173">
        <v>46302</v>
      </c>
      <c r="J416" s="173">
        <v>46303</v>
      </c>
      <c r="K416" s="173"/>
      <c r="L416" s="173"/>
      <c r="M416" s="173"/>
      <c r="N416" s="173"/>
      <c r="O416" s="173"/>
      <c r="P416" s="173"/>
      <c r="Q416" s="173"/>
      <c r="R416" s="173"/>
      <c r="S416" s="173"/>
      <c r="T416" s="174">
        <v>46304</v>
      </c>
      <c r="U416" s="151"/>
      <c r="V416" s="152"/>
      <c r="W416" s="175"/>
      <c r="X416" s="173"/>
      <c r="Y416" s="173"/>
      <c r="Z416" s="176" t="str">
        <f>IF(B416="","",IF(S416&lt;&gt;"","Sevk Edildi",IF(AND(X416&lt;&gt;"",Y416=""),"Reworkte",IF(T416&lt;&gt;"","Kapandı"&amp;IF(COUNT(G416:R416)=0,""," – "&amp;LOOKUP(2,1/(G416:R416=MAX(G416:R416)),{"Tasarım","Ply Cutter","Üretim","Kalite (Üretim sonrası)","Talaşlı","Kalite (Talaşlı sonrası)","Montaj","Kalite (Montaj sonrası)","Boya","Kalite (Boya sonrası)","Yarı Mamül","KM"})),IF(COUNT(G416:R416)=0,"Başlamadı",LOOKUP(2,1/(G416:R416=MAX(G416:R416)),{"Tasarımda","Ply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16" s="177">
        <f t="shared" ca="1" si="104"/>
        <v>2</v>
      </c>
      <c r="AB416" s="175"/>
      <c r="AD416" t="str">
        <f>IF(OR($B416="",NOT(ISNUMBER(G416))),"",IF(COUNTIF(H416:$T416,G416)&gt;0,0,IF(COUNTIF($G416:$T416,"&gt;"&amp;G416)=0,"",SMALL($G416:$T416,COUNTIF($G416:$T416,"&lt;="&amp;G416)+1)-G416)))</f>
        <v/>
      </c>
      <c r="AE416" t="str">
        <f>IF(OR($B416="",NOT(ISNUMBER(H416))),"",IF(COUNTIF(I416:$T416,H416)&gt;0,0,IF(COUNTIF($G416:$T416,"&gt;"&amp;H416)=0,"",SMALL($G416:$T416,COUNTIF($G416:$T416,"&lt;="&amp;H416)+1)-H416)))</f>
        <v/>
      </c>
      <c r="AF416">
        <f>IF(OR($B416="",NOT(ISNUMBER(I416))),"",IF(COUNTIF(J416:$T416,I416)&gt;0,0,IF(COUNTIF($G416:$T416,"&gt;"&amp;I416)=0,"",SMALL($G416:$T416,COUNTIF($G416:$T416,"&lt;="&amp;I416)+1)-I416)))</f>
        <v>1</v>
      </c>
      <c r="AG416">
        <f>IF(OR($B416="",NOT(ISNUMBER(J416))),"",IF(COUNTIF(K416:$T416,J416)&gt;0,0,IF(COUNTIF($G416:$T416,"&gt;"&amp;J416)=0,"",SMALL($G416:$T416,COUNTIF($G416:$T416,"&lt;="&amp;J416)+1)-J416)))</f>
        <v>1</v>
      </c>
      <c r="AH416" t="str">
        <f>IF(OR($B416="",NOT(ISNUMBER(K416))),"",IF(COUNTIF(L416:$T416,K416)&gt;0,0,IF(COUNTIF($G416:$T416,"&gt;"&amp;K416)=0,"",SMALL($G416:$T416,COUNTIF($G416:$T416,"&lt;="&amp;K416)+1)-K416)))</f>
        <v/>
      </c>
      <c r="AI416" t="str">
        <f>IF(OR($B416="",NOT(ISNUMBER(L416))),"",IF(COUNTIF(M416:$T416,L416)&gt;0,0,IF(COUNTIF($G416:$T416,"&gt;"&amp;L416)=0,"",SMALL($G416:$T416,COUNTIF($G416:$T416,"&lt;="&amp;L416)+1)-L416)))</f>
        <v/>
      </c>
      <c r="AJ416" t="str">
        <f>IF(OR($B416="",NOT(ISNUMBER(M416))),"",IF(COUNTIF(N416:$T416,M416)&gt;0,0,IF(COUNTIF($G416:$T416,"&gt;"&amp;M416)=0,"",SMALL($G416:$T416,COUNTIF($G416:$T416,"&lt;="&amp;M416)+1)-M416)))</f>
        <v/>
      </c>
      <c r="AK416" t="str">
        <f>IF(OR($B416="",NOT(ISNUMBER(N416))),"",IF(COUNTIF(O416:$T416,N416)&gt;0,0,IF(COUNTIF($G416:$T416,"&gt;"&amp;N416)=0,"",SMALL($G416:$T416,COUNTIF($G416:$T416,"&lt;="&amp;N416)+1)-N416)))</f>
        <v/>
      </c>
      <c r="AL416" t="str">
        <f>IF(OR($B416="",NOT(ISNUMBER(O416))),"",IF(COUNTIF(P416:$T416,O416)&gt;0,0,IF(COUNTIF($G416:$T416,"&gt;"&amp;O416)=0,"",SMALL($G416:$T416,COUNTIF($G416:$T416,"&lt;="&amp;O416)+1)-O416)))</f>
        <v/>
      </c>
      <c r="AM416" t="str">
        <f>IF(OR($B416="",NOT(ISNUMBER(P416))),"",IF(COUNTIF(Q416:$T416,P416)&gt;0,0,IF(COUNTIF($G416:$T416,"&gt;"&amp;P416)=0,"",SMALL($G416:$T416,COUNTIF($G416:$T416,"&lt;="&amp;P416)+1)-P416)))</f>
        <v/>
      </c>
      <c r="AN416" t="str">
        <f>IF(OR($B416="",NOT(ISNUMBER(Q416))),"",IF(COUNTIF(R416:$T416,Q416)&gt;0,0,IF(COUNTIF($G416:$T416,"&gt;"&amp;Q416)=0,"",SMALL($G416:$T416,COUNTIF($G416:$T416,"&lt;="&amp;Q416)+1)-Q416)))</f>
        <v/>
      </c>
      <c r="AO416" t="str">
        <f>IF(OR($B416="",NOT(ISNUMBER(R416))),"",IF(COUNTIF(S416:$T416,R416)&gt;0,0,IF(COUNTIF($G416:$T416,"&gt;"&amp;R416)=0,"",SMALL($G416:$T416,COUNTIF($G416:$T416,"&lt;="&amp;R416)+1)-R416)))</f>
        <v/>
      </c>
      <c r="AP416">
        <f t="shared" ca="1" si="105"/>
        <v>0</v>
      </c>
      <c r="AQ416" s="25" t="str">
        <f t="shared" si="106"/>
        <v/>
      </c>
      <c r="AR416" s="25" t="str">
        <f t="shared" si="107"/>
        <v/>
      </c>
      <c r="AS416" s="25">
        <f t="shared" si="108"/>
        <v>46303</v>
      </c>
      <c r="AT416" s="25">
        <f t="shared" si="109"/>
        <v>46304</v>
      </c>
      <c r="AU416" s="25" t="str">
        <f t="shared" si="110"/>
        <v/>
      </c>
      <c r="AV416" s="25" t="str">
        <f t="shared" si="111"/>
        <v/>
      </c>
      <c r="AW416" s="25" t="str">
        <f t="shared" si="112"/>
        <v/>
      </c>
      <c r="AX416" s="25" t="str">
        <f t="shared" si="113"/>
        <v/>
      </c>
      <c r="AY416" s="25" t="str">
        <f t="shared" si="114"/>
        <v/>
      </c>
      <c r="AZ416" s="25" t="str">
        <f t="shared" si="115"/>
        <v/>
      </c>
      <c r="BA416" s="25" t="str">
        <f t="shared" si="116"/>
        <v/>
      </c>
      <c r="BB416" s="25" t="str">
        <f t="shared" si="117"/>
        <v/>
      </c>
      <c r="BC416" s="25">
        <f t="shared" si="118"/>
        <v>46304</v>
      </c>
    </row>
    <row r="417" spans="1:55" x14ac:dyDescent="0.25">
      <c r="A417" s="151">
        <f t="shared" si="103"/>
        <v>415</v>
      </c>
      <c r="B417" s="151" t="s">
        <v>638</v>
      </c>
      <c r="C417" s="152" t="s">
        <v>113</v>
      </c>
      <c r="D417" s="151">
        <f t="shared" si="102"/>
        <v>1</v>
      </c>
      <c r="E417" s="151" t="s">
        <v>61</v>
      </c>
      <c r="F417" s="173">
        <v>46302</v>
      </c>
      <c r="G417" s="173"/>
      <c r="H417" s="173"/>
      <c r="I417" s="173">
        <v>46302</v>
      </c>
      <c r="J417" s="173">
        <v>46303</v>
      </c>
      <c r="K417" s="173"/>
      <c r="L417" s="173"/>
      <c r="M417" s="173"/>
      <c r="N417" s="173"/>
      <c r="O417" s="173"/>
      <c r="P417" s="173"/>
      <c r="Q417" s="173"/>
      <c r="R417" s="173"/>
      <c r="S417" s="173"/>
      <c r="T417" s="174">
        <v>46303</v>
      </c>
      <c r="U417" s="151"/>
      <c r="V417" s="152"/>
      <c r="W417" s="175"/>
      <c r="X417" s="173"/>
      <c r="Y417" s="173"/>
      <c r="Z417" s="176" t="str">
        <f>IF(B417="","",IF(S417&lt;&gt;"","Sevk Edildi",IF(AND(X417&lt;&gt;"",Y417=""),"Reworkte",IF(T417&lt;&gt;"","Kapandı"&amp;IF(COUNT(G417:R417)=0,""," – "&amp;LOOKUP(2,1/(G417:R417=MAX(G417:R417)),{"Tasarım","Ply Cutter","Üretim","Kalite (Üretim sonrası)","Talaşlı","Kalite (Talaşlı sonrası)","Montaj","Kalite (Montaj sonrası)","Boya","Kalite (Boya sonrası)","Yarı Mamül","KM"})),IF(COUNT(G417:R417)=0,"Başlamadı",LOOKUP(2,1/(G417:R417=MAX(G417:R417)),{"Tasarımda","Ply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17" s="177">
        <f t="shared" ca="1" si="104"/>
        <v>1</v>
      </c>
      <c r="AB417" s="175"/>
      <c r="AD417" t="str">
        <f>IF(OR($B417="",NOT(ISNUMBER(G417))),"",IF(COUNTIF(H417:$T417,G417)&gt;0,0,IF(COUNTIF($G417:$T417,"&gt;"&amp;G417)=0,"",SMALL($G417:$T417,COUNTIF($G417:$T417,"&lt;="&amp;G417)+1)-G417)))</f>
        <v/>
      </c>
      <c r="AE417" t="str">
        <f>IF(OR($B417="",NOT(ISNUMBER(H417))),"",IF(COUNTIF(I417:$T417,H417)&gt;0,0,IF(COUNTIF($G417:$T417,"&gt;"&amp;H417)=0,"",SMALL($G417:$T417,COUNTIF($G417:$T417,"&lt;="&amp;H417)+1)-H417)))</f>
        <v/>
      </c>
      <c r="AF417">
        <f>IF(OR($B417="",NOT(ISNUMBER(I417))),"",IF(COUNTIF(J417:$T417,I417)&gt;0,0,IF(COUNTIF($G417:$T417,"&gt;"&amp;I417)=0,"",SMALL($G417:$T417,COUNTIF($G417:$T417,"&lt;="&amp;I417)+1)-I417)))</f>
        <v>1</v>
      </c>
      <c r="AG417">
        <f>IF(OR($B417="",NOT(ISNUMBER(J417))),"",IF(COUNTIF(K417:$T417,J417)&gt;0,0,IF(COUNTIF($G417:$T417,"&gt;"&amp;J417)=0,"",SMALL($G417:$T417,COUNTIF($G417:$T417,"&lt;="&amp;J417)+1)-J417)))</f>
        <v>0</v>
      </c>
      <c r="AH417" t="str">
        <f>IF(OR($B417="",NOT(ISNUMBER(K417))),"",IF(COUNTIF(L417:$T417,K417)&gt;0,0,IF(COUNTIF($G417:$T417,"&gt;"&amp;K417)=0,"",SMALL($G417:$T417,COUNTIF($G417:$T417,"&lt;="&amp;K417)+1)-K417)))</f>
        <v/>
      </c>
      <c r="AI417" t="str">
        <f>IF(OR($B417="",NOT(ISNUMBER(L417))),"",IF(COUNTIF(M417:$T417,L417)&gt;0,0,IF(COUNTIF($G417:$T417,"&gt;"&amp;L417)=0,"",SMALL($G417:$T417,COUNTIF($G417:$T417,"&lt;="&amp;L417)+1)-L417)))</f>
        <v/>
      </c>
      <c r="AJ417" t="str">
        <f>IF(OR($B417="",NOT(ISNUMBER(M417))),"",IF(COUNTIF(N417:$T417,M417)&gt;0,0,IF(COUNTIF($G417:$T417,"&gt;"&amp;M417)=0,"",SMALL($G417:$T417,COUNTIF($G417:$T417,"&lt;="&amp;M417)+1)-M417)))</f>
        <v/>
      </c>
      <c r="AK417" t="str">
        <f>IF(OR($B417="",NOT(ISNUMBER(N417))),"",IF(COUNTIF(O417:$T417,N417)&gt;0,0,IF(COUNTIF($G417:$T417,"&gt;"&amp;N417)=0,"",SMALL($G417:$T417,COUNTIF($G417:$T417,"&lt;="&amp;N417)+1)-N417)))</f>
        <v/>
      </c>
      <c r="AL417" t="str">
        <f>IF(OR($B417="",NOT(ISNUMBER(O417))),"",IF(COUNTIF(P417:$T417,O417)&gt;0,0,IF(COUNTIF($G417:$T417,"&gt;"&amp;O417)=0,"",SMALL($G417:$T417,COUNTIF($G417:$T417,"&lt;="&amp;O417)+1)-O417)))</f>
        <v/>
      </c>
      <c r="AM417" t="str">
        <f>IF(OR($B417="",NOT(ISNUMBER(P417))),"",IF(COUNTIF(Q417:$T417,P417)&gt;0,0,IF(COUNTIF($G417:$T417,"&gt;"&amp;P417)=0,"",SMALL($G417:$T417,COUNTIF($G417:$T417,"&lt;="&amp;P417)+1)-P417)))</f>
        <v/>
      </c>
      <c r="AN417" t="str">
        <f>IF(OR($B417="",NOT(ISNUMBER(Q417))),"",IF(COUNTIF(R417:$T417,Q417)&gt;0,0,IF(COUNTIF($G417:$T417,"&gt;"&amp;Q417)=0,"",SMALL($G417:$T417,COUNTIF($G417:$T417,"&lt;="&amp;Q417)+1)-Q417)))</f>
        <v/>
      </c>
      <c r="AO417" t="str">
        <f>IF(OR($B417="",NOT(ISNUMBER(R417))),"",IF(COUNTIF(S417:$T417,R417)&gt;0,0,IF(COUNTIF($G417:$T417,"&gt;"&amp;R417)=0,"",SMALL($G417:$T417,COUNTIF($G417:$T417,"&lt;="&amp;R417)+1)-R417)))</f>
        <v/>
      </c>
      <c r="AP417">
        <f t="shared" ca="1" si="105"/>
        <v>0</v>
      </c>
      <c r="AQ417" s="25" t="str">
        <f t="shared" si="106"/>
        <v/>
      </c>
      <c r="AR417" s="25" t="str">
        <f t="shared" si="107"/>
        <v/>
      </c>
      <c r="AS417" s="25">
        <f t="shared" si="108"/>
        <v>46303</v>
      </c>
      <c r="AT417" s="25">
        <f t="shared" si="109"/>
        <v>46303</v>
      </c>
      <c r="AU417" s="25" t="str">
        <f t="shared" si="110"/>
        <v/>
      </c>
      <c r="AV417" s="25" t="str">
        <f t="shared" si="111"/>
        <v/>
      </c>
      <c r="AW417" s="25" t="str">
        <f t="shared" si="112"/>
        <v/>
      </c>
      <c r="AX417" s="25" t="str">
        <f t="shared" si="113"/>
        <v/>
      </c>
      <c r="AY417" s="25" t="str">
        <f t="shared" si="114"/>
        <v/>
      </c>
      <c r="AZ417" s="25" t="str">
        <f t="shared" si="115"/>
        <v/>
      </c>
      <c r="BA417" s="25" t="str">
        <f t="shared" si="116"/>
        <v/>
      </c>
      <c r="BB417" s="25" t="str">
        <f t="shared" si="117"/>
        <v/>
      </c>
      <c r="BC417" s="25">
        <f t="shared" si="118"/>
        <v>46303</v>
      </c>
    </row>
    <row r="418" spans="1:55" x14ac:dyDescent="0.25">
      <c r="A418" s="151">
        <f t="shared" si="103"/>
        <v>416</v>
      </c>
      <c r="B418" s="151" t="s">
        <v>639</v>
      </c>
      <c r="C418" s="152" t="s">
        <v>113</v>
      </c>
      <c r="D418" s="151">
        <f t="shared" si="102"/>
        <v>1</v>
      </c>
      <c r="E418" s="151" t="s">
        <v>61</v>
      </c>
      <c r="F418" s="173">
        <v>46302</v>
      </c>
      <c r="G418" s="173"/>
      <c r="H418" s="173"/>
      <c r="I418" s="173">
        <v>46302</v>
      </c>
      <c r="J418" s="173">
        <v>46303</v>
      </c>
      <c r="K418" s="173"/>
      <c r="L418" s="173"/>
      <c r="M418" s="173"/>
      <c r="N418" s="173"/>
      <c r="O418" s="173"/>
      <c r="P418" s="173"/>
      <c r="Q418" s="173"/>
      <c r="R418" s="173"/>
      <c r="S418" s="173"/>
      <c r="T418" s="174">
        <v>46303</v>
      </c>
      <c r="U418" s="151"/>
      <c r="V418" s="152"/>
      <c r="W418" s="175"/>
      <c r="X418" s="173"/>
      <c r="Y418" s="173"/>
      <c r="Z418" s="176" t="str">
        <f>IF(B418="","",IF(S418&lt;&gt;"","Sevk Edildi",IF(AND(X418&lt;&gt;"",Y418=""),"Reworkte",IF(T418&lt;&gt;"","Kapandı"&amp;IF(COUNT(G418:R418)=0,""," – "&amp;LOOKUP(2,1/(G418:R418=MAX(G418:R418)),{"Tasarım","Ply Cutter","Üretim","Kalite (Üretim sonrası)","Talaşlı","Kalite (Talaşlı sonrası)","Montaj","Kalite (Montaj sonrası)","Boya","Kalite (Boya sonrası)","Yarı Mamül","KM"})),IF(COUNT(G418:R418)=0,"Başlamadı",LOOKUP(2,1/(G418:R418=MAX(G418:R418)),{"Tasarımda","Ply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18" s="177">
        <f t="shared" ca="1" si="104"/>
        <v>1</v>
      </c>
      <c r="AB418" s="175"/>
      <c r="AD418" t="str">
        <f>IF(OR($B418="",NOT(ISNUMBER(G418))),"",IF(COUNTIF(H418:$T418,G418)&gt;0,0,IF(COUNTIF($G418:$T418,"&gt;"&amp;G418)=0,"",SMALL($G418:$T418,COUNTIF($G418:$T418,"&lt;="&amp;G418)+1)-G418)))</f>
        <v/>
      </c>
      <c r="AE418" t="str">
        <f>IF(OR($B418="",NOT(ISNUMBER(H418))),"",IF(COUNTIF(I418:$T418,H418)&gt;0,0,IF(COUNTIF($G418:$T418,"&gt;"&amp;H418)=0,"",SMALL($G418:$T418,COUNTIF($G418:$T418,"&lt;="&amp;H418)+1)-H418)))</f>
        <v/>
      </c>
      <c r="AF418">
        <f>IF(OR($B418="",NOT(ISNUMBER(I418))),"",IF(COUNTIF(J418:$T418,I418)&gt;0,0,IF(COUNTIF($G418:$T418,"&gt;"&amp;I418)=0,"",SMALL($G418:$T418,COUNTIF($G418:$T418,"&lt;="&amp;I418)+1)-I418)))</f>
        <v>1</v>
      </c>
      <c r="AG418">
        <f>IF(OR($B418="",NOT(ISNUMBER(J418))),"",IF(COUNTIF(K418:$T418,J418)&gt;0,0,IF(COUNTIF($G418:$T418,"&gt;"&amp;J418)=0,"",SMALL($G418:$T418,COUNTIF($G418:$T418,"&lt;="&amp;J418)+1)-J418)))</f>
        <v>0</v>
      </c>
      <c r="AH418" t="str">
        <f>IF(OR($B418="",NOT(ISNUMBER(K418))),"",IF(COUNTIF(L418:$T418,K418)&gt;0,0,IF(COUNTIF($G418:$T418,"&gt;"&amp;K418)=0,"",SMALL($G418:$T418,COUNTIF($G418:$T418,"&lt;="&amp;K418)+1)-K418)))</f>
        <v/>
      </c>
      <c r="AI418" t="str">
        <f>IF(OR($B418="",NOT(ISNUMBER(L418))),"",IF(COUNTIF(M418:$T418,L418)&gt;0,0,IF(COUNTIF($G418:$T418,"&gt;"&amp;L418)=0,"",SMALL($G418:$T418,COUNTIF($G418:$T418,"&lt;="&amp;L418)+1)-L418)))</f>
        <v/>
      </c>
      <c r="AJ418" t="str">
        <f>IF(OR($B418="",NOT(ISNUMBER(M418))),"",IF(COUNTIF(N418:$T418,M418)&gt;0,0,IF(COUNTIF($G418:$T418,"&gt;"&amp;M418)=0,"",SMALL($G418:$T418,COUNTIF($G418:$T418,"&lt;="&amp;M418)+1)-M418)))</f>
        <v/>
      </c>
      <c r="AK418" t="str">
        <f>IF(OR($B418="",NOT(ISNUMBER(N418))),"",IF(COUNTIF(O418:$T418,N418)&gt;0,0,IF(COUNTIF($G418:$T418,"&gt;"&amp;N418)=0,"",SMALL($G418:$T418,COUNTIF($G418:$T418,"&lt;="&amp;N418)+1)-N418)))</f>
        <v/>
      </c>
      <c r="AL418" t="str">
        <f>IF(OR($B418="",NOT(ISNUMBER(O418))),"",IF(COUNTIF(P418:$T418,O418)&gt;0,0,IF(COUNTIF($G418:$T418,"&gt;"&amp;O418)=0,"",SMALL($G418:$T418,COUNTIF($G418:$T418,"&lt;="&amp;O418)+1)-O418)))</f>
        <v/>
      </c>
      <c r="AM418" t="str">
        <f>IF(OR($B418="",NOT(ISNUMBER(P418))),"",IF(COUNTIF(Q418:$T418,P418)&gt;0,0,IF(COUNTIF($G418:$T418,"&gt;"&amp;P418)=0,"",SMALL($G418:$T418,COUNTIF($G418:$T418,"&lt;="&amp;P418)+1)-P418)))</f>
        <v/>
      </c>
      <c r="AN418" t="str">
        <f>IF(OR($B418="",NOT(ISNUMBER(Q418))),"",IF(COUNTIF(R418:$T418,Q418)&gt;0,0,IF(COUNTIF($G418:$T418,"&gt;"&amp;Q418)=0,"",SMALL($G418:$T418,COUNTIF($G418:$T418,"&lt;="&amp;Q418)+1)-Q418)))</f>
        <v/>
      </c>
      <c r="AO418" t="str">
        <f>IF(OR($B418="",NOT(ISNUMBER(R418))),"",IF(COUNTIF(S418:$T418,R418)&gt;0,0,IF(COUNTIF($G418:$T418,"&gt;"&amp;R418)=0,"",SMALL($G418:$T418,COUNTIF($G418:$T418,"&lt;="&amp;R418)+1)-R418)))</f>
        <v/>
      </c>
      <c r="AP418">
        <f t="shared" ca="1" si="105"/>
        <v>0</v>
      </c>
      <c r="AQ418" s="25" t="str">
        <f t="shared" si="106"/>
        <v/>
      </c>
      <c r="AR418" s="25" t="str">
        <f t="shared" si="107"/>
        <v/>
      </c>
      <c r="AS418" s="25">
        <f t="shared" si="108"/>
        <v>46303</v>
      </c>
      <c r="AT418" s="25">
        <f t="shared" si="109"/>
        <v>46303</v>
      </c>
      <c r="AU418" s="25" t="str">
        <f t="shared" si="110"/>
        <v/>
      </c>
      <c r="AV418" s="25" t="str">
        <f t="shared" si="111"/>
        <v/>
      </c>
      <c r="AW418" s="25" t="str">
        <f t="shared" si="112"/>
        <v/>
      </c>
      <c r="AX418" s="25" t="str">
        <f t="shared" si="113"/>
        <v/>
      </c>
      <c r="AY418" s="25" t="str">
        <f t="shared" si="114"/>
        <v/>
      </c>
      <c r="AZ418" s="25" t="str">
        <f t="shared" si="115"/>
        <v/>
      </c>
      <c r="BA418" s="25" t="str">
        <f t="shared" si="116"/>
        <v/>
      </c>
      <c r="BB418" s="25" t="str">
        <f t="shared" si="117"/>
        <v/>
      </c>
      <c r="BC418" s="25">
        <f t="shared" si="118"/>
        <v>46303</v>
      </c>
    </row>
    <row r="419" spans="1:55" x14ac:dyDescent="0.25">
      <c r="A419" s="151">
        <f t="shared" si="103"/>
        <v>417</v>
      </c>
      <c r="B419" s="151" t="s">
        <v>640</v>
      </c>
      <c r="C419" s="152" t="s">
        <v>345</v>
      </c>
      <c r="D419" s="151">
        <f t="shared" si="102"/>
        <v>1</v>
      </c>
      <c r="E419" s="151" t="s">
        <v>61</v>
      </c>
      <c r="F419" s="173">
        <v>46302</v>
      </c>
      <c r="G419" s="173"/>
      <c r="H419" s="173"/>
      <c r="I419" s="173">
        <v>46302</v>
      </c>
      <c r="J419" s="173">
        <v>46303</v>
      </c>
      <c r="K419" s="173"/>
      <c r="L419" s="173"/>
      <c r="M419" s="173"/>
      <c r="N419" s="173"/>
      <c r="O419" s="173"/>
      <c r="P419" s="173"/>
      <c r="Q419" s="173"/>
      <c r="R419" s="173"/>
      <c r="S419" s="173"/>
      <c r="T419" s="174">
        <v>46305</v>
      </c>
      <c r="U419" s="151"/>
      <c r="V419" s="152"/>
      <c r="W419" s="175"/>
      <c r="X419" s="173"/>
      <c r="Y419" s="173"/>
      <c r="Z419" s="176" t="str">
        <f>IF(B419="","",IF(S419&lt;&gt;"","Sevk Edildi",IF(AND(X419&lt;&gt;"",Y419=""),"Reworkte",IF(T419&lt;&gt;"","Kapandı"&amp;IF(COUNT(G419:R419)=0,""," – "&amp;LOOKUP(2,1/(G419:R419=MAX(G419:R419)),{"Tasarım","Ply Cutter","Üretim","Kalite (Üretim sonrası)","Talaşlı","Kalite (Talaşlı sonrası)","Montaj","Kalite (Montaj sonrası)","Boya","Kalite (Boya sonrası)","Yarı Mamül","KM"})),IF(COUNT(G419:R419)=0,"Başlamadı",LOOKUP(2,1/(G419:R419=MAX(G419:R419)),{"Tasarımda","Ply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19" s="177">
        <f t="shared" ca="1" si="104"/>
        <v>3</v>
      </c>
      <c r="AB419" s="175"/>
      <c r="AD419" t="str">
        <f>IF(OR($B419="",NOT(ISNUMBER(G419))),"",IF(COUNTIF(H419:$T419,G419)&gt;0,0,IF(COUNTIF($G419:$T419,"&gt;"&amp;G419)=0,"",SMALL($G419:$T419,COUNTIF($G419:$T419,"&lt;="&amp;G419)+1)-G419)))</f>
        <v/>
      </c>
      <c r="AE419" t="str">
        <f>IF(OR($B419="",NOT(ISNUMBER(H419))),"",IF(COUNTIF(I419:$T419,H419)&gt;0,0,IF(COUNTIF($G419:$T419,"&gt;"&amp;H419)=0,"",SMALL($G419:$T419,COUNTIF($G419:$T419,"&lt;="&amp;H419)+1)-H419)))</f>
        <v/>
      </c>
      <c r="AF419">
        <f>IF(OR($B419="",NOT(ISNUMBER(I419))),"",IF(COUNTIF(J419:$T419,I419)&gt;0,0,IF(COUNTIF($G419:$T419,"&gt;"&amp;I419)=0,"",SMALL($G419:$T419,COUNTIF($G419:$T419,"&lt;="&amp;I419)+1)-I419)))</f>
        <v>1</v>
      </c>
      <c r="AG419">
        <f>IF(OR($B419="",NOT(ISNUMBER(J419))),"",IF(COUNTIF(K419:$T419,J419)&gt;0,0,IF(COUNTIF($G419:$T419,"&gt;"&amp;J419)=0,"",SMALL($G419:$T419,COUNTIF($G419:$T419,"&lt;="&amp;J419)+1)-J419)))</f>
        <v>2</v>
      </c>
      <c r="AH419" t="str">
        <f>IF(OR($B419="",NOT(ISNUMBER(K419))),"",IF(COUNTIF(L419:$T419,K419)&gt;0,0,IF(COUNTIF($G419:$T419,"&gt;"&amp;K419)=0,"",SMALL($G419:$T419,COUNTIF($G419:$T419,"&lt;="&amp;K419)+1)-K419)))</f>
        <v/>
      </c>
      <c r="AI419" t="str">
        <f>IF(OR($B419="",NOT(ISNUMBER(L419))),"",IF(COUNTIF(M419:$T419,L419)&gt;0,0,IF(COUNTIF($G419:$T419,"&gt;"&amp;L419)=0,"",SMALL($G419:$T419,COUNTIF($G419:$T419,"&lt;="&amp;L419)+1)-L419)))</f>
        <v/>
      </c>
      <c r="AJ419" t="str">
        <f>IF(OR($B419="",NOT(ISNUMBER(M419))),"",IF(COUNTIF(N419:$T419,M419)&gt;0,0,IF(COUNTIF($G419:$T419,"&gt;"&amp;M419)=0,"",SMALL($G419:$T419,COUNTIF($G419:$T419,"&lt;="&amp;M419)+1)-M419)))</f>
        <v/>
      </c>
      <c r="AK419" t="str">
        <f>IF(OR($B419="",NOT(ISNUMBER(N419))),"",IF(COUNTIF(O419:$T419,N419)&gt;0,0,IF(COUNTIF($G419:$T419,"&gt;"&amp;N419)=0,"",SMALL($G419:$T419,COUNTIF($G419:$T419,"&lt;="&amp;N419)+1)-N419)))</f>
        <v/>
      </c>
      <c r="AL419" t="str">
        <f>IF(OR($B419="",NOT(ISNUMBER(O419))),"",IF(COUNTIF(P419:$T419,O419)&gt;0,0,IF(COUNTIF($G419:$T419,"&gt;"&amp;O419)=0,"",SMALL($G419:$T419,COUNTIF($G419:$T419,"&lt;="&amp;O419)+1)-O419)))</f>
        <v/>
      </c>
      <c r="AM419" t="str">
        <f>IF(OR($B419="",NOT(ISNUMBER(P419))),"",IF(COUNTIF(Q419:$T419,P419)&gt;0,0,IF(COUNTIF($G419:$T419,"&gt;"&amp;P419)=0,"",SMALL($G419:$T419,COUNTIF($G419:$T419,"&lt;="&amp;P419)+1)-P419)))</f>
        <v/>
      </c>
      <c r="AN419" t="str">
        <f>IF(OR($B419="",NOT(ISNUMBER(Q419))),"",IF(COUNTIF(R419:$T419,Q419)&gt;0,0,IF(COUNTIF($G419:$T419,"&gt;"&amp;Q419)=0,"",SMALL($G419:$T419,COUNTIF($G419:$T419,"&lt;="&amp;Q419)+1)-Q419)))</f>
        <v/>
      </c>
      <c r="AO419" t="str">
        <f>IF(OR($B419="",NOT(ISNUMBER(R419))),"",IF(COUNTIF(S419:$T419,R419)&gt;0,0,IF(COUNTIF($G419:$T419,"&gt;"&amp;R419)=0,"",SMALL($G419:$T419,COUNTIF($G419:$T419,"&lt;="&amp;R419)+1)-R419)))</f>
        <v/>
      </c>
      <c r="AP419">
        <f t="shared" ca="1" si="105"/>
        <v>0</v>
      </c>
      <c r="AQ419" s="25" t="str">
        <f t="shared" si="106"/>
        <v/>
      </c>
      <c r="AR419" s="25" t="str">
        <f t="shared" si="107"/>
        <v/>
      </c>
      <c r="AS419" s="25">
        <f t="shared" si="108"/>
        <v>46303</v>
      </c>
      <c r="AT419" s="25">
        <f t="shared" si="109"/>
        <v>46305</v>
      </c>
      <c r="AU419" s="25" t="str">
        <f t="shared" si="110"/>
        <v/>
      </c>
      <c r="AV419" s="25" t="str">
        <f t="shared" si="111"/>
        <v/>
      </c>
      <c r="AW419" s="25" t="str">
        <f t="shared" si="112"/>
        <v/>
      </c>
      <c r="AX419" s="25" t="str">
        <f t="shared" si="113"/>
        <v/>
      </c>
      <c r="AY419" s="25" t="str">
        <f t="shared" si="114"/>
        <v/>
      </c>
      <c r="AZ419" s="25" t="str">
        <f t="shared" si="115"/>
        <v/>
      </c>
      <c r="BA419" s="25" t="str">
        <f t="shared" si="116"/>
        <v/>
      </c>
      <c r="BB419" s="25" t="str">
        <f t="shared" si="117"/>
        <v/>
      </c>
      <c r="BC419" s="25">
        <f t="shared" si="118"/>
        <v>46305</v>
      </c>
    </row>
    <row r="420" spans="1:55" x14ac:dyDescent="0.25">
      <c r="A420" s="151">
        <f t="shared" si="103"/>
        <v>418</v>
      </c>
      <c r="B420" s="151" t="s">
        <v>641</v>
      </c>
      <c r="C420" s="152" t="s">
        <v>642</v>
      </c>
      <c r="D420" s="151">
        <f t="shared" si="102"/>
        <v>1</v>
      </c>
      <c r="E420" s="151" t="s">
        <v>100</v>
      </c>
      <c r="F420" s="173">
        <v>46302</v>
      </c>
      <c r="G420" s="173"/>
      <c r="H420" s="173"/>
      <c r="I420" s="173">
        <v>46302</v>
      </c>
      <c r="J420" s="173">
        <v>46303</v>
      </c>
      <c r="K420" s="173"/>
      <c r="L420" s="173"/>
      <c r="M420" s="173"/>
      <c r="N420" s="173"/>
      <c r="O420" s="173"/>
      <c r="P420" s="173"/>
      <c r="Q420" s="173"/>
      <c r="R420" s="173"/>
      <c r="S420" s="173"/>
      <c r="T420" s="174">
        <v>46303</v>
      </c>
      <c r="U420" s="151"/>
      <c r="V420" s="152"/>
      <c r="W420" s="175"/>
      <c r="X420" s="173"/>
      <c r="Y420" s="173"/>
      <c r="Z420" s="176" t="str">
        <f>IF(B420="","",IF(S420&lt;&gt;"","Sevk Edildi",IF(AND(X420&lt;&gt;"",Y420=""),"Reworkte",IF(T420&lt;&gt;"","Kapandı"&amp;IF(COUNT(G420:R420)=0,""," – "&amp;LOOKUP(2,1/(G420:R420=MAX(G420:R420)),{"Tasarım","Ply Cutter","Üretim","Kalite (Üretim sonrası)","Talaşlı","Kalite (Talaşlı sonrası)","Montaj","Kalite (Montaj sonrası)","Boya","Kalite (Boya sonrası)","Yarı Mamül","KM"})),IF(COUNT(G420:R420)=0,"Başlamadı",LOOKUP(2,1/(G420:R420=MAX(G420:R420)),{"Tasarımda","Ply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20" s="177">
        <f t="shared" ca="1" si="104"/>
        <v>1</v>
      </c>
      <c r="AB420" s="175"/>
      <c r="AD420" t="str">
        <f>IF(OR($B420="",NOT(ISNUMBER(G420))),"",IF(COUNTIF(H420:$T420,G420)&gt;0,0,IF(COUNTIF($G420:$T420,"&gt;"&amp;G420)=0,"",SMALL($G420:$T420,COUNTIF($G420:$T420,"&lt;="&amp;G420)+1)-G420)))</f>
        <v/>
      </c>
      <c r="AE420" t="str">
        <f>IF(OR($B420="",NOT(ISNUMBER(H420))),"",IF(COUNTIF(I420:$T420,H420)&gt;0,0,IF(COUNTIF($G420:$T420,"&gt;"&amp;H420)=0,"",SMALL($G420:$T420,COUNTIF($G420:$T420,"&lt;="&amp;H420)+1)-H420)))</f>
        <v/>
      </c>
      <c r="AF420">
        <f>IF(OR($B420="",NOT(ISNUMBER(I420))),"",IF(COUNTIF(J420:$T420,I420)&gt;0,0,IF(COUNTIF($G420:$T420,"&gt;"&amp;I420)=0,"",SMALL($G420:$T420,COUNTIF($G420:$T420,"&lt;="&amp;I420)+1)-I420)))</f>
        <v>1</v>
      </c>
      <c r="AG420">
        <f>IF(OR($B420="",NOT(ISNUMBER(J420))),"",IF(COUNTIF(K420:$T420,J420)&gt;0,0,IF(COUNTIF($G420:$T420,"&gt;"&amp;J420)=0,"",SMALL($G420:$T420,COUNTIF($G420:$T420,"&lt;="&amp;J420)+1)-J420)))</f>
        <v>0</v>
      </c>
      <c r="AH420" t="str">
        <f>IF(OR($B420="",NOT(ISNUMBER(K420))),"",IF(COUNTIF(L420:$T420,K420)&gt;0,0,IF(COUNTIF($G420:$T420,"&gt;"&amp;K420)=0,"",SMALL($G420:$T420,COUNTIF($G420:$T420,"&lt;="&amp;K420)+1)-K420)))</f>
        <v/>
      </c>
      <c r="AI420" t="str">
        <f>IF(OR($B420="",NOT(ISNUMBER(L420))),"",IF(COUNTIF(M420:$T420,L420)&gt;0,0,IF(COUNTIF($G420:$T420,"&gt;"&amp;L420)=0,"",SMALL($G420:$T420,COUNTIF($G420:$T420,"&lt;="&amp;L420)+1)-L420)))</f>
        <v/>
      </c>
      <c r="AJ420" t="str">
        <f>IF(OR($B420="",NOT(ISNUMBER(M420))),"",IF(COUNTIF(N420:$T420,M420)&gt;0,0,IF(COUNTIF($G420:$T420,"&gt;"&amp;M420)=0,"",SMALL($G420:$T420,COUNTIF($G420:$T420,"&lt;="&amp;M420)+1)-M420)))</f>
        <v/>
      </c>
      <c r="AK420" t="str">
        <f>IF(OR($B420="",NOT(ISNUMBER(N420))),"",IF(COUNTIF(O420:$T420,N420)&gt;0,0,IF(COUNTIF($G420:$T420,"&gt;"&amp;N420)=0,"",SMALL($G420:$T420,COUNTIF($G420:$T420,"&lt;="&amp;N420)+1)-N420)))</f>
        <v/>
      </c>
      <c r="AL420" t="str">
        <f>IF(OR($B420="",NOT(ISNUMBER(O420))),"",IF(COUNTIF(P420:$T420,O420)&gt;0,0,IF(COUNTIF($G420:$T420,"&gt;"&amp;O420)=0,"",SMALL($G420:$T420,COUNTIF($G420:$T420,"&lt;="&amp;O420)+1)-O420)))</f>
        <v/>
      </c>
      <c r="AM420" t="str">
        <f>IF(OR($B420="",NOT(ISNUMBER(P420))),"",IF(COUNTIF(Q420:$T420,P420)&gt;0,0,IF(COUNTIF($G420:$T420,"&gt;"&amp;P420)=0,"",SMALL($G420:$T420,COUNTIF($G420:$T420,"&lt;="&amp;P420)+1)-P420)))</f>
        <v/>
      </c>
      <c r="AN420" t="str">
        <f>IF(OR($B420="",NOT(ISNUMBER(Q420))),"",IF(COUNTIF(R420:$T420,Q420)&gt;0,0,IF(COUNTIF($G420:$T420,"&gt;"&amp;Q420)=0,"",SMALL($G420:$T420,COUNTIF($G420:$T420,"&lt;="&amp;Q420)+1)-Q420)))</f>
        <v/>
      </c>
      <c r="AO420" t="str">
        <f>IF(OR($B420="",NOT(ISNUMBER(R420))),"",IF(COUNTIF(S420:$T420,R420)&gt;0,0,IF(COUNTIF($G420:$T420,"&gt;"&amp;R420)=0,"",SMALL($G420:$T420,COUNTIF($G420:$T420,"&lt;="&amp;R420)+1)-R420)))</f>
        <v/>
      </c>
      <c r="AP420">
        <f t="shared" ca="1" si="105"/>
        <v>0</v>
      </c>
      <c r="AQ420" s="25" t="str">
        <f t="shared" si="106"/>
        <v/>
      </c>
      <c r="AR420" s="25" t="str">
        <f t="shared" si="107"/>
        <v/>
      </c>
      <c r="AS420" s="25">
        <f t="shared" si="108"/>
        <v>46303</v>
      </c>
      <c r="AT420" s="25">
        <f t="shared" si="109"/>
        <v>46303</v>
      </c>
      <c r="AU420" s="25" t="str">
        <f t="shared" si="110"/>
        <v/>
      </c>
      <c r="AV420" s="25" t="str">
        <f t="shared" si="111"/>
        <v/>
      </c>
      <c r="AW420" s="25" t="str">
        <f t="shared" si="112"/>
        <v/>
      </c>
      <c r="AX420" s="25" t="str">
        <f t="shared" si="113"/>
        <v/>
      </c>
      <c r="AY420" s="25" t="str">
        <f t="shared" si="114"/>
        <v/>
      </c>
      <c r="AZ420" s="25" t="str">
        <f t="shared" si="115"/>
        <v/>
      </c>
      <c r="BA420" s="25" t="str">
        <f t="shared" si="116"/>
        <v/>
      </c>
      <c r="BB420" s="25" t="str">
        <f t="shared" si="117"/>
        <v/>
      </c>
      <c r="BC420" s="25">
        <f t="shared" si="118"/>
        <v>46303</v>
      </c>
    </row>
    <row r="421" spans="1:55" x14ac:dyDescent="0.25">
      <c r="A421" s="151">
        <f t="shared" si="103"/>
        <v>419</v>
      </c>
      <c r="B421" s="151" t="s">
        <v>643</v>
      </c>
      <c r="C421" s="152" t="s">
        <v>644</v>
      </c>
      <c r="D421" s="151">
        <f t="shared" si="102"/>
        <v>1</v>
      </c>
      <c r="E421" s="151" t="s">
        <v>100</v>
      </c>
      <c r="F421" s="173">
        <v>46302</v>
      </c>
      <c r="G421" s="173"/>
      <c r="H421" s="173"/>
      <c r="I421" s="173">
        <v>46302</v>
      </c>
      <c r="J421" s="173">
        <v>46303</v>
      </c>
      <c r="K421" s="173"/>
      <c r="L421" s="173"/>
      <c r="M421" s="173"/>
      <c r="N421" s="173"/>
      <c r="O421" s="173"/>
      <c r="P421" s="173"/>
      <c r="Q421" s="173">
        <v>46305</v>
      </c>
      <c r="R421" s="173"/>
      <c r="S421" s="173"/>
      <c r="T421" s="174">
        <v>46305</v>
      </c>
      <c r="U421" s="151"/>
      <c r="V421" s="152"/>
      <c r="W421" s="175"/>
      <c r="X421" s="173"/>
      <c r="Y421" s="173"/>
      <c r="Z421" s="176" t="str">
        <f>IF(B421="","",IF(S421&lt;&gt;"","Sevk Edildi",IF(AND(X421&lt;&gt;"",Y421=""),"Reworkte",IF(T421&lt;&gt;"","Kapandı"&amp;IF(COUNT(G421:R421)=0,""," – "&amp;LOOKUP(2,1/(G421:R421=MAX(G421:R421)),{"Tasarım","Ply Cutter","Üretim","Kalite (Üretim sonrası)","Talaşlı","Kalite (Talaşlı sonrası)","Montaj","Kalite (Montaj sonrası)","Boya","Kalite (Boya sonrası)","Yarı Mamül","KM"})),IF(COUNT(G421:R421)=0,"Başlamadı",LOOKUP(2,1/(G421:R421=MAX(G421:R421)),{"Tasarımda","Ply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21" s="177">
        <f t="shared" ca="1" si="104"/>
        <v>3</v>
      </c>
      <c r="AB421" s="175"/>
      <c r="AD421" t="str">
        <f>IF(OR($B421="",NOT(ISNUMBER(G421))),"",IF(COUNTIF(H421:$T421,G421)&gt;0,0,IF(COUNTIF($G421:$T421,"&gt;"&amp;G421)=0,"",SMALL($G421:$T421,COUNTIF($G421:$T421,"&lt;="&amp;G421)+1)-G421)))</f>
        <v/>
      </c>
      <c r="AE421" t="str">
        <f>IF(OR($B421="",NOT(ISNUMBER(H421))),"",IF(COUNTIF(I421:$T421,H421)&gt;0,0,IF(COUNTIF($G421:$T421,"&gt;"&amp;H421)=0,"",SMALL($G421:$T421,COUNTIF($G421:$T421,"&lt;="&amp;H421)+1)-H421)))</f>
        <v/>
      </c>
      <c r="AF421">
        <f>IF(OR($B421="",NOT(ISNUMBER(I421))),"",IF(COUNTIF(J421:$T421,I421)&gt;0,0,IF(COUNTIF($G421:$T421,"&gt;"&amp;I421)=0,"",SMALL($G421:$T421,COUNTIF($G421:$T421,"&lt;="&amp;I421)+1)-I421)))</f>
        <v>1</v>
      </c>
      <c r="AG421">
        <f>IF(OR($B421="",NOT(ISNUMBER(J421))),"",IF(COUNTIF(K421:$T421,J421)&gt;0,0,IF(COUNTIF($G421:$T421,"&gt;"&amp;J421)=0,"",SMALL($G421:$T421,COUNTIF($G421:$T421,"&lt;="&amp;J421)+1)-J421)))</f>
        <v>2</v>
      </c>
      <c r="AH421" t="str">
        <f>IF(OR($B421="",NOT(ISNUMBER(K421))),"",IF(COUNTIF(L421:$T421,K421)&gt;0,0,IF(COUNTIF($G421:$T421,"&gt;"&amp;K421)=0,"",SMALL($G421:$T421,COUNTIF($G421:$T421,"&lt;="&amp;K421)+1)-K421)))</f>
        <v/>
      </c>
      <c r="AI421" t="str">
        <f>IF(OR($B421="",NOT(ISNUMBER(L421))),"",IF(COUNTIF(M421:$T421,L421)&gt;0,0,IF(COUNTIF($G421:$T421,"&gt;"&amp;L421)=0,"",SMALL($G421:$T421,COUNTIF($G421:$T421,"&lt;="&amp;L421)+1)-L421)))</f>
        <v/>
      </c>
      <c r="AJ421" t="str">
        <f>IF(OR($B421="",NOT(ISNUMBER(M421))),"",IF(COUNTIF(N421:$T421,M421)&gt;0,0,IF(COUNTIF($G421:$T421,"&gt;"&amp;M421)=0,"",SMALL($G421:$T421,COUNTIF($G421:$T421,"&lt;="&amp;M421)+1)-M421)))</f>
        <v/>
      </c>
      <c r="AK421" t="str">
        <f>IF(OR($B421="",NOT(ISNUMBER(N421))),"",IF(COUNTIF(O421:$T421,N421)&gt;0,0,IF(COUNTIF($G421:$T421,"&gt;"&amp;N421)=0,"",SMALL($G421:$T421,COUNTIF($G421:$T421,"&lt;="&amp;N421)+1)-N421)))</f>
        <v/>
      </c>
      <c r="AL421" t="str">
        <f>IF(OR($B421="",NOT(ISNUMBER(O421))),"",IF(COUNTIF(P421:$T421,O421)&gt;0,0,IF(COUNTIF($G421:$T421,"&gt;"&amp;O421)=0,"",SMALL($G421:$T421,COUNTIF($G421:$T421,"&lt;="&amp;O421)+1)-O421)))</f>
        <v/>
      </c>
      <c r="AM421" t="str">
        <f>IF(OR($B421="",NOT(ISNUMBER(P421))),"",IF(COUNTIF(Q421:$T421,P421)&gt;0,0,IF(COUNTIF($G421:$T421,"&gt;"&amp;P421)=0,"",SMALL($G421:$T421,COUNTIF($G421:$T421,"&lt;="&amp;P421)+1)-P421)))</f>
        <v/>
      </c>
      <c r="AN421">
        <f>IF(OR($B421="",NOT(ISNUMBER(Q421))),"",IF(COUNTIF(R421:$T421,Q421)&gt;0,0,IF(COUNTIF($G421:$T421,"&gt;"&amp;Q421)=0,"",SMALL($G421:$T421,COUNTIF($G421:$T421,"&lt;="&amp;Q421)+1)-Q421)))</f>
        <v>0</v>
      </c>
      <c r="AO421" t="str">
        <f>IF(OR($B421="",NOT(ISNUMBER(R421))),"",IF(COUNTIF(S421:$T421,R421)&gt;0,0,IF(COUNTIF($G421:$T421,"&gt;"&amp;R421)=0,"",SMALL($G421:$T421,COUNTIF($G421:$T421,"&lt;="&amp;R421)+1)-R421)))</f>
        <v/>
      </c>
      <c r="AP421">
        <f t="shared" ca="1" si="105"/>
        <v>0</v>
      </c>
      <c r="AQ421" s="25" t="str">
        <f t="shared" si="106"/>
        <v/>
      </c>
      <c r="AR421" s="25" t="str">
        <f t="shared" si="107"/>
        <v/>
      </c>
      <c r="AS421" s="25">
        <f t="shared" si="108"/>
        <v>46303</v>
      </c>
      <c r="AT421" s="25">
        <f t="shared" si="109"/>
        <v>46305</v>
      </c>
      <c r="AU421" s="25" t="str">
        <f t="shared" si="110"/>
        <v/>
      </c>
      <c r="AV421" s="25" t="str">
        <f t="shared" si="111"/>
        <v/>
      </c>
      <c r="AW421" s="25" t="str">
        <f t="shared" si="112"/>
        <v/>
      </c>
      <c r="AX421" s="25" t="str">
        <f t="shared" si="113"/>
        <v/>
      </c>
      <c r="AY421" s="25" t="str">
        <f t="shared" si="114"/>
        <v/>
      </c>
      <c r="AZ421" s="25" t="str">
        <f t="shared" si="115"/>
        <v/>
      </c>
      <c r="BA421" s="25">
        <f t="shared" si="116"/>
        <v>46305</v>
      </c>
      <c r="BB421" s="25" t="str">
        <f t="shared" si="117"/>
        <v/>
      </c>
      <c r="BC421" s="25">
        <f t="shared" si="118"/>
        <v>46305</v>
      </c>
    </row>
    <row r="422" spans="1:55" x14ac:dyDescent="0.25">
      <c r="A422" s="151">
        <f t="shared" si="103"/>
        <v>420</v>
      </c>
      <c r="B422" s="151" t="s">
        <v>645</v>
      </c>
      <c r="C422" s="152" t="s">
        <v>565</v>
      </c>
      <c r="D422" s="151">
        <f t="shared" si="102"/>
        <v>3</v>
      </c>
      <c r="E422" s="151" t="s">
        <v>61</v>
      </c>
      <c r="F422" s="173">
        <v>46303</v>
      </c>
      <c r="G422" s="173"/>
      <c r="H422" s="173"/>
      <c r="I422" s="173">
        <v>46303</v>
      </c>
      <c r="J422" s="173">
        <v>46303</v>
      </c>
      <c r="K422" s="173"/>
      <c r="L422" s="173"/>
      <c r="M422" s="173"/>
      <c r="N422" s="173"/>
      <c r="O422" s="173"/>
      <c r="P422" s="173"/>
      <c r="Q422" s="173"/>
      <c r="R422" s="173"/>
      <c r="S422" s="173"/>
      <c r="T422" s="174">
        <v>46304</v>
      </c>
      <c r="U422" s="151"/>
      <c r="V422" s="152"/>
      <c r="W422" s="175"/>
      <c r="X422" s="173"/>
      <c r="Y422" s="173"/>
      <c r="Z422" s="176" t="str">
        <f>IF(B422="","",IF(S422&lt;&gt;"","Sevk Edildi",IF(AND(X422&lt;&gt;"",Y422=""),"Reworkte",IF(T422&lt;&gt;"","Kapandı"&amp;IF(COUNT(G422:R422)=0,""," – "&amp;LOOKUP(2,1/(G422:R422=MAX(G422:R422)),{"Tasarım","Ply Cutter","Üretim","Kalite (Üretim sonrası)","Talaşlı","Kalite (Talaşlı sonrası)","Montaj","Kalite (Montaj sonrası)","Boya","Kalite (Boya sonrası)","Yarı Mamül","KM"})),IF(COUNT(G422:R422)=0,"Başlamadı",LOOKUP(2,1/(G422:R422=MAX(G422:R422)),{"Tasarımda","Ply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22" s="177">
        <f t="shared" ca="1" si="104"/>
        <v>1</v>
      </c>
      <c r="AB422" s="175"/>
      <c r="AD422" t="str">
        <f>IF(OR($B422="",NOT(ISNUMBER(G422))),"",IF(COUNTIF(H422:$T422,G422)&gt;0,0,IF(COUNTIF($G422:$T422,"&gt;"&amp;G422)=0,"",SMALL($G422:$T422,COUNTIF($G422:$T422,"&lt;="&amp;G422)+1)-G422)))</f>
        <v/>
      </c>
      <c r="AE422" t="str">
        <f>IF(OR($B422="",NOT(ISNUMBER(H422))),"",IF(COUNTIF(I422:$T422,H422)&gt;0,0,IF(COUNTIF($G422:$T422,"&gt;"&amp;H422)=0,"",SMALL($G422:$T422,COUNTIF($G422:$T422,"&lt;="&amp;H422)+1)-H422)))</f>
        <v/>
      </c>
      <c r="AF422">
        <f>IF(OR($B422="",NOT(ISNUMBER(I422))),"",IF(COUNTIF(J422:$T422,I422)&gt;0,0,IF(COUNTIF($G422:$T422,"&gt;"&amp;I422)=0,"",SMALL($G422:$T422,COUNTIF($G422:$T422,"&lt;="&amp;I422)+1)-I422)))</f>
        <v>0</v>
      </c>
      <c r="AG422">
        <f>IF(OR($B422="",NOT(ISNUMBER(J422))),"",IF(COUNTIF(K422:$T422,J422)&gt;0,0,IF(COUNTIF($G422:$T422,"&gt;"&amp;J422)=0,"",SMALL($G422:$T422,COUNTIF($G422:$T422,"&lt;="&amp;J422)+1)-J422)))</f>
        <v>1</v>
      </c>
      <c r="AH422" t="str">
        <f>IF(OR($B422="",NOT(ISNUMBER(K422))),"",IF(COUNTIF(L422:$T422,K422)&gt;0,0,IF(COUNTIF($G422:$T422,"&gt;"&amp;K422)=0,"",SMALL($G422:$T422,COUNTIF($G422:$T422,"&lt;="&amp;K422)+1)-K422)))</f>
        <v/>
      </c>
      <c r="AI422" t="str">
        <f>IF(OR($B422="",NOT(ISNUMBER(L422))),"",IF(COUNTIF(M422:$T422,L422)&gt;0,0,IF(COUNTIF($G422:$T422,"&gt;"&amp;L422)=0,"",SMALL($G422:$T422,COUNTIF($G422:$T422,"&lt;="&amp;L422)+1)-L422)))</f>
        <v/>
      </c>
      <c r="AJ422" t="str">
        <f>IF(OR($B422="",NOT(ISNUMBER(M422))),"",IF(COUNTIF(N422:$T422,M422)&gt;0,0,IF(COUNTIF($G422:$T422,"&gt;"&amp;M422)=0,"",SMALL($G422:$T422,COUNTIF($G422:$T422,"&lt;="&amp;M422)+1)-M422)))</f>
        <v/>
      </c>
      <c r="AK422" t="str">
        <f>IF(OR($B422="",NOT(ISNUMBER(N422))),"",IF(COUNTIF(O422:$T422,N422)&gt;0,0,IF(COUNTIF($G422:$T422,"&gt;"&amp;N422)=0,"",SMALL($G422:$T422,COUNTIF($G422:$T422,"&lt;="&amp;N422)+1)-N422)))</f>
        <v/>
      </c>
      <c r="AL422" t="str">
        <f>IF(OR($B422="",NOT(ISNUMBER(O422))),"",IF(COUNTIF(P422:$T422,O422)&gt;0,0,IF(COUNTIF($G422:$T422,"&gt;"&amp;O422)=0,"",SMALL($G422:$T422,COUNTIF($G422:$T422,"&lt;="&amp;O422)+1)-O422)))</f>
        <v/>
      </c>
      <c r="AM422" t="str">
        <f>IF(OR($B422="",NOT(ISNUMBER(P422))),"",IF(COUNTIF(Q422:$T422,P422)&gt;0,0,IF(COUNTIF($G422:$T422,"&gt;"&amp;P422)=0,"",SMALL($G422:$T422,COUNTIF($G422:$T422,"&lt;="&amp;P422)+1)-P422)))</f>
        <v/>
      </c>
      <c r="AN422" t="str">
        <f>IF(OR($B422="",NOT(ISNUMBER(Q422))),"",IF(COUNTIF(R422:$T422,Q422)&gt;0,0,IF(COUNTIF($G422:$T422,"&gt;"&amp;Q422)=0,"",SMALL($G422:$T422,COUNTIF($G422:$T422,"&lt;="&amp;Q422)+1)-Q422)))</f>
        <v/>
      </c>
      <c r="AO422" t="str">
        <f>IF(OR($B422="",NOT(ISNUMBER(R422))),"",IF(COUNTIF(S422:$T422,R422)&gt;0,0,IF(COUNTIF($G422:$T422,"&gt;"&amp;R422)=0,"",SMALL($G422:$T422,COUNTIF($G422:$T422,"&lt;="&amp;R422)+1)-R422)))</f>
        <v/>
      </c>
      <c r="AP422">
        <f t="shared" ca="1" si="105"/>
        <v>0</v>
      </c>
      <c r="AQ422" s="25" t="str">
        <f t="shared" si="106"/>
        <v/>
      </c>
      <c r="AR422" s="25" t="str">
        <f t="shared" si="107"/>
        <v/>
      </c>
      <c r="AS422" s="25">
        <f t="shared" si="108"/>
        <v>46303</v>
      </c>
      <c r="AT422" s="25">
        <f t="shared" si="109"/>
        <v>46304</v>
      </c>
      <c r="AU422" s="25" t="str">
        <f t="shared" si="110"/>
        <v/>
      </c>
      <c r="AV422" s="25" t="str">
        <f t="shared" si="111"/>
        <v/>
      </c>
      <c r="AW422" s="25" t="str">
        <f t="shared" si="112"/>
        <v/>
      </c>
      <c r="AX422" s="25" t="str">
        <f t="shared" si="113"/>
        <v/>
      </c>
      <c r="AY422" s="25" t="str">
        <f t="shared" si="114"/>
        <v/>
      </c>
      <c r="AZ422" s="25" t="str">
        <f t="shared" si="115"/>
        <v/>
      </c>
      <c r="BA422" s="25" t="str">
        <f t="shared" si="116"/>
        <v/>
      </c>
      <c r="BB422" s="25" t="str">
        <f t="shared" si="117"/>
        <v/>
      </c>
      <c r="BC422" s="25">
        <f t="shared" si="118"/>
        <v>46304</v>
      </c>
    </row>
    <row r="423" spans="1:55" x14ac:dyDescent="0.25">
      <c r="A423" s="151">
        <f t="shared" si="103"/>
        <v>421</v>
      </c>
      <c r="B423" s="151" t="s">
        <v>646</v>
      </c>
      <c r="C423" s="152" t="s">
        <v>592</v>
      </c>
      <c r="D423" s="151">
        <f t="shared" si="102"/>
        <v>1</v>
      </c>
      <c r="E423" s="151" t="s">
        <v>61</v>
      </c>
      <c r="F423" s="173">
        <v>46303</v>
      </c>
      <c r="G423" s="173"/>
      <c r="H423" s="173"/>
      <c r="I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51"/>
      <c r="U423" s="151"/>
      <c r="V423" s="152"/>
      <c r="W423" s="175"/>
      <c r="X423" s="173"/>
      <c r="Y423" s="173"/>
      <c r="Z423" s="176" t="str">
        <f>IF(B423="","",IF(S423&lt;&gt;"","Sevk Edildi",IF(AND(X423&lt;&gt;"",Y423=""),"Reworkte",IF(T423&lt;&gt;"","Kapandı"&amp;IF(COUNT(G423:R423)=0,""," – "&amp;LOOKUP(2,1/(G423:R423=MAX(G423:R423)),{"Tasarım","Ply Cutter","Üretim","Kalite (Üretim sonrası)","Talaşlı","Kalite (Talaşlı sonrası)","Montaj","Kalite (Montaj sonrası)","Boya","Kalite (Boya sonrası)","Yarı Mamül","KM"})),IF(COUNT(G423:R423)=0,"Başlamadı",LOOKUP(2,1/(G423:R423=MAX(G423:R423)),{"Tasarımda","Ply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423" s="177">
        <f t="shared" ca="1" si="104"/>
        <v>4</v>
      </c>
      <c r="AB423" s="175"/>
      <c r="AD423" t="str">
        <f>IF(OR($B423="",NOT(ISNUMBER(G423))),"",IF(COUNTIF(H423:$T423,G423)&gt;0,0,IF(COUNTIF($G423:$T423,"&gt;"&amp;G423)=0,"",SMALL($G423:$T423,COUNTIF($G423:$T423,"&lt;="&amp;G423)+1)-G423)))</f>
        <v/>
      </c>
      <c r="AE423" t="str">
        <f>IF(OR($B423="",NOT(ISNUMBER(H423))),"",IF(COUNTIF(I423:$T423,H423)&gt;0,0,IF(COUNTIF($G423:$T423,"&gt;"&amp;H423)=0,"",SMALL($G423:$T423,COUNTIF($G423:$T423,"&lt;="&amp;H423)+1)-H423)))</f>
        <v/>
      </c>
      <c r="AF423" t="str">
        <f>IF(OR($B423="",NOT(ISNUMBER(I423))),"",IF(COUNTIF(J423:$T423,I423)&gt;0,0,IF(COUNTIF($G423:$T423,"&gt;"&amp;I423)=0,"",SMALL($G423:$T423,COUNTIF($G423:$T423,"&lt;="&amp;I423)+1)-I423)))</f>
        <v/>
      </c>
      <c r="AG423" t="str">
        <f>IF(OR($B423="",NOT(ISNUMBER(J424))),"",IF(COUNTIF(K423:$T423,J424)&gt;0,0,IF(COUNTIF($G423:$T423,"&gt;"&amp;J424)=0,"",SMALL($G423:$T423,COUNTIF($G423:$T423,"&lt;="&amp;J424)+1)-J424)))</f>
        <v/>
      </c>
      <c r="AH423" t="str">
        <f>IF(OR($B423="",NOT(ISNUMBER(K423))),"",IF(COUNTIF(L423:$T423,K423)&gt;0,0,IF(COUNTIF($G423:$T423,"&gt;"&amp;K423)=0,"",SMALL($G423:$T423,COUNTIF($G423:$T423,"&lt;="&amp;K423)+1)-K423)))</f>
        <v/>
      </c>
      <c r="AI423" t="str">
        <f>IF(OR($B423="",NOT(ISNUMBER(L423))),"",IF(COUNTIF(M423:$T423,L423)&gt;0,0,IF(COUNTIF($G423:$T423,"&gt;"&amp;L423)=0,"",SMALL($G423:$T423,COUNTIF($G423:$T423,"&lt;="&amp;L423)+1)-L423)))</f>
        <v/>
      </c>
      <c r="AJ423" t="str">
        <f>IF(OR($B423="",NOT(ISNUMBER(M423))),"",IF(COUNTIF(N423:$T423,M423)&gt;0,0,IF(COUNTIF($G423:$T423,"&gt;"&amp;M423)=0,"",SMALL($G423:$T423,COUNTIF($G423:$T423,"&lt;="&amp;M423)+1)-M423)))</f>
        <v/>
      </c>
      <c r="AK423" t="str">
        <f>IF(OR($B423="",NOT(ISNUMBER(N423))),"",IF(COUNTIF(O423:$T423,N423)&gt;0,0,IF(COUNTIF($G423:$T423,"&gt;"&amp;N423)=0,"",SMALL($G423:$T423,COUNTIF($G423:$T423,"&lt;="&amp;N423)+1)-N423)))</f>
        <v/>
      </c>
      <c r="AL423" t="str">
        <f>IF(OR($B423="",NOT(ISNUMBER(O423))),"",IF(COUNTIF(P423:$T423,O423)&gt;0,0,IF(COUNTIF($G423:$T423,"&gt;"&amp;O423)=0,"",SMALL($G423:$T423,COUNTIF($G423:$T423,"&lt;="&amp;O423)+1)-O423)))</f>
        <v/>
      </c>
      <c r="AM423" t="str">
        <f>IF(OR($B423="",NOT(ISNUMBER(P423))),"",IF(COUNTIF(Q423:$T423,P423)&gt;0,0,IF(COUNTIF($G423:$T423,"&gt;"&amp;P423)=0,"",SMALL($G423:$T423,COUNTIF($G423:$T423,"&lt;="&amp;P423)+1)-P423)))</f>
        <v/>
      </c>
      <c r="AN423" t="str">
        <f>IF(OR($B423="",NOT(ISNUMBER(Q423))),"",IF(COUNTIF(R423:$T423,Q423)&gt;0,0,IF(COUNTIF($G423:$T423,"&gt;"&amp;Q423)=0,"",SMALL($G423:$T423,COUNTIF($G423:$T423,"&lt;="&amp;Q423)+1)-Q423)))</f>
        <v/>
      </c>
      <c r="AO423" t="str">
        <f>IF(OR($B423="",NOT(ISNUMBER(R423))),"",IF(COUNTIF(S423:$T423,R423)&gt;0,0,IF(COUNTIF($G423:$T423,"&gt;"&amp;R423)=0,"",SMALL($G423:$T423,COUNTIF($G423:$T423,"&lt;="&amp;R423)+1)-R423)))</f>
        <v/>
      </c>
      <c r="AP423">
        <f t="shared" ca="1" si="105"/>
        <v>0</v>
      </c>
      <c r="AQ423" s="25" t="str">
        <f t="shared" si="106"/>
        <v/>
      </c>
      <c r="AR423" s="25" t="str">
        <f t="shared" si="107"/>
        <v/>
      </c>
      <c r="AS423" s="25" t="str">
        <f t="shared" si="108"/>
        <v/>
      </c>
      <c r="AT423" s="25" t="str">
        <f>IF(AND(ISNUMBER(J424),ISNUMBER(AG423)),J424+AG423,"")</f>
        <v/>
      </c>
      <c r="AU423" s="25" t="str">
        <f t="shared" si="110"/>
        <v/>
      </c>
      <c r="AV423" s="25" t="str">
        <f t="shared" si="111"/>
        <v/>
      </c>
      <c r="AW423" s="25" t="str">
        <f t="shared" si="112"/>
        <v/>
      </c>
      <c r="AX423" s="25" t="str">
        <f t="shared" si="113"/>
        <v/>
      </c>
      <c r="AY423" s="25" t="str">
        <f t="shared" si="114"/>
        <v/>
      </c>
      <c r="AZ423" s="25" t="str">
        <f t="shared" si="115"/>
        <v/>
      </c>
      <c r="BA423" s="25" t="str">
        <f t="shared" si="116"/>
        <v/>
      </c>
      <c r="BB423" s="25" t="str">
        <f t="shared" si="117"/>
        <v/>
      </c>
      <c r="BC423" s="25" t="str">
        <f t="shared" si="118"/>
        <v/>
      </c>
    </row>
    <row r="424" spans="1:55" x14ac:dyDescent="0.25">
      <c r="A424" s="151">
        <f t="shared" si="103"/>
        <v>422</v>
      </c>
      <c r="B424" s="151" t="s">
        <v>647</v>
      </c>
      <c r="C424" s="152" t="s">
        <v>592</v>
      </c>
      <c r="D424" s="151">
        <f t="shared" si="102"/>
        <v>1</v>
      </c>
      <c r="E424" s="151" t="s">
        <v>61</v>
      </c>
      <c r="F424" s="173">
        <v>46303</v>
      </c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51"/>
      <c r="U424" s="151"/>
      <c r="V424" s="152"/>
      <c r="W424" s="175"/>
      <c r="X424" s="173"/>
      <c r="Y424" s="173"/>
      <c r="Z424" s="176" t="str">
        <f>IF(B424="","",IF(S424&lt;&gt;"","Sevk Edildi",IF(AND(X424&lt;&gt;"",Y424=""),"Reworkte",IF(T424&lt;&gt;"","Kapandı"&amp;IF(COUNT(G424:R424)=0,""," – "&amp;LOOKUP(2,1/(G424:R424=MAX(G424:R424)),{"Tasarım","Ply Cutter","Üretim","Kalite (Üretim sonrası)","Talaşlı","Kalite (Talaşlı sonrası)","Montaj","Kalite (Montaj sonrası)","Boya","Kalite (Boya sonrası)","Yarı Mamül","KM"})),IF(COUNT(G424:R424)=0,"Başlamadı",LOOKUP(2,1/(G424:R424=MAX(G424:R424)),{"Tasarımda","Ply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424" s="177">
        <f t="shared" ca="1" si="104"/>
        <v>4</v>
      </c>
      <c r="AB424" s="175"/>
      <c r="AD424" t="str">
        <f>IF(OR($B424="",NOT(ISNUMBER(G424))),"",IF(COUNTIF(H424:$T424,G424)&gt;0,0,IF(COUNTIF($G424:$T424,"&gt;"&amp;G424)=0,"",SMALL($G424:$T424,COUNTIF($G424:$T424,"&lt;="&amp;G424)+1)-G424)))</f>
        <v/>
      </c>
      <c r="AE424" t="str">
        <f>IF(OR($B424="",NOT(ISNUMBER(H424))),"",IF(COUNTIF(I424:$T424,H424)&gt;0,0,IF(COUNTIF($G424:$T424,"&gt;"&amp;H424)=0,"",SMALL($G424:$T424,COUNTIF($G424:$T424,"&lt;="&amp;H424)+1)-H424)))</f>
        <v/>
      </c>
      <c r="AF424" t="str">
        <f>IF(OR($B424="",NOT(ISNUMBER(I424))),"",IF(COUNTIF(J424:$T424,I424)&gt;0,0,IF(COUNTIF($G424:$T424,"&gt;"&amp;I424)=0,"",SMALL($G424:$T424,COUNTIF($G424:$T424,"&lt;="&amp;I424)+1)-I424)))</f>
        <v/>
      </c>
      <c r="AG424" t="str">
        <f>IF(OR($B424="",NOT(ISNUMBER(#REF!))),"",IF(COUNTIF(K424:$T424,#REF!)&gt;0,0,IF(COUNTIF($G424:$T424,"&gt;"&amp;#REF!)=0,"",SMALL($G424:$T424,COUNTIF($G424:$T424,"&lt;="&amp;#REF!)+1)-#REF!)))</f>
        <v/>
      </c>
      <c r="AH424" t="str">
        <f>IF(OR($B424="",NOT(ISNUMBER(K424))),"",IF(COUNTIF(L424:$T424,K424)&gt;0,0,IF(COUNTIF($G424:$T424,"&gt;"&amp;K424)=0,"",SMALL($G424:$T424,COUNTIF($G424:$T424,"&lt;="&amp;K424)+1)-K424)))</f>
        <v/>
      </c>
      <c r="AI424" t="str">
        <f>IF(OR($B424="",NOT(ISNUMBER(L424))),"",IF(COUNTIF(M424:$T424,L424)&gt;0,0,IF(COUNTIF($G424:$T424,"&gt;"&amp;L424)=0,"",SMALL($G424:$T424,COUNTIF($G424:$T424,"&lt;="&amp;L424)+1)-L424)))</f>
        <v/>
      </c>
      <c r="AJ424" t="str">
        <f>IF(OR($B424="",NOT(ISNUMBER(M424))),"",IF(COUNTIF(N424:$T424,M424)&gt;0,0,IF(COUNTIF($G424:$T424,"&gt;"&amp;M424)=0,"",SMALL($G424:$T424,COUNTIF($G424:$T424,"&lt;="&amp;M424)+1)-M424)))</f>
        <v/>
      </c>
      <c r="AK424" t="str">
        <f>IF(OR($B424="",NOT(ISNUMBER(N424))),"",IF(COUNTIF(O424:$T424,N424)&gt;0,0,IF(COUNTIF($G424:$T424,"&gt;"&amp;N424)=0,"",SMALL($G424:$T424,COUNTIF($G424:$T424,"&lt;="&amp;N424)+1)-N424)))</f>
        <v/>
      </c>
      <c r="AL424" t="str">
        <f>IF(OR($B424="",NOT(ISNUMBER(O424))),"",IF(COUNTIF(P424:$T424,O424)&gt;0,0,IF(COUNTIF($G424:$T424,"&gt;"&amp;O424)=0,"",SMALL($G424:$T424,COUNTIF($G424:$T424,"&lt;="&amp;O424)+1)-O424)))</f>
        <v/>
      </c>
      <c r="AM424" t="str">
        <f>IF(OR($B424="",NOT(ISNUMBER(P424))),"",IF(COUNTIF(Q424:$T424,P424)&gt;0,0,IF(COUNTIF($G424:$T424,"&gt;"&amp;P424)=0,"",SMALL($G424:$T424,COUNTIF($G424:$T424,"&lt;="&amp;P424)+1)-P424)))</f>
        <v/>
      </c>
      <c r="AN424" t="str">
        <f>IF(OR($B424="",NOT(ISNUMBER(Q424))),"",IF(COUNTIF(R424:$T424,Q424)&gt;0,0,IF(COUNTIF($G424:$T424,"&gt;"&amp;Q424)=0,"",SMALL($G424:$T424,COUNTIF($G424:$T424,"&lt;="&amp;Q424)+1)-Q424)))</f>
        <v/>
      </c>
      <c r="AO424" t="str">
        <f>IF(OR($B424="",NOT(ISNUMBER(R424))),"",IF(COUNTIF(S424:$T424,R424)&gt;0,0,IF(COUNTIF($G424:$T424,"&gt;"&amp;R424)=0,"",SMALL($G424:$T424,COUNTIF($G424:$T424,"&lt;="&amp;R424)+1)-R424)))</f>
        <v/>
      </c>
      <c r="AP424">
        <f t="shared" ca="1" si="105"/>
        <v>0</v>
      </c>
      <c r="AQ424" s="25" t="str">
        <f t="shared" si="106"/>
        <v/>
      </c>
      <c r="AR424" s="25" t="str">
        <f t="shared" si="107"/>
        <v/>
      </c>
      <c r="AS424" s="25" t="str">
        <f t="shared" si="108"/>
        <v/>
      </c>
      <c r="AT424" s="25" t="str">
        <f>IF(AND(ISNUMBER(#REF!),ISNUMBER(AG424)),#REF!+AG424,"")</f>
        <v/>
      </c>
      <c r="AU424" s="25" t="str">
        <f t="shared" si="110"/>
        <v/>
      </c>
      <c r="AV424" s="25" t="str">
        <f t="shared" si="111"/>
        <v/>
      </c>
      <c r="AW424" s="25" t="str">
        <f t="shared" si="112"/>
        <v/>
      </c>
      <c r="AX424" s="25" t="str">
        <f t="shared" si="113"/>
        <v/>
      </c>
      <c r="AY424" s="25" t="str">
        <f t="shared" si="114"/>
        <v/>
      </c>
      <c r="AZ424" s="25" t="str">
        <f t="shared" si="115"/>
        <v/>
      </c>
      <c r="BA424" s="25" t="str">
        <f t="shared" si="116"/>
        <v/>
      </c>
      <c r="BB424" s="25" t="str">
        <f t="shared" si="117"/>
        <v/>
      </c>
      <c r="BC424" s="25" t="str">
        <f t="shared" si="118"/>
        <v/>
      </c>
    </row>
    <row r="425" spans="1:55" x14ac:dyDescent="0.25">
      <c r="A425" s="151">
        <f t="shared" si="103"/>
        <v>423</v>
      </c>
      <c r="B425" s="151" t="s">
        <v>648</v>
      </c>
      <c r="C425" s="152" t="s">
        <v>64</v>
      </c>
      <c r="D425" s="151">
        <f t="shared" si="102"/>
        <v>1</v>
      </c>
      <c r="E425" s="151" t="s">
        <v>61</v>
      </c>
      <c r="F425" s="173">
        <v>46303</v>
      </c>
      <c r="G425" s="173"/>
      <c r="H425" s="173"/>
      <c r="I425" s="173">
        <v>46303</v>
      </c>
      <c r="J425" s="173">
        <v>46304</v>
      </c>
      <c r="K425" s="173"/>
      <c r="L425" s="173"/>
      <c r="M425" s="173"/>
      <c r="N425" s="173"/>
      <c r="O425" s="173"/>
      <c r="P425" s="173"/>
      <c r="Q425" s="173">
        <v>46305</v>
      </c>
      <c r="R425" s="173"/>
      <c r="S425" s="173"/>
      <c r="T425" s="174">
        <v>46305</v>
      </c>
      <c r="U425" s="151"/>
      <c r="V425" s="152"/>
      <c r="W425" s="175"/>
      <c r="X425" s="173"/>
      <c r="Y425" s="173"/>
      <c r="Z425" s="176" t="str">
        <f>IF(B425="","",IF(S425&lt;&gt;"","Sevk Edildi",IF(AND(X425&lt;&gt;"",Y425=""),"Reworkte",IF(T425&lt;&gt;"","Kapandı"&amp;IF(COUNT(G425:R425)=0,""," – "&amp;LOOKUP(2,1/(G425:R425=MAX(G425:R425)),{"Tasarım","Ply Cutter","Üretim","Kalite (Üretim sonrası)","Talaşlı","Kalite (Talaşlı sonrası)","Montaj","Kalite (Montaj sonrası)","Boya","Kalite (Boya sonrası)","Yarı Mamül","KM"})),IF(COUNT(G425:R425)=0,"Başlamadı",LOOKUP(2,1/(G425:R425=MAX(G425:R425)),{"Tasarımda","Ply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25" s="177">
        <f t="shared" ca="1" si="104"/>
        <v>2</v>
      </c>
      <c r="AB425" s="175"/>
      <c r="AD425" t="str">
        <f>IF(OR($B425="",NOT(ISNUMBER(G425))),"",IF(COUNTIF(H425:$T425,G425)&gt;0,0,IF(COUNTIF($G425:$T425,"&gt;"&amp;G425)=0,"",SMALL($G425:$T425,COUNTIF($G425:$T425,"&lt;="&amp;G425)+1)-G425)))</f>
        <v/>
      </c>
      <c r="AE425" t="str">
        <f>IF(OR($B425="",NOT(ISNUMBER(H425))),"",IF(COUNTIF(I425:$T425,H425)&gt;0,0,IF(COUNTIF($G425:$T425,"&gt;"&amp;H425)=0,"",SMALL($G425:$T425,COUNTIF($G425:$T425,"&lt;="&amp;H425)+1)-H425)))</f>
        <v/>
      </c>
      <c r="AF425">
        <f>IF(OR($B425="",NOT(ISNUMBER(I425))),"",IF(COUNTIF(J425:$T425,I425)&gt;0,0,IF(COUNTIF($G425:$T425,"&gt;"&amp;I425)=0,"",SMALL($G425:$T425,COUNTIF($G425:$T425,"&lt;="&amp;I425)+1)-I425)))</f>
        <v>1</v>
      </c>
      <c r="AG425">
        <f>IF(OR($B425="",NOT(ISNUMBER(J425))),"",IF(COUNTIF(K425:$T425,J425)&gt;0,0,IF(COUNTIF($G425:$T425,"&gt;"&amp;J425)=0,"",SMALL($G425:$T425,COUNTIF($G425:$T425,"&lt;="&amp;J425)+1)-J425)))</f>
        <v>1</v>
      </c>
      <c r="AH425" t="str">
        <f>IF(OR($B425="",NOT(ISNUMBER(K425))),"",IF(COUNTIF(L425:$T425,K425)&gt;0,0,IF(COUNTIF($G425:$T425,"&gt;"&amp;K425)=0,"",SMALL($G425:$T425,COUNTIF($G425:$T425,"&lt;="&amp;K425)+1)-K425)))</f>
        <v/>
      </c>
      <c r="AI425" t="str">
        <f>IF(OR($B425="",NOT(ISNUMBER(L425))),"",IF(COUNTIF(M425:$T425,L425)&gt;0,0,IF(COUNTIF($G425:$T425,"&gt;"&amp;L425)=0,"",SMALL($G425:$T425,COUNTIF($G425:$T425,"&lt;="&amp;L425)+1)-L425)))</f>
        <v/>
      </c>
      <c r="AJ425" t="str">
        <f>IF(OR($B425="",NOT(ISNUMBER(M425))),"",IF(COUNTIF(N425:$T425,M425)&gt;0,0,IF(COUNTIF($G425:$T425,"&gt;"&amp;M425)=0,"",SMALL($G425:$T425,COUNTIF($G425:$T425,"&lt;="&amp;M425)+1)-M425)))</f>
        <v/>
      </c>
      <c r="AK425" t="str">
        <f>IF(OR($B425="",NOT(ISNUMBER(N425))),"",IF(COUNTIF(O425:$T425,N425)&gt;0,0,IF(COUNTIF($G425:$T425,"&gt;"&amp;N425)=0,"",SMALL($G425:$T425,COUNTIF($G425:$T425,"&lt;="&amp;N425)+1)-N425)))</f>
        <v/>
      </c>
      <c r="AL425" t="str">
        <f>IF(OR($B425="",NOT(ISNUMBER(O425))),"",IF(COUNTIF(P425:$T425,O425)&gt;0,0,IF(COUNTIF($G425:$T425,"&gt;"&amp;O425)=0,"",SMALL($G425:$T425,COUNTIF($G425:$T425,"&lt;="&amp;O425)+1)-O425)))</f>
        <v/>
      </c>
      <c r="AM425" t="str">
        <f>IF(OR($B425="",NOT(ISNUMBER(P425))),"",IF(COUNTIF(Q425:$T425,P425)&gt;0,0,IF(COUNTIF($G425:$T425,"&gt;"&amp;P425)=0,"",SMALL($G425:$T425,COUNTIF($G425:$T425,"&lt;="&amp;P425)+1)-P425)))</f>
        <v/>
      </c>
      <c r="AN425">
        <f>IF(OR($B425="",NOT(ISNUMBER(Q425))),"",IF(COUNTIF(R425:$T425,Q425)&gt;0,0,IF(COUNTIF($G425:$T425,"&gt;"&amp;Q425)=0,"",SMALL($G425:$T425,COUNTIF($G425:$T425,"&lt;="&amp;Q425)+1)-Q425)))</f>
        <v>0</v>
      </c>
      <c r="AO425" t="str">
        <f>IF(OR($B425="",NOT(ISNUMBER(R425))),"",IF(COUNTIF(S425:$T425,R425)&gt;0,0,IF(COUNTIF($G425:$T425,"&gt;"&amp;R425)=0,"",SMALL($G425:$T425,COUNTIF($G425:$T425,"&lt;="&amp;R425)+1)-R425)))</f>
        <v/>
      </c>
      <c r="AP425">
        <f t="shared" ca="1" si="105"/>
        <v>0</v>
      </c>
      <c r="AQ425" s="25" t="str">
        <f t="shared" si="106"/>
        <v/>
      </c>
      <c r="AR425" s="25" t="str">
        <f t="shared" si="107"/>
        <v/>
      </c>
      <c r="AS425" s="25">
        <f t="shared" si="108"/>
        <v>46304</v>
      </c>
      <c r="AT425" s="25">
        <f t="shared" si="109"/>
        <v>46305</v>
      </c>
      <c r="AU425" s="25" t="str">
        <f t="shared" si="110"/>
        <v/>
      </c>
      <c r="AV425" s="25" t="str">
        <f t="shared" si="111"/>
        <v/>
      </c>
      <c r="AW425" s="25" t="str">
        <f t="shared" si="112"/>
        <v/>
      </c>
      <c r="AX425" s="25" t="str">
        <f t="shared" si="113"/>
        <v/>
      </c>
      <c r="AY425" s="25" t="str">
        <f t="shared" si="114"/>
        <v/>
      </c>
      <c r="AZ425" s="25" t="str">
        <f t="shared" si="115"/>
        <v/>
      </c>
      <c r="BA425" s="25">
        <f t="shared" si="116"/>
        <v>46305</v>
      </c>
      <c r="BB425" s="25" t="str">
        <f t="shared" si="117"/>
        <v/>
      </c>
      <c r="BC425" s="25">
        <f t="shared" si="118"/>
        <v>46305</v>
      </c>
    </row>
    <row r="426" spans="1:55" x14ac:dyDescent="0.25">
      <c r="A426" s="151">
        <f t="shared" si="103"/>
        <v>424</v>
      </c>
      <c r="B426" s="151" t="s">
        <v>649</v>
      </c>
      <c r="C426" s="152" t="s">
        <v>64</v>
      </c>
      <c r="D426" s="151">
        <f t="shared" si="102"/>
        <v>1</v>
      </c>
      <c r="E426" s="151" t="s">
        <v>61</v>
      </c>
      <c r="F426" s="173">
        <v>46303</v>
      </c>
      <c r="G426" s="173"/>
      <c r="H426" s="173"/>
      <c r="I426" s="173">
        <v>46303</v>
      </c>
      <c r="J426" s="173">
        <v>46304</v>
      </c>
      <c r="K426" s="173"/>
      <c r="L426" s="173"/>
      <c r="M426" s="173"/>
      <c r="N426" s="173"/>
      <c r="O426" s="173"/>
      <c r="P426" s="173"/>
      <c r="Q426" s="173">
        <v>46305</v>
      </c>
      <c r="R426" s="173"/>
      <c r="S426" s="173"/>
      <c r="T426" s="174">
        <v>46305</v>
      </c>
      <c r="U426" s="151"/>
      <c r="V426" s="152"/>
      <c r="W426" s="175"/>
      <c r="X426" s="173"/>
      <c r="Y426" s="173"/>
      <c r="Z426" s="176" t="str">
        <f>IF(B426="","",IF(S426&lt;&gt;"","Sevk Edildi",IF(AND(X426&lt;&gt;"",Y426=""),"Reworkte",IF(T426&lt;&gt;"","Kapandı"&amp;IF(COUNT(G426:R426)=0,""," – "&amp;LOOKUP(2,1/(G426:R426=MAX(G426:R426)),{"Tasarım","Ply Cutter","Üretim","Kalite (Üretim sonrası)","Talaşlı","Kalite (Talaşlı sonrası)","Montaj","Kalite (Montaj sonrası)","Boya","Kalite (Boya sonrası)","Yarı Mamül","KM"})),IF(COUNT(G426:R426)=0,"Başlamadı",LOOKUP(2,1/(G426:R426=MAX(G426:R426)),{"Tasarımda","Ply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26" s="177">
        <f t="shared" ca="1" si="104"/>
        <v>2</v>
      </c>
      <c r="AB426" s="175"/>
      <c r="AD426" t="str">
        <f>IF(OR($B426="",NOT(ISNUMBER(G426))),"",IF(COUNTIF(H426:$T426,G426)&gt;0,0,IF(COUNTIF($G426:$T426,"&gt;"&amp;G426)=0,"",SMALL($G426:$T426,COUNTIF($G426:$T426,"&lt;="&amp;G426)+1)-G426)))</f>
        <v/>
      </c>
      <c r="AE426" t="str">
        <f>IF(OR($B426="",NOT(ISNUMBER(H426))),"",IF(COUNTIF(I426:$T426,H426)&gt;0,0,IF(COUNTIF($G426:$T426,"&gt;"&amp;H426)=0,"",SMALL($G426:$T426,COUNTIF($G426:$T426,"&lt;="&amp;H426)+1)-H426)))</f>
        <v/>
      </c>
      <c r="AF426">
        <f>IF(OR($B426="",NOT(ISNUMBER(I426))),"",IF(COUNTIF(J426:$T426,I426)&gt;0,0,IF(COUNTIF($G426:$T426,"&gt;"&amp;I426)=0,"",SMALL($G426:$T426,COUNTIF($G426:$T426,"&lt;="&amp;I426)+1)-I426)))</f>
        <v>1</v>
      </c>
      <c r="AG426">
        <f>IF(OR($B426="",NOT(ISNUMBER(J426))),"",IF(COUNTIF(K426:$T426,J426)&gt;0,0,IF(COUNTIF($G426:$T426,"&gt;"&amp;J426)=0,"",SMALL($G426:$T426,COUNTIF($G426:$T426,"&lt;="&amp;J426)+1)-J426)))</f>
        <v>1</v>
      </c>
      <c r="AH426" t="str">
        <f>IF(OR($B426="",NOT(ISNUMBER(K426))),"",IF(COUNTIF(L426:$T426,K426)&gt;0,0,IF(COUNTIF($G426:$T426,"&gt;"&amp;K426)=0,"",SMALL($G426:$T426,COUNTIF($G426:$T426,"&lt;="&amp;K426)+1)-K426)))</f>
        <v/>
      </c>
      <c r="AI426" t="str">
        <f>IF(OR($B426="",NOT(ISNUMBER(L426))),"",IF(COUNTIF(M426:$T426,L426)&gt;0,0,IF(COUNTIF($G426:$T426,"&gt;"&amp;L426)=0,"",SMALL($G426:$T426,COUNTIF($G426:$T426,"&lt;="&amp;L426)+1)-L426)))</f>
        <v/>
      </c>
      <c r="AJ426" t="str">
        <f>IF(OR($B426="",NOT(ISNUMBER(M426))),"",IF(COUNTIF(N426:$T426,M426)&gt;0,0,IF(COUNTIF($G426:$T426,"&gt;"&amp;M426)=0,"",SMALL($G426:$T426,COUNTIF($G426:$T426,"&lt;="&amp;M426)+1)-M426)))</f>
        <v/>
      </c>
      <c r="AK426" t="str">
        <f>IF(OR($B426="",NOT(ISNUMBER(N426))),"",IF(COUNTIF(O426:$T426,N426)&gt;0,0,IF(COUNTIF($G426:$T426,"&gt;"&amp;N426)=0,"",SMALL($G426:$T426,COUNTIF($G426:$T426,"&lt;="&amp;N426)+1)-N426)))</f>
        <v/>
      </c>
      <c r="AL426" t="str">
        <f>IF(OR($B426="",NOT(ISNUMBER(O426))),"",IF(COUNTIF(P426:$T426,O426)&gt;0,0,IF(COUNTIF($G426:$T426,"&gt;"&amp;O426)=0,"",SMALL($G426:$T426,COUNTIF($G426:$T426,"&lt;="&amp;O426)+1)-O426)))</f>
        <v/>
      </c>
      <c r="AM426" t="str">
        <f>IF(OR($B426="",NOT(ISNUMBER(P426))),"",IF(COUNTIF(Q426:$T426,P426)&gt;0,0,IF(COUNTIF($G426:$T426,"&gt;"&amp;P426)=0,"",SMALL($G426:$T426,COUNTIF($G426:$T426,"&lt;="&amp;P426)+1)-P426)))</f>
        <v/>
      </c>
      <c r="AN426">
        <f>IF(OR($B426="",NOT(ISNUMBER(Q426))),"",IF(COUNTIF(R426:$T426,Q426)&gt;0,0,IF(COUNTIF($G426:$T426,"&gt;"&amp;Q426)=0,"",SMALL($G426:$T426,COUNTIF($G426:$T426,"&lt;="&amp;Q426)+1)-Q426)))</f>
        <v>0</v>
      </c>
      <c r="AO426" t="str">
        <f>IF(OR($B426="",NOT(ISNUMBER(R426))),"",IF(COUNTIF(S426:$T426,R426)&gt;0,0,IF(COUNTIF($G426:$T426,"&gt;"&amp;R426)=0,"",SMALL($G426:$T426,COUNTIF($G426:$T426,"&lt;="&amp;R426)+1)-R426)))</f>
        <v/>
      </c>
      <c r="AP426">
        <f t="shared" ca="1" si="105"/>
        <v>0</v>
      </c>
      <c r="AQ426" s="25" t="str">
        <f t="shared" si="106"/>
        <v/>
      </c>
      <c r="AR426" s="25" t="str">
        <f t="shared" si="107"/>
        <v/>
      </c>
      <c r="AS426" s="25">
        <f t="shared" si="108"/>
        <v>46304</v>
      </c>
      <c r="AT426" s="25">
        <f t="shared" si="109"/>
        <v>46305</v>
      </c>
      <c r="AU426" s="25" t="str">
        <f t="shared" si="110"/>
        <v/>
      </c>
      <c r="AV426" s="25" t="str">
        <f t="shared" si="111"/>
        <v/>
      </c>
      <c r="AW426" s="25" t="str">
        <f t="shared" si="112"/>
        <v/>
      </c>
      <c r="AX426" s="25" t="str">
        <f t="shared" si="113"/>
        <v/>
      </c>
      <c r="AY426" s="25" t="str">
        <f t="shared" si="114"/>
        <v/>
      </c>
      <c r="AZ426" s="25" t="str">
        <f t="shared" si="115"/>
        <v/>
      </c>
      <c r="BA426" s="25">
        <f t="shared" si="116"/>
        <v>46305</v>
      </c>
      <c r="BB426" s="25" t="str">
        <f t="shared" si="117"/>
        <v/>
      </c>
      <c r="BC426" s="25">
        <f t="shared" si="118"/>
        <v>46305</v>
      </c>
    </row>
    <row r="427" spans="1:55" x14ac:dyDescent="0.25">
      <c r="A427" s="151">
        <f t="shared" si="103"/>
        <v>425</v>
      </c>
      <c r="B427" s="151" t="s">
        <v>650</v>
      </c>
      <c r="C427" s="152" t="s">
        <v>105</v>
      </c>
      <c r="D427" s="151">
        <f t="shared" si="102"/>
        <v>1</v>
      </c>
      <c r="E427" s="151" t="s">
        <v>61</v>
      </c>
      <c r="F427" s="173">
        <v>46303</v>
      </c>
      <c r="G427" s="173"/>
      <c r="H427" s="173"/>
      <c r="I427" s="173">
        <v>46303</v>
      </c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51"/>
      <c r="U427" s="151"/>
      <c r="V427" s="152"/>
      <c r="W427" s="175"/>
      <c r="X427" s="173"/>
      <c r="Y427" s="173"/>
      <c r="Z427" s="176" t="str">
        <f>IF(B427="","",IF(S427&lt;&gt;"","Sevk Edildi",IF(AND(X427&lt;&gt;"",Y427=""),"Reworkte",IF(T427&lt;&gt;"","Kapandı"&amp;IF(COUNT(G427:R427)=0,""," – "&amp;LOOKUP(2,1/(G427:R427=MAX(G427:R427)),{"Tasarım","Ply Cutter","Üretim","Kalite (Üretim sonrası)","Talaşlı","Kalite (Talaşlı sonrası)","Montaj","Kalite (Montaj sonrası)","Boya","Kalite (Boya sonrası)","Yarı Mamül","KM"})),IF(COUNT(G427:R427)=0,"Başlamadı",LOOKUP(2,1/(G427:R427=MAX(G427:R427)),{"Tasarımda","Ply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27" s="177">
        <f t="shared" ca="1" si="104"/>
        <v>4</v>
      </c>
      <c r="AB427" s="175" t="s">
        <v>976</v>
      </c>
      <c r="AD427" t="str">
        <f>IF(OR($B427="",NOT(ISNUMBER(G427))),"",IF(COUNTIF(H427:$T427,G427)&gt;0,0,IF(COUNTIF($G427:$T427,"&gt;"&amp;G427)=0,"",SMALL($G427:$T427,COUNTIF($G427:$T427,"&lt;="&amp;G427)+1)-G427)))</f>
        <v/>
      </c>
      <c r="AE427" t="str">
        <f>IF(OR($B427="",NOT(ISNUMBER(H427))),"",IF(COUNTIF(I427:$T427,H427)&gt;0,0,IF(COUNTIF($G427:$T427,"&gt;"&amp;H427)=0,"",SMALL($G427:$T427,COUNTIF($G427:$T427,"&lt;="&amp;H427)+1)-H427)))</f>
        <v/>
      </c>
      <c r="AF427" t="str">
        <f>IF(OR($B427="",NOT(ISNUMBER(I427))),"",IF(COUNTIF(J427:$T427,I427)&gt;0,0,IF(COUNTIF($G427:$T427,"&gt;"&amp;I427)=0,"",SMALL($G427:$T427,COUNTIF($G427:$T427,"&lt;="&amp;I427)+1)-I427)))</f>
        <v/>
      </c>
      <c r="AG427" t="str">
        <f>IF(OR($B427="",NOT(ISNUMBER(J427))),"",IF(COUNTIF(K427:$T427,J427)&gt;0,0,IF(COUNTIF($G427:$T427,"&gt;"&amp;J427)=0,"",SMALL($G427:$T427,COUNTIF($G427:$T427,"&lt;="&amp;J427)+1)-J427)))</f>
        <v/>
      </c>
      <c r="AH427" t="str">
        <f>IF(OR($B427="",NOT(ISNUMBER(K427))),"",IF(COUNTIF(L427:$T427,K427)&gt;0,0,IF(COUNTIF($G427:$T427,"&gt;"&amp;K427)=0,"",SMALL($G427:$T427,COUNTIF($G427:$T427,"&lt;="&amp;K427)+1)-K427)))</f>
        <v/>
      </c>
      <c r="AI427" t="str">
        <f>IF(OR($B427="",NOT(ISNUMBER(L427))),"",IF(COUNTIF(M427:$T427,L427)&gt;0,0,IF(COUNTIF($G427:$T427,"&gt;"&amp;L427)=0,"",SMALL($G427:$T427,COUNTIF($G427:$T427,"&lt;="&amp;L427)+1)-L427)))</f>
        <v/>
      </c>
      <c r="AJ427" t="str">
        <f>IF(OR($B427="",NOT(ISNUMBER(M427))),"",IF(COUNTIF(N427:$T427,M427)&gt;0,0,IF(COUNTIF($G427:$T427,"&gt;"&amp;M427)=0,"",SMALL($G427:$T427,COUNTIF($G427:$T427,"&lt;="&amp;M427)+1)-M427)))</f>
        <v/>
      </c>
      <c r="AK427" t="str">
        <f>IF(OR($B427="",NOT(ISNUMBER(N427))),"",IF(COUNTIF(O427:$T427,N427)&gt;0,0,IF(COUNTIF($G427:$T427,"&gt;"&amp;N427)=0,"",SMALL($G427:$T427,COUNTIF($G427:$T427,"&lt;="&amp;N427)+1)-N427)))</f>
        <v/>
      </c>
      <c r="AL427" t="str">
        <f>IF(OR($B427="",NOT(ISNUMBER(O427))),"",IF(COUNTIF(P427:$T427,O427)&gt;0,0,IF(COUNTIF($G427:$T427,"&gt;"&amp;O427)=0,"",SMALL($G427:$T427,COUNTIF($G427:$T427,"&lt;="&amp;O427)+1)-O427)))</f>
        <v/>
      </c>
      <c r="AM427" t="str">
        <f>IF(OR($B427="",NOT(ISNUMBER(P427))),"",IF(COUNTIF(Q427:$T427,P427)&gt;0,0,IF(COUNTIF($G427:$T427,"&gt;"&amp;P427)=0,"",SMALL($G427:$T427,COUNTIF($G427:$T427,"&lt;="&amp;P427)+1)-P427)))</f>
        <v/>
      </c>
      <c r="AN427" t="str">
        <f>IF(OR($B427="",NOT(ISNUMBER(Q427))),"",IF(COUNTIF(R427:$T427,Q427)&gt;0,0,IF(COUNTIF($G427:$T427,"&gt;"&amp;Q427)=0,"",SMALL($G427:$T427,COUNTIF($G427:$T427,"&lt;="&amp;Q427)+1)-Q427)))</f>
        <v/>
      </c>
      <c r="AO427" t="str">
        <f>IF(OR($B427="",NOT(ISNUMBER(R427))),"",IF(COUNTIF(S427:$T427,R427)&gt;0,0,IF(COUNTIF($G427:$T427,"&gt;"&amp;R427)=0,"",SMALL($G427:$T427,COUNTIF($G427:$T427,"&lt;="&amp;R427)+1)-R427)))</f>
        <v/>
      </c>
      <c r="AP427">
        <f t="shared" ca="1" si="105"/>
        <v>4</v>
      </c>
      <c r="AQ427" s="25" t="str">
        <f t="shared" si="106"/>
        <v/>
      </c>
      <c r="AR427" s="25" t="str">
        <f t="shared" si="107"/>
        <v/>
      </c>
      <c r="AS427" s="25" t="str">
        <f t="shared" si="108"/>
        <v/>
      </c>
      <c r="AT427" s="25" t="str">
        <f t="shared" si="109"/>
        <v/>
      </c>
      <c r="AU427" s="25" t="str">
        <f t="shared" si="110"/>
        <v/>
      </c>
      <c r="AV427" s="25" t="str">
        <f t="shared" si="111"/>
        <v/>
      </c>
      <c r="AW427" s="25" t="str">
        <f t="shared" si="112"/>
        <v/>
      </c>
      <c r="AX427" s="25" t="str">
        <f t="shared" si="113"/>
        <v/>
      </c>
      <c r="AY427" s="25" t="str">
        <f t="shared" si="114"/>
        <v/>
      </c>
      <c r="AZ427" s="25" t="str">
        <f t="shared" si="115"/>
        <v/>
      </c>
      <c r="BA427" s="25" t="str">
        <f t="shared" si="116"/>
        <v/>
      </c>
      <c r="BB427" s="25" t="str">
        <f t="shared" si="117"/>
        <v/>
      </c>
      <c r="BC427" s="25" t="str">
        <f t="shared" si="118"/>
        <v/>
      </c>
    </row>
    <row r="428" spans="1:55" x14ac:dyDescent="0.25">
      <c r="A428" s="151">
        <f t="shared" si="103"/>
        <v>426</v>
      </c>
      <c r="B428" s="151" t="s">
        <v>651</v>
      </c>
      <c r="C428" s="152" t="s">
        <v>558</v>
      </c>
      <c r="D428" s="151">
        <f t="shared" si="102"/>
        <v>1</v>
      </c>
      <c r="E428" s="151" t="s">
        <v>61</v>
      </c>
      <c r="F428" s="173">
        <v>46303</v>
      </c>
      <c r="G428" s="173"/>
      <c r="H428" s="173"/>
      <c r="I428" s="173">
        <v>46303</v>
      </c>
      <c r="J428" s="173">
        <v>46304</v>
      </c>
      <c r="K428" s="173"/>
      <c r="L428" s="173"/>
      <c r="M428" s="173"/>
      <c r="N428" s="173"/>
      <c r="O428" s="173"/>
      <c r="P428" s="173"/>
      <c r="Q428" s="173"/>
      <c r="R428" s="173"/>
      <c r="S428" s="173"/>
      <c r="T428" s="174">
        <v>46304</v>
      </c>
      <c r="U428" s="151"/>
      <c r="V428" s="152"/>
      <c r="W428" s="175"/>
      <c r="X428" s="173"/>
      <c r="Y428" s="173"/>
      <c r="Z428" s="176" t="str">
        <f>IF(B428="","",IF(S428&lt;&gt;"","Sevk Edildi",IF(AND(X428&lt;&gt;"",Y428=""),"Reworkte",IF(T428&lt;&gt;"","Kapandı"&amp;IF(COUNT(G428:R428)=0,""," – "&amp;LOOKUP(2,1/(G428:R428=MAX(G428:R428)),{"Tasarım","Ply Cutter","Üretim","Kalite (Üretim sonrası)","Talaşlı","Kalite (Talaşlı sonrası)","Montaj","Kalite (Montaj sonrası)","Boya","Kalite (Boya sonrası)","Yarı Mamül","KM"})),IF(COUNT(G428:R428)=0,"Başlamadı",LOOKUP(2,1/(G428:R428=MAX(G428:R428)),{"Tasarımda","Ply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28" s="177">
        <f t="shared" ca="1" si="104"/>
        <v>1</v>
      </c>
      <c r="AB428" s="175"/>
      <c r="AD428" t="str">
        <f>IF(OR($B428="",NOT(ISNUMBER(G428))),"",IF(COUNTIF(H428:$T428,G428)&gt;0,0,IF(COUNTIF($G428:$T428,"&gt;"&amp;G428)=0,"",SMALL($G428:$T428,COUNTIF($G428:$T428,"&lt;="&amp;G428)+1)-G428)))</f>
        <v/>
      </c>
      <c r="AE428" t="str">
        <f>IF(OR($B428="",NOT(ISNUMBER(H428))),"",IF(COUNTIF(I428:$T428,H428)&gt;0,0,IF(COUNTIF($G428:$T428,"&gt;"&amp;H428)=0,"",SMALL($G428:$T428,COUNTIF($G428:$T428,"&lt;="&amp;H428)+1)-H428)))</f>
        <v/>
      </c>
      <c r="AF428">
        <f>IF(OR($B428="",NOT(ISNUMBER(I428))),"",IF(COUNTIF(J428:$T428,I428)&gt;0,0,IF(COUNTIF($G428:$T428,"&gt;"&amp;I428)=0,"",SMALL($G428:$T428,COUNTIF($G428:$T428,"&lt;="&amp;I428)+1)-I428)))</f>
        <v>1</v>
      </c>
      <c r="AG428">
        <f>IF(OR($B428="",NOT(ISNUMBER(J428))),"",IF(COUNTIF(K428:$T428,J428)&gt;0,0,IF(COUNTIF($G428:$T428,"&gt;"&amp;J428)=0,"",SMALL($G428:$T428,COUNTIF($G428:$T428,"&lt;="&amp;J428)+1)-J428)))</f>
        <v>0</v>
      </c>
      <c r="AH428" t="str">
        <f>IF(OR($B428="",NOT(ISNUMBER(K428))),"",IF(COUNTIF(L428:$T428,K428)&gt;0,0,IF(COUNTIF($G428:$T428,"&gt;"&amp;K428)=0,"",SMALL($G428:$T428,COUNTIF($G428:$T428,"&lt;="&amp;K428)+1)-K428)))</f>
        <v/>
      </c>
      <c r="AI428" t="str">
        <f>IF(OR($B428="",NOT(ISNUMBER(L428))),"",IF(COUNTIF(M428:$T428,L428)&gt;0,0,IF(COUNTIF($G428:$T428,"&gt;"&amp;L428)=0,"",SMALL($G428:$T428,COUNTIF($G428:$T428,"&lt;="&amp;L428)+1)-L428)))</f>
        <v/>
      </c>
      <c r="AJ428" t="str">
        <f>IF(OR($B428="",NOT(ISNUMBER(M428))),"",IF(COUNTIF(N428:$T428,M428)&gt;0,0,IF(COUNTIF($G428:$T428,"&gt;"&amp;M428)=0,"",SMALL($G428:$T428,COUNTIF($G428:$T428,"&lt;="&amp;M428)+1)-M428)))</f>
        <v/>
      </c>
      <c r="AK428" t="str">
        <f>IF(OR($B428="",NOT(ISNUMBER(N428))),"",IF(COUNTIF(O428:$T428,N428)&gt;0,0,IF(COUNTIF($G428:$T428,"&gt;"&amp;N428)=0,"",SMALL($G428:$T428,COUNTIF($G428:$T428,"&lt;="&amp;N428)+1)-N428)))</f>
        <v/>
      </c>
      <c r="AL428" t="str">
        <f>IF(OR($B428="",NOT(ISNUMBER(O428))),"",IF(COUNTIF(P428:$T428,O428)&gt;0,0,IF(COUNTIF($G428:$T428,"&gt;"&amp;O428)=0,"",SMALL($G428:$T428,COUNTIF($G428:$T428,"&lt;="&amp;O428)+1)-O428)))</f>
        <v/>
      </c>
      <c r="AM428" t="str">
        <f>IF(OR($B428="",NOT(ISNUMBER(P428))),"",IF(COUNTIF(Q428:$T428,P428)&gt;0,0,IF(COUNTIF($G428:$T428,"&gt;"&amp;P428)=0,"",SMALL($G428:$T428,COUNTIF($G428:$T428,"&lt;="&amp;P428)+1)-P428)))</f>
        <v/>
      </c>
      <c r="AN428" t="str">
        <f>IF(OR($B428="",NOT(ISNUMBER(Q428))),"",IF(COUNTIF(R428:$T428,Q428)&gt;0,0,IF(COUNTIF($G428:$T428,"&gt;"&amp;Q428)=0,"",SMALL($G428:$T428,COUNTIF($G428:$T428,"&lt;="&amp;Q428)+1)-Q428)))</f>
        <v/>
      </c>
      <c r="AO428" t="str">
        <f>IF(OR($B428="",NOT(ISNUMBER(R428))),"",IF(COUNTIF(S428:$T428,R428)&gt;0,0,IF(COUNTIF($G428:$T428,"&gt;"&amp;R428)=0,"",SMALL($G428:$T428,COUNTIF($G428:$T428,"&lt;="&amp;R428)+1)-R428)))</f>
        <v/>
      </c>
      <c r="AP428">
        <f t="shared" ca="1" si="105"/>
        <v>0</v>
      </c>
      <c r="AQ428" s="25" t="str">
        <f t="shared" si="106"/>
        <v/>
      </c>
      <c r="AR428" s="25" t="str">
        <f t="shared" si="107"/>
        <v/>
      </c>
      <c r="AS428" s="25">
        <f t="shared" si="108"/>
        <v>46304</v>
      </c>
      <c r="AT428" s="25">
        <f t="shared" si="109"/>
        <v>46304</v>
      </c>
      <c r="AU428" s="25" t="str">
        <f t="shared" si="110"/>
        <v/>
      </c>
      <c r="AV428" s="25" t="str">
        <f t="shared" si="111"/>
        <v/>
      </c>
      <c r="AW428" s="25" t="str">
        <f t="shared" si="112"/>
        <v/>
      </c>
      <c r="AX428" s="25" t="str">
        <f t="shared" si="113"/>
        <v/>
      </c>
      <c r="AY428" s="25" t="str">
        <f t="shared" si="114"/>
        <v/>
      </c>
      <c r="AZ428" s="25" t="str">
        <f t="shared" si="115"/>
        <v/>
      </c>
      <c r="BA428" s="25" t="str">
        <f t="shared" si="116"/>
        <v/>
      </c>
      <c r="BB428" s="25" t="str">
        <f t="shared" si="117"/>
        <v/>
      </c>
      <c r="BC428" s="25">
        <f t="shared" si="118"/>
        <v>46304</v>
      </c>
    </row>
    <row r="429" spans="1:55" x14ac:dyDescent="0.25">
      <c r="A429" s="151">
        <f t="shared" si="103"/>
        <v>427</v>
      </c>
      <c r="B429" s="151" t="s">
        <v>652</v>
      </c>
      <c r="C429" s="152" t="s">
        <v>525</v>
      </c>
      <c r="D429" s="151">
        <f t="shared" si="102"/>
        <v>4</v>
      </c>
      <c r="E429" s="151" t="s">
        <v>61</v>
      </c>
      <c r="F429" s="173">
        <v>46303</v>
      </c>
      <c r="G429" s="173"/>
      <c r="H429" s="173"/>
      <c r="I429" s="173">
        <v>46303</v>
      </c>
      <c r="J429" s="173">
        <v>46304</v>
      </c>
      <c r="K429" s="173"/>
      <c r="L429" s="173"/>
      <c r="M429" s="173"/>
      <c r="N429" s="173"/>
      <c r="O429" s="173"/>
      <c r="P429" s="173"/>
      <c r="Q429" s="173"/>
      <c r="R429" s="173"/>
      <c r="S429" s="173"/>
      <c r="T429" s="174">
        <v>46304</v>
      </c>
      <c r="U429" s="151"/>
      <c r="V429" s="152"/>
      <c r="W429" s="175"/>
      <c r="X429" s="173"/>
      <c r="Y429" s="173"/>
      <c r="Z429" s="176" t="str">
        <f>IF(B429="","",IF(S429&lt;&gt;"","Sevk Edildi",IF(AND(X429&lt;&gt;"",Y429=""),"Reworkte",IF(T429&lt;&gt;"","Kapandı"&amp;IF(COUNT(G429:R429)=0,""," – "&amp;LOOKUP(2,1/(G429:R429=MAX(G429:R429)),{"Tasarım","Ply Cutter","Üretim","Kalite (Üretim sonrası)","Talaşlı","Kalite (Talaşlı sonrası)","Montaj","Kalite (Montaj sonrası)","Boya","Kalite (Boya sonrası)","Yarı Mamül","KM"})),IF(COUNT(G429:R429)=0,"Başlamadı",LOOKUP(2,1/(G429:R429=MAX(G429:R429)),{"Tasarımda","Ply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29" s="177">
        <f t="shared" ca="1" si="104"/>
        <v>1</v>
      </c>
      <c r="AB429" s="175"/>
      <c r="AD429" t="str">
        <f>IF(OR($B429="",NOT(ISNUMBER(G429))),"",IF(COUNTIF(H429:$T429,G429)&gt;0,0,IF(COUNTIF($G429:$T429,"&gt;"&amp;G429)=0,"",SMALL($G429:$T429,COUNTIF($G429:$T429,"&lt;="&amp;G429)+1)-G429)))</f>
        <v/>
      </c>
      <c r="AE429" t="str">
        <f>IF(OR($B429="",NOT(ISNUMBER(H429))),"",IF(COUNTIF(I429:$T429,H429)&gt;0,0,IF(COUNTIF($G429:$T429,"&gt;"&amp;H429)=0,"",SMALL($G429:$T429,COUNTIF($G429:$T429,"&lt;="&amp;H429)+1)-H429)))</f>
        <v/>
      </c>
      <c r="AF429">
        <f>IF(OR($B429="",NOT(ISNUMBER(I429))),"",IF(COUNTIF(J429:$T429,I429)&gt;0,0,IF(COUNTIF($G429:$T429,"&gt;"&amp;I429)=0,"",SMALL($G429:$T429,COUNTIF($G429:$T429,"&lt;="&amp;I429)+1)-I429)))</f>
        <v>1</v>
      </c>
      <c r="AG429">
        <f>IF(OR($B429="",NOT(ISNUMBER(J429))),"",IF(COUNTIF(K429:$T429,J429)&gt;0,0,IF(COUNTIF($G429:$T429,"&gt;"&amp;J429)=0,"",SMALL($G429:$T429,COUNTIF($G429:$T429,"&lt;="&amp;J429)+1)-J429)))</f>
        <v>0</v>
      </c>
      <c r="AH429" t="str">
        <f>IF(OR($B429="",NOT(ISNUMBER(K429))),"",IF(COUNTIF(L429:$T429,K429)&gt;0,0,IF(COUNTIF($G429:$T429,"&gt;"&amp;K429)=0,"",SMALL($G429:$T429,COUNTIF($G429:$T429,"&lt;="&amp;K429)+1)-K429)))</f>
        <v/>
      </c>
      <c r="AI429" t="str">
        <f>IF(OR($B429="",NOT(ISNUMBER(L429))),"",IF(COUNTIF(M429:$T429,L429)&gt;0,0,IF(COUNTIF($G429:$T429,"&gt;"&amp;L429)=0,"",SMALL($G429:$T429,COUNTIF($G429:$T429,"&lt;="&amp;L429)+1)-L429)))</f>
        <v/>
      </c>
      <c r="AJ429" t="str">
        <f>IF(OR($B429="",NOT(ISNUMBER(M429))),"",IF(COUNTIF(N429:$T429,M429)&gt;0,0,IF(COUNTIF($G429:$T429,"&gt;"&amp;M429)=0,"",SMALL($G429:$T429,COUNTIF($G429:$T429,"&lt;="&amp;M429)+1)-M429)))</f>
        <v/>
      </c>
      <c r="AK429" t="str">
        <f>IF(OR($B429="",NOT(ISNUMBER(N429))),"",IF(COUNTIF(O429:$T429,N429)&gt;0,0,IF(COUNTIF($G429:$T429,"&gt;"&amp;N429)=0,"",SMALL($G429:$T429,COUNTIF($G429:$T429,"&lt;="&amp;N429)+1)-N429)))</f>
        <v/>
      </c>
      <c r="AL429" t="str">
        <f>IF(OR($B429="",NOT(ISNUMBER(O429))),"",IF(COUNTIF(P429:$T429,O429)&gt;0,0,IF(COUNTIF($G429:$T429,"&gt;"&amp;O429)=0,"",SMALL($G429:$T429,COUNTIF($G429:$T429,"&lt;="&amp;O429)+1)-O429)))</f>
        <v/>
      </c>
      <c r="AM429" t="str">
        <f>IF(OR($B429="",NOT(ISNUMBER(P429))),"",IF(COUNTIF(Q429:$T429,P429)&gt;0,0,IF(COUNTIF($G429:$T429,"&gt;"&amp;P429)=0,"",SMALL($G429:$T429,COUNTIF($G429:$T429,"&lt;="&amp;P429)+1)-P429)))</f>
        <v/>
      </c>
      <c r="AN429" t="str">
        <f>IF(OR($B429="",NOT(ISNUMBER(Q429))),"",IF(COUNTIF(R429:$T429,Q429)&gt;0,0,IF(COUNTIF($G429:$T429,"&gt;"&amp;Q429)=0,"",SMALL($G429:$T429,COUNTIF($G429:$T429,"&lt;="&amp;Q429)+1)-Q429)))</f>
        <v/>
      </c>
      <c r="AO429" t="str">
        <f>IF(OR($B429="",NOT(ISNUMBER(R429))),"",IF(COUNTIF(S429:$T429,R429)&gt;0,0,IF(COUNTIF($G429:$T429,"&gt;"&amp;R429)=0,"",SMALL($G429:$T429,COUNTIF($G429:$T429,"&lt;="&amp;R429)+1)-R429)))</f>
        <v/>
      </c>
      <c r="AP429">
        <f t="shared" ca="1" si="105"/>
        <v>0</v>
      </c>
      <c r="AQ429" s="25" t="str">
        <f t="shared" si="106"/>
        <v/>
      </c>
      <c r="AR429" s="25" t="str">
        <f t="shared" si="107"/>
        <v/>
      </c>
      <c r="AS429" s="25">
        <f t="shared" si="108"/>
        <v>46304</v>
      </c>
      <c r="AT429" s="25">
        <f t="shared" si="109"/>
        <v>46304</v>
      </c>
      <c r="AU429" s="25" t="str">
        <f t="shared" si="110"/>
        <v/>
      </c>
      <c r="AV429" s="25" t="str">
        <f t="shared" si="111"/>
        <v/>
      </c>
      <c r="AW429" s="25" t="str">
        <f t="shared" si="112"/>
        <v/>
      </c>
      <c r="AX429" s="25" t="str">
        <f t="shared" si="113"/>
        <v/>
      </c>
      <c r="AY429" s="25" t="str">
        <f t="shared" si="114"/>
        <v/>
      </c>
      <c r="AZ429" s="25" t="str">
        <f t="shared" si="115"/>
        <v/>
      </c>
      <c r="BA429" s="25" t="str">
        <f t="shared" si="116"/>
        <v/>
      </c>
      <c r="BB429" s="25" t="str">
        <f t="shared" si="117"/>
        <v/>
      </c>
      <c r="BC429" s="25">
        <f t="shared" si="118"/>
        <v>46304</v>
      </c>
    </row>
    <row r="430" spans="1:55" x14ac:dyDescent="0.25">
      <c r="A430" s="151">
        <f t="shared" si="103"/>
        <v>428</v>
      </c>
      <c r="B430" s="151" t="s">
        <v>653</v>
      </c>
      <c r="C430" s="152" t="s">
        <v>528</v>
      </c>
      <c r="D430" s="151">
        <f t="shared" si="102"/>
        <v>1</v>
      </c>
      <c r="E430" s="151" t="s">
        <v>61</v>
      </c>
      <c r="F430" s="173">
        <v>46303</v>
      </c>
      <c r="G430" s="173"/>
      <c r="H430" s="173"/>
      <c r="I430" s="173">
        <v>46303</v>
      </c>
      <c r="J430" s="173">
        <v>46304</v>
      </c>
      <c r="K430" s="173"/>
      <c r="L430" s="173"/>
      <c r="M430" s="173"/>
      <c r="N430" s="173"/>
      <c r="O430" s="173"/>
      <c r="P430" s="173"/>
      <c r="Q430" s="173"/>
      <c r="R430" s="173"/>
      <c r="S430" s="173"/>
      <c r="T430" s="174">
        <v>46304</v>
      </c>
      <c r="U430" s="151"/>
      <c r="V430" s="152"/>
      <c r="W430" s="175"/>
      <c r="X430" s="173"/>
      <c r="Y430" s="173"/>
      <c r="Z430" s="176" t="str">
        <f>IF(B430="","",IF(S430&lt;&gt;"","Sevk Edildi",IF(AND(X430&lt;&gt;"",Y430=""),"Reworkte",IF(T430&lt;&gt;"","Kapandı"&amp;IF(COUNT(G430:R430)=0,""," – "&amp;LOOKUP(2,1/(G430:R430=MAX(G430:R430)),{"Tasarım","Ply Cutter","Üretim","Kalite (Üretim sonrası)","Talaşlı","Kalite (Talaşlı sonrası)","Montaj","Kalite (Montaj sonrası)","Boya","Kalite (Boya sonrası)","Yarı Mamül","KM"})),IF(COUNT(G430:R430)=0,"Başlamadı",LOOKUP(2,1/(G430:R430=MAX(G430:R430)),{"Tasarımda","Ply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30" s="177">
        <f t="shared" ca="1" si="104"/>
        <v>1</v>
      </c>
      <c r="AB430" s="175"/>
      <c r="AD430" t="str">
        <f>IF(OR($B430="",NOT(ISNUMBER(G430))),"",IF(COUNTIF(H430:$T430,G430)&gt;0,0,IF(COUNTIF($G430:$T430,"&gt;"&amp;G430)=0,"",SMALL($G430:$T430,COUNTIF($G430:$T430,"&lt;="&amp;G430)+1)-G430)))</f>
        <v/>
      </c>
      <c r="AE430" t="str">
        <f>IF(OR($B430="",NOT(ISNUMBER(H430))),"",IF(COUNTIF(I430:$T430,H430)&gt;0,0,IF(COUNTIF($G430:$T430,"&gt;"&amp;H430)=0,"",SMALL($G430:$T430,COUNTIF($G430:$T430,"&lt;="&amp;H430)+1)-H430)))</f>
        <v/>
      </c>
      <c r="AF430">
        <f>IF(OR($B430="",NOT(ISNUMBER(I430))),"",IF(COUNTIF(J430:$T430,I430)&gt;0,0,IF(COUNTIF($G430:$T430,"&gt;"&amp;I430)=0,"",SMALL($G430:$T430,COUNTIF($G430:$T430,"&lt;="&amp;I430)+1)-I430)))</f>
        <v>1</v>
      </c>
      <c r="AG430">
        <f>IF(OR($B430="",NOT(ISNUMBER(J430))),"",IF(COUNTIF(K430:$T430,J430)&gt;0,0,IF(COUNTIF($G430:$T430,"&gt;"&amp;J430)=0,"",SMALL($G430:$T430,COUNTIF($G430:$T430,"&lt;="&amp;J430)+1)-J430)))</f>
        <v>0</v>
      </c>
      <c r="AH430" t="str">
        <f>IF(OR($B430="",NOT(ISNUMBER(K430))),"",IF(COUNTIF(L430:$T430,K430)&gt;0,0,IF(COUNTIF($G430:$T430,"&gt;"&amp;K430)=0,"",SMALL($G430:$T430,COUNTIF($G430:$T430,"&lt;="&amp;K430)+1)-K430)))</f>
        <v/>
      </c>
      <c r="AI430" t="str">
        <f>IF(OR($B430="",NOT(ISNUMBER(L430))),"",IF(COUNTIF(M430:$T430,L430)&gt;0,0,IF(COUNTIF($G430:$T430,"&gt;"&amp;L430)=0,"",SMALL($G430:$T430,COUNTIF($G430:$T430,"&lt;="&amp;L430)+1)-L430)))</f>
        <v/>
      </c>
      <c r="AJ430" t="str">
        <f>IF(OR($B430="",NOT(ISNUMBER(M430))),"",IF(COUNTIF(N430:$T430,M430)&gt;0,0,IF(COUNTIF($G430:$T430,"&gt;"&amp;M430)=0,"",SMALL($G430:$T430,COUNTIF($G430:$T430,"&lt;="&amp;M430)+1)-M430)))</f>
        <v/>
      </c>
      <c r="AK430" t="str">
        <f>IF(OR($B430="",NOT(ISNUMBER(N430))),"",IF(COUNTIF(O430:$T430,N430)&gt;0,0,IF(COUNTIF($G430:$T430,"&gt;"&amp;N430)=0,"",SMALL($G430:$T430,COUNTIF($G430:$T430,"&lt;="&amp;N430)+1)-N430)))</f>
        <v/>
      </c>
      <c r="AL430" t="str">
        <f>IF(OR($B430="",NOT(ISNUMBER(O430))),"",IF(COUNTIF(P430:$T430,O430)&gt;0,0,IF(COUNTIF($G430:$T430,"&gt;"&amp;O430)=0,"",SMALL($G430:$T430,COUNTIF($G430:$T430,"&lt;="&amp;O430)+1)-O430)))</f>
        <v/>
      </c>
      <c r="AM430" t="str">
        <f>IF(OR($B430="",NOT(ISNUMBER(P430))),"",IF(COUNTIF(Q430:$T430,P430)&gt;0,0,IF(COUNTIF($G430:$T430,"&gt;"&amp;P430)=0,"",SMALL($G430:$T430,COUNTIF($G430:$T430,"&lt;="&amp;P430)+1)-P430)))</f>
        <v/>
      </c>
      <c r="AN430" t="str">
        <f>IF(OR($B430="",NOT(ISNUMBER(Q430))),"",IF(COUNTIF(R430:$T430,Q430)&gt;0,0,IF(COUNTIF($G430:$T430,"&gt;"&amp;Q430)=0,"",SMALL($G430:$T430,COUNTIF($G430:$T430,"&lt;="&amp;Q430)+1)-Q430)))</f>
        <v/>
      </c>
      <c r="AO430" t="str">
        <f>IF(OR($B430="",NOT(ISNUMBER(R430))),"",IF(COUNTIF(S430:$T430,R430)&gt;0,0,IF(COUNTIF($G430:$T430,"&gt;"&amp;R430)=0,"",SMALL($G430:$T430,COUNTIF($G430:$T430,"&lt;="&amp;R430)+1)-R430)))</f>
        <v/>
      </c>
      <c r="AP430">
        <f t="shared" ca="1" si="105"/>
        <v>0</v>
      </c>
      <c r="AQ430" s="25" t="str">
        <f t="shared" si="106"/>
        <v/>
      </c>
      <c r="AR430" s="25" t="str">
        <f t="shared" si="107"/>
        <v/>
      </c>
      <c r="AS430" s="25">
        <f t="shared" si="108"/>
        <v>46304</v>
      </c>
      <c r="AT430" s="25">
        <f t="shared" si="109"/>
        <v>46304</v>
      </c>
      <c r="AU430" s="25" t="str">
        <f t="shared" si="110"/>
        <v/>
      </c>
      <c r="AV430" s="25" t="str">
        <f t="shared" si="111"/>
        <v/>
      </c>
      <c r="AW430" s="25" t="str">
        <f t="shared" si="112"/>
        <v/>
      </c>
      <c r="AX430" s="25" t="str">
        <f t="shared" si="113"/>
        <v/>
      </c>
      <c r="AY430" s="25" t="str">
        <f t="shared" si="114"/>
        <v/>
      </c>
      <c r="AZ430" s="25" t="str">
        <f t="shared" si="115"/>
        <v/>
      </c>
      <c r="BA430" s="25" t="str">
        <f t="shared" si="116"/>
        <v/>
      </c>
      <c r="BB430" s="25" t="str">
        <f t="shared" si="117"/>
        <v/>
      </c>
      <c r="BC430" s="25">
        <f t="shared" si="118"/>
        <v>46304</v>
      </c>
    </row>
    <row r="431" spans="1:55" x14ac:dyDescent="0.25">
      <c r="A431" s="151">
        <f t="shared" si="103"/>
        <v>429</v>
      </c>
      <c r="B431" s="151" t="s">
        <v>654</v>
      </c>
      <c r="C431" s="152" t="s">
        <v>466</v>
      </c>
      <c r="D431" s="151">
        <f t="shared" si="102"/>
        <v>2</v>
      </c>
      <c r="E431" s="151" t="s">
        <v>61</v>
      </c>
      <c r="F431" s="173">
        <v>46303</v>
      </c>
      <c r="G431" s="173"/>
      <c r="H431" s="173"/>
      <c r="I431" s="173">
        <v>46303</v>
      </c>
      <c r="J431" s="173">
        <v>46304</v>
      </c>
      <c r="K431" s="173"/>
      <c r="L431" s="173"/>
      <c r="M431" s="173"/>
      <c r="N431" s="173"/>
      <c r="O431" s="173"/>
      <c r="P431" s="173"/>
      <c r="Q431" s="173">
        <v>46305</v>
      </c>
      <c r="R431" s="173"/>
      <c r="S431" s="173"/>
      <c r="T431" s="174">
        <v>46305</v>
      </c>
      <c r="U431" s="151"/>
      <c r="V431" s="152"/>
      <c r="W431" s="175"/>
      <c r="X431" s="173"/>
      <c r="Y431" s="173"/>
      <c r="Z431" s="176" t="str">
        <f>IF(B431="","",IF(S431&lt;&gt;"","Sevk Edildi",IF(AND(X431&lt;&gt;"",Y431=""),"Reworkte",IF(T431&lt;&gt;"","Kapandı"&amp;IF(COUNT(G431:R431)=0,""," – "&amp;LOOKUP(2,1/(G431:R431=MAX(G431:R431)),{"Tasarım","Ply Cutter","Üretim","Kalite (Üretim sonrası)","Talaşlı","Kalite (Talaşlı sonrası)","Montaj","Kalite (Montaj sonrası)","Boya","Kalite (Boya sonrası)","Yarı Mamül","KM"})),IF(COUNT(G431:R431)=0,"Başlamadı",LOOKUP(2,1/(G431:R431=MAX(G431:R431)),{"Tasarımda","Ply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31" s="177">
        <f t="shared" ca="1" si="104"/>
        <v>2</v>
      </c>
      <c r="AB431" s="175"/>
      <c r="AD431" t="str">
        <f>IF(OR($B431="",NOT(ISNUMBER(G431))),"",IF(COUNTIF(H431:$T431,G431)&gt;0,0,IF(COUNTIF($G431:$T431,"&gt;"&amp;G431)=0,"",SMALL($G431:$T431,COUNTIF($G431:$T431,"&lt;="&amp;G431)+1)-G431)))</f>
        <v/>
      </c>
      <c r="AE431" t="str">
        <f>IF(OR($B431="",NOT(ISNUMBER(H431))),"",IF(COUNTIF(I431:$T431,H431)&gt;0,0,IF(COUNTIF($G431:$T431,"&gt;"&amp;H431)=0,"",SMALL($G431:$T431,COUNTIF($G431:$T431,"&lt;="&amp;H431)+1)-H431)))</f>
        <v/>
      </c>
      <c r="AF431">
        <f>IF(OR($B431="",NOT(ISNUMBER(I431))),"",IF(COUNTIF(J431:$T431,I431)&gt;0,0,IF(COUNTIF($G431:$T431,"&gt;"&amp;I431)=0,"",SMALL($G431:$T431,COUNTIF($G431:$T431,"&lt;="&amp;I431)+1)-I431)))</f>
        <v>1</v>
      </c>
      <c r="AG431">
        <f>IF(OR($B431="",NOT(ISNUMBER(J431))),"",IF(COUNTIF(K431:$T431,J431)&gt;0,0,IF(COUNTIF($G431:$T431,"&gt;"&amp;J431)=0,"",SMALL($G431:$T431,COUNTIF($G431:$T431,"&lt;="&amp;J431)+1)-J431)))</f>
        <v>1</v>
      </c>
      <c r="AH431" t="str">
        <f>IF(OR($B431="",NOT(ISNUMBER(K431))),"",IF(COUNTIF(L431:$T431,K431)&gt;0,0,IF(COUNTIF($G431:$T431,"&gt;"&amp;K431)=0,"",SMALL($G431:$T431,COUNTIF($G431:$T431,"&lt;="&amp;K431)+1)-K431)))</f>
        <v/>
      </c>
      <c r="AI431" t="str">
        <f>IF(OR($B431="",NOT(ISNUMBER(L431))),"",IF(COUNTIF(M431:$T431,L431)&gt;0,0,IF(COUNTIF($G431:$T431,"&gt;"&amp;L431)=0,"",SMALL($G431:$T431,COUNTIF($G431:$T431,"&lt;="&amp;L431)+1)-L431)))</f>
        <v/>
      </c>
      <c r="AJ431" t="str">
        <f>IF(OR($B431="",NOT(ISNUMBER(M431))),"",IF(COUNTIF(N431:$T431,M431)&gt;0,0,IF(COUNTIF($G431:$T431,"&gt;"&amp;M431)=0,"",SMALL($G431:$T431,COUNTIF($G431:$T431,"&lt;="&amp;M431)+1)-M431)))</f>
        <v/>
      </c>
      <c r="AK431" t="str">
        <f>IF(OR($B431="",NOT(ISNUMBER(N431))),"",IF(COUNTIF(O431:$T431,N431)&gt;0,0,IF(COUNTIF($G431:$T431,"&gt;"&amp;N431)=0,"",SMALL($G431:$T431,COUNTIF($G431:$T431,"&lt;="&amp;N431)+1)-N431)))</f>
        <v/>
      </c>
      <c r="AL431" t="str">
        <f>IF(OR($B431="",NOT(ISNUMBER(O431))),"",IF(COUNTIF(P431:$T431,O431)&gt;0,0,IF(COUNTIF($G431:$T431,"&gt;"&amp;O431)=0,"",SMALL($G431:$T431,COUNTIF($G431:$T431,"&lt;="&amp;O431)+1)-O431)))</f>
        <v/>
      </c>
      <c r="AM431" t="str">
        <f>IF(OR($B431="",NOT(ISNUMBER(P431))),"",IF(COUNTIF(Q431:$T431,P431)&gt;0,0,IF(COUNTIF($G431:$T431,"&gt;"&amp;P431)=0,"",SMALL($G431:$T431,COUNTIF($G431:$T431,"&lt;="&amp;P431)+1)-P431)))</f>
        <v/>
      </c>
      <c r="AN431">
        <f>IF(OR($B431="",NOT(ISNUMBER(Q431))),"",IF(COUNTIF(R431:$T431,Q431)&gt;0,0,IF(COUNTIF($G431:$T431,"&gt;"&amp;Q431)=0,"",SMALL($G431:$T431,COUNTIF($G431:$T431,"&lt;="&amp;Q431)+1)-Q431)))</f>
        <v>0</v>
      </c>
      <c r="AO431" t="str">
        <f>IF(OR($B431="",NOT(ISNUMBER(R431))),"",IF(COUNTIF(S431:$T431,R431)&gt;0,0,IF(COUNTIF($G431:$T431,"&gt;"&amp;R431)=0,"",SMALL($G431:$T431,COUNTIF($G431:$T431,"&lt;="&amp;R431)+1)-R431)))</f>
        <v/>
      </c>
      <c r="AP431">
        <f t="shared" ca="1" si="105"/>
        <v>0</v>
      </c>
      <c r="AQ431" s="25" t="str">
        <f t="shared" si="106"/>
        <v/>
      </c>
      <c r="AR431" s="25" t="str">
        <f t="shared" si="107"/>
        <v/>
      </c>
      <c r="AS431" s="25">
        <f t="shared" si="108"/>
        <v>46304</v>
      </c>
      <c r="AT431" s="25">
        <f t="shared" si="109"/>
        <v>46305</v>
      </c>
      <c r="AU431" s="25" t="str">
        <f t="shared" si="110"/>
        <v/>
      </c>
      <c r="AV431" s="25" t="str">
        <f t="shared" si="111"/>
        <v/>
      </c>
      <c r="AW431" s="25" t="str">
        <f t="shared" si="112"/>
        <v/>
      </c>
      <c r="AX431" s="25" t="str">
        <f t="shared" si="113"/>
        <v/>
      </c>
      <c r="AY431" s="25" t="str">
        <f t="shared" si="114"/>
        <v/>
      </c>
      <c r="AZ431" s="25" t="str">
        <f t="shared" si="115"/>
        <v/>
      </c>
      <c r="BA431" s="25">
        <f t="shared" si="116"/>
        <v>46305</v>
      </c>
      <c r="BB431" s="25" t="str">
        <f t="shared" si="117"/>
        <v/>
      </c>
      <c r="BC431" s="25">
        <f t="shared" si="118"/>
        <v>46305</v>
      </c>
    </row>
    <row r="432" spans="1:55" x14ac:dyDescent="0.25">
      <c r="A432" s="151">
        <f t="shared" si="103"/>
        <v>430</v>
      </c>
      <c r="B432" s="151" t="s">
        <v>655</v>
      </c>
      <c r="C432" s="152" t="s">
        <v>478</v>
      </c>
      <c r="D432" s="151">
        <f t="shared" si="102"/>
        <v>1</v>
      </c>
      <c r="E432" s="151" t="s">
        <v>61</v>
      </c>
      <c r="F432" s="173">
        <v>46303</v>
      </c>
      <c r="G432" s="173"/>
      <c r="H432" s="173"/>
      <c r="I432" s="173">
        <v>46303</v>
      </c>
      <c r="J432" s="173">
        <v>46304</v>
      </c>
      <c r="K432" s="173"/>
      <c r="L432" s="173"/>
      <c r="M432" s="173"/>
      <c r="N432" s="173"/>
      <c r="O432" s="173"/>
      <c r="P432" s="173"/>
      <c r="Q432" s="173"/>
      <c r="R432" s="173"/>
      <c r="S432" s="173"/>
      <c r="T432" s="174">
        <v>46304</v>
      </c>
      <c r="U432" s="151"/>
      <c r="V432" s="152"/>
      <c r="W432" s="175"/>
      <c r="X432" s="173"/>
      <c r="Y432" s="173"/>
      <c r="Z432" s="176" t="str">
        <f>IF(B432="","",IF(S432&lt;&gt;"","Sevk Edildi",IF(AND(X432&lt;&gt;"",Y432=""),"Reworkte",IF(T432&lt;&gt;"","Kapandı"&amp;IF(COUNT(G432:R432)=0,""," – "&amp;LOOKUP(2,1/(G432:R432=MAX(G432:R432)),{"Tasarım","Ply Cutter","Üretim","Kalite (Üretim sonrası)","Talaşlı","Kalite (Talaşlı sonrası)","Montaj","Kalite (Montaj sonrası)","Boya","Kalite (Boya sonrası)","Yarı Mamül","KM"})),IF(COUNT(G432:R432)=0,"Başlamadı",LOOKUP(2,1/(G432:R432=MAX(G432:R432)),{"Tasarımda","Ply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32" s="177">
        <f t="shared" ca="1" si="104"/>
        <v>1</v>
      </c>
      <c r="AB432" s="175"/>
      <c r="AD432" t="str">
        <f>IF(OR($B432="",NOT(ISNUMBER(G432))),"",IF(COUNTIF(H432:$T432,G432)&gt;0,0,IF(COUNTIF($G432:$T432,"&gt;"&amp;G432)=0,"",SMALL($G432:$T432,COUNTIF($G432:$T432,"&lt;="&amp;G432)+1)-G432)))</f>
        <v/>
      </c>
      <c r="AE432" t="str">
        <f>IF(OR($B432="",NOT(ISNUMBER(H432))),"",IF(COUNTIF(I432:$T432,H432)&gt;0,0,IF(COUNTIF($G432:$T432,"&gt;"&amp;H432)=0,"",SMALL($G432:$T432,COUNTIF($G432:$T432,"&lt;="&amp;H432)+1)-H432)))</f>
        <v/>
      </c>
      <c r="AF432">
        <f>IF(OR($B432="",NOT(ISNUMBER(I432))),"",IF(COUNTIF(J432:$T432,I432)&gt;0,0,IF(COUNTIF($G432:$T432,"&gt;"&amp;I432)=0,"",SMALL($G432:$T432,COUNTIF($G432:$T432,"&lt;="&amp;I432)+1)-I432)))</f>
        <v>1</v>
      </c>
      <c r="AG432">
        <f>IF(OR($B432="",NOT(ISNUMBER(J432))),"",IF(COUNTIF(K432:$T432,J432)&gt;0,0,IF(COUNTIF($G432:$T432,"&gt;"&amp;J432)=0,"",SMALL($G432:$T432,COUNTIF($G432:$T432,"&lt;="&amp;J432)+1)-J432)))</f>
        <v>0</v>
      </c>
      <c r="AH432" t="str">
        <f>IF(OR($B432="",NOT(ISNUMBER(K432))),"",IF(COUNTIF(L432:$T432,K432)&gt;0,0,IF(COUNTIF($G432:$T432,"&gt;"&amp;K432)=0,"",SMALL($G432:$T432,COUNTIF($G432:$T432,"&lt;="&amp;K432)+1)-K432)))</f>
        <v/>
      </c>
      <c r="AI432" t="str">
        <f>IF(OR($B432="",NOT(ISNUMBER(L432))),"",IF(COUNTIF(M432:$T432,L432)&gt;0,0,IF(COUNTIF($G432:$T432,"&gt;"&amp;L432)=0,"",SMALL($G432:$T432,COUNTIF($G432:$T432,"&lt;="&amp;L432)+1)-L432)))</f>
        <v/>
      </c>
      <c r="AJ432" t="str">
        <f>IF(OR($B432="",NOT(ISNUMBER(M432))),"",IF(COUNTIF(N432:$T432,M432)&gt;0,0,IF(COUNTIF($G432:$T432,"&gt;"&amp;M432)=0,"",SMALL($G432:$T432,COUNTIF($G432:$T432,"&lt;="&amp;M432)+1)-M432)))</f>
        <v/>
      </c>
      <c r="AK432" t="str">
        <f>IF(OR($B432="",NOT(ISNUMBER(N432))),"",IF(COUNTIF(O432:$T432,N432)&gt;0,0,IF(COUNTIF($G432:$T432,"&gt;"&amp;N432)=0,"",SMALL($G432:$T432,COUNTIF($G432:$T432,"&lt;="&amp;N432)+1)-N432)))</f>
        <v/>
      </c>
      <c r="AL432" t="str">
        <f>IF(OR($B432="",NOT(ISNUMBER(O432))),"",IF(COUNTIF(P432:$T432,O432)&gt;0,0,IF(COUNTIF($G432:$T432,"&gt;"&amp;O432)=0,"",SMALL($G432:$T432,COUNTIF($G432:$T432,"&lt;="&amp;O432)+1)-O432)))</f>
        <v/>
      </c>
      <c r="AM432" t="str">
        <f>IF(OR($B432="",NOT(ISNUMBER(P432))),"",IF(COUNTIF(Q432:$T432,P432)&gt;0,0,IF(COUNTIF($G432:$T432,"&gt;"&amp;P432)=0,"",SMALL($G432:$T432,COUNTIF($G432:$T432,"&lt;="&amp;P432)+1)-P432)))</f>
        <v/>
      </c>
      <c r="AN432" t="str">
        <f>IF(OR($B432="",NOT(ISNUMBER(Q432))),"",IF(COUNTIF(R432:$T432,Q432)&gt;0,0,IF(COUNTIF($G432:$T432,"&gt;"&amp;Q432)=0,"",SMALL($G432:$T432,COUNTIF($G432:$T432,"&lt;="&amp;Q432)+1)-Q432)))</f>
        <v/>
      </c>
      <c r="AO432" t="str">
        <f>IF(OR($B432="",NOT(ISNUMBER(R432))),"",IF(COUNTIF(S432:$T432,R432)&gt;0,0,IF(COUNTIF($G432:$T432,"&gt;"&amp;R432)=0,"",SMALL($G432:$T432,COUNTIF($G432:$T432,"&lt;="&amp;R432)+1)-R432)))</f>
        <v/>
      </c>
      <c r="AP432">
        <f t="shared" ca="1" si="105"/>
        <v>0</v>
      </c>
      <c r="AQ432" s="25" t="str">
        <f t="shared" si="106"/>
        <v/>
      </c>
      <c r="AR432" s="25" t="str">
        <f t="shared" si="107"/>
        <v/>
      </c>
      <c r="AS432" s="25">
        <f t="shared" si="108"/>
        <v>46304</v>
      </c>
      <c r="AT432" s="25">
        <f t="shared" si="109"/>
        <v>46304</v>
      </c>
      <c r="AU432" s="25" t="str">
        <f t="shared" si="110"/>
        <v/>
      </c>
      <c r="AV432" s="25" t="str">
        <f t="shared" si="111"/>
        <v/>
      </c>
      <c r="AW432" s="25" t="str">
        <f t="shared" si="112"/>
        <v/>
      </c>
      <c r="AX432" s="25" t="str">
        <f t="shared" si="113"/>
        <v/>
      </c>
      <c r="AY432" s="25" t="str">
        <f t="shared" si="114"/>
        <v/>
      </c>
      <c r="AZ432" s="25" t="str">
        <f t="shared" si="115"/>
        <v/>
      </c>
      <c r="BA432" s="25" t="str">
        <f t="shared" si="116"/>
        <v/>
      </c>
      <c r="BB432" s="25" t="str">
        <f t="shared" si="117"/>
        <v/>
      </c>
      <c r="BC432" s="25">
        <f t="shared" si="118"/>
        <v>46304</v>
      </c>
    </row>
    <row r="433" spans="1:55" x14ac:dyDescent="0.25">
      <c r="A433" s="151">
        <f t="shared" si="103"/>
        <v>431</v>
      </c>
      <c r="B433" s="151" t="s">
        <v>656</v>
      </c>
      <c r="C433" s="152" t="s">
        <v>227</v>
      </c>
      <c r="D433" s="151">
        <f t="shared" si="102"/>
        <v>1</v>
      </c>
      <c r="E433" s="151" t="s">
        <v>100</v>
      </c>
      <c r="F433" s="173">
        <v>46303</v>
      </c>
      <c r="G433" s="173"/>
      <c r="H433" s="173"/>
      <c r="I433" s="173"/>
      <c r="J433" s="173"/>
      <c r="K433" s="173"/>
      <c r="L433" s="173"/>
      <c r="M433" s="173">
        <v>46302</v>
      </c>
      <c r="N433" s="173">
        <v>46304</v>
      </c>
      <c r="O433" s="173"/>
      <c r="P433" s="173"/>
      <c r="Q433" s="173"/>
      <c r="R433" s="173"/>
      <c r="S433" s="173"/>
      <c r="T433" s="174">
        <v>46304</v>
      </c>
      <c r="U433" s="151"/>
      <c r="V433" s="152"/>
      <c r="W433" s="175"/>
      <c r="X433" s="173"/>
      <c r="Y433" s="173"/>
      <c r="Z433" s="176" t="str">
        <f>IF(B433="","",IF(S433&lt;&gt;"","Sevk Edildi",IF(AND(X433&lt;&gt;"",Y433=""),"Reworkte",IF(T433&lt;&gt;"","Kapandı"&amp;IF(COUNT(G433:R433)=0,""," – "&amp;LOOKUP(2,1/(G433:R433=MAX(G433:R433)),{"Tasarım","Ply Cutter","Üretim","Kalite (Üretim sonrası)","Talaşlı","Kalite (Talaşlı sonrası)","Montaj","Kalite (Montaj sonrası)","Boya","Kalite (Boya sonrası)","Yarı Mamül","KM"})),IF(COUNT(G433:R433)=0,"Başlamadı",LOOKUP(2,1/(G433:R433=MAX(G433:R433)),{"Tasarımda","Ply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433" s="177">
        <f t="shared" ca="1" si="104"/>
        <v>1</v>
      </c>
      <c r="AB433" s="175"/>
      <c r="AD433" t="str">
        <f>IF(OR($B433="",NOT(ISNUMBER(G433))),"",IF(COUNTIF(H433:$T433,G433)&gt;0,0,IF(COUNTIF($G433:$T433,"&gt;"&amp;G433)=0,"",SMALL($G433:$T433,COUNTIF($G433:$T433,"&lt;="&amp;G433)+1)-G433)))</f>
        <v/>
      </c>
      <c r="AE433" t="str">
        <f>IF(OR($B433="",NOT(ISNUMBER(H433))),"",IF(COUNTIF(I433:$T433,H433)&gt;0,0,IF(COUNTIF($G433:$T433,"&gt;"&amp;H433)=0,"",SMALL($G433:$T433,COUNTIF($G433:$T433,"&lt;="&amp;H433)+1)-H433)))</f>
        <v/>
      </c>
      <c r="AF433" t="str">
        <f>IF(OR($B433="",NOT(ISNUMBER(I433))),"",IF(COUNTIF(J433:$T433,I433)&gt;0,0,IF(COUNTIF($G433:$T433,"&gt;"&amp;I433)=0,"",SMALL($G433:$T433,COUNTIF($G433:$T433,"&lt;="&amp;I433)+1)-I433)))</f>
        <v/>
      </c>
      <c r="AG433" t="str">
        <f>IF(OR($B433="",NOT(ISNUMBER(J433))),"",IF(COUNTIF(K433:$T433,J433)&gt;0,0,IF(COUNTIF($G433:$T433,"&gt;"&amp;J433)=0,"",SMALL($G433:$T433,COUNTIF($G433:$T433,"&lt;="&amp;J433)+1)-J433)))</f>
        <v/>
      </c>
      <c r="AH433" t="str">
        <f>IF(OR($B433="",NOT(ISNUMBER(K433))),"",IF(COUNTIF(L433:$T433,K433)&gt;0,0,IF(COUNTIF($G433:$T433,"&gt;"&amp;K433)=0,"",SMALL($G433:$T433,COUNTIF($G433:$T433,"&lt;="&amp;K433)+1)-K433)))</f>
        <v/>
      </c>
      <c r="AI433" t="str">
        <f>IF(OR($B433="",NOT(ISNUMBER(L433))),"",IF(COUNTIF(M433:$T433,L433)&gt;0,0,IF(COUNTIF($G433:$T433,"&gt;"&amp;L433)=0,"",SMALL($G433:$T433,COUNTIF($G433:$T433,"&lt;="&amp;L433)+1)-L433)))</f>
        <v/>
      </c>
      <c r="AJ433">
        <f>IF(OR($B433="",NOT(ISNUMBER(M433))),"",IF(COUNTIF(N433:$T433,M433)&gt;0,0,IF(COUNTIF($G433:$T433,"&gt;"&amp;M433)=0,"",SMALL($G433:$T433,COUNTIF($G433:$T433,"&lt;="&amp;M433)+1)-M433)))</f>
        <v>2</v>
      </c>
      <c r="AK433">
        <f>IF(OR($B433="",NOT(ISNUMBER(N433))),"",IF(COUNTIF(O433:$T433,N433)&gt;0,0,IF(COUNTIF($G433:$T433,"&gt;"&amp;N433)=0,"",SMALL($G433:$T433,COUNTIF($G433:$T433,"&lt;="&amp;N433)+1)-N433)))</f>
        <v>0</v>
      </c>
      <c r="AL433" t="str">
        <f>IF(OR($B433="",NOT(ISNUMBER(O433))),"",IF(COUNTIF(P433:$T433,O433)&gt;0,0,IF(COUNTIF($G433:$T433,"&gt;"&amp;O433)=0,"",SMALL($G433:$T433,COUNTIF($G433:$T433,"&lt;="&amp;O433)+1)-O433)))</f>
        <v/>
      </c>
      <c r="AM433" t="str">
        <f>IF(OR($B433="",NOT(ISNUMBER(P433))),"",IF(COUNTIF(Q433:$T433,P433)&gt;0,0,IF(COUNTIF($G433:$T433,"&gt;"&amp;P433)=0,"",SMALL($G433:$T433,COUNTIF($G433:$T433,"&lt;="&amp;P433)+1)-P433)))</f>
        <v/>
      </c>
      <c r="AN433" t="str">
        <f>IF(OR($B433="",NOT(ISNUMBER(Q433))),"",IF(COUNTIF(R433:$T433,Q433)&gt;0,0,IF(COUNTIF($G433:$T433,"&gt;"&amp;Q433)=0,"",SMALL($G433:$T433,COUNTIF($G433:$T433,"&lt;="&amp;Q433)+1)-Q433)))</f>
        <v/>
      </c>
      <c r="AO433" t="str">
        <f>IF(OR($B433="",NOT(ISNUMBER(R433))),"",IF(COUNTIF(S433:$T433,R433)&gt;0,0,IF(COUNTIF($G433:$T433,"&gt;"&amp;R433)=0,"",SMALL($G433:$T433,COUNTIF($G433:$T433,"&lt;="&amp;R433)+1)-R433)))</f>
        <v/>
      </c>
      <c r="AP433">
        <f t="shared" ca="1" si="105"/>
        <v>0</v>
      </c>
      <c r="AQ433" s="25" t="str">
        <f t="shared" si="106"/>
        <v/>
      </c>
      <c r="AR433" s="25" t="str">
        <f t="shared" si="107"/>
        <v/>
      </c>
      <c r="AS433" s="25" t="str">
        <f t="shared" si="108"/>
        <v/>
      </c>
      <c r="AT433" s="25" t="str">
        <f t="shared" si="109"/>
        <v/>
      </c>
      <c r="AU433" s="25" t="str">
        <f t="shared" si="110"/>
        <v/>
      </c>
      <c r="AV433" s="25" t="str">
        <f t="shared" si="111"/>
        <v/>
      </c>
      <c r="AW433" s="25">
        <f t="shared" si="112"/>
        <v>46304</v>
      </c>
      <c r="AX433" s="25">
        <f t="shared" si="113"/>
        <v>46304</v>
      </c>
      <c r="AY433" s="25" t="str">
        <f t="shared" si="114"/>
        <v/>
      </c>
      <c r="AZ433" s="25" t="str">
        <f t="shared" si="115"/>
        <v/>
      </c>
      <c r="BA433" s="25" t="str">
        <f t="shared" si="116"/>
        <v/>
      </c>
      <c r="BB433" s="25" t="str">
        <f t="shared" si="117"/>
        <v/>
      </c>
      <c r="BC433" s="25">
        <f t="shared" si="118"/>
        <v>46304</v>
      </c>
    </row>
    <row r="434" spans="1:55" x14ac:dyDescent="0.25">
      <c r="A434" s="151">
        <f t="shared" si="103"/>
        <v>432</v>
      </c>
      <c r="B434" s="151" t="s">
        <v>657</v>
      </c>
      <c r="C434" s="152" t="s">
        <v>229</v>
      </c>
      <c r="D434" s="151">
        <f t="shared" si="102"/>
        <v>1</v>
      </c>
      <c r="E434" s="151" t="s">
        <v>100</v>
      </c>
      <c r="F434" s="173">
        <v>46303</v>
      </c>
      <c r="G434" s="173"/>
      <c r="H434" s="173"/>
      <c r="I434" s="173"/>
      <c r="J434" s="173"/>
      <c r="K434" s="173"/>
      <c r="L434" s="173"/>
      <c r="M434" s="173">
        <v>46302</v>
      </c>
      <c r="N434" s="173">
        <v>46304</v>
      </c>
      <c r="O434" s="173"/>
      <c r="P434" s="173"/>
      <c r="Q434" s="173"/>
      <c r="R434" s="173"/>
      <c r="S434" s="173"/>
      <c r="T434" s="174">
        <v>46304</v>
      </c>
      <c r="U434" s="151"/>
      <c r="V434" s="152"/>
      <c r="W434" s="175"/>
      <c r="X434" s="173"/>
      <c r="Y434" s="173"/>
      <c r="Z434" s="176" t="str">
        <f>IF(B434="","",IF(S434&lt;&gt;"","Sevk Edildi",IF(AND(X434&lt;&gt;"",Y434=""),"Reworkte",IF(T434&lt;&gt;"","Kapandı"&amp;IF(COUNT(G434:R434)=0,""," – "&amp;LOOKUP(2,1/(G434:R434=MAX(G434:R434)),{"Tasarım","Ply Cutter","Üretim","Kalite (Üretim sonrası)","Talaşlı","Kalite (Talaşlı sonrası)","Montaj","Kalite (Montaj sonrası)","Boya","Kalite (Boya sonrası)","Yarı Mamül","KM"})),IF(COUNT(G434:R434)=0,"Başlamadı",LOOKUP(2,1/(G434:R434=MAX(G434:R434)),{"Tasarımda","Ply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434" s="177">
        <f t="shared" ca="1" si="104"/>
        <v>1</v>
      </c>
      <c r="AB434" s="175"/>
      <c r="AD434" t="str">
        <f>IF(OR($B434="",NOT(ISNUMBER(G434))),"",IF(COUNTIF(H434:$T434,G434)&gt;0,0,IF(COUNTIF($G434:$T434,"&gt;"&amp;G434)=0,"",SMALL($G434:$T434,COUNTIF($G434:$T434,"&lt;="&amp;G434)+1)-G434)))</f>
        <v/>
      </c>
      <c r="AE434" t="str">
        <f>IF(OR($B434="",NOT(ISNUMBER(H434))),"",IF(COUNTIF(I434:$T434,H434)&gt;0,0,IF(COUNTIF($G434:$T434,"&gt;"&amp;H434)=0,"",SMALL($G434:$T434,COUNTIF($G434:$T434,"&lt;="&amp;H434)+1)-H434)))</f>
        <v/>
      </c>
      <c r="AF434" t="str">
        <f>IF(OR($B434="",NOT(ISNUMBER(I434))),"",IF(COUNTIF(J434:$T434,I434)&gt;0,0,IF(COUNTIF($G434:$T434,"&gt;"&amp;I434)=0,"",SMALL($G434:$T434,COUNTIF($G434:$T434,"&lt;="&amp;I434)+1)-I434)))</f>
        <v/>
      </c>
      <c r="AG434" t="str">
        <f>IF(OR($B434="",NOT(ISNUMBER(J434))),"",IF(COUNTIF(K434:$T434,J434)&gt;0,0,IF(COUNTIF($G434:$T434,"&gt;"&amp;J434)=0,"",SMALL($G434:$T434,COUNTIF($G434:$T434,"&lt;="&amp;J434)+1)-J434)))</f>
        <v/>
      </c>
      <c r="AH434" t="str">
        <f>IF(OR($B434="",NOT(ISNUMBER(K434))),"",IF(COUNTIF(L434:$T434,K434)&gt;0,0,IF(COUNTIF($G434:$T434,"&gt;"&amp;K434)=0,"",SMALL($G434:$T434,COUNTIF($G434:$T434,"&lt;="&amp;K434)+1)-K434)))</f>
        <v/>
      </c>
      <c r="AI434" t="str">
        <f>IF(OR($B434="",NOT(ISNUMBER(L434))),"",IF(COUNTIF(M434:$T434,L434)&gt;0,0,IF(COUNTIF($G434:$T434,"&gt;"&amp;L434)=0,"",SMALL($G434:$T434,COUNTIF($G434:$T434,"&lt;="&amp;L434)+1)-L434)))</f>
        <v/>
      </c>
      <c r="AJ434">
        <f>IF(OR($B434="",NOT(ISNUMBER(M434))),"",IF(COUNTIF(N434:$T434,M434)&gt;0,0,IF(COUNTIF($G434:$T434,"&gt;"&amp;M434)=0,"",SMALL($G434:$T434,COUNTIF($G434:$T434,"&lt;="&amp;M434)+1)-M434)))</f>
        <v>2</v>
      </c>
      <c r="AK434">
        <f>IF(OR($B434="",NOT(ISNUMBER(N434))),"",IF(COUNTIF(O434:$T434,N434)&gt;0,0,IF(COUNTIF($G434:$T434,"&gt;"&amp;N434)=0,"",SMALL($G434:$T434,COUNTIF($G434:$T434,"&lt;="&amp;N434)+1)-N434)))</f>
        <v>0</v>
      </c>
      <c r="AL434" t="str">
        <f>IF(OR($B434="",NOT(ISNUMBER(O434))),"",IF(COUNTIF(P434:$T434,O434)&gt;0,0,IF(COUNTIF($G434:$T434,"&gt;"&amp;O434)=0,"",SMALL($G434:$T434,COUNTIF($G434:$T434,"&lt;="&amp;O434)+1)-O434)))</f>
        <v/>
      </c>
      <c r="AM434" t="str">
        <f>IF(OR($B434="",NOT(ISNUMBER(P434))),"",IF(COUNTIF(Q434:$T434,P434)&gt;0,0,IF(COUNTIF($G434:$T434,"&gt;"&amp;P434)=0,"",SMALL($G434:$T434,COUNTIF($G434:$T434,"&lt;="&amp;P434)+1)-P434)))</f>
        <v/>
      </c>
      <c r="AN434" t="str">
        <f>IF(OR($B434="",NOT(ISNUMBER(Q434))),"",IF(COUNTIF(R434:$T434,Q434)&gt;0,0,IF(COUNTIF($G434:$T434,"&gt;"&amp;Q434)=0,"",SMALL($G434:$T434,COUNTIF($G434:$T434,"&lt;="&amp;Q434)+1)-Q434)))</f>
        <v/>
      </c>
      <c r="AO434" t="str">
        <f>IF(OR($B434="",NOT(ISNUMBER(R434))),"",IF(COUNTIF(S434:$T434,R434)&gt;0,0,IF(COUNTIF($G434:$T434,"&gt;"&amp;R434)=0,"",SMALL($G434:$T434,COUNTIF($G434:$T434,"&lt;="&amp;R434)+1)-R434)))</f>
        <v/>
      </c>
      <c r="AP434">
        <f t="shared" ca="1" si="105"/>
        <v>0</v>
      </c>
      <c r="AQ434" s="25" t="str">
        <f t="shared" si="106"/>
        <v/>
      </c>
      <c r="AR434" s="25" t="str">
        <f t="shared" si="107"/>
        <v/>
      </c>
      <c r="AS434" s="25" t="str">
        <f t="shared" si="108"/>
        <v/>
      </c>
      <c r="AT434" s="25" t="str">
        <f t="shared" si="109"/>
        <v/>
      </c>
      <c r="AU434" s="25" t="str">
        <f t="shared" si="110"/>
        <v/>
      </c>
      <c r="AV434" s="25" t="str">
        <f t="shared" si="111"/>
        <v/>
      </c>
      <c r="AW434" s="25">
        <f t="shared" si="112"/>
        <v>46304</v>
      </c>
      <c r="AX434" s="25">
        <f t="shared" si="113"/>
        <v>46304</v>
      </c>
      <c r="AY434" s="25" t="str">
        <f t="shared" si="114"/>
        <v/>
      </c>
      <c r="AZ434" s="25" t="str">
        <f t="shared" si="115"/>
        <v/>
      </c>
      <c r="BA434" s="25" t="str">
        <f t="shared" si="116"/>
        <v/>
      </c>
      <c r="BB434" s="25" t="str">
        <f t="shared" si="117"/>
        <v/>
      </c>
      <c r="BC434" s="25">
        <f t="shared" si="118"/>
        <v>46304</v>
      </c>
    </row>
    <row r="435" spans="1:55" x14ac:dyDescent="0.25">
      <c r="A435" s="151">
        <f t="shared" si="103"/>
        <v>433</v>
      </c>
      <c r="B435" s="151" t="s">
        <v>658</v>
      </c>
      <c r="C435" s="152" t="s">
        <v>227</v>
      </c>
      <c r="D435" s="151">
        <f t="shared" si="102"/>
        <v>1</v>
      </c>
      <c r="E435" s="151" t="s">
        <v>100</v>
      </c>
      <c r="F435" s="173">
        <v>46303</v>
      </c>
      <c r="G435" s="173"/>
      <c r="H435" s="173"/>
      <c r="I435" s="173"/>
      <c r="J435" s="173"/>
      <c r="K435" s="173"/>
      <c r="L435" s="173"/>
      <c r="M435" s="173">
        <v>46302</v>
      </c>
      <c r="N435" s="173">
        <v>46304</v>
      </c>
      <c r="O435" s="173"/>
      <c r="P435" s="173"/>
      <c r="Q435" s="173"/>
      <c r="R435" s="173"/>
      <c r="S435" s="173"/>
      <c r="T435" s="174">
        <v>46304</v>
      </c>
      <c r="U435" s="151"/>
      <c r="V435" s="152"/>
      <c r="W435" s="175"/>
      <c r="X435" s="173"/>
      <c r="Y435" s="173"/>
      <c r="Z435" s="176" t="str">
        <f>IF(B435="","",IF(S435&lt;&gt;"","Sevk Edildi",IF(AND(X435&lt;&gt;"",Y435=""),"Reworkte",IF(T435&lt;&gt;"","Kapandı"&amp;IF(COUNT(G435:R435)=0,""," – "&amp;LOOKUP(2,1/(G435:R435=MAX(G435:R435)),{"Tasarım","Ply Cutter","Üretim","Kalite (Üretim sonrası)","Talaşlı","Kalite (Talaşlı sonrası)","Montaj","Kalite (Montaj sonrası)","Boya","Kalite (Boya sonrası)","Yarı Mamül","KM"})),IF(COUNT(G435:R435)=0,"Başlamadı",LOOKUP(2,1/(G435:R435=MAX(G435:R435)),{"Tasarımda","Ply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435" s="177">
        <f t="shared" ca="1" si="104"/>
        <v>1</v>
      </c>
      <c r="AB435" s="175"/>
      <c r="AD435" t="str">
        <f>IF(OR($B435="",NOT(ISNUMBER(G435))),"",IF(COUNTIF(H435:$T435,G435)&gt;0,0,IF(COUNTIF($G435:$T435,"&gt;"&amp;G435)=0,"",SMALL($G435:$T435,COUNTIF($G435:$T435,"&lt;="&amp;G435)+1)-G435)))</f>
        <v/>
      </c>
      <c r="AE435" t="str">
        <f>IF(OR($B435="",NOT(ISNUMBER(H435))),"",IF(COUNTIF(I435:$T435,H435)&gt;0,0,IF(COUNTIF($G435:$T435,"&gt;"&amp;H435)=0,"",SMALL($G435:$T435,COUNTIF($G435:$T435,"&lt;="&amp;H435)+1)-H435)))</f>
        <v/>
      </c>
      <c r="AF435" t="str">
        <f>IF(OR($B435="",NOT(ISNUMBER(I435))),"",IF(COUNTIF(J435:$T435,I435)&gt;0,0,IF(COUNTIF($G435:$T435,"&gt;"&amp;I435)=0,"",SMALL($G435:$T435,COUNTIF($G435:$T435,"&lt;="&amp;I435)+1)-I435)))</f>
        <v/>
      </c>
      <c r="AG435" t="str">
        <f>IF(OR($B435="",NOT(ISNUMBER(J435))),"",IF(COUNTIF(K435:$T435,J435)&gt;0,0,IF(COUNTIF($G435:$T435,"&gt;"&amp;J435)=0,"",SMALL($G435:$T435,COUNTIF($G435:$T435,"&lt;="&amp;J435)+1)-J435)))</f>
        <v/>
      </c>
      <c r="AH435" t="str">
        <f>IF(OR($B435="",NOT(ISNUMBER(K435))),"",IF(COUNTIF(L435:$T435,K435)&gt;0,0,IF(COUNTIF($G435:$T435,"&gt;"&amp;K435)=0,"",SMALL($G435:$T435,COUNTIF($G435:$T435,"&lt;="&amp;K435)+1)-K435)))</f>
        <v/>
      </c>
      <c r="AI435" t="str">
        <f>IF(OR($B435="",NOT(ISNUMBER(L435))),"",IF(COUNTIF(M435:$T435,L435)&gt;0,0,IF(COUNTIF($G435:$T435,"&gt;"&amp;L435)=0,"",SMALL($G435:$T435,COUNTIF($G435:$T435,"&lt;="&amp;L435)+1)-L435)))</f>
        <v/>
      </c>
      <c r="AJ435">
        <f>IF(OR($B435="",NOT(ISNUMBER(M435))),"",IF(COUNTIF(N435:$T435,M435)&gt;0,0,IF(COUNTIF($G435:$T435,"&gt;"&amp;M435)=0,"",SMALL($G435:$T435,COUNTIF($G435:$T435,"&lt;="&amp;M435)+1)-M435)))</f>
        <v>2</v>
      </c>
      <c r="AK435">
        <f>IF(OR($B435="",NOT(ISNUMBER(N435))),"",IF(COUNTIF(O435:$T435,N435)&gt;0,0,IF(COUNTIF($G435:$T435,"&gt;"&amp;N435)=0,"",SMALL($G435:$T435,COUNTIF($G435:$T435,"&lt;="&amp;N435)+1)-N435)))</f>
        <v>0</v>
      </c>
      <c r="AL435" t="str">
        <f>IF(OR($B435="",NOT(ISNUMBER(O435))),"",IF(COUNTIF(P435:$T435,O435)&gt;0,0,IF(COUNTIF($G435:$T435,"&gt;"&amp;O435)=0,"",SMALL($G435:$T435,COUNTIF($G435:$T435,"&lt;="&amp;O435)+1)-O435)))</f>
        <v/>
      </c>
      <c r="AM435" t="str">
        <f>IF(OR($B435="",NOT(ISNUMBER(P435))),"",IF(COUNTIF(Q435:$T435,P435)&gt;0,0,IF(COUNTIF($G435:$T435,"&gt;"&amp;P435)=0,"",SMALL($G435:$T435,COUNTIF($G435:$T435,"&lt;="&amp;P435)+1)-P435)))</f>
        <v/>
      </c>
      <c r="AN435" t="str">
        <f>IF(OR($B435="",NOT(ISNUMBER(Q435))),"",IF(COUNTIF(R435:$T435,Q435)&gt;0,0,IF(COUNTIF($G435:$T435,"&gt;"&amp;Q435)=0,"",SMALL($G435:$T435,COUNTIF($G435:$T435,"&lt;="&amp;Q435)+1)-Q435)))</f>
        <v/>
      </c>
      <c r="AO435" t="str">
        <f>IF(OR($B435="",NOT(ISNUMBER(R435))),"",IF(COUNTIF(S435:$T435,R435)&gt;0,0,IF(COUNTIF($G435:$T435,"&gt;"&amp;R435)=0,"",SMALL($G435:$T435,COUNTIF($G435:$T435,"&lt;="&amp;R435)+1)-R435)))</f>
        <v/>
      </c>
      <c r="AP435">
        <f t="shared" ca="1" si="105"/>
        <v>0</v>
      </c>
      <c r="AQ435" s="25" t="str">
        <f t="shared" si="106"/>
        <v/>
      </c>
      <c r="AR435" s="25" t="str">
        <f t="shared" si="107"/>
        <v/>
      </c>
      <c r="AS435" s="25" t="str">
        <f t="shared" si="108"/>
        <v/>
      </c>
      <c r="AT435" s="25" t="str">
        <f t="shared" si="109"/>
        <v/>
      </c>
      <c r="AU435" s="25" t="str">
        <f t="shared" si="110"/>
        <v/>
      </c>
      <c r="AV435" s="25" t="str">
        <f t="shared" si="111"/>
        <v/>
      </c>
      <c r="AW435" s="25">
        <f t="shared" si="112"/>
        <v>46304</v>
      </c>
      <c r="AX435" s="25">
        <f t="shared" si="113"/>
        <v>46304</v>
      </c>
      <c r="AY435" s="25" t="str">
        <f t="shared" si="114"/>
        <v/>
      </c>
      <c r="AZ435" s="25" t="str">
        <f t="shared" si="115"/>
        <v/>
      </c>
      <c r="BA435" s="25" t="str">
        <f t="shared" si="116"/>
        <v/>
      </c>
      <c r="BB435" s="25" t="str">
        <f t="shared" si="117"/>
        <v/>
      </c>
      <c r="BC435" s="25">
        <f t="shared" si="118"/>
        <v>46304</v>
      </c>
    </row>
    <row r="436" spans="1:55" x14ac:dyDescent="0.25">
      <c r="A436" s="151">
        <f t="shared" si="103"/>
        <v>434</v>
      </c>
      <c r="B436" s="151" t="s">
        <v>659</v>
      </c>
      <c r="C436" s="152" t="s">
        <v>229</v>
      </c>
      <c r="D436" s="151">
        <f t="shared" si="102"/>
        <v>1</v>
      </c>
      <c r="E436" s="151" t="s">
        <v>100</v>
      </c>
      <c r="F436" s="173">
        <v>46303</v>
      </c>
      <c r="G436" s="173"/>
      <c r="H436" s="173"/>
      <c r="I436" s="173"/>
      <c r="J436" s="173"/>
      <c r="K436" s="173"/>
      <c r="L436" s="173"/>
      <c r="M436" s="173">
        <v>46302</v>
      </c>
      <c r="N436" s="173">
        <v>46304</v>
      </c>
      <c r="O436" s="173"/>
      <c r="P436" s="173"/>
      <c r="Q436" s="173"/>
      <c r="R436" s="173"/>
      <c r="S436" s="173"/>
      <c r="T436" s="174">
        <v>46304</v>
      </c>
      <c r="U436" s="151"/>
      <c r="V436" s="152"/>
      <c r="W436" s="175"/>
      <c r="X436" s="173"/>
      <c r="Y436" s="173"/>
      <c r="Z436" s="176" t="str">
        <f>IF(B436="","",IF(S436&lt;&gt;"","Sevk Edildi",IF(AND(X436&lt;&gt;"",Y436=""),"Reworkte",IF(T436&lt;&gt;"","Kapandı"&amp;IF(COUNT(G436:R436)=0,""," – "&amp;LOOKUP(2,1/(G436:R436=MAX(G436:R436)),{"Tasarım","Ply Cutter","Üretim","Kalite (Üretim sonrası)","Talaşlı","Kalite (Talaşlı sonrası)","Montaj","Kalite (Montaj sonrası)","Boya","Kalite (Boya sonrası)","Yarı Mamül","KM"})),IF(COUNT(G436:R436)=0,"Başlamadı",LOOKUP(2,1/(G436:R436=MAX(G436:R436)),{"Tasarımda","Ply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436" s="177">
        <f t="shared" ca="1" si="104"/>
        <v>1</v>
      </c>
      <c r="AB436" s="175"/>
      <c r="AD436" t="str">
        <f>IF(OR($B436="",NOT(ISNUMBER(G436))),"",IF(COUNTIF(H436:$T436,G436)&gt;0,0,IF(COUNTIF($G436:$T436,"&gt;"&amp;G436)=0,"",SMALL($G436:$T436,COUNTIF($G436:$T436,"&lt;="&amp;G436)+1)-G436)))</f>
        <v/>
      </c>
      <c r="AE436" t="str">
        <f>IF(OR($B436="",NOT(ISNUMBER(H436))),"",IF(COUNTIF(I436:$T436,H436)&gt;0,0,IF(COUNTIF($G436:$T436,"&gt;"&amp;H436)=0,"",SMALL($G436:$T436,COUNTIF($G436:$T436,"&lt;="&amp;H436)+1)-H436)))</f>
        <v/>
      </c>
      <c r="AF436" t="str">
        <f>IF(OR($B436="",NOT(ISNUMBER(I436))),"",IF(COUNTIF(J436:$T436,I436)&gt;0,0,IF(COUNTIF($G436:$T436,"&gt;"&amp;I436)=0,"",SMALL($G436:$T436,COUNTIF($G436:$T436,"&lt;="&amp;I436)+1)-I436)))</f>
        <v/>
      </c>
      <c r="AG436" t="str">
        <f>IF(OR($B436="",NOT(ISNUMBER(J436))),"",IF(COUNTIF(K436:$T436,J436)&gt;0,0,IF(COUNTIF($G436:$T436,"&gt;"&amp;J436)=0,"",SMALL($G436:$T436,COUNTIF($G436:$T436,"&lt;="&amp;J436)+1)-J436)))</f>
        <v/>
      </c>
      <c r="AH436" t="str">
        <f>IF(OR($B436="",NOT(ISNUMBER(K436))),"",IF(COUNTIF(L436:$T436,K436)&gt;0,0,IF(COUNTIF($G436:$T436,"&gt;"&amp;K436)=0,"",SMALL($G436:$T436,COUNTIF($G436:$T436,"&lt;="&amp;K436)+1)-K436)))</f>
        <v/>
      </c>
      <c r="AI436" t="str">
        <f>IF(OR($B436="",NOT(ISNUMBER(L436))),"",IF(COUNTIF(M436:$T436,L436)&gt;0,0,IF(COUNTIF($G436:$T436,"&gt;"&amp;L436)=0,"",SMALL($G436:$T436,COUNTIF($G436:$T436,"&lt;="&amp;L436)+1)-L436)))</f>
        <v/>
      </c>
      <c r="AJ436">
        <f>IF(OR($B436="",NOT(ISNUMBER(M436))),"",IF(COUNTIF(N436:$T436,M436)&gt;0,0,IF(COUNTIF($G436:$T436,"&gt;"&amp;M436)=0,"",SMALL($G436:$T436,COUNTIF($G436:$T436,"&lt;="&amp;M436)+1)-M436)))</f>
        <v>2</v>
      </c>
      <c r="AK436">
        <f>IF(OR($B436="",NOT(ISNUMBER(N436))),"",IF(COUNTIF(O436:$T436,N436)&gt;0,0,IF(COUNTIF($G436:$T436,"&gt;"&amp;N436)=0,"",SMALL($G436:$T436,COUNTIF($G436:$T436,"&lt;="&amp;N436)+1)-N436)))</f>
        <v>0</v>
      </c>
      <c r="AL436" t="str">
        <f>IF(OR($B436="",NOT(ISNUMBER(O436))),"",IF(COUNTIF(P436:$T436,O436)&gt;0,0,IF(COUNTIF($G436:$T436,"&gt;"&amp;O436)=0,"",SMALL($G436:$T436,COUNTIF($G436:$T436,"&lt;="&amp;O436)+1)-O436)))</f>
        <v/>
      </c>
      <c r="AM436" t="str">
        <f>IF(OR($B436="",NOT(ISNUMBER(P436))),"",IF(COUNTIF(Q436:$T436,P436)&gt;0,0,IF(COUNTIF($G436:$T436,"&gt;"&amp;P436)=0,"",SMALL($G436:$T436,COUNTIF($G436:$T436,"&lt;="&amp;P436)+1)-P436)))</f>
        <v/>
      </c>
      <c r="AN436" t="str">
        <f>IF(OR($B436="",NOT(ISNUMBER(Q436))),"",IF(COUNTIF(R436:$T436,Q436)&gt;0,0,IF(COUNTIF($G436:$T436,"&gt;"&amp;Q436)=0,"",SMALL($G436:$T436,COUNTIF($G436:$T436,"&lt;="&amp;Q436)+1)-Q436)))</f>
        <v/>
      </c>
      <c r="AO436" t="str">
        <f>IF(OR($B436="",NOT(ISNUMBER(R436))),"",IF(COUNTIF(S436:$T436,R436)&gt;0,0,IF(COUNTIF($G436:$T436,"&gt;"&amp;R436)=0,"",SMALL($G436:$T436,COUNTIF($G436:$T436,"&lt;="&amp;R436)+1)-R436)))</f>
        <v/>
      </c>
      <c r="AP436">
        <f t="shared" ca="1" si="105"/>
        <v>0</v>
      </c>
      <c r="AQ436" s="25" t="str">
        <f t="shared" si="106"/>
        <v/>
      </c>
      <c r="AR436" s="25" t="str">
        <f t="shared" si="107"/>
        <v/>
      </c>
      <c r="AS436" s="25" t="str">
        <f t="shared" si="108"/>
        <v/>
      </c>
      <c r="AT436" s="25" t="str">
        <f t="shared" si="109"/>
        <v/>
      </c>
      <c r="AU436" s="25" t="str">
        <f t="shared" si="110"/>
        <v/>
      </c>
      <c r="AV436" s="25" t="str">
        <f t="shared" si="111"/>
        <v/>
      </c>
      <c r="AW436" s="25">
        <f t="shared" si="112"/>
        <v>46304</v>
      </c>
      <c r="AX436" s="25">
        <f t="shared" si="113"/>
        <v>46304</v>
      </c>
      <c r="AY436" s="25" t="str">
        <f t="shared" si="114"/>
        <v/>
      </c>
      <c r="AZ436" s="25" t="str">
        <f t="shared" si="115"/>
        <v/>
      </c>
      <c r="BA436" s="25" t="str">
        <f t="shared" si="116"/>
        <v/>
      </c>
      <c r="BB436" s="25" t="str">
        <f t="shared" si="117"/>
        <v/>
      </c>
      <c r="BC436" s="25">
        <f t="shared" si="118"/>
        <v>46304</v>
      </c>
    </row>
    <row r="437" spans="1:55" x14ac:dyDescent="0.25">
      <c r="A437" s="151">
        <f t="shared" si="103"/>
        <v>435</v>
      </c>
      <c r="B437" s="151" t="s">
        <v>660</v>
      </c>
      <c r="C437" s="152" t="s">
        <v>227</v>
      </c>
      <c r="D437" s="151">
        <f t="shared" si="102"/>
        <v>1</v>
      </c>
      <c r="E437" s="151" t="s">
        <v>100</v>
      </c>
      <c r="F437" s="173">
        <v>46303</v>
      </c>
      <c r="G437" s="173"/>
      <c r="H437" s="173"/>
      <c r="I437" s="173"/>
      <c r="J437" s="173"/>
      <c r="K437" s="173"/>
      <c r="L437" s="173"/>
      <c r="M437" s="173">
        <v>46302</v>
      </c>
      <c r="N437" s="173">
        <v>46304</v>
      </c>
      <c r="O437" s="173"/>
      <c r="P437" s="173"/>
      <c r="Q437" s="173"/>
      <c r="R437" s="173"/>
      <c r="S437" s="173"/>
      <c r="T437" s="174">
        <v>46304</v>
      </c>
      <c r="U437" s="151"/>
      <c r="V437" s="152"/>
      <c r="W437" s="175"/>
      <c r="X437" s="173"/>
      <c r="Y437" s="173"/>
      <c r="Z437" s="176" t="str">
        <f>IF(B437="","",IF(S437&lt;&gt;"","Sevk Edildi",IF(AND(X437&lt;&gt;"",Y437=""),"Reworkte",IF(T437&lt;&gt;"","Kapandı"&amp;IF(COUNT(G437:R437)=0,""," – "&amp;LOOKUP(2,1/(G437:R437=MAX(G437:R437)),{"Tasarım","Ply Cutter","Üretim","Kalite (Üretim sonrası)","Talaşlı","Kalite (Talaşlı sonrası)","Montaj","Kalite (Montaj sonrası)","Boya","Kalite (Boya sonrası)","Yarı Mamül","KM"})),IF(COUNT(G437:R437)=0,"Başlamadı",LOOKUP(2,1/(G437:R437=MAX(G437:R437)),{"Tasarımda","Ply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437" s="177">
        <f t="shared" ca="1" si="104"/>
        <v>1</v>
      </c>
      <c r="AB437" s="175"/>
      <c r="AD437" t="str">
        <f>IF(OR($B437="",NOT(ISNUMBER(G437))),"",IF(COUNTIF(H437:$T437,G437)&gt;0,0,IF(COUNTIF($G437:$T437,"&gt;"&amp;G437)=0,"",SMALL($G437:$T437,COUNTIF($G437:$T437,"&lt;="&amp;G437)+1)-G437)))</f>
        <v/>
      </c>
      <c r="AE437" t="str">
        <f>IF(OR($B437="",NOT(ISNUMBER(H437))),"",IF(COUNTIF(I437:$T437,H437)&gt;0,0,IF(COUNTIF($G437:$T437,"&gt;"&amp;H437)=0,"",SMALL($G437:$T437,COUNTIF($G437:$T437,"&lt;="&amp;H437)+1)-H437)))</f>
        <v/>
      </c>
      <c r="AF437" t="str">
        <f>IF(OR($B437="",NOT(ISNUMBER(I437))),"",IF(COUNTIF(J437:$T437,I437)&gt;0,0,IF(COUNTIF($G437:$T437,"&gt;"&amp;I437)=0,"",SMALL($G437:$T437,COUNTIF($G437:$T437,"&lt;="&amp;I437)+1)-I437)))</f>
        <v/>
      </c>
      <c r="AG437" t="str">
        <f>IF(OR($B437="",NOT(ISNUMBER(J437))),"",IF(COUNTIF(K437:$T437,J437)&gt;0,0,IF(COUNTIF($G437:$T437,"&gt;"&amp;J437)=0,"",SMALL($G437:$T437,COUNTIF($G437:$T437,"&lt;="&amp;J437)+1)-J437)))</f>
        <v/>
      </c>
      <c r="AH437" t="str">
        <f>IF(OR($B437="",NOT(ISNUMBER(K437))),"",IF(COUNTIF(L437:$T437,K437)&gt;0,0,IF(COUNTIF($G437:$T437,"&gt;"&amp;K437)=0,"",SMALL($G437:$T437,COUNTIF($G437:$T437,"&lt;="&amp;K437)+1)-K437)))</f>
        <v/>
      </c>
      <c r="AI437" t="str">
        <f>IF(OR($B437="",NOT(ISNUMBER(L437))),"",IF(COUNTIF(M437:$T437,L437)&gt;0,0,IF(COUNTIF($G437:$T437,"&gt;"&amp;L437)=0,"",SMALL($G437:$T437,COUNTIF($G437:$T437,"&lt;="&amp;L437)+1)-L437)))</f>
        <v/>
      </c>
      <c r="AJ437">
        <f>IF(OR($B437="",NOT(ISNUMBER(M437))),"",IF(COUNTIF(N437:$T437,M437)&gt;0,0,IF(COUNTIF($G437:$T437,"&gt;"&amp;M437)=0,"",SMALL($G437:$T437,COUNTIF($G437:$T437,"&lt;="&amp;M437)+1)-M437)))</f>
        <v>2</v>
      </c>
      <c r="AK437">
        <f>IF(OR($B437="",NOT(ISNUMBER(N437))),"",IF(COUNTIF(O437:$T437,N437)&gt;0,0,IF(COUNTIF($G437:$T437,"&gt;"&amp;N437)=0,"",SMALL($G437:$T437,COUNTIF($G437:$T437,"&lt;="&amp;N437)+1)-N437)))</f>
        <v>0</v>
      </c>
      <c r="AL437" t="str">
        <f>IF(OR($B437="",NOT(ISNUMBER(O437))),"",IF(COUNTIF(P437:$T437,O437)&gt;0,0,IF(COUNTIF($G437:$T437,"&gt;"&amp;O437)=0,"",SMALL($G437:$T437,COUNTIF($G437:$T437,"&lt;="&amp;O437)+1)-O437)))</f>
        <v/>
      </c>
      <c r="AM437" t="str">
        <f>IF(OR($B437="",NOT(ISNUMBER(P437))),"",IF(COUNTIF(Q437:$T437,P437)&gt;0,0,IF(COUNTIF($G437:$T437,"&gt;"&amp;P437)=0,"",SMALL($G437:$T437,COUNTIF($G437:$T437,"&lt;="&amp;P437)+1)-P437)))</f>
        <v/>
      </c>
      <c r="AN437" t="str">
        <f>IF(OR($B437="",NOT(ISNUMBER(Q437))),"",IF(COUNTIF(R437:$T437,Q437)&gt;0,0,IF(COUNTIF($G437:$T437,"&gt;"&amp;Q437)=0,"",SMALL($G437:$T437,COUNTIF($G437:$T437,"&lt;="&amp;Q437)+1)-Q437)))</f>
        <v/>
      </c>
      <c r="AO437" t="str">
        <f>IF(OR($B437="",NOT(ISNUMBER(R437))),"",IF(COUNTIF(S437:$T437,R437)&gt;0,0,IF(COUNTIF($G437:$T437,"&gt;"&amp;R437)=0,"",SMALL($G437:$T437,COUNTIF($G437:$T437,"&lt;="&amp;R437)+1)-R437)))</f>
        <v/>
      </c>
      <c r="AP437">
        <f t="shared" ca="1" si="105"/>
        <v>0</v>
      </c>
      <c r="AQ437" s="25" t="str">
        <f t="shared" si="106"/>
        <v/>
      </c>
      <c r="AR437" s="25" t="str">
        <f t="shared" si="107"/>
        <v/>
      </c>
      <c r="AS437" s="25" t="str">
        <f t="shared" si="108"/>
        <v/>
      </c>
      <c r="AT437" s="25" t="str">
        <f t="shared" si="109"/>
        <v/>
      </c>
      <c r="AU437" s="25" t="str">
        <f t="shared" si="110"/>
        <v/>
      </c>
      <c r="AV437" s="25" t="str">
        <f t="shared" si="111"/>
        <v/>
      </c>
      <c r="AW437" s="25">
        <f t="shared" si="112"/>
        <v>46304</v>
      </c>
      <c r="AX437" s="25">
        <f t="shared" si="113"/>
        <v>46304</v>
      </c>
      <c r="AY437" s="25" t="str">
        <f t="shared" si="114"/>
        <v/>
      </c>
      <c r="AZ437" s="25" t="str">
        <f t="shared" si="115"/>
        <v/>
      </c>
      <c r="BA437" s="25" t="str">
        <f t="shared" si="116"/>
        <v/>
      </c>
      <c r="BB437" s="25" t="str">
        <f t="shared" si="117"/>
        <v/>
      </c>
      <c r="BC437" s="25">
        <f t="shared" si="118"/>
        <v>46304</v>
      </c>
    </row>
    <row r="438" spans="1:55" x14ac:dyDescent="0.25">
      <c r="A438" s="151">
        <f t="shared" si="103"/>
        <v>436</v>
      </c>
      <c r="B438" s="151" t="s">
        <v>661</v>
      </c>
      <c r="C438" s="152" t="s">
        <v>229</v>
      </c>
      <c r="D438" s="151">
        <f t="shared" si="102"/>
        <v>1</v>
      </c>
      <c r="E438" s="151" t="s">
        <v>100</v>
      </c>
      <c r="F438" s="173">
        <v>46303</v>
      </c>
      <c r="G438" s="173"/>
      <c r="H438" s="173"/>
      <c r="I438" s="173"/>
      <c r="J438" s="173"/>
      <c r="K438" s="173"/>
      <c r="L438" s="173"/>
      <c r="M438" s="173">
        <v>46302</v>
      </c>
      <c r="N438" s="173">
        <v>46304</v>
      </c>
      <c r="O438" s="173"/>
      <c r="P438" s="173"/>
      <c r="Q438" s="173"/>
      <c r="R438" s="173"/>
      <c r="S438" s="173"/>
      <c r="T438" s="174">
        <v>46304</v>
      </c>
      <c r="U438" s="151"/>
      <c r="V438" s="152"/>
      <c r="W438" s="175"/>
      <c r="X438" s="173"/>
      <c r="Y438" s="173"/>
      <c r="Z438" s="176" t="str">
        <f>IF(B438="","",IF(S438&lt;&gt;"","Sevk Edildi",IF(AND(X438&lt;&gt;"",Y438=""),"Reworkte",IF(T438&lt;&gt;"","Kapandı"&amp;IF(COUNT(G438:R438)=0,""," – "&amp;LOOKUP(2,1/(G438:R438=MAX(G438:R438)),{"Tasarım","Ply Cutter","Üretim","Kalite (Üretim sonrası)","Talaşlı","Kalite (Talaşlı sonrası)","Montaj","Kalite (Montaj sonrası)","Boya","Kalite (Boya sonrası)","Yarı Mamül","KM"})),IF(COUNT(G438:R438)=0,"Başlamadı",LOOKUP(2,1/(G438:R438=MAX(G438:R438)),{"Tasarımda","Ply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438" s="177">
        <f t="shared" ca="1" si="104"/>
        <v>1</v>
      </c>
      <c r="AB438" s="175"/>
      <c r="AD438" t="str">
        <f>IF(OR($B438="",NOT(ISNUMBER(G438))),"",IF(COUNTIF(H438:$T438,G438)&gt;0,0,IF(COUNTIF($G438:$T438,"&gt;"&amp;G438)=0,"",SMALL($G438:$T438,COUNTIF($G438:$T438,"&lt;="&amp;G438)+1)-G438)))</f>
        <v/>
      </c>
      <c r="AE438" t="str">
        <f>IF(OR($B438="",NOT(ISNUMBER(H438))),"",IF(COUNTIF(I438:$T438,H438)&gt;0,0,IF(COUNTIF($G438:$T438,"&gt;"&amp;H438)=0,"",SMALL($G438:$T438,COUNTIF($G438:$T438,"&lt;="&amp;H438)+1)-H438)))</f>
        <v/>
      </c>
      <c r="AF438" t="str">
        <f>IF(OR($B438="",NOT(ISNUMBER(I438))),"",IF(COUNTIF(J438:$T438,I438)&gt;0,0,IF(COUNTIF($G438:$T438,"&gt;"&amp;I438)=0,"",SMALL($G438:$T438,COUNTIF($G438:$T438,"&lt;="&amp;I438)+1)-I438)))</f>
        <v/>
      </c>
      <c r="AG438" t="str">
        <f>IF(OR($B438="",NOT(ISNUMBER(J438))),"",IF(COUNTIF(K438:$T438,J438)&gt;0,0,IF(COUNTIF($G438:$T438,"&gt;"&amp;J438)=0,"",SMALL($G438:$T438,COUNTIF($G438:$T438,"&lt;="&amp;J438)+1)-J438)))</f>
        <v/>
      </c>
      <c r="AH438" t="str">
        <f>IF(OR($B438="",NOT(ISNUMBER(K438))),"",IF(COUNTIF(L438:$T438,K438)&gt;0,0,IF(COUNTIF($G438:$T438,"&gt;"&amp;K438)=0,"",SMALL($G438:$T438,COUNTIF($G438:$T438,"&lt;="&amp;K438)+1)-K438)))</f>
        <v/>
      </c>
      <c r="AI438" t="str">
        <f>IF(OR($B438="",NOT(ISNUMBER(L438))),"",IF(COUNTIF(M438:$T438,L438)&gt;0,0,IF(COUNTIF($G438:$T438,"&gt;"&amp;L438)=0,"",SMALL($G438:$T438,COUNTIF($G438:$T438,"&lt;="&amp;L438)+1)-L438)))</f>
        <v/>
      </c>
      <c r="AJ438">
        <f>IF(OR($B438="",NOT(ISNUMBER(M438))),"",IF(COUNTIF(N438:$T438,M438)&gt;0,0,IF(COUNTIF($G438:$T438,"&gt;"&amp;M438)=0,"",SMALL($G438:$T438,COUNTIF($G438:$T438,"&lt;="&amp;M438)+1)-M438)))</f>
        <v>2</v>
      </c>
      <c r="AK438">
        <f>IF(OR($B438="",NOT(ISNUMBER(N438))),"",IF(COUNTIF(O438:$T438,N438)&gt;0,0,IF(COUNTIF($G438:$T438,"&gt;"&amp;N438)=0,"",SMALL($G438:$T438,COUNTIF($G438:$T438,"&lt;="&amp;N438)+1)-N438)))</f>
        <v>0</v>
      </c>
      <c r="AL438" t="str">
        <f>IF(OR($B438="",NOT(ISNUMBER(O438))),"",IF(COUNTIF(P438:$T438,O438)&gt;0,0,IF(COUNTIF($G438:$T438,"&gt;"&amp;O438)=0,"",SMALL($G438:$T438,COUNTIF($G438:$T438,"&lt;="&amp;O438)+1)-O438)))</f>
        <v/>
      </c>
      <c r="AM438" t="str">
        <f>IF(OR($B438="",NOT(ISNUMBER(P438))),"",IF(COUNTIF(Q438:$T438,P438)&gt;0,0,IF(COUNTIF($G438:$T438,"&gt;"&amp;P438)=0,"",SMALL($G438:$T438,COUNTIF($G438:$T438,"&lt;="&amp;P438)+1)-P438)))</f>
        <v/>
      </c>
      <c r="AN438" t="str">
        <f>IF(OR($B438="",NOT(ISNUMBER(Q438))),"",IF(COUNTIF(R438:$T438,Q438)&gt;0,0,IF(COUNTIF($G438:$T438,"&gt;"&amp;Q438)=0,"",SMALL($G438:$T438,COUNTIF($G438:$T438,"&lt;="&amp;Q438)+1)-Q438)))</f>
        <v/>
      </c>
      <c r="AO438" t="str">
        <f>IF(OR($B438="",NOT(ISNUMBER(R438))),"",IF(COUNTIF(S438:$T438,R438)&gt;0,0,IF(COUNTIF($G438:$T438,"&gt;"&amp;R438)=0,"",SMALL($G438:$T438,COUNTIF($G438:$T438,"&lt;="&amp;R438)+1)-R438)))</f>
        <v/>
      </c>
      <c r="AP438">
        <f t="shared" ca="1" si="105"/>
        <v>0</v>
      </c>
      <c r="AQ438" s="25" t="str">
        <f t="shared" si="106"/>
        <v/>
      </c>
      <c r="AR438" s="25" t="str">
        <f t="shared" si="107"/>
        <v/>
      </c>
      <c r="AS438" s="25" t="str">
        <f t="shared" si="108"/>
        <v/>
      </c>
      <c r="AT438" s="25" t="str">
        <f t="shared" si="109"/>
        <v/>
      </c>
      <c r="AU438" s="25" t="str">
        <f t="shared" si="110"/>
        <v/>
      </c>
      <c r="AV438" s="25" t="str">
        <f t="shared" si="111"/>
        <v/>
      </c>
      <c r="AW438" s="25">
        <f t="shared" si="112"/>
        <v>46304</v>
      </c>
      <c r="AX438" s="25">
        <f t="shared" si="113"/>
        <v>46304</v>
      </c>
      <c r="AY438" s="25" t="str">
        <f t="shared" si="114"/>
        <v/>
      </c>
      <c r="AZ438" s="25" t="str">
        <f t="shared" si="115"/>
        <v/>
      </c>
      <c r="BA438" s="25" t="str">
        <f t="shared" si="116"/>
        <v/>
      </c>
      <c r="BB438" s="25" t="str">
        <f t="shared" si="117"/>
        <v/>
      </c>
      <c r="BC438" s="25">
        <f t="shared" si="118"/>
        <v>46304</v>
      </c>
    </row>
    <row r="439" spans="1:55" x14ac:dyDescent="0.25">
      <c r="A439" s="151">
        <f t="shared" si="103"/>
        <v>437</v>
      </c>
      <c r="B439" s="151" t="s">
        <v>662</v>
      </c>
      <c r="C439" s="152" t="s">
        <v>227</v>
      </c>
      <c r="D439" s="151">
        <f t="shared" si="102"/>
        <v>1</v>
      </c>
      <c r="E439" s="151" t="s">
        <v>100</v>
      </c>
      <c r="F439" s="173">
        <v>46303</v>
      </c>
      <c r="G439" s="173"/>
      <c r="H439" s="173"/>
      <c r="I439" s="173"/>
      <c r="J439" s="173"/>
      <c r="K439" s="173"/>
      <c r="L439" s="173"/>
      <c r="M439" s="173">
        <v>46302</v>
      </c>
      <c r="N439" s="173">
        <v>46304</v>
      </c>
      <c r="O439" s="173"/>
      <c r="P439" s="173"/>
      <c r="Q439" s="173"/>
      <c r="R439" s="173"/>
      <c r="S439" s="173"/>
      <c r="T439" s="174">
        <v>46304</v>
      </c>
      <c r="U439" s="151"/>
      <c r="V439" s="152"/>
      <c r="W439" s="175"/>
      <c r="X439" s="173"/>
      <c r="Y439" s="173"/>
      <c r="Z439" s="176" t="str">
        <f>IF(B439="","",IF(S439&lt;&gt;"","Sevk Edildi",IF(AND(X439&lt;&gt;"",Y439=""),"Reworkte",IF(T439&lt;&gt;"","Kapandı"&amp;IF(COUNT(G439:R439)=0,""," – "&amp;LOOKUP(2,1/(G439:R439=MAX(G439:R439)),{"Tasarım","Ply Cutter","Üretim","Kalite (Üretim sonrası)","Talaşlı","Kalite (Talaşlı sonrası)","Montaj","Kalite (Montaj sonrası)","Boya","Kalite (Boya sonrası)","Yarı Mamül","KM"})),IF(COUNT(G439:R439)=0,"Başlamadı",LOOKUP(2,1/(G439:R439=MAX(G439:R439)),{"Tasarımda","Ply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439" s="177">
        <f t="shared" ca="1" si="104"/>
        <v>1</v>
      </c>
      <c r="AB439" s="175"/>
      <c r="AD439" t="str">
        <f>IF(OR($B439="",NOT(ISNUMBER(G439))),"",IF(COUNTIF(H439:$T439,G439)&gt;0,0,IF(COUNTIF($G439:$T439,"&gt;"&amp;G439)=0,"",SMALL($G439:$T439,COUNTIF($G439:$T439,"&lt;="&amp;G439)+1)-G439)))</f>
        <v/>
      </c>
      <c r="AE439" t="str">
        <f>IF(OR($B439="",NOT(ISNUMBER(H439))),"",IF(COUNTIF(I439:$T439,H439)&gt;0,0,IF(COUNTIF($G439:$T439,"&gt;"&amp;H439)=0,"",SMALL($G439:$T439,COUNTIF($G439:$T439,"&lt;="&amp;H439)+1)-H439)))</f>
        <v/>
      </c>
      <c r="AF439" t="str">
        <f>IF(OR($B439="",NOT(ISNUMBER(I439))),"",IF(COUNTIF(J439:$T439,I439)&gt;0,0,IF(COUNTIF($G439:$T439,"&gt;"&amp;I439)=0,"",SMALL($G439:$T439,COUNTIF($G439:$T439,"&lt;="&amp;I439)+1)-I439)))</f>
        <v/>
      </c>
      <c r="AG439" t="str">
        <f>IF(OR($B439="",NOT(ISNUMBER(J439))),"",IF(COUNTIF(K439:$T439,J439)&gt;0,0,IF(COUNTIF($G439:$T439,"&gt;"&amp;J439)=0,"",SMALL($G439:$T439,COUNTIF($G439:$T439,"&lt;="&amp;J439)+1)-J439)))</f>
        <v/>
      </c>
      <c r="AH439" t="str">
        <f>IF(OR($B439="",NOT(ISNUMBER(K439))),"",IF(COUNTIF(L439:$T439,K439)&gt;0,0,IF(COUNTIF($G439:$T439,"&gt;"&amp;K439)=0,"",SMALL($G439:$T439,COUNTIF($G439:$T439,"&lt;="&amp;K439)+1)-K439)))</f>
        <v/>
      </c>
      <c r="AI439" t="str">
        <f>IF(OR($B439="",NOT(ISNUMBER(L439))),"",IF(COUNTIF(M439:$T439,L439)&gt;0,0,IF(COUNTIF($G439:$T439,"&gt;"&amp;L439)=0,"",SMALL($G439:$T439,COUNTIF($G439:$T439,"&lt;="&amp;L439)+1)-L439)))</f>
        <v/>
      </c>
      <c r="AJ439">
        <f>IF(OR($B439="",NOT(ISNUMBER(M439))),"",IF(COUNTIF(N439:$T439,M439)&gt;0,0,IF(COUNTIF($G439:$T439,"&gt;"&amp;M439)=0,"",SMALL($G439:$T439,COUNTIF($G439:$T439,"&lt;="&amp;M439)+1)-M439)))</f>
        <v>2</v>
      </c>
      <c r="AK439">
        <f>IF(OR($B439="",NOT(ISNUMBER(N439))),"",IF(COUNTIF(O439:$T439,N439)&gt;0,0,IF(COUNTIF($G439:$T439,"&gt;"&amp;N439)=0,"",SMALL($G439:$T439,COUNTIF($G439:$T439,"&lt;="&amp;N439)+1)-N439)))</f>
        <v>0</v>
      </c>
      <c r="AL439" t="str">
        <f>IF(OR($B439="",NOT(ISNUMBER(O439))),"",IF(COUNTIF(P439:$T439,O439)&gt;0,0,IF(COUNTIF($G439:$T439,"&gt;"&amp;O439)=0,"",SMALL($G439:$T439,COUNTIF($G439:$T439,"&lt;="&amp;O439)+1)-O439)))</f>
        <v/>
      </c>
      <c r="AM439" t="str">
        <f>IF(OR($B439="",NOT(ISNUMBER(P439))),"",IF(COUNTIF(Q439:$T439,P439)&gt;0,0,IF(COUNTIF($G439:$T439,"&gt;"&amp;P439)=0,"",SMALL($G439:$T439,COUNTIF($G439:$T439,"&lt;="&amp;P439)+1)-P439)))</f>
        <v/>
      </c>
      <c r="AN439" t="str">
        <f>IF(OR($B439="",NOT(ISNUMBER(Q439))),"",IF(COUNTIF(R439:$T439,Q439)&gt;0,0,IF(COUNTIF($G439:$T439,"&gt;"&amp;Q439)=0,"",SMALL($G439:$T439,COUNTIF($G439:$T439,"&lt;="&amp;Q439)+1)-Q439)))</f>
        <v/>
      </c>
      <c r="AO439" t="str">
        <f>IF(OR($B439="",NOT(ISNUMBER(R439))),"",IF(COUNTIF(S439:$T439,R439)&gt;0,0,IF(COUNTIF($G439:$T439,"&gt;"&amp;R439)=0,"",SMALL($G439:$T439,COUNTIF($G439:$T439,"&lt;="&amp;R439)+1)-R439)))</f>
        <v/>
      </c>
      <c r="AP439">
        <f t="shared" ca="1" si="105"/>
        <v>0</v>
      </c>
      <c r="AQ439" s="25" t="str">
        <f t="shared" si="106"/>
        <v/>
      </c>
      <c r="AR439" s="25" t="str">
        <f t="shared" si="107"/>
        <v/>
      </c>
      <c r="AS439" s="25" t="str">
        <f t="shared" si="108"/>
        <v/>
      </c>
      <c r="AT439" s="25" t="str">
        <f t="shared" si="109"/>
        <v/>
      </c>
      <c r="AU439" s="25" t="str">
        <f t="shared" si="110"/>
        <v/>
      </c>
      <c r="AV439" s="25" t="str">
        <f t="shared" si="111"/>
        <v/>
      </c>
      <c r="AW439" s="25">
        <f t="shared" si="112"/>
        <v>46304</v>
      </c>
      <c r="AX439" s="25">
        <f t="shared" si="113"/>
        <v>46304</v>
      </c>
      <c r="AY439" s="25" t="str">
        <f t="shared" si="114"/>
        <v/>
      </c>
      <c r="AZ439" s="25" t="str">
        <f t="shared" si="115"/>
        <v/>
      </c>
      <c r="BA439" s="25" t="str">
        <f t="shared" si="116"/>
        <v/>
      </c>
      <c r="BB439" s="25" t="str">
        <f t="shared" si="117"/>
        <v/>
      </c>
      <c r="BC439" s="25">
        <f t="shared" si="118"/>
        <v>46304</v>
      </c>
    </row>
    <row r="440" spans="1:55" x14ac:dyDescent="0.25">
      <c r="A440" s="151">
        <f t="shared" si="103"/>
        <v>438</v>
      </c>
      <c r="B440" s="151" t="s">
        <v>663</v>
      </c>
      <c r="C440" s="152" t="s">
        <v>229</v>
      </c>
      <c r="D440" s="151">
        <f t="shared" si="102"/>
        <v>1</v>
      </c>
      <c r="E440" s="151" t="s">
        <v>100</v>
      </c>
      <c r="F440" s="173">
        <v>46303</v>
      </c>
      <c r="G440" s="173"/>
      <c r="H440" s="173"/>
      <c r="I440" s="173"/>
      <c r="J440" s="173"/>
      <c r="K440" s="173"/>
      <c r="L440" s="173"/>
      <c r="M440" s="173">
        <v>46302</v>
      </c>
      <c r="N440" s="173">
        <v>46304</v>
      </c>
      <c r="O440" s="173"/>
      <c r="P440" s="173"/>
      <c r="Q440" s="173"/>
      <c r="R440" s="173"/>
      <c r="S440" s="173"/>
      <c r="T440" s="174">
        <v>46304</v>
      </c>
      <c r="U440" s="151"/>
      <c r="V440" s="152"/>
      <c r="W440" s="175"/>
      <c r="X440" s="173"/>
      <c r="Y440" s="173"/>
      <c r="Z440" s="176" t="str">
        <f>IF(B440="","",IF(S440&lt;&gt;"","Sevk Edildi",IF(AND(X440&lt;&gt;"",Y440=""),"Reworkte",IF(T440&lt;&gt;"","Kapandı"&amp;IF(COUNT(G440:R440)=0,""," – "&amp;LOOKUP(2,1/(G440:R440=MAX(G440:R440)),{"Tasarım","Ply Cutter","Üretim","Kalite (Üretim sonrası)","Talaşlı","Kalite (Talaşlı sonrası)","Montaj","Kalite (Montaj sonrası)","Boya","Kalite (Boya sonrası)","Yarı Mamül","KM"})),IF(COUNT(G440:R440)=0,"Başlamadı",LOOKUP(2,1/(G440:R440=MAX(G440:R440)),{"Tasarımda","Ply Cutter'da","Üretimde","Kalitede (Üretim sonrası)","Talaşlıda","Kalitede (Talaşlı sonrası)","Montajda","Kalitede (Montaj sonrası)","Boyada","Kalitede (Boya sonrası)","Yarı Mamülde","KM'de"}))))))</f>
        <v>Kapandı – Kalite (Montaj sonrası)</v>
      </c>
      <c r="AA440" s="177">
        <f t="shared" ca="1" si="104"/>
        <v>1</v>
      </c>
      <c r="AB440" s="175"/>
      <c r="AD440" t="str">
        <f>IF(OR($B440="",NOT(ISNUMBER(G440))),"",IF(COUNTIF(H440:$T440,G440)&gt;0,0,IF(COUNTIF($G440:$T440,"&gt;"&amp;G440)=0,"",SMALL($G440:$T440,COUNTIF($G440:$T440,"&lt;="&amp;G440)+1)-G440)))</f>
        <v/>
      </c>
      <c r="AE440" t="str">
        <f>IF(OR($B440="",NOT(ISNUMBER(H440))),"",IF(COUNTIF(I440:$T440,H440)&gt;0,0,IF(COUNTIF($G440:$T440,"&gt;"&amp;H440)=0,"",SMALL($G440:$T440,COUNTIF($G440:$T440,"&lt;="&amp;H440)+1)-H440)))</f>
        <v/>
      </c>
      <c r="AF440" t="str">
        <f>IF(OR($B440="",NOT(ISNUMBER(I440))),"",IF(COUNTIF(J440:$T440,I440)&gt;0,0,IF(COUNTIF($G440:$T440,"&gt;"&amp;I440)=0,"",SMALL($G440:$T440,COUNTIF($G440:$T440,"&lt;="&amp;I440)+1)-I440)))</f>
        <v/>
      </c>
      <c r="AG440" t="str">
        <f>IF(OR($B440="",NOT(ISNUMBER(J440))),"",IF(COUNTIF(K440:$T440,J440)&gt;0,0,IF(COUNTIF($G440:$T440,"&gt;"&amp;J440)=0,"",SMALL($G440:$T440,COUNTIF($G440:$T440,"&lt;="&amp;J440)+1)-J440)))</f>
        <v/>
      </c>
      <c r="AH440" t="str">
        <f>IF(OR($B440="",NOT(ISNUMBER(K440))),"",IF(COUNTIF(L440:$T440,K440)&gt;0,0,IF(COUNTIF($G440:$T440,"&gt;"&amp;K440)=0,"",SMALL($G440:$T440,COUNTIF($G440:$T440,"&lt;="&amp;K440)+1)-K440)))</f>
        <v/>
      </c>
      <c r="AI440" t="str">
        <f>IF(OR($B440="",NOT(ISNUMBER(L440))),"",IF(COUNTIF(M440:$T440,L440)&gt;0,0,IF(COUNTIF($G440:$T440,"&gt;"&amp;L440)=0,"",SMALL($G440:$T440,COUNTIF($G440:$T440,"&lt;="&amp;L440)+1)-L440)))</f>
        <v/>
      </c>
      <c r="AJ440">
        <f>IF(OR($B440="",NOT(ISNUMBER(M440))),"",IF(COUNTIF(N440:$T440,M440)&gt;0,0,IF(COUNTIF($G440:$T440,"&gt;"&amp;M440)=0,"",SMALL($G440:$T440,COUNTIF($G440:$T440,"&lt;="&amp;M440)+1)-M440)))</f>
        <v>2</v>
      </c>
      <c r="AK440">
        <f>IF(OR($B440="",NOT(ISNUMBER(N440))),"",IF(COUNTIF(O440:$T440,N440)&gt;0,0,IF(COUNTIF($G440:$T440,"&gt;"&amp;N440)=0,"",SMALL($G440:$T440,COUNTIF($G440:$T440,"&lt;="&amp;N440)+1)-N440)))</f>
        <v>0</v>
      </c>
      <c r="AL440" t="str">
        <f>IF(OR($B440="",NOT(ISNUMBER(O440))),"",IF(COUNTIF(P440:$T440,O440)&gt;0,0,IF(COUNTIF($G440:$T440,"&gt;"&amp;O440)=0,"",SMALL($G440:$T440,COUNTIF($G440:$T440,"&lt;="&amp;O440)+1)-O440)))</f>
        <v/>
      </c>
      <c r="AM440" t="str">
        <f>IF(OR($B440="",NOT(ISNUMBER(P440))),"",IF(COUNTIF(Q440:$T440,P440)&gt;0,0,IF(COUNTIF($G440:$T440,"&gt;"&amp;P440)=0,"",SMALL($G440:$T440,COUNTIF($G440:$T440,"&lt;="&amp;P440)+1)-P440)))</f>
        <v/>
      </c>
      <c r="AN440" t="str">
        <f>IF(OR($B440="",NOT(ISNUMBER(Q440))),"",IF(COUNTIF(R440:$T440,Q440)&gt;0,0,IF(COUNTIF($G440:$T440,"&gt;"&amp;Q440)=0,"",SMALL($G440:$T440,COUNTIF($G440:$T440,"&lt;="&amp;Q440)+1)-Q440)))</f>
        <v/>
      </c>
      <c r="AO440" t="str">
        <f>IF(OR($B440="",NOT(ISNUMBER(R440))),"",IF(COUNTIF(S440:$T440,R440)&gt;0,0,IF(COUNTIF($G440:$T440,"&gt;"&amp;R440)=0,"",SMALL($G440:$T440,COUNTIF($G440:$T440,"&lt;="&amp;R440)+1)-R440)))</f>
        <v/>
      </c>
      <c r="AP440">
        <f t="shared" ca="1" si="105"/>
        <v>0</v>
      </c>
      <c r="AQ440" s="25" t="str">
        <f t="shared" si="106"/>
        <v/>
      </c>
      <c r="AR440" s="25" t="str">
        <f t="shared" si="107"/>
        <v/>
      </c>
      <c r="AS440" s="25" t="str">
        <f t="shared" si="108"/>
        <v/>
      </c>
      <c r="AT440" s="25" t="str">
        <f t="shared" si="109"/>
        <v/>
      </c>
      <c r="AU440" s="25" t="str">
        <f t="shared" si="110"/>
        <v/>
      </c>
      <c r="AV440" s="25" t="str">
        <f t="shared" si="111"/>
        <v/>
      </c>
      <c r="AW440" s="25">
        <f t="shared" si="112"/>
        <v>46304</v>
      </c>
      <c r="AX440" s="25">
        <f t="shared" si="113"/>
        <v>46304</v>
      </c>
      <c r="AY440" s="25" t="str">
        <f t="shared" si="114"/>
        <v/>
      </c>
      <c r="AZ440" s="25" t="str">
        <f t="shared" si="115"/>
        <v/>
      </c>
      <c r="BA440" s="25" t="str">
        <f t="shared" si="116"/>
        <v/>
      </c>
      <c r="BB440" s="25" t="str">
        <f t="shared" si="117"/>
        <v/>
      </c>
      <c r="BC440" s="25">
        <f t="shared" si="118"/>
        <v>46304</v>
      </c>
    </row>
    <row r="441" spans="1:55" x14ac:dyDescent="0.25">
      <c r="A441" s="151">
        <f t="shared" si="103"/>
        <v>439</v>
      </c>
      <c r="B441" s="151" t="s">
        <v>664</v>
      </c>
      <c r="C441" s="152" t="s">
        <v>94</v>
      </c>
      <c r="D441" s="151">
        <f t="shared" si="102"/>
        <v>1</v>
      </c>
      <c r="E441" s="151" t="s">
        <v>61</v>
      </c>
      <c r="F441" s="173">
        <v>46303</v>
      </c>
      <c r="G441" s="173"/>
      <c r="H441" s="173"/>
      <c r="I441" s="173">
        <v>46303</v>
      </c>
      <c r="J441" s="173">
        <v>46304</v>
      </c>
      <c r="K441" s="173"/>
      <c r="L441" s="173"/>
      <c r="M441" s="173"/>
      <c r="N441" s="173"/>
      <c r="O441" s="173"/>
      <c r="P441" s="173"/>
      <c r="Q441" s="173"/>
      <c r="R441" s="173"/>
      <c r="S441" s="173"/>
      <c r="T441" s="174">
        <v>46304</v>
      </c>
      <c r="U441" s="151"/>
      <c r="V441" s="152"/>
      <c r="W441" s="175"/>
      <c r="X441" s="173"/>
      <c r="Y441" s="173"/>
      <c r="Z441" s="176" t="str">
        <f>IF(B441="","",IF(S441&lt;&gt;"","Sevk Edildi",IF(AND(X441&lt;&gt;"",Y441=""),"Reworkte",IF(T441&lt;&gt;"","Kapandı"&amp;IF(COUNT(G441:R441)=0,""," – "&amp;LOOKUP(2,1/(G441:R441=MAX(G441:R441)),{"Tasarım","Ply Cutter","Üretim","Kalite (Üretim sonrası)","Talaşlı","Kalite (Talaşlı sonrası)","Montaj","Kalite (Montaj sonrası)","Boya","Kalite (Boya sonrası)","Yarı Mamül","KM"})),IF(COUNT(G441:R441)=0,"Başlamadı",LOOKUP(2,1/(G441:R441=MAX(G441:R441)),{"Tasarımda","Ply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41" s="177">
        <f t="shared" ca="1" si="104"/>
        <v>1</v>
      </c>
      <c r="AB441" s="175"/>
      <c r="AD441" t="str">
        <f>IF(OR($B441="",NOT(ISNUMBER(G441))),"",IF(COUNTIF(H441:$T441,G441)&gt;0,0,IF(COUNTIF($G441:$T441,"&gt;"&amp;G441)=0,"",SMALL($G441:$T441,COUNTIF($G441:$T441,"&lt;="&amp;G441)+1)-G441)))</f>
        <v/>
      </c>
      <c r="AE441" t="str">
        <f>IF(OR($B441="",NOT(ISNUMBER(H441))),"",IF(COUNTIF(I441:$T441,H441)&gt;0,0,IF(COUNTIF($G441:$T441,"&gt;"&amp;H441)=0,"",SMALL($G441:$T441,COUNTIF($G441:$T441,"&lt;="&amp;H441)+1)-H441)))</f>
        <v/>
      </c>
      <c r="AF441">
        <f>IF(OR($B441="",NOT(ISNUMBER(I441))),"",IF(COUNTIF(J441:$T441,I441)&gt;0,0,IF(COUNTIF($G441:$T441,"&gt;"&amp;I441)=0,"",SMALL($G441:$T441,COUNTIF($G441:$T441,"&lt;="&amp;I441)+1)-I441)))</f>
        <v>1</v>
      </c>
      <c r="AG441">
        <f>IF(OR($B441="",NOT(ISNUMBER(J441))),"",IF(COUNTIF(K441:$T441,J441)&gt;0,0,IF(COUNTIF($G441:$T441,"&gt;"&amp;J441)=0,"",SMALL($G441:$T441,COUNTIF($G441:$T441,"&lt;="&amp;J441)+1)-J441)))</f>
        <v>0</v>
      </c>
      <c r="AH441" t="str">
        <f>IF(OR($B441="",NOT(ISNUMBER(K441))),"",IF(COUNTIF(L441:$T441,K441)&gt;0,0,IF(COUNTIF($G441:$T441,"&gt;"&amp;K441)=0,"",SMALL($G441:$T441,COUNTIF($G441:$T441,"&lt;="&amp;K441)+1)-K441)))</f>
        <v/>
      </c>
      <c r="AI441" t="str">
        <f>IF(OR($B441="",NOT(ISNUMBER(L441))),"",IF(COUNTIF(M441:$T441,L441)&gt;0,0,IF(COUNTIF($G441:$T441,"&gt;"&amp;L441)=0,"",SMALL($G441:$T441,COUNTIF($G441:$T441,"&lt;="&amp;L441)+1)-L441)))</f>
        <v/>
      </c>
      <c r="AJ441" t="str">
        <f>IF(OR($B441="",NOT(ISNUMBER(M441))),"",IF(COUNTIF(N441:$T441,M441)&gt;0,0,IF(COUNTIF($G441:$T441,"&gt;"&amp;M441)=0,"",SMALL($G441:$T441,COUNTIF($G441:$T441,"&lt;="&amp;M441)+1)-M441)))</f>
        <v/>
      </c>
      <c r="AK441" t="str">
        <f>IF(OR($B441="",NOT(ISNUMBER(N441))),"",IF(COUNTIF(O441:$T441,N441)&gt;0,0,IF(COUNTIF($G441:$T441,"&gt;"&amp;N441)=0,"",SMALL($G441:$T441,COUNTIF($G441:$T441,"&lt;="&amp;N441)+1)-N441)))</f>
        <v/>
      </c>
      <c r="AL441" t="str">
        <f>IF(OR($B441="",NOT(ISNUMBER(O441))),"",IF(COUNTIF(P441:$T441,O441)&gt;0,0,IF(COUNTIF($G441:$T441,"&gt;"&amp;O441)=0,"",SMALL($G441:$T441,COUNTIF($G441:$T441,"&lt;="&amp;O441)+1)-O441)))</f>
        <v/>
      </c>
      <c r="AM441" t="str">
        <f>IF(OR($B441="",NOT(ISNUMBER(P441))),"",IF(COUNTIF(Q441:$T441,P441)&gt;0,0,IF(COUNTIF($G441:$T441,"&gt;"&amp;P441)=0,"",SMALL($G441:$T441,COUNTIF($G441:$T441,"&lt;="&amp;P441)+1)-P441)))</f>
        <v/>
      </c>
      <c r="AN441" t="str">
        <f>IF(OR($B441="",NOT(ISNUMBER(Q441))),"",IF(COUNTIF(R441:$T441,Q441)&gt;0,0,IF(COUNTIF($G441:$T441,"&gt;"&amp;Q441)=0,"",SMALL($G441:$T441,COUNTIF($G441:$T441,"&lt;="&amp;Q441)+1)-Q441)))</f>
        <v/>
      </c>
      <c r="AO441" t="str">
        <f>IF(OR($B441="",NOT(ISNUMBER(R441))),"",IF(COUNTIF(S441:$T441,R441)&gt;0,0,IF(COUNTIF($G441:$T441,"&gt;"&amp;R441)=0,"",SMALL($G441:$T441,COUNTIF($G441:$T441,"&lt;="&amp;R441)+1)-R441)))</f>
        <v/>
      </c>
      <c r="AP441">
        <f t="shared" ca="1" si="105"/>
        <v>0</v>
      </c>
      <c r="AQ441" s="25" t="str">
        <f t="shared" si="106"/>
        <v/>
      </c>
      <c r="AR441" s="25" t="str">
        <f t="shared" si="107"/>
        <v/>
      </c>
      <c r="AS441" s="25">
        <f t="shared" si="108"/>
        <v>46304</v>
      </c>
      <c r="AT441" s="25">
        <f t="shared" si="109"/>
        <v>46304</v>
      </c>
      <c r="AU441" s="25" t="str">
        <f t="shared" si="110"/>
        <v/>
      </c>
      <c r="AV441" s="25" t="str">
        <f t="shared" si="111"/>
        <v/>
      </c>
      <c r="AW441" s="25" t="str">
        <f t="shared" si="112"/>
        <v/>
      </c>
      <c r="AX441" s="25" t="str">
        <f t="shared" si="113"/>
        <v/>
      </c>
      <c r="AY441" s="25" t="str">
        <f t="shared" si="114"/>
        <v/>
      </c>
      <c r="AZ441" s="25" t="str">
        <f t="shared" si="115"/>
        <v/>
      </c>
      <c r="BA441" s="25" t="str">
        <f t="shared" si="116"/>
        <v/>
      </c>
      <c r="BB441" s="25" t="str">
        <f t="shared" si="117"/>
        <v/>
      </c>
      <c r="BC441" s="25">
        <f t="shared" si="118"/>
        <v>46304</v>
      </c>
    </row>
    <row r="442" spans="1:55" x14ac:dyDescent="0.25">
      <c r="A442" s="151">
        <f t="shared" si="103"/>
        <v>440</v>
      </c>
      <c r="B442" s="151" t="s">
        <v>665</v>
      </c>
      <c r="C442" s="152" t="s">
        <v>423</v>
      </c>
      <c r="D442" s="151">
        <f t="shared" si="102"/>
        <v>1</v>
      </c>
      <c r="E442" s="151" t="s">
        <v>61</v>
      </c>
      <c r="F442" s="173">
        <v>46303</v>
      </c>
      <c r="G442" s="173"/>
      <c r="H442" s="173"/>
      <c r="I442" s="173">
        <v>46303</v>
      </c>
      <c r="J442" s="173">
        <v>46305</v>
      </c>
      <c r="K442" s="173"/>
      <c r="L442" s="173"/>
      <c r="M442" s="173"/>
      <c r="N442" s="173"/>
      <c r="O442" s="173"/>
      <c r="P442" s="173"/>
      <c r="Q442" s="173"/>
      <c r="R442" s="173"/>
      <c r="S442" s="173"/>
      <c r="T442" s="174">
        <v>46305</v>
      </c>
      <c r="U442" s="151"/>
      <c r="V442" s="152"/>
      <c r="W442" s="175"/>
      <c r="X442" s="173"/>
      <c r="Y442" s="173"/>
      <c r="Z442" s="176" t="str">
        <f>IF(B442="","",IF(S442&lt;&gt;"","Sevk Edildi",IF(AND(X442&lt;&gt;"",Y442=""),"Reworkte",IF(T442&lt;&gt;"","Kapandı"&amp;IF(COUNT(G442:R442)=0,""," – "&amp;LOOKUP(2,1/(G442:R442=MAX(G442:R442)),{"Tasarım","Ply Cutter","Üretim","Kalite (Üretim sonrası)","Talaşlı","Kalite (Talaşlı sonrası)","Montaj","Kalite (Montaj sonrası)","Boya","Kalite (Boya sonrası)","Yarı Mamül","KM"})),IF(COUNT(G442:R442)=0,"Başlamadı",LOOKUP(2,1/(G442:R442=MAX(G442:R442)),{"Tasarımda","Ply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42" s="177">
        <f t="shared" ca="1" si="104"/>
        <v>2</v>
      </c>
      <c r="AB442" s="175"/>
      <c r="AD442" t="str">
        <f>IF(OR($B442="",NOT(ISNUMBER(G442))),"",IF(COUNTIF(H442:$T442,G442)&gt;0,0,IF(COUNTIF($G442:$T442,"&gt;"&amp;G442)=0,"",SMALL($G442:$T442,COUNTIF($G442:$T442,"&lt;="&amp;G442)+1)-G442)))</f>
        <v/>
      </c>
      <c r="AE442" t="str">
        <f>IF(OR($B442="",NOT(ISNUMBER(H442))),"",IF(COUNTIF(I442:$T442,H442)&gt;0,0,IF(COUNTIF($G442:$T442,"&gt;"&amp;H442)=0,"",SMALL($G442:$T442,COUNTIF($G442:$T442,"&lt;="&amp;H442)+1)-H442)))</f>
        <v/>
      </c>
      <c r="AF442">
        <f>IF(OR($B442="",NOT(ISNUMBER(I442))),"",IF(COUNTIF(J442:$T442,I442)&gt;0,0,IF(COUNTIF($G442:$T442,"&gt;"&amp;I442)=0,"",SMALL($G442:$T442,COUNTIF($G442:$T442,"&lt;="&amp;I442)+1)-I442)))</f>
        <v>2</v>
      </c>
      <c r="AG442">
        <f>IF(OR($B442="",NOT(ISNUMBER(J442))),"",IF(COUNTIF(K442:$T442,J442)&gt;0,0,IF(COUNTIF($G442:$T442,"&gt;"&amp;J442)=0,"",SMALL($G442:$T442,COUNTIF($G442:$T442,"&lt;="&amp;J442)+1)-J442)))</f>
        <v>0</v>
      </c>
      <c r="AH442" t="str">
        <f>IF(OR($B442="",NOT(ISNUMBER(K442))),"",IF(COUNTIF(L442:$T442,K442)&gt;0,0,IF(COUNTIF($G442:$T442,"&gt;"&amp;K442)=0,"",SMALL($G442:$T442,COUNTIF($G442:$T442,"&lt;="&amp;K442)+1)-K442)))</f>
        <v/>
      </c>
      <c r="AI442" t="str">
        <f>IF(OR($B442="",NOT(ISNUMBER(L442))),"",IF(COUNTIF(M442:$T442,L442)&gt;0,0,IF(COUNTIF($G442:$T442,"&gt;"&amp;L442)=0,"",SMALL($G442:$T442,COUNTIF($G442:$T442,"&lt;="&amp;L442)+1)-L442)))</f>
        <v/>
      </c>
      <c r="AJ442" t="str">
        <f>IF(OR($B442="",NOT(ISNUMBER(M442))),"",IF(COUNTIF(N442:$T442,M442)&gt;0,0,IF(COUNTIF($G442:$T442,"&gt;"&amp;M442)=0,"",SMALL($G442:$T442,COUNTIF($G442:$T442,"&lt;="&amp;M442)+1)-M442)))</f>
        <v/>
      </c>
      <c r="AK442" t="str">
        <f>IF(OR($B442="",NOT(ISNUMBER(N442))),"",IF(COUNTIF(O442:$T442,N442)&gt;0,0,IF(COUNTIF($G442:$T442,"&gt;"&amp;N442)=0,"",SMALL($G442:$T442,COUNTIF($G442:$T442,"&lt;="&amp;N442)+1)-N442)))</f>
        <v/>
      </c>
      <c r="AL442" t="str">
        <f>IF(OR($B442="",NOT(ISNUMBER(O442))),"",IF(COUNTIF(P442:$T442,O442)&gt;0,0,IF(COUNTIF($G442:$T442,"&gt;"&amp;O442)=0,"",SMALL($G442:$T442,COUNTIF($G442:$T442,"&lt;="&amp;O442)+1)-O442)))</f>
        <v/>
      </c>
      <c r="AM442" t="str">
        <f>IF(OR($B442="",NOT(ISNUMBER(P442))),"",IF(COUNTIF(Q442:$T442,P442)&gt;0,0,IF(COUNTIF($G442:$T442,"&gt;"&amp;P442)=0,"",SMALL($G442:$T442,COUNTIF($G442:$T442,"&lt;="&amp;P442)+1)-P442)))</f>
        <v/>
      </c>
      <c r="AN442" t="str">
        <f>IF(OR($B442="",NOT(ISNUMBER(Q442))),"",IF(COUNTIF(R442:$T442,Q442)&gt;0,0,IF(COUNTIF($G442:$T442,"&gt;"&amp;Q442)=0,"",SMALL($G442:$T442,COUNTIF($G442:$T442,"&lt;="&amp;Q442)+1)-Q442)))</f>
        <v/>
      </c>
      <c r="AO442" t="str">
        <f>IF(OR($B442="",NOT(ISNUMBER(R442))),"",IF(COUNTIF(S442:$T442,R442)&gt;0,0,IF(COUNTIF($G442:$T442,"&gt;"&amp;R442)=0,"",SMALL($G442:$T442,COUNTIF($G442:$T442,"&lt;="&amp;R442)+1)-R442)))</f>
        <v/>
      </c>
      <c r="AP442">
        <f t="shared" ca="1" si="105"/>
        <v>0</v>
      </c>
      <c r="AQ442" s="25" t="str">
        <f t="shared" si="106"/>
        <v/>
      </c>
      <c r="AR442" s="25" t="str">
        <f t="shared" si="107"/>
        <v/>
      </c>
      <c r="AS442" s="25">
        <f t="shared" si="108"/>
        <v>46305</v>
      </c>
      <c r="AT442" s="25">
        <f t="shared" si="109"/>
        <v>46305</v>
      </c>
      <c r="AU442" s="25" t="str">
        <f t="shared" si="110"/>
        <v/>
      </c>
      <c r="AV442" s="25" t="str">
        <f t="shared" si="111"/>
        <v/>
      </c>
      <c r="AW442" s="25" t="str">
        <f t="shared" si="112"/>
        <v/>
      </c>
      <c r="AX442" s="25" t="str">
        <f t="shared" si="113"/>
        <v/>
      </c>
      <c r="AY442" s="25" t="str">
        <f t="shared" si="114"/>
        <v/>
      </c>
      <c r="AZ442" s="25" t="str">
        <f t="shared" si="115"/>
        <v/>
      </c>
      <c r="BA442" s="25" t="str">
        <f t="shared" si="116"/>
        <v/>
      </c>
      <c r="BB442" s="25" t="str">
        <f t="shared" si="117"/>
        <v/>
      </c>
      <c r="BC442" s="25">
        <f t="shared" si="118"/>
        <v>46305</v>
      </c>
    </row>
    <row r="443" spans="1:55" x14ac:dyDescent="0.25">
      <c r="A443" s="151">
        <f t="shared" si="103"/>
        <v>441</v>
      </c>
      <c r="B443" s="151" t="s">
        <v>666</v>
      </c>
      <c r="C443" s="152" t="s">
        <v>180</v>
      </c>
      <c r="D443" s="151">
        <f t="shared" si="102"/>
        <v>1</v>
      </c>
      <c r="E443" s="151" t="s">
        <v>61</v>
      </c>
      <c r="F443" s="173">
        <v>46303</v>
      </c>
      <c r="G443" s="173"/>
      <c r="H443" s="173"/>
      <c r="I443" s="173">
        <v>46303</v>
      </c>
      <c r="J443" s="173">
        <v>46304</v>
      </c>
      <c r="K443" s="173"/>
      <c r="L443" s="173"/>
      <c r="M443" s="173"/>
      <c r="N443" s="173"/>
      <c r="O443" s="173"/>
      <c r="P443" s="173"/>
      <c r="Q443" s="173"/>
      <c r="R443" s="173"/>
      <c r="S443" s="173"/>
      <c r="T443" s="174">
        <v>46304</v>
      </c>
      <c r="U443" s="151"/>
      <c r="V443" s="152"/>
      <c r="W443" s="175"/>
      <c r="X443" s="173"/>
      <c r="Y443" s="173"/>
      <c r="Z443" s="176" t="str">
        <f>IF(B443="","",IF(S443&lt;&gt;"","Sevk Edildi",IF(AND(X443&lt;&gt;"",Y443=""),"Reworkte",IF(T443&lt;&gt;"","Kapandı"&amp;IF(COUNT(G443:R443)=0,""," – "&amp;LOOKUP(2,1/(G443:R443=MAX(G443:R443)),{"Tasarım","Ply Cutter","Üretim","Kalite (Üretim sonrası)","Talaşlı","Kalite (Talaşlı sonrası)","Montaj","Kalite (Montaj sonrası)","Boya","Kalite (Boya sonrası)","Yarı Mamül","KM"})),IF(COUNT(G443:R443)=0,"Başlamadı",LOOKUP(2,1/(G443:R443=MAX(G443:R443)),{"Tasarımda","Ply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43" s="177">
        <f t="shared" ca="1" si="104"/>
        <v>1</v>
      </c>
      <c r="AB443" s="175"/>
      <c r="AD443" t="str">
        <f>IF(OR($B443="",NOT(ISNUMBER(G443))),"",IF(COUNTIF(H443:$T443,G443)&gt;0,0,IF(COUNTIF($G443:$T443,"&gt;"&amp;G443)=0,"",SMALL($G443:$T443,COUNTIF($G443:$T443,"&lt;="&amp;G443)+1)-G443)))</f>
        <v/>
      </c>
      <c r="AE443" t="str">
        <f>IF(OR($B443="",NOT(ISNUMBER(H443))),"",IF(COUNTIF(I443:$T443,H443)&gt;0,0,IF(COUNTIF($G443:$T443,"&gt;"&amp;H443)=0,"",SMALL($G443:$T443,COUNTIF($G443:$T443,"&lt;="&amp;H443)+1)-H443)))</f>
        <v/>
      </c>
      <c r="AF443">
        <f>IF(OR($B443="",NOT(ISNUMBER(I443))),"",IF(COUNTIF(J443:$T443,I443)&gt;0,0,IF(COUNTIF($G443:$T443,"&gt;"&amp;I443)=0,"",SMALL($G443:$T443,COUNTIF($G443:$T443,"&lt;="&amp;I443)+1)-I443)))</f>
        <v>1</v>
      </c>
      <c r="AG443">
        <f>IF(OR($B443="",NOT(ISNUMBER(J443))),"",IF(COUNTIF(K443:$T443,J443)&gt;0,0,IF(COUNTIF($G443:$T443,"&gt;"&amp;J443)=0,"",SMALL($G443:$T443,COUNTIF($G443:$T443,"&lt;="&amp;J443)+1)-J443)))</f>
        <v>0</v>
      </c>
      <c r="AH443" t="str">
        <f>IF(OR($B443="",NOT(ISNUMBER(K443))),"",IF(COUNTIF(L443:$T443,K443)&gt;0,0,IF(COUNTIF($G443:$T443,"&gt;"&amp;K443)=0,"",SMALL($G443:$T443,COUNTIF($G443:$T443,"&lt;="&amp;K443)+1)-K443)))</f>
        <v/>
      </c>
      <c r="AI443" t="str">
        <f>IF(OR($B443="",NOT(ISNUMBER(L443))),"",IF(COUNTIF(M443:$T443,L443)&gt;0,0,IF(COUNTIF($G443:$T443,"&gt;"&amp;L443)=0,"",SMALL($G443:$T443,COUNTIF($G443:$T443,"&lt;="&amp;L443)+1)-L443)))</f>
        <v/>
      </c>
      <c r="AJ443" t="str">
        <f>IF(OR($B443="",NOT(ISNUMBER(M443))),"",IF(COUNTIF(N443:$T443,M443)&gt;0,0,IF(COUNTIF($G443:$T443,"&gt;"&amp;M443)=0,"",SMALL($G443:$T443,COUNTIF($G443:$T443,"&lt;="&amp;M443)+1)-M443)))</f>
        <v/>
      </c>
      <c r="AK443" t="str">
        <f>IF(OR($B443="",NOT(ISNUMBER(N443))),"",IF(COUNTIF(O443:$T443,N443)&gt;0,0,IF(COUNTIF($G443:$T443,"&gt;"&amp;N443)=0,"",SMALL($G443:$T443,COUNTIF($G443:$T443,"&lt;="&amp;N443)+1)-N443)))</f>
        <v/>
      </c>
      <c r="AL443" t="str">
        <f>IF(OR($B443="",NOT(ISNUMBER(O443))),"",IF(COUNTIF(P443:$T443,O443)&gt;0,0,IF(COUNTIF($G443:$T443,"&gt;"&amp;O443)=0,"",SMALL($G443:$T443,COUNTIF($G443:$T443,"&lt;="&amp;O443)+1)-O443)))</f>
        <v/>
      </c>
      <c r="AM443" t="str">
        <f>IF(OR($B443="",NOT(ISNUMBER(P443))),"",IF(COUNTIF(Q443:$T443,P443)&gt;0,0,IF(COUNTIF($G443:$T443,"&gt;"&amp;P443)=0,"",SMALL($G443:$T443,COUNTIF($G443:$T443,"&lt;="&amp;P443)+1)-P443)))</f>
        <v/>
      </c>
      <c r="AN443" t="str">
        <f>IF(OR($B443="",NOT(ISNUMBER(Q443))),"",IF(COUNTIF(R443:$T443,Q443)&gt;0,0,IF(COUNTIF($G443:$T443,"&gt;"&amp;Q443)=0,"",SMALL($G443:$T443,COUNTIF($G443:$T443,"&lt;="&amp;Q443)+1)-Q443)))</f>
        <v/>
      </c>
      <c r="AO443" t="str">
        <f>IF(OR($B443="",NOT(ISNUMBER(R443))),"",IF(COUNTIF(S443:$T443,R443)&gt;0,0,IF(COUNTIF($G443:$T443,"&gt;"&amp;R443)=0,"",SMALL($G443:$T443,COUNTIF($G443:$T443,"&lt;="&amp;R443)+1)-R443)))</f>
        <v/>
      </c>
      <c r="AP443">
        <f t="shared" ca="1" si="105"/>
        <v>0</v>
      </c>
      <c r="AQ443" s="25" t="str">
        <f t="shared" si="106"/>
        <v/>
      </c>
      <c r="AR443" s="25" t="str">
        <f t="shared" si="107"/>
        <v/>
      </c>
      <c r="AS443" s="25">
        <f t="shared" si="108"/>
        <v>46304</v>
      </c>
      <c r="AT443" s="25">
        <f t="shared" si="109"/>
        <v>46304</v>
      </c>
      <c r="AU443" s="25" t="str">
        <f t="shared" si="110"/>
        <v/>
      </c>
      <c r="AV443" s="25" t="str">
        <f t="shared" si="111"/>
        <v/>
      </c>
      <c r="AW443" s="25" t="str">
        <f t="shared" si="112"/>
        <v/>
      </c>
      <c r="AX443" s="25" t="str">
        <f t="shared" si="113"/>
        <v/>
      </c>
      <c r="AY443" s="25" t="str">
        <f t="shared" si="114"/>
        <v/>
      </c>
      <c r="AZ443" s="25" t="str">
        <f t="shared" si="115"/>
        <v/>
      </c>
      <c r="BA443" s="25" t="str">
        <f t="shared" si="116"/>
        <v/>
      </c>
      <c r="BB443" s="25" t="str">
        <f t="shared" si="117"/>
        <v/>
      </c>
      <c r="BC443" s="25">
        <f t="shared" si="118"/>
        <v>46304</v>
      </c>
    </row>
    <row r="444" spans="1:55" x14ac:dyDescent="0.25">
      <c r="A444" s="151">
        <f t="shared" si="103"/>
        <v>442</v>
      </c>
      <c r="B444" s="151" t="s">
        <v>667</v>
      </c>
      <c r="C444" s="152" t="s">
        <v>668</v>
      </c>
      <c r="D444" s="151">
        <f t="shared" si="102"/>
        <v>1</v>
      </c>
      <c r="E444" s="151" t="s">
        <v>100</v>
      </c>
      <c r="F444" s="173">
        <v>46303</v>
      </c>
      <c r="G444" s="173"/>
      <c r="H444" s="173"/>
      <c r="I444" s="173">
        <v>46303</v>
      </c>
      <c r="J444" s="173">
        <v>46304</v>
      </c>
      <c r="K444" s="173"/>
      <c r="L444" s="173"/>
      <c r="M444" s="173"/>
      <c r="N444" s="173"/>
      <c r="O444" s="173"/>
      <c r="P444" s="173"/>
      <c r="Q444" s="173">
        <v>46305</v>
      </c>
      <c r="R444" s="173"/>
      <c r="S444" s="173"/>
      <c r="T444" s="174">
        <v>46305</v>
      </c>
      <c r="U444" s="151"/>
      <c r="V444" s="152"/>
      <c r="W444" s="175"/>
      <c r="X444" s="173"/>
      <c r="Y444" s="173"/>
      <c r="Z444" s="176" t="str">
        <f>IF(B444="","",IF(S444&lt;&gt;"","Sevk Edildi",IF(AND(X444&lt;&gt;"",Y444=""),"Reworkte",IF(T444&lt;&gt;"","Kapandı"&amp;IF(COUNT(G444:R444)=0,""," – "&amp;LOOKUP(2,1/(G444:R444=MAX(G444:R444)),{"Tasarım","Ply Cutter","Üretim","Kalite (Üretim sonrası)","Talaşlı","Kalite (Talaşlı sonrası)","Montaj","Kalite (Montaj sonrası)","Boya","Kalite (Boya sonrası)","Yarı Mamül","KM"})),IF(COUNT(G444:R444)=0,"Başlamadı",LOOKUP(2,1/(G444:R444=MAX(G444:R444)),{"Tasarımda","Ply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44" s="177">
        <f t="shared" ca="1" si="104"/>
        <v>2</v>
      </c>
      <c r="AB444" s="175"/>
      <c r="AD444" t="str">
        <f>IF(OR($B444="",NOT(ISNUMBER(G444))),"",IF(COUNTIF(H444:$T444,G444)&gt;0,0,IF(COUNTIF($G444:$T444,"&gt;"&amp;G444)=0,"",SMALL($G444:$T444,COUNTIF($G444:$T444,"&lt;="&amp;G444)+1)-G444)))</f>
        <v/>
      </c>
      <c r="AE444" t="str">
        <f>IF(OR($B444="",NOT(ISNUMBER(H444))),"",IF(COUNTIF(I444:$T444,H444)&gt;0,0,IF(COUNTIF($G444:$T444,"&gt;"&amp;H444)=0,"",SMALL($G444:$T444,COUNTIF($G444:$T444,"&lt;="&amp;H444)+1)-H444)))</f>
        <v/>
      </c>
      <c r="AF444">
        <f>IF(OR($B444="",NOT(ISNUMBER(I444))),"",IF(COUNTIF(J444:$T444,I444)&gt;0,0,IF(COUNTIF($G444:$T444,"&gt;"&amp;I444)=0,"",SMALL($G444:$T444,COUNTIF($G444:$T444,"&lt;="&amp;I444)+1)-I444)))</f>
        <v>1</v>
      </c>
      <c r="AG444">
        <f>IF(OR($B444="",NOT(ISNUMBER(J444))),"",IF(COUNTIF(K444:$T444,J444)&gt;0,0,IF(COUNTIF($G444:$T444,"&gt;"&amp;J444)=0,"",SMALL($G444:$T444,COUNTIF($G444:$T444,"&lt;="&amp;J444)+1)-J444)))</f>
        <v>1</v>
      </c>
      <c r="AH444" t="str">
        <f>IF(OR($B444="",NOT(ISNUMBER(K444))),"",IF(COUNTIF(L444:$T444,K444)&gt;0,0,IF(COUNTIF($G444:$T444,"&gt;"&amp;K444)=0,"",SMALL($G444:$T444,COUNTIF($G444:$T444,"&lt;="&amp;K444)+1)-K444)))</f>
        <v/>
      </c>
      <c r="AI444" t="str">
        <f>IF(OR($B444="",NOT(ISNUMBER(L444))),"",IF(COUNTIF(M444:$T444,L444)&gt;0,0,IF(COUNTIF($G444:$T444,"&gt;"&amp;L444)=0,"",SMALL($G444:$T444,COUNTIF($G444:$T444,"&lt;="&amp;L444)+1)-L444)))</f>
        <v/>
      </c>
      <c r="AJ444" t="str">
        <f>IF(OR($B444="",NOT(ISNUMBER(M444))),"",IF(COUNTIF(N444:$T444,M444)&gt;0,0,IF(COUNTIF($G444:$T444,"&gt;"&amp;M444)=0,"",SMALL($G444:$T444,COUNTIF($G444:$T444,"&lt;="&amp;M444)+1)-M444)))</f>
        <v/>
      </c>
      <c r="AK444" t="str">
        <f>IF(OR($B444="",NOT(ISNUMBER(N444))),"",IF(COUNTIF(O444:$T444,N444)&gt;0,0,IF(COUNTIF($G444:$T444,"&gt;"&amp;N444)=0,"",SMALL($G444:$T444,COUNTIF($G444:$T444,"&lt;="&amp;N444)+1)-N444)))</f>
        <v/>
      </c>
      <c r="AL444" t="str">
        <f>IF(OR($B444="",NOT(ISNUMBER(O444))),"",IF(COUNTIF(P444:$T444,O444)&gt;0,0,IF(COUNTIF($G444:$T444,"&gt;"&amp;O444)=0,"",SMALL($G444:$T444,COUNTIF($G444:$T444,"&lt;="&amp;O444)+1)-O444)))</f>
        <v/>
      </c>
      <c r="AM444" t="str">
        <f>IF(OR($B444="",NOT(ISNUMBER(P444))),"",IF(COUNTIF(Q444:$T444,P444)&gt;0,0,IF(COUNTIF($G444:$T444,"&gt;"&amp;P444)=0,"",SMALL($G444:$T444,COUNTIF($G444:$T444,"&lt;="&amp;P444)+1)-P444)))</f>
        <v/>
      </c>
      <c r="AN444">
        <f>IF(OR($B444="",NOT(ISNUMBER(Q444))),"",IF(COUNTIF(R444:$T444,Q444)&gt;0,0,IF(COUNTIF($G444:$T444,"&gt;"&amp;Q444)=0,"",SMALL($G444:$T444,COUNTIF($G444:$T444,"&lt;="&amp;Q444)+1)-Q444)))</f>
        <v>0</v>
      </c>
      <c r="AO444" t="str">
        <f>IF(OR($B444="",NOT(ISNUMBER(R444))),"",IF(COUNTIF(S444:$T444,R444)&gt;0,0,IF(COUNTIF($G444:$T444,"&gt;"&amp;R444)=0,"",SMALL($G444:$T444,COUNTIF($G444:$T444,"&lt;="&amp;R444)+1)-R444)))</f>
        <v/>
      </c>
      <c r="AP444">
        <f t="shared" ca="1" si="105"/>
        <v>0</v>
      </c>
      <c r="AQ444" s="25" t="str">
        <f t="shared" si="106"/>
        <v/>
      </c>
      <c r="AR444" s="25" t="str">
        <f t="shared" si="107"/>
        <v/>
      </c>
      <c r="AS444" s="25">
        <f t="shared" si="108"/>
        <v>46304</v>
      </c>
      <c r="AT444" s="25">
        <f t="shared" si="109"/>
        <v>46305</v>
      </c>
      <c r="AU444" s="25" t="str">
        <f t="shared" si="110"/>
        <v/>
      </c>
      <c r="AV444" s="25" t="str">
        <f t="shared" si="111"/>
        <v/>
      </c>
      <c r="AW444" s="25" t="str">
        <f t="shared" si="112"/>
        <v/>
      </c>
      <c r="AX444" s="25" t="str">
        <f t="shared" si="113"/>
        <v/>
      </c>
      <c r="AY444" s="25" t="str">
        <f t="shared" si="114"/>
        <v/>
      </c>
      <c r="AZ444" s="25" t="str">
        <f t="shared" si="115"/>
        <v/>
      </c>
      <c r="BA444" s="25">
        <f t="shared" si="116"/>
        <v>46305</v>
      </c>
      <c r="BB444" s="25" t="str">
        <f t="shared" si="117"/>
        <v/>
      </c>
      <c r="BC444" s="25">
        <f t="shared" si="118"/>
        <v>46305</v>
      </c>
    </row>
    <row r="445" spans="1:55" x14ac:dyDescent="0.25">
      <c r="A445" s="151">
        <f t="shared" si="103"/>
        <v>443</v>
      </c>
      <c r="B445" s="151" t="s">
        <v>669</v>
      </c>
      <c r="C445" s="152" t="s">
        <v>318</v>
      </c>
      <c r="D445" s="151">
        <f t="shared" si="102"/>
        <v>1</v>
      </c>
      <c r="E445" s="151" t="s">
        <v>61</v>
      </c>
      <c r="F445" s="173">
        <v>46303</v>
      </c>
      <c r="G445" s="173"/>
      <c r="H445" s="173"/>
      <c r="I445" s="173">
        <v>46303</v>
      </c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51"/>
      <c r="U445" s="151"/>
      <c r="V445" s="152"/>
      <c r="W445" s="175"/>
      <c r="X445" s="173"/>
      <c r="Y445" s="173"/>
      <c r="Z445" s="176" t="str">
        <f>IF(B445="","",IF(S445&lt;&gt;"","Sevk Edildi",IF(AND(X445&lt;&gt;"",Y445=""),"Reworkte",IF(T445&lt;&gt;"","Kapandı"&amp;IF(COUNT(G445:R445)=0,""," – "&amp;LOOKUP(2,1/(G445:R445=MAX(G445:R445)),{"Tasarım","Ply Cutter","Üretim","Kalite (Üretim sonrası)","Talaşlı","Kalite (Talaşlı sonrası)","Montaj","Kalite (Montaj sonrası)","Boya","Kalite (Boya sonrası)","Yarı Mamül","KM"})),IF(COUNT(G445:R445)=0,"Başlamadı",LOOKUP(2,1/(G445:R445=MAX(G445:R445)),{"Tasarımda","Ply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45" s="177">
        <f t="shared" ca="1" si="104"/>
        <v>4</v>
      </c>
      <c r="AB445" s="175" t="s">
        <v>977</v>
      </c>
      <c r="AD445" t="str">
        <f>IF(OR($B445="",NOT(ISNUMBER(G445))),"",IF(COUNTIF(H445:$T445,G445)&gt;0,0,IF(COUNTIF($G445:$T445,"&gt;"&amp;G445)=0,"",SMALL($G445:$T445,COUNTIF($G445:$T445,"&lt;="&amp;G445)+1)-G445)))</f>
        <v/>
      </c>
      <c r="AE445" t="str">
        <f>IF(OR($B445="",NOT(ISNUMBER(H445))),"",IF(COUNTIF(I445:$T445,H445)&gt;0,0,IF(COUNTIF($G445:$T445,"&gt;"&amp;H445)=0,"",SMALL($G445:$T445,COUNTIF($G445:$T445,"&lt;="&amp;H445)+1)-H445)))</f>
        <v/>
      </c>
      <c r="AF445" t="str">
        <f>IF(OR($B445="",NOT(ISNUMBER(I445))),"",IF(COUNTIF(J445:$T445,I445)&gt;0,0,IF(COUNTIF($G445:$T445,"&gt;"&amp;I445)=0,"",SMALL($G445:$T445,COUNTIF($G445:$T445,"&lt;="&amp;I445)+1)-I445)))</f>
        <v/>
      </c>
      <c r="AG445" t="str">
        <f>IF(OR($B445="",NOT(ISNUMBER(J445))),"",IF(COUNTIF(K445:$T445,J445)&gt;0,0,IF(COUNTIF($G445:$T445,"&gt;"&amp;J445)=0,"",SMALL($G445:$T445,COUNTIF($G445:$T445,"&lt;="&amp;J445)+1)-J445)))</f>
        <v/>
      </c>
      <c r="AH445" t="str">
        <f>IF(OR($B445="",NOT(ISNUMBER(K445))),"",IF(COUNTIF(L445:$T445,K445)&gt;0,0,IF(COUNTIF($G445:$T445,"&gt;"&amp;K445)=0,"",SMALL($G445:$T445,COUNTIF($G445:$T445,"&lt;="&amp;K445)+1)-K445)))</f>
        <v/>
      </c>
      <c r="AI445" t="str">
        <f>IF(OR($B445="",NOT(ISNUMBER(L445))),"",IF(COUNTIF(M445:$T445,L445)&gt;0,0,IF(COUNTIF($G445:$T445,"&gt;"&amp;L445)=0,"",SMALL($G445:$T445,COUNTIF($G445:$T445,"&lt;="&amp;L445)+1)-L445)))</f>
        <v/>
      </c>
      <c r="AJ445" t="str">
        <f>IF(OR($B445="",NOT(ISNUMBER(M445))),"",IF(COUNTIF(N445:$T445,M445)&gt;0,0,IF(COUNTIF($G445:$T445,"&gt;"&amp;M445)=0,"",SMALL($G445:$T445,COUNTIF($G445:$T445,"&lt;="&amp;M445)+1)-M445)))</f>
        <v/>
      </c>
      <c r="AK445" t="str">
        <f>IF(OR($B445="",NOT(ISNUMBER(N445))),"",IF(COUNTIF(O445:$T445,N445)&gt;0,0,IF(COUNTIF($G445:$T445,"&gt;"&amp;N445)=0,"",SMALL($G445:$T445,COUNTIF($G445:$T445,"&lt;="&amp;N445)+1)-N445)))</f>
        <v/>
      </c>
      <c r="AL445" t="str">
        <f>IF(OR($B445="",NOT(ISNUMBER(O445))),"",IF(COUNTIF(P445:$T445,O445)&gt;0,0,IF(COUNTIF($G445:$T445,"&gt;"&amp;O445)=0,"",SMALL($G445:$T445,COUNTIF($G445:$T445,"&lt;="&amp;O445)+1)-O445)))</f>
        <v/>
      </c>
      <c r="AM445" t="str">
        <f>IF(OR($B445="",NOT(ISNUMBER(P445))),"",IF(COUNTIF(Q445:$T445,P445)&gt;0,0,IF(COUNTIF($G445:$T445,"&gt;"&amp;P445)=0,"",SMALL($G445:$T445,COUNTIF($G445:$T445,"&lt;="&amp;P445)+1)-P445)))</f>
        <v/>
      </c>
      <c r="AN445" t="str">
        <f>IF(OR($B445="",NOT(ISNUMBER(Q445))),"",IF(COUNTIF(R445:$T445,Q445)&gt;0,0,IF(COUNTIF($G445:$T445,"&gt;"&amp;Q445)=0,"",SMALL($G445:$T445,COUNTIF($G445:$T445,"&lt;="&amp;Q445)+1)-Q445)))</f>
        <v/>
      </c>
      <c r="AO445" t="str">
        <f>IF(OR($B445="",NOT(ISNUMBER(R445))),"",IF(COUNTIF(S445:$T445,R445)&gt;0,0,IF(COUNTIF($G445:$T445,"&gt;"&amp;R445)=0,"",SMALL($G445:$T445,COUNTIF($G445:$T445,"&lt;="&amp;R445)+1)-R445)))</f>
        <v/>
      </c>
      <c r="AP445">
        <f t="shared" ca="1" si="105"/>
        <v>4</v>
      </c>
      <c r="AQ445" s="25" t="str">
        <f t="shared" si="106"/>
        <v/>
      </c>
      <c r="AR445" s="25" t="str">
        <f t="shared" si="107"/>
        <v/>
      </c>
      <c r="AS445" s="25" t="str">
        <f t="shared" si="108"/>
        <v/>
      </c>
      <c r="AT445" s="25" t="str">
        <f t="shared" si="109"/>
        <v/>
      </c>
      <c r="AU445" s="25" t="str">
        <f t="shared" si="110"/>
        <v/>
      </c>
      <c r="AV445" s="25" t="str">
        <f t="shared" si="111"/>
        <v/>
      </c>
      <c r="AW445" s="25" t="str">
        <f t="shared" si="112"/>
        <v/>
      </c>
      <c r="AX445" s="25" t="str">
        <f t="shared" si="113"/>
        <v/>
      </c>
      <c r="AY445" s="25" t="str">
        <f t="shared" si="114"/>
        <v/>
      </c>
      <c r="AZ445" s="25" t="str">
        <f t="shared" si="115"/>
        <v/>
      </c>
      <c r="BA445" s="25" t="str">
        <f t="shared" si="116"/>
        <v/>
      </c>
      <c r="BB445" s="25" t="str">
        <f t="shared" si="117"/>
        <v/>
      </c>
      <c r="BC445" s="25" t="str">
        <f t="shared" si="118"/>
        <v/>
      </c>
    </row>
    <row r="446" spans="1:55" x14ac:dyDescent="0.25">
      <c r="A446" s="151">
        <f t="shared" si="103"/>
        <v>444</v>
      </c>
      <c r="B446" s="151" t="s">
        <v>670</v>
      </c>
      <c r="C446" s="152" t="s">
        <v>671</v>
      </c>
      <c r="D446" s="151">
        <f t="shared" si="102"/>
        <v>1</v>
      </c>
      <c r="E446" s="151" t="s">
        <v>61</v>
      </c>
      <c r="F446" s="173">
        <v>46303</v>
      </c>
      <c r="G446" s="173"/>
      <c r="H446" s="173">
        <v>46303</v>
      </c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4">
        <v>46303</v>
      </c>
      <c r="U446" s="151"/>
      <c r="V446" s="152"/>
      <c r="W446" s="175"/>
      <c r="X446" s="173"/>
      <c r="Y446" s="173"/>
      <c r="Z446" s="176" t="str">
        <f>IF(B446="","",IF(S446&lt;&gt;"","Sevk Edildi",IF(AND(X446&lt;&gt;"",Y446=""),"Reworkte",IF(T446&lt;&gt;"","Kapandı"&amp;IF(COUNT(G446:R446)=0,""," – "&amp;LOOKUP(2,1/(G446:R446=MAX(G446:R446)),{"Tasarım","Ply Cutter","Üretim","Kalite (Üretim sonrası)","Talaşlı","Kalite (Talaşlı sonrası)","Montaj","Kalite (Montaj sonrası)","Boya","Kalite (Boya sonrası)","Yarı Mamül","KM"})),IF(COUNT(G446:R446)=0,"Başlamadı",LOOKUP(2,1/(G446:R446=MAX(G446:R446)),{"Tasarımda","Ply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46" s="177">
        <f t="shared" ca="1" si="104"/>
        <v>0</v>
      </c>
      <c r="AB446" s="175"/>
      <c r="AD446" t="str">
        <f>IF(OR($B446="",NOT(ISNUMBER(G446))),"",IF(COUNTIF(H446:$T446,G446)&gt;0,0,IF(COUNTIF($G446:$T446,"&gt;"&amp;G446)=0,"",SMALL($G446:$T446,COUNTIF($G446:$T446,"&lt;="&amp;G446)+1)-G446)))</f>
        <v/>
      </c>
      <c r="AE446">
        <f>IF(OR($B446="",NOT(ISNUMBER(H446))),"",IF(COUNTIF(I446:$T446,H446)&gt;0,0,IF(COUNTIF($G446:$T446,"&gt;"&amp;H446)=0,"",SMALL($G446:$T446,COUNTIF($G446:$T446,"&lt;="&amp;H446)+1)-H446)))</f>
        <v>0</v>
      </c>
      <c r="AF446" t="str">
        <f>IF(OR($B446="",NOT(ISNUMBER(I446))),"",IF(COUNTIF(J446:$T446,I446)&gt;0,0,IF(COUNTIF($G446:$T446,"&gt;"&amp;I446)=0,"",SMALL($G446:$T446,COUNTIF($G446:$T446,"&lt;="&amp;I446)+1)-I446)))</f>
        <v/>
      </c>
      <c r="AG446" t="str">
        <f>IF(OR($B446="",NOT(ISNUMBER(J446))),"",IF(COUNTIF(K446:$T446,J446)&gt;0,0,IF(COUNTIF($G446:$T446,"&gt;"&amp;J446)=0,"",SMALL($G446:$T446,COUNTIF($G446:$T446,"&lt;="&amp;J446)+1)-J446)))</f>
        <v/>
      </c>
      <c r="AH446" t="str">
        <f>IF(OR($B446="",NOT(ISNUMBER(K446))),"",IF(COUNTIF(L446:$T446,K446)&gt;0,0,IF(COUNTIF($G446:$T446,"&gt;"&amp;K446)=0,"",SMALL($G446:$T446,COUNTIF($G446:$T446,"&lt;="&amp;K446)+1)-K446)))</f>
        <v/>
      </c>
      <c r="AI446" t="str">
        <f>IF(OR($B446="",NOT(ISNUMBER(L446))),"",IF(COUNTIF(M446:$T446,L446)&gt;0,0,IF(COUNTIF($G446:$T446,"&gt;"&amp;L446)=0,"",SMALL($G446:$T446,COUNTIF($G446:$T446,"&lt;="&amp;L446)+1)-L446)))</f>
        <v/>
      </c>
      <c r="AJ446" t="str">
        <f>IF(OR($B446="",NOT(ISNUMBER(M446))),"",IF(COUNTIF(N446:$T446,M446)&gt;0,0,IF(COUNTIF($G446:$T446,"&gt;"&amp;M446)=0,"",SMALL($G446:$T446,COUNTIF($G446:$T446,"&lt;="&amp;M446)+1)-M446)))</f>
        <v/>
      </c>
      <c r="AK446" t="str">
        <f>IF(OR($B446="",NOT(ISNUMBER(N446))),"",IF(COUNTIF(O446:$T446,N446)&gt;0,0,IF(COUNTIF($G446:$T446,"&gt;"&amp;N446)=0,"",SMALL($G446:$T446,COUNTIF($G446:$T446,"&lt;="&amp;N446)+1)-N446)))</f>
        <v/>
      </c>
      <c r="AL446" t="str">
        <f>IF(OR($B446="",NOT(ISNUMBER(O446))),"",IF(COUNTIF(P446:$T446,O446)&gt;0,0,IF(COUNTIF($G446:$T446,"&gt;"&amp;O446)=0,"",SMALL($G446:$T446,COUNTIF($G446:$T446,"&lt;="&amp;O446)+1)-O446)))</f>
        <v/>
      </c>
      <c r="AM446" t="str">
        <f>IF(OR($B446="",NOT(ISNUMBER(P446))),"",IF(COUNTIF(Q446:$T446,P446)&gt;0,0,IF(COUNTIF($G446:$T446,"&gt;"&amp;P446)=0,"",SMALL($G446:$T446,COUNTIF($G446:$T446,"&lt;="&amp;P446)+1)-P446)))</f>
        <v/>
      </c>
      <c r="AN446" t="str">
        <f>IF(OR($B446="",NOT(ISNUMBER(Q446))),"",IF(COUNTIF(R446:$T446,Q446)&gt;0,0,IF(COUNTIF($G446:$T446,"&gt;"&amp;Q446)=0,"",SMALL($G446:$T446,COUNTIF($G446:$T446,"&lt;="&amp;Q446)+1)-Q446)))</f>
        <v/>
      </c>
      <c r="AO446" t="str">
        <f>IF(OR($B446="",NOT(ISNUMBER(R446))),"",IF(COUNTIF(S446:$T446,R446)&gt;0,0,IF(COUNTIF($G446:$T446,"&gt;"&amp;R446)=0,"",SMALL($G446:$T446,COUNTIF($G446:$T446,"&lt;="&amp;R446)+1)-R446)))</f>
        <v/>
      </c>
      <c r="AP446">
        <f t="shared" ca="1" si="105"/>
        <v>0</v>
      </c>
      <c r="AQ446" s="25" t="str">
        <f t="shared" si="106"/>
        <v/>
      </c>
      <c r="AR446" s="25">
        <f t="shared" si="107"/>
        <v>46303</v>
      </c>
      <c r="AS446" s="25" t="str">
        <f t="shared" si="108"/>
        <v/>
      </c>
      <c r="AT446" s="25" t="str">
        <f t="shared" si="109"/>
        <v/>
      </c>
      <c r="AU446" s="25" t="str">
        <f t="shared" si="110"/>
        <v/>
      </c>
      <c r="AV446" s="25" t="str">
        <f t="shared" si="111"/>
        <v/>
      </c>
      <c r="AW446" s="25" t="str">
        <f t="shared" si="112"/>
        <v/>
      </c>
      <c r="AX446" s="25" t="str">
        <f t="shared" si="113"/>
        <v/>
      </c>
      <c r="AY446" s="25" t="str">
        <f t="shared" si="114"/>
        <v/>
      </c>
      <c r="AZ446" s="25" t="str">
        <f t="shared" si="115"/>
        <v/>
      </c>
      <c r="BA446" s="25" t="str">
        <f t="shared" si="116"/>
        <v/>
      </c>
      <c r="BB446" s="25" t="str">
        <f t="shared" si="117"/>
        <v/>
      </c>
      <c r="BC446" s="25">
        <f t="shared" si="118"/>
        <v>46303</v>
      </c>
    </row>
    <row r="447" spans="1:55" x14ac:dyDescent="0.25">
      <c r="A447" s="151">
        <f t="shared" si="103"/>
        <v>445</v>
      </c>
      <c r="B447" s="151" t="s">
        <v>672</v>
      </c>
      <c r="C447" s="152" t="s">
        <v>271</v>
      </c>
      <c r="D447" s="151">
        <f t="shared" ref="D447:D510" si="119">IFERROR(VALUE(TRIM(MID(C447,FIND(" - ",C447)+3,FIND(" - ",C447,FIND(" - ",C447)+3)-FIND(" - ",C447)-3))),"")</f>
        <v>1</v>
      </c>
      <c r="E447" s="151" t="s">
        <v>61</v>
      </c>
      <c r="F447" s="173">
        <v>46303</v>
      </c>
      <c r="G447" s="173"/>
      <c r="H447" s="173"/>
      <c r="I447" s="173"/>
      <c r="J447" s="173"/>
      <c r="K447" s="173">
        <v>46303</v>
      </c>
      <c r="L447" s="173">
        <v>46303</v>
      </c>
      <c r="M447" s="173">
        <v>46304</v>
      </c>
      <c r="N447" s="173"/>
      <c r="O447" s="173"/>
      <c r="P447" s="173"/>
      <c r="Q447" s="173"/>
      <c r="R447" s="173"/>
      <c r="S447" s="173"/>
      <c r="T447" s="151"/>
      <c r="U447" s="151"/>
      <c r="V447" s="152"/>
      <c r="W447" s="175"/>
      <c r="X447" s="173"/>
      <c r="Y447" s="173"/>
      <c r="Z447" s="176" t="str">
        <f>IF(B447="","",IF(S447&lt;&gt;"","Sevk Edildi",IF(AND(X447&lt;&gt;"",Y447=""),"Reworkte",IF(T447&lt;&gt;"","Kapandı"&amp;IF(COUNT(G447:R447)=0,""," – "&amp;LOOKUP(2,1/(G447:R447=MAX(G447:R447)),{"Tasarım","Ply Cutter","Üretim","Kalite (Üretim sonrası)","Talaşlı","Kalite (Talaşlı sonrası)","Montaj","Kalite (Montaj sonrası)","Boya","Kalite (Boya sonrası)","Yarı Mamül","KM"})),IF(COUNT(G447:R447)=0,"Başlamadı",LOOKUP(2,1/(G447:R447=MAX(G447:R447)),{"Tasarımda","Ply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447" s="177">
        <f t="shared" ca="1" si="104"/>
        <v>4</v>
      </c>
      <c r="AB447" s="175"/>
      <c r="AD447" t="str">
        <f>IF(OR($B447="",NOT(ISNUMBER(G447))),"",IF(COUNTIF(H447:$T447,G447)&gt;0,0,IF(COUNTIF($G447:$T447,"&gt;"&amp;G447)=0,"",SMALL($G447:$T447,COUNTIF($G447:$T447,"&lt;="&amp;G447)+1)-G447)))</f>
        <v/>
      </c>
      <c r="AE447" t="str">
        <f>IF(OR($B447="",NOT(ISNUMBER(H447))),"",IF(COUNTIF(I447:$T447,H447)&gt;0,0,IF(COUNTIF($G447:$T447,"&gt;"&amp;H447)=0,"",SMALL($G447:$T447,COUNTIF($G447:$T447,"&lt;="&amp;H447)+1)-H447)))</f>
        <v/>
      </c>
      <c r="AF447" t="str">
        <f>IF(OR($B447="",NOT(ISNUMBER(I447))),"",IF(COUNTIF(J447:$T447,I447)&gt;0,0,IF(COUNTIF($G447:$T447,"&gt;"&amp;I447)=0,"",SMALL($G447:$T447,COUNTIF($G447:$T447,"&lt;="&amp;I447)+1)-I447)))</f>
        <v/>
      </c>
      <c r="AG447" t="str">
        <f>IF(OR($B447="",NOT(ISNUMBER(J447))),"",IF(COUNTIF(K447:$T447,J447)&gt;0,0,IF(COUNTIF($G447:$T447,"&gt;"&amp;J447)=0,"",SMALL($G447:$T447,COUNTIF($G447:$T447,"&lt;="&amp;J447)+1)-J447)))</f>
        <v/>
      </c>
      <c r="AH447">
        <f>IF(OR($B447="",NOT(ISNUMBER(K447))),"",IF(COUNTIF(L447:$T447,K447)&gt;0,0,IF(COUNTIF($G447:$T447,"&gt;"&amp;K447)=0,"",SMALL($G447:$T447,COUNTIF($G447:$T447,"&lt;="&amp;K447)+1)-K447)))</f>
        <v>0</v>
      </c>
      <c r="AI447">
        <f>IF(OR($B447="",NOT(ISNUMBER(L447))),"",IF(COUNTIF(M447:$T447,L447)&gt;0,0,IF(COUNTIF($G447:$T447,"&gt;"&amp;L447)=0,"",SMALL($G447:$T447,COUNTIF($G447:$T447,"&lt;="&amp;L447)+1)-L447)))</f>
        <v>1</v>
      </c>
      <c r="AJ447" t="str">
        <f>IF(OR($B447="",NOT(ISNUMBER(M447))),"",IF(COUNTIF(N447:$T447,M447)&gt;0,0,IF(COUNTIF($G447:$T447,"&gt;"&amp;M447)=0,"",SMALL($G447:$T447,COUNTIF($G447:$T447,"&lt;="&amp;M447)+1)-M447)))</f>
        <v/>
      </c>
      <c r="AK447" t="str">
        <f>IF(OR($B447="",NOT(ISNUMBER(N447))),"",IF(COUNTIF(O447:$T447,N447)&gt;0,0,IF(COUNTIF($G447:$T447,"&gt;"&amp;N447)=0,"",SMALL($G447:$T447,COUNTIF($G447:$T447,"&lt;="&amp;N447)+1)-N447)))</f>
        <v/>
      </c>
      <c r="AL447" t="str">
        <f>IF(OR($B447="",NOT(ISNUMBER(O447))),"",IF(COUNTIF(P447:$T447,O447)&gt;0,0,IF(COUNTIF($G447:$T447,"&gt;"&amp;O447)=0,"",SMALL($G447:$T447,COUNTIF($G447:$T447,"&lt;="&amp;O447)+1)-O447)))</f>
        <v/>
      </c>
      <c r="AM447" t="str">
        <f>IF(OR($B447="",NOT(ISNUMBER(P447))),"",IF(COUNTIF(Q447:$T447,P447)&gt;0,0,IF(COUNTIF($G447:$T447,"&gt;"&amp;P447)=0,"",SMALL($G447:$T447,COUNTIF($G447:$T447,"&lt;="&amp;P447)+1)-P447)))</f>
        <v/>
      </c>
      <c r="AN447" t="str">
        <f>IF(OR($B447="",NOT(ISNUMBER(Q447))),"",IF(COUNTIF(R447:$T447,Q447)&gt;0,0,IF(COUNTIF($G447:$T447,"&gt;"&amp;Q447)=0,"",SMALL($G447:$T447,COUNTIF($G447:$T447,"&lt;="&amp;Q447)+1)-Q447)))</f>
        <v/>
      </c>
      <c r="AO447" t="str">
        <f>IF(OR($B447="",NOT(ISNUMBER(R447))),"",IF(COUNTIF(S447:$T447,R447)&gt;0,0,IF(COUNTIF($G447:$T447,"&gt;"&amp;R447)=0,"",SMALL($G447:$T447,COUNTIF($G447:$T447,"&lt;="&amp;R447)+1)-R447)))</f>
        <v/>
      </c>
      <c r="AP447">
        <f t="shared" ca="1" si="105"/>
        <v>3</v>
      </c>
      <c r="AQ447" s="25" t="str">
        <f t="shared" si="106"/>
        <v/>
      </c>
      <c r="AR447" s="25" t="str">
        <f t="shared" si="107"/>
        <v/>
      </c>
      <c r="AS447" s="25" t="str">
        <f t="shared" si="108"/>
        <v/>
      </c>
      <c r="AT447" s="25" t="str">
        <f t="shared" si="109"/>
        <v/>
      </c>
      <c r="AU447" s="25">
        <f t="shared" si="110"/>
        <v>46303</v>
      </c>
      <c r="AV447" s="25">
        <f t="shared" si="111"/>
        <v>46304</v>
      </c>
      <c r="AW447" s="25" t="str">
        <f t="shared" si="112"/>
        <v/>
      </c>
      <c r="AX447" s="25" t="str">
        <f t="shared" si="113"/>
        <v/>
      </c>
      <c r="AY447" s="25" t="str">
        <f t="shared" si="114"/>
        <v/>
      </c>
      <c r="AZ447" s="25" t="str">
        <f t="shared" si="115"/>
        <v/>
      </c>
      <c r="BA447" s="25" t="str">
        <f t="shared" si="116"/>
        <v/>
      </c>
      <c r="BB447" s="25" t="str">
        <f t="shared" si="117"/>
        <v/>
      </c>
      <c r="BC447" s="25" t="str">
        <f t="shared" si="118"/>
        <v/>
      </c>
    </row>
    <row r="448" spans="1:55" x14ac:dyDescent="0.25">
      <c r="A448" s="151">
        <f t="shared" si="103"/>
        <v>446</v>
      </c>
      <c r="B448" s="151" t="s">
        <v>673</v>
      </c>
      <c r="C448" s="152" t="s">
        <v>376</v>
      </c>
      <c r="D448" s="151">
        <f t="shared" si="119"/>
        <v>2</v>
      </c>
      <c r="E448" s="151" t="s">
        <v>100</v>
      </c>
      <c r="F448" s="173">
        <v>46303</v>
      </c>
      <c r="G448" s="173"/>
      <c r="H448" s="173"/>
      <c r="I448" s="173"/>
      <c r="J448" s="173"/>
      <c r="K448" s="173"/>
      <c r="L448" s="173"/>
      <c r="M448" s="173"/>
      <c r="N448" s="173"/>
      <c r="O448" s="173">
        <v>46303</v>
      </c>
      <c r="P448" s="173"/>
      <c r="Q448" s="173"/>
      <c r="R448" s="173"/>
      <c r="S448" s="173"/>
      <c r="T448" s="151"/>
      <c r="U448" s="151"/>
      <c r="V448" s="152"/>
      <c r="W448" s="175"/>
      <c r="X448" s="173"/>
      <c r="Y448" s="173"/>
      <c r="Z448" s="176" t="str">
        <f>IF(B448="","",IF(S448&lt;&gt;"","Sevk Edildi",IF(AND(X448&lt;&gt;"",Y448=""),"Reworkte",IF(T448&lt;&gt;"","Kapandı"&amp;IF(COUNT(G448:R448)=0,""," – "&amp;LOOKUP(2,1/(G448:R448=MAX(G448:R448)),{"Tasarım","Ply Cutter","Üretim","Kalite (Üretim sonrası)","Talaşlı","Kalite (Talaşlı sonrası)","Montaj","Kalite (Montaj sonrası)","Boya","Kalite (Boya sonrası)","Yarı Mamül","KM"})),IF(COUNT(G448:R448)=0,"Başlamadı",LOOKUP(2,1/(G448:R448=MAX(G448:R448)),{"Tasarımda","Ply Cutter'da","Üretimde","Kalitede (Üretim sonrası)","Talaşlıda","Kalitede (Talaşlı sonrası)","Montajda","Kalitede (Montaj sonrası)","Boyada","Kalitede (Boya sonrası)","Yarı Mamülde","KM'de"}))))))</f>
        <v>Boyada</v>
      </c>
      <c r="AA448" s="177">
        <f t="shared" ca="1" si="104"/>
        <v>4</v>
      </c>
      <c r="AB448" s="175"/>
      <c r="AD448" t="str">
        <f>IF(OR($B448="",NOT(ISNUMBER(G448))),"",IF(COUNTIF(H448:$T448,G448)&gt;0,0,IF(COUNTIF($G448:$T448,"&gt;"&amp;G448)=0,"",SMALL($G448:$T448,COUNTIF($G448:$T448,"&lt;="&amp;G448)+1)-G448)))</f>
        <v/>
      </c>
      <c r="AE448" t="str">
        <f>IF(OR($B448="",NOT(ISNUMBER(H448))),"",IF(COUNTIF(I448:$T448,H448)&gt;0,0,IF(COUNTIF($G448:$T448,"&gt;"&amp;H448)=0,"",SMALL($G448:$T448,COUNTIF($G448:$T448,"&lt;="&amp;H448)+1)-H448)))</f>
        <v/>
      </c>
      <c r="AF448" t="str">
        <f>IF(OR($B448="",NOT(ISNUMBER(I448))),"",IF(COUNTIF(J448:$T448,I448)&gt;0,0,IF(COUNTIF($G448:$T448,"&gt;"&amp;I448)=0,"",SMALL($G448:$T448,COUNTIF($G448:$T448,"&lt;="&amp;I448)+1)-I448)))</f>
        <v/>
      </c>
      <c r="AG448" t="str">
        <f>IF(OR($B448="",NOT(ISNUMBER(J448))),"",IF(COUNTIF(K448:$T448,J448)&gt;0,0,IF(COUNTIF($G448:$T448,"&gt;"&amp;J448)=0,"",SMALL($G448:$T448,COUNTIF($G448:$T448,"&lt;="&amp;J448)+1)-J448)))</f>
        <v/>
      </c>
      <c r="AH448" t="str">
        <f>IF(OR($B448="",NOT(ISNUMBER(K448))),"",IF(COUNTIF(L448:$T448,K448)&gt;0,0,IF(COUNTIF($G448:$T448,"&gt;"&amp;K448)=0,"",SMALL($G448:$T448,COUNTIF($G448:$T448,"&lt;="&amp;K448)+1)-K448)))</f>
        <v/>
      </c>
      <c r="AI448" t="str">
        <f>IF(OR($B448="",NOT(ISNUMBER(L448))),"",IF(COUNTIF(M448:$T448,L448)&gt;0,0,IF(COUNTIF($G448:$T448,"&gt;"&amp;L448)=0,"",SMALL($G448:$T448,COUNTIF($G448:$T448,"&lt;="&amp;L448)+1)-L448)))</f>
        <v/>
      </c>
      <c r="AJ448" t="str">
        <f>IF(OR($B448="",NOT(ISNUMBER(M448))),"",IF(COUNTIF(N448:$T448,M448)&gt;0,0,IF(COUNTIF($G448:$T448,"&gt;"&amp;M448)=0,"",SMALL($G448:$T448,COUNTIF($G448:$T448,"&lt;="&amp;M448)+1)-M448)))</f>
        <v/>
      </c>
      <c r="AK448" t="str">
        <f>IF(OR($B448="",NOT(ISNUMBER(N448))),"",IF(COUNTIF(O448:$T448,N448)&gt;0,0,IF(COUNTIF($G448:$T448,"&gt;"&amp;N448)=0,"",SMALL($G448:$T448,COUNTIF($G448:$T448,"&lt;="&amp;N448)+1)-N448)))</f>
        <v/>
      </c>
      <c r="AL448" t="str">
        <f>IF(OR($B448="",NOT(ISNUMBER(O448))),"",IF(COUNTIF(P448:$T448,O448)&gt;0,0,IF(COUNTIF($G448:$T448,"&gt;"&amp;O448)=0,"",SMALL($G448:$T448,COUNTIF($G448:$T448,"&lt;="&amp;O448)+1)-O448)))</f>
        <v/>
      </c>
      <c r="AM448" t="str">
        <f>IF(OR($B448="",NOT(ISNUMBER(P448))),"",IF(COUNTIF(Q448:$T448,P448)&gt;0,0,IF(COUNTIF($G448:$T448,"&gt;"&amp;P448)=0,"",SMALL($G448:$T448,COUNTIF($G448:$T448,"&lt;="&amp;P448)+1)-P448)))</f>
        <v/>
      </c>
      <c r="AN448" t="str">
        <f>IF(OR($B448="",NOT(ISNUMBER(Q448))),"",IF(COUNTIF(R448:$T448,Q448)&gt;0,0,IF(COUNTIF($G448:$T448,"&gt;"&amp;Q448)=0,"",SMALL($G448:$T448,COUNTIF($G448:$T448,"&lt;="&amp;Q448)+1)-Q448)))</f>
        <v/>
      </c>
      <c r="AO448" t="str">
        <f>IF(OR($B448="",NOT(ISNUMBER(R448))),"",IF(COUNTIF(S448:$T448,R448)&gt;0,0,IF(COUNTIF($G448:$T448,"&gt;"&amp;R448)=0,"",SMALL($G448:$T448,COUNTIF($G448:$T448,"&lt;="&amp;R448)+1)-R448)))</f>
        <v/>
      </c>
      <c r="AP448">
        <f t="shared" ca="1" si="105"/>
        <v>4</v>
      </c>
      <c r="AQ448" s="25" t="str">
        <f t="shared" si="106"/>
        <v/>
      </c>
      <c r="AR448" s="25" t="str">
        <f t="shared" si="107"/>
        <v/>
      </c>
      <c r="AS448" s="25" t="str">
        <f t="shared" si="108"/>
        <v/>
      </c>
      <c r="AT448" s="25" t="str">
        <f t="shared" si="109"/>
        <v/>
      </c>
      <c r="AU448" s="25" t="str">
        <f t="shared" si="110"/>
        <v/>
      </c>
      <c r="AV448" s="25" t="str">
        <f t="shared" si="111"/>
        <v/>
      </c>
      <c r="AW448" s="25" t="str">
        <f t="shared" si="112"/>
        <v/>
      </c>
      <c r="AX448" s="25" t="str">
        <f t="shared" si="113"/>
        <v/>
      </c>
      <c r="AY448" s="25" t="str">
        <f t="shared" si="114"/>
        <v/>
      </c>
      <c r="AZ448" s="25" t="str">
        <f t="shared" si="115"/>
        <v/>
      </c>
      <c r="BA448" s="25" t="str">
        <f t="shared" si="116"/>
        <v/>
      </c>
      <c r="BB448" s="25" t="str">
        <f t="shared" si="117"/>
        <v/>
      </c>
      <c r="BC448" s="25" t="str">
        <f t="shared" si="118"/>
        <v/>
      </c>
    </row>
    <row r="449" spans="1:55" x14ac:dyDescent="0.25">
      <c r="A449" s="151">
        <f t="shared" si="103"/>
        <v>447</v>
      </c>
      <c r="B449" s="151" t="s">
        <v>674</v>
      </c>
      <c r="C449" s="152" t="s">
        <v>378</v>
      </c>
      <c r="D449" s="151">
        <f t="shared" si="119"/>
        <v>2</v>
      </c>
      <c r="E449" s="151" t="s">
        <v>100</v>
      </c>
      <c r="F449" s="173">
        <v>46303</v>
      </c>
      <c r="G449" s="173"/>
      <c r="H449" s="173"/>
      <c r="I449" s="173"/>
      <c r="J449" s="173"/>
      <c r="K449" s="173"/>
      <c r="L449" s="173"/>
      <c r="M449" s="173"/>
      <c r="N449" s="173"/>
      <c r="O449" s="173">
        <v>46303</v>
      </c>
      <c r="P449" s="173"/>
      <c r="Q449" s="173"/>
      <c r="R449" s="173"/>
      <c r="S449" s="173"/>
      <c r="T449" s="151"/>
      <c r="U449" s="151"/>
      <c r="V449" s="152"/>
      <c r="W449" s="175"/>
      <c r="X449" s="173"/>
      <c r="Y449" s="173"/>
      <c r="Z449" s="176" t="str">
        <f>IF(B449="","",IF(S449&lt;&gt;"","Sevk Edildi",IF(AND(X449&lt;&gt;"",Y449=""),"Reworkte",IF(T449&lt;&gt;"","Kapandı"&amp;IF(COUNT(G449:R449)=0,""," – "&amp;LOOKUP(2,1/(G449:R449=MAX(G449:R449)),{"Tasarım","Ply Cutter","Üretim","Kalite (Üretim sonrası)","Talaşlı","Kalite (Talaşlı sonrası)","Montaj","Kalite (Montaj sonrası)","Boya","Kalite (Boya sonrası)","Yarı Mamül","KM"})),IF(COUNT(G449:R449)=0,"Başlamadı",LOOKUP(2,1/(G449:R449=MAX(G449:R449)),{"Tasarımda","Ply Cutter'da","Üretimde","Kalitede (Üretim sonrası)","Talaşlıda","Kalitede (Talaşlı sonrası)","Montajda","Kalitede (Montaj sonrası)","Boyada","Kalitede (Boya sonrası)","Yarı Mamülde","KM'de"}))))))</f>
        <v>Boyada</v>
      </c>
      <c r="AA449" s="177">
        <f t="shared" ca="1" si="104"/>
        <v>4</v>
      </c>
      <c r="AB449" s="175"/>
      <c r="AD449" t="str">
        <f>IF(OR($B449="",NOT(ISNUMBER(G449))),"",IF(COUNTIF(H449:$T449,G449)&gt;0,0,IF(COUNTIF($G449:$T449,"&gt;"&amp;G449)=0,"",SMALL($G449:$T449,COUNTIF($G449:$T449,"&lt;="&amp;G449)+1)-G449)))</f>
        <v/>
      </c>
      <c r="AE449" t="str">
        <f>IF(OR($B449="",NOT(ISNUMBER(H449))),"",IF(COUNTIF(I449:$T449,H449)&gt;0,0,IF(COUNTIF($G449:$T449,"&gt;"&amp;H449)=0,"",SMALL($G449:$T449,COUNTIF($G449:$T449,"&lt;="&amp;H449)+1)-H449)))</f>
        <v/>
      </c>
      <c r="AF449" t="str">
        <f>IF(OR($B449="",NOT(ISNUMBER(I449))),"",IF(COUNTIF(J449:$T449,I449)&gt;0,0,IF(COUNTIF($G449:$T449,"&gt;"&amp;I449)=0,"",SMALL($G449:$T449,COUNTIF($G449:$T449,"&lt;="&amp;I449)+1)-I449)))</f>
        <v/>
      </c>
      <c r="AG449" t="str">
        <f>IF(OR($B449="",NOT(ISNUMBER(J449))),"",IF(COUNTIF(K449:$T449,J449)&gt;0,0,IF(COUNTIF($G449:$T449,"&gt;"&amp;J449)=0,"",SMALL($G449:$T449,COUNTIF($G449:$T449,"&lt;="&amp;J449)+1)-J449)))</f>
        <v/>
      </c>
      <c r="AH449" t="str">
        <f>IF(OR($B449="",NOT(ISNUMBER(K449))),"",IF(COUNTIF(L449:$T449,K449)&gt;0,0,IF(COUNTIF($G449:$T449,"&gt;"&amp;K449)=0,"",SMALL($G449:$T449,COUNTIF($G449:$T449,"&lt;="&amp;K449)+1)-K449)))</f>
        <v/>
      </c>
      <c r="AI449" t="str">
        <f>IF(OR($B449="",NOT(ISNUMBER(L449))),"",IF(COUNTIF(M449:$T449,L449)&gt;0,0,IF(COUNTIF($G449:$T449,"&gt;"&amp;L449)=0,"",SMALL($G449:$T449,COUNTIF($G449:$T449,"&lt;="&amp;L449)+1)-L449)))</f>
        <v/>
      </c>
      <c r="AJ449" t="str">
        <f>IF(OR($B449="",NOT(ISNUMBER(M449))),"",IF(COUNTIF(N449:$T449,M449)&gt;0,0,IF(COUNTIF($G449:$T449,"&gt;"&amp;M449)=0,"",SMALL($G449:$T449,COUNTIF($G449:$T449,"&lt;="&amp;M449)+1)-M449)))</f>
        <v/>
      </c>
      <c r="AK449" t="str">
        <f>IF(OR($B449="",NOT(ISNUMBER(N449))),"",IF(COUNTIF(O449:$T449,N449)&gt;0,0,IF(COUNTIF($G449:$T449,"&gt;"&amp;N449)=0,"",SMALL($G449:$T449,COUNTIF($G449:$T449,"&lt;="&amp;N449)+1)-N449)))</f>
        <v/>
      </c>
      <c r="AL449" t="str">
        <f>IF(OR($B449="",NOT(ISNUMBER(O449))),"",IF(COUNTIF(P449:$T449,O449)&gt;0,0,IF(COUNTIF($G449:$T449,"&gt;"&amp;O449)=0,"",SMALL($G449:$T449,COUNTIF($G449:$T449,"&lt;="&amp;O449)+1)-O449)))</f>
        <v/>
      </c>
      <c r="AM449" t="str">
        <f>IF(OR($B449="",NOT(ISNUMBER(P449))),"",IF(COUNTIF(Q449:$T449,P449)&gt;0,0,IF(COUNTIF($G449:$T449,"&gt;"&amp;P449)=0,"",SMALL($G449:$T449,COUNTIF($G449:$T449,"&lt;="&amp;P449)+1)-P449)))</f>
        <v/>
      </c>
      <c r="AN449" t="str">
        <f>IF(OR($B449="",NOT(ISNUMBER(Q449))),"",IF(COUNTIF(R449:$T449,Q449)&gt;0,0,IF(COUNTIF($G449:$T449,"&gt;"&amp;Q449)=0,"",SMALL($G449:$T449,COUNTIF($G449:$T449,"&lt;="&amp;Q449)+1)-Q449)))</f>
        <v/>
      </c>
      <c r="AO449" t="str">
        <f>IF(OR($B449="",NOT(ISNUMBER(R449))),"",IF(COUNTIF(S449:$T449,R449)&gt;0,0,IF(COUNTIF($G449:$T449,"&gt;"&amp;R449)=0,"",SMALL($G449:$T449,COUNTIF($G449:$T449,"&lt;="&amp;R449)+1)-R449)))</f>
        <v/>
      </c>
      <c r="AP449">
        <f t="shared" ca="1" si="105"/>
        <v>4</v>
      </c>
      <c r="AQ449" s="25" t="str">
        <f t="shared" si="106"/>
        <v/>
      </c>
      <c r="AR449" s="25" t="str">
        <f t="shared" si="107"/>
        <v/>
      </c>
      <c r="AS449" s="25" t="str">
        <f t="shared" si="108"/>
        <v/>
      </c>
      <c r="AT449" s="25" t="str">
        <f t="shared" si="109"/>
        <v/>
      </c>
      <c r="AU449" s="25" t="str">
        <f t="shared" si="110"/>
        <v/>
      </c>
      <c r="AV449" s="25" t="str">
        <f t="shared" si="111"/>
        <v/>
      </c>
      <c r="AW449" s="25" t="str">
        <f t="shared" si="112"/>
        <v/>
      </c>
      <c r="AX449" s="25" t="str">
        <f t="shared" si="113"/>
        <v/>
      </c>
      <c r="AY449" s="25" t="str">
        <f t="shared" si="114"/>
        <v/>
      </c>
      <c r="AZ449" s="25" t="str">
        <f t="shared" si="115"/>
        <v/>
      </c>
      <c r="BA449" s="25" t="str">
        <f t="shared" si="116"/>
        <v/>
      </c>
      <c r="BB449" s="25" t="str">
        <f t="shared" si="117"/>
        <v/>
      </c>
      <c r="BC449" s="25" t="str">
        <f t="shared" si="118"/>
        <v/>
      </c>
    </row>
    <row r="450" spans="1:55" x14ac:dyDescent="0.25">
      <c r="A450" s="151">
        <f t="shared" si="103"/>
        <v>448</v>
      </c>
      <c r="B450" s="151" t="s">
        <v>675</v>
      </c>
      <c r="C450" s="152" t="s">
        <v>676</v>
      </c>
      <c r="D450" s="151">
        <f t="shared" si="119"/>
        <v>262</v>
      </c>
      <c r="E450" s="151" t="s">
        <v>61</v>
      </c>
      <c r="F450" s="173">
        <v>46303</v>
      </c>
      <c r="G450" s="173"/>
      <c r="H450" s="173"/>
      <c r="I450" s="173"/>
      <c r="J450" s="173">
        <v>46303</v>
      </c>
      <c r="K450" s="173"/>
      <c r="L450" s="173"/>
      <c r="M450" s="173"/>
      <c r="N450" s="173"/>
      <c r="O450" s="173"/>
      <c r="P450" s="173"/>
      <c r="Q450" s="173"/>
      <c r="R450" s="173"/>
      <c r="S450" s="173"/>
      <c r="T450" s="174">
        <v>46303</v>
      </c>
      <c r="U450" s="151"/>
      <c r="V450" s="152"/>
      <c r="W450" s="175"/>
      <c r="X450" s="173"/>
      <c r="Y450" s="173"/>
      <c r="Z450" s="176" t="str">
        <f>IF(B450="","",IF(S450&lt;&gt;"","Sevk Edildi",IF(AND(X450&lt;&gt;"",Y450=""),"Reworkte",IF(T450&lt;&gt;"","Kapandı"&amp;IF(COUNT(G450:R450)=0,""," – "&amp;LOOKUP(2,1/(G450:R450=MAX(G450:R450)),{"Tasarım","Ply Cutter","Üretim","Kalite (Üretim sonrası)","Talaşlı","Kalite (Talaşlı sonrası)","Montaj","Kalite (Montaj sonrası)","Boya","Kalite (Boya sonrası)","Yarı Mamül","KM"})),IF(COUNT(G450:R450)=0,"Başlamadı",LOOKUP(2,1/(G450:R450=MAX(G450:R450)),{"Tasarımda","Ply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50" s="177">
        <f t="shared" ca="1" si="104"/>
        <v>0</v>
      </c>
      <c r="AB450" s="175"/>
      <c r="AD450" t="str">
        <f>IF(OR($B450="",NOT(ISNUMBER(G450))),"",IF(COUNTIF(H450:$T450,G450)&gt;0,0,IF(COUNTIF($G450:$T450,"&gt;"&amp;G450)=0,"",SMALL($G450:$T450,COUNTIF($G450:$T450,"&lt;="&amp;G450)+1)-G450)))</f>
        <v/>
      </c>
      <c r="AE450" t="str">
        <f>IF(OR($B450="",NOT(ISNUMBER(H450))),"",IF(COUNTIF(I450:$T450,H450)&gt;0,0,IF(COUNTIF($G450:$T450,"&gt;"&amp;H450)=0,"",SMALL($G450:$T450,COUNTIF($G450:$T450,"&lt;="&amp;H450)+1)-H450)))</f>
        <v/>
      </c>
      <c r="AF450" t="str">
        <f>IF(OR($B450="",NOT(ISNUMBER(I450))),"",IF(COUNTIF(J450:$T450,I450)&gt;0,0,IF(COUNTIF($G450:$T450,"&gt;"&amp;I450)=0,"",SMALL($G450:$T450,COUNTIF($G450:$T450,"&lt;="&amp;I450)+1)-I450)))</f>
        <v/>
      </c>
      <c r="AG450">
        <f>IF(OR($B450="",NOT(ISNUMBER(J450))),"",IF(COUNTIF(K450:$T450,J450)&gt;0,0,IF(COUNTIF($G450:$T450,"&gt;"&amp;J450)=0,"",SMALL($G450:$T450,COUNTIF($G450:$T450,"&lt;="&amp;J450)+1)-J450)))</f>
        <v>0</v>
      </c>
      <c r="AH450" t="str">
        <f>IF(OR($B450="",NOT(ISNUMBER(K450))),"",IF(COUNTIF(L450:$T450,K450)&gt;0,0,IF(COUNTIF($G450:$T450,"&gt;"&amp;K450)=0,"",SMALL($G450:$T450,COUNTIF($G450:$T450,"&lt;="&amp;K450)+1)-K450)))</f>
        <v/>
      </c>
      <c r="AI450" t="str">
        <f>IF(OR($B450="",NOT(ISNUMBER(L450))),"",IF(COUNTIF(M450:$T450,L450)&gt;0,0,IF(COUNTIF($G450:$T450,"&gt;"&amp;L450)=0,"",SMALL($G450:$T450,COUNTIF($G450:$T450,"&lt;="&amp;L450)+1)-L450)))</f>
        <v/>
      </c>
      <c r="AJ450" t="str">
        <f>IF(OR($B450="",NOT(ISNUMBER(M450))),"",IF(COUNTIF(N450:$T450,M450)&gt;0,0,IF(COUNTIF($G450:$T450,"&gt;"&amp;M450)=0,"",SMALL($G450:$T450,COUNTIF($G450:$T450,"&lt;="&amp;M450)+1)-M450)))</f>
        <v/>
      </c>
      <c r="AK450" t="str">
        <f>IF(OR($B450="",NOT(ISNUMBER(N450))),"",IF(COUNTIF(O450:$T450,N450)&gt;0,0,IF(COUNTIF($G450:$T450,"&gt;"&amp;N450)=0,"",SMALL($G450:$T450,COUNTIF($G450:$T450,"&lt;="&amp;N450)+1)-N450)))</f>
        <v/>
      </c>
      <c r="AL450" t="str">
        <f>IF(OR($B450="",NOT(ISNUMBER(O450))),"",IF(COUNTIF(P450:$T450,O450)&gt;0,0,IF(COUNTIF($G450:$T450,"&gt;"&amp;O450)=0,"",SMALL($G450:$T450,COUNTIF($G450:$T450,"&lt;="&amp;O450)+1)-O450)))</f>
        <v/>
      </c>
      <c r="AM450" t="str">
        <f>IF(OR($B450="",NOT(ISNUMBER(P450))),"",IF(COUNTIF(Q450:$T450,P450)&gt;0,0,IF(COUNTIF($G450:$T450,"&gt;"&amp;P450)=0,"",SMALL($G450:$T450,COUNTIF($G450:$T450,"&lt;="&amp;P450)+1)-P450)))</f>
        <v/>
      </c>
      <c r="AN450" t="str">
        <f>IF(OR($B450="",NOT(ISNUMBER(Q450))),"",IF(COUNTIF(R450:$T450,Q450)&gt;0,0,IF(COUNTIF($G450:$T450,"&gt;"&amp;Q450)=0,"",SMALL($G450:$T450,COUNTIF($G450:$T450,"&lt;="&amp;Q450)+1)-Q450)))</f>
        <v/>
      </c>
      <c r="AO450" t="str">
        <f>IF(OR($B450="",NOT(ISNUMBER(R450))),"",IF(COUNTIF(S450:$T450,R450)&gt;0,0,IF(COUNTIF($G450:$T450,"&gt;"&amp;R450)=0,"",SMALL($G450:$T450,COUNTIF($G450:$T450,"&lt;="&amp;R450)+1)-R450)))</f>
        <v/>
      </c>
      <c r="AP450">
        <f t="shared" ca="1" si="105"/>
        <v>0</v>
      </c>
      <c r="AQ450" s="25" t="str">
        <f t="shared" si="106"/>
        <v/>
      </c>
      <c r="AR450" s="25" t="str">
        <f t="shared" si="107"/>
        <v/>
      </c>
      <c r="AS450" s="25" t="str">
        <f t="shared" si="108"/>
        <v/>
      </c>
      <c r="AT450" s="25">
        <f t="shared" si="109"/>
        <v>46303</v>
      </c>
      <c r="AU450" s="25" t="str">
        <f t="shared" si="110"/>
        <v/>
      </c>
      <c r="AV450" s="25" t="str">
        <f t="shared" si="111"/>
        <v/>
      </c>
      <c r="AW450" s="25" t="str">
        <f t="shared" si="112"/>
        <v/>
      </c>
      <c r="AX450" s="25" t="str">
        <f t="shared" si="113"/>
        <v/>
      </c>
      <c r="AY450" s="25" t="str">
        <f t="shared" si="114"/>
        <v/>
      </c>
      <c r="AZ450" s="25" t="str">
        <f t="shared" si="115"/>
        <v/>
      </c>
      <c r="BA450" s="25" t="str">
        <f t="shared" si="116"/>
        <v/>
      </c>
      <c r="BB450" s="25" t="str">
        <f t="shared" si="117"/>
        <v/>
      </c>
      <c r="BC450" s="25">
        <f t="shared" si="118"/>
        <v>46303</v>
      </c>
    </row>
    <row r="451" spans="1:55" x14ac:dyDescent="0.25">
      <c r="A451" s="151">
        <f t="shared" ref="A451:A514" si="120">IF(B451="","",ROW()-2)</f>
        <v>449</v>
      </c>
      <c r="B451" s="151" t="s">
        <v>677</v>
      </c>
      <c r="C451" s="152" t="s">
        <v>678</v>
      </c>
      <c r="D451" s="151">
        <f t="shared" si="119"/>
        <v>180</v>
      </c>
      <c r="E451" s="151" t="s">
        <v>61</v>
      </c>
      <c r="F451" s="173">
        <v>46303</v>
      </c>
      <c r="G451" s="173"/>
      <c r="H451" s="173"/>
      <c r="I451" s="173"/>
      <c r="J451" s="173">
        <v>46303</v>
      </c>
      <c r="K451" s="173"/>
      <c r="L451" s="173"/>
      <c r="M451" s="173"/>
      <c r="N451" s="173"/>
      <c r="O451" s="173"/>
      <c r="P451" s="173"/>
      <c r="Q451" s="173"/>
      <c r="R451" s="173"/>
      <c r="S451" s="173"/>
      <c r="T451" s="174">
        <v>46303</v>
      </c>
      <c r="U451" s="151"/>
      <c r="V451" s="152"/>
      <c r="W451" s="175"/>
      <c r="X451" s="173"/>
      <c r="Y451" s="173"/>
      <c r="Z451" s="176" t="str">
        <f>IF(B451="","",IF(S451&lt;&gt;"","Sevk Edildi",IF(AND(X451&lt;&gt;"",Y451=""),"Reworkte",IF(T451&lt;&gt;"","Kapandı"&amp;IF(COUNT(G451:R451)=0,""," – "&amp;LOOKUP(2,1/(G451:R451=MAX(G451:R451)),{"Tasarım","Ply Cutter","Üretim","Kalite (Üretim sonrası)","Talaşlı","Kalite (Talaşlı sonrası)","Montaj","Kalite (Montaj sonrası)","Boya","Kalite (Boya sonrası)","Yarı Mamül","KM"})),IF(COUNT(G451:R451)=0,"Başlamadı",LOOKUP(2,1/(G451:R451=MAX(G451:R451)),{"Tasarımda","Ply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51" s="177">
        <f t="shared" ref="AA451:AA514" ca="1" si="121">IF(OR(B451="",F451=""),"",IFERROR(IF(S451&lt;&gt;"",S451-F451,IF(T451&lt;&gt;"",T451-F451,TODAY()-F451)),""))</f>
        <v>0</v>
      </c>
      <c r="AB451" s="175"/>
      <c r="AD451" t="str">
        <f>IF(OR($B451="",NOT(ISNUMBER(G451))),"",IF(COUNTIF(H451:$T451,G451)&gt;0,0,IF(COUNTIF($G451:$T451,"&gt;"&amp;G451)=0,"",SMALL($G451:$T451,COUNTIF($G451:$T451,"&lt;="&amp;G451)+1)-G451)))</f>
        <v/>
      </c>
      <c r="AE451" t="str">
        <f>IF(OR($B451="",NOT(ISNUMBER(H451))),"",IF(COUNTIF(I451:$T451,H451)&gt;0,0,IF(COUNTIF($G451:$T451,"&gt;"&amp;H451)=0,"",SMALL($G451:$T451,COUNTIF($G451:$T451,"&lt;="&amp;H451)+1)-H451)))</f>
        <v/>
      </c>
      <c r="AF451" t="str">
        <f>IF(OR($B451="",NOT(ISNUMBER(I451))),"",IF(COUNTIF(J451:$T451,I451)&gt;0,0,IF(COUNTIF($G451:$T451,"&gt;"&amp;I451)=0,"",SMALL($G451:$T451,COUNTIF($G451:$T451,"&lt;="&amp;I451)+1)-I451)))</f>
        <v/>
      </c>
      <c r="AG451">
        <f>IF(OR($B451="",NOT(ISNUMBER(J451))),"",IF(COUNTIF(K451:$T451,J451)&gt;0,0,IF(COUNTIF($G451:$T451,"&gt;"&amp;J451)=0,"",SMALL($G451:$T451,COUNTIF($G451:$T451,"&lt;="&amp;J451)+1)-J451)))</f>
        <v>0</v>
      </c>
      <c r="AH451" t="str">
        <f>IF(OR($B451="",NOT(ISNUMBER(K451))),"",IF(COUNTIF(L451:$T451,K451)&gt;0,0,IF(COUNTIF($G451:$T451,"&gt;"&amp;K451)=0,"",SMALL($G451:$T451,COUNTIF($G451:$T451,"&lt;="&amp;K451)+1)-K451)))</f>
        <v/>
      </c>
      <c r="AI451" t="str">
        <f>IF(OR($B451="",NOT(ISNUMBER(L451))),"",IF(COUNTIF(M451:$T451,L451)&gt;0,0,IF(COUNTIF($G451:$T451,"&gt;"&amp;L451)=0,"",SMALL($G451:$T451,COUNTIF($G451:$T451,"&lt;="&amp;L451)+1)-L451)))</f>
        <v/>
      </c>
      <c r="AJ451" t="str">
        <f>IF(OR($B451="",NOT(ISNUMBER(M451))),"",IF(COUNTIF(N451:$T451,M451)&gt;0,0,IF(COUNTIF($G451:$T451,"&gt;"&amp;M451)=0,"",SMALL($G451:$T451,COUNTIF($G451:$T451,"&lt;="&amp;M451)+1)-M451)))</f>
        <v/>
      </c>
      <c r="AK451" t="str">
        <f>IF(OR($B451="",NOT(ISNUMBER(N451))),"",IF(COUNTIF(O451:$T451,N451)&gt;0,0,IF(COUNTIF($G451:$T451,"&gt;"&amp;N451)=0,"",SMALL($G451:$T451,COUNTIF($G451:$T451,"&lt;="&amp;N451)+1)-N451)))</f>
        <v/>
      </c>
      <c r="AL451" t="str">
        <f>IF(OR($B451="",NOT(ISNUMBER(O451))),"",IF(COUNTIF(P451:$T451,O451)&gt;0,0,IF(COUNTIF($G451:$T451,"&gt;"&amp;O451)=0,"",SMALL($G451:$T451,COUNTIF($G451:$T451,"&lt;="&amp;O451)+1)-O451)))</f>
        <v/>
      </c>
      <c r="AM451" t="str">
        <f>IF(OR($B451="",NOT(ISNUMBER(P451))),"",IF(COUNTIF(Q451:$T451,P451)&gt;0,0,IF(COUNTIF($G451:$T451,"&gt;"&amp;P451)=0,"",SMALL($G451:$T451,COUNTIF($G451:$T451,"&lt;="&amp;P451)+1)-P451)))</f>
        <v/>
      </c>
      <c r="AN451" t="str">
        <f>IF(OR($B451="",NOT(ISNUMBER(Q451))),"",IF(COUNTIF(R451:$T451,Q451)&gt;0,0,IF(COUNTIF($G451:$T451,"&gt;"&amp;Q451)=0,"",SMALL($G451:$T451,COUNTIF($G451:$T451,"&lt;="&amp;Q451)+1)-Q451)))</f>
        <v/>
      </c>
      <c r="AO451" t="str">
        <f>IF(OR($B451="",NOT(ISNUMBER(R451))),"",IF(COUNTIF(S451:$T451,R451)&gt;0,0,IF(COUNTIF($G451:$T451,"&gt;"&amp;R451)=0,"",SMALL($G451:$T451,COUNTIF($G451:$T451,"&lt;="&amp;R451)+1)-R451)))</f>
        <v/>
      </c>
      <c r="AP451">
        <f t="shared" ref="AP451:AP514" ca="1" si="122">IF(OR($B451="",Z451="",Z451="Başlamadı",Z451="Sevk Edildi",Z451="Reworkte",LEFT(Z451,7)="Kapandı"),0,TODAY()-MAX($G451:$R451))</f>
        <v>0</v>
      </c>
      <c r="AQ451" s="25" t="str">
        <f t="shared" ref="AQ451:AQ514" si="123">IF(AND(ISNUMBER(G451),ISNUMBER(AD451)),G451+AD451,"")</f>
        <v/>
      </c>
      <c r="AR451" s="25" t="str">
        <f t="shared" ref="AR451:AR514" si="124">IF(AND(ISNUMBER(H451),ISNUMBER(AE451)),H451+AE451,"")</f>
        <v/>
      </c>
      <c r="AS451" s="25" t="str">
        <f t="shared" ref="AS451:AS514" si="125">IF(AND(ISNUMBER(I451),ISNUMBER(AF451)),I451+AF451,"")</f>
        <v/>
      </c>
      <c r="AT451" s="25">
        <f t="shared" ref="AT451:AT514" si="126">IF(AND(ISNUMBER(J451),ISNUMBER(AG451)),J451+AG451,"")</f>
        <v>46303</v>
      </c>
      <c r="AU451" s="25" t="str">
        <f t="shared" ref="AU451:AU514" si="127">IF(AND(ISNUMBER(K451),ISNUMBER(AH451)),K451+AH451,"")</f>
        <v/>
      </c>
      <c r="AV451" s="25" t="str">
        <f t="shared" ref="AV451:AV514" si="128">IF(AND(ISNUMBER(L451),ISNUMBER(AI451)),L451+AI451,"")</f>
        <v/>
      </c>
      <c r="AW451" s="25" t="str">
        <f t="shared" ref="AW451:AW514" si="129">IF(AND(ISNUMBER(M451),ISNUMBER(AJ451)),M451+AJ451,"")</f>
        <v/>
      </c>
      <c r="AX451" s="25" t="str">
        <f t="shared" ref="AX451:AX514" si="130">IF(AND(ISNUMBER(N451),ISNUMBER(AK451)),N451+AK451,"")</f>
        <v/>
      </c>
      <c r="AY451" s="25" t="str">
        <f t="shared" ref="AY451:AY514" si="131">IF(AND(ISNUMBER(O451),ISNUMBER(AL451)),O451+AL451,"")</f>
        <v/>
      </c>
      <c r="AZ451" s="25" t="str">
        <f t="shared" ref="AZ451:AZ514" si="132">IF(AND(ISNUMBER(P451),ISNUMBER(AM451)),P451+AM451,"")</f>
        <v/>
      </c>
      <c r="BA451" s="25" t="str">
        <f t="shared" ref="BA451:BA514" si="133">IF(AND(ISNUMBER(Q451),ISNUMBER(AN451)),Q451+AN451,"")</f>
        <v/>
      </c>
      <c r="BB451" s="25" t="str">
        <f t="shared" ref="BB451:BB514" si="134">IF(AND(ISNUMBER(R451),ISNUMBER(AO451)),R451+AO451,"")</f>
        <v/>
      </c>
      <c r="BC451" s="25">
        <f t="shared" ref="BC451:BC514" si="135">IF(AND(S451="",T451=""),"",MIN(S451,T451))</f>
        <v>46303</v>
      </c>
    </row>
    <row r="452" spans="1:55" x14ac:dyDescent="0.25">
      <c r="A452" s="151">
        <f t="shared" si="120"/>
        <v>450</v>
      </c>
      <c r="B452" s="151" t="s">
        <v>679</v>
      </c>
      <c r="C452" s="152" t="s">
        <v>680</v>
      </c>
      <c r="D452" s="151">
        <f t="shared" si="119"/>
        <v>270</v>
      </c>
      <c r="E452" s="151" t="s">
        <v>61</v>
      </c>
      <c r="F452" s="173">
        <v>46303</v>
      </c>
      <c r="G452" s="173"/>
      <c r="H452" s="173"/>
      <c r="I452" s="173"/>
      <c r="J452" s="173">
        <v>46303</v>
      </c>
      <c r="K452" s="173"/>
      <c r="L452" s="173"/>
      <c r="M452" s="173"/>
      <c r="N452" s="173"/>
      <c r="O452" s="173"/>
      <c r="P452" s="173"/>
      <c r="Q452" s="173"/>
      <c r="R452" s="173"/>
      <c r="S452" s="173"/>
      <c r="T452" s="174">
        <v>46303</v>
      </c>
      <c r="U452" s="151"/>
      <c r="V452" s="152"/>
      <c r="W452" s="175"/>
      <c r="X452" s="173"/>
      <c r="Y452" s="173"/>
      <c r="Z452" s="176" t="str">
        <f>IF(B452="","",IF(S452&lt;&gt;"","Sevk Edildi",IF(AND(X452&lt;&gt;"",Y452=""),"Reworkte",IF(T452&lt;&gt;"","Kapandı"&amp;IF(COUNT(G452:R452)=0,""," – "&amp;LOOKUP(2,1/(G452:R452=MAX(G452:R452)),{"Tasarım","Ply Cutter","Üretim","Kalite (Üretim sonrası)","Talaşlı","Kalite (Talaşlı sonrası)","Montaj","Kalite (Montaj sonrası)","Boya","Kalite (Boya sonrası)","Yarı Mamül","KM"})),IF(COUNT(G452:R452)=0,"Başlamadı",LOOKUP(2,1/(G452:R452=MAX(G452:R452)),{"Tasarımda","Ply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52" s="177">
        <f t="shared" ca="1" si="121"/>
        <v>0</v>
      </c>
      <c r="AB452" s="175"/>
      <c r="AD452" t="str">
        <f>IF(OR($B452="",NOT(ISNUMBER(G452))),"",IF(COUNTIF(H452:$T452,G452)&gt;0,0,IF(COUNTIF($G452:$T452,"&gt;"&amp;G452)=0,"",SMALL($G452:$T452,COUNTIF($G452:$T452,"&lt;="&amp;G452)+1)-G452)))</f>
        <v/>
      </c>
      <c r="AE452" t="str">
        <f>IF(OR($B452="",NOT(ISNUMBER(H452))),"",IF(COUNTIF(I452:$T452,H452)&gt;0,0,IF(COUNTIF($G452:$T452,"&gt;"&amp;H452)=0,"",SMALL($G452:$T452,COUNTIF($G452:$T452,"&lt;="&amp;H452)+1)-H452)))</f>
        <v/>
      </c>
      <c r="AF452" t="str">
        <f>IF(OR($B452="",NOT(ISNUMBER(I452))),"",IF(COUNTIF(J452:$T452,I452)&gt;0,0,IF(COUNTIF($G452:$T452,"&gt;"&amp;I452)=0,"",SMALL($G452:$T452,COUNTIF($G452:$T452,"&lt;="&amp;I452)+1)-I452)))</f>
        <v/>
      </c>
      <c r="AG452">
        <f>IF(OR($B452="",NOT(ISNUMBER(J452))),"",IF(COUNTIF(K452:$T452,J452)&gt;0,0,IF(COUNTIF($G452:$T452,"&gt;"&amp;J452)=0,"",SMALL($G452:$T452,COUNTIF($G452:$T452,"&lt;="&amp;J452)+1)-J452)))</f>
        <v>0</v>
      </c>
      <c r="AH452" t="str">
        <f>IF(OR($B452="",NOT(ISNUMBER(K452))),"",IF(COUNTIF(L452:$T452,K452)&gt;0,0,IF(COUNTIF($G452:$T452,"&gt;"&amp;K452)=0,"",SMALL($G452:$T452,COUNTIF($G452:$T452,"&lt;="&amp;K452)+1)-K452)))</f>
        <v/>
      </c>
      <c r="AI452" t="str">
        <f>IF(OR($B452="",NOT(ISNUMBER(L452))),"",IF(COUNTIF(M452:$T452,L452)&gt;0,0,IF(COUNTIF($G452:$T452,"&gt;"&amp;L452)=0,"",SMALL($G452:$T452,COUNTIF($G452:$T452,"&lt;="&amp;L452)+1)-L452)))</f>
        <v/>
      </c>
      <c r="AJ452" t="str">
        <f>IF(OR($B452="",NOT(ISNUMBER(M452))),"",IF(COUNTIF(N452:$T452,M452)&gt;0,0,IF(COUNTIF($G452:$T452,"&gt;"&amp;M452)=0,"",SMALL($G452:$T452,COUNTIF($G452:$T452,"&lt;="&amp;M452)+1)-M452)))</f>
        <v/>
      </c>
      <c r="AK452" t="str">
        <f>IF(OR($B452="",NOT(ISNUMBER(N452))),"",IF(COUNTIF(O452:$T452,N452)&gt;0,0,IF(COUNTIF($G452:$T452,"&gt;"&amp;N452)=0,"",SMALL($G452:$T452,COUNTIF($G452:$T452,"&lt;="&amp;N452)+1)-N452)))</f>
        <v/>
      </c>
      <c r="AL452" t="str">
        <f>IF(OR($B452="",NOT(ISNUMBER(O452))),"",IF(COUNTIF(P452:$T452,O452)&gt;0,0,IF(COUNTIF($G452:$T452,"&gt;"&amp;O452)=0,"",SMALL($G452:$T452,COUNTIF($G452:$T452,"&lt;="&amp;O452)+1)-O452)))</f>
        <v/>
      </c>
      <c r="AM452" t="str">
        <f>IF(OR($B452="",NOT(ISNUMBER(P452))),"",IF(COUNTIF(Q452:$T452,P452)&gt;0,0,IF(COUNTIF($G452:$T452,"&gt;"&amp;P452)=0,"",SMALL($G452:$T452,COUNTIF($G452:$T452,"&lt;="&amp;P452)+1)-P452)))</f>
        <v/>
      </c>
      <c r="AN452" t="str">
        <f>IF(OR($B452="",NOT(ISNUMBER(Q452))),"",IF(COUNTIF(R452:$T452,Q452)&gt;0,0,IF(COUNTIF($G452:$T452,"&gt;"&amp;Q452)=0,"",SMALL($G452:$T452,COUNTIF($G452:$T452,"&lt;="&amp;Q452)+1)-Q452)))</f>
        <v/>
      </c>
      <c r="AO452" t="str">
        <f>IF(OR($B452="",NOT(ISNUMBER(R452))),"",IF(COUNTIF(S452:$T452,R452)&gt;0,0,IF(COUNTIF($G452:$T452,"&gt;"&amp;R452)=0,"",SMALL($G452:$T452,COUNTIF($G452:$T452,"&lt;="&amp;R452)+1)-R452)))</f>
        <v/>
      </c>
      <c r="AP452">
        <f t="shared" ca="1" si="122"/>
        <v>0</v>
      </c>
      <c r="AQ452" s="25" t="str">
        <f t="shared" si="123"/>
        <v/>
      </c>
      <c r="AR452" s="25" t="str">
        <f t="shared" si="124"/>
        <v/>
      </c>
      <c r="AS452" s="25" t="str">
        <f t="shared" si="125"/>
        <v/>
      </c>
      <c r="AT452" s="25">
        <f t="shared" si="126"/>
        <v>46303</v>
      </c>
      <c r="AU452" s="25" t="str">
        <f t="shared" si="127"/>
        <v/>
      </c>
      <c r="AV452" s="25" t="str">
        <f t="shared" si="128"/>
        <v/>
      </c>
      <c r="AW452" s="25" t="str">
        <f t="shared" si="129"/>
        <v/>
      </c>
      <c r="AX452" s="25" t="str">
        <f t="shared" si="130"/>
        <v/>
      </c>
      <c r="AY452" s="25" t="str">
        <f t="shared" si="131"/>
        <v/>
      </c>
      <c r="AZ452" s="25" t="str">
        <f t="shared" si="132"/>
        <v/>
      </c>
      <c r="BA452" s="25" t="str">
        <f t="shared" si="133"/>
        <v/>
      </c>
      <c r="BB452" s="25" t="str">
        <f t="shared" si="134"/>
        <v/>
      </c>
      <c r="BC452" s="25">
        <f t="shared" si="135"/>
        <v>46303</v>
      </c>
    </row>
    <row r="453" spans="1:55" x14ac:dyDescent="0.25">
      <c r="A453" s="151">
        <f t="shared" si="120"/>
        <v>451</v>
      </c>
      <c r="B453" s="151" t="s">
        <v>681</v>
      </c>
      <c r="C453" s="152" t="s">
        <v>682</v>
      </c>
      <c r="D453" s="151">
        <f t="shared" si="119"/>
        <v>122</v>
      </c>
      <c r="E453" s="151" t="s">
        <v>61</v>
      </c>
      <c r="F453" s="173">
        <v>46303</v>
      </c>
      <c r="G453" s="173"/>
      <c r="H453" s="173"/>
      <c r="I453" s="173"/>
      <c r="J453" s="173">
        <v>46303</v>
      </c>
      <c r="K453" s="173"/>
      <c r="L453" s="173"/>
      <c r="M453" s="173"/>
      <c r="N453" s="173"/>
      <c r="O453" s="173"/>
      <c r="P453" s="173"/>
      <c r="Q453" s="173"/>
      <c r="R453" s="173"/>
      <c r="S453" s="173"/>
      <c r="T453" s="174">
        <v>46303</v>
      </c>
      <c r="U453" s="151"/>
      <c r="V453" s="152"/>
      <c r="W453" s="175"/>
      <c r="X453" s="173"/>
      <c r="Y453" s="173"/>
      <c r="Z453" s="176" t="str">
        <f>IF(B453="","",IF(S453&lt;&gt;"","Sevk Edildi",IF(AND(X453&lt;&gt;"",Y453=""),"Reworkte",IF(T453&lt;&gt;"","Kapandı"&amp;IF(COUNT(G453:R453)=0,""," – "&amp;LOOKUP(2,1/(G453:R453=MAX(G453:R453)),{"Tasarım","Ply Cutter","Üretim","Kalite (Üretim sonrası)","Talaşlı","Kalite (Talaşlı sonrası)","Montaj","Kalite (Montaj sonrası)","Boya","Kalite (Boya sonrası)","Yarı Mamül","KM"})),IF(COUNT(G453:R453)=0,"Başlamadı",LOOKUP(2,1/(G453:R453=MAX(G453:R453)),{"Tasarımda","Ply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53" s="177">
        <f t="shared" ca="1" si="121"/>
        <v>0</v>
      </c>
      <c r="AB453" s="175"/>
      <c r="AD453" t="str">
        <f>IF(OR($B453="",NOT(ISNUMBER(G453))),"",IF(COUNTIF(H453:$T453,G453)&gt;0,0,IF(COUNTIF($G453:$T453,"&gt;"&amp;G453)=0,"",SMALL($G453:$T453,COUNTIF($G453:$T453,"&lt;="&amp;G453)+1)-G453)))</f>
        <v/>
      </c>
      <c r="AE453" t="str">
        <f>IF(OR($B453="",NOT(ISNUMBER(H453))),"",IF(COUNTIF(I453:$T453,H453)&gt;0,0,IF(COUNTIF($G453:$T453,"&gt;"&amp;H453)=0,"",SMALL($G453:$T453,COUNTIF($G453:$T453,"&lt;="&amp;H453)+1)-H453)))</f>
        <v/>
      </c>
      <c r="AF453" t="str">
        <f>IF(OR($B453="",NOT(ISNUMBER(I453))),"",IF(COUNTIF(J453:$T453,I453)&gt;0,0,IF(COUNTIF($G453:$T453,"&gt;"&amp;I453)=0,"",SMALL($G453:$T453,COUNTIF($G453:$T453,"&lt;="&amp;I453)+1)-I453)))</f>
        <v/>
      </c>
      <c r="AG453">
        <f>IF(OR($B453="",NOT(ISNUMBER(J453))),"",IF(COUNTIF(K453:$T453,J453)&gt;0,0,IF(COUNTIF($G453:$T453,"&gt;"&amp;J453)=0,"",SMALL($G453:$T453,COUNTIF($G453:$T453,"&lt;="&amp;J453)+1)-J453)))</f>
        <v>0</v>
      </c>
      <c r="AH453" t="str">
        <f>IF(OR($B453="",NOT(ISNUMBER(K453))),"",IF(COUNTIF(L453:$T453,K453)&gt;0,0,IF(COUNTIF($G453:$T453,"&gt;"&amp;K453)=0,"",SMALL($G453:$T453,COUNTIF($G453:$T453,"&lt;="&amp;K453)+1)-K453)))</f>
        <v/>
      </c>
      <c r="AI453" t="str">
        <f>IF(OR($B453="",NOT(ISNUMBER(L453))),"",IF(COUNTIF(M453:$T453,L453)&gt;0,0,IF(COUNTIF($G453:$T453,"&gt;"&amp;L453)=0,"",SMALL($G453:$T453,COUNTIF($G453:$T453,"&lt;="&amp;L453)+1)-L453)))</f>
        <v/>
      </c>
      <c r="AJ453" t="str">
        <f>IF(OR($B453="",NOT(ISNUMBER(M453))),"",IF(COUNTIF(N453:$T453,M453)&gt;0,0,IF(COUNTIF($G453:$T453,"&gt;"&amp;M453)=0,"",SMALL($G453:$T453,COUNTIF($G453:$T453,"&lt;="&amp;M453)+1)-M453)))</f>
        <v/>
      </c>
      <c r="AK453" t="str">
        <f>IF(OR($B453="",NOT(ISNUMBER(N453))),"",IF(COUNTIF(O453:$T453,N453)&gt;0,0,IF(COUNTIF($G453:$T453,"&gt;"&amp;N453)=0,"",SMALL($G453:$T453,COUNTIF($G453:$T453,"&lt;="&amp;N453)+1)-N453)))</f>
        <v/>
      </c>
      <c r="AL453" t="str">
        <f>IF(OR($B453="",NOT(ISNUMBER(O453))),"",IF(COUNTIF(P453:$T453,O453)&gt;0,0,IF(COUNTIF($G453:$T453,"&gt;"&amp;O453)=0,"",SMALL($G453:$T453,COUNTIF($G453:$T453,"&lt;="&amp;O453)+1)-O453)))</f>
        <v/>
      </c>
      <c r="AM453" t="str">
        <f>IF(OR($B453="",NOT(ISNUMBER(P453))),"",IF(COUNTIF(Q453:$T453,P453)&gt;0,0,IF(COUNTIF($G453:$T453,"&gt;"&amp;P453)=0,"",SMALL($G453:$T453,COUNTIF($G453:$T453,"&lt;="&amp;P453)+1)-P453)))</f>
        <v/>
      </c>
      <c r="AN453" t="str">
        <f>IF(OR($B453="",NOT(ISNUMBER(Q453))),"",IF(COUNTIF(R453:$T453,Q453)&gt;0,0,IF(COUNTIF($G453:$T453,"&gt;"&amp;Q453)=0,"",SMALL($G453:$T453,COUNTIF($G453:$T453,"&lt;="&amp;Q453)+1)-Q453)))</f>
        <v/>
      </c>
      <c r="AO453" t="str">
        <f>IF(OR($B453="",NOT(ISNUMBER(R453))),"",IF(COUNTIF(S453:$T453,R453)&gt;0,0,IF(COUNTIF($G453:$T453,"&gt;"&amp;R453)=0,"",SMALL($G453:$T453,COUNTIF($G453:$T453,"&lt;="&amp;R453)+1)-R453)))</f>
        <v/>
      </c>
      <c r="AP453">
        <f t="shared" ca="1" si="122"/>
        <v>0</v>
      </c>
      <c r="AQ453" s="25" t="str">
        <f t="shared" si="123"/>
        <v/>
      </c>
      <c r="AR453" s="25" t="str">
        <f t="shared" si="124"/>
        <v/>
      </c>
      <c r="AS453" s="25" t="str">
        <f t="shared" si="125"/>
        <v/>
      </c>
      <c r="AT453" s="25">
        <f t="shared" si="126"/>
        <v>46303</v>
      </c>
      <c r="AU453" s="25" t="str">
        <f t="shared" si="127"/>
        <v/>
      </c>
      <c r="AV453" s="25" t="str">
        <f t="shared" si="128"/>
        <v/>
      </c>
      <c r="AW453" s="25" t="str">
        <f t="shared" si="129"/>
        <v/>
      </c>
      <c r="AX453" s="25" t="str">
        <f t="shared" si="130"/>
        <v/>
      </c>
      <c r="AY453" s="25" t="str">
        <f t="shared" si="131"/>
        <v/>
      </c>
      <c r="AZ453" s="25" t="str">
        <f t="shared" si="132"/>
        <v/>
      </c>
      <c r="BA453" s="25" t="str">
        <f t="shared" si="133"/>
        <v/>
      </c>
      <c r="BB453" s="25" t="str">
        <f t="shared" si="134"/>
        <v/>
      </c>
      <c r="BC453" s="25">
        <f t="shared" si="135"/>
        <v>46303</v>
      </c>
    </row>
    <row r="454" spans="1:55" x14ac:dyDescent="0.25">
      <c r="A454" s="151">
        <f t="shared" si="120"/>
        <v>452</v>
      </c>
      <c r="B454" s="151" t="s">
        <v>683</v>
      </c>
      <c r="C454" s="152" t="s">
        <v>684</v>
      </c>
      <c r="D454" s="151">
        <f t="shared" si="119"/>
        <v>130</v>
      </c>
      <c r="E454" s="151" t="s">
        <v>61</v>
      </c>
      <c r="F454" s="173">
        <v>46303</v>
      </c>
      <c r="G454" s="173"/>
      <c r="H454" s="173"/>
      <c r="I454" s="173"/>
      <c r="J454" s="173">
        <v>46303</v>
      </c>
      <c r="K454" s="173"/>
      <c r="L454" s="173"/>
      <c r="M454" s="173"/>
      <c r="N454" s="173"/>
      <c r="O454" s="173"/>
      <c r="P454" s="173"/>
      <c r="Q454" s="173"/>
      <c r="R454" s="173"/>
      <c r="S454" s="173"/>
      <c r="T454" s="174">
        <v>46303</v>
      </c>
      <c r="U454" s="151"/>
      <c r="V454" s="152"/>
      <c r="W454" s="175"/>
      <c r="X454" s="173"/>
      <c r="Y454" s="173"/>
      <c r="Z454" s="176" t="str">
        <f>IF(B454="","",IF(S454&lt;&gt;"","Sevk Edildi",IF(AND(X454&lt;&gt;"",Y454=""),"Reworkte",IF(T454&lt;&gt;"","Kapandı"&amp;IF(COUNT(G454:R454)=0,""," – "&amp;LOOKUP(2,1/(G454:R454=MAX(G454:R454)),{"Tasarım","Ply Cutter","Üretim","Kalite (Üretim sonrası)","Talaşlı","Kalite (Talaşlı sonrası)","Montaj","Kalite (Montaj sonrası)","Boya","Kalite (Boya sonrası)","Yarı Mamül","KM"})),IF(COUNT(G454:R454)=0,"Başlamadı",LOOKUP(2,1/(G454:R454=MAX(G454:R454)),{"Tasarımda","Ply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54" s="177">
        <f t="shared" ca="1" si="121"/>
        <v>0</v>
      </c>
      <c r="AB454" s="175"/>
      <c r="AD454" t="str">
        <f>IF(OR($B454="",NOT(ISNUMBER(G454))),"",IF(COUNTIF(H454:$T454,G454)&gt;0,0,IF(COUNTIF($G454:$T454,"&gt;"&amp;G454)=0,"",SMALL($G454:$T454,COUNTIF($G454:$T454,"&lt;="&amp;G454)+1)-G454)))</f>
        <v/>
      </c>
      <c r="AE454" t="str">
        <f>IF(OR($B454="",NOT(ISNUMBER(H454))),"",IF(COUNTIF(I454:$T454,H454)&gt;0,0,IF(COUNTIF($G454:$T454,"&gt;"&amp;H454)=0,"",SMALL($G454:$T454,COUNTIF($G454:$T454,"&lt;="&amp;H454)+1)-H454)))</f>
        <v/>
      </c>
      <c r="AF454" t="str">
        <f>IF(OR($B454="",NOT(ISNUMBER(I454))),"",IF(COUNTIF(J454:$T454,I454)&gt;0,0,IF(COUNTIF($G454:$T454,"&gt;"&amp;I454)=0,"",SMALL($G454:$T454,COUNTIF($G454:$T454,"&lt;="&amp;I454)+1)-I454)))</f>
        <v/>
      </c>
      <c r="AG454">
        <f>IF(OR($B454="",NOT(ISNUMBER(J454))),"",IF(COUNTIF(K454:$T454,J454)&gt;0,0,IF(COUNTIF($G454:$T454,"&gt;"&amp;J454)=0,"",SMALL($G454:$T454,COUNTIF($G454:$T454,"&lt;="&amp;J454)+1)-J454)))</f>
        <v>0</v>
      </c>
      <c r="AH454" t="str">
        <f>IF(OR($B454="",NOT(ISNUMBER(K454))),"",IF(COUNTIF(L454:$T454,K454)&gt;0,0,IF(COUNTIF($G454:$T454,"&gt;"&amp;K454)=0,"",SMALL($G454:$T454,COUNTIF($G454:$T454,"&lt;="&amp;K454)+1)-K454)))</f>
        <v/>
      </c>
      <c r="AI454" t="str">
        <f>IF(OR($B454="",NOT(ISNUMBER(L454))),"",IF(COUNTIF(M454:$T454,L454)&gt;0,0,IF(COUNTIF($G454:$T454,"&gt;"&amp;L454)=0,"",SMALL($G454:$T454,COUNTIF($G454:$T454,"&lt;="&amp;L454)+1)-L454)))</f>
        <v/>
      </c>
      <c r="AJ454" t="str">
        <f>IF(OR($B454="",NOT(ISNUMBER(M454))),"",IF(COUNTIF(N454:$T454,M454)&gt;0,0,IF(COUNTIF($G454:$T454,"&gt;"&amp;M454)=0,"",SMALL($G454:$T454,COUNTIF($G454:$T454,"&lt;="&amp;M454)+1)-M454)))</f>
        <v/>
      </c>
      <c r="AK454" t="str">
        <f>IF(OR($B454="",NOT(ISNUMBER(N454))),"",IF(COUNTIF(O454:$T454,N454)&gt;0,0,IF(COUNTIF($G454:$T454,"&gt;"&amp;N454)=0,"",SMALL($G454:$T454,COUNTIF($G454:$T454,"&lt;="&amp;N454)+1)-N454)))</f>
        <v/>
      </c>
      <c r="AL454" t="str">
        <f>IF(OR($B454="",NOT(ISNUMBER(O454))),"",IF(COUNTIF(P454:$T454,O454)&gt;0,0,IF(COUNTIF($G454:$T454,"&gt;"&amp;O454)=0,"",SMALL($G454:$T454,COUNTIF($G454:$T454,"&lt;="&amp;O454)+1)-O454)))</f>
        <v/>
      </c>
      <c r="AM454" t="str">
        <f>IF(OR($B454="",NOT(ISNUMBER(P454))),"",IF(COUNTIF(Q454:$T454,P454)&gt;0,0,IF(COUNTIF($G454:$T454,"&gt;"&amp;P454)=0,"",SMALL($G454:$T454,COUNTIF($G454:$T454,"&lt;="&amp;P454)+1)-P454)))</f>
        <v/>
      </c>
      <c r="AN454" t="str">
        <f>IF(OR($B454="",NOT(ISNUMBER(Q454))),"",IF(COUNTIF(R454:$T454,Q454)&gt;0,0,IF(COUNTIF($G454:$T454,"&gt;"&amp;Q454)=0,"",SMALL($G454:$T454,COUNTIF($G454:$T454,"&lt;="&amp;Q454)+1)-Q454)))</f>
        <v/>
      </c>
      <c r="AO454" t="str">
        <f>IF(OR($B454="",NOT(ISNUMBER(R454))),"",IF(COUNTIF(S454:$T454,R454)&gt;0,0,IF(COUNTIF($G454:$T454,"&gt;"&amp;R454)=0,"",SMALL($G454:$T454,COUNTIF($G454:$T454,"&lt;="&amp;R454)+1)-R454)))</f>
        <v/>
      </c>
      <c r="AP454">
        <f t="shared" ca="1" si="122"/>
        <v>0</v>
      </c>
      <c r="AQ454" s="25" t="str">
        <f t="shared" si="123"/>
        <v/>
      </c>
      <c r="AR454" s="25" t="str">
        <f t="shared" si="124"/>
        <v/>
      </c>
      <c r="AS454" s="25" t="str">
        <f t="shared" si="125"/>
        <v/>
      </c>
      <c r="AT454" s="25">
        <f t="shared" si="126"/>
        <v>46303</v>
      </c>
      <c r="AU454" s="25" t="str">
        <f t="shared" si="127"/>
        <v/>
      </c>
      <c r="AV454" s="25" t="str">
        <f t="shared" si="128"/>
        <v/>
      </c>
      <c r="AW454" s="25" t="str">
        <f t="shared" si="129"/>
        <v/>
      </c>
      <c r="AX454" s="25" t="str">
        <f t="shared" si="130"/>
        <v/>
      </c>
      <c r="AY454" s="25" t="str">
        <f t="shared" si="131"/>
        <v/>
      </c>
      <c r="AZ454" s="25" t="str">
        <f t="shared" si="132"/>
        <v/>
      </c>
      <c r="BA454" s="25" t="str">
        <f t="shared" si="133"/>
        <v/>
      </c>
      <c r="BB454" s="25" t="str">
        <f t="shared" si="134"/>
        <v/>
      </c>
      <c r="BC454" s="25">
        <f t="shared" si="135"/>
        <v>46303</v>
      </c>
    </row>
    <row r="455" spans="1:55" x14ac:dyDescent="0.25">
      <c r="A455" s="151">
        <f t="shared" si="120"/>
        <v>453</v>
      </c>
      <c r="B455" s="151" t="s">
        <v>685</v>
      </c>
      <c r="C455" s="152" t="s">
        <v>686</v>
      </c>
      <c r="D455" s="151">
        <f t="shared" si="119"/>
        <v>1</v>
      </c>
      <c r="E455" s="151" t="s">
        <v>100</v>
      </c>
      <c r="F455" s="173">
        <v>46303</v>
      </c>
      <c r="G455" s="173"/>
      <c r="H455" s="173"/>
      <c r="I455" s="173"/>
      <c r="J455" s="173"/>
      <c r="K455" s="173">
        <v>46303</v>
      </c>
      <c r="L455" s="173"/>
      <c r="M455" s="173"/>
      <c r="N455" s="173"/>
      <c r="O455" s="173"/>
      <c r="P455" s="173"/>
      <c r="Q455" s="173"/>
      <c r="R455" s="173"/>
      <c r="S455" s="173"/>
      <c r="T455" s="174">
        <v>46305</v>
      </c>
      <c r="U455" s="151"/>
      <c r="V455" s="152"/>
      <c r="W455" s="175"/>
      <c r="X455" s="173"/>
      <c r="Y455" s="173"/>
      <c r="Z455" s="176" t="str">
        <f>IF(B455="","",IF(S455&lt;&gt;"","Sevk Edildi",IF(AND(X455&lt;&gt;"",Y455=""),"Reworkte",IF(T455&lt;&gt;"","Kapandı"&amp;IF(COUNT(G455:R455)=0,""," – "&amp;LOOKUP(2,1/(G455:R455=MAX(G455:R455)),{"Tasarım","Ply Cutter","Üretim","Kalite (Üretim sonrası)","Talaşlı","Kalite (Talaşlı sonrası)","Montaj","Kalite (Montaj sonrası)","Boya","Kalite (Boya sonrası)","Yarı Mamül","KM"})),IF(COUNT(G455:R455)=0,"Başlamadı",LOOKUP(2,1/(G455:R455=MAX(G455:R455)),{"Tasarımda","Ply Cutter'da","Üretimde","Kalitede (Üretim sonrası)","Talaşlıda","Kalitede (Talaşlı sonrası)","Montajda","Kalitede (Montaj sonrası)","Boyada","Kalitede (Boya sonrası)","Yarı Mamülde","KM'de"}))))))</f>
        <v>Kapandı – Talaşlı</v>
      </c>
      <c r="AA455" s="177">
        <f t="shared" ca="1" si="121"/>
        <v>2</v>
      </c>
      <c r="AB455" s="175"/>
      <c r="AD455" t="str">
        <f>IF(OR($B455="",NOT(ISNUMBER(G455))),"",IF(COUNTIF(H455:$T455,G455)&gt;0,0,IF(COUNTIF($G455:$T455,"&gt;"&amp;G455)=0,"",SMALL($G455:$T455,COUNTIF($G455:$T455,"&lt;="&amp;G455)+1)-G455)))</f>
        <v/>
      </c>
      <c r="AE455" t="str">
        <f>IF(OR($B455="",NOT(ISNUMBER(H455))),"",IF(COUNTIF(I455:$T455,H455)&gt;0,0,IF(COUNTIF($G455:$T455,"&gt;"&amp;H455)=0,"",SMALL($G455:$T455,COUNTIF($G455:$T455,"&lt;="&amp;H455)+1)-H455)))</f>
        <v/>
      </c>
      <c r="AF455" t="str">
        <f>IF(OR($B455="",NOT(ISNUMBER(I455))),"",IF(COUNTIF(J455:$T455,I455)&gt;0,0,IF(COUNTIF($G455:$T455,"&gt;"&amp;I455)=0,"",SMALL($G455:$T455,COUNTIF($G455:$T455,"&lt;="&amp;I455)+1)-I455)))</f>
        <v/>
      </c>
      <c r="AG455" t="str">
        <f>IF(OR($B455="",NOT(ISNUMBER(J455))),"",IF(COUNTIF(K455:$T455,J455)&gt;0,0,IF(COUNTIF($G455:$T455,"&gt;"&amp;J455)=0,"",SMALL($G455:$T455,COUNTIF($G455:$T455,"&lt;="&amp;J455)+1)-J455)))</f>
        <v/>
      </c>
      <c r="AH455">
        <f>IF(OR($B455="",NOT(ISNUMBER(K455))),"",IF(COUNTIF(L455:$T455,K455)&gt;0,0,IF(COUNTIF($G455:$T455,"&gt;"&amp;K455)=0,"",SMALL($G455:$T455,COUNTIF($G455:$T455,"&lt;="&amp;K455)+1)-K455)))</f>
        <v>2</v>
      </c>
      <c r="AI455" t="str">
        <f>IF(OR($B455="",NOT(ISNUMBER(L455))),"",IF(COUNTIF(M455:$T455,L455)&gt;0,0,IF(COUNTIF($G455:$T455,"&gt;"&amp;L455)=0,"",SMALL($G455:$T455,COUNTIF($G455:$T455,"&lt;="&amp;L455)+1)-L455)))</f>
        <v/>
      </c>
      <c r="AJ455" t="str">
        <f>IF(OR($B455="",NOT(ISNUMBER(M455))),"",IF(COUNTIF(N455:$T455,M455)&gt;0,0,IF(COUNTIF($G455:$T455,"&gt;"&amp;M455)=0,"",SMALL($G455:$T455,COUNTIF($G455:$T455,"&lt;="&amp;M455)+1)-M455)))</f>
        <v/>
      </c>
      <c r="AK455" t="str">
        <f>IF(OR($B455="",NOT(ISNUMBER(N455))),"",IF(COUNTIF(O455:$T455,N455)&gt;0,0,IF(COUNTIF($G455:$T455,"&gt;"&amp;N455)=0,"",SMALL($G455:$T455,COUNTIF($G455:$T455,"&lt;="&amp;N455)+1)-N455)))</f>
        <v/>
      </c>
      <c r="AL455" t="str">
        <f>IF(OR($B455="",NOT(ISNUMBER(O455))),"",IF(COUNTIF(P455:$T455,O455)&gt;0,0,IF(COUNTIF($G455:$T455,"&gt;"&amp;O455)=0,"",SMALL($G455:$T455,COUNTIF($G455:$T455,"&lt;="&amp;O455)+1)-O455)))</f>
        <v/>
      </c>
      <c r="AM455" t="str">
        <f>IF(OR($B455="",NOT(ISNUMBER(P455))),"",IF(COUNTIF(Q455:$T455,P455)&gt;0,0,IF(COUNTIF($G455:$T455,"&gt;"&amp;P455)=0,"",SMALL($G455:$T455,COUNTIF($G455:$T455,"&lt;="&amp;P455)+1)-P455)))</f>
        <v/>
      </c>
      <c r="AN455" t="str">
        <f>IF(OR($B455="",NOT(ISNUMBER(Q455))),"",IF(COUNTIF(R455:$T455,Q455)&gt;0,0,IF(COUNTIF($G455:$T455,"&gt;"&amp;Q455)=0,"",SMALL($G455:$T455,COUNTIF($G455:$T455,"&lt;="&amp;Q455)+1)-Q455)))</f>
        <v/>
      </c>
      <c r="AO455" t="str">
        <f>IF(OR($B455="",NOT(ISNUMBER(R455))),"",IF(COUNTIF(S455:$T455,R455)&gt;0,0,IF(COUNTIF($G455:$T455,"&gt;"&amp;R455)=0,"",SMALL($G455:$T455,COUNTIF($G455:$T455,"&lt;="&amp;R455)+1)-R455)))</f>
        <v/>
      </c>
      <c r="AP455">
        <f t="shared" ca="1" si="122"/>
        <v>0</v>
      </c>
      <c r="AQ455" s="25" t="str">
        <f t="shared" si="123"/>
        <v/>
      </c>
      <c r="AR455" s="25" t="str">
        <f t="shared" si="124"/>
        <v/>
      </c>
      <c r="AS455" s="25" t="str">
        <f t="shared" si="125"/>
        <v/>
      </c>
      <c r="AT455" s="25" t="str">
        <f t="shared" si="126"/>
        <v/>
      </c>
      <c r="AU455" s="25">
        <f t="shared" si="127"/>
        <v>46305</v>
      </c>
      <c r="AV455" s="25" t="str">
        <f t="shared" si="128"/>
        <v/>
      </c>
      <c r="AW455" s="25" t="str">
        <f t="shared" si="129"/>
        <v/>
      </c>
      <c r="AX455" s="25" t="str">
        <f t="shared" si="130"/>
        <v/>
      </c>
      <c r="AY455" s="25" t="str">
        <f t="shared" si="131"/>
        <v/>
      </c>
      <c r="AZ455" s="25" t="str">
        <f t="shared" si="132"/>
        <v/>
      </c>
      <c r="BA455" s="25" t="str">
        <f t="shared" si="133"/>
        <v/>
      </c>
      <c r="BB455" s="25" t="str">
        <f t="shared" si="134"/>
        <v/>
      </c>
      <c r="BC455" s="25">
        <f t="shared" si="135"/>
        <v>46305</v>
      </c>
    </row>
    <row r="456" spans="1:55" x14ac:dyDescent="0.25">
      <c r="A456" s="151">
        <f t="shared" si="120"/>
        <v>454</v>
      </c>
      <c r="B456" s="151" t="s">
        <v>687</v>
      </c>
      <c r="C456" s="152" t="s">
        <v>82</v>
      </c>
      <c r="D456" s="151">
        <f t="shared" si="119"/>
        <v>1</v>
      </c>
      <c r="E456" s="151" t="s">
        <v>61</v>
      </c>
      <c r="F456" s="173">
        <v>46303</v>
      </c>
      <c r="G456" s="173"/>
      <c r="H456" s="173"/>
      <c r="I456" s="173">
        <v>46303</v>
      </c>
      <c r="J456" s="173">
        <v>46304</v>
      </c>
      <c r="K456" s="173"/>
      <c r="L456" s="173"/>
      <c r="M456" s="173"/>
      <c r="N456" s="173"/>
      <c r="O456" s="173"/>
      <c r="P456" s="173"/>
      <c r="Q456" s="173"/>
      <c r="R456" s="173"/>
      <c r="S456" s="173"/>
      <c r="T456" s="174">
        <v>46304</v>
      </c>
      <c r="U456" s="151"/>
      <c r="V456" s="152"/>
      <c r="W456" s="175"/>
      <c r="X456" s="173"/>
      <c r="Y456" s="173"/>
      <c r="Z456" s="176" t="str">
        <f>IF(B456="","",IF(S456&lt;&gt;"","Sevk Edildi",IF(AND(X456&lt;&gt;"",Y456=""),"Reworkte",IF(T456&lt;&gt;"","Kapandı"&amp;IF(COUNT(G456:R456)=0,""," – "&amp;LOOKUP(2,1/(G456:R456=MAX(G456:R456)),{"Tasarım","Ply Cutter","Üretim","Kalite (Üretim sonrası)","Talaşlı","Kalite (Talaşlı sonrası)","Montaj","Kalite (Montaj sonrası)","Boya","Kalite (Boya sonrası)","Yarı Mamül","KM"})),IF(COUNT(G456:R456)=0,"Başlamadı",LOOKUP(2,1/(G456:R456=MAX(G456:R456)),{"Tasarımda","Ply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56" s="177">
        <f t="shared" ca="1" si="121"/>
        <v>1</v>
      </c>
      <c r="AB456" s="175"/>
      <c r="AD456" t="str">
        <f>IF(OR($B456="",NOT(ISNUMBER(G456))),"",IF(COUNTIF(H456:$T456,G456)&gt;0,0,IF(COUNTIF($G456:$T456,"&gt;"&amp;G456)=0,"",SMALL($G456:$T456,COUNTIF($G456:$T456,"&lt;="&amp;G456)+1)-G456)))</f>
        <v/>
      </c>
      <c r="AE456" t="str">
        <f>IF(OR($B456="",NOT(ISNUMBER(H456))),"",IF(COUNTIF(I456:$T456,H456)&gt;0,0,IF(COUNTIF($G456:$T456,"&gt;"&amp;H456)=0,"",SMALL($G456:$T456,COUNTIF($G456:$T456,"&lt;="&amp;H456)+1)-H456)))</f>
        <v/>
      </c>
      <c r="AF456">
        <f>IF(OR($B456="",NOT(ISNUMBER(I456))),"",IF(COUNTIF(J456:$T456,I456)&gt;0,0,IF(COUNTIF($G456:$T456,"&gt;"&amp;I456)=0,"",SMALL($G456:$T456,COUNTIF($G456:$T456,"&lt;="&amp;I456)+1)-I456)))</f>
        <v>1</v>
      </c>
      <c r="AG456">
        <f>IF(OR($B456="",NOT(ISNUMBER(J456))),"",IF(COUNTIF(K456:$T456,J456)&gt;0,0,IF(COUNTIF($G456:$T456,"&gt;"&amp;J456)=0,"",SMALL($G456:$T456,COUNTIF($G456:$T456,"&lt;="&amp;J456)+1)-J456)))</f>
        <v>0</v>
      </c>
      <c r="AH456" t="str">
        <f>IF(OR($B456="",NOT(ISNUMBER(K456))),"",IF(COUNTIF(L456:$T456,K456)&gt;0,0,IF(COUNTIF($G456:$T456,"&gt;"&amp;K456)=0,"",SMALL($G456:$T456,COUNTIF($G456:$T456,"&lt;="&amp;K456)+1)-K456)))</f>
        <v/>
      </c>
      <c r="AI456" t="str">
        <f>IF(OR($B456="",NOT(ISNUMBER(L456))),"",IF(COUNTIF(M456:$T456,L456)&gt;0,0,IF(COUNTIF($G456:$T456,"&gt;"&amp;L456)=0,"",SMALL($G456:$T456,COUNTIF($G456:$T456,"&lt;="&amp;L456)+1)-L456)))</f>
        <v/>
      </c>
      <c r="AJ456" t="str">
        <f>IF(OR($B456="",NOT(ISNUMBER(M456))),"",IF(COUNTIF(N456:$T456,M456)&gt;0,0,IF(COUNTIF($G456:$T456,"&gt;"&amp;M456)=0,"",SMALL($G456:$T456,COUNTIF($G456:$T456,"&lt;="&amp;M456)+1)-M456)))</f>
        <v/>
      </c>
      <c r="AK456" t="str">
        <f>IF(OR($B456="",NOT(ISNUMBER(N456))),"",IF(COUNTIF(O456:$T456,N456)&gt;0,0,IF(COUNTIF($G456:$T456,"&gt;"&amp;N456)=0,"",SMALL($G456:$T456,COUNTIF($G456:$T456,"&lt;="&amp;N456)+1)-N456)))</f>
        <v/>
      </c>
      <c r="AL456" t="str">
        <f>IF(OR($B456="",NOT(ISNUMBER(O456))),"",IF(COUNTIF(P456:$T456,O456)&gt;0,0,IF(COUNTIF($G456:$T456,"&gt;"&amp;O456)=0,"",SMALL($G456:$T456,COUNTIF($G456:$T456,"&lt;="&amp;O456)+1)-O456)))</f>
        <v/>
      </c>
      <c r="AM456" t="str">
        <f>IF(OR($B456="",NOT(ISNUMBER(P456))),"",IF(COUNTIF(Q456:$T456,P456)&gt;0,0,IF(COUNTIF($G456:$T456,"&gt;"&amp;P456)=0,"",SMALL($G456:$T456,COUNTIF($G456:$T456,"&lt;="&amp;P456)+1)-P456)))</f>
        <v/>
      </c>
      <c r="AN456" t="str">
        <f>IF(OR($B456="",NOT(ISNUMBER(Q456))),"",IF(COUNTIF(R456:$T456,Q456)&gt;0,0,IF(COUNTIF($G456:$T456,"&gt;"&amp;Q456)=0,"",SMALL($G456:$T456,COUNTIF($G456:$T456,"&lt;="&amp;Q456)+1)-Q456)))</f>
        <v/>
      </c>
      <c r="AO456" t="str">
        <f>IF(OR($B456="",NOT(ISNUMBER(R456))),"",IF(COUNTIF(S456:$T456,R456)&gt;0,0,IF(COUNTIF($G456:$T456,"&gt;"&amp;R456)=0,"",SMALL($G456:$T456,COUNTIF($G456:$T456,"&lt;="&amp;R456)+1)-R456)))</f>
        <v/>
      </c>
      <c r="AP456">
        <f t="shared" ca="1" si="122"/>
        <v>0</v>
      </c>
      <c r="AQ456" s="25" t="str">
        <f t="shared" si="123"/>
        <v/>
      </c>
      <c r="AR456" s="25" t="str">
        <f t="shared" si="124"/>
        <v/>
      </c>
      <c r="AS456" s="25">
        <f t="shared" si="125"/>
        <v>46304</v>
      </c>
      <c r="AT456" s="25">
        <f t="shared" si="126"/>
        <v>46304</v>
      </c>
      <c r="AU456" s="25" t="str">
        <f t="shared" si="127"/>
        <v/>
      </c>
      <c r="AV456" s="25" t="str">
        <f t="shared" si="128"/>
        <v/>
      </c>
      <c r="AW456" s="25" t="str">
        <f t="shared" si="129"/>
        <v/>
      </c>
      <c r="AX456" s="25" t="str">
        <f t="shared" si="130"/>
        <v/>
      </c>
      <c r="AY456" s="25" t="str">
        <f t="shared" si="131"/>
        <v/>
      </c>
      <c r="AZ456" s="25" t="str">
        <f t="shared" si="132"/>
        <v/>
      </c>
      <c r="BA456" s="25" t="str">
        <f t="shared" si="133"/>
        <v/>
      </c>
      <c r="BB456" s="25" t="str">
        <f t="shared" si="134"/>
        <v/>
      </c>
      <c r="BC456" s="25">
        <f t="shared" si="135"/>
        <v>46304</v>
      </c>
    </row>
    <row r="457" spans="1:55" x14ac:dyDescent="0.25">
      <c r="A457" s="151">
        <f t="shared" si="120"/>
        <v>455</v>
      </c>
      <c r="B457" s="151" t="s">
        <v>688</v>
      </c>
      <c r="C457" s="152" t="s">
        <v>92</v>
      </c>
      <c r="D457" s="151">
        <f t="shared" si="119"/>
        <v>2</v>
      </c>
      <c r="E457" s="151" t="s">
        <v>61</v>
      </c>
      <c r="F457" s="173">
        <v>46303</v>
      </c>
      <c r="G457" s="173"/>
      <c r="H457" s="173"/>
      <c r="I457" s="173">
        <v>46303</v>
      </c>
      <c r="J457" s="173">
        <v>46304</v>
      </c>
      <c r="K457" s="173"/>
      <c r="L457" s="173"/>
      <c r="M457" s="173"/>
      <c r="N457" s="173"/>
      <c r="O457" s="173"/>
      <c r="P457" s="173"/>
      <c r="Q457" s="173"/>
      <c r="R457" s="173"/>
      <c r="S457" s="173"/>
      <c r="T457" s="174">
        <v>46305</v>
      </c>
      <c r="U457" s="151"/>
      <c r="V457" s="152"/>
      <c r="W457" s="175"/>
      <c r="X457" s="173"/>
      <c r="Y457" s="173"/>
      <c r="Z457" s="176" t="str">
        <f>IF(B457="","",IF(S457&lt;&gt;"","Sevk Edildi",IF(AND(X457&lt;&gt;"",Y457=""),"Reworkte",IF(T457&lt;&gt;"","Kapandı"&amp;IF(COUNT(G457:R457)=0,""," – "&amp;LOOKUP(2,1/(G457:R457=MAX(G457:R457)),{"Tasarım","Ply Cutter","Üretim","Kalite (Üretim sonrası)","Talaşlı","Kalite (Talaşlı sonrası)","Montaj","Kalite (Montaj sonrası)","Boya","Kalite (Boya sonrası)","Yarı Mamül","KM"})),IF(COUNT(G457:R457)=0,"Başlamadı",LOOKUP(2,1/(G457:R457=MAX(G457:R457)),{"Tasarımda","Ply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57" s="177">
        <f t="shared" ca="1" si="121"/>
        <v>2</v>
      </c>
      <c r="AB457" s="175"/>
      <c r="AD457" t="str">
        <f>IF(OR($B457="",NOT(ISNUMBER(G457))),"",IF(COUNTIF(H457:$T457,G457)&gt;0,0,IF(COUNTIF($G457:$T457,"&gt;"&amp;G457)=0,"",SMALL($G457:$T457,COUNTIF($G457:$T457,"&lt;="&amp;G457)+1)-G457)))</f>
        <v/>
      </c>
      <c r="AE457" t="str">
        <f>IF(OR($B457="",NOT(ISNUMBER(H457))),"",IF(COUNTIF(I457:$T457,H457)&gt;0,0,IF(COUNTIF($G457:$T457,"&gt;"&amp;H457)=0,"",SMALL($G457:$T457,COUNTIF($G457:$T457,"&lt;="&amp;H457)+1)-H457)))</f>
        <v/>
      </c>
      <c r="AF457">
        <f>IF(OR($B457="",NOT(ISNUMBER(I457))),"",IF(COUNTIF(J457:$T457,I457)&gt;0,0,IF(COUNTIF($G457:$T457,"&gt;"&amp;I457)=0,"",SMALL($G457:$T457,COUNTIF($G457:$T457,"&lt;="&amp;I457)+1)-I457)))</f>
        <v>1</v>
      </c>
      <c r="AG457">
        <f>IF(OR($B457="",NOT(ISNUMBER(J457))),"",IF(COUNTIF(K457:$T457,J457)&gt;0,0,IF(COUNTIF($G457:$T457,"&gt;"&amp;J457)=0,"",SMALL($G457:$T457,COUNTIF($G457:$T457,"&lt;="&amp;J457)+1)-J457)))</f>
        <v>1</v>
      </c>
      <c r="AH457" t="str">
        <f>IF(OR($B457="",NOT(ISNUMBER(K457))),"",IF(COUNTIF(L457:$T457,K457)&gt;0,0,IF(COUNTIF($G457:$T457,"&gt;"&amp;K457)=0,"",SMALL($G457:$T457,COUNTIF($G457:$T457,"&lt;="&amp;K457)+1)-K457)))</f>
        <v/>
      </c>
      <c r="AI457" t="str">
        <f>IF(OR($B457="",NOT(ISNUMBER(L457))),"",IF(COUNTIF(M457:$T457,L457)&gt;0,0,IF(COUNTIF($G457:$T457,"&gt;"&amp;L457)=0,"",SMALL($G457:$T457,COUNTIF($G457:$T457,"&lt;="&amp;L457)+1)-L457)))</f>
        <v/>
      </c>
      <c r="AJ457" t="str">
        <f>IF(OR($B457="",NOT(ISNUMBER(M457))),"",IF(COUNTIF(N457:$T457,M457)&gt;0,0,IF(COUNTIF($G457:$T457,"&gt;"&amp;M457)=0,"",SMALL($G457:$T457,COUNTIF($G457:$T457,"&lt;="&amp;M457)+1)-M457)))</f>
        <v/>
      </c>
      <c r="AK457" t="str">
        <f>IF(OR($B457="",NOT(ISNUMBER(N457))),"",IF(COUNTIF(O457:$T457,N457)&gt;0,0,IF(COUNTIF($G457:$T457,"&gt;"&amp;N457)=0,"",SMALL($G457:$T457,COUNTIF($G457:$T457,"&lt;="&amp;N457)+1)-N457)))</f>
        <v/>
      </c>
      <c r="AL457" t="str">
        <f>IF(OR($B457="",NOT(ISNUMBER(O457))),"",IF(COUNTIF(P457:$T457,O457)&gt;0,0,IF(COUNTIF($G457:$T457,"&gt;"&amp;O457)=0,"",SMALL($G457:$T457,COUNTIF($G457:$T457,"&lt;="&amp;O457)+1)-O457)))</f>
        <v/>
      </c>
      <c r="AM457" t="str">
        <f>IF(OR($B457="",NOT(ISNUMBER(P457))),"",IF(COUNTIF(Q457:$T457,P457)&gt;0,0,IF(COUNTIF($G457:$T457,"&gt;"&amp;P457)=0,"",SMALL($G457:$T457,COUNTIF($G457:$T457,"&lt;="&amp;P457)+1)-P457)))</f>
        <v/>
      </c>
      <c r="AN457" t="str">
        <f>IF(OR($B457="",NOT(ISNUMBER(Q457))),"",IF(COUNTIF(R457:$T457,Q457)&gt;0,0,IF(COUNTIF($G457:$T457,"&gt;"&amp;Q457)=0,"",SMALL($G457:$T457,COUNTIF($G457:$T457,"&lt;="&amp;Q457)+1)-Q457)))</f>
        <v/>
      </c>
      <c r="AO457" t="str">
        <f>IF(OR($B457="",NOT(ISNUMBER(R457))),"",IF(COUNTIF(S457:$T457,R457)&gt;0,0,IF(COUNTIF($G457:$T457,"&gt;"&amp;R457)=0,"",SMALL($G457:$T457,COUNTIF($G457:$T457,"&lt;="&amp;R457)+1)-R457)))</f>
        <v/>
      </c>
      <c r="AP457">
        <f t="shared" ca="1" si="122"/>
        <v>0</v>
      </c>
      <c r="AQ457" s="25" t="str">
        <f t="shared" si="123"/>
        <v/>
      </c>
      <c r="AR457" s="25" t="str">
        <f t="shared" si="124"/>
        <v/>
      </c>
      <c r="AS457" s="25">
        <f t="shared" si="125"/>
        <v>46304</v>
      </c>
      <c r="AT457" s="25">
        <f t="shared" si="126"/>
        <v>46305</v>
      </c>
      <c r="AU457" s="25" t="str">
        <f t="shared" si="127"/>
        <v/>
      </c>
      <c r="AV457" s="25" t="str">
        <f t="shared" si="128"/>
        <v/>
      </c>
      <c r="AW457" s="25" t="str">
        <f t="shared" si="129"/>
        <v/>
      </c>
      <c r="AX457" s="25" t="str">
        <f t="shared" si="130"/>
        <v/>
      </c>
      <c r="AY457" s="25" t="str">
        <f t="shared" si="131"/>
        <v/>
      </c>
      <c r="AZ457" s="25" t="str">
        <f t="shared" si="132"/>
        <v/>
      </c>
      <c r="BA457" s="25" t="str">
        <f t="shared" si="133"/>
        <v/>
      </c>
      <c r="BB457" s="25" t="str">
        <f t="shared" si="134"/>
        <v/>
      </c>
      <c r="BC457" s="25">
        <f t="shared" si="135"/>
        <v>46305</v>
      </c>
    </row>
    <row r="458" spans="1:55" x14ac:dyDescent="0.25">
      <c r="A458" s="151">
        <f t="shared" si="120"/>
        <v>456</v>
      </c>
      <c r="B458" s="151" t="s">
        <v>689</v>
      </c>
      <c r="C458" s="152" t="s">
        <v>74</v>
      </c>
      <c r="D458" s="151">
        <f t="shared" si="119"/>
        <v>1</v>
      </c>
      <c r="E458" s="151" t="s">
        <v>61</v>
      </c>
      <c r="F458" s="173">
        <v>46303</v>
      </c>
      <c r="G458" s="173"/>
      <c r="H458" s="173"/>
      <c r="I458" s="173">
        <v>46303</v>
      </c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51"/>
      <c r="U458" s="151"/>
      <c r="V458" s="152"/>
      <c r="W458" s="175"/>
      <c r="X458" s="173"/>
      <c r="Y458" s="173"/>
      <c r="Z458" s="176" t="str">
        <f>IF(B458="","",IF(S458&lt;&gt;"","Sevk Edildi",IF(AND(X458&lt;&gt;"",Y458=""),"Reworkte",IF(T458&lt;&gt;"","Kapandı"&amp;IF(COUNT(G458:R458)=0,""," – "&amp;LOOKUP(2,1/(G458:R458=MAX(G458:R458)),{"Tasarım","Ply Cutter","Üretim","Kalite (Üretim sonrası)","Talaşlı","Kalite (Talaşlı sonrası)","Montaj","Kalite (Montaj sonrası)","Boya","Kalite (Boya sonrası)","Yarı Mamül","KM"})),IF(COUNT(G458:R458)=0,"Başlamadı",LOOKUP(2,1/(G458:R458=MAX(G458:R458)),{"Tasarımda","Ply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58" s="177">
        <f t="shared" ca="1" si="121"/>
        <v>4</v>
      </c>
      <c r="AB458" s="175"/>
      <c r="AD458" t="str">
        <f>IF(OR($B458="",NOT(ISNUMBER(G458))),"",IF(COUNTIF(H458:$T458,G458)&gt;0,0,IF(COUNTIF($G458:$T458,"&gt;"&amp;G458)=0,"",SMALL($G458:$T458,COUNTIF($G458:$T458,"&lt;="&amp;G458)+1)-G458)))</f>
        <v/>
      </c>
      <c r="AE458" t="str">
        <f>IF(OR($B458="",NOT(ISNUMBER(H458))),"",IF(COUNTIF(I458:$T458,H458)&gt;0,0,IF(COUNTIF($G458:$T458,"&gt;"&amp;H458)=0,"",SMALL($G458:$T458,COUNTIF($G458:$T458,"&lt;="&amp;H458)+1)-H458)))</f>
        <v/>
      </c>
      <c r="AF458" t="str">
        <f>IF(OR($B458="",NOT(ISNUMBER(I458))),"",IF(COUNTIF(J458:$T458,I458)&gt;0,0,IF(COUNTIF($G458:$T458,"&gt;"&amp;I458)=0,"",SMALL($G458:$T458,COUNTIF($G458:$T458,"&lt;="&amp;I458)+1)-I458)))</f>
        <v/>
      </c>
      <c r="AG458" t="str">
        <f>IF(OR($B458="",NOT(ISNUMBER(J458))),"",IF(COUNTIF(K458:$T458,J458)&gt;0,0,IF(COUNTIF($G458:$T458,"&gt;"&amp;J458)=0,"",SMALL($G458:$T458,COUNTIF($G458:$T458,"&lt;="&amp;J458)+1)-J458)))</f>
        <v/>
      </c>
      <c r="AH458" t="str">
        <f>IF(OR($B458="",NOT(ISNUMBER(K458))),"",IF(COUNTIF(L458:$T458,K458)&gt;0,0,IF(COUNTIF($G458:$T458,"&gt;"&amp;K458)=0,"",SMALL($G458:$T458,COUNTIF($G458:$T458,"&lt;="&amp;K458)+1)-K458)))</f>
        <v/>
      </c>
      <c r="AI458" t="str">
        <f>IF(OR($B458="",NOT(ISNUMBER(L458))),"",IF(COUNTIF(M458:$T458,L458)&gt;0,0,IF(COUNTIF($G458:$T458,"&gt;"&amp;L458)=0,"",SMALL($G458:$T458,COUNTIF($G458:$T458,"&lt;="&amp;L458)+1)-L458)))</f>
        <v/>
      </c>
      <c r="AJ458" t="str">
        <f>IF(OR($B458="",NOT(ISNUMBER(M458))),"",IF(COUNTIF(N458:$T458,M458)&gt;0,0,IF(COUNTIF($G458:$T458,"&gt;"&amp;M458)=0,"",SMALL($G458:$T458,COUNTIF($G458:$T458,"&lt;="&amp;M458)+1)-M458)))</f>
        <v/>
      </c>
      <c r="AK458" t="str">
        <f>IF(OR($B458="",NOT(ISNUMBER(N458))),"",IF(COUNTIF(O458:$T458,N458)&gt;0,0,IF(COUNTIF($G458:$T458,"&gt;"&amp;N458)=0,"",SMALL($G458:$T458,COUNTIF($G458:$T458,"&lt;="&amp;N458)+1)-N458)))</f>
        <v/>
      </c>
      <c r="AL458" t="str">
        <f>IF(OR($B458="",NOT(ISNUMBER(O458))),"",IF(COUNTIF(P458:$T458,O458)&gt;0,0,IF(COUNTIF($G458:$T458,"&gt;"&amp;O458)=0,"",SMALL($G458:$T458,COUNTIF($G458:$T458,"&lt;="&amp;O458)+1)-O458)))</f>
        <v/>
      </c>
      <c r="AM458" t="str">
        <f>IF(OR($B458="",NOT(ISNUMBER(P458))),"",IF(COUNTIF(Q458:$T458,P458)&gt;0,0,IF(COUNTIF($G458:$T458,"&gt;"&amp;P458)=0,"",SMALL($G458:$T458,COUNTIF($G458:$T458,"&lt;="&amp;P458)+1)-P458)))</f>
        <v/>
      </c>
      <c r="AN458" t="str">
        <f>IF(OR($B458="",NOT(ISNUMBER(Q458))),"",IF(COUNTIF(R458:$T458,Q458)&gt;0,0,IF(COUNTIF($G458:$T458,"&gt;"&amp;Q458)=0,"",SMALL($G458:$T458,COUNTIF($G458:$T458,"&lt;="&amp;Q458)+1)-Q458)))</f>
        <v/>
      </c>
      <c r="AO458" t="str">
        <f>IF(OR($B458="",NOT(ISNUMBER(R458))),"",IF(COUNTIF(S458:$T458,R458)&gt;0,0,IF(COUNTIF($G458:$T458,"&gt;"&amp;R458)=0,"",SMALL($G458:$T458,COUNTIF($G458:$T458,"&lt;="&amp;R458)+1)-R458)))</f>
        <v/>
      </c>
      <c r="AP458">
        <f t="shared" ca="1" si="122"/>
        <v>4</v>
      </c>
      <c r="AQ458" s="25" t="str">
        <f t="shared" si="123"/>
        <v/>
      </c>
      <c r="AR458" s="25" t="str">
        <f t="shared" si="124"/>
        <v/>
      </c>
      <c r="AS458" s="25" t="str">
        <f t="shared" si="125"/>
        <v/>
      </c>
      <c r="AT458" s="25" t="str">
        <f t="shared" si="126"/>
        <v/>
      </c>
      <c r="AU458" s="25" t="str">
        <f t="shared" si="127"/>
        <v/>
      </c>
      <c r="AV458" s="25" t="str">
        <f t="shared" si="128"/>
        <v/>
      </c>
      <c r="AW458" s="25" t="str">
        <f t="shared" si="129"/>
        <v/>
      </c>
      <c r="AX458" s="25" t="str">
        <f t="shared" si="130"/>
        <v/>
      </c>
      <c r="AY458" s="25" t="str">
        <f t="shared" si="131"/>
        <v/>
      </c>
      <c r="AZ458" s="25" t="str">
        <f t="shared" si="132"/>
        <v/>
      </c>
      <c r="BA458" s="25" t="str">
        <f t="shared" si="133"/>
        <v/>
      </c>
      <c r="BB458" s="25" t="str">
        <f t="shared" si="134"/>
        <v/>
      </c>
      <c r="BC458" s="25" t="str">
        <f t="shared" si="135"/>
        <v/>
      </c>
    </row>
    <row r="459" spans="1:55" x14ac:dyDescent="0.25">
      <c r="A459" s="151">
        <f t="shared" si="120"/>
        <v>457</v>
      </c>
      <c r="B459" s="151" t="s">
        <v>690</v>
      </c>
      <c r="C459" s="152" t="s">
        <v>691</v>
      </c>
      <c r="D459" s="151">
        <f t="shared" si="119"/>
        <v>2</v>
      </c>
      <c r="E459" s="151" t="s">
        <v>61</v>
      </c>
      <c r="F459" s="173">
        <v>46303</v>
      </c>
      <c r="G459" s="173"/>
      <c r="H459" s="173"/>
      <c r="I459" s="173">
        <v>46303</v>
      </c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51"/>
      <c r="U459" s="151"/>
      <c r="V459" s="152"/>
      <c r="W459" s="175"/>
      <c r="X459" s="173"/>
      <c r="Y459" s="173"/>
      <c r="Z459" s="176" t="str">
        <f>IF(B459="","",IF(S459&lt;&gt;"","Sevk Edildi",IF(AND(X459&lt;&gt;"",Y459=""),"Reworkte",IF(T459&lt;&gt;"","Kapandı"&amp;IF(COUNT(G459:R459)=0,""," – "&amp;LOOKUP(2,1/(G459:R459=MAX(G459:R459)),{"Tasarım","Ply Cutter","Üretim","Kalite (Üretim sonrası)","Talaşlı","Kalite (Talaşlı sonrası)","Montaj","Kalite (Montaj sonrası)","Boya","Kalite (Boya sonrası)","Yarı Mamül","KM"})),IF(COUNT(G459:R459)=0,"Başlamadı",LOOKUP(2,1/(G459:R459=MAX(G459:R459)),{"Tasarımda","Ply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59" s="177">
        <f t="shared" ca="1" si="121"/>
        <v>4</v>
      </c>
      <c r="AB459" s="175"/>
      <c r="AD459" t="str">
        <f>IF(OR($B459="",NOT(ISNUMBER(G459))),"",IF(COUNTIF(H459:$T459,G459)&gt;0,0,IF(COUNTIF($G459:$T459,"&gt;"&amp;G459)=0,"",SMALL($G459:$T459,COUNTIF($G459:$T459,"&lt;="&amp;G459)+1)-G459)))</f>
        <v/>
      </c>
      <c r="AE459" t="str">
        <f>IF(OR($B459="",NOT(ISNUMBER(H459))),"",IF(COUNTIF(I459:$T459,H459)&gt;0,0,IF(COUNTIF($G459:$T459,"&gt;"&amp;H459)=0,"",SMALL($G459:$T459,COUNTIF($G459:$T459,"&lt;="&amp;H459)+1)-H459)))</f>
        <v/>
      </c>
      <c r="AF459" t="str">
        <f>IF(OR($B459="",NOT(ISNUMBER(I459))),"",IF(COUNTIF(J459:$T459,I459)&gt;0,0,IF(COUNTIF($G459:$T459,"&gt;"&amp;I459)=0,"",SMALL($G459:$T459,COUNTIF($G459:$T459,"&lt;="&amp;I459)+1)-I459)))</f>
        <v/>
      </c>
      <c r="AG459" t="str">
        <f>IF(OR($B459="",NOT(ISNUMBER(J459))),"",IF(COUNTIF(K459:$T459,J459)&gt;0,0,IF(COUNTIF($G459:$T459,"&gt;"&amp;J459)=0,"",SMALL($G459:$T459,COUNTIF($G459:$T459,"&lt;="&amp;J459)+1)-J459)))</f>
        <v/>
      </c>
      <c r="AH459" t="str">
        <f>IF(OR($B459="",NOT(ISNUMBER(K459))),"",IF(COUNTIF(L459:$T459,K459)&gt;0,0,IF(COUNTIF($G459:$T459,"&gt;"&amp;K459)=0,"",SMALL($G459:$T459,COUNTIF($G459:$T459,"&lt;="&amp;K459)+1)-K459)))</f>
        <v/>
      </c>
      <c r="AI459" t="str">
        <f>IF(OR($B459="",NOT(ISNUMBER(L459))),"",IF(COUNTIF(M459:$T459,L459)&gt;0,0,IF(COUNTIF($G459:$T459,"&gt;"&amp;L459)=0,"",SMALL($G459:$T459,COUNTIF($G459:$T459,"&lt;="&amp;L459)+1)-L459)))</f>
        <v/>
      </c>
      <c r="AJ459" t="str">
        <f>IF(OR($B459="",NOT(ISNUMBER(M459))),"",IF(COUNTIF(N459:$T459,M459)&gt;0,0,IF(COUNTIF($G459:$T459,"&gt;"&amp;M459)=0,"",SMALL($G459:$T459,COUNTIF($G459:$T459,"&lt;="&amp;M459)+1)-M459)))</f>
        <v/>
      </c>
      <c r="AK459" t="str">
        <f>IF(OR($B459="",NOT(ISNUMBER(N459))),"",IF(COUNTIF(O459:$T459,N459)&gt;0,0,IF(COUNTIF($G459:$T459,"&gt;"&amp;N459)=0,"",SMALL($G459:$T459,COUNTIF($G459:$T459,"&lt;="&amp;N459)+1)-N459)))</f>
        <v/>
      </c>
      <c r="AL459" t="str">
        <f>IF(OR($B459="",NOT(ISNUMBER(O459))),"",IF(COUNTIF(P459:$T459,O459)&gt;0,0,IF(COUNTIF($G459:$T459,"&gt;"&amp;O459)=0,"",SMALL($G459:$T459,COUNTIF($G459:$T459,"&lt;="&amp;O459)+1)-O459)))</f>
        <v/>
      </c>
      <c r="AM459" t="str">
        <f>IF(OR($B459="",NOT(ISNUMBER(P459))),"",IF(COUNTIF(Q459:$T459,P459)&gt;0,0,IF(COUNTIF($G459:$T459,"&gt;"&amp;P459)=0,"",SMALL($G459:$T459,COUNTIF($G459:$T459,"&lt;="&amp;P459)+1)-P459)))</f>
        <v/>
      </c>
      <c r="AN459" t="str">
        <f>IF(OR($B459="",NOT(ISNUMBER(Q459))),"",IF(COUNTIF(R459:$T459,Q459)&gt;0,0,IF(COUNTIF($G459:$T459,"&gt;"&amp;Q459)=0,"",SMALL($G459:$T459,COUNTIF($G459:$T459,"&lt;="&amp;Q459)+1)-Q459)))</f>
        <v/>
      </c>
      <c r="AO459" t="str">
        <f>IF(OR($B459="",NOT(ISNUMBER(R459))),"",IF(COUNTIF(S459:$T459,R459)&gt;0,0,IF(COUNTIF($G459:$T459,"&gt;"&amp;R459)=0,"",SMALL($G459:$T459,COUNTIF($G459:$T459,"&lt;="&amp;R459)+1)-R459)))</f>
        <v/>
      </c>
      <c r="AP459">
        <f t="shared" ca="1" si="122"/>
        <v>4</v>
      </c>
      <c r="AQ459" s="25" t="str">
        <f t="shared" si="123"/>
        <v/>
      </c>
      <c r="AR459" s="25" t="str">
        <f t="shared" si="124"/>
        <v/>
      </c>
      <c r="AS459" s="25" t="str">
        <f t="shared" si="125"/>
        <v/>
      </c>
      <c r="AT459" s="25" t="str">
        <f t="shared" si="126"/>
        <v/>
      </c>
      <c r="AU459" s="25" t="str">
        <f t="shared" si="127"/>
        <v/>
      </c>
      <c r="AV459" s="25" t="str">
        <f t="shared" si="128"/>
        <v/>
      </c>
      <c r="AW459" s="25" t="str">
        <f t="shared" si="129"/>
        <v/>
      </c>
      <c r="AX459" s="25" t="str">
        <f t="shared" si="130"/>
        <v/>
      </c>
      <c r="AY459" s="25" t="str">
        <f t="shared" si="131"/>
        <v/>
      </c>
      <c r="AZ459" s="25" t="str">
        <f t="shared" si="132"/>
        <v/>
      </c>
      <c r="BA459" s="25" t="str">
        <f t="shared" si="133"/>
        <v/>
      </c>
      <c r="BB459" s="25" t="str">
        <f t="shared" si="134"/>
        <v/>
      </c>
      <c r="BC459" s="25" t="str">
        <f t="shared" si="135"/>
        <v/>
      </c>
    </row>
    <row r="460" spans="1:55" x14ac:dyDescent="0.25">
      <c r="A460" s="151">
        <f t="shared" si="120"/>
        <v>458</v>
      </c>
      <c r="B460" s="151" t="s">
        <v>692</v>
      </c>
      <c r="C460" s="152" t="s">
        <v>119</v>
      </c>
      <c r="D460" s="151">
        <f t="shared" si="119"/>
        <v>1</v>
      </c>
      <c r="E460" s="151" t="s">
        <v>61</v>
      </c>
      <c r="F460" s="173">
        <v>46304</v>
      </c>
      <c r="G460" s="173"/>
      <c r="H460" s="173"/>
      <c r="I460" s="173">
        <v>46304</v>
      </c>
      <c r="J460" s="173">
        <v>46307</v>
      </c>
      <c r="K460" s="173"/>
      <c r="L460" s="173"/>
      <c r="M460" s="173"/>
      <c r="O460" s="173"/>
      <c r="P460" s="173"/>
      <c r="Q460" s="173"/>
      <c r="R460" s="173"/>
      <c r="S460" s="173"/>
      <c r="T460" s="174">
        <v>46307</v>
      </c>
      <c r="U460" s="151"/>
      <c r="V460" s="152"/>
      <c r="W460" s="175"/>
      <c r="X460" s="173"/>
      <c r="Y460" s="173"/>
      <c r="Z460" s="176" t="str">
        <f>IF(B460="","",IF(S460&lt;&gt;"","Sevk Edildi",IF(AND(X460&lt;&gt;"",Y460=""),"Reworkte",IF(T460&lt;&gt;"","Kapandı"&amp;IF(COUNT(G460:R460)=0,""," – "&amp;LOOKUP(2,1/(G460:R460=MAX(G460:R460)),{"Tasarım","Ply Cutter","Üretim","Kalite (Üretim sonrası)","Talaşlı","Kalite (Talaşlı sonrası)","Montaj","Kalite (Montaj sonrası)","Boya","Kalite (Boya sonrası)","Yarı Mamül","KM"})),IF(COUNT(G460:R460)=0,"Başlamadı",LOOKUP(2,1/(G460:R460=MAX(G460:R460)),{"Tasarımda","Ply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60" s="177">
        <f t="shared" ca="1" si="121"/>
        <v>3</v>
      </c>
      <c r="AB460" s="175"/>
      <c r="AD460" t="str">
        <f>IF(OR($B460="",NOT(ISNUMBER(G460))),"",IF(COUNTIF(H460:$T460,G460)&gt;0,0,IF(COUNTIF($G460:$T460,"&gt;"&amp;G460)=0,"",SMALL($G460:$T460,COUNTIF($G460:$T460,"&lt;="&amp;G460)+1)-G460)))</f>
        <v/>
      </c>
      <c r="AE460" t="str">
        <f>IF(OR($B460="",NOT(ISNUMBER(H460))),"",IF(COUNTIF(I460:$T460,H460)&gt;0,0,IF(COUNTIF($G460:$T460,"&gt;"&amp;H460)=0,"",SMALL($G460:$T460,COUNTIF($G460:$T460,"&lt;="&amp;H460)+1)-H460)))</f>
        <v/>
      </c>
      <c r="AF460">
        <f>IF(OR($B460="",NOT(ISNUMBER(I460))),"",IF(COUNTIF(J460:$T460,I460)&gt;0,0,IF(COUNTIF($G460:$T460,"&gt;"&amp;I460)=0,"",SMALL($G460:$T460,COUNTIF($G460:$T460,"&lt;="&amp;I460)+1)-I460)))</f>
        <v>3</v>
      </c>
      <c r="AG460">
        <f>IF(OR($B460="",NOT(ISNUMBER(J460))),"",IF(COUNTIF(K460:$T460,J460)&gt;0,0,IF(COUNTIF($G460:$T460,"&gt;"&amp;J460)=0,"",SMALL($G460:$T460,COUNTIF($G460:$T460,"&lt;="&amp;J460)+1)-J460)))</f>
        <v>0</v>
      </c>
      <c r="AH460" t="str">
        <f>IF(OR($B460="",NOT(ISNUMBER(K460))),"",IF(COUNTIF(L460:$T460,K460)&gt;0,0,IF(COUNTIF($G460:$T460,"&gt;"&amp;K460)=0,"",SMALL($G460:$T460,COUNTIF($G460:$T460,"&lt;="&amp;K460)+1)-K460)))</f>
        <v/>
      </c>
      <c r="AI460" t="str">
        <f>IF(OR($B460="",NOT(ISNUMBER(L460))),"",IF(COUNTIF(M460:$T460,L460)&gt;0,0,IF(COUNTIF($G460:$T460,"&gt;"&amp;L460)=0,"",SMALL($G460:$T460,COUNTIF($G460:$T460,"&lt;="&amp;L460)+1)-L460)))</f>
        <v/>
      </c>
      <c r="AJ460" t="str">
        <f>IF(OR($B460="",NOT(ISNUMBER(M460))),"",IF(COUNTIF(N460:$T460,M460)&gt;0,0,IF(COUNTIF($G460:$T460,"&gt;"&amp;M460)=0,"",SMALL($G460:$T460,COUNTIF($G460:$T460,"&lt;="&amp;M460)+1)-M460)))</f>
        <v/>
      </c>
      <c r="AK460" t="str">
        <f>IF(OR($B460="",NOT(ISNUMBER(N461))),"",IF(COUNTIF(O460:$T460,N461)&gt;0,0,IF(COUNTIF($G460:$T460,"&gt;"&amp;N461)=0,"",SMALL($G460:$T460,COUNTIF($G460:$T460,"&lt;="&amp;N461)+1)-N461)))</f>
        <v/>
      </c>
      <c r="AL460" t="str">
        <f>IF(OR($B460="",NOT(ISNUMBER(O460))),"",IF(COUNTIF(P460:$T460,O460)&gt;0,0,IF(COUNTIF($G460:$T460,"&gt;"&amp;O460)=0,"",SMALL($G460:$T460,COUNTIF($G460:$T460,"&lt;="&amp;O460)+1)-O460)))</f>
        <v/>
      </c>
      <c r="AM460" t="str">
        <f>IF(OR($B460="",NOT(ISNUMBER(P460))),"",IF(COUNTIF(Q460:$T460,P460)&gt;0,0,IF(COUNTIF($G460:$T460,"&gt;"&amp;P460)=0,"",SMALL($G460:$T460,COUNTIF($G460:$T460,"&lt;="&amp;P460)+1)-P460)))</f>
        <v/>
      </c>
      <c r="AN460" t="str">
        <f>IF(OR($B460="",NOT(ISNUMBER(Q460))),"",IF(COUNTIF(R460:$T460,Q460)&gt;0,0,IF(COUNTIF($G460:$T460,"&gt;"&amp;Q460)=0,"",SMALL($G460:$T460,COUNTIF($G460:$T460,"&lt;="&amp;Q460)+1)-Q460)))</f>
        <v/>
      </c>
      <c r="AO460" t="str">
        <f>IF(OR($B460="",NOT(ISNUMBER(R460))),"",IF(COUNTIF(S460:$T460,R460)&gt;0,0,IF(COUNTIF($G460:$T460,"&gt;"&amp;R460)=0,"",SMALL($G460:$T460,COUNTIF($G460:$T460,"&lt;="&amp;R460)+1)-R460)))</f>
        <v/>
      </c>
      <c r="AP460">
        <f t="shared" ca="1" si="122"/>
        <v>0</v>
      </c>
      <c r="AQ460" s="25" t="str">
        <f t="shared" si="123"/>
        <v/>
      </c>
      <c r="AR460" s="25" t="str">
        <f t="shared" si="124"/>
        <v/>
      </c>
      <c r="AS460" s="25">
        <f t="shared" si="125"/>
        <v>46307</v>
      </c>
      <c r="AT460" s="25">
        <f t="shared" si="126"/>
        <v>46307</v>
      </c>
      <c r="AU460" s="25" t="str">
        <f t="shared" si="127"/>
        <v/>
      </c>
      <c r="AV460" s="25" t="str">
        <f t="shared" si="128"/>
        <v/>
      </c>
      <c r="AW460" s="25" t="str">
        <f t="shared" si="129"/>
        <v/>
      </c>
      <c r="AX460" s="25" t="str">
        <f>IF(AND(ISNUMBER(N461),ISNUMBER(AK460)),N461+AK460,"")</f>
        <v/>
      </c>
      <c r="AY460" s="25" t="str">
        <f t="shared" si="131"/>
        <v/>
      </c>
      <c r="AZ460" s="25" t="str">
        <f t="shared" si="132"/>
        <v/>
      </c>
      <c r="BA460" s="25" t="str">
        <f t="shared" si="133"/>
        <v/>
      </c>
      <c r="BB460" s="25" t="str">
        <f t="shared" si="134"/>
        <v/>
      </c>
      <c r="BC460" s="25">
        <f t="shared" si="135"/>
        <v>46307</v>
      </c>
    </row>
    <row r="461" spans="1:55" x14ac:dyDescent="0.25">
      <c r="A461" s="151">
        <f t="shared" si="120"/>
        <v>459</v>
      </c>
      <c r="B461" s="151" t="s">
        <v>693</v>
      </c>
      <c r="C461" s="152" t="s">
        <v>64</v>
      </c>
      <c r="D461" s="151">
        <f t="shared" si="119"/>
        <v>1</v>
      </c>
      <c r="E461" s="151" t="s">
        <v>61</v>
      </c>
      <c r="F461" s="173">
        <v>46304</v>
      </c>
      <c r="G461" s="173"/>
      <c r="H461" s="173"/>
      <c r="I461" s="173">
        <v>46304</v>
      </c>
      <c r="J461" s="173">
        <v>46305</v>
      </c>
      <c r="K461" s="173"/>
      <c r="L461" s="173"/>
      <c r="M461" s="173"/>
      <c r="N461" s="173"/>
      <c r="O461" s="173"/>
      <c r="P461" s="173"/>
      <c r="Q461" s="173">
        <v>46305</v>
      </c>
      <c r="R461" s="173"/>
      <c r="S461" s="173"/>
      <c r="T461" s="174">
        <v>46305</v>
      </c>
      <c r="U461" s="151"/>
      <c r="V461" s="152"/>
      <c r="W461" s="175"/>
      <c r="X461" s="173"/>
      <c r="Y461" s="173"/>
      <c r="Z461" s="176" t="str">
        <f>IF(B461="","",IF(S461&lt;&gt;"","Sevk Edildi",IF(AND(X461&lt;&gt;"",Y461=""),"Reworkte",IF(T461&lt;&gt;"","Kapandı"&amp;IF(COUNT(G461:R461)=0,""," – "&amp;LOOKUP(2,1/(G461:R461=MAX(G461:R461)),{"Tasarım","Ply Cutter","Üretim","Kalite (Üretim sonrası)","Talaşlı","Kalite (Talaşlı sonrası)","Montaj","Kalite (Montaj sonrası)","Boya","Kalite (Boya sonrası)","Yarı Mamül","KM"})),IF(COUNT(G461:R461)=0,"Başlamadı",LOOKUP(2,1/(G461:R461=MAX(G461:R461)),{"Tasarımda","Ply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61" s="177">
        <f t="shared" ca="1" si="121"/>
        <v>1</v>
      </c>
      <c r="AB461" s="175"/>
      <c r="AD461" t="str">
        <f>IF(OR($B461="",NOT(ISNUMBER(G461))),"",IF(COUNTIF(H461:$T461,G461)&gt;0,0,IF(COUNTIF($G461:$T461,"&gt;"&amp;G461)=0,"",SMALL($G461:$T461,COUNTIF($G461:$T461,"&lt;="&amp;G461)+1)-G461)))</f>
        <v/>
      </c>
      <c r="AE461" t="str">
        <f>IF(OR($B461="",NOT(ISNUMBER(H461))),"",IF(COUNTIF(I461:$T461,H461)&gt;0,0,IF(COUNTIF($G461:$T461,"&gt;"&amp;H461)=0,"",SMALL($G461:$T461,COUNTIF($G461:$T461,"&lt;="&amp;H461)+1)-H461)))</f>
        <v/>
      </c>
      <c r="AF461">
        <f>IF(OR($B461="",NOT(ISNUMBER(I461))),"",IF(COUNTIF(J461:$T461,I461)&gt;0,0,IF(COUNTIF($G461:$T461,"&gt;"&amp;I461)=0,"",SMALL($G461:$T461,COUNTIF($G461:$T461,"&lt;="&amp;I461)+1)-I461)))</f>
        <v>1</v>
      </c>
      <c r="AG461">
        <f>IF(OR($B461="",NOT(ISNUMBER(J461))),"",IF(COUNTIF(K461:$T461,J461)&gt;0,0,IF(COUNTIF($G461:$T461,"&gt;"&amp;J461)=0,"",SMALL($G461:$T461,COUNTIF($G461:$T461,"&lt;="&amp;J461)+1)-J461)))</f>
        <v>0</v>
      </c>
      <c r="AH461" t="str">
        <f>IF(OR($B461="",NOT(ISNUMBER(K461))),"",IF(COUNTIF(L461:$T461,K461)&gt;0,0,IF(COUNTIF($G461:$T461,"&gt;"&amp;K461)=0,"",SMALL($G461:$T461,COUNTIF($G461:$T461,"&lt;="&amp;K461)+1)-K461)))</f>
        <v/>
      </c>
      <c r="AI461" t="str">
        <f>IF(OR($B461="",NOT(ISNUMBER(L461))),"",IF(COUNTIF(M461:$T461,L461)&gt;0,0,IF(COUNTIF($G461:$T461,"&gt;"&amp;L461)=0,"",SMALL($G461:$T461,COUNTIF($G461:$T461,"&lt;="&amp;L461)+1)-L461)))</f>
        <v/>
      </c>
      <c r="AJ461" t="str">
        <f>IF(OR($B461="",NOT(ISNUMBER(M461))),"",IF(COUNTIF(N461:$T461,M461)&gt;0,0,IF(COUNTIF($G461:$T461,"&gt;"&amp;M461)=0,"",SMALL($G461:$T461,COUNTIF($G461:$T461,"&lt;="&amp;M461)+1)-M461)))</f>
        <v/>
      </c>
      <c r="AK461" t="str">
        <f>IF(OR($B461="",NOT(ISNUMBER(#REF!))),"",IF(COUNTIF(O461:$T461,#REF!)&gt;0,0,IF(COUNTIF($G461:$T461,"&gt;"&amp;#REF!)=0,"",SMALL($G461:$T461,COUNTIF($G461:$T461,"&lt;="&amp;#REF!)+1)-#REF!)))</f>
        <v/>
      </c>
      <c r="AL461" t="str">
        <f>IF(OR($B461="",NOT(ISNUMBER(O461))),"",IF(COUNTIF(P461:$T461,O461)&gt;0,0,IF(COUNTIF($G461:$T461,"&gt;"&amp;O461)=0,"",SMALL($G461:$T461,COUNTIF($G461:$T461,"&lt;="&amp;O461)+1)-O461)))</f>
        <v/>
      </c>
      <c r="AM461" t="str">
        <f>IF(OR($B461="",NOT(ISNUMBER(P461))),"",IF(COUNTIF(Q461:$T461,P461)&gt;0,0,IF(COUNTIF($G461:$T461,"&gt;"&amp;P461)=0,"",SMALL($G461:$T461,COUNTIF($G461:$T461,"&lt;="&amp;P461)+1)-P461)))</f>
        <v/>
      </c>
      <c r="AN461">
        <f>IF(OR($B461="",NOT(ISNUMBER(Q461))),"",IF(COUNTIF(R461:$T461,Q461)&gt;0,0,IF(COUNTIF($G461:$T461,"&gt;"&amp;Q461)=0,"",SMALL($G461:$T461,COUNTIF($G461:$T461,"&lt;="&amp;Q461)+1)-Q461)))</f>
        <v>0</v>
      </c>
      <c r="AO461" t="str">
        <f>IF(OR($B461="",NOT(ISNUMBER(R461))),"",IF(COUNTIF(S461:$T461,R461)&gt;0,0,IF(COUNTIF($G461:$T461,"&gt;"&amp;R461)=0,"",SMALL($G461:$T461,COUNTIF($G461:$T461,"&lt;="&amp;R461)+1)-R461)))</f>
        <v/>
      </c>
      <c r="AP461">
        <f t="shared" ca="1" si="122"/>
        <v>0</v>
      </c>
      <c r="AQ461" s="25" t="str">
        <f t="shared" si="123"/>
        <v/>
      </c>
      <c r="AR461" s="25" t="str">
        <f t="shared" si="124"/>
        <v/>
      </c>
      <c r="AS461" s="25">
        <f t="shared" si="125"/>
        <v>46305</v>
      </c>
      <c r="AT461" s="25">
        <f t="shared" si="126"/>
        <v>46305</v>
      </c>
      <c r="AU461" s="25" t="str">
        <f t="shared" si="127"/>
        <v/>
      </c>
      <c r="AV461" s="25" t="str">
        <f t="shared" si="128"/>
        <v/>
      </c>
      <c r="AW461" s="25" t="str">
        <f t="shared" si="129"/>
        <v/>
      </c>
      <c r="AX461" s="25" t="str">
        <f>IF(AND(ISNUMBER(#REF!),ISNUMBER(AK461)),#REF!+AK461,"")</f>
        <v/>
      </c>
      <c r="AY461" s="25" t="str">
        <f t="shared" si="131"/>
        <v/>
      </c>
      <c r="AZ461" s="25" t="str">
        <f t="shared" si="132"/>
        <v/>
      </c>
      <c r="BA461" s="25">
        <f t="shared" si="133"/>
        <v>46305</v>
      </c>
      <c r="BB461" s="25" t="str">
        <f t="shared" si="134"/>
        <v/>
      </c>
      <c r="BC461" s="25">
        <f t="shared" si="135"/>
        <v>46305</v>
      </c>
    </row>
    <row r="462" spans="1:55" x14ac:dyDescent="0.25">
      <c r="A462" s="151">
        <f t="shared" si="120"/>
        <v>460</v>
      </c>
      <c r="B462" s="151" t="s">
        <v>694</v>
      </c>
      <c r="C462" s="152" t="s">
        <v>64</v>
      </c>
      <c r="D462" s="151">
        <f t="shared" si="119"/>
        <v>1</v>
      </c>
      <c r="E462" s="151" t="s">
        <v>61</v>
      </c>
      <c r="F462" s="173">
        <v>46304</v>
      </c>
      <c r="G462" s="173"/>
      <c r="H462" s="173"/>
      <c r="I462" s="173">
        <v>46304</v>
      </c>
      <c r="J462" s="173">
        <v>46305</v>
      </c>
      <c r="K462" s="173"/>
      <c r="L462" s="173"/>
      <c r="M462" s="173"/>
      <c r="N462" s="173"/>
      <c r="O462" s="173"/>
      <c r="P462" s="173"/>
      <c r="Q462" s="173">
        <v>46305</v>
      </c>
      <c r="R462" s="173"/>
      <c r="S462" s="173"/>
      <c r="T462" s="174">
        <v>46305</v>
      </c>
      <c r="U462" s="151"/>
      <c r="V462" s="152"/>
      <c r="W462" s="175"/>
      <c r="X462" s="173"/>
      <c r="Y462" s="173"/>
      <c r="Z462" s="176" t="str">
        <f>IF(B462="","",IF(S462&lt;&gt;"","Sevk Edildi",IF(AND(X462&lt;&gt;"",Y462=""),"Reworkte",IF(T462&lt;&gt;"","Kapandı"&amp;IF(COUNT(G462:R462)=0,""," – "&amp;LOOKUP(2,1/(G462:R462=MAX(G462:R462)),{"Tasarım","Ply Cutter","Üretim","Kalite (Üretim sonrası)","Talaşlı","Kalite (Talaşlı sonrası)","Montaj","Kalite (Montaj sonrası)","Boya","Kalite (Boya sonrası)","Yarı Mamül","KM"})),IF(COUNT(G462:R462)=0,"Başlamadı",LOOKUP(2,1/(G462:R462=MAX(G462:R462)),{"Tasarımda","Ply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62" s="177">
        <f t="shared" ca="1" si="121"/>
        <v>1</v>
      </c>
      <c r="AB462" s="175"/>
      <c r="AD462" t="str">
        <f>IF(OR($B462="",NOT(ISNUMBER(G462))),"",IF(COUNTIF(H462:$T462,G462)&gt;0,0,IF(COUNTIF($G462:$T462,"&gt;"&amp;G462)=0,"",SMALL($G462:$T462,COUNTIF($G462:$T462,"&lt;="&amp;G462)+1)-G462)))</f>
        <v/>
      </c>
      <c r="AE462" t="str">
        <f>IF(OR($B462="",NOT(ISNUMBER(H462))),"",IF(COUNTIF(I462:$T462,H462)&gt;0,0,IF(COUNTIF($G462:$T462,"&gt;"&amp;H462)=0,"",SMALL($G462:$T462,COUNTIF($G462:$T462,"&lt;="&amp;H462)+1)-H462)))</f>
        <v/>
      </c>
      <c r="AF462">
        <f>IF(OR($B462="",NOT(ISNUMBER(I462))),"",IF(COUNTIF(J462:$T462,I462)&gt;0,0,IF(COUNTIF($G462:$T462,"&gt;"&amp;I462)=0,"",SMALL($G462:$T462,COUNTIF($G462:$T462,"&lt;="&amp;I462)+1)-I462)))</f>
        <v>1</v>
      </c>
      <c r="AG462">
        <f>IF(OR($B462="",NOT(ISNUMBER(J462))),"",IF(COUNTIF(K462:$T462,J462)&gt;0,0,IF(COUNTIF($G462:$T462,"&gt;"&amp;J462)=0,"",SMALL($G462:$T462,COUNTIF($G462:$T462,"&lt;="&amp;J462)+1)-J462)))</f>
        <v>0</v>
      </c>
      <c r="AH462" t="str">
        <f>IF(OR($B462="",NOT(ISNUMBER(K462))),"",IF(COUNTIF(L462:$T462,K462)&gt;0,0,IF(COUNTIF($G462:$T462,"&gt;"&amp;K462)=0,"",SMALL($G462:$T462,COUNTIF($G462:$T462,"&lt;="&amp;K462)+1)-K462)))</f>
        <v/>
      </c>
      <c r="AI462" t="str">
        <f>IF(OR($B462="",NOT(ISNUMBER(L462))),"",IF(COUNTIF(M462:$T462,L462)&gt;0,0,IF(COUNTIF($G462:$T462,"&gt;"&amp;L462)=0,"",SMALL($G462:$T462,COUNTIF($G462:$T462,"&lt;="&amp;L462)+1)-L462)))</f>
        <v/>
      </c>
      <c r="AJ462" t="str">
        <f>IF(OR($B462="",NOT(ISNUMBER(M462))),"",IF(COUNTIF(N462:$T462,M462)&gt;0,0,IF(COUNTIF($G462:$T462,"&gt;"&amp;M462)=0,"",SMALL($G462:$T462,COUNTIF($G462:$T462,"&lt;="&amp;M462)+1)-M462)))</f>
        <v/>
      </c>
      <c r="AK462" t="str">
        <f>IF(OR($B462="",NOT(ISNUMBER(N462))),"",IF(COUNTIF(O462:$T462,N462)&gt;0,0,IF(COUNTIF($G462:$T462,"&gt;"&amp;N462)=0,"",SMALL($G462:$T462,COUNTIF($G462:$T462,"&lt;="&amp;N462)+1)-N462)))</f>
        <v/>
      </c>
      <c r="AL462" t="str">
        <f>IF(OR($B462="",NOT(ISNUMBER(O462))),"",IF(COUNTIF(P462:$T462,O462)&gt;0,0,IF(COUNTIF($G462:$T462,"&gt;"&amp;O462)=0,"",SMALL($G462:$T462,COUNTIF($G462:$T462,"&lt;="&amp;O462)+1)-O462)))</f>
        <v/>
      </c>
      <c r="AM462" t="str">
        <f>IF(OR($B462="",NOT(ISNUMBER(P462))),"",IF(COUNTIF(Q462:$T462,P462)&gt;0,0,IF(COUNTIF($G462:$T462,"&gt;"&amp;P462)=0,"",SMALL($G462:$T462,COUNTIF($G462:$T462,"&lt;="&amp;P462)+1)-P462)))</f>
        <v/>
      </c>
      <c r="AN462">
        <f>IF(OR($B462="",NOT(ISNUMBER(Q462))),"",IF(COUNTIF(R462:$T462,Q462)&gt;0,0,IF(COUNTIF($G462:$T462,"&gt;"&amp;Q462)=0,"",SMALL($G462:$T462,COUNTIF($G462:$T462,"&lt;="&amp;Q462)+1)-Q462)))</f>
        <v>0</v>
      </c>
      <c r="AO462" t="str">
        <f>IF(OR($B462="",NOT(ISNUMBER(R462))),"",IF(COUNTIF(S462:$T462,R462)&gt;0,0,IF(COUNTIF($G462:$T462,"&gt;"&amp;R462)=0,"",SMALL($G462:$T462,COUNTIF($G462:$T462,"&lt;="&amp;R462)+1)-R462)))</f>
        <v/>
      </c>
      <c r="AP462">
        <f t="shared" ca="1" si="122"/>
        <v>0</v>
      </c>
      <c r="AQ462" s="25" t="str">
        <f t="shared" si="123"/>
        <v/>
      </c>
      <c r="AR462" s="25" t="str">
        <f t="shared" si="124"/>
        <v/>
      </c>
      <c r="AS462" s="25">
        <f t="shared" si="125"/>
        <v>46305</v>
      </c>
      <c r="AT462" s="25">
        <f t="shared" si="126"/>
        <v>46305</v>
      </c>
      <c r="AU462" s="25" t="str">
        <f t="shared" si="127"/>
        <v/>
      </c>
      <c r="AV462" s="25" t="str">
        <f t="shared" si="128"/>
        <v/>
      </c>
      <c r="AW462" s="25" t="str">
        <f t="shared" si="129"/>
        <v/>
      </c>
      <c r="AX462" s="25" t="str">
        <f t="shared" si="130"/>
        <v/>
      </c>
      <c r="AY462" s="25" t="str">
        <f t="shared" si="131"/>
        <v/>
      </c>
      <c r="AZ462" s="25" t="str">
        <f t="shared" si="132"/>
        <v/>
      </c>
      <c r="BA462" s="25">
        <f t="shared" si="133"/>
        <v>46305</v>
      </c>
      <c r="BB462" s="25" t="str">
        <f t="shared" si="134"/>
        <v/>
      </c>
      <c r="BC462" s="25">
        <f t="shared" si="135"/>
        <v>46305</v>
      </c>
    </row>
    <row r="463" spans="1:55" x14ac:dyDescent="0.25">
      <c r="A463" s="151">
        <f t="shared" si="120"/>
        <v>461</v>
      </c>
      <c r="B463" s="151" t="s">
        <v>695</v>
      </c>
      <c r="C463" s="152" t="s">
        <v>565</v>
      </c>
      <c r="D463" s="151">
        <f t="shared" si="119"/>
        <v>3</v>
      </c>
      <c r="E463" s="151" t="s">
        <v>61</v>
      </c>
      <c r="F463" s="173">
        <v>46304</v>
      </c>
      <c r="G463" s="173"/>
      <c r="H463" s="173"/>
      <c r="I463" s="173">
        <v>46304</v>
      </c>
      <c r="J463" s="173">
        <v>46305</v>
      </c>
      <c r="K463" s="173"/>
      <c r="L463" s="173"/>
      <c r="M463" s="173"/>
      <c r="N463" s="173"/>
      <c r="O463" s="173"/>
      <c r="P463" s="173"/>
      <c r="Q463" s="173"/>
      <c r="R463" s="173"/>
      <c r="S463" s="173"/>
      <c r="T463" s="174">
        <v>46305</v>
      </c>
      <c r="U463" s="151"/>
      <c r="V463" s="152"/>
      <c r="W463" s="175"/>
      <c r="X463" s="173"/>
      <c r="Y463" s="173"/>
      <c r="Z463" s="176" t="str">
        <f>IF(B463="","",IF(S463&lt;&gt;"","Sevk Edildi",IF(AND(X463&lt;&gt;"",Y463=""),"Reworkte",IF(T463&lt;&gt;"","Kapandı"&amp;IF(COUNT(G463:R463)=0,""," – "&amp;LOOKUP(2,1/(G463:R463=MAX(G463:R463)),{"Tasarım","Ply Cutter","Üretim","Kalite (Üretim sonrası)","Talaşlı","Kalite (Talaşlı sonrası)","Montaj","Kalite (Montaj sonrası)","Boya","Kalite (Boya sonrası)","Yarı Mamül","KM"})),IF(COUNT(G463:R463)=0,"Başlamadı",LOOKUP(2,1/(G463:R463=MAX(G463:R463)),{"Tasarımda","Ply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63" s="177">
        <f t="shared" ca="1" si="121"/>
        <v>1</v>
      </c>
      <c r="AB463" s="175"/>
      <c r="AD463" t="str">
        <f>IF(OR($B463="",NOT(ISNUMBER(G463))),"",IF(COUNTIF(H463:$T463,G463)&gt;0,0,IF(COUNTIF($G463:$T463,"&gt;"&amp;G463)=0,"",SMALL($G463:$T463,COUNTIF($G463:$T463,"&lt;="&amp;G463)+1)-G463)))</f>
        <v/>
      </c>
      <c r="AE463" t="str">
        <f>IF(OR($B463="",NOT(ISNUMBER(H463))),"",IF(COUNTIF(I463:$T463,H463)&gt;0,0,IF(COUNTIF($G463:$T463,"&gt;"&amp;H463)=0,"",SMALL($G463:$T463,COUNTIF($G463:$T463,"&lt;="&amp;H463)+1)-H463)))</f>
        <v/>
      </c>
      <c r="AF463">
        <f>IF(OR($B463="",NOT(ISNUMBER(I463))),"",IF(COUNTIF(J463:$T463,I463)&gt;0,0,IF(COUNTIF($G463:$T463,"&gt;"&amp;I463)=0,"",SMALL($G463:$T463,COUNTIF($G463:$T463,"&lt;="&amp;I463)+1)-I463)))</f>
        <v>1</v>
      </c>
      <c r="AG463">
        <f>IF(OR($B463="",NOT(ISNUMBER(J463))),"",IF(COUNTIF(K463:$T463,J463)&gt;0,0,IF(COUNTIF($G463:$T463,"&gt;"&amp;J463)=0,"",SMALL($G463:$T463,COUNTIF($G463:$T463,"&lt;="&amp;J463)+1)-J463)))</f>
        <v>0</v>
      </c>
      <c r="AH463" t="str">
        <f>IF(OR($B463="",NOT(ISNUMBER(K463))),"",IF(COUNTIF(L463:$T463,K463)&gt;0,0,IF(COUNTIF($G463:$T463,"&gt;"&amp;K463)=0,"",SMALL($G463:$T463,COUNTIF($G463:$T463,"&lt;="&amp;K463)+1)-K463)))</f>
        <v/>
      </c>
      <c r="AI463" t="str">
        <f>IF(OR($B463="",NOT(ISNUMBER(L463))),"",IF(COUNTIF(M463:$T463,L463)&gt;0,0,IF(COUNTIF($G463:$T463,"&gt;"&amp;L463)=0,"",SMALL($G463:$T463,COUNTIF($G463:$T463,"&lt;="&amp;L463)+1)-L463)))</f>
        <v/>
      </c>
      <c r="AJ463" t="str">
        <f>IF(OR($B463="",NOT(ISNUMBER(M463))),"",IF(COUNTIF(N463:$T463,M463)&gt;0,0,IF(COUNTIF($G463:$T463,"&gt;"&amp;M463)=0,"",SMALL($G463:$T463,COUNTIF($G463:$T463,"&lt;="&amp;M463)+1)-M463)))</f>
        <v/>
      </c>
      <c r="AK463" t="str">
        <f>IF(OR($B463="",NOT(ISNUMBER(N463))),"",IF(COUNTIF(O463:$T463,N463)&gt;0,0,IF(COUNTIF($G463:$T463,"&gt;"&amp;N463)=0,"",SMALL($G463:$T463,COUNTIF($G463:$T463,"&lt;="&amp;N463)+1)-N463)))</f>
        <v/>
      </c>
      <c r="AL463" t="str">
        <f>IF(OR($B463="",NOT(ISNUMBER(O463))),"",IF(COUNTIF(P463:$T463,O463)&gt;0,0,IF(COUNTIF($G463:$T463,"&gt;"&amp;O463)=0,"",SMALL($G463:$T463,COUNTIF($G463:$T463,"&lt;="&amp;O463)+1)-O463)))</f>
        <v/>
      </c>
      <c r="AM463" t="str">
        <f>IF(OR($B463="",NOT(ISNUMBER(P463))),"",IF(COUNTIF(Q463:$T463,P463)&gt;0,0,IF(COUNTIF($G463:$T463,"&gt;"&amp;P463)=0,"",SMALL($G463:$T463,COUNTIF($G463:$T463,"&lt;="&amp;P463)+1)-P463)))</f>
        <v/>
      </c>
      <c r="AN463" t="str">
        <f>IF(OR($B463="",NOT(ISNUMBER(Q463))),"",IF(COUNTIF(R463:$T463,Q463)&gt;0,0,IF(COUNTIF($G463:$T463,"&gt;"&amp;Q463)=0,"",SMALL($G463:$T463,COUNTIF($G463:$T463,"&lt;="&amp;Q463)+1)-Q463)))</f>
        <v/>
      </c>
      <c r="AO463" t="str">
        <f>IF(OR($B463="",NOT(ISNUMBER(R463))),"",IF(COUNTIF(S463:$T463,R463)&gt;0,0,IF(COUNTIF($G463:$T463,"&gt;"&amp;R463)=0,"",SMALL($G463:$T463,COUNTIF($G463:$T463,"&lt;="&amp;R463)+1)-R463)))</f>
        <v/>
      </c>
      <c r="AP463">
        <f t="shared" ca="1" si="122"/>
        <v>0</v>
      </c>
      <c r="AQ463" s="25" t="str">
        <f t="shared" si="123"/>
        <v/>
      </c>
      <c r="AR463" s="25" t="str">
        <f t="shared" si="124"/>
        <v/>
      </c>
      <c r="AS463" s="25">
        <f t="shared" si="125"/>
        <v>46305</v>
      </c>
      <c r="AT463" s="25">
        <f t="shared" si="126"/>
        <v>46305</v>
      </c>
      <c r="AU463" s="25" t="str">
        <f t="shared" si="127"/>
        <v/>
      </c>
      <c r="AV463" s="25" t="str">
        <f t="shared" si="128"/>
        <v/>
      </c>
      <c r="AW463" s="25" t="str">
        <f t="shared" si="129"/>
        <v/>
      </c>
      <c r="AX463" s="25" t="str">
        <f t="shared" si="130"/>
        <v/>
      </c>
      <c r="AY463" s="25" t="str">
        <f t="shared" si="131"/>
        <v/>
      </c>
      <c r="AZ463" s="25" t="str">
        <f t="shared" si="132"/>
        <v/>
      </c>
      <c r="BA463" s="25" t="str">
        <f t="shared" si="133"/>
        <v/>
      </c>
      <c r="BB463" s="25" t="str">
        <f t="shared" si="134"/>
        <v/>
      </c>
      <c r="BC463" s="25">
        <f t="shared" si="135"/>
        <v>46305</v>
      </c>
    </row>
    <row r="464" spans="1:55" x14ac:dyDescent="0.25">
      <c r="A464" s="151">
        <f t="shared" si="120"/>
        <v>462</v>
      </c>
      <c r="B464" s="151" t="s">
        <v>696</v>
      </c>
      <c r="C464" s="152" t="s">
        <v>525</v>
      </c>
      <c r="D464" s="151">
        <f t="shared" si="119"/>
        <v>4</v>
      </c>
      <c r="E464" s="151" t="s">
        <v>61</v>
      </c>
      <c r="F464" s="173">
        <v>46304</v>
      </c>
      <c r="G464" s="173"/>
      <c r="H464" s="173"/>
      <c r="I464" s="173">
        <v>46304</v>
      </c>
      <c r="J464" s="173">
        <v>46304</v>
      </c>
      <c r="K464" s="173"/>
      <c r="L464" s="173"/>
      <c r="M464" s="173"/>
      <c r="N464" s="173"/>
      <c r="O464" s="173"/>
      <c r="P464" s="173"/>
      <c r="Q464" s="173"/>
      <c r="R464" s="173"/>
      <c r="S464" s="173"/>
      <c r="T464" s="174">
        <v>46304</v>
      </c>
      <c r="U464" s="151"/>
      <c r="V464" s="152"/>
      <c r="W464" s="175"/>
      <c r="X464" s="173"/>
      <c r="Y464" s="173"/>
      <c r="Z464" s="176" t="str">
        <f>IF(B464="","",IF(S464&lt;&gt;"","Sevk Edildi",IF(AND(X464&lt;&gt;"",Y464=""),"Reworkte",IF(T464&lt;&gt;"","Kapandı"&amp;IF(COUNT(G464:R464)=0,""," – "&amp;LOOKUP(2,1/(G464:R464=MAX(G464:R464)),{"Tasarım","Ply Cutter","Üretim","Kalite (Üretim sonrası)","Talaşlı","Kalite (Talaşlı sonrası)","Montaj","Kalite (Montaj sonrası)","Boya","Kalite (Boya sonrası)","Yarı Mamül","KM"})),IF(COUNT(G464:R464)=0,"Başlamadı",LOOKUP(2,1/(G464:R464=MAX(G464:R464)),{"Tasarımda","Ply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64" s="177">
        <f t="shared" ca="1" si="121"/>
        <v>0</v>
      </c>
      <c r="AB464" s="175"/>
      <c r="AD464" t="str">
        <f>IF(OR($B464="",NOT(ISNUMBER(G464))),"",IF(COUNTIF(H464:$T464,G464)&gt;0,0,IF(COUNTIF($G464:$T464,"&gt;"&amp;G464)=0,"",SMALL($G464:$T464,COUNTIF($G464:$T464,"&lt;="&amp;G464)+1)-G464)))</f>
        <v/>
      </c>
      <c r="AE464" t="str">
        <f>IF(OR($B464="",NOT(ISNUMBER(H464))),"",IF(COUNTIF(I464:$T464,H464)&gt;0,0,IF(COUNTIF($G464:$T464,"&gt;"&amp;H464)=0,"",SMALL($G464:$T464,COUNTIF($G464:$T464,"&lt;="&amp;H464)+1)-H464)))</f>
        <v/>
      </c>
      <c r="AF464">
        <f>IF(OR($B464="",NOT(ISNUMBER(I464))),"",IF(COUNTIF(J464:$T464,I464)&gt;0,0,IF(COUNTIF($G464:$T464,"&gt;"&amp;I464)=0,"",SMALL($G464:$T464,COUNTIF($G464:$T464,"&lt;="&amp;I464)+1)-I464)))</f>
        <v>0</v>
      </c>
      <c r="AG464">
        <f>IF(OR($B464="",NOT(ISNUMBER(J464))),"",IF(COUNTIF(K464:$T464,J464)&gt;0,0,IF(COUNTIF($G464:$T464,"&gt;"&amp;J464)=0,"",SMALL($G464:$T464,COUNTIF($G464:$T464,"&lt;="&amp;J464)+1)-J464)))</f>
        <v>0</v>
      </c>
      <c r="AH464" t="str">
        <f>IF(OR($B464="",NOT(ISNUMBER(K464))),"",IF(COUNTIF(L464:$T464,K464)&gt;0,0,IF(COUNTIF($G464:$T464,"&gt;"&amp;K464)=0,"",SMALL($G464:$T464,COUNTIF($G464:$T464,"&lt;="&amp;K464)+1)-K464)))</f>
        <v/>
      </c>
      <c r="AI464" t="str">
        <f>IF(OR($B464="",NOT(ISNUMBER(L464))),"",IF(COUNTIF(M464:$T464,L464)&gt;0,0,IF(COUNTIF($G464:$T464,"&gt;"&amp;L464)=0,"",SMALL($G464:$T464,COUNTIF($G464:$T464,"&lt;="&amp;L464)+1)-L464)))</f>
        <v/>
      </c>
      <c r="AJ464" t="str">
        <f>IF(OR($B464="",NOT(ISNUMBER(M464))),"",IF(COUNTIF(N464:$T464,M464)&gt;0,0,IF(COUNTIF($G464:$T464,"&gt;"&amp;M464)=0,"",SMALL($G464:$T464,COUNTIF($G464:$T464,"&lt;="&amp;M464)+1)-M464)))</f>
        <v/>
      </c>
      <c r="AK464" t="str">
        <f>IF(OR($B464="",NOT(ISNUMBER(N464))),"",IF(COUNTIF(O464:$T464,N464)&gt;0,0,IF(COUNTIF($G464:$T464,"&gt;"&amp;N464)=0,"",SMALL($G464:$T464,COUNTIF($G464:$T464,"&lt;="&amp;N464)+1)-N464)))</f>
        <v/>
      </c>
      <c r="AL464" t="str">
        <f>IF(OR($B464="",NOT(ISNUMBER(O464))),"",IF(COUNTIF(P464:$T464,O464)&gt;0,0,IF(COUNTIF($G464:$T464,"&gt;"&amp;O464)=0,"",SMALL($G464:$T464,COUNTIF($G464:$T464,"&lt;="&amp;O464)+1)-O464)))</f>
        <v/>
      </c>
      <c r="AM464" t="str">
        <f>IF(OR($B464="",NOT(ISNUMBER(P464))),"",IF(COUNTIF(Q464:$T464,P464)&gt;0,0,IF(COUNTIF($G464:$T464,"&gt;"&amp;P464)=0,"",SMALL($G464:$T464,COUNTIF($G464:$T464,"&lt;="&amp;P464)+1)-P464)))</f>
        <v/>
      </c>
      <c r="AN464" t="str">
        <f>IF(OR($B464="",NOT(ISNUMBER(Q464))),"",IF(COUNTIF(R464:$T464,Q464)&gt;0,0,IF(COUNTIF($G464:$T464,"&gt;"&amp;Q464)=0,"",SMALL($G464:$T464,COUNTIF($G464:$T464,"&lt;="&amp;Q464)+1)-Q464)))</f>
        <v/>
      </c>
      <c r="AO464" t="str">
        <f>IF(OR($B464="",NOT(ISNUMBER(R464))),"",IF(COUNTIF(S464:$T464,R464)&gt;0,0,IF(COUNTIF($G464:$T464,"&gt;"&amp;R464)=0,"",SMALL($G464:$T464,COUNTIF($G464:$T464,"&lt;="&amp;R464)+1)-R464)))</f>
        <v/>
      </c>
      <c r="AP464">
        <f t="shared" ca="1" si="122"/>
        <v>0</v>
      </c>
      <c r="AQ464" s="25" t="str">
        <f t="shared" si="123"/>
        <v/>
      </c>
      <c r="AR464" s="25" t="str">
        <f t="shared" si="124"/>
        <v/>
      </c>
      <c r="AS464" s="25">
        <f t="shared" si="125"/>
        <v>46304</v>
      </c>
      <c r="AT464" s="25">
        <f t="shared" si="126"/>
        <v>46304</v>
      </c>
      <c r="AU464" s="25" t="str">
        <f t="shared" si="127"/>
        <v/>
      </c>
      <c r="AV464" s="25" t="str">
        <f t="shared" si="128"/>
        <v/>
      </c>
      <c r="AW464" s="25" t="str">
        <f t="shared" si="129"/>
        <v/>
      </c>
      <c r="AX464" s="25" t="str">
        <f t="shared" si="130"/>
        <v/>
      </c>
      <c r="AY464" s="25" t="str">
        <f t="shared" si="131"/>
        <v/>
      </c>
      <c r="AZ464" s="25" t="str">
        <f t="shared" si="132"/>
        <v/>
      </c>
      <c r="BA464" s="25" t="str">
        <f t="shared" si="133"/>
        <v/>
      </c>
      <c r="BB464" s="25" t="str">
        <f t="shared" si="134"/>
        <v/>
      </c>
      <c r="BC464" s="25">
        <f t="shared" si="135"/>
        <v>46304</v>
      </c>
    </row>
    <row r="465" spans="1:55" x14ac:dyDescent="0.25">
      <c r="A465" s="151">
        <f t="shared" si="120"/>
        <v>463</v>
      </c>
      <c r="B465" s="151" t="s">
        <v>697</v>
      </c>
      <c r="C465" s="152" t="s">
        <v>528</v>
      </c>
      <c r="D465" s="151">
        <f t="shared" si="119"/>
        <v>1</v>
      </c>
      <c r="E465" s="151" t="s">
        <v>61</v>
      </c>
      <c r="F465" s="173">
        <v>46304</v>
      </c>
      <c r="G465" s="173"/>
      <c r="H465" s="173"/>
      <c r="I465" s="173">
        <v>46304</v>
      </c>
      <c r="J465" s="173">
        <v>46305</v>
      </c>
      <c r="K465" s="173"/>
      <c r="L465" s="173"/>
      <c r="M465" s="173"/>
      <c r="N465" s="173"/>
      <c r="O465" s="173"/>
      <c r="P465" s="173"/>
      <c r="Q465" s="173"/>
      <c r="R465" s="173"/>
      <c r="S465" s="173"/>
      <c r="T465" s="174">
        <v>46305</v>
      </c>
      <c r="U465" s="151"/>
      <c r="V465" s="152"/>
      <c r="W465" s="175"/>
      <c r="X465" s="173"/>
      <c r="Y465" s="173"/>
      <c r="Z465" s="176" t="str">
        <f>IF(B465="","",IF(S465&lt;&gt;"","Sevk Edildi",IF(AND(X465&lt;&gt;"",Y465=""),"Reworkte",IF(T465&lt;&gt;"","Kapandı"&amp;IF(COUNT(G465:R465)=0,""," – "&amp;LOOKUP(2,1/(G465:R465=MAX(G465:R465)),{"Tasarım","Ply Cutter","Üretim","Kalite (Üretim sonrası)","Talaşlı","Kalite (Talaşlı sonrası)","Montaj","Kalite (Montaj sonrası)","Boya","Kalite (Boya sonrası)","Yarı Mamül","KM"})),IF(COUNT(G465:R465)=0,"Başlamadı",LOOKUP(2,1/(G465:R465=MAX(G465:R465)),{"Tasarımda","Ply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65" s="177">
        <f t="shared" ca="1" si="121"/>
        <v>1</v>
      </c>
      <c r="AB465" s="175"/>
      <c r="AD465" t="str">
        <f>IF(OR($B465="",NOT(ISNUMBER(G465))),"",IF(COUNTIF(H465:$T465,G465)&gt;0,0,IF(COUNTIF($G465:$T465,"&gt;"&amp;G465)=0,"",SMALL($G465:$T465,COUNTIF($G465:$T465,"&lt;="&amp;G465)+1)-G465)))</f>
        <v/>
      </c>
      <c r="AE465" t="str">
        <f>IF(OR($B465="",NOT(ISNUMBER(H465))),"",IF(COUNTIF(I465:$T465,H465)&gt;0,0,IF(COUNTIF($G465:$T465,"&gt;"&amp;H465)=0,"",SMALL($G465:$T465,COUNTIF($G465:$T465,"&lt;="&amp;H465)+1)-H465)))</f>
        <v/>
      </c>
      <c r="AF465">
        <f>IF(OR($B465="",NOT(ISNUMBER(I465))),"",IF(COUNTIF(J465:$T465,I465)&gt;0,0,IF(COUNTIF($G465:$T465,"&gt;"&amp;I465)=0,"",SMALL($G465:$T465,COUNTIF($G465:$T465,"&lt;="&amp;I465)+1)-I465)))</f>
        <v>1</v>
      </c>
      <c r="AG465">
        <f>IF(OR($B465="",NOT(ISNUMBER(J465))),"",IF(COUNTIF(K465:$T465,J465)&gt;0,0,IF(COUNTIF($G465:$T465,"&gt;"&amp;J465)=0,"",SMALL($G465:$T465,COUNTIF($G465:$T465,"&lt;="&amp;J465)+1)-J465)))</f>
        <v>0</v>
      </c>
      <c r="AH465" t="str">
        <f>IF(OR($B465="",NOT(ISNUMBER(K465))),"",IF(COUNTIF(L465:$T465,K465)&gt;0,0,IF(COUNTIF($G465:$T465,"&gt;"&amp;K465)=0,"",SMALL($G465:$T465,COUNTIF($G465:$T465,"&lt;="&amp;K465)+1)-K465)))</f>
        <v/>
      </c>
      <c r="AI465" t="str">
        <f>IF(OR($B465="",NOT(ISNUMBER(L465))),"",IF(COUNTIF(M465:$T465,L465)&gt;0,0,IF(COUNTIF($G465:$T465,"&gt;"&amp;L465)=0,"",SMALL($G465:$T465,COUNTIF($G465:$T465,"&lt;="&amp;L465)+1)-L465)))</f>
        <v/>
      </c>
      <c r="AJ465" t="str">
        <f>IF(OR($B465="",NOT(ISNUMBER(M465))),"",IF(COUNTIF(N465:$T465,M465)&gt;0,0,IF(COUNTIF($G465:$T465,"&gt;"&amp;M465)=0,"",SMALL($G465:$T465,COUNTIF($G465:$T465,"&lt;="&amp;M465)+1)-M465)))</f>
        <v/>
      </c>
      <c r="AK465" t="str">
        <f>IF(OR($B465="",NOT(ISNUMBER(N465))),"",IF(COUNTIF(O465:$T465,N465)&gt;0,0,IF(COUNTIF($G465:$T465,"&gt;"&amp;N465)=0,"",SMALL($G465:$T465,COUNTIF($G465:$T465,"&lt;="&amp;N465)+1)-N465)))</f>
        <v/>
      </c>
      <c r="AL465" t="str">
        <f>IF(OR($B465="",NOT(ISNUMBER(O465))),"",IF(COUNTIF(P465:$T465,O465)&gt;0,0,IF(COUNTIF($G465:$T465,"&gt;"&amp;O465)=0,"",SMALL($G465:$T465,COUNTIF($G465:$T465,"&lt;="&amp;O465)+1)-O465)))</f>
        <v/>
      </c>
      <c r="AM465" t="str">
        <f>IF(OR($B465="",NOT(ISNUMBER(P465))),"",IF(COUNTIF(Q465:$T465,P465)&gt;0,0,IF(COUNTIF($G465:$T465,"&gt;"&amp;P465)=0,"",SMALL($G465:$T465,COUNTIF($G465:$T465,"&lt;="&amp;P465)+1)-P465)))</f>
        <v/>
      </c>
      <c r="AN465" t="str">
        <f>IF(OR($B465="",NOT(ISNUMBER(Q465))),"",IF(COUNTIF(R465:$T465,Q465)&gt;0,0,IF(COUNTIF($G465:$T465,"&gt;"&amp;Q465)=0,"",SMALL($G465:$T465,COUNTIF($G465:$T465,"&lt;="&amp;Q465)+1)-Q465)))</f>
        <v/>
      </c>
      <c r="AO465" t="str">
        <f>IF(OR($B465="",NOT(ISNUMBER(R465))),"",IF(COUNTIF(S465:$T465,R465)&gt;0,0,IF(COUNTIF($G465:$T465,"&gt;"&amp;R465)=0,"",SMALL($G465:$T465,COUNTIF($G465:$T465,"&lt;="&amp;R465)+1)-R465)))</f>
        <v/>
      </c>
      <c r="AP465">
        <f t="shared" ca="1" si="122"/>
        <v>0</v>
      </c>
      <c r="AQ465" s="25" t="str">
        <f t="shared" si="123"/>
        <v/>
      </c>
      <c r="AR465" s="25" t="str">
        <f t="shared" si="124"/>
        <v/>
      </c>
      <c r="AS465" s="25">
        <f t="shared" si="125"/>
        <v>46305</v>
      </c>
      <c r="AT465" s="25">
        <f t="shared" si="126"/>
        <v>46305</v>
      </c>
      <c r="AU465" s="25" t="str">
        <f t="shared" si="127"/>
        <v/>
      </c>
      <c r="AV465" s="25" t="str">
        <f t="shared" si="128"/>
        <v/>
      </c>
      <c r="AW465" s="25" t="str">
        <f t="shared" si="129"/>
        <v/>
      </c>
      <c r="AX465" s="25" t="str">
        <f t="shared" si="130"/>
        <v/>
      </c>
      <c r="AY465" s="25" t="str">
        <f t="shared" si="131"/>
        <v/>
      </c>
      <c r="AZ465" s="25" t="str">
        <f t="shared" si="132"/>
        <v/>
      </c>
      <c r="BA465" s="25" t="str">
        <f t="shared" si="133"/>
        <v/>
      </c>
      <c r="BB465" s="25" t="str">
        <f t="shared" si="134"/>
        <v/>
      </c>
      <c r="BC465" s="25">
        <f t="shared" si="135"/>
        <v>46305</v>
      </c>
    </row>
    <row r="466" spans="1:55" x14ac:dyDescent="0.25">
      <c r="A466" s="151">
        <f t="shared" si="120"/>
        <v>464</v>
      </c>
      <c r="B466" s="151" t="s">
        <v>698</v>
      </c>
      <c r="C466" s="152" t="s">
        <v>699</v>
      </c>
      <c r="D466" s="151">
        <f t="shared" si="119"/>
        <v>28</v>
      </c>
      <c r="E466" s="151" t="s">
        <v>100</v>
      </c>
      <c r="F466" s="173">
        <v>46304</v>
      </c>
      <c r="G466" s="173"/>
      <c r="H466" s="173">
        <v>46304</v>
      </c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4">
        <v>46304</v>
      </c>
      <c r="U466" s="151"/>
      <c r="V466" s="152"/>
      <c r="W466" s="175"/>
      <c r="X466" s="173"/>
      <c r="Y466" s="173"/>
      <c r="Z466" s="176" t="str">
        <f>IF(B466="","",IF(S466&lt;&gt;"","Sevk Edildi",IF(AND(X466&lt;&gt;"",Y466=""),"Reworkte",IF(T466&lt;&gt;"","Kapandı"&amp;IF(COUNT(G466:R466)=0,""," – "&amp;LOOKUP(2,1/(G466:R466=MAX(G466:R466)),{"Tasarım","Ply Cutter","Üretim","Kalite (Üretim sonrası)","Talaşlı","Kalite (Talaşlı sonrası)","Montaj","Kalite (Montaj sonrası)","Boya","Kalite (Boya sonrası)","Yarı Mamül","KM"})),IF(COUNT(G466:R466)=0,"Başlamadı",LOOKUP(2,1/(G466:R466=MAX(G466:R466)),{"Tasarımda","Ply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66" s="177">
        <f t="shared" ca="1" si="121"/>
        <v>0</v>
      </c>
      <c r="AB466" s="175"/>
      <c r="AD466" t="str">
        <f>IF(OR($B466="",NOT(ISNUMBER(G466))),"",IF(COUNTIF(H466:$T466,G466)&gt;0,0,IF(COUNTIF($G466:$T466,"&gt;"&amp;G466)=0,"",SMALL($G466:$T466,COUNTIF($G466:$T466,"&lt;="&amp;G466)+1)-G466)))</f>
        <v/>
      </c>
      <c r="AE466">
        <f>IF(OR($B466="",NOT(ISNUMBER(H466))),"",IF(COUNTIF(I466:$T466,H466)&gt;0,0,IF(COUNTIF($G466:$T466,"&gt;"&amp;H466)=0,"",SMALL($G466:$T466,COUNTIF($G466:$T466,"&lt;="&amp;H466)+1)-H466)))</f>
        <v>0</v>
      </c>
      <c r="AF466" t="str">
        <f>IF(OR($B466="",NOT(ISNUMBER(I466))),"",IF(COUNTIF(J466:$T466,I466)&gt;0,0,IF(COUNTIF($G466:$T466,"&gt;"&amp;I466)=0,"",SMALL($G466:$T466,COUNTIF($G466:$T466,"&lt;="&amp;I466)+1)-I466)))</f>
        <v/>
      </c>
      <c r="AG466" t="str">
        <f>IF(OR($B466="",NOT(ISNUMBER(J466))),"",IF(COUNTIF(K466:$T466,J466)&gt;0,0,IF(COUNTIF($G466:$T466,"&gt;"&amp;J466)=0,"",SMALL($G466:$T466,COUNTIF($G466:$T466,"&lt;="&amp;J466)+1)-J466)))</f>
        <v/>
      </c>
      <c r="AH466" t="str">
        <f>IF(OR($B466="",NOT(ISNUMBER(K466))),"",IF(COUNTIF(L466:$T466,K466)&gt;0,0,IF(COUNTIF($G466:$T466,"&gt;"&amp;K466)=0,"",SMALL($G466:$T466,COUNTIF($G466:$T466,"&lt;="&amp;K466)+1)-K466)))</f>
        <v/>
      </c>
      <c r="AI466" t="str">
        <f>IF(OR($B466="",NOT(ISNUMBER(L466))),"",IF(COUNTIF(M466:$T466,L466)&gt;0,0,IF(COUNTIF($G466:$T466,"&gt;"&amp;L466)=0,"",SMALL($G466:$T466,COUNTIF($G466:$T466,"&lt;="&amp;L466)+1)-L466)))</f>
        <v/>
      </c>
      <c r="AJ466" t="str">
        <f>IF(OR($B466="",NOT(ISNUMBER(M466))),"",IF(COUNTIF(N466:$T466,M466)&gt;0,0,IF(COUNTIF($G466:$T466,"&gt;"&amp;M466)=0,"",SMALL($G466:$T466,COUNTIF($G466:$T466,"&lt;="&amp;M466)+1)-M466)))</f>
        <v/>
      </c>
      <c r="AK466" t="str">
        <f>IF(OR($B466="",NOT(ISNUMBER(N466))),"",IF(COUNTIF(O466:$T466,N466)&gt;0,0,IF(COUNTIF($G466:$T466,"&gt;"&amp;N466)=0,"",SMALL($G466:$T466,COUNTIF($G466:$T466,"&lt;="&amp;N466)+1)-N466)))</f>
        <v/>
      </c>
      <c r="AL466" t="str">
        <f>IF(OR($B466="",NOT(ISNUMBER(O466))),"",IF(COUNTIF(P466:$T466,O466)&gt;0,0,IF(COUNTIF($G466:$T466,"&gt;"&amp;O466)=0,"",SMALL($G466:$T466,COUNTIF($G466:$T466,"&lt;="&amp;O466)+1)-O466)))</f>
        <v/>
      </c>
      <c r="AM466" t="str">
        <f>IF(OR($B466="",NOT(ISNUMBER(P466))),"",IF(COUNTIF(Q466:$T466,P466)&gt;0,0,IF(COUNTIF($G466:$T466,"&gt;"&amp;P466)=0,"",SMALL($G466:$T466,COUNTIF($G466:$T466,"&lt;="&amp;P466)+1)-P466)))</f>
        <v/>
      </c>
      <c r="AN466" t="str">
        <f>IF(OR($B466="",NOT(ISNUMBER(Q466))),"",IF(COUNTIF(R466:$T466,Q466)&gt;0,0,IF(COUNTIF($G466:$T466,"&gt;"&amp;Q466)=0,"",SMALL($G466:$T466,COUNTIF($G466:$T466,"&lt;="&amp;Q466)+1)-Q466)))</f>
        <v/>
      </c>
      <c r="AO466" t="str">
        <f>IF(OR($B466="",NOT(ISNUMBER(R466))),"",IF(COUNTIF(S466:$T466,R466)&gt;0,0,IF(COUNTIF($G466:$T466,"&gt;"&amp;R466)=0,"",SMALL($G466:$T466,COUNTIF($G466:$T466,"&lt;="&amp;R466)+1)-R466)))</f>
        <v/>
      </c>
      <c r="AP466">
        <f t="shared" ca="1" si="122"/>
        <v>0</v>
      </c>
      <c r="AQ466" s="25" t="str">
        <f t="shared" si="123"/>
        <v/>
      </c>
      <c r="AR466" s="25">
        <f t="shared" si="124"/>
        <v>46304</v>
      </c>
      <c r="AS466" s="25" t="str">
        <f t="shared" si="125"/>
        <v/>
      </c>
      <c r="AT466" s="25" t="str">
        <f t="shared" si="126"/>
        <v/>
      </c>
      <c r="AU466" s="25" t="str">
        <f t="shared" si="127"/>
        <v/>
      </c>
      <c r="AV466" s="25" t="str">
        <f t="shared" si="128"/>
        <v/>
      </c>
      <c r="AW466" s="25" t="str">
        <f t="shared" si="129"/>
        <v/>
      </c>
      <c r="AX466" s="25" t="str">
        <f t="shared" si="130"/>
        <v/>
      </c>
      <c r="AY466" s="25" t="str">
        <f t="shared" si="131"/>
        <v/>
      </c>
      <c r="AZ466" s="25" t="str">
        <f t="shared" si="132"/>
        <v/>
      </c>
      <c r="BA466" s="25" t="str">
        <f t="shared" si="133"/>
        <v/>
      </c>
      <c r="BB466" s="25" t="str">
        <f t="shared" si="134"/>
        <v/>
      </c>
      <c r="BC466" s="25">
        <f t="shared" si="135"/>
        <v>46304</v>
      </c>
    </row>
    <row r="467" spans="1:55" x14ac:dyDescent="0.25">
      <c r="A467" s="151">
        <f t="shared" si="120"/>
        <v>465</v>
      </c>
      <c r="B467" s="151" t="s">
        <v>700</v>
      </c>
      <c r="C467" s="152" t="s">
        <v>466</v>
      </c>
      <c r="D467" s="151">
        <f t="shared" si="119"/>
        <v>2</v>
      </c>
      <c r="E467" s="151" t="s">
        <v>61</v>
      </c>
      <c r="F467" s="173">
        <v>46304</v>
      </c>
      <c r="G467" s="173"/>
      <c r="H467" s="173"/>
      <c r="I467" s="173">
        <v>46304</v>
      </c>
      <c r="J467" s="173">
        <v>46304</v>
      </c>
      <c r="K467" s="173"/>
      <c r="L467" s="173"/>
      <c r="M467" s="173"/>
      <c r="N467" s="173"/>
      <c r="O467" s="173"/>
      <c r="P467" s="173"/>
      <c r="Q467" s="173"/>
      <c r="R467" s="173"/>
      <c r="S467" s="173"/>
      <c r="T467" s="174">
        <v>46304</v>
      </c>
      <c r="U467" s="151"/>
      <c r="V467" s="152"/>
      <c r="W467" s="175"/>
      <c r="X467" s="173"/>
      <c r="Y467" s="173"/>
      <c r="Z467" s="176" t="str">
        <f>IF(B467="","",IF(S467&lt;&gt;"","Sevk Edildi",IF(AND(X467&lt;&gt;"",Y467=""),"Reworkte",IF(T467&lt;&gt;"","Kapandı"&amp;IF(COUNT(G467:R467)=0,""," – "&amp;LOOKUP(2,1/(G467:R467=MAX(G467:R467)),{"Tasarım","Ply Cutter","Üretim","Kalite (Üretim sonrası)","Talaşlı","Kalite (Talaşlı sonrası)","Montaj","Kalite (Montaj sonrası)","Boya","Kalite (Boya sonrası)","Yarı Mamül","KM"})),IF(COUNT(G467:R467)=0,"Başlamadı",LOOKUP(2,1/(G467:R467=MAX(G467:R467)),{"Tasarımda","Ply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67" s="177">
        <f t="shared" ca="1" si="121"/>
        <v>0</v>
      </c>
      <c r="AB467" s="175"/>
      <c r="AD467" t="str">
        <f>IF(OR($B467="",NOT(ISNUMBER(G467))),"",IF(COUNTIF(H467:$T467,G467)&gt;0,0,IF(COUNTIF($G467:$T467,"&gt;"&amp;G467)=0,"",SMALL($G467:$T467,COUNTIF($G467:$T467,"&lt;="&amp;G467)+1)-G467)))</f>
        <v/>
      </c>
      <c r="AE467" t="str">
        <f>IF(OR($B467="",NOT(ISNUMBER(H467))),"",IF(COUNTIF(I467:$T467,H467)&gt;0,0,IF(COUNTIF($G467:$T467,"&gt;"&amp;H467)=0,"",SMALL($G467:$T467,COUNTIF($G467:$T467,"&lt;="&amp;H467)+1)-H467)))</f>
        <v/>
      </c>
      <c r="AF467">
        <f>IF(OR($B467="",NOT(ISNUMBER(I467))),"",IF(COUNTIF(J467:$T467,I467)&gt;0,0,IF(COUNTIF($G467:$T467,"&gt;"&amp;I467)=0,"",SMALL($G467:$T467,COUNTIF($G467:$T467,"&lt;="&amp;I467)+1)-I467)))</f>
        <v>0</v>
      </c>
      <c r="AG467">
        <f>IF(OR($B467="",NOT(ISNUMBER(J467))),"",IF(COUNTIF(K467:$T467,J467)&gt;0,0,IF(COUNTIF($G467:$T467,"&gt;"&amp;J467)=0,"",SMALL($G467:$T467,COUNTIF($G467:$T467,"&lt;="&amp;J467)+1)-J467)))</f>
        <v>0</v>
      </c>
      <c r="AH467" t="str">
        <f>IF(OR($B467="",NOT(ISNUMBER(K467))),"",IF(COUNTIF(L467:$T467,K467)&gt;0,0,IF(COUNTIF($G467:$T467,"&gt;"&amp;K467)=0,"",SMALL($G467:$T467,COUNTIF($G467:$T467,"&lt;="&amp;K467)+1)-K467)))</f>
        <v/>
      </c>
      <c r="AI467" t="str">
        <f>IF(OR($B467="",NOT(ISNUMBER(L467))),"",IF(COUNTIF(M467:$T467,L467)&gt;0,0,IF(COUNTIF($G467:$T467,"&gt;"&amp;L467)=0,"",SMALL($G467:$T467,COUNTIF($G467:$T467,"&lt;="&amp;L467)+1)-L467)))</f>
        <v/>
      </c>
      <c r="AJ467" t="str">
        <f>IF(OR($B467="",NOT(ISNUMBER(M467))),"",IF(COUNTIF(N467:$T467,M467)&gt;0,0,IF(COUNTIF($G467:$T467,"&gt;"&amp;M467)=0,"",SMALL($G467:$T467,COUNTIF($G467:$T467,"&lt;="&amp;M467)+1)-M467)))</f>
        <v/>
      </c>
      <c r="AK467" t="str">
        <f>IF(OR($B467="",NOT(ISNUMBER(N467))),"",IF(COUNTIF(O467:$T467,N467)&gt;0,0,IF(COUNTIF($G467:$T467,"&gt;"&amp;N467)=0,"",SMALL($G467:$T467,COUNTIF($G467:$T467,"&lt;="&amp;N467)+1)-N467)))</f>
        <v/>
      </c>
      <c r="AL467" t="str">
        <f>IF(OR($B467="",NOT(ISNUMBER(O467))),"",IF(COUNTIF(P467:$T467,O467)&gt;0,0,IF(COUNTIF($G467:$T467,"&gt;"&amp;O467)=0,"",SMALL($G467:$T467,COUNTIF($G467:$T467,"&lt;="&amp;O467)+1)-O467)))</f>
        <v/>
      </c>
      <c r="AM467" t="str">
        <f>IF(OR($B467="",NOT(ISNUMBER(P467))),"",IF(COUNTIF(Q467:$T467,P467)&gt;0,0,IF(COUNTIF($G467:$T467,"&gt;"&amp;P467)=0,"",SMALL($G467:$T467,COUNTIF($G467:$T467,"&lt;="&amp;P467)+1)-P467)))</f>
        <v/>
      </c>
      <c r="AN467" t="str">
        <f>IF(OR($B467="",NOT(ISNUMBER(Q467))),"",IF(COUNTIF(R467:$T467,Q467)&gt;0,0,IF(COUNTIF($G467:$T467,"&gt;"&amp;Q467)=0,"",SMALL($G467:$T467,COUNTIF($G467:$T467,"&lt;="&amp;Q467)+1)-Q467)))</f>
        <v/>
      </c>
      <c r="AO467" t="str">
        <f>IF(OR($B467="",NOT(ISNUMBER(R467))),"",IF(COUNTIF(S467:$T467,R467)&gt;0,0,IF(COUNTIF($G467:$T467,"&gt;"&amp;R467)=0,"",SMALL($G467:$T467,COUNTIF($G467:$T467,"&lt;="&amp;R467)+1)-R467)))</f>
        <v/>
      </c>
      <c r="AP467">
        <f t="shared" ca="1" si="122"/>
        <v>0</v>
      </c>
      <c r="AQ467" s="25" t="str">
        <f t="shared" si="123"/>
        <v/>
      </c>
      <c r="AR467" s="25" t="str">
        <f t="shared" si="124"/>
        <v/>
      </c>
      <c r="AS467" s="25">
        <f t="shared" si="125"/>
        <v>46304</v>
      </c>
      <c r="AT467" s="25">
        <f t="shared" si="126"/>
        <v>46304</v>
      </c>
      <c r="AU467" s="25" t="str">
        <f t="shared" si="127"/>
        <v/>
      </c>
      <c r="AV467" s="25" t="str">
        <f t="shared" si="128"/>
        <v/>
      </c>
      <c r="AW467" s="25" t="str">
        <f t="shared" si="129"/>
        <v/>
      </c>
      <c r="AX467" s="25" t="str">
        <f t="shared" si="130"/>
        <v/>
      </c>
      <c r="AY467" s="25" t="str">
        <f t="shared" si="131"/>
        <v/>
      </c>
      <c r="AZ467" s="25" t="str">
        <f t="shared" si="132"/>
        <v/>
      </c>
      <c r="BA467" s="25" t="str">
        <f t="shared" si="133"/>
        <v/>
      </c>
      <c r="BB467" s="25" t="str">
        <f t="shared" si="134"/>
        <v/>
      </c>
      <c r="BC467" s="25">
        <f t="shared" si="135"/>
        <v>46304</v>
      </c>
    </row>
    <row r="468" spans="1:55" x14ac:dyDescent="0.25">
      <c r="A468" s="151">
        <f t="shared" si="120"/>
        <v>466</v>
      </c>
      <c r="B468" s="151" t="s">
        <v>701</v>
      </c>
      <c r="C468" s="152" t="s">
        <v>478</v>
      </c>
      <c r="D468" s="151">
        <f t="shared" si="119"/>
        <v>1</v>
      </c>
      <c r="E468" s="151" t="s">
        <v>61</v>
      </c>
      <c r="F468" s="173">
        <v>46304</v>
      </c>
      <c r="G468" s="173"/>
      <c r="H468" s="173"/>
      <c r="I468" s="173">
        <v>46304</v>
      </c>
      <c r="J468" s="173">
        <v>46304</v>
      </c>
      <c r="K468" s="173"/>
      <c r="L468" s="173"/>
      <c r="M468" s="173"/>
      <c r="N468" s="173"/>
      <c r="O468" s="173"/>
      <c r="P468" s="173"/>
      <c r="Q468" s="173"/>
      <c r="R468" s="173"/>
      <c r="S468" s="173"/>
      <c r="T468" s="174">
        <v>46304</v>
      </c>
      <c r="U468" s="151"/>
      <c r="V468" s="152"/>
      <c r="W468" s="175"/>
      <c r="X468" s="173"/>
      <c r="Y468" s="173"/>
      <c r="Z468" s="176" t="str">
        <f>IF(B468="","",IF(S468&lt;&gt;"","Sevk Edildi",IF(AND(X468&lt;&gt;"",Y468=""),"Reworkte",IF(T468&lt;&gt;"","Kapandı"&amp;IF(COUNT(G468:R468)=0,""," – "&amp;LOOKUP(2,1/(G468:R468=MAX(G468:R468)),{"Tasarım","Ply Cutter","Üretim","Kalite (Üretim sonrası)","Talaşlı","Kalite (Talaşlı sonrası)","Montaj","Kalite (Montaj sonrası)","Boya","Kalite (Boya sonrası)","Yarı Mamül","KM"})),IF(COUNT(G468:R468)=0,"Başlamadı",LOOKUP(2,1/(G468:R468=MAX(G468:R468)),{"Tasarımda","Ply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68" s="177">
        <f t="shared" ca="1" si="121"/>
        <v>0</v>
      </c>
      <c r="AB468" s="175"/>
      <c r="AD468" t="str">
        <f>IF(OR($B468="",NOT(ISNUMBER(G468))),"",IF(COUNTIF(H468:$T468,G468)&gt;0,0,IF(COUNTIF($G468:$T468,"&gt;"&amp;G468)=0,"",SMALL($G468:$T468,COUNTIF($G468:$T468,"&lt;="&amp;G468)+1)-G468)))</f>
        <v/>
      </c>
      <c r="AE468" t="str">
        <f>IF(OR($B468="",NOT(ISNUMBER(H468))),"",IF(COUNTIF(I468:$T468,H468)&gt;0,0,IF(COUNTIF($G468:$T468,"&gt;"&amp;H468)=0,"",SMALL($G468:$T468,COUNTIF($G468:$T468,"&lt;="&amp;H468)+1)-H468)))</f>
        <v/>
      </c>
      <c r="AF468">
        <f>IF(OR($B468="",NOT(ISNUMBER(I468))),"",IF(COUNTIF(J468:$T468,I468)&gt;0,0,IF(COUNTIF($G468:$T468,"&gt;"&amp;I468)=0,"",SMALL($G468:$T468,COUNTIF($G468:$T468,"&lt;="&amp;I468)+1)-I468)))</f>
        <v>0</v>
      </c>
      <c r="AG468">
        <f>IF(OR($B468="",NOT(ISNUMBER(J468))),"",IF(COUNTIF(K468:$T468,J468)&gt;0,0,IF(COUNTIF($G468:$T468,"&gt;"&amp;J468)=0,"",SMALL($G468:$T468,COUNTIF($G468:$T468,"&lt;="&amp;J468)+1)-J468)))</f>
        <v>0</v>
      </c>
      <c r="AH468" t="str">
        <f>IF(OR($B468="",NOT(ISNUMBER(K468))),"",IF(COUNTIF(L468:$T468,K468)&gt;0,0,IF(COUNTIF($G468:$T468,"&gt;"&amp;K468)=0,"",SMALL($G468:$T468,COUNTIF($G468:$T468,"&lt;="&amp;K468)+1)-K468)))</f>
        <v/>
      </c>
      <c r="AI468" t="str">
        <f>IF(OR($B468="",NOT(ISNUMBER(L468))),"",IF(COUNTIF(M468:$T468,L468)&gt;0,0,IF(COUNTIF($G468:$T468,"&gt;"&amp;L468)=0,"",SMALL($G468:$T468,COUNTIF($G468:$T468,"&lt;="&amp;L468)+1)-L468)))</f>
        <v/>
      </c>
      <c r="AJ468" t="str">
        <f>IF(OR($B468="",NOT(ISNUMBER(M468))),"",IF(COUNTIF(N468:$T468,M468)&gt;0,0,IF(COUNTIF($G468:$T468,"&gt;"&amp;M468)=0,"",SMALL($G468:$T468,COUNTIF($G468:$T468,"&lt;="&amp;M468)+1)-M468)))</f>
        <v/>
      </c>
      <c r="AK468" t="str">
        <f>IF(OR($B468="",NOT(ISNUMBER(N468))),"",IF(COUNTIF(O468:$T468,N468)&gt;0,0,IF(COUNTIF($G468:$T468,"&gt;"&amp;N468)=0,"",SMALL($G468:$T468,COUNTIF($G468:$T468,"&lt;="&amp;N468)+1)-N468)))</f>
        <v/>
      </c>
      <c r="AL468" t="str">
        <f>IF(OR($B468="",NOT(ISNUMBER(O468))),"",IF(COUNTIF(P468:$T468,O468)&gt;0,0,IF(COUNTIF($G468:$T468,"&gt;"&amp;O468)=0,"",SMALL($G468:$T468,COUNTIF($G468:$T468,"&lt;="&amp;O468)+1)-O468)))</f>
        <v/>
      </c>
      <c r="AM468" t="str">
        <f>IF(OR($B468="",NOT(ISNUMBER(P468))),"",IF(COUNTIF(Q468:$T468,P468)&gt;0,0,IF(COUNTIF($G468:$T468,"&gt;"&amp;P468)=0,"",SMALL($G468:$T468,COUNTIF($G468:$T468,"&lt;="&amp;P468)+1)-P468)))</f>
        <v/>
      </c>
      <c r="AN468" t="str">
        <f>IF(OR($B468="",NOT(ISNUMBER(Q468))),"",IF(COUNTIF(R468:$T468,Q468)&gt;0,0,IF(COUNTIF($G468:$T468,"&gt;"&amp;Q468)=0,"",SMALL($G468:$T468,COUNTIF($G468:$T468,"&lt;="&amp;Q468)+1)-Q468)))</f>
        <v/>
      </c>
      <c r="AO468" t="str">
        <f>IF(OR($B468="",NOT(ISNUMBER(R468))),"",IF(COUNTIF(S468:$T468,R468)&gt;0,0,IF(COUNTIF($G468:$T468,"&gt;"&amp;R468)=0,"",SMALL($G468:$T468,COUNTIF($G468:$T468,"&lt;="&amp;R468)+1)-R468)))</f>
        <v/>
      </c>
      <c r="AP468">
        <f t="shared" ca="1" si="122"/>
        <v>0</v>
      </c>
      <c r="AQ468" s="25" t="str">
        <f t="shared" si="123"/>
        <v/>
      </c>
      <c r="AR468" s="25" t="str">
        <f t="shared" si="124"/>
        <v/>
      </c>
      <c r="AS468" s="25">
        <f t="shared" si="125"/>
        <v>46304</v>
      </c>
      <c r="AT468" s="25">
        <f t="shared" si="126"/>
        <v>46304</v>
      </c>
      <c r="AU468" s="25" t="str">
        <f t="shared" si="127"/>
        <v/>
      </c>
      <c r="AV468" s="25" t="str">
        <f t="shared" si="128"/>
        <v/>
      </c>
      <c r="AW468" s="25" t="str">
        <f t="shared" si="129"/>
        <v/>
      </c>
      <c r="AX468" s="25" t="str">
        <f t="shared" si="130"/>
        <v/>
      </c>
      <c r="AY468" s="25" t="str">
        <f t="shared" si="131"/>
        <v/>
      </c>
      <c r="AZ468" s="25" t="str">
        <f t="shared" si="132"/>
        <v/>
      </c>
      <c r="BA468" s="25" t="str">
        <f t="shared" si="133"/>
        <v/>
      </c>
      <c r="BB468" s="25" t="str">
        <f t="shared" si="134"/>
        <v/>
      </c>
      <c r="BC468" s="25">
        <f t="shared" si="135"/>
        <v>46304</v>
      </c>
    </row>
    <row r="469" spans="1:55" x14ac:dyDescent="0.25">
      <c r="A469" s="151">
        <f t="shared" si="120"/>
        <v>467</v>
      </c>
      <c r="B469" s="151" t="s">
        <v>702</v>
      </c>
      <c r="C469" s="152" t="s">
        <v>703</v>
      </c>
      <c r="D469" s="151">
        <f t="shared" si="119"/>
        <v>20</v>
      </c>
      <c r="E469" s="151" t="s">
        <v>100</v>
      </c>
      <c r="F469" s="173">
        <v>46304</v>
      </c>
      <c r="G469" s="173"/>
      <c r="H469" s="173">
        <v>46304</v>
      </c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4">
        <v>46304</v>
      </c>
      <c r="U469" s="151"/>
      <c r="V469" s="152"/>
      <c r="W469" s="175"/>
      <c r="X469" s="173"/>
      <c r="Y469" s="173"/>
      <c r="Z469" s="176" t="str">
        <f>IF(B469="","",IF(S469&lt;&gt;"","Sevk Edildi",IF(AND(X469&lt;&gt;"",Y469=""),"Reworkte",IF(T469&lt;&gt;"","Kapandı"&amp;IF(COUNT(G469:R469)=0,""," – "&amp;LOOKUP(2,1/(G469:R469=MAX(G469:R469)),{"Tasarım","Ply Cutter","Üretim","Kalite (Üretim sonrası)","Talaşlı","Kalite (Talaşlı sonrası)","Montaj","Kalite (Montaj sonrası)","Boya","Kalite (Boya sonrası)","Yarı Mamül","KM"})),IF(COUNT(G469:R469)=0,"Başlamadı",LOOKUP(2,1/(G469:R469=MAX(G469:R469)),{"Tasarımda","Ply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69" s="177">
        <f t="shared" ca="1" si="121"/>
        <v>0</v>
      </c>
      <c r="AB469" s="175"/>
      <c r="AD469" t="str">
        <f>IF(OR($B469="",NOT(ISNUMBER(G469))),"",IF(COUNTIF(H469:$T469,G469)&gt;0,0,IF(COUNTIF($G469:$T469,"&gt;"&amp;G469)=0,"",SMALL($G469:$T469,COUNTIF($G469:$T469,"&lt;="&amp;G469)+1)-G469)))</f>
        <v/>
      </c>
      <c r="AE469">
        <f>IF(OR($B469="",NOT(ISNUMBER(H469))),"",IF(COUNTIF(I469:$T469,H469)&gt;0,0,IF(COUNTIF($G469:$T469,"&gt;"&amp;H469)=0,"",SMALL($G469:$T469,COUNTIF($G469:$T469,"&lt;="&amp;H469)+1)-H469)))</f>
        <v>0</v>
      </c>
      <c r="AF469" t="str">
        <f>IF(OR($B469="",NOT(ISNUMBER(I469))),"",IF(COUNTIF(J469:$T469,I469)&gt;0,0,IF(COUNTIF($G469:$T469,"&gt;"&amp;I469)=0,"",SMALL($G469:$T469,COUNTIF($G469:$T469,"&lt;="&amp;I469)+1)-I469)))</f>
        <v/>
      </c>
      <c r="AG469" t="str">
        <f>IF(OR($B469="",NOT(ISNUMBER(J469))),"",IF(COUNTIF(K469:$T469,J469)&gt;0,0,IF(COUNTIF($G469:$T469,"&gt;"&amp;J469)=0,"",SMALL($G469:$T469,COUNTIF($G469:$T469,"&lt;="&amp;J469)+1)-J469)))</f>
        <v/>
      </c>
      <c r="AH469" t="str">
        <f>IF(OR($B469="",NOT(ISNUMBER(K469))),"",IF(COUNTIF(L469:$T469,K469)&gt;0,0,IF(COUNTIF($G469:$T469,"&gt;"&amp;K469)=0,"",SMALL($G469:$T469,COUNTIF($G469:$T469,"&lt;="&amp;K469)+1)-K469)))</f>
        <v/>
      </c>
      <c r="AI469" t="str">
        <f>IF(OR($B469="",NOT(ISNUMBER(L469))),"",IF(COUNTIF(M469:$T469,L469)&gt;0,0,IF(COUNTIF($G469:$T469,"&gt;"&amp;L469)=0,"",SMALL($G469:$T469,COUNTIF($G469:$T469,"&lt;="&amp;L469)+1)-L469)))</f>
        <v/>
      </c>
      <c r="AJ469" t="str">
        <f>IF(OR($B469="",NOT(ISNUMBER(M469))),"",IF(COUNTIF(N469:$T469,M469)&gt;0,0,IF(COUNTIF($G469:$T469,"&gt;"&amp;M469)=0,"",SMALL($G469:$T469,COUNTIF($G469:$T469,"&lt;="&amp;M469)+1)-M469)))</f>
        <v/>
      </c>
      <c r="AK469" t="str">
        <f>IF(OR($B469="",NOT(ISNUMBER(N469))),"",IF(COUNTIF(O469:$T469,N469)&gt;0,0,IF(COUNTIF($G469:$T469,"&gt;"&amp;N469)=0,"",SMALL($G469:$T469,COUNTIF($G469:$T469,"&lt;="&amp;N469)+1)-N469)))</f>
        <v/>
      </c>
      <c r="AL469" t="str">
        <f>IF(OR($B469="",NOT(ISNUMBER(O469))),"",IF(COUNTIF(P469:$T469,O469)&gt;0,0,IF(COUNTIF($G469:$T469,"&gt;"&amp;O469)=0,"",SMALL($G469:$T469,COUNTIF($G469:$T469,"&lt;="&amp;O469)+1)-O469)))</f>
        <v/>
      </c>
      <c r="AM469" t="str">
        <f>IF(OR($B469="",NOT(ISNUMBER(P469))),"",IF(COUNTIF(Q469:$T469,P469)&gt;0,0,IF(COUNTIF($G469:$T469,"&gt;"&amp;P469)=0,"",SMALL($G469:$T469,COUNTIF($G469:$T469,"&lt;="&amp;P469)+1)-P469)))</f>
        <v/>
      </c>
      <c r="AN469" t="str">
        <f>IF(OR($B469="",NOT(ISNUMBER(Q469))),"",IF(COUNTIF(R469:$T469,Q469)&gt;0,0,IF(COUNTIF($G469:$T469,"&gt;"&amp;Q469)=0,"",SMALL($G469:$T469,COUNTIF($G469:$T469,"&lt;="&amp;Q469)+1)-Q469)))</f>
        <v/>
      </c>
      <c r="AO469" t="str">
        <f>IF(OR($B469="",NOT(ISNUMBER(R469))),"",IF(COUNTIF(S469:$T469,R469)&gt;0,0,IF(COUNTIF($G469:$T469,"&gt;"&amp;R469)=0,"",SMALL($G469:$T469,COUNTIF($G469:$T469,"&lt;="&amp;R469)+1)-R469)))</f>
        <v/>
      </c>
      <c r="AP469">
        <f t="shared" ca="1" si="122"/>
        <v>0</v>
      </c>
      <c r="AQ469" s="25" t="str">
        <f t="shared" si="123"/>
        <v/>
      </c>
      <c r="AR469" s="25">
        <f t="shared" si="124"/>
        <v>46304</v>
      </c>
      <c r="AS469" s="25" t="str">
        <f t="shared" si="125"/>
        <v/>
      </c>
      <c r="AT469" s="25" t="str">
        <f t="shared" si="126"/>
        <v/>
      </c>
      <c r="AU469" s="25" t="str">
        <f t="shared" si="127"/>
        <v/>
      </c>
      <c r="AV469" s="25" t="str">
        <f t="shared" si="128"/>
        <v/>
      </c>
      <c r="AW469" s="25" t="str">
        <f t="shared" si="129"/>
        <v/>
      </c>
      <c r="AX469" s="25" t="str">
        <f t="shared" si="130"/>
        <v/>
      </c>
      <c r="AY469" s="25" t="str">
        <f t="shared" si="131"/>
        <v/>
      </c>
      <c r="AZ469" s="25" t="str">
        <f t="shared" si="132"/>
        <v/>
      </c>
      <c r="BA469" s="25" t="str">
        <f t="shared" si="133"/>
        <v/>
      </c>
      <c r="BB469" s="25" t="str">
        <f t="shared" si="134"/>
        <v/>
      </c>
      <c r="BC469" s="25">
        <f t="shared" si="135"/>
        <v>46304</v>
      </c>
    </row>
    <row r="470" spans="1:55" x14ac:dyDescent="0.25">
      <c r="A470" s="151">
        <f t="shared" si="120"/>
        <v>468</v>
      </c>
      <c r="B470" s="151" t="s">
        <v>704</v>
      </c>
      <c r="C470" s="152" t="s">
        <v>180</v>
      </c>
      <c r="D470" s="151">
        <f t="shared" si="119"/>
        <v>1</v>
      </c>
      <c r="E470" s="151" t="s">
        <v>61</v>
      </c>
      <c r="F470" s="173">
        <v>46304</v>
      </c>
      <c r="G470" s="173"/>
      <c r="H470" s="173"/>
      <c r="I470" s="173">
        <v>46304</v>
      </c>
      <c r="J470" s="173">
        <v>46305</v>
      </c>
      <c r="K470" s="173"/>
      <c r="L470" s="173"/>
      <c r="M470" s="173"/>
      <c r="N470" s="173"/>
      <c r="O470" s="173"/>
      <c r="P470" s="173"/>
      <c r="Q470" s="173"/>
      <c r="R470" s="173"/>
      <c r="S470" s="173"/>
      <c r="T470" s="174">
        <v>46305</v>
      </c>
      <c r="U470" s="151"/>
      <c r="V470" s="152"/>
      <c r="W470" s="175"/>
      <c r="X470" s="173"/>
      <c r="Y470" s="173"/>
      <c r="Z470" s="176" t="str">
        <f>IF(B470="","",IF(S470&lt;&gt;"","Sevk Edildi",IF(AND(X470&lt;&gt;"",Y470=""),"Reworkte",IF(T470&lt;&gt;"","Kapandı"&amp;IF(COUNT(G470:R470)=0,""," – "&amp;LOOKUP(2,1/(G470:R470=MAX(G470:R470)),{"Tasarım","Ply Cutter","Üretim","Kalite (Üretim sonrası)","Talaşlı","Kalite (Talaşlı sonrası)","Montaj","Kalite (Montaj sonrası)","Boya","Kalite (Boya sonrası)","Yarı Mamül","KM"})),IF(COUNT(G470:R470)=0,"Başlamadı",LOOKUP(2,1/(G470:R470=MAX(G470:R470)),{"Tasarımda","Ply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70" s="177">
        <f t="shared" ca="1" si="121"/>
        <v>1</v>
      </c>
      <c r="AB470" s="175"/>
      <c r="AD470" t="str">
        <f>IF(OR($B470="",NOT(ISNUMBER(G470))),"",IF(COUNTIF(H470:$T470,G470)&gt;0,0,IF(COUNTIF($G470:$T470,"&gt;"&amp;G470)=0,"",SMALL($G470:$T470,COUNTIF($G470:$T470,"&lt;="&amp;G470)+1)-G470)))</f>
        <v/>
      </c>
      <c r="AE470" t="str">
        <f>IF(OR($B470="",NOT(ISNUMBER(H470))),"",IF(COUNTIF(I470:$T470,H470)&gt;0,0,IF(COUNTIF($G470:$T470,"&gt;"&amp;H470)=0,"",SMALL($G470:$T470,COUNTIF($G470:$T470,"&lt;="&amp;H470)+1)-H470)))</f>
        <v/>
      </c>
      <c r="AF470">
        <f>IF(OR($B470="",NOT(ISNUMBER(I470))),"",IF(COUNTIF(J470:$T470,I470)&gt;0,0,IF(COUNTIF($G470:$T470,"&gt;"&amp;I470)=0,"",SMALL($G470:$T470,COUNTIF($G470:$T470,"&lt;="&amp;I470)+1)-I470)))</f>
        <v>1</v>
      </c>
      <c r="AG470">
        <f>IF(OR($B470="",NOT(ISNUMBER(J470))),"",IF(COUNTIF(K470:$T470,J470)&gt;0,0,IF(COUNTIF($G470:$T470,"&gt;"&amp;J470)=0,"",SMALL($G470:$T470,COUNTIF($G470:$T470,"&lt;="&amp;J470)+1)-J470)))</f>
        <v>0</v>
      </c>
      <c r="AH470" t="str">
        <f>IF(OR($B470="",NOT(ISNUMBER(K470))),"",IF(COUNTIF(L470:$T470,K470)&gt;0,0,IF(COUNTIF($G470:$T470,"&gt;"&amp;K470)=0,"",SMALL($G470:$T470,COUNTIF($G470:$T470,"&lt;="&amp;K470)+1)-K470)))</f>
        <v/>
      </c>
      <c r="AI470" t="str">
        <f>IF(OR($B470="",NOT(ISNUMBER(L470))),"",IF(COUNTIF(M470:$T470,L470)&gt;0,0,IF(COUNTIF($G470:$T470,"&gt;"&amp;L470)=0,"",SMALL($G470:$T470,COUNTIF($G470:$T470,"&lt;="&amp;L470)+1)-L470)))</f>
        <v/>
      </c>
      <c r="AJ470" t="str">
        <f>IF(OR($B470="",NOT(ISNUMBER(M470))),"",IF(COUNTIF(N470:$T470,M470)&gt;0,0,IF(COUNTIF($G470:$T470,"&gt;"&amp;M470)=0,"",SMALL($G470:$T470,COUNTIF($G470:$T470,"&lt;="&amp;M470)+1)-M470)))</f>
        <v/>
      </c>
      <c r="AK470" t="str">
        <f>IF(OR($B470="",NOT(ISNUMBER(N470))),"",IF(COUNTIF(O470:$T470,N470)&gt;0,0,IF(COUNTIF($G470:$T470,"&gt;"&amp;N470)=0,"",SMALL($G470:$T470,COUNTIF($G470:$T470,"&lt;="&amp;N470)+1)-N470)))</f>
        <v/>
      </c>
      <c r="AL470" t="str">
        <f>IF(OR($B470="",NOT(ISNUMBER(O470))),"",IF(COUNTIF(P470:$T470,O470)&gt;0,0,IF(COUNTIF($G470:$T470,"&gt;"&amp;O470)=0,"",SMALL($G470:$T470,COUNTIF($G470:$T470,"&lt;="&amp;O470)+1)-O470)))</f>
        <v/>
      </c>
      <c r="AM470" t="str">
        <f>IF(OR($B470="",NOT(ISNUMBER(P470))),"",IF(COUNTIF(Q470:$T470,P470)&gt;0,0,IF(COUNTIF($G470:$T470,"&gt;"&amp;P470)=0,"",SMALL($G470:$T470,COUNTIF($G470:$T470,"&lt;="&amp;P470)+1)-P470)))</f>
        <v/>
      </c>
      <c r="AN470" t="str">
        <f>IF(OR($B470="",NOT(ISNUMBER(Q470))),"",IF(COUNTIF(R470:$T470,Q470)&gt;0,0,IF(COUNTIF($G470:$T470,"&gt;"&amp;Q470)=0,"",SMALL($G470:$T470,COUNTIF($G470:$T470,"&lt;="&amp;Q470)+1)-Q470)))</f>
        <v/>
      </c>
      <c r="AO470" t="str">
        <f>IF(OR($B470="",NOT(ISNUMBER(R470))),"",IF(COUNTIF(S470:$T470,R470)&gt;0,0,IF(COUNTIF($G470:$T470,"&gt;"&amp;R470)=0,"",SMALL($G470:$T470,COUNTIF($G470:$T470,"&lt;="&amp;R470)+1)-R470)))</f>
        <v/>
      </c>
      <c r="AP470">
        <f t="shared" ca="1" si="122"/>
        <v>0</v>
      </c>
      <c r="AQ470" s="25" t="str">
        <f t="shared" si="123"/>
        <v/>
      </c>
      <c r="AR470" s="25" t="str">
        <f t="shared" si="124"/>
        <v/>
      </c>
      <c r="AS470" s="25">
        <f t="shared" si="125"/>
        <v>46305</v>
      </c>
      <c r="AT470" s="25">
        <f t="shared" si="126"/>
        <v>46305</v>
      </c>
      <c r="AU470" s="25" t="str">
        <f t="shared" si="127"/>
        <v/>
      </c>
      <c r="AV470" s="25" t="str">
        <f t="shared" si="128"/>
        <v/>
      </c>
      <c r="AW470" s="25" t="str">
        <f t="shared" si="129"/>
        <v/>
      </c>
      <c r="AX470" s="25" t="str">
        <f t="shared" si="130"/>
        <v/>
      </c>
      <c r="AY470" s="25" t="str">
        <f t="shared" si="131"/>
        <v/>
      </c>
      <c r="AZ470" s="25" t="str">
        <f t="shared" si="132"/>
        <v/>
      </c>
      <c r="BA470" s="25" t="str">
        <f t="shared" si="133"/>
        <v/>
      </c>
      <c r="BB470" s="25" t="str">
        <f t="shared" si="134"/>
        <v/>
      </c>
      <c r="BC470" s="25">
        <f t="shared" si="135"/>
        <v>46305</v>
      </c>
    </row>
    <row r="471" spans="1:55" x14ac:dyDescent="0.25">
      <c r="A471" s="151">
        <f t="shared" si="120"/>
        <v>469</v>
      </c>
      <c r="B471" s="151" t="s">
        <v>705</v>
      </c>
      <c r="C471" s="152" t="s">
        <v>706</v>
      </c>
      <c r="D471" s="151">
        <f t="shared" si="119"/>
        <v>5</v>
      </c>
      <c r="E471" s="151" t="s">
        <v>100</v>
      </c>
      <c r="F471" s="173">
        <v>46304</v>
      </c>
      <c r="G471" s="173"/>
      <c r="H471" s="173">
        <v>46304</v>
      </c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4">
        <v>46304</v>
      </c>
      <c r="U471" s="151"/>
      <c r="V471" s="152"/>
      <c r="W471" s="175"/>
      <c r="X471" s="173"/>
      <c r="Y471" s="173"/>
      <c r="Z471" s="176" t="str">
        <f>IF(B471="","",IF(S471&lt;&gt;"","Sevk Edildi",IF(AND(X471&lt;&gt;"",Y471=""),"Reworkte",IF(T471&lt;&gt;"","Kapandı"&amp;IF(COUNT(G471:R471)=0,""," – "&amp;LOOKUP(2,1/(G471:R471=MAX(G471:R471)),{"Tasarım","Ply Cutter","Üretim","Kalite (Üretim sonrası)","Talaşlı","Kalite (Talaşlı sonrası)","Montaj","Kalite (Montaj sonrası)","Boya","Kalite (Boya sonrası)","Yarı Mamül","KM"})),IF(COUNT(G471:R471)=0,"Başlamadı",LOOKUP(2,1/(G471:R471=MAX(G471:R471)),{"Tasarımda","Ply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71" s="177">
        <f t="shared" ca="1" si="121"/>
        <v>0</v>
      </c>
      <c r="AB471" s="175"/>
      <c r="AD471" t="str">
        <f>IF(OR($B471="",NOT(ISNUMBER(G471))),"",IF(COUNTIF(H471:$T471,G471)&gt;0,0,IF(COUNTIF($G471:$T471,"&gt;"&amp;G471)=0,"",SMALL($G471:$T471,COUNTIF($G471:$T471,"&lt;="&amp;G471)+1)-G471)))</f>
        <v/>
      </c>
      <c r="AE471">
        <f>IF(OR($B471="",NOT(ISNUMBER(H471))),"",IF(COUNTIF(I471:$T471,H471)&gt;0,0,IF(COUNTIF($G471:$T471,"&gt;"&amp;H471)=0,"",SMALL($G471:$T471,COUNTIF($G471:$T471,"&lt;="&amp;H471)+1)-H471)))</f>
        <v>0</v>
      </c>
      <c r="AF471" t="str">
        <f>IF(OR($B471="",NOT(ISNUMBER(I471))),"",IF(COUNTIF(J471:$T471,I471)&gt;0,0,IF(COUNTIF($G471:$T471,"&gt;"&amp;I471)=0,"",SMALL($G471:$T471,COUNTIF($G471:$T471,"&lt;="&amp;I471)+1)-I471)))</f>
        <v/>
      </c>
      <c r="AG471" t="str">
        <f>IF(OR($B471="",NOT(ISNUMBER(J471))),"",IF(COUNTIF(K471:$T471,J471)&gt;0,0,IF(COUNTIF($G471:$T471,"&gt;"&amp;J471)=0,"",SMALL($G471:$T471,COUNTIF($G471:$T471,"&lt;="&amp;J471)+1)-J471)))</f>
        <v/>
      </c>
      <c r="AH471" t="str">
        <f>IF(OR($B471="",NOT(ISNUMBER(K471))),"",IF(COUNTIF(L471:$T471,K471)&gt;0,0,IF(COUNTIF($G471:$T471,"&gt;"&amp;K471)=0,"",SMALL($G471:$T471,COUNTIF($G471:$T471,"&lt;="&amp;K471)+1)-K471)))</f>
        <v/>
      </c>
      <c r="AI471" t="str">
        <f>IF(OR($B471="",NOT(ISNUMBER(L471))),"",IF(COUNTIF(M471:$T471,L471)&gt;0,0,IF(COUNTIF($G471:$T471,"&gt;"&amp;L471)=0,"",SMALL($G471:$T471,COUNTIF($G471:$T471,"&lt;="&amp;L471)+1)-L471)))</f>
        <v/>
      </c>
      <c r="AJ471" t="str">
        <f>IF(OR($B471="",NOT(ISNUMBER(M471))),"",IF(COUNTIF(N471:$T471,M471)&gt;0,0,IF(COUNTIF($G471:$T471,"&gt;"&amp;M471)=0,"",SMALL($G471:$T471,COUNTIF($G471:$T471,"&lt;="&amp;M471)+1)-M471)))</f>
        <v/>
      </c>
      <c r="AK471" t="str">
        <f>IF(OR($B471="",NOT(ISNUMBER(N471))),"",IF(COUNTIF(O471:$T471,N471)&gt;0,0,IF(COUNTIF($G471:$T471,"&gt;"&amp;N471)=0,"",SMALL($G471:$T471,COUNTIF($G471:$T471,"&lt;="&amp;N471)+1)-N471)))</f>
        <v/>
      </c>
      <c r="AL471" t="str">
        <f>IF(OR($B471="",NOT(ISNUMBER(O471))),"",IF(COUNTIF(P471:$T471,O471)&gt;0,0,IF(COUNTIF($G471:$T471,"&gt;"&amp;O471)=0,"",SMALL($G471:$T471,COUNTIF($G471:$T471,"&lt;="&amp;O471)+1)-O471)))</f>
        <v/>
      </c>
      <c r="AM471" t="str">
        <f>IF(OR($B471="",NOT(ISNUMBER(P471))),"",IF(COUNTIF(Q471:$T471,P471)&gt;0,0,IF(COUNTIF($G471:$T471,"&gt;"&amp;P471)=0,"",SMALL($G471:$T471,COUNTIF($G471:$T471,"&lt;="&amp;P471)+1)-P471)))</f>
        <v/>
      </c>
      <c r="AN471" t="str">
        <f>IF(OR($B471="",NOT(ISNUMBER(Q471))),"",IF(COUNTIF(R471:$T471,Q471)&gt;0,0,IF(COUNTIF($G471:$T471,"&gt;"&amp;Q471)=0,"",SMALL($G471:$T471,COUNTIF($G471:$T471,"&lt;="&amp;Q471)+1)-Q471)))</f>
        <v/>
      </c>
      <c r="AO471" t="str">
        <f>IF(OR($B471="",NOT(ISNUMBER(R471))),"",IF(COUNTIF(S471:$T471,R471)&gt;0,0,IF(COUNTIF($G471:$T471,"&gt;"&amp;R471)=0,"",SMALL($G471:$T471,COUNTIF($G471:$T471,"&lt;="&amp;R471)+1)-R471)))</f>
        <v/>
      </c>
      <c r="AP471">
        <f t="shared" ca="1" si="122"/>
        <v>0</v>
      </c>
      <c r="AQ471" s="25" t="str">
        <f t="shared" si="123"/>
        <v/>
      </c>
      <c r="AR471" s="25">
        <f t="shared" si="124"/>
        <v>46304</v>
      </c>
      <c r="AS471" s="25" t="str">
        <f t="shared" si="125"/>
        <v/>
      </c>
      <c r="AT471" s="25" t="str">
        <f t="shared" si="126"/>
        <v/>
      </c>
      <c r="AU471" s="25" t="str">
        <f t="shared" si="127"/>
        <v/>
      </c>
      <c r="AV471" s="25" t="str">
        <f t="shared" si="128"/>
        <v/>
      </c>
      <c r="AW471" s="25" t="str">
        <f t="shared" si="129"/>
        <v/>
      </c>
      <c r="AX471" s="25" t="str">
        <f t="shared" si="130"/>
        <v/>
      </c>
      <c r="AY471" s="25" t="str">
        <f t="shared" si="131"/>
        <v/>
      </c>
      <c r="AZ471" s="25" t="str">
        <f t="shared" si="132"/>
        <v/>
      </c>
      <c r="BA471" s="25" t="str">
        <f t="shared" si="133"/>
        <v/>
      </c>
      <c r="BB471" s="25" t="str">
        <f t="shared" si="134"/>
        <v/>
      </c>
      <c r="BC471" s="25">
        <f t="shared" si="135"/>
        <v>46304</v>
      </c>
    </row>
    <row r="472" spans="1:55" x14ac:dyDescent="0.25">
      <c r="A472" s="151">
        <f t="shared" si="120"/>
        <v>470</v>
      </c>
      <c r="B472" s="151" t="s">
        <v>707</v>
      </c>
      <c r="C472" s="152" t="s">
        <v>708</v>
      </c>
      <c r="D472" s="151">
        <f t="shared" si="119"/>
        <v>8</v>
      </c>
      <c r="E472" s="151" t="s">
        <v>100</v>
      </c>
      <c r="F472" s="173">
        <v>46304</v>
      </c>
      <c r="G472" s="173"/>
      <c r="H472" s="173">
        <v>46304</v>
      </c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4">
        <v>46304</v>
      </c>
      <c r="U472" s="151"/>
      <c r="V472" s="152"/>
      <c r="W472" s="175"/>
      <c r="X472" s="173"/>
      <c r="Y472" s="173"/>
      <c r="Z472" s="176" t="str">
        <f>IF(B472="","",IF(S472&lt;&gt;"","Sevk Edildi",IF(AND(X472&lt;&gt;"",Y472=""),"Reworkte",IF(T472&lt;&gt;"","Kapandı"&amp;IF(COUNT(G472:R472)=0,""," – "&amp;LOOKUP(2,1/(G472:R472=MAX(G472:R472)),{"Tasarım","Ply Cutter","Üretim","Kalite (Üretim sonrası)","Talaşlı","Kalite (Talaşlı sonrası)","Montaj","Kalite (Montaj sonrası)","Boya","Kalite (Boya sonrası)","Yarı Mamül","KM"})),IF(COUNT(G472:R472)=0,"Başlamadı",LOOKUP(2,1/(G472:R472=MAX(G472:R472)),{"Tasarımda","Ply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72" s="177">
        <f t="shared" ca="1" si="121"/>
        <v>0</v>
      </c>
      <c r="AB472" s="175"/>
      <c r="AD472" t="str">
        <f>IF(OR($B472="",NOT(ISNUMBER(G472))),"",IF(COUNTIF(H472:$T472,G472)&gt;0,0,IF(COUNTIF($G472:$T472,"&gt;"&amp;G472)=0,"",SMALL($G472:$T472,COUNTIF($G472:$T472,"&lt;="&amp;G472)+1)-G472)))</f>
        <v/>
      </c>
      <c r="AE472">
        <f>IF(OR($B472="",NOT(ISNUMBER(H472))),"",IF(COUNTIF(I472:$T472,H472)&gt;0,0,IF(COUNTIF($G472:$T472,"&gt;"&amp;H472)=0,"",SMALL($G472:$T472,COUNTIF($G472:$T472,"&lt;="&amp;H472)+1)-H472)))</f>
        <v>0</v>
      </c>
      <c r="AF472" t="str">
        <f>IF(OR($B472="",NOT(ISNUMBER(I472))),"",IF(COUNTIF(J472:$T472,I472)&gt;0,0,IF(COUNTIF($G472:$T472,"&gt;"&amp;I472)=0,"",SMALL($G472:$T472,COUNTIF($G472:$T472,"&lt;="&amp;I472)+1)-I472)))</f>
        <v/>
      </c>
      <c r="AG472" t="str">
        <f>IF(OR($B472="",NOT(ISNUMBER(J472))),"",IF(COUNTIF(K472:$T472,J472)&gt;0,0,IF(COUNTIF($G472:$T472,"&gt;"&amp;J472)=0,"",SMALL($G472:$T472,COUNTIF($G472:$T472,"&lt;="&amp;J472)+1)-J472)))</f>
        <v/>
      </c>
      <c r="AH472" t="str">
        <f>IF(OR($B472="",NOT(ISNUMBER(K472))),"",IF(COUNTIF(L472:$T472,K472)&gt;0,0,IF(COUNTIF($G472:$T472,"&gt;"&amp;K472)=0,"",SMALL($G472:$T472,COUNTIF($G472:$T472,"&lt;="&amp;K472)+1)-K472)))</f>
        <v/>
      </c>
      <c r="AI472" t="str">
        <f>IF(OR($B472="",NOT(ISNUMBER(L472))),"",IF(COUNTIF(M472:$T472,L472)&gt;0,0,IF(COUNTIF($G472:$T472,"&gt;"&amp;L472)=0,"",SMALL($G472:$T472,COUNTIF($G472:$T472,"&lt;="&amp;L472)+1)-L472)))</f>
        <v/>
      </c>
      <c r="AJ472" t="str">
        <f>IF(OR($B472="",NOT(ISNUMBER(M472))),"",IF(COUNTIF(N472:$T472,M472)&gt;0,0,IF(COUNTIF($G472:$T472,"&gt;"&amp;M472)=0,"",SMALL($G472:$T472,COUNTIF($G472:$T472,"&lt;="&amp;M472)+1)-M472)))</f>
        <v/>
      </c>
      <c r="AK472" t="str">
        <f>IF(OR($B472="",NOT(ISNUMBER(N472))),"",IF(COUNTIF(O472:$T472,N472)&gt;0,0,IF(COUNTIF($G472:$T472,"&gt;"&amp;N472)=0,"",SMALL($G472:$T472,COUNTIF($G472:$T472,"&lt;="&amp;N472)+1)-N472)))</f>
        <v/>
      </c>
      <c r="AL472" t="str">
        <f>IF(OR($B472="",NOT(ISNUMBER(O472))),"",IF(COUNTIF(P472:$T472,O472)&gt;0,0,IF(COUNTIF($G472:$T472,"&gt;"&amp;O472)=0,"",SMALL($G472:$T472,COUNTIF($G472:$T472,"&lt;="&amp;O472)+1)-O472)))</f>
        <v/>
      </c>
      <c r="AM472" t="str">
        <f>IF(OR($B472="",NOT(ISNUMBER(P472))),"",IF(COUNTIF(Q472:$T472,P472)&gt;0,0,IF(COUNTIF($G472:$T472,"&gt;"&amp;P472)=0,"",SMALL($G472:$T472,COUNTIF($G472:$T472,"&lt;="&amp;P472)+1)-P472)))</f>
        <v/>
      </c>
      <c r="AN472" t="str">
        <f>IF(OR($B472="",NOT(ISNUMBER(Q472))),"",IF(COUNTIF(R472:$T472,Q472)&gt;0,0,IF(COUNTIF($G472:$T472,"&gt;"&amp;Q472)=0,"",SMALL($G472:$T472,COUNTIF($G472:$T472,"&lt;="&amp;Q472)+1)-Q472)))</f>
        <v/>
      </c>
      <c r="AO472" t="str">
        <f>IF(OR($B472="",NOT(ISNUMBER(R472))),"",IF(COUNTIF(S472:$T472,R472)&gt;0,0,IF(COUNTIF($G472:$T472,"&gt;"&amp;R472)=0,"",SMALL($G472:$T472,COUNTIF($G472:$T472,"&lt;="&amp;R472)+1)-R472)))</f>
        <v/>
      </c>
      <c r="AP472">
        <f t="shared" ca="1" si="122"/>
        <v>0</v>
      </c>
      <c r="AQ472" s="25" t="str">
        <f t="shared" si="123"/>
        <v/>
      </c>
      <c r="AR472" s="25">
        <f t="shared" si="124"/>
        <v>46304</v>
      </c>
      <c r="AS472" s="25" t="str">
        <f t="shared" si="125"/>
        <v/>
      </c>
      <c r="AT472" s="25" t="str">
        <f t="shared" si="126"/>
        <v/>
      </c>
      <c r="AU472" s="25" t="str">
        <f t="shared" si="127"/>
        <v/>
      </c>
      <c r="AV472" s="25" t="str">
        <f t="shared" si="128"/>
        <v/>
      </c>
      <c r="AW472" s="25" t="str">
        <f t="shared" si="129"/>
        <v/>
      </c>
      <c r="AX472" s="25" t="str">
        <f t="shared" si="130"/>
        <v/>
      </c>
      <c r="AY472" s="25" t="str">
        <f t="shared" si="131"/>
        <v/>
      </c>
      <c r="AZ472" s="25" t="str">
        <f t="shared" si="132"/>
        <v/>
      </c>
      <c r="BA472" s="25" t="str">
        <f t="shared" si="133"/>
        <v/>
      </c>
      <c r="BB472" s="25" t="str">
        <f t="shared" si="134"/>
        <v/>
      </c>
      <c r="BC472" s="25">
        <f t="shared" si="135"/>
        <v>46304</v>
      </c>
    </row>
    <row r="473" spans="1:55" x14ac:dyDescent="0.25">
      <c r="A473" s="151">
        <f t="shared" si="120"/>
        <v>471</v>
      </c>
      <c r="B473" s="151" t="s">
        <v>709</v>
      </c>
      <c r="C473" s="152" t="s">
        <v>644</v>
      </c>
      <c r="D473" s="151">
        <f t="shared" si="119"/>
        <v>1</v>
      </c>
      <c r="E473" s="151" t="s">
        <v>61</v>
      </c>
      <c r="F473" s="173">
        <v>46304</v>
      </c>
      <c r="G473" s="173"/>
      <c r="H473" s="173"/>
      <c r="I473" s="173">
        <v>46304</v>
      </c>
      <c r="J473" s="173">
        <v>46305</v>
      </c>
      <c r="K473" s="173"/>
      <c r="L473" s="173"/>
      <c r="M473" s="173"/>
      <c r="N473" s="173"/>
      <c r="O473" s="173"/>
      <c r="P473" s="173"/>
      <c r="Q473" s="173">
        <v>46305</v>
      </c>
      <c r="R473" s="173"/>
      <c r="S473" s="173"/>
      <c r="T473" s="174">
        <v>46305</v>
      </c>
      <c r="U473" s="151"/>
      <c r="V473" s="152"/>
      <c r="W473" s="175"/>
      <c r="X473" s="173"/>
      <c r="Y473" s="173"/>
      <c r="Z473" s="176" t="str">
        <f>IF(B473="","",IF(S473&lt;&gt;"","Sevk Edildi",IF(AND(X473&lt;&gt;"",Y473=""),"Reworkte",IF(T473&lt;&gt;"","Kapandı"&amp;IF(COUNT(G473:R473)=0,""," – "&amp;LOOKUP(2,1/(G473:R473=MAX(G473:R473)),{"Tasarım","Ply Cutter","Üretim","Kalite (Üretim sonrası)","Talaşlı","Kalite (Talaşlı sonrası)","Montaj","Kalite (Montaj sonrası)","Boya","Kalite (Boya sonrası)","Yarı Mamül","KM"})),IF(COUNT(G473:R473)=0,"Başlamadı",LOOKUP(2,1/(G473:R473=MAX(G473:R473)),{"Tasarımda","Ply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73" s="177">
        <f t="shared" ca="1" si="121"/>
        <v>1</v>
      </c>
      <c r="AB473" s="175"/>
      <c r="AD473" t="str">
        <f>IF(OR($B473="",NOT(ISNUMBER(G473))),"",IF(COUNTIF(H473:$T473,G473)&gt;0,0,IF(COUNTIF($G473:$T473,"&gt;"&amp;G473)=0,"",SMALL($G473:$T473,COUNTIF($G473:$T473,"&lt;="&amp;G473)+1)-G473)))</f>
        <v/>
      </c>
      <c r="AE473" t="str">
        <f>IF(OR($B473="",NOT(ISNUMBER(H473))),"",IF(COUNTIF(I473:$T473,H473)&gt;0,0,IF(COUNTIF($G473:$T473,"&gt;"&amp;H473)=0,"",SMALL($G473:$T473,COUNTIF($G473:$T473,"&lt;="&amp;H473)+1)-H473)))</f>
        <v/>
      </c>
      <c r="AF473">
        <f>IF(OR($B473="",NOT(ISNUMBER(I473))),"",IF(COUNTIF(J473:$T473,I473)&gt;0,0,IF(COUNTIF($G473:$T473,"&gt;"&amp;I473)=0,"",SMALL($G473:$T473,COUNTIF($G473:$T473,"&lt;="&amp;I473)+1)-I473)))</f>
        <v>1</v>
      </c>
      <c r="AG473">
        <f>IF(OR($B473="",NOT(ISNUMBER(J473))),"",IF(COUNTIF(K473:$T473,J473)&gt;0,0,IF(COUNTIF($G473:$T473,"&gt;"&amp;J473)=0,"",SMALL($G473:$T473,COUNTIF($G473:$T473,"&lt;="&amp;J473)+1)-J473)))</f>
        <v>0</v>
      </c>
      <c r="AH473" t="str">
        <f>IF(OR($B473="",NOT(ISNUMBER(K473))),"",IF(COUNTIF(L473:$T473,K473)&gt;0,0,IF(COUNTIF($G473:$T473,"&gt;"&amp;K473)=0,"",SMALL($G473:$T473,COUNTIF($G473:$T473,"&lt;="&amp;K473)+1)-K473)))</f>
        <v/>
      </c>
      <c r="AI473" t="str">
        <f>IF(OR($B473="",NOT(ISNUMBER(L473))),"",IF(COUNTIF(M473:$T473,L473)&gt;0,0,IF(COUNTIF($G473:$T473,"&gt;"&amp;L473)=0,"",SMALL($G473:$T473,COUNTIF($G473:$T473,"&lt;="&amp;L473)+1)-L473)))</f>
        <v/>
      </c>
      <c r="AJ473" t="str">
        <f>IF(OR($B473="",NOT(ISNUMBER(M473))),"",IF(COUNTIF(N473:$T473,M473)&gt;0,0,IF(COUNTIF($G473:$T473,"&gt;"&amp;M473)=0,"",SMALL($G473:$T473,COUNTIF($G473:$T473,"&lt;="&amp;M473)+1)-M473)))</f>
        <v/>
      </c>
      <c r="AK473" t="str">
        <f>IF(OR($B473="",NOT(ISNUMBER(N473))),"",IF(COUNTIF(O473:$T473,N473)&gt;0,0,IF(COUNTIF($G473:$T473,"&gt;"&amp;N473)=0,"",SMALL($G473:$T473,COUNTIF($G473:$T473,"&lt;="&amp;N473)+1)-N473)))</f>
        <v/>
      </c>
      <c r="AL473" t="str">
        <f>IF(OR($B473="",NOT(ISNUMBER(O473))),"",IF(COUNTIF(P473:$T473,O473)&gt;0,0,IF(COUNTIF($G473:$T473,"&gt;"&amp;O473)=0,"",SMALL($G473:$T473,COUNTIF($G473:$T473,"&lt;="&amp;O473)+1)-O473)))</f>
        <v/>
      </c>
      <c r="AM473" t="str">
        <f>IF(OR($B473="",NOT(ISNUMBER(P473))),"",IF(COUNTIF(Q473:$T473,P473)&gt;0,0,IF(COUNTIF($G473:$T473,"&gt;"&amp;P473)=0,"",SMALL($G473:$T473,COUNTIF($G473:$T473,"&lt;="&amp;P473)+1)-P473)))</f>
        <v/>
      </c>
      <c r="AN473">
        <f>IF(OR($B473="",NOT(ISNUMBER(Q473))),"",IF(COUNTIF(R473:$T473,Q473)&gt;0,0,IF(COUNTIF($G473:$T473,"&gt;"&amp;Q473)=0,"",SMALL($G473:$T473,COUNTIF($G473:$T473,"&lt;="&amp;Q473)+1)-Q473)))</f>
        <v>0</v>
      </c>
      <c r="AO473" t="str">
        <f>IF(OR($B473="",NOT(ISNUMBER(R473))),"",IF(COUNTIF(S473:$T473,R473)&gt;0,0,IF(COUNTIF($G473:$T473,"&gt;"&amp;R473)=0,"",SMALL($G473:$T473,COUNTIF($G473:$T473,"&lt;="&amp;R473)+1)-R473)))</f>
        <v/>
      </c>
      <c r="AP473">
        <f t="shared" ca="1" si="122"/>
        <v>0</v>
      </c>
      <c r="AQ473" s="25" t="str">
        <f t="shared" si="123"/>
        <v/>
      </c>
      <c r="AR473" s="25" t="str">
        <f t="shared" si="124"/>
        <v/>
      </c>
      <c r="AS473" s="25">
        <f t="shared" si="125"/>
        <v>46305</v>
      </c>
      <c r="AT473" s="25">
        <f t="shared" si="126"/>
        <v>46305</v>
      </c>
      <c r="AU473" s="25" t="str">
        <f t="shared" si="127"/>
        <v/>
      </c>
      <c r="AV473" s="25" t="str">
        <f t="shared" si="128"/>
        <v/>
      </c>
      <c r="AW473" s="25" t="str">
        <f t="shared" si="129"/>
        <v/>
      </c>
      <c r="AX473" s="25" t="str">
        <f t="shared" si="130"/>
        <v/>
      </c>
      <c r="AY473" s="25" t="str">
        <f t="shared" si="131"/>
        <v/>
      </c>
      <c r="AZ473" s="25" t="str">
        <f t="shared" si="132"/>
        <v/>
      </c>
      <c r="BA473" s="25">
        <f t="shared" si="133"/>
        <v>46305</v>
      </c>
      <c r="BB473" s="25" t="str">
        <f t="shared" si="134"/>
        <v/>
      </c>
      <c r="BC473" s="25">
        <f t="shared" si="135"/>
        <v>46305</v>
      </c>
    </row>
    <row r="474" spans="1:55" x14ac:dyDescent="0.25">
      <c r="A474" s="151">
        <f t="shared" si="120"/>
        <v>472</v>
      </c>
      <c r="B474" s="151" t="s">
        <v>710</v>
      </c>
      <c r="C474" s="152" t="s">
        <v>668</v>
      </c>
      <c r="D474" s="151">
        <f t="shared" si="119"/>
        <v>1</v>
      </c>
      <c r="E474" s="151" t="s">
        <v>61</v>
      </c>
      <c r="F474" s="173">
        <v>46304</v>
      </c>
      <c r="G474" s="173"/>
      <c r="H474" s="173"/>
      <c r="I474" s="173">
        <v>46304</v>
      </c>
      <c r="J474" s="173">
        <v>46305</v>
      </c>
      <c r="K474" s="173"/>
      <c r="L474" s="173"/>
      <c r="M474" s="173"/>
      <c r="N474" s="173"/>
      <c r="O474" s="173"/>
      <c r="P474" s="173"/>
      <c r="Q474" s="173">
        <v>46305</v>
      </c>
      <c r="R474" s="173"/>
      <c r="S474" s="173"/>
      <c r="T474" s="174">
        <v>46305</v>
      </c>
      <c r="U474" s="151"/>
      <c r="V474" s="152"/>
      <c r="W474" s="175"/>
      <c r="X474" s="173"/>
      <c r="Y474" s="173"/>
      <c r="Z474" s="176" t="str">
        <f>IF(B474="","",IF(S474&lt;&gt;"","Sevk Edildi",IF(AND(X474&lt;&gt;"",Y474=""),"Reworkte",IF(T474&lt;&gt;"","Kapandı"&amp;IF(COUNT(G474:R474)=0,""," – "&amp;LOOKUP(2,1/(G474:R474=MAX(G474:R474)),{"Tasarım","Ply Cutter","Üretim","Kalite (Üretim sonrası)","Talaşlı","Kalite (Talaşlı sonrası)","Montaj","Kalite (Montaj sonrası)","Boya","Kalite (Boya sonrası)","Yarı Mamül","KM"})),IF(COUNT(G474:R474)=0,"Başlamadı",LOOKUP(2,1/(G474:R474=MAX(G474:R474)),{"Tasarımda","Ply Cutter'da","Üretimde","Kalitede (Üretim sonrası)","Talaşlıda","Kalitede (Talaşlı sonrası)","Montajda","Kalitede (Montaj sonrası)","Boyada","Kalitede (Boya sonrası)","Yarı Mamülde","KM'de"}))))))</f>
        <v>Kapandı – Yarı Mamül</v>
      </c>
      <c r="AA474" s="177">
        <f t="shared" ca="1" si="121"/>
        <v>1</v>
      </c>
      <c r="AB474" s="175"/>
      <c r="AD474" t="str">
        <f>IF(OR($B474="",NOT(ISNUMBER(G474))),"",IF(COUNTIF(H474:$T474,G474)&gt;0,0,IF(COUNTIF($G474:$T474,"&gt;"&amp;G474)=0,"",SMALL($G474:$T474,COUNTIF($G474:$T474,"&lt;="&amp;G474)+1)-G474)))</f>
        <v/>
      </c>
      <c r="AE474" t="str">
        <f>IF(OR($B474="",NOT(ISNUMBER(H474))),"",IF(COUNTIF(I474:$T474,H474)&gt;0,0,IF(COUNTIF($G474:$T474,"&gt;"&amp;H474)=0,"",SMALL($G474:$T474,COUNTIF($G474:$T474,"&lt;="&amp;H474)+1)-H474)))</f>
        <v/>
      </c>
      <c r="AF474">
        <f>IF(OR($B474="",NOT(ISNUMBER(I474))),"",IF(COUNTIF(J474:$T474,I474)&gt;0,0,IF(COUNTIF($G474:$T474,"&gt;"&amp;I474)=0,"",SMALL($G474:$T474,COUNTIF($G474:$T474,"&lt;="&amp;I474)+1)-I474)))</f>
        <v>1</v>
      </c>
      <c r="AG474">
        <f>IF(OR($B474="",NOT(ISNUMBER(J474))),"",IF(COUNTIF(K474:$T474,J474)&gt;0,0,IF(COUNTIF($G474:$T474,"&gt;"&amp;J474)=0,"",SMALL($G474:$T474,COUNTIF($G474:$T474,"&lt;="&amp;J474)+1)-J474)))</f>
        <v>0</v>
      </c>
      <c r="AH474" t="str">
        <f>IF(OR($B474="",NOT(ISNUMBER(K474))),"",IF(COUNTIF(L474:$T474,K474)&gt;0,0,IF(COUNTIF($G474:$T474,"&gt;"&amp;K474)=0,"",SMALL($G474:$T474,COUNTIF($G474:$T474,"&lt;="&amp;K474)+1)-K474)))</f>
        <v/>
      </c>
      <c r="AI474" t="str">
        <f>IF(OR($B474="",NOT(ISNUMBER(L474))),"",IF(COUNTIF(M474:$T474,L474)&gt;0,0,IF(COUNTIF($G474:$T474,"&gt;"&amp;L474)=0,"",SMALL($G474:$T474,COUNTIF($G474:$T474,"&lt;="&amp;L474)+1)-L474)))</f>
        <v/>
      </c>
      <c r="AJ474" t="str">
        <f>IF(OR($B474="",NOT(ISNUMBER(M474))),"",IF(COUNTIF(N474:$T474,M474)&gt;0,0,IF(COUNTIF($G474:$T474,"&gt;"&amp;M474)=0,"",SMALL($G474:$T474,COUNTIF($G474:$T474,"&lt;="&amp;M474)+1)-M474)))</f>
        <v/>
      </c>
      <c r="AK474" t="str">
        <f>IF(OR($B474="",NOT(ISNUMBER(N474))),"",IF(COUNTIF(O474:$T474,N474)&gt;0,0,IF(COUNTIF($G474:$T474,"&gt;"&amp;N474)=0,"",SMALL($G474:$T474,COUNTIF($G474:$T474,"&lt;="&amp;N474)+1)-N474)))</f>
        <v/>
      </c>
      <c r="AL474" t="str">
        <f>IF(OR($B474="",NOT(ISNUMBER(O474))),"",IF(COUNTIF(P474:$T474,O474)&gt;0,0,IF(COUNTIF($G474:$T474,"&gt;"&amp;O474)=0,"",SMALL($G474:$T474,COUNTIF($G474:$T474,"&lt;="&amp;O474)+1)-O474)))</f>
        <v/>
      </c>
      <c r="AM474" t="str">
        <f>IF(OR($B474="",NOT(ISNUMBER(P474))),"",IF(COUNTIF(Q474:$T474,P474)&gt;0,0,IF(COUNTIF($G474:$T474,"&gt;"&amp;P474)=0,"",SMALL($G474:$T474,COUNTIF($G474:$T474,"&lt;="&amp;P474)+1)-P474)))</f>
        <v/>
      </c>
      <c r="AN474">
        <f>IF(OR($B474="",NOT(ISNUMBER(Q474))),"",IF(COUNTIF(R474:$T474,Q474)&gt;0,0,IF(COUNTIF($G474:$T474,"&gt;"&amp;Q474)=0,"",SMALL($G474:$T474,COUNTIF($G474:$T474,"&lt;="&amp;Q474)+1)-Q474)))</f>
        <v>0</v>
      </c>
      <c r="AO474" t="str">
        <f>IF(OR($B474="",NOT(ISNUMBER(R474))),"",IF(COUNTIF(S474:$T474,R474)&gt;0,0,IF(COUNTIF($G474:$T474,"&gt;"&amp;R474)=0,"",SMALL($G474:$T474,COUNTIF($G474:$T474,"&lt;="&amp;R474)+1)-R474)))</f>
        <v/>
      </c>
      <c r="AP474">
        <f t="shared" ca="1" si="122"/>
        <v>0</v>
      </c>
      <c r="AQ474" s="25" t="str">
        <f t="shared" si="123"/>
        <v/>
      </c>
      <c r="AR474" s="25" t="str">
        <f t="shared" si="124"/>
        <v/>
      </c>
      <c r="AS474" s="25">
        <f t="shared" si="125"/>
        <v>46305</v>
      </c>
      <c r="AT474" s="25">
        <f t="shared" si="126"/>
        <v>46305</v>
      </c>
      <c r="AU474" s="25" t="str">
        <f t="shared" si="127"/>
        <v/>
      </c>
      <c r="AV474" s="25" t="str">
        <f t="shared" si="128"/>
        <v/>
      </c>
      <c r="AW474" s="25" t="str">
        <f t="shared" si="129"/>
        <v/>
      </c>
      <c r="AX474" s="25" t="str">
        <f t="shared" si="130"/>
        <v/>
      </c>
      <c r="AY474" s="25" t="str">
        <f t="shared" si="131"/>
        <v/>
      </c>
      <c r="AZ474" s="25" t="str">
        <f t="shared" si="132"/>
        <v/>
      </c>
      <c r="BA474" s="25">
        <f t="shared" si="133"/>
        <v>46305</v>
      </c>
      <c r="BB474" s="25" t="str">
        <f t="shared" si="134"/>
        <v/>
      </c>
      <c r="BC474" s="25">
        <f t="shared" si="135"/>
        <v>46305</v>
      </c>
    </row>
    <row r="475" spans="1:55" x14ac:dyDescent="0.25">
      <c r="A475" s="151">
        <f t="shared" si="120"/>
        <v>473</v>
      </c>
      <c r="B475" s="151" t="s">
        <v>711</v>
      </c>
      <c r="C475" s="152" t="s">
        <v>160</v>
      </c>
      <c r="D475" s="151">
        <f t="shared" si="119"/>
        <v>5</v>
      </c>
      <c r="E475" s="151" t="s">
        <v>61</v>
      </c>
      <c r="F475" s="173">
        <v>46304</v>
      </c>
      <c r="G475" s="173"/>
      <c r="H475" s="173"/>
      <c r="I475" s="173"/>
      <c r="J475" s="173"/>
      <c r="K475" s="173">
        <v>46303</v>
      </c>
      <c r="L475" s="173">
        <v>46304</v>
      </c>
      <c r="M475" s="173"/>
      <c r="N475" s="173"/>
      <c r="O475" s="173"/>
      <c r="P475" s="173"/>
      <c r="Q475" s="173"/>
      <c r="R475" s="173"/>
      <c r="S475" s="173"/>
      <c r="T475" s="174">
        <v>46304</v>
      </c>
      <c r="U475" s="151"/>
      <c r="V475" s="152"/>
      <c r="W475" s="175"/>
      <c r="X475" s="173"/>
      <c r="Y475" s="173"/>
      <c r="Z475" s="176" t="str">
        <f>IF(B475="","",IF(S475&lt;&gt;"","Sevk Edildi",IF(AND(X475&lt;&gt;"",Y475=""),"Reworkte",IF(T475&lt;&gt;"","Kapandı"&amp;IF(COUNT(G475:R475)=0,""," – "&amp;LOOKUP(2,1/(G475:R475=MAX(G475:R475)),{"Tasarım","Ply Cutter","Üretim","Kalite (Üretim sonrası)","Talaşlı","Kalite (Talaşlı sonrası)","Montaj","Kalite (Montaj sonrası)","Boya","Kalite (Boya sonrası)","Yarı Mamül","KM"})),IF(COUNT(G475:R475)=0,"Başlamadı",LOOKUP(2,1/(G475:R475=MAX(G475:R475)),{"Tasarımda","Ply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475" s="177">
        <f t="shared" ca="1" si="121"/>
        <v>0</v>
      </c>
      <c r="AB475" s="175"/>
      <c r="AD475" t="str">
        <f>IF(OR($B475="",NOT(ISNUMBER(G475))),"",IF(COUNTIF(H475:$T475,G475)&gt;0,0,IF(COUNTIF($G475:$T475,"&gt;"&amp;G475)=0,"",SMALL($G475:$T475,COUNTIF($G475:$T475,"&lt;="&amp;G475)+1)-G475)))</f>
        <v/>
      </c>
      <c r="AE475" t="str">
        <f>IF(OR($B475="",NOT(ISNUMBER(H475))),"",IF(COUNTIF(I475:$T475,H475)&gt;0,0,IF(COUNTIF($G475:$T475,"&gt;"&amp;H475)=0,"",SMALL($G475:$T475,COUNTIF($G475:$T475,"&lt;="&amp;H475)+1)-H475)))</f>
        <v/>
      </c>
      <c r="AF475" t="str">
        <f>IF(OR($B475="",NOT(ISNUMBER(I475))),"",IF(COUNTIF(J475:$T475,I475)&gt;0,0,IF(COUNTIF($G475:$T475,"&gt;"&amp;I475)=0,"",SMALL($G475:$T475,COUNTIF($G475:$T475,"&lt;="&amp;I475)+1)-I475)))</f>
        <v/>
      </c>
      <c r="AG475" t="str">
        <f>IF(OR($B475="",NOT(ISNUMBER(J475))),"",IF(COUNTIF(K475:$T475,J475)&gt;0,0,IF(COUNTIF($G475:$T475,"&gt;"&amp;J475)=0,"",SMALL($G475:$T475,COUNTIF($G475:$T475,"&lt;="&amp;J475)+1)-J475)))</f>
        <v/>
      </c>
      <c r="AH475">
        <f>IF(OR($B475="",NOT(ISNUMBER(K475))),"",IF(COUNTIF(L475:$T475,K475)&gt;0,0,IF(COUNTIF($G475:$T475,"&gt;"&amp;K475)=0,"",SMALL($G475:$T475,COUNTIF($G475:$T475,"&lt;="&amp;K475)+1)-K475)))</f>
        <v>1</v>
      </c>
      <c r="AI475">
        <f>IF(OR($B475="",NOT(ISNUMBER(L475))),"",IF(COUNTIF(M475:$T475,L475)&gt;0,0,IF(COUNTIF($G475:$T475,"&gt;"&amp;L475)=0,"",SMALL($G475:$T475,COUNTIF($G475:$T475,"&lt;="&amp;L475)+1)-L475)))</f>
        <v>0</v>
      </c>
      <c r="AJ475" t="str">
        <f>IF(OR($B475="",NOT(ISNUMBER(M475))),"",IF(COUNTIF(N475:$T475,M475)&gt;0,0,IF(COUNTIF($G475:$T475,"&gt;"&amp;M475)=0,"",SMALL($G475:$T475,COUNTIF($G475:$T475,"&lt;="&amp;M475)+1)-M475)))</f>
        <v/>
      </c>
      <c r="AK475" t="str">
        <f>IF(OR($B475="",NOT(ISNUMBER(N475))),"",IF(COUNTIF(O475:$T475,N475)&gt;0,0,IF(COUNTIF($G475:$T475,"&gt;"&amp;N475)=0,"",SMALL($G475:$T475,COUNTIF($G475:$T475,"&lt;="&amp;N475)+1)-N475)))</f>
        <v/>
      </c>
      <c r="AL475" t="str">
        <f>IF(OR($B475="",NOT(ISNUMBER(O475))),"",IF(COUNTIF(P475:$T475,O475)&gt;0,0,IF(COUNTIF($G475:$T475,"&gt;"&amp;O475)=0,"",SMALL($G475:$T475,COUNTIF($G475:$T475,"&lt;="&amp;O475)+1)-O475)))</f>
        <v/>
      </c>
      <c r="AM475" t="str">
        <f>IF(OR($B475="",NOT(ISNUMBER(P475))),"",IF(COUNTIF(Q475:$T475,P475)&gt;0,0,IF(COUNTIF($G475:$T475,"&gt;"&amp;P475)=0,"",SMALL($G475:$T475,COUNTIF($G475:$T475,"&lt;="&amp;P475)+1)-P475)))</f>
        <v/>
      </c>
      <c r="AN475" t="str">
        <f>IF(OR($B475="",NOT(ISNUMBER(Q475))),"",IF(COUNTIF(R475:$T475,Q475)&gt;0,0,IF(COUNTIF($G475:$T475,"&gt;"&amp;Q475)=0,"",SMALL($G475:$T475,COUNTIF($G475:$T475,"&lt;="&amp;Q475)+1)-Q475)))</f>
        <v/>
      </c>
      <c r="AO475" t="str">
        <f>IF(OR($B475="",NOT(ISNUMBER(R475))),"",IF(COUNTIF(S475:$T475,R475)&gt;0,0,IF(COUNTIF($G475:$T475,"&gt;"&amp;R475)=0,"",SMALL($G475:$T475,COUNTIF($G475:$T475,"&lt;="&amp;R475)+1)-R475)))</f>
        <v/>
      </c>
      <c r="AP475">
        <f t="shared" ca="1" si="122"/>
        <v>0</v>
      </c>
      <c r="AQ475" s="25" t="str">
        <f t="shared" si="123"/>
        <v/>
      </c>
      <c r="AR475" s="25" t="str">
        <f t="shared" si="124"/>
        <v/>
      </c>
      <c r="AS475" s="25" t="str">
        <f t="shared" si="125"/>
        <v/>
      </c>
      <c r="AT475" s="25" t="str">
        <f t="shared" si="126"/>
        <v/>
      </c>
      <c r="AU475" s="25">
        <f t="shared" si="127"/>
        <v>46304</v>
      </c>
      <c r="AV475" s="25">
        <f t="shared" si="128"/>
        <v>46304</v>
      </c>
      <c r="AW475" s="25" t="str">
        <f t="shared" si="129"/>
        <v/>
      </c>
      <c r="AX475" s="25" t="str">
        <f t="shared" si="130"/>
        <v/>
      </c>
      <c r="AY475" s="25" t="str">
        <f t="shared" si="131"/>
        <v/>
      </c>
      <c r="AZ475" s="25" t="str">
        <f t="shared" si="132"/>
        <v/>
      </c>
      <c r="BA475" s="25" t="str">
        <f t="shared" si="133"/>
        <v/>
      </c>
      <c r="BB475" s="25" t="str">
        <f t="shared" si="134"/>
        <v/>
      </c>
      <c r="BC475" s="25">
        <f t="shared" si="135"/>
        <v>46304</v>
      </c>
    </row>
    <row r="476" spans="1:55" x14ac:dyDescent="0.25">
      <c r="A476" s="151">
        <f t="shared" si="120"/>
        <v>474</v>
      </c>
      <c r="B476" s="151" t="s">
        <v>712</v>
      </c>
      <c r="C476" s="152" t="s">
        <v>713</v>
      </c>
      <c r="D476" s="151">
        <f t="shared" si="119"/>
        <v>1</v>
      </c>
      <c r="E476" s="151" t="s">
        <v>100</v>
      </c>
      <c r="F476" s="173">
        <v>46304</v>
      </c>
      <c r="G476" s="173"/>
      <c r="H476" s="173"/>
      <c r="I476" s="173">
        <v>46304</v>
      </c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51"/>
      <c r="U476" s="151"/>
      <c r="V476" s="152"/>
      <c r="W476" s="175"/>
      <c r="X476" s="173"/>
      <c r="Y476" s="173"/>
      <c r="Z476" s="176" t="str">
        <f>IF(B476="","",IF(S476&lt;&gt;"","Sevk Edildi",IF(AND(X476&lt;&gt;"",Y476=""),"Reworkte",IF(T476&lt;&gt;"","Kapandı"&amp;IF(COUNT(G476:R476)=0,""," – "&amp;LOOKUP(2,1/(G476:R476=MAX(G476:R476)),{"Tasarım","Ply Cutter","Üretim","Kalite (Üretim sonrası)","Talaşlı","Kalite (Talaşlı sonrası)","Montaj","Kalite (Montaj sonrası)","Boya","Kalite (Boya sonrası)","Yarı Mamül","KM"})),IF(COUNT(G476:R476)=0,"Başlamadı",LOOKUP(2,1/(G476:R476=MAX(G476:R476)),{"Tasarımda","Ply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76" s="177">
        <f t="shared" ca="1" si="121"/>
        <v>3</v>
      </c>
      <c r="AB476" s="175"/>
      <c r="AD476" t="str">
        <f>IF(OR($B476="",NOT(ISNUMBER(G476))),"",IF(COUNTIF(H476:$T476,G476)&gt;0,0,IF(COUNTIF($G476:$T476,"&gt;"&amp;G476)=0,"",SMALL($G476:$T476,COUNTIF($G476:$T476,"&lt;="&amp;G476)+1)-G476)))</f>
        <v/>
      </c>
      <c r="AE476" t="str">
        <f>IF(OR($B476="",NOT(ISNUMBER(H476))),"",IF(COUNTIF(I476:$T476,H476)&gt;0,0,IF(COUNTIF($G476:$T476,"&gt;"&amp;H476)=0,"",SMALL($G476:$T476,COUNTIF($G476:$T476,"&lt;="&amp;H476)+1)-H476)))</f>
        <v/>
      </c>
      <c r="AF476" t="str">
        <f>IF(OR($B476="",NOT(ISNUMBER(I476))),"",IF(COUNTIF(J476:$T476,I476)&gt;0,0,IF(COUNTIF($G476:$T476,"&gt;"&amp;I476)=0,"",SMALL($G476:$T476,COUNTIF($G476:$T476,"&lt;="&amp;I476)+1)-I476)))</f>
        <v/>
      </c>
      <c r="AG476" t="str">
        <f>IF(OR($B476="",NOT(ISNUMBER(J476))),"",IF(COUNTIF(K476:$T476,J476)&gt;0,0,IF(COUNTIF($G476:$T476,"&gt;"&amp;J476)=0,"",SMALL($G476:$T476,COUNTIF($G476:$T476,"&lt;="&amp;J476)+1)-J476)))</f>
        <v/>
      </c>
      <c r="AH476" t="str">
        <f>IF(OR($B476="",NOT(ISNUMBER(K476))),"",IF(COUNTIF(L476:$T476,K476)&gt;0,0,IF(COUNTIF($G476:$T476,"&gt;"&amp;K476)=0,"",SMALL($G476:$T476,COUNTIF($G476:$T476,"&lt;="&amp;K476)+1)-K476)))</f>
        <v/>
      </c>
      <c r="AI476" t="str">
        <f>IF(OR($B476="",NOT(ISNUMBER(L476))),"",IF(COUNTIF(M476:$T476,L476)&gt;0,0,IF(COUNTIF($G476:$T476,"&gt;"&amp;L476)=0,"",SMALL($G476:$T476,COUNTIF($G476:$T476,"&lt;="&amp;L476)+1)-L476)))</f>
        <v/>
      </c>
      <c r="AJ476" t="str">
        <f>IF(OR($B476="",NOT(ISNUMBER(M476))),"",IF(COUNTIF(N476:$T476,M476)&gt;0,0,IF(COUNTIF($G476:$T476,"&gt;"&amp;M476)=0,"",SMALL($G476:$T476,COUNTIF($G476:$T476,"&lt;="&amp;M476)+1)-M476)))</f>
        <v/>
      </c>
      <c r="AK476" t="str">
        <f>IF(OR($B476="",NOT(ISNUMBER(N476))),"",IF(COUNTIF(O476:$T476,N476)&gt;0,0,IF(COUNTIF($G476:$T476,"&gt;"&amp;N476)=0,"",SMALL($G476:$T476,COUNTIF($G476:$T476,"&lt;="&amp;N476)+1)-N476)))</f>
        <v/>
      </c>
      <c r="AL476" t="str">
        <f>IF(OR($B476="",NOT(ISNUMBER(O476))),"",IF(COUNTIF(P476:$T476,O476)&gt;0,0,IF(COUNTIF($G476:$T476,"&gt;"&amp;O476)=0,"",SMALL($G476:$T476,COUNTIF($G476:$T476,"&lt;="&amp;O476)+1)-O476)))</f>
        <v/>
      </c>
      <c r="AM476" t="str">
        <f>IF(OR($B476="",NOT(ISNUMBER(P476))),"",IF(COUNTIF(Q476:$T476,P476)&gt;0,0,IF(COUNTIF($G476:$T476,"&gt;"&amp;P476)=0,"",SMALL($G476:$T476,COUNTIF($G476:$T476,"&lt;="&amp;P476)+1)-P476)))</f>
        <v/>
      </c>
      <c r="AN476" t="str">
        <f>IF(OR($B476="",NOT(ISNUMBER(Q476))),"",IF(COUNTIF(R476:$T476,Q476)&gt;0,0,IF(COUNTIF($G476:$T476,"&gt;"&amp;Q476)=0,"",SMALL($G476:$T476,COUNTIF($G476:$T476,"&lt;="&amp;Q476)+1)-Q476)))</f>
        <v/>
      </c>
      <c r="AO476" t="str">
        <f>IF(OR($B476="",NOT(ISNUMBER(R476))),"",IF(COUNTIF(S476:$T476,R476)&gt;0,0,IF(COUNTIF($G476:$T476,"&gt;"&amp;R476)=0,"",SMALL($G476:$T476,COUNTIF($G476:$T476,"&lt;="&amp;R476)+1)-R476)))</f>
        <v/>
      </c>
      <c r="AP476">
        <f t="shared" ca="1" si="122"/>
        <v>3</v>
      </c>
      <c r="AQ476" s="25" t="str">
        <f t="shared" si="123"/>
        <v/>
      </c>
      <c r="AR476" s="25" t="str">
        <f t="shared" si="124"/>
        <v/>
      </c>
      <c r="AS476" s="25" t="str">
        <f t="shared" si="125"/>
        <v/>
      </c>
      <c r="AT476" s="25" t="str">
        <f t="shared" si="126"/>
        <v/>
      </c>
      <c r="AU476" s="25" t="str">
        <f t="shared" si="127"/>
        <v/>
      </c>
      <c r="AV476" s="25" t="str">
        <f t="shared" si="128"/>
        <v/>
      </c>
      <c r="AW476" s="25" t="str">
        <f t="shared" si="129"/>
        <v/>
      </c>
      <c r="AX476" s="25" t="str">
        <f t="shared" si="130"/>
        <v/>
      </c>
      <c r="AY476" s="25" t="str">
        <f t="shared" si="131"/>
        <v/>
      </c>
      <c r="AZ476" s="25" t="str">
        <f t="shared" si="132"/>
        <v/>
      </c>
      <c r="BA476" s="25" t="str">
        <f t="shared" si="133"/>
        <v/>
      </c>
      <c r="BB476" s="25" t="str">
        <f t="shared" si="134"/>
        <v/>
      </c>
      <c r="BC476" s="25" t="str">
        <f t="shared" si="135"/>
        <v/>
      </c>
    </row>
    <row r="477" spans="1:55" x14ac:dyDescent="0.25">
      <c r="A477" s="151">
        <f t="shared" si="120"/>
        <v>475</v>
      </c>
      <c r="B477" s="151" t="s">
        <v>714</v>
      </c>
      <c r="C477" s="152" t="s">
        <v>713</v>
      </c>
      <c r="D477" s="151">
        <f t="shared" si="119"/>
        <v>1</v>
      </c>
      <c r="E477" s="151" t="s">
        <v>100</v>
      </c>
      <c r="F477" s="173">
        <v>46304</v>
      </c>
      <c r="G477" s="173"/>
      <c r="H477" s="173"/>
      <c r="I477" s="173">
        <v>46304</v>
      </c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51"/>
      <c r="U477" s="151"/>
      <c r="V477" s="152"/>
      <c r="W477" s="175"/>
      <c r="X477" s="173"/>
      <c r="Y477" s="173"/>
      <c r="Z477" s="176" t="str">
        <f>IF(B477="","",IF(S477&lt;&gt;"","Sevk Edildi",IF(AND(X477&lt;&gt;"",Y477=""),"Reworkte",IF(T477&lt;&gt;"","Kapandı"&amp;IF(COUNT(G477:R477)=0,""," – "&amp;LOOKUP(2,1/(G477:R477=MAX(G477:R477)),{"Tasarım","Ply Cutter","Üretim","Kalite (Üretim sonrası)","Talaşlı","Kalite (Talaşlı sonrası)","Montaj","Kalite (Montaj sonrası)","Boya","Kalite (Boya sonrası)","Yarı Mamül","KM"})),IF(COUNT(G477:R477)=0,"Başlamadı",LOOKUP(2,1/(G477:R477=MAX(G477:R477)),{"Tasarımda","Ply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77" s="177">
        <f t="shared" ca="1" si="121"/>
        <v>3</v>
      </c>
      <c r="AB477" s="175"/>
      <c r="AD477" t="str">
        <f>IF(OR($B477="",NOT(ISNUMBER(G477))),"",IF(COUNTIF(H477:$T477,G477)&gt;0,0,IF(COUNTIF($G477:$T477,"&gt;"&amp;G477)=0,"",SMALL($G477:$T477,COUNTIF($G477:$T477,"&lt;="&amp;G477)+1)-G477)))</f>
        <v/>
      </c>
      <c r="AE477" t="str">
        <f>IF(OR($B477="",NOT(ISNUMBER(H477))),"",IF(COUNTIF(I477:$T477,H477)&gt;0,0,IF(COUNTIF($G477:$T477,"&gt;"&amp;H477)=0,"",SMALL($G477:$T477,COUNTIF($G477:$T477,"&lt;="&amp;H477)+1)-H477)))</f>
        <v/>
      </c>
      <c r="AF477" t="str">
        <f>IF(OR($B477="",NOT(ISNUMBER(I477))),"",IF(COUNTIF(J477:$T477,I477)&gt;0,0,IF(COUNTIF($G477:$T477,"&gt;"&amp;I477)=0,"",SMALL($G477:$T477,COUNTIF($G477:$T477,"&lt;="&amp;I477)+1)-I477)))</f>
        <v/>
      </c>
      <c r="AG477" t="str">
        <f>IF(OR($B477="",NOT(ISNUMBER(J477))),"",IF(COUNTIF(K477:$T477,J477)&gt;0,0,IF(COUNTIF($G477:$T477,"&gt;"&amp;J477)=0,"",SMALL($G477:$T477,COUNTIF($G477:$T477,"&lt;="&amp;J477)+1)-J477)))</f>
        <v/>
      </c>
      <c r="AH477" t="str">
        <f>IF(OR($B477="",NOT(ISNUMBER(K477))),"",IF(COUNTIF(L477:$T477,K477)&gt;0,0,IF(COUNTIF($G477:$T477,"&gt;"&amp;K477)=0,"",SMALL($G477:$T477,COUNTIF($G477:$T477,"&lt;="&amp;K477)+1)-K477)))</f>
        <v/>
      </c>
      <c r="AI477" t="str">
        <f>IF(OR($B477="",NOT(ISNUMBER(L477))),"",IF(COUNTIF(M477:$T477,L477)&gt;0,0,IF(COUNTIF($G477:$T477,"&gt;"&amp;L477)=0,"",SMALL($G477:$T477,COUNTIF($G477:$T477,"&lt;="&amp;L477)+1)-L477)))</f>
        <v/>
      </c>
      <c r="AJ477" t="str">
        <f>IF(OR($B477="",NOT(ISNUMBER(M477))),"",IF(COUNTIF(N477:$T477,M477)&gt;0,0,IF(COUNTIF($G477:$T477,"&gt;"&amp;M477)=0,"",SMALL($G477:$T477,COUNTIF($G477:$T477,"&lt;="&amp;M477)+1)-M477)))</f>
        <v/>
      </c>
      <c r="AK477" t="str">
        <f>IF(OR($B477="",NOT(ISNUMBER(N477))),"",IF(COUNTIF(O477:$T477,N477)&gt;0,0,IF(COUNTIF($G477:$T477,"&gt;"&amp;N477)=0,"",SMALL($G477:$T477,COUNTIF($G477:$T477,"&lt;="&amp;N477)+1)-N477)))</f>
        <v/>
      </c>
      <c r="AL477" t="str">
        <f>IF(OR($B477="",NOT(ISNUMBER(O477))),"",IF(COUNTIF(P477:$T477,O477)&gt;0,0,IF(COUNTIF($G477:$T477,"&gt;"&amp;O477)=0,"",SMALL($G477:$T477,COUNTIF($G477:$T477,"&lt;="&amp;O477)+1)-O477)))</f>
        <v/>
      </c>
      <c r="AM477" t="str">
        <f>IF(OR($B477="",NOT(ISNUMBER(P477))),"",IF(COUNTIF(Q477:$T477,P477)&gt;0,0,IF(COUNTIF($G477:$T477,"&gt;"&amp;P477)=0,"",SMALL($G477:$T477,COUNTIF($G477:$T477,"&lt;="&amp;P477)+1)-P477)))</f>
        <v/>
      </c>
      <c r="AN477" t="str">
        <f>IF(OR($B477="",NOT(ISNUMBER(Q477))),"",IF(COUNTIF(R477:$T477,Q477)&gt;0,0,IF(COUNTIF($G477:$T477,"&gt;"&amp;Q477)=0,"",SMALL($G477:$T477,COUNTIF($G477:$T477,"&lt;="&amp;Q477)+1)-Q477)))</f>
        <v/>
      </c>
      <c r="AO477" t="str">
        <f>IF(OR($B477="",NOT(ISNUMBER(R477))),"",IF(COUNTIF(S477:$T477,R477)&gt;0,0,IF(COUNTIF($G477:$T477,"&gt;"&amp;R477)=0,"",SMALL($G477:$T477,COUNTIF($G477:$T477,"&lt;="&amp;R477)+1)-R477)))</f>
        <v/>
      </c>
      <c r="AP477">
        <f t="shared" ca="1" si="122"/>
        <v>3</v>
      </c>
      <c r="AQ477" s="25" t="str">
        <f t="shared" si="123"/>
        <v/>
      </c>
      <c r="AR477" s="25" t="str">
        <f t="shared" si="124"/>
        <v/>
      </c>
      <c r="AS477" s="25" t="str">
        <f t="shared" si="125"/>
        <v/>
      </c>
      <c r="AT477" s="25" t="str">
        <f t="shared" si="126"/>
        <v/>
      </c>
      <c r="AU477" s="25" t="str">
        <f t="shared" si="127"/>
        <v/>
      </c>
      <c r="AV477" s="25" t="str">
        <f t="shared" si="128"/>
        <v/>
      </c>
      <c r="AW477" s="25" t="str">
        <f t="shared" si="129"/>
        <v/>
      </c>
      <c r="AX477" s="25" t="str">
        <f t="shared" si="130"/>
        <v/>
      </c>
      <c r="AY477" s="25" t="str">
        <f t="shared" si="131"/>
        <v/>
      </c>
      <c r="AZ477" s="25" t="str">
        <f t="shared" si="132"/>
        <v/>
      </c>
      <c r="BA477" s="25" t="str">
        <f t="shared" si="133"/>
        <v/>
      </c>
      <c r="BB477" s="25" t="str">
        <f t="shared" si="134"/>
        <v/>
      </c>
      <c r="BC477" s="25" t="str">
        <f t="shared" si="135"/>
        <v/>
      </c>
    </row>
    <row r="478" spans="1:55" x14ac:dyDescent="0.25">
      <c r="A478" s="151">
        <f t="shared" si="120"/>
        <v>476</v>
      </c>
      <c r="B478" s="151" t="s">
        <v>715</v>
      </c>
      <c r="C478" s="152" t="s">
        <v>713</v>
      </c>
      <c r="D478" s="151">
        <f t="shared" si="119"/>
        <v>1</v>
      </c>
      <c r="E478" s="151" t="s">
        <v>100</v>
      </c>
      <c r="F478" s="173">
        <v>46304</v>
      </c>
      <c r="G478" s="173"/>
      <c r="H478" s="173"/>
      <c r="I478" s="173">
        <v>46304</v>
      </c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51"/>
      <c r="U478" s="151"/>
      <c r="V478" s="152"/>
      <c r="W478" s="175"/>
      <c r="X478" s="173"/>
      <c r="Y478" s="173"/>
      <c r="Z478" s="176" t="str">
        <f>IF(B478="","",IF(S478&lt;&gt;"","Sevk Edildi",IF(AND(X478&lt;&gt;"",Y478=""),"Reworkte",IF(T478&lt;&gt;"","Kapandı"&amp;IF(COUNT(G478:R478)=0,""," – "&amp;LOOKUP(2,1/(G478:R478=MAX(G478:R478)),{"Tasarım","Ply Cutter","Üretim","Kalite (Üretim sonrası)","Talaşlı","Kalite (Talaşlı sonrası)","Montaj","Kalite (Montaj sonrası)","Boya","Kalite (Boya sonrası)","Yarı Mamül","KM"})),IF(COUNT(G478:R478)=0,"Başlamadı",LOOKUP(2,1/(G478:R478=MAX(G478:R478)),{"Tasarımda","Ply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78" s="177">
        <f t="shared" ca="1" si="121"/>
        <v>3</v>
      </c>
      <c r="AB478" s="175"/>
      <c r="AD478" t="str">
        <f>IF(OR($B478="",NOT(ISNUMBER(G478))),"",IF(COUNTIF(H478:$T478,G478)&gt;0,0,IF(COUNTIF($G478:$T478,"&gt;"&amp;G478)=0,"",SMALL($G478:$T478,COUNTIF($G478:$T478,"&lt;="&amp;G478)+1)-G478)))</f>
        <v/>
      </c>
      <c r="AE478" t="str">
        <f>IF(OR($B478="",NOT(ISNUMBER(H478))),"",IF(COUNTIF(I478:$T478,H478)&gt;0,0,IF(COUNTIF($G478:$T478,"&gt;"&amp;H478)=0,"",SMALL($G478:$T478,COUNTIF($G478:$T478,"&lt;="&amp;H478)+1)-H478)))</f>
        <v/>
      </c>
      <c r="AF478" t="str">
        <f>IF(OR($B478="",NOT(ISNUMBER(I478))),"",IF(COUNTIF(J478:$T478,I478)&gt;0,0,IF(COUNTIF($G478:$T478,"&gt;"&amp;I478)=0,"",SMALL($G478:$T478,COUNTIF($G478:$T478,"&lt;="&amp;I478)+1)-I478)))</f>
        <v/>
      </c>
      <c r="AG478" t="str">
        <f>IF(OR($B478="",NOT(ISNUMBER(J478))),"",IF(COUNTIF(K478:$T478,J478)&gt;0,0,IF(COUNTIF($G478:$T478,"&gt;"&amp;J478)=0,"",SMALL($G478:$T478,COUNTIF($G478:$T478,"&lt;="&amp;J478)+1)-J478)))</f>
        <v/>
      </c>
      <c r="AH478" t="str">
        <f>IF(OR($B478="",NOT(ISNUMBER(K478))),"",IF(COUNTIF(L478:$T478,K478)&gt;0,0,IF(COUNTIF($G478:$T478,"&gt;"&amp;K478)=0,"",SMALL($G478:$T478,COUNTIF($G478:$T478,"&lt;="&amp;K478)+1)-K478)))</f>
        <v/>
      </c>
      <c r="AI478" t="str">
        <f>IF(OR($B478="",NOT(ISNUMBER(L478))),"",IF(COUNTIF(M478:$T478,L478)&gt;0,0,IF(COUNTIF($G478:$T478,"&gt;"&amp;L478)=0,"",SMALL($G478:$T478,COUNTIF($G478:$T478,"&lt;="&amp;L478)+1)-L478)))</f>
        <v/>
      </c>
      <c r="AJ478" t="str">
        <f>IF(OR($B478="",NOT(ISNUMBER(M478))),"",IF(COUNTIF(N478:$T478,M478)&gt;0,0,IF(COUNTIF($G478:$T478,"&gt;"&amp;M478)=0,"",SMALL($G478:$T478,COUNTIF($G478:$T478,"&lt;="&amp;M478)+1)-M478)))</f>
        <v/>
      </c>
      <c r="AK478" t="str">
        <f>IF(OR($B478="",NOT(ISNUMBER(N478))),"",IF(COUNTIF(O478:$T478,N478)&gt;0,0,IF(COUNTIF($G478:$T478,"&gt;"&amp;N478)=0,"",SMALL($G478:$T478,COUNTIF($G478:$T478,"&lt;="&amp;N478)+1)-N478)))</f>
        <v/>
      </c>
      <c r="AL478" t="str">
        <f>IF(OR($B478="",NOT(ISNUMBER(O478))),"",IF(COUNTIF(P478:$T478,O478)&gt;0,0,IF(COUNTIF($G478:$T478,"&gt;"&amp;O478)=0,"",SMALL($G478:$T478,COUNTIF($G478:$T478,"&lt;="&amp;O478)+1)-O478)))</f>
        <v/>
      </c>
      <c r="AM478" t="str">
        <f>IF(OR($B478="",NOT(ISNUMBER(P478))),"",IF(COUNTIF(Q478:$T478,P478)&gt;0,0,IF(COUNTIF($G478:$T478,"&gt;"&amp;P478)=0,"",SMALL($G478:$T478,COUNTIF($G478:$T478,"&lt;="&amp;P478)+1)-P478)))</f>
        <v/>
      </c>
      <c r="AN478" t="str">
        <f>IF(OR($B478="",NOT(ISNUMBER(Q478))),"",IF(COUNTIF(R478:$T478,Q478)&gt;0,0,IF(COUNTIF($G478:$T478,"&gt;"&amp;Q478)=0,"",SMALL($G478:$T478,COUNTIF($G478:$T478,"&lt;="&amp;Q478)+1)-Q478)))</f>
        <v/>
      </c>
      <c r="AO478" t="str">
        <f>IF(OR($B478="",NOT(ISNUMBER(R478))),"",IF(COUNTIF(S478:$T478,R478)&gt;0,0,IF(COUNTIF($G478:$T478,"&gt;"&amp;R478)=0,"",SMALL($G478:$T478,COUNTIF($G478:$T478,"&lt;="&amp;R478)+1)-R478)))</f>
        <v/>
      </c>
      <c r="AP478">
        <f t="shared" ca="1" si="122"/>
        <v>3</v>
      </c>
      <c r="AQ478" s="25" t="str">
        <f t="shared" si="123"/>
        <v/>
      </c>
      <c r="AR478" s="25" t="str">
        <f t="shared" si="124"/>
        <v/>
      </c>
      <c r="AS478" s="25" t="str">
        <f t="shared" si="125"/>
        <v/>
      </c>
      <c r="AT478" s="25" t="str">
        <f t="shared" si="126"/>
        <v/>
      </c>
      <c r="AU478" s="25" t="str">
        <f t="shared" si="127"/>
        <v/>
      </c>
      <c r="AV478" s="25" t="str">
        <f t="shared" si="128"/>
        <v/>
      </c>
      <c r="AW478" s="25" t="str">
        <f t="shared" si="129"/>
        <v/>
      </c>
      <c r="AX478" s="25" t="str">
        <f t="shared" si="130"/>
        <v/>
      </c>
      <c r="AY478" s="25" t="str">
        <f t="shared" si="131"/>
        <v/>
      </c>
      <c r="AZ478" s="25" t="str">
        <f t="shared" si="132"/>
        <v/>
      </c>
      <c r="BA478" s="25" t="str">
        <f t="shared" si="133"/>
        <v/>
      </c>
      <c r="BB478" s="25" t="str">
        <f t="shared" si="134"/>
        <v/>
      </c>
      <c r="BC478" s="25" t="str">
        <f t="shared" si="135"/>
        <v/>
      </c>
    </row>
    <row r="479" spans="1:55" x14ac:dyDescent="0.25">
      <c r="A479" s="151">
        <f t="shared" si="120"/>
        <v>477</v>
      </c>
      <c r="B479" s="151" t="s">
        <v>716</v>
      </c>
      <c r="C479" s="152" t="s">
        <v>713</v>
      </c>
      <c r="D479" s="151">
        <f t="shared" si="119"/>
        <v>1</v>
      </c>
      <c r="E479" s="151" t="s">
        <v>100</v>
      </c>
      <c r="F479" s="173">
        <v>46304</v>
      </c>
      <c r="G479" s="173"/>
      <c r="H479" s="173"/>
      <c r="I479" s="173">
        <v>46304</v>
      </c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51"/>
      <c r="U479" s="151"/>
      <c r="V479" s="152"/>
      <c r="W479" s="175"/>
      <c r="X479" s="173"/>
      <c r="Y479" s="173"/>
      <c r="Z479" s="176" t="str">
        <f>IF(B479="","",IF(S479&lt;&gt;"","Sevk Edildi",IF(AND(X479&lt;&gt;"",Y479=""),"Reworkte",IF(T479&lt;&gt;"","Kapandı"&amp;IF(COUNT(G479:R479)=0,""," – "&amp;LOOKUP(2,1/(G479:R479=MAX(G479:R479)),{"Tasarım","Ply Cutter","Üretim","Kalite (Üretim sonrası)","Talaşlı","Kalite (Talaşlı sonrası)","Montaj","Kalite (Montaj sonrası)","Boya","Kalite (Boya sonrası)","Yarı Mamül","KM"})),IF(COUNT(G479:R479)=0,"Başlamadı",LOOKUP(2,1/(G479:R479=MAX(G479:R479)),{"Tasarımda","Ply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79" s="177">
        <f t="shared" ca="1" si="121"/>
        <v>3</v>
      </c>
      <c r="AB479" s="175"/>
      <c r="AD479" t="str">
        <f>IF(OR($B479="",NOT(ISNUMBER(G479))),"",IF(COUNTIF(H479:$T479,G479)&gt;0,0,IF(COUNTIF($G479:$T479,"&gt;"&amp;G479)=0,"",SMALL($G479:$T479,COUNTIF($G479:$T479,"&lt;="&amp;G479)+1)-G479)))</f>
        <v/>
      </c>
      <c r="AE479" t="str">
        <f>IF(OR($B479="",NOT(ISNUMBER(H479))),"",IF(COUNTIF(I479:$T479,H479)&gt;0,0,IF(COUNTIF($G479:$T479,"&gt;"&amp;H479)=0,"",SMALL($G479:$T479,COUNTIF($G479:$T479,"&lt;="&amp;H479)+1)-H479)))</f>
        <v/>
      </c>
      <c r="AF479" t="str">
        <f>IF(OR($B479="",NOT(ISNUMBER(I479))),"",IF(COUNTIF(J479:$T479,I479)&gt;0,0,IF(COUNTIF($G479:$T479,"&gt;"&amp;I479)=0,"",SMALL($G479:$T479,COUNTIF($G479:$T479,"&lt;="&amp;I479)+1)-I479)))</f>
        <v/>
      </c>
      <c r="AG479" t="str">
        <f>IF(OR($B479="",NOT(ISNUMBER(J479))),"",IF(COUNTIF(K479:$T479,J479)&gt;0,0,IF(COUNTIF($G479:$T479,"&gt;"&amp;J479)=0,"",SMALL($G479:$T479,COUNTIF($G479:$T479,"&lt;="&amp;J479)+1)-J479)))</f>
        <v/>
      </c>
      <c r="AH479" t="str">
        <f>IF(OR($B479="",NOT(ISNUMBER(K479))),"",IF(COUNTIF(L479:$T479,K479)&gt;0,0,IF(COUNTIF($G479:$T479,"&gt;"&amp;K479)=0,"",SMALL($G479:$T479,COUNTIF($G479:$T479,"&lt;="&amp;K479)+1)-K479)))</f>
        <v/>
      </c>
      <c r="AI479" t="str">
        <f>IF(OR($B479="",NOT(ISNUMBER(L479))),"",IF(COUNTIF(M479:$T479,L479)&gt;0,0,IF(COUNTIF($G479:$T479,"&gt;"&amp;L479)=0,"",SMALL($G479:$T479,COUNTIF($G479:$T479,"&lt;="&amp;L479)+1)-L479)))</f>
        <v/>
      </c>
      <c r="AJ479" t="str">
        <f>IF(OR($B479="",NOT(ISNUMBER(M479))),"",IF(COUNTIF(N479:$T479,M479)&gt;0,0,IF(COUNTIF($G479:$T479,"&gt;"&amp;M479)=0,"",SMALL($G479:$T479,COUNTIF($G479:$T479,"&lt;="&amp;M479)+1)-M479)))</f>
        <v/>
      </c>
      <c r="AK479" t="str">
        <f>IF(OR($B479="",NOT(ISNUMBER(N479))),"",IF(COUNTIF(O479:$T479,N479)&gt;0,0,IF(COUNTIF($G479:$T479,"&gt;"&amp;N479)=0,"",SMALL($G479:$T479,COUNTIF($G479:$T479,"&lt;="&amp;N479)+1)-N479)))</f>
        <v/>
      </c>
      <c r="AL479" t="str">
        <f>IF(OR($B479="",NOT(ISNUMBER(O479))),"",IF(COUNTIF(P479:$T479,O479)&gt;0,0,IF(COUNTIF($G479:$T479,"&gt;"&amp;O479)=0,"",SMALL($G479:$T479,COUNTIF($G479:$T479,"&lt;="&amp;O479)+1)-O479)))</f>
        <v/>
      </c>
      <c r="AM479" t="str">
        <f>IF(OR($B479="",NOT(ISNUMBER(P479))),"",IF(COUNTIF(Q479:$T479,P479)&gt;0,0,IF(COUNTIF($G479:$T479,"&gt;"&amp;P479)=0,"",SMALL($G479:$T479,COUNTIF($G479:$T479,"&lt;="&amp;P479)+1)-P479)))</f>
        <v/>
      </c>
      <c r="AN479" t="str">
        <f>IF(OR($B479="",NOT(ISNUMBER(Q479))),"",IF(COUNTIF(R479:$T479,Q479)&gt;0,0,IF(COUNTIF($G479:$T479,"&gt;"&amp;Q479)=0,"",SMALL($G479:$T479,COUNTIF($G479:$T479,"&lt;="&amp;Q479)+1)-Q479)))</f>
        <v/>
      </c>
      <c r="AO479" t="str">
        <f>IF(OR($B479="",NOT(ISNUMBER(R479))),"",IF(COUNTIF(S479:$T479,R479)&gt;0,0,IF(COUNTIF($G479:$T479,"&gt;"&amp;R479)=0,"",SMALL($G479:$T479,COUNTIF($G479:$T479,"&lt;="&amp;R479)+1)-R479)))</f>
        <v/>
      </c>
      <c r="AP479">
        <f t="shared" ca="1" si="122"/>
        <v>3</v>
      </c>
      <c r="AQ479" s="25" t="str">
        <f t="shared" si="123"/>
        <v/>
      </c>
      <c r="AR479" s="25" t="str">
        <f t="shared" si="124"/>
        <v/>
      </c>
      <c r="AS479" s="25" t="str">
        <f t="shared" si="125"/>
        <v/>
      </c>
      <c r="AT479" s="25" t="str">
        <f t="shared" si="126"/>
        <v/>
      </c>
      <c r="AU479" s="25" t="str">
        <f t="shared" si="127"/>
        <v/>
      </c>
      <c r="AV479" s="25" t="str">
        <f t="shared" si="128"/>
        <v/>
      </c>
      <c r="AW479" s="25" t="str">
        <f t="shared" si="129"/>
        <v/>
      </c>
      <c r="AX479" s="25" t="str">
        <f t="shared" si="130"/>
        <v/>
      </c>
      <c r="AY479" s="25" t="str">
        <f t="shared" si="131"/>
        <v/>
      </c>
      <c r="AZ479" s="25" t="str">
        <f t="shared" si="132"/>
        <v/>
      </c>
      <c r="BA479" s="25" t="str">
        <f t="shared" si="133"/>
        <v/>
      </c>
      <c r="BB479" s="25" t="str">
        <f t="shared" si="134"/>
        <v/>
      </c>
      <c r="BC479" s="25" t="str">
        <f t="shared" si="135"/>
        <v/>
      </c>
    </row>
    <row r="480" spans="1:55" x14ac:dyDescent="0.25">
      <c r="A480" s="151">
        <f t="shared" si="120"/>
        <v>478</v>
      </c>
      <c r="B480" s="188" t="s">
        <v>925</v>
      </c>
      <c r="C480" s="153" t="s">
        <v>926</v>
      </c>
      <c r="D480" s="151">
        <f t="shared" si="119"/>
        <v>1</v>
      </c>
      <c r="E480" s="151" t="s">
        <v>61</v>
      </c>
      <c r="F480" s="173">
        <v>46304</v>
      </c>
      <c r="G480" s="173"/>
      <c r="H480" s="173"/>
      <c r="I480" s="173">
        <v>46304</v>
      </c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51"/>
      <c r="U480" s="151"/>
      <c r="V480" s="152"/>
      <c r="W480" s="175"/>
      <c r="X480" s="173"/>
      <c r="Y480" s="173"/>
      <c r="Z480" s="176" t="str">
        <f>IF(B480="","",IF(S480&lt;&gt;"","Sevk Edildi",IF(AND(X480&lt;&gt;"",Y480=""),"Reworkte",IF(T480&lt;&gt;"","Kapandı"&amp;IF(COUNT(G480:R480)=0,""," – "&amp;LOOKUP(2,1/(G480:R480=MAX(G480:R480)),{"Tasarım","Ply Cutter","Üretim","Kalite (Üretim sonrası)","Talaşlı","Kalite (Talaşlı sonrası)","Montaj","Kalite (Montaj sonrası)","Boya","Kalite (Boya sonrası)","Yarı Mamül","KM"})),IF(COUNT(G480:R480)=0,"Başlamadı",LOOKUP(2,1/(G480:R480=MAX(G480:R480)),{"Tasarımda","Ply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80" s="177">
        <f t="shared" ca="1" si="121"/>
        <v>3</v>
      </c>
      <c r="AB480" s="175"/>
      <c r="AD480" t="str">
        <f>IF(OR($B480="",NOT(ISNUMBER(G480))),"",IF(COUNTIF(H480:$T480,G480)&gt;0,0,IF(COUNTIF($G480:$T480,"&gt;"&amp;G480)=0,"",SMALL($G480:$T480,COUNTIF($G480:$T480,"&lt;="&amp;G480)+1)-G480)))</f>
        <v/>
      </c>
      <c r="AE480" t="str">
        <f>IF(OR($B480="",NOT(ISNUMBER(H480))),"",IF(COUNTIF(I480:$T480,H480)&gt;0,0,IF(COUNTIF($G480:$T480,"&gt;"&amp;H480)=0,"",SMALL($G480:$T480,COUNTIF($G480:$T480,"&lt;="&amp;H480)+1)-H480)))</f>
        <v/>
      </c>
      <c r="AF480" t="str">
        <f>IF(OR($B480="",NOT(ISNUMBER(I480))),"",IF(COUNTIF(J480:$T480,I480)&gt;0,0,IF(COUNTIF($G480:$T480,"&gt;"&amp;I480)=0,"",SMALL($G480:$T480,COUNTIF($G480:$T480,"&lt;="&amp;I480)+1)-I480)))</f>
        <v/>
      </c>
      <c r="AG480" t="str">
        <f>IF(OR($B480="",NOT(ISNUMBER(J480))),"",IF(COUNTIF(K480:$T480,J480)&gt;0,0,IF(COUNTIF($G480:$T480,"&gt;"&amp;J480)=0,"",SMALL($G480:$T480,COUNTIF($G480:$T480,"&lt;="&amp;J480)+1)-J480)))</f>
        <v/>
      </c>
      <c r="AH480" t="str">
        <f>IF(OR($B480="",NOT(ISNUMBER(K480))),"",IF(COUNTIF(L480:$T480,K480)&gt;0,0,IF(COUNTIF($G480:$T480,"&gt;"&amp;K480)=0,"",SMALL($G480:$T480,COUNTIF($G480:$T480,"&lt;="&amp;K480)+1)-K480)))</f>
        <v/>
      </c>
      <c r="AI480" t="str">
        <f>IF(OR($B480="",NOT(ISNUMBER(L480))),"",IF(COUNTIF(M480:$T480,L480)&gt;0,0,IF(COUNTIF($G480:$T480,"&gt;"&amp;L480)=0,"",SMALL($G480:$T480,COUNTIF($G480:$T480,"&lt;="&amp;L480)+1)-L480)))</f>
        <v/>
      </c>
      <c r="AJ480" t="str">
        <f>IF(OR($B480="",NOT(ISNUMBER(M480))),"",IF(COUNTIF(N480:$T480,M480)&gt;0,0,IF(COUNTIF($G480:$T480,"&gt;"&amp;M480)=0,"",SMALL($G480:$T480,COUNTIF($G480:$T480,"&lt;="&amp;M480)+1)-M480)))</f>
        <v/>
      </c>
      <c r="AK480" t="str">
        <f>IF(OR($B480="",NOT(ISNUMBER(N480))),"",IF(COUNTIF(O480:$T480,N480)&gt;0,0,IF(COUNTIF($G480:$T480,"&gt;"&amp;N480)=0,"",SMALL($G480:$T480,COUNTIF($G480:$T480,"&lt;="&amp;N480)+1)-N480)))</f>
        <v/>
      </c>
      <c r="AL480" t="str">
        <f>IF(OR($B480="",NOT(ISNUMBER(O480))),"",IF(COUNTIF(P480:$T480,O480)&gt;0,0,IF(COUNTIF($G480:$T480,"&gt;"&amp;O480)=0,"",SMALL($G480:$T480,COUNTIF($G480:$T480,"&lt;="&amp;O480)+1)-O480)))</f>
        <v/>
      </c>
      <c r="AM480" t="str">
        <f>IF(OR($B480="",NOT(ISNUMBER(P480))),"",IF(COUNTIF(Q480:$T480,P480)&gt;0,0,IF(COUNTIF($G480:$T480,"&gt;"&amp;P480)=0,"",SMALL($G480:$T480,COUNTIF($G480:$T480,"&lt;="&amp;P480)+1)-P480)))</f>
        <v/>
      </c>
      <c r="AN480" t="str">
        <f>IF(OR($B480="",NOT(ISNUMBER(Q480))),"",IF(COUNTIF(R480:$T480,Q480)&gt;0,0,IF(COUNTIF($G480:$T480,"&gt;"&amp;Q480)=0,"",SMALL($G480:$T480,COUNTIF($G480:$T480,"&lt;="&amp;Q480)+1)-Q480)))</f>
        <v/>
      </c>
      <c r="AO480" t="str">
        <f>IF(OR($B480="",NOT(ISNUMBER(R480))),"",IF(COUNTIF(S480:$T480,R480)&gt;0,0,IF(COUNTIF($G480:$T480,"&gt;"&amp;R480)=0,"",SMALL($G480:$T480,COUNTIF($G480:$T480,"&lt;="&amp;R480)+1)-R480)))</f>
        <v/>
      </c>
      <c r="AP480">
        <f t="shared" ca="1" si="122"/>
        <v>3</v>
      </c>
      <c r="AQ480" s="25" t="str">
        <f t="shared" si="123"/>
        <v/>
      </c>
      <c r="AR480" s="25" t="str">
        <f t="shared" si="124"/>
        <v/>
      </c>
      <c r="AS480" s="25" t="str">
        <f t="shared" si="125"/>
        <v/>
      </c>
      <c r="AT480" s="25" t="str">
        <f t="shared" si="126"/>
        <v/>
      </c>
      <c r="AU480" s="25" t="str">
        <f t="shared" si="127"/>
        <v/>
      </c>
      <c r="AV480" s="25" t="str">
        <f t="shared" si="128"/>
        <v/>
      </c>
      <c r="AW480" s="25" t="str">
        <f t="shared" si="129"/>
        <v/>
      </c>
      <c r="AX480" s="25" t="str">
        <f t="shared" si="130"/>
        <v/>
      </c>
      <c r="AY480" s="25" t="str">
        <f t="shared" si="131"/>
        <v/>
      </c>
      <c r="AZ480" s="25" t="str">
        <f t="shared" si="132"/>
        <v/>
      </c>
      <c r="BA480" s="25" t="str">
        <f t="shared" si="133"/>
        <v/>
      </c>
      <c r="BB480" s="25" t="str">
        <f t="shared" si="134"/>
        <v/>
      </c>
      <c r="BC480" s="25" t="str">
        <f t="shared" si="135"/>
        <v/>
      </c>
    </row>
    <row r="481" spans="1:55" x14ac:dyDescent="0.25">
      <c r="A481" s="151">
        <f t="shared" si="120"/>
        <v>479</v>
      </c>
      <c r="B481" s="188" t="s">
        <v>927</v>
      </c>
      <c r="C481" s="153" t="s">
        <v>928</v>
      </c>
      <c r="D481" s="151">
        <f t="shared" si="119"/>
        <v>1</v>
      </c>
      <c r="E481" s="151" t="s">
        <v>61</v>
      </c>
      <c r="F481" s="173">
        <v>46304</v>
      </c>
      <c r="G481" s="173"/>
      <c r="H481" s="173"/>
      <c r="I481" s="173">
        <v>46304</v>
      </c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51"/>
      <c r="U481" s="151"/>
      <c r="V481" s="152"/>
      <c r="W481" s="175"/>
      <c r="X481" s="173"/>
      <c r="Y481" s="173"/>
      <c r="Z481" s="176" t="str">
        <f>IF(B481="","",IF(S481&lt;&gt;"","Sevk Edildi",IF(AND(X481&lt;&gt;"",Y481=""),"Reworkte",IF(T481&lt;&gt;"","Kapandı"&amp;IF(COUNT(G481:R481)=0,""," – "&amp;LOOKUP(2,1/(G481:R481=MAX(G481:R481)),{"Tasarım","Ply Cutter","Üretim","Kalite (Üretim sonrası)","Talaşlı","Kalite (Talaşlı sonrası)","Montaj","Kalite (Montaj sonrası)","Boya","Kalite (Boya sonrası)","Yarı Mamül","KM"})),IF(COUNT(G481:R481)=0,"Başlamadı",LOOKUP(2,1/(G481:R481=MAX(G481:R481)),{"Tasarımda","Ply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81" s="177">
        <f t="shared" ca="1" si="121"/>
        <v>3</v>
      </c>
      <c r="AB481" s="175"/>
      <c r="AD481" t="str">
        <f>IF(OR($B481="",NOT(ISNUMBER(G481))),"",IF(COUNTIF(H481:$T481,G481)&gt;0,0,IF(COUNTIF($G481:$T481,"&gt;"&amp;G481)=0,"",SMALL($G481:$T481,COUNTIF($G481:$T481,"&lt;="&amp;G481)+1)-G481)))</f>
        <v/>
      </c>
      <c r="AE481" t="str">
        <f>IF(OR($B481="",NOT(ISNUMBER(H481))),"",IF(COUNTIF(I481:$T481,H481)&gt;0,0,IF(COUNTIF($G481:$T481,"&gt;"&amp;H481)=0,"",SMALL($G481:$T481,COUNTIF($G481:$T481,"&lt;="&amp;H481)+1)-H481)))</f>
        <v/>
      </c>
      <c r="AF481" t="str">
        <f>IF(OR($B481="",NOT(ISNUMBER(I481))),"",IF(COUNTIF(J481:$T481,I481)&gt;0,0,IF(COUNTIF($G481:$T481,"&gt;"&amp;I481)=0,"",SMALL($G481:$T481,COUNTIF($G481:$T481,"&lt;="&amp;I481)+1)-I481)))</f>
        <v/>
      </c>
      <c r="AG481" t="str">
        <f>IF(OR($B481="",NOT(ISNUMBER(J481))),"",IF(COUNTIF(K481:$T481,J481)&gt;0,0,IF(COUNTIF($G481:$T481,"&gt;"&amp;J481)=0,"",SMALL($G481:$T481,COUNTIF($G481:$T481,"&lt;="&amp;J481)+1)-J481)))</f>
        <v/>
      </c>
      <c r="AH481" t="str">
        <f>IF(OR($B481="",NOT(ISNUMBER(K481))),"",IF(COUNTIF(L481:$T481,K481)&gt;0,0,IF(COUNTIF($G481:$T481,"&gt;"&amp;K481)=0,"",SMALL($G481:$T481,COUNTIF($G481:$T481,"&lt;="&amp;K481)+1)-K481)))</f>
        <v/>
      </c>
      <c r="AI481" t="str">
        <f>IF(OR($B481="",NOT(ISNUMBER(L481))),"",IF(COUNTIF(M481:$T481,L481)&gt;0,0,IF(COUNTIF($G481:$T481,"&gt;"&amp;L481)=0,"",SMALL($G481:$T481,COUNTIF($G481:$T481,"&lt;="&amp;L481)+1)-L481)))</f>
        <v/>
      </c>
      <c r="AJ481" t="str">
        <f>IF(OR($B481="",NOT(ISNUMBER(M481))),"",IF(COUNTIF(N481:$T481,M481)&gt;0,0,IF(COUNTIF($G481:$T481,"&gt;"&amp;M481)=0,"",SMALL($G481:$T481,COUNTIF($G481:$T481,"&lt;="&amp;M481)+1)-M481)))</f>
        <v/>
      </c>
      <c r="AK481" t="str">
        <f>IF(OR($B481="",NOT(ISNUMBER(N481))),"",IF(COUNTIF(O481:$T481,N481)&gt;0,0,IF(COUNTIF($G481:$T481,"&gt;"&amp;N481)=0,"",SMALL($G481:$T481,COUNTIF($G481:$T481,"&lt;="&amp;N481)+1)-N481)))</f>
        <v/>
      </c>
      <c r="AL481" t="str">
        <f>IF(OR($B481="",NOT(ISNUMBER(O481))),"",IF(COUNTIF(P481:$T481,O481)&gt;0,0,IF(COUNTIF($G481:$T481,"&gt;"&amp;O481)=0,"",SMALL($G481:$T481,COUNTIF($G481:$T481,"&lt;="&amp;O481)+1)-O481)))</f>
        <v/>
      </c>
      <c r="AM481" t="str">
        <f>IF(OR($B481="",NOT(ISNUMBER(P481))),"",IF(COUNTIF(Q481:$T481,P481)&gt;0,0,IF(COUNTIF($G481:$T481,"&gt;"&amp;P481)=0,"",SMALL($G481:$T481,COUNTIF($G481:$T481,"&lt;="&amp;P481)+1)-P481)))</f>
        <v/>
      </c>
      <c r="AN481" t="str">
        <f>IF(OR($B481="",NOT(ISNUMBER(Q481))),"",IF(COUNTIF(R481:$T481,Q481)&gt;0,0,IF(COUNTIF($G481:$T481,"&gt;"&amp;Q481)=0,"",SMALL($G481:$T481,COUNTIF($G481:$T481,"&lt;="&amp;Q481)+1)-Q481)))</f>
        <v/>
      </c>
      <c r="AO481" t="str">
        <f>IF(OR($B481="",NOT(ISNUMBER(R481))),"",IF(COUNTIF(S481:$T481,R481)&gt;0,0,IF(COUNTIF($G481:$T481,"&gt;"&amp;R481)=0,"",SMALL($G481:$T481,COUNTIF($G481:$T481,"&lt;="&amp;R481)+1)-R481)))</f>
        <v/>
      </c>
      <c r="AP481">
        <f t="shared" ca="1" si="122"/>
        <v>3</v>
      </c>
      <c r="AQ481" s="25" t="str">
        <f t="shared" si="123"/>
        <v/>
      </c>
      <c r="AR481" s="25" t="str">
        <f t="shared" si="124"/>
        <v/>
      </c>
      <c r="AS481" s="25" t="str">
        <f t="shared" si="125"/>
        <v/>
      </c>
      <c r="AT481" s="25" t="str">
        <f t="shared" si="126"/>
        <v/>
      </c>
      <c r="AU481" s="25" t="str">
        <f t="shared" si="127"/>
        <v/>
      </c>
      <c r="AV481" s="25" t="str">
        <f t="shared" si="128"/>
        <v/>
      </c>
      <c r="AW481" s="25" t="str">
        <f t="shared" si="129"/>
        <v/>
      </c>
      <c r="AX481" s="25" t="str">
        <f t="shared" si="130"/>
        <v/>
      </c>
      <c r="AY481" s="25" t="str">
        <f t="shared" si="131"/>
        <v/>
      </c>
      <c r="AZ481" s="25" t="str">
        <f t="shared" si="132"/>
        <v/>
      </c>
      <c r="BA481" s="25" t="str">
        <f t="shared" si="133"/>
        <v/>
      </c>
      <c r="BB481" s="25" t="str">
        <f t="shared" si="134"/>
        <v/>
      </c>
      <c r="BC481" s="25" t="str">
        <f t="shared" si="135"/>
        <v/>
      </c>
    </row>
    <row r="482" spans="1:55" x14ac:dyDescent="0.25">
      <c r="A482" s="151">
        <f t="shared" si="120"/>
        <v>480</v>
      </c>
      <c r="B482" s="188" t="s">
        <v>929</v>
      </c>
      <c r="C482" s="153" t="s">
        <v>478</v>
      </c>
      <c r="D482" s="151">
        <f t="shared" si="119"/>
        <v>1</v>
      </c>
      <c r="E482" s="151" t="s">
        <v>61</v>
      </c>
      <c r="F482" s="173">
        <v>46304</v>
      </c>
      <c r="G482" s="173"/>
      <c r="H482" s="173"/>
      <c r="I482" s="173">
        <v>46304</v>
      </c>
      <c r="J482" s="173">
        <v>46305</v>
      </c>
      <c r="K482" s="173"/>
      <c r="L482" s="173"/>
      <c r="M482" s="173"/>
      <c r="N482" s="173"/>
      <c r="O482" s="173"/>
      <c r="P482" s="173"/>
      <c r="Q482" s="173"/>
      <c r="R482" s="173"/>
      <c r="S482" s="173"/>
      <c r="T482" s="174">
        <v>46305</v>
      </c>
      <c r="U482" s="151"/>
      <c r="V482" s="152"/>
      <c r="W482" s="175"/>
      <c r="X482" s="173"/>
      <c r="Y482" s="173"/>
      <c r="Z482" s="176" t="str">
        <f>IF(B482="","",IF(S482&lt;&gt;"","Sevk Edildi",IF(AND(X482&lt;&gt;"",Y482=""),"Reworkte",IF(T482&lt;&gt;"","Kapandı"&amp;IF(COUNT(G482:R482)=0,""," – "&amp;LOOKUP(2,1/(G482:R482=MAX(G482:R482)),{"Tasarım","Ply Cutter","Üretim","Kalite (Üretim sonrası)","Talaşlı","Kalite (Talaşlı sonrası)","Montaj","Kalite (Montaj sonrası)","Boya","Kalite (Boya sonrası)","Yarı Mamül","KM"})),IF(COUNT(G482:R482)=0,"Başlamadı",LOOKUP(2,1/(G482:R482=MAX(G482:R482)),{"Tasarımda","Ply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82" s="177">
        <f t="shared" ca="1" si="121"/>
        <v>1</v>
      </c>
      <c r="AB482" s="175"/>
      <c r="AD482" t="str">
        <f>IF(OR($B482="",NOT(ISNUMBER(G482))),"",IF(COUNTIF(H482:$T482,G482)&gt;0,0,IF(COUNTIF($G482:$T482,"&gt;"&amp;G482)=0,"",SMALL($G482:$T482,COUNTIF($G482:$T482,"&lt;="&amp;G482)+1)-G482)))</f>
        <v/>
      </c>
      <c r="AE482" t="str">
        <f>IF(OR($B482="",NOT(ISNUMBER(H482))),"",IF(COUNTIF(I482:$T482,H482)&gt;0,0,IF(COUNTIF($G482:$T482,"&gt;"&amp;H482)=0,"",SMALL($G482:$T482,COUNTIF($G482:$T482,"&lt;="&amp;H482)+1)-H482)))</f>
        <v/>
      </c>
      <c r="AF482">
        <f>IF(OR($B482="",NOT(ISNUMBER(I482))),"",IF(COUNTIF(J482:$T482,I482)&gt;0,0,IF(COUNTIF($G482:$T482,"&gt;"&amp;I482)=0,"",SMALL($G482:$T482,COUNTIF($G482:$T482,"&lt;="&amp;I482)+1)-I482)))</f>
        <v>1</v>
      </c>
      <c r="AG482">
        <f>IF(OR($B482="",NOT(ISNUMBER(J482))),"",IF(COUNTIF(K482:$T482,J482)&gt;0,0,IF(COUNTIF($G482:$T482,"&gt;"&amp;J482)=0,"",SMALL($G482:$T482,COUNTIF($G482:$T482,"&lt;="&amp;J482)+1)-J482)))</f>
        <v>0</v>
      </c>
      <c r="AH482" t="str">
        <f>IF(OR($B482="",NOT(ISNUMBER(K482))),"",IF(COUNTIF(L482:$T482,K482)&gt;0,0,IF(COUNTIF($G482:$T482,"&gt;"&amp;K482)=0,"",SMALL($G482:$T482,COUNTIF($G482:$T482,"&lt;="&amp;K482)+1)-K482)))</f>
        <v/>
      </c>
      <c r="AI482" t="str">
        <f>IF(OR($B482="",NOT(ISNUMBER(L482))),"",IF(COUNTIF(M482:$T482,L482)&gt;0,0,IF(COUNTIF($G482:$T482,"&gt;"&amp;L482)=0,"",SMALL($G482:$T482,COUNTIF($G482:$T482,"&lt;="&amp;L482)+1)-L482)))</f>
        <v/>
      </c>
      <c r="AJ482" t="str">
        <f>IF(OR($B482="",NOT(ISNUMBER(M482))),"",IF(COUNTIF(N482:$T482,M482)&gt;0,0,IF(COUNTIF($G482:$T482,"&gt;"&amp;M482)=0,"",SMALL($G482:$T482,COUNTIF($G482:$T482,"&lt;="&amp;M482)+1)-M482)))</f>
        <v/>
      </c>
      <c r="AK482" t="str">
        <f>IF(OR($B482="",NOT(ISNUMBER(N482))),"",IF(COUNTIF(O482:$T482,N482)&gt;0,0,IF(COUNTIF($G482:$T482,"&gt;"&amp;N482)=0,"",SMALL($G482:$T482,COUNTIF($G482:$T482,"&lt;="&amp;N482)+1)-N482)))</f>
        <v/>
      </c>
      <c r="AL482" t="str">
        <f>IF(OR($B482="",NOT(ISNUMBER(O482))),"",IF(COUNTIF(P482:$T482,O482)&gt;0,0,IF(COUNTIF($G482:$T482,"&gt;"&amp;O482)=0,"",SMALL($G482:$T482,COUNTIF($G482:$T482,"&lt;="&amp;O482)+1)-O482)))</f>
        <v/>
      </c>
      <c r="AM482" t="str">
        <f>IF(OR($B482="",NOT(ISNUMBER(P482))),"",IF(COUNTIF(Q482:$T482,P482)&gt;0,0,IF(COUNTIF($G482:$T482,"&gt;"&amp;P482)=0,"",SMALL($G482:$T482,COUNTIF($G482:$T482,"&lt;="&amp;P482)+1)-P482)))</f>
        <v/>
      </c>
      <c r="AN482" t="str">
        <f>IF(OR($B482="",NOT(ISNUMBER(Q482))),"",IF(COUNTIF(R482:$T482,Q482)&gt;0,0,IF(COUNTIF($G482:$T482,"&gt;"&amp;Q482)=0,"",SMALL($G482:$T482,COUNTIF($G482:$T482,"&lt;="&amp;Q482)+1)-Q482)))</f>
        <v/>
      </c>
      <c r="AO482" t="str">
        <f>IF(OR($B482="",NOT(ISNUMBER(R482))),"",IF(COUNTIF(S482:$T482,R482)&gt;0,0,IF(COUNTIF($G482:$T482,"&gt;"&amp;R482)=0,"",SMALL($G482:$T482,COUNTIF($G482:$T482,"&lt;="&amp;R482)+1)-R482)))</f>
        <v/>
      </c>
      <c r="AP482">
        <f t="shared" ca="1" si="122"/>
        <v>0</v>
      </c>
      <c r="AQ482" s="25" t="str">
        <f t="shared" si="123"/>
        <v/>
      </c>
      <c r="AR482" s="25" t="str">
        <f t="shared" si="124"/>
        <v/>
      </c>
      <c r="AS482" s="25">
        <f t="shared" si="125"/>
        <v>46305</v>
      </c>
      <c r="AT482" s="25">
        <f t="shared" si="126"/>
        <v>46305</v>
      </c>
      <c r="AU482" s="25" t="str">
        <f t="shared" si="127"/>
        <v/>
      </c>
      <c r="AV482" s="25" t="str">
        <f t="shared" si="128"/>
        <v/>
      </c>
      <c r="AW482" s="25" t="str">
        <f t="shared" si="129"/>
        <v/>
      </c>
      <c r="AX482" s="25" t="str">
        <f t="shared" si="130"/>
        <v/>
      </c>
      <c r="AY482" s="25" t="str">
        <f t="shared" si="131"/>
        <v/>
      </c>
      <c r="AZ482" s="25" t="str">
        <f t="shared" si="132"/>
        <v/>
      </c>
      <c r="BA482" s="25" t="str">
        <f t="shared" si="133"/>
        <v/>
      </c>
      <c r="BB482" s="25" t="str">
        <f t="shared" si="134"/>
        <v/>
      </c>
      <c r="BC482" s="25">
        <f t="shared" si="135"/>
        <v>46305</v>
      </c>
    </row>
    <row r="483" spans="1:55" x14ac:dyDescent="0.25">
      <c r="A483" s="151">
        <f t="shared" si="120"/>
        <v>481</v>
      </c>
      <c r="B483" s="188" t="s">
        <v>930</v>
      </c>
      <c r="C483" s="153" t="s">
        <v>466</v>
      </c>
      <c r="D483" s="151">
        <f t="shared" si="119"/>
        <v>2</v>
      </c>
      <c r="E483" s="151" t="s">
        <v>61</v>
      </c>
      <c r="F483" s="173">
        <v>46304</v>
      </c>
      <c r="G483" s="173"/>
      <c r="H483" s="173"/>
      <c r="I483" s="173">
        <v>46304</v>
      </c>
      <c r="J483" s="173">
        <v>46305</v>
      </c>
      <c r="K483" s="173"/>
      <c r="L483" s="173"/>
      <c r="M483" s="173"/>
      <c r="N483" s="173"/>
      <c r="O483" s="173"/>
      <c r="P483" s="173"/>
      <c r="Q483" s="173"/>
      <c r="R483" s="173"/>
      <c r="S483" s="173"/>
      <c r="T483" s="174">
        <v>46305</v>
      </c>
      <c r="U483" s="151"/>
      <c r="V483" s="152"/>
      <c r="W483" s="175"/>
      <c r="X483" s="173"/>
      <c r="Y483" s="173"/>
      <c r="Z483" s="176" t="str">
        <f>IF(B483="","",IF(S483&lt;&gt;"","Sevk Edildi",IF(AND(X483&lt;&gt;"",Y483=""),"Reworkte",IF(T483&lt;&gt;"","Kapandı"&amp;IF(COUNT(G483:R483)=0,""," – "&amp;LOOKUP(2,1/(G483:R483=MAX(G483:R483)),{"Tasarım","Ply Cutter","Üretim","Kalite (Üretim sonrası)","Talaşlı","Kalite (Talaşlı sonrası)","Montaj","Kalite (Montaj sonrası)","Boya","Kalite (Boya sonrası)","Yarı Mamül","KM"})),IF(COUNT(G483:R483)=0,"Başlamadı",LOOKUP(2,1/(G483:R483=MAX(G483:R483)),{"Tasarımda","Ply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83" s="177">
        <f t="shared" ca="1" si="121"/>
        <v>1</v>
      </c>
      <c r="AB483" s="175"/>
      <c r="AD483" t="str">
        <f>IF(OR($B483="",NOT(ISNUMBER(G483))),"",IF(COUNTIF(H483:$T483,G483)&gt;0,0,IF(COUNTIF($G483:$T483,"&gt;"&amp;G483)=0,"",SMALL($G483:$T483,COUNTIF($G483:$T483,"&lt;="&amp;G483)+1)-G483)))</f>
        <v/>
      </c>
      <c r="AE483" t="str">
        <f>IF(OR($B483="",NOT(ISNUMBER(H483))),"",IF(COUNTIF(I483:$T483,H483)&gt;0,0,IF(COUNTIF($G483:$T483,"&gt;"&amp;H483)=0,"",SMALL($G483:$T483,COUNTIF($G483:$T483,"&lt;="&amp;H483)+1)-H483)))</f>
        <v/>
      </c>
      <c r="AF483">
        <f>IF(OR($B483="",NOT(ISNUMBER(I483))),"",IF(COUNTIF(J483:$T483,I483)&gt;0,0,IF(COUNTIF($G483:$T483,"&gt;"&amp;I483)=0,"",SMALL($G483:$T483,COUNTIF($G483:$T483,"&lt;="&amp;I483)+1)-I483)))</f>
        <v>1</v>
      </c>
      <c r="AG483">
        <f>IF(OR($B483="",NOT(ISNUMBER(J483))),"",IF(COUNTIF(K483:$T483,J483)&gt;0,0,IF(COUNTIF($G483:$T483,"&gt;"&amp;J483)=0,"",SMALL($G483:$T483,COUNTIF($G483:$T483,"&lt;="&amp;J483)+1)-J483)))</f>
        <v>0</v>
      </c>
      <c r="AH483" t="str">
        <f>IF(OR($B483="",NOT(ISNUMBER(K483))),"",IF(COUNTIF(L483:$T483,K483)&gt;0,0,IF(COUNTIF($G483:$T483,"&gt;"&amp;K483)=0,"",SMALL($G483:$T483,COUNTIF($G483:$T483,"&lt;="&amp;K483)+1)-K483)))</f>
        <v/>
      </c>
      <c r="AI483" t="str">
        <f>IF(OR($B483="",NOT(ISNUMBER(L483))),"",IF(COUNTIF(M483:$T483,L483)&gt;0,0,IF(COUNTIF($G483:$T483,"&gt;"&amp;L483)=0,"",SMALL($G483:$T483,COUNTIF($G483:$T483,"&lt;="&amp;L483)+1)-L483)))</f>
        <v/>
      </c>
      <c r="AJ483" t="str">
        <f>IF(OR($B483="",NOT(ISNUMBER(M483))),"",IF(COUNTIF(N483:$T483,M483)&gt;0,0,IF(COUNTIF($G483:$T483,"&gt;"&amp;M483)=0,"",SMALL($G483:$T483,COUNTIF($G483:$T483,"&lt;="&amp;M483)+1)-M483)))</f>
        <v/>
      </c>
      <c r="AK483" t="str">
        <f>IF(OR($B483="",NOT(ISNUMBER(N483))),"",IF(COUNTIF(O483:$T483,N483)&gt;0,0,IF(COUNTIF($G483:$T483,"&gt;"&amp;N483)=0,"",SMALL($G483:$T483,COUNTIF($G483:$T483,"&lt;="&amp;N483)+1)-N483)))</f>
        <v/>
      </c>
      <c r="AL483" t="str">
        <f>IF(OR($B483="",NOT(ISNUMBER(O483))),"",IF(COUNTIF(P483:$T483,O483)&gt;0,0,IF(COUNTIF($G483:$T483,"&gt;"&amp;O483)=0,"",SMALL($G483:$T483,COUNTIF($G483:$T483,"&lt;="&amp;O483)+1)-O483)))</f>
        <v/>
      </c>
      <c r="AM483" t="str">
        <f>IF(OR($B483="",NOT(ISNUMBER(P483))),"",IF(COUNTIF(Q483:$T483,P483)&gt;0,0,IF(COUNTIF($G483:$T483,"&gt;"&amp;P483)=0,"",SMALL($G483:$T483,COUNTIF($G483:$T483,"&lt;="&amp;P483)+1)-P483)))</f>
        <v/>
      </c>
      <c r="AN483" t="str">
        <f>IF(OR($B483="",NOT(ISNUMBER(Q483))),"",IF(COUNTIF(R483:$T483,Q483)&gt;0,0,IF(COUNTIF($G483:$T483,"&gt;"&amp;Q483)=0,"",SMALL($G483:$T483,COUNTIF($G483:$T483,"&lt;="&amp;Q483)+1)-Q483)))</f>
        <v/>
      </c>
      <c r="AO483" t="str">
        <f>IF(OR($B483="",NOT(ISNUMBER(R483))),"",IF(COUNTIF(S483:$T483,R483)&gt;0,0,IF(COUNTIF($G483:$T483,"&gt;"&amp;R483)=0,"",SMALL($G483:$T483,COUNTIF($G483:$T483,"&lt;="&amp;R483)+1)-R483)))</f>
        <v/>
      </c>
      <c r="AP483">
        <f t="shared" ca="1" si="122"/>
        <v>0</v>
      </c>
      <c r="AQ483" s="25" t="str">
        <f t="shared" si="123"/>
        <v/>
      </c>
      <c r="AR483" s="25" t="str">
        <f t="shared" si="124"/>
        <v/>
      </c>
      <c r="AS483" s="25">
        <f t="shared" si="125"/>
        <v>46305</v>
      </c>
      <c r="AT483" s="25">
        <f t="shared" si="126"/>
        <v>46305</v>
      </c>
      <c r="AU483" s="25" t="str">
        <f t="shared" si="127"/>
        <v/>
      </c>
      <c r="AV483" s="25" t="str">
        <f t="shared" si="128"/>
        <v/>
      </c>
      <c r="AW483" s="25" t="str">
        <f t="shared" si="129"/>
        <v/>
      </c>
      <c r="AX483" s="25" t="str">
        <f t="shared" si="130"/>
        <v/>
      </c>
      <c r="AY483" s="25" t="str">
        <f t="shared" si="131"/>
        <v/>
      </c>
      <c r="AZ483" s="25" t="str">
        <f t="shared" si="132"/>
        <v/>
      </c>
      <c r="BA483" s="25" t="str">
        <f t="shared" si="133"/>
        <v/>
      </c>
      <c r="BB483" s="25" t="str">
        <f t="shared" si="134"/>
        <v/>
      </c>
      <c r="BC483" s="25">
        <f t="shared" si="135"/>
        <v>46305</v>
      </c>
    </row>
    <row r="484" spans="1:55" x14ac:dyDescent="0.25">
      <c r="A484" s="151">
        <f t="shared" si="120"/>
        <v>482</v>
      </c>
      <c r="B484" s="188" t="s">
        <v>931</v>
      </c>
      <c r="C484" s="153" t="s">
        <v>525</v>
      </c>
      <c r="D484" s="151">
        <f t="shared" si="119"/>
        <v>4</v>
      </c>
      <c r="E484" s="151" t="s">
        <v>61</v>
      </c>
      <c r="F484" s="173">
        <v>46304</v>
      </c>
      <c r="G484" s="173"/>
      <c r="H484" s="173"/>
      <c r="I484" s="173">
        <v>46304</v>
      </c>
      <c r="J484" s="173">
        <v>46305</v>
      </c>
      <c r="K484" s="173"/>
      <c r="L484" s="173"/>
      <c r="M484" s="173"/>
      <c r="N484" s="173"/>
      <c r="O484" s="173"/>
      <c r="P484" s="173"/>
      <c r="Q484" s="173"/>
      <c r="R484" s="173"/>
      <c r="S484" s="173"/>
      <c r="T484" s="174">
        <v>46305</v>
      </c>
      <c r="U484" s="151"/>
      <c r="V484" s="152"/>
      <c r="W484" s="175"/>
      <c r="X484" s="173"/>
      <c r="Y484" s="173"/>
      <c r="Z484" s="176" t="str">
        <f>IF(B484="","",IF(S484&lt;&gt;"","Sevk Edildi",IF(AND(X484&lt;&gt;"",Y484=""),"Reworkte",IF(T484&lt;&gt;"","Kapandı"&amp;IF(COUNT(G484:R484)=0,""," – "&amp;LOOKUP(2,1/(G484:R484=MAX(G484:R484)),{"Tasarım","Ply Cutter","Üretim","Kalite (Üretim sonrası)","Talaşlı","Kalite (Talaşlı sonrası)","Montaj","Kalite (Montaj sonrası)","Boya","Kalite (Boya sonrası)","Yarı Mamül","KM"})),IF(COUNT(G484:R484)=0,"Başlamadı",LOOKUP(2,1/(G484:R484=MAX(G484:R484)),{"Tasarımda","Ply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84" s="177">
        <f t="shared" ca="1" si="121"/>
        <v>1</v>
      </c>
      <c r="AB484" s="175"/>
      <c r="AD484" t="str">
        <f>IF(OR($B484="",NOT(ISNUMBER(G484))),"",IF(COUNTIF(H484:$T484,G484)&gt;0,0,IF(COUNTIF($G484:$T484,"&gt;"&amp;G484)=0,"",SMALL($G484:$T484,COUNTIF($G484:$T484,"&lt;="&amp;G484)+1)-G484)))</f>
        <v/>
      </c>
      <c r="AE484" t="str">
        <f>IF(OR($B484="",NOT(ISNUMBER(H484))),"",IF(COUNTIF(I484:$T484,H484)&gt;0,0,IF(COUNTIF($G484:$T484,"&gt;"&amp;H484)=0,"",SMALL($G484:$T484,COUNTIF($G484:$T484,"&lt;="&amp;H484)+1)-H484)))</f>
        <v/>
      </c>
      <c r="AF484">
        <f>IF(OR($B484="",NOT(ISNUMBER(I484))),"",IF(COUNTIF(J484:$T484,I484)&gt;0,0,IF(COUNTIF($G484:$T484,"&gt;"&amp;I484)=0,"",SMALL($G484:$T484,COUNTIF($G484:$T484,"&lt;="&amp;I484)+1)-I484)))</f>
        <v>1</v>
      </c>
      <c r="AG484">
        <f>IF(OR($B484="",NOT(ISNUMBER(J484))),"",IF(COUNTIF(K484:$T484,J484)&gt;0,0,IF(COUNTIF($G484:$T484,"&gt;"&amp;J484)=0,"",SMALL($G484:$T484,COUNTIF($G484:$T484,"&lt;="&amp;J484)+1)-J484)))</f>
        <v>0</v>
      </c>
      <c r="AH484" t="str">
        <f>IF(OR($B484="",NOT(ISNUMBER(K484))),"",IF(COUNTIF(L484:$T484,K484)&gt;0,0,IF(COUNTIF($G484:$T484,"&gt;"&amp;K484)=0,"",SMALL($G484:$T484,COUNTIF($G484:$T484,"&lt;="&amp;K484)+1)-K484)))</f>
        <v/>
      </c>
      <c r="AI484" t="str">
        <f>IF(OR($B484="",NOT(ISNUMBER(L484))),"",IF(COUNTIF(M484:$T484,L484)&gt;0,0,IF(COUNTIF($G484:$T484,"&gt;"&amp;L484)=0,"",SMALL($G484:$T484,COUNTIF($G484:$T484,"&lt;="&amp;L484)+1)-L484)))</f>
        <v/>
      </c>
      <c r="AJ484" t="str">
        <f>IF(OR($B484="",NOT(ISNUMBER(M484))),"",IF(COUNTIF(N484:$T484,M484)&gt;0,0,IF(COUNTIF($G484:$T484,"&gt;"&amp;M484)=0,"",SMALL($G484:$T484,COUNTIF($G484:$T484,"&lt;="&amp;M484)+1)-M484)))</f>
        <v/>
      </c>
      <c r="AK484" t="str">
        <f>IF(OR($B484="",NOT(ISNUMBER(N484))),"",IF(COUNTIF(O484:$T484,N484)&gt;0,0,IF(COUNTIF($G484:$T484,"&gt;"&amp;N484)=0,"",SMALL($G484:$T484,COUNTIF($G484:$T484,"&lt;="&amp;N484)+1)-N484)))</f>
        <v/>
      </c>
      <c r="AL484" t="str">
        <f>IF(OR($B484="",NOT(ISNUMBER(O484))),"",IF(COUNTIF(P484:$T484,O484)&gt;0,0,IF(COUNTIF($G484:$T484,"&gt;"&amp;O484)=0,"",SMALL($G484:$T484,COUNTIF($G484:$T484,"&lt;="&amp;O484)+1)-O484)))</f>
        <v/>
      </c>
      <c r="AM484" t="str">
        <f>IF(OR($B484="",NOT(ISNUMBER(P484))),"",IF(COUNTIF(Q484:$T484,P484)&gt;0,0,IF(COUNTIF($G484:$T484,"&gt;"&amp;P484)=0,"",SMALL($G484:$T484,COUNTIF($G484:$T484,"&lt;="&amp;P484)+1)-P484)))</f>
        <v/>
      </c>
      <c r="AN484" t="str">
        <f>IF(OR($B484="",NOT(ISNUMBER(Q484))),"",IF(COUNTIF(R484:$T484,Q484)&gt;0,0,IF(COUNTIF($G484:$T484,"&gt;"&amp;Q484)=0,"",SMALL($G484:$T484,COUNTIF($G484:$T484,"&lt;="&amp;Q484)+1)-Q484)))</f>
        <v/>
      </c>
      <c r="AO484" t="str">
        <f>IF(OR($B484="",NOT(ISNUMBER(R484))),"",IF(COUNTIF(S484:$T484,R484)&gt;0,0,IF(COUNTIF($G484:$T484,"&gt;"&amp;R484)=0,"",SMALL($G484:$T484,COUNTIF($G484:$T484,"&lt;="&amp;R484)+1)-R484)))</f>
        <v/>
      </c>
      <c r="AP484">
        <f t="shared" ca="1" si="122"/>
        <v>0</v>
      </c>
      <c r="AQ484" s="25" t="str">
        <f t="shared" si="123"/>
        <v/>
      </c>
      <c r="AR484" s="25" t="str">
        <f t="shared" si="124"/>
        <v/>
      </c>
      <c r="AS484" s="25">
        <f t="shared" si="125"/>
        <v>46305</v>
      </c>
      <c r="AT484" s="25">
        <f t="shared" si="126"/>
        <v>46305</v>
      </c>
      <c r="AU484" s="25" t="str">
        <f t="shared" si="127"/>
        <v/>
      </c>
      <c r="AV484" s="25" t="str">
        <f t="shared" si="128"/>
        <v/>
      </c>
      <c r="AW484" s="25" t="str">
        <f t="shared" si="129"/>
        <v/>
      </c>
      <c r="AX484" s="25" t="str">
        <f t="shared" si="130"/>
        <v/>
      </c>
      <c r="AY484" s="25" t="str">
        <f t="shared" si="131"/>
        <v/>
      </c>
      <c r="AZ484" s="25" t="str">
        <f t="shared" si="132"/>
        <v/>
      </c>
      <c r="BA484" s="25" t="str">
        <f t="shared" si="133"/>
        <v/>
      </c>
      <c r="BB484" s="25" t="str">
        <f t="shared" si="134"/>
        <v/>
      </c>
      <c r="BC484" s="25">
        <f t="shared" si="135"/>
        <v>46305</v>
      </c>
    </row>
    <row r="485" spans="1:55" x14ac:dyDescent="0.25">
      <c r="A485" s="151">
        <f t="shared" si="120"/>
        <v>483</v>
      </c>
      <c r="B485" s="189" t="s">
        <v>932</v>
      </c>
      <c r="C485" s="154" t="s">
        <v>355</v>
      </c>
      <c r="D485" s="151">
        <f t="shared" si="119"/>
        <v>1</v>
      </c>
      <c r="E485" s="185" t="s">
        <v>61</v>
      </c>
      <c r="F485" s="173">
        <v>46304</v>
      </c>
      <c r="G485" s="173"/>
      <c r="H485" s="173"/>
      <c r="I485" s="173">
        <v>46304</v>
      </c>
      <c r="J485" s="173">
        <v>46304</v>
      </c>
      <c r="K485" s="173"/>
      <c r="L485" s="173"/>
      <c r="M485" s="173"/>
      <c r="N485" s="173"/>
      <c r="O485" s="173"/>
      <c r="P485" s="173"/>
      <c r="Q485" s="173"/>
      <c r="R485" s="173"/>
      <c r="S485" s="173"/>
      <c r="T485" s="173">
        <v>46304</v>
      </c>
      <c r="U485" s="151"/>
      <c r="V485" s="152"/>
      <c r="W485" s="175"/>
      <c r="X485" s="173"/>
      <c r="Y485" s="173"/>
      <c r="Z485" s="176" t="str">
        <f>IF(B485="","",IF(S485&lt;&gt;"","Sevk Edildi",IF(AND(X485&lt;&gt;"",Y485=""),"Reworkte",IF(T485&lt;&gt;"","Kapandı"&amp;IF(COUNT(G485:R485)=0,""," – "&amp;LOOKUP(2,1/(G485:R485=MAX(G485:R485)),{"Tasarım","Ply Cutter","Üretim","Kalite (Üretim sonrası)","Talaşlı","Kalite (Talaşlı sonrası)","Montaj","Kalite (Montaj sonrası)","Boya","Kalite (Boya sonrası)","Yarı Mamül","KM"})),IF(COUNT(G485:R485)=0,"Başlamadı",LOOKUP(2,1/(G485:R485=MAX(G485:R485)),{"Tasarımda","Ply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85" s="177">
        <f t="shared" ca="1" si="121"/>
        <v>0</v>
      </c>
      <c r="AB485" s="175"/>
      <c r="AD485" t="str">
        <f>IF(OR($B485="",NOT(ISNUMBER(G485))),"",IF(COUNTIF(H485:$T485,G485)&gt;0,0,IF(COUNTIF($G485:$T485,"&gt;"&amp;G485)=0,"",SMALL($G485:$T485,COUNTIF($G485:$T485,"&lt;="&amp;G485)+1)-G485)))</f>
        <v/>
      </c>
      <c r="AE485" t="str">
        <f>IF(OR($B485="",NOT(ISNUMBER(H485))),"",IF(COUNTIF(I485:$T485,H485)&gt;0,0,IF(COUNTIF($G485:$T485,"&gt;"&amp;H485)=0,"",SMALL($G485:$T485,COUNTIF($G485:$T485,"&lt;="&amp;H485)+1)-H485)))</f>
        <v/>
      </c>
      <c r="AF485">
        <f>IF(OR($B485="",NOT(ISNUMBER(I485))),"",IF(COUNTIF(J485:$T485,I485)&gt;0,0,IF(COUNTIF($G485:$T485,"&gt;"&amp;I485)=0,"",SMALL($G485:$T485,COUNTIF($G485:$T485,"&lt;="&amp;I485)+1)-I485)))</f>
        <v>0</v>
      </c>
      <c r="AG485">
        <f>IF(OR($B485="",NOT(ISNUMBER(J485))),"",IF(COUNTIF(K485:$T485,J485)&gt;0,0,IF(COUNTIF($G485:$T485,"&gt;"&amp;J485)=0,"",SMALL($G485:$T485,COUNTIF($G485:$T485,"&lt;="&amp;J485)+1)-J485)))</f>
        <v>0</v>
      </c>
      <c r="AH485" t="str">
        <f>IF(OR($B485="",NOT(ISNUMBER(K485))),"",IF(COUNTIF(L485:$T485,K485)&gt;0,0,IF(COUNTIF($G485:$T485,"&gt;"&amp;K485)=0,"",SMALL($G485:$T485,COUNTIF($G485:$T485,"&lt;="&amp;K485)+1)-K485)))</f>
        <v/>
      </c>
      <c r="AI485" t="str">
        <f>IF(OR($B485="",NOT(ISNUMBER(L485))),"",IF(COUNTIF(M485:$T485,L485)&gt;0,0,IF(COUNTIF($G485:$T485,"&gt;"&amp;L485)=0,"",SMALL($G485:$T485,COUNTIF($G485:$T485,"&lt;="&amp;L485)+1)-L485)))</f>
        <v/>
      </c>
      <c r="AJ485" t="str">
        <f>IF(OR($B485="",NOT(ISNUMBER(M485))),"",IF(COUNTIF(N485:$T485,M485)&gt;0,0,IF(COUNTIF($G485:$T485,"&gt;"&amp;M485)=0,"",SMALL($G485:$T485,COUNTIF($G485:$T485,"&lt;="&amp;M485)+1)-M485)))</f>
        <v/>
      </c>
      <c r="AK485" t="str">
        <f>IF(OR($B485="",NOT(ISNUMBER(N485))),"",IF(COUNTIF(O485:$T485,N485)&gt;0,0,IF(COUNTIF($G485:$T485,"&gt;"&amp;N485)=0,"",SMALL($G485:$T485,COUNTIF($G485:$T485,"&lt;="&amp;N485)+1)-N485)))</f>
        <v/>
      </c>
      <c r="AL485" t="str">
        <f>IF(OR($B485="",NOT(ISNUMBER(O485))),"",IF(COUNTIF(P485:$T485,O485)&gt;0,0,IF(COUNTIF($G485:$T485,"&gt;"&amp;O485)=0,"",SMALL($G485:$T485,COUNTIF($G485:$T485,"&lt;="&amp;O485)+1)-O485)))</f>
        <v/>
      </c>
      <c r="AM485" t="str">
        <f>IF(OR($B485="",NOT(ISNUMBER(P485))),"",IF(COUNTIF(Q485:$T485,P485)&gt;0,0,IF(COUNTIF($G485:$T485,"&gt;"&amp;P485)=0,"",SMALL($G485:$T485,COUNTIF($G485:$T485,"&lt;="&amp;P485)+1)-P485)))</f>
        <v/>
      </c>
      <c r="AN485" t="str">
        <f>IF(OR($B485="",NOT(ISNUMBER(Q485))),"",IF(COUNTIF(R485:$T485,Q485)&gt;0,0,IF(COUNTIF($G485:$T485,"&gt;"&amp;Q485)=0,"",SMALL($G485:$T485,COUNTIF($G485:$T485,"&lt;="&amp;Q485)+1)-Q485)))</f>
        <v/>
      </c>
      <c r="AO485" t="str">
        <f>IF(OR($B485="",NOT(ISNUMBER(R485))),"",IF(COUNTIF(S485:$T485,R485)&gt;0,0,IF(COUNTIF($G485:$T485,"&gt;"&amp;R485)=0,"",SMALL($G485:$T485,COUNTIF($G485:$T485,"&lt;="&amp;R485)+1)-R485)))</f>
        <v/>
      </c>
      <c r="AP485">
        <f t="shared" ca="1" si="122"/>
        <v>0</v>
      </c>
      <c r="AQ485" s="25" t="str">
        <f t="shared" si="123"/>
        <v/>
      </c>
      <c r="AR485" s="25" t="str">
        <f t="shared" si="124"/>
        <v/>
      </c>
      <c r="AS485" s="25">
        <f t="shared" si="125"/>
        <v>46304</v>
      </c>
      <c r="AT485" s="25">
        <f t="shared" si="126"/>
        <v>46304</v>
      </c>
      <c r="AU485" s="25" t="str">
        <f t="shared" si="127"/>
        <v/>
      </c>
      <c r="AV485" s="25" t="str">
        <f t="shared" si="128"/>
        <v/>
      </c>
      <c r="AW485" s="25" t="str">
        <f t="shared" si="129"/>
        <v/>
      </c>
      <c r="AX485" s="25" t="str">
        <f t="shared" si="130"/>
        <v/>
      </c>
      <c r="AY485" s="25" t="str">
        <f t="shared" si="131"/>
        <v/>
      </c>
      <c r="AZ485" s="25" t="str">
        <f t="shared" si="132"/>
        <v/>
      </c>
      <c r="BA485" s="25" t="str">
        <f t="shared" si="133"/>
        <v/>
      </c>
      <c r="BB485" s="25" t="str">
        <f t="shared" si="134"/>
        <v/>
      </c>
      <c r="BC485" s="25">
        <f t="shared" si="135"/>
        <v>46304</v>
      </c>
    </row>
    <row r="486" spans="1:55" x14ac:dyDescent="0.25">
      <c r="A486" s="151">
        <f t="shared" si="120"/>
        <v>484</v>
      </c>
      <c r="B486" s="189" t="s">
        <v>933</v>
      </c>
      <c r="C486" s="154" t="s">
        <v>355</v>
      </c>
      <c r="D486" s="151">
        <f t="shared" si="119"/>
        <v>1</v>
      </c>
      <c r="E486" s="185" t="s">
        <v>61</v>
      </c>
      <c r="F486" s="173">
        <v>46304</v>
      </c>
      <c r="G486" s="173"/>
      <c r="H486" s="173"/>
      <c r="I486" s="173">
        <v>46304</v>
      </c>
      <c r="J486" s="173">
        <v>46304</v>
      </c>
      <c r="K486" s="173"/>
      <c r="L486" s="173"/>
      <c r="M486" s="173"/>
      <c r="N486" s="173"/>
      <c r="O486" s="173"/>
      <c r="P486" s="173"/>
      <c r="Q486" s="173"/>
      <c r="R486" s="173"/>
      <c r="S486" s="173"/>
      <c r="T486" s="173">
        <v>46304</v>
      </c>
      <c r="U486" s="151"/>
      <c r="V486" s="152"/>
      <c r="W486" s="175"/>
      <c r="X486" s="173"/>
      <c r="Y486" s="173"/>
      <c r="Z486" s="176" t="str">
        <f>IF(B486="","",IF(S486&lt;&gt;"","Sevk Edildi",IF(AND(X486&lt;&gt;"",Y486=""),"Reworkte",IF(T486&lt;&gt;"","Kapandı"&amp;IF(COUNT(G486:R486)=0,""," – "&amp;LOOKUP(2,1/(G486:R486=MAX(G486:R486)),{"Tasarım","Ply Cutter","Üretim","Kalite (Üretim sonrası)","Talaşlı","Kalite (Talaşlı sonrası)","Montaj","Kalite (Montaj sonrası)","Boya","Kalite (Boya sonrası)","Yarı Mamül","KM"})),IF(COUNT(G486:R486)=0,"Başlamadı",LOOKUP(2,1/(G486:R486=MAX(G486:R486)),{"Tasarımda","Ply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86" s="177">
        <f t="shared" ca="1" si="121"/>
        <v>0</v>
      </c>
      <c r="AB486" s="175"/>
      <c r="AD486" t="str">
        <f>IF(OR($B486="",NOT(ISNUMBER(G486))),"",IF(COUNTIF(H486:$T486,G486)&gt;0,0,IF(COUNTIF($G486:$T486,"&gt;"&amp;G486)=0,"",SMALL($G486:$T486,COUNTIF($G486:$T486,"&lt;="&amp;G486)+1)-G486)))</f>
        <v/>
      </c>
      <c r="AE486" t="str">
        <f>IF(OR($B486="",NOT(ISNUMBER(H486))),"",IF(COUNTIF(I486:$T486,H486)&gt;0,0,IF(COUNTIF($G486:$T486,"&gt;"&amp;H486)=0,"",SMALL($G486:$T486,COUNTIF($G486:$T486,"&lt;="&amp;H486)+1)-H486)))</f>
        <v/>
      </c>
      <c r="AF486">
        <f>IF(OR($B486="",NOT(ISNUMBER(I486))),"",IF(COUNTIF(J486:$T486,I486)&gt;0,0,IF(COUNTIF($G486:$T486,"&gt;"&amp;I486)=0,"",SMALL($G486:$T486,COUNTIF($G486:$T486,"&lt;="&amp;I486)+1)-I486)))</f>
        <v>0</v>
      </c>
      <c r="AG486">
        <f>IF(OR($B486="",NOT(ISNUMBER(J486))),"",IF(COUNTIF(K486:$T486,J486)&gt;0,0,IF(COUNTIF($G486:$T486,"&gt;"&amp;J486)=0,"",SMALL($G486:$T486,COUNTIF($G486:$T486,"&lt;="&amp;J486)+1)-J486)))</f>
        <v>0</v>
      </c>
      <c r="AH486" t="str">
        <f>IF(OR($B486="",NOT(ISNUMBER(K486))),"",IF(COUNTIF(L486:$T486,K486)&gt;0,0,IF(COUNTIF($G486:$T486,"&gt;"&amp;K486)=0,"",SMALL($G486:$T486,COUNTIF($G486:$T486,"&lt;="&amp;K486)+1)-K486)))</f>
        <v/>
      </c>
      <c r="AI486" t="str">
        <f>IF(OR($B486="",NOT(ISNUMBER(L486))),"",IF(COUNTIF(M486:$T486,L486)&gt;0,0,IF(COUNTIF($G486:$T486,"&gt;"&amp;L486)=0,"",SMALL($G486:$T486,COUNTIF($G486:$T486,"&lt;="&amp;L486)+1)-L486)))</f>
        <v/>
      </c>
      <c r="AJ486" t="str">
        <f>IF(OR($B486="",NOT(ISNUMBER(M486))),"",IF(COUNTIF(N486:$T486,M486)&gt;0,0,IF(COUNTIF($G486:$T486,"&gt;"&amp;M486)=0,"",SMALL($G486:$T486,COUNTIF($G486:$T486,"&lt;="&amp;M486)+1)-M486)))</f>
        <v/>
      </c>
      <c r="AK486" t="str">
        <f>IF(OR($B486="",NOT(ISNUMBER(N486))),"",IF(COUNTIF(O486:$T486,N486)&gt;0,0,IF(COUNTIF($G486:$T486,"&gt;"&amp;N486)=0,"",SMALL($G486:$T486,COUNTIF($G486:$T486,"&lt;="&amp;N486)+1)-N486)))</f>
        <v/>
      </c>
      <c r="AL486" t="str">
        <f>IF(OR($B486="",NOT(ISNUMBER(O486))),"",IF(COUNTIF(P486:$T486,O486)&gt;0,0,IF(COUNTIF($G486:$T486,"&gt;"&amp;O486)=0,"",SMALL($G486:$T486,COUNTIF($G486:$T486,"&lt;="&amp;O486)+1)-O486)))</f>
        <v/>
      </c>
      <c r="AM486" t="str">
        <f>IF(OR($B486="",NOT(ISNUMBER(P486))),"",IF(COUNTIF(Q486:$T486,P486)&gt;0,0,IF(COUNTIF($G486:$T486,"&gt;"&amp;P486)=0,"",SMALL($G486:$T486,COUNTIF($G486:$T486,"&lt;="&amp;P486)+1)-P486)))</f>
        <v/>
      </c>
      <c r="AN486" t="str">
        <f>IF(OR($B486="",NOT(ISNUMBER(Q486))),"",IF(COUNTIF(R486:$T486,Q486)&gt;0,0,IF(COUNTIF($G486:$T486,"&gt;"&amp;Q486)=0,"",SMALL($G486:$T486,COUNTIF($G486:$T486,"&lt;="&amp;Q486)+1)-Q486)))</f>
        <v/>
      </c>
      <c r="AO486" t="str">
        <f>IF(OR($B486="",NOT(ISNUMBER(R486))),"",IF(COUNTIF(S486:$T486,R486)&gt;0,0,IF(COUNTIF($G486:$T486,"&gt;"&amp;R486)=0,"",SMALL($G486:$T486,COUNTIF($G486:$T486,"&lt;="&amp;R486)+1)-R486)))</f>
        <v/>
      </c>
      <c r="AP486">
        <f t="shared" ca="1" si="122"/>
        <v>0</v>
      </c>
      <c r="AQ486" s="25" t="str">
        <f t="shared" si="123"/>
        <v/>
      </c>
      <c r="AR486" s="25" t="str">
        <f t="shared" si="124"/>
        <v/>
      </c>
      <c r="AS486" s="25">
        <f t="shared" si="125"/>
        <v>46304</v>
      </c>
      <c r="AT486" s="25">
        <f t="shared" si="126"/>
        <v>46304</v>
      </c>
      <c r="AU486" s="25" t="str">
        <f t="shared" si="127"/>
        <v/>
      </c>
      <c r="AV486" s="25" t="str">
        <f t="shared" si="128"/>
        <v/>
      </c>
      <c r="AW486" s="25" t="str">
        <f t="shared" si="129"/>
        <v/>
      </c>
      <c r="AX486" s="25" t="str">
        <f t="shared" si="130"/>
        <v/>
      </c>
      <c r="AY486" s="25" t="str">
        <f t="shared" si="131"/>
        <v/>
      </c>
      <c r="AZ486" s="25" t="str">
        <f t="shared" si="132"/>
        <v/>
      </c>
      <c r="BA486" s="25" t="str">
        <f t="shared" si="133"/>
        <v/>
      </c>
      <c r="BB486" s="25" t="str">
        <f t="shared" si="134"/>
        <v/>
      </c>
      <c r="BC486" s="25">
        <f t="shared" si="135"/>
        <v>46304</v>
      </c>
    </row>
    <row r="487" spans="1:55" x14ac:dyDescent="0.25">
      <c r="A487" s="151">
        <f t="shared" si="120"/>
        <v>485</v>
      </c>
      <c r="B487" s="189" t="s">
        <v>934</v>
      </c>
      <c r="C487" s="154" t="s">
        <v>345</v>
      </c>
      <c r="D487" s="151">
        <f t="shared" si="119"/>
        <v>1</v>
      </c>
      <c r="E487" s="185" t="s">
        <v>61</v>
      </c>
      <c r="F487" s="173">
        <v>46304</v>
      </c>
      <c r="G487" s="173"/>
      <c r="H487" s="173"/>
      <c r="I487" s="173">
        <v>46304</v>
      </c>
      <c r="J487" s="173">
        <v>46307</v>
      </c>
      <c r="K487" s="173"/>
      <c r="L487" s="173"/>
      <c r="M487" s="173"/>
      <c r="N487" s="173"/>
      <c r="O487" s="173"/>
      <c r="P487" s="173"/>
      <c r="Q487" s="173"/>
      <c r="R487" s="173"/>
      <c r="S487" s="173"/>
      <c r="T487" s="174">
        <v>46307</v>
      </c>
      <c r="U487" s="151"/>
      <c r="V487" s="152"/>
      <c r="W487" s="175"/>
      <c r="X487" s="173"/>
      <c r="Y487" s="173"/>
      <c r="Z487" s="176" t="str">
        <f>IF(B487="","",IF(S487&lt;&gt;"","Sevk Edildi",IF(AND(X487&lt;&gt;"",Y487=""),"Reworkte",IF(T487&lt;&gt;"","Kapandı"&amp;IF(COUNT(G487:R487)=0,""," – "&amp;LOOKUP(2,1/(G487:R487=MAX(G487:R487)),{"Tasarım","Ply Cutter","Üretim","Kalite (Üretim sonrası)","Talaşlı","Kalite (Talaşlı sonrası)","Montaj","Kalite (Montaj sonrası)","Boya","Kalite (Boya sonrası)","Yarı Mamül","KM"})),IF(COUNT(G487:R487)=0,"Başlamadı",LOOKUP(2,1/(G487:R487=MAX(G487:R487)),{"Tasarımda","Ply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87" s="177">
        <f t="shared" ca="1" si="121"/>
        <v>3</v>
      </c>
      <c r="AB487" s="175"/>
      <c r="AD487" t="str">
        <f>IF(OR($B487="",NOT(ISNUMBER(G487))),"",IF(COUNTIF(H487:$T487,G487)&gt;0,0,IF(COUNTIF($G487:$T487,"&gt;"&amp;G487)=0,"",SMALL($G487:$T487,COUNTIF($G487:$T487,"&lt;="&amp;G487)+1)-G487)))</f>
        <v/>
      </c>
      <c r="AE487" t="str">
        <f>IF(OR($B487="",NOT(ISNUMBER(H487))),"",IF(COUNTIF(I487:$T487,H487)&gt;0,0,IF(COUNTIF($G487:$T487,"&gt;"&amp;H487)=0,"",SMALL($G487:$T487,COUNTIF($G487:$T487,"&lt;="&amp;H487)+1)-H487)))</f>
        <v/>
      </c>
      <c r="AF487">
        <f>IF(OR($B487="",NOT(ISNUMBER(I487))),"",IF(COUNTIF(J487:$T487,I487)&gt;0,0,IF(COUNTIF($G487:$T487,"&gt;"&amp;I487)=0,"",SMALL($G487:$T487,COUNTIF($G487:$T487,"&lt;="&amp;I487)+1)-I487)))</f>
        <v>3</v>
      </c>
      <c r="AG487">
        <f>IF(OR($B487="",NOT(ISNUMBER(J487))),"",IF(COUNTIF(K487:$T487,J487)&gt;0,0,IF(COUNTIF($G487:$T487,"&gt;"&amp;J487)=0,"",SMALL($G487:$T487,COUNTIF($G487:$T487,"&lt;="&amp;J487)+1)-J487)))</f>
        <v>0</v>
      </c>
      <c r="AH487" t="str">
        <f>IF(OR($B487="",NOT(ISNUMBER(K487))),"",IF(COUNTIF(L487:$T487,K487)&gt;0,0,IF(COUNTIF($G487:$T487,"&gt;"&amp;K487)=0,"",SMALL($G487:$T487,COUNTIF($G487:$T487,"&lt;="&amp;K487)+1)-K487)))</f>
        <v/>
      </c>
      <c r="AI487" t="str">
        <f>IF(OR($B487="",NOT(ISNUMBER(L487))),"",IF(COUNTIF(M487:$T487,L487)&gt;0,0,IF(COUNTIF($G487:$T487,"&gt;"&amp;L487)=0,"",SMALL($G487:$T487,COUNTIF($G487:$T487,"&lt;="&amp;L487)+1)-L487)))</f>
        <v/>
      </c>
      <c r="AJ487" t="str">
        <f>IF(OR($B487="",NOT(ISNUMBER(M487))),"",IF(COUNTIF(N487:$T487,M487)&gt;0,0,IF(COUNTIF($G487:$T487,"&gt;"&amp;M487)=0,"",SMALL($G487:$T487,COUNTIF($G487:$T487,"&lt;="&amp;M487)+1)-M487)))</f>
        <v/>
      </c>
      <c r="AK487" t="str">
        <f>IF(OR($B487="",NOT(ISNUMBER(N487))),"",IF(COUNTIF(O487:$T487,N487)&gt;0,0,IF(COUNTIF($G487:$T487,"&gt;"&amp;N487)=0,"",SMALL($G487:$T487,COUNTIF($G487:$T487,"&lt;="&amp;N487)+1)-N487)))</f>
        <v/>
      </c>
      <c r="AL487" t="str">
        <f>IF(OR($B487="",NOT(ISNUMBER(O487))),"",IF(COUNTIF(P487:$T487,O487)&gt;0,0,IF(COUNTIF($G487:$T487,"&gt;"&amp;O487)=0,"",SMALL($G487:$T487,COUNTIF($G487:$T487,"&lt;="&amp;O487)+1)-O487)))</f>
        <v/>
      </c>
      <c r="AM487" t="str">
        <f>IF(OR($B487="",NOT(ISNUMBER(P487))),"",IF(COUNTIF(Q487:$T487,P487)&gt;0,0,IF(COUNTIF($G487:$T487,"&gt;"&amp;P487)=0,"",SMALL($G487:$T487,COUNTIF($G487:$T487,"&lt;="&amp;P487)+1)-P487)))</f>
        <v/>
      </c>
      <c r="AN487" t="str">
        <f>IF(OR($B487="",NOT(ISNUMBER(Q487))),"",IF(COUNTIF(R487:$T487,Q487)&gt;0,0,IF(COUNTIF($G487:$T487,"&gt;"&amp;Q487)=0,"",SMALL($G487:$T487,COUNTIF($G487:$T487,"&lt;="&amp;Q487)+1)-Q487)))</f>
        <v/>
      </c>
      <c r="AO487" t="str">
        <f>IF(OR($B487="",NOT(ISNUMBER(R487))),"",IF(COUNTIF(S487:$T487,R487)&gt;0,0,IF(COUNTIF($G487:$T487,"&gt;"&amp;R487)=0,"",SMALL($G487:$T487,COUNTIF($G487:$T487,"&lt;="&amp;R487)+1)-R487)))</f>
        <v/>
      </c>
      <c r="AP487">
        <f t="shared" ca="1" si="122"/>
        <v>0</v>
      </c>
      <c r="AQ487" s="25" t="str">
        <f t="shared" si="123"/>
        <v/>
      </c>
      <c r="AR487" s="25" t="str">
        <f t="shared" si="124"/>
        <v/>
      </c>
      <c r="AS487" s="25">
        <f t="shared" si="125"/>
        <v>46307</v>
      </c>
      <c r="AT487" s="25">
        <f t="shared" si="126"/>
        <v>46307</v>
      </c>
      <c r="AU487" s="25" t="str">
        <f t="shared" si="127"/>
        <v/>
      </c>
      <c r="AV487" s="25" t="str">
        <f t="shared" si="128"/>
        <v/>
      </c>
      <c r="AW487" s="25" t="str">
        <f t="shared" si="129"/>
        <v/>
      </c>
      <c r="AX487" s="25" t="str">
        <f t="shared" si="130"/>
        <v/>
      </c>
      <c r="AY487" s="25" t="str">
        <f t="shared" si="131"/>
        <v/>
      </c>
      <c r="AZ487" s="25" t="str">
        <f t="shared" si="132"/>
        <v/>
      </c>
      <c r="BA487" s="25" t="str">
        <f t="shared" si="133"/>
        <v/>
      </c>
      <c r="BB487" s="25" t="str">
        <f t="shared" si="134"/>
        <v/>
      </c>
      <c r="BC487" s="25">
        <f t="shared" si="135"/>
        <v>46307</v>
      </c>
    </row>
    <row r="488" spans="1:55" x14ac:dyDescent="0.25">
      <c r="A488" s="151">
        <f t="shared" si="120"/>
        <v>486</v>
      </c>
      <c r="B488" s="189" t="s">
        <v>935</v>
      </c>
      <c r="C488" s="154" t="s">
        <v>92</v>
      </c>
      <c r="D488" s="151">
        <f t="shared" si="119"/>
        <v>2</v>
      </c>
      <c r="E488" s="185" t="s">
        <v>61</v>
      </c>
      <c r="F488" s="173">
        <v>46304</v>
      </c>
      <c r="G488" s="173"/>
      <c r="H488" s="173"/>
      <c r="I488" s="173">
        <v>46304</v>
      </c>
      <c r="J488" s="173">
        <v>46305</v>
      </c>
      <c r="K488" s="173"/>
      <c r="L488" s="173"/>
      <c r="M488" s="173"/>
      <c r="N488" s="173"/>
      <c r="O488" s="173"/>
      <c r="P488" s="173"/>
      <c r="Q488" s="173"/>
      <c r="R488" s="173"/>
      <c r="S488" s="173"/>
      <c r="T488" s="174">
        <v>46305</v>
      </c>
      <c r="U488" s="151"/>
      <c r="V488" s="152"/>
      <c r="W488" s="175"/>
      <c r="X488" s="173"/>
      <c r="Y488" s="173"/>
      <c r="Z488" s="176" t="str">
        <f>IF(B488="","",IF(S488&lt;&gt;"","Sevk Edildi",IF(AND(X488&lt;&gt;"",Y488=""),"Reworkte",IF(T488&lt;&gt;"","Kapandı"&amp;IF(COUNT(G488:R488)=0,""," – "&amp;LOOKUP(2,1/(G488:R488=MAX(G488:R488)),{"Tasarım","Ply Cutter","Üretim","Kalite (Üretim sonrası)","Talaşlı","Kalite (Talaşlı sonrası)","Montaj","Kalite (Montaj sonrası)","Boya","Kalite (Boya sonrası)","Yarı Mamül","KM"})),IF(COUNT(G488:R488)=0,"Başlamadı",LOOKUP(2,1/(G488:R488=MAX(G488:R488)),{"Tasarımda","Ply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88" s="177">
        <f t="shared" ca="1" si="121"/>
        <v>1</v>
      </c>
      <c r="AB488" s="175"/>
      <c r="AD488" t="str">
        <f>IF(OR($B488="",NOT(ISNUMBER(G488))),"",IF(COUNTIF(H488:$T488,G488)&gt;0,0,IF(COUNTIF($G488:$T488,"&gt;"&amp;G488)=0,"",SMALL($G488:$T488,COUNTIF($G488:$T488,"&lt;="&amp;G488)+1)-G488)))</f>
        <v/>
      </c>
      <c r="AE488" t="str">
        <f>IF(OR($B488="",NOT(ISNUMBER(H488))),"",IF(COUNTIF(I488:$T488,H488)&gt;0,0,IF(COUNTIF($G488:$T488,"&gt;"&amp;H488)=0,"",SMALL($G488:$T488,COUNTIF($G488:$T488,"&lt;="&amp;H488)+1)-H488)))</f>
        <v/>
      </c>
      <c r="AF488">
        <f>IF(OR($B488="",NOT(ISNUMBER(I488))),"",IF(COUNTIF(J488:$T488,I488)&gt;0,0,IF(COUNTIF($G488:$T488,"&gt;"&amp;I488)=0,"",SMALL($G488:$T488,COUNTIF($G488:$T488,"&lt;="&amp;I488)+1)-I488)))</f>
        <v>1</v>
      </c>
      <c r="AG488">
        <f>IF(OR($B488="",NOT(ISNUMBER(J488))),"",IF(COUNTIF(K488:$T488,J488)&gt;0,0,IF(COUNTIF($G488:$T488,"&gt;"&amp;J488)=0,"",SMALL($G488:$T488,COUNTIF($G488:$T488,"&lt;="&amp;J488)+1)-J488)))</f>
        <v>0</v>
      </c>
      <c r="AH488" t="str">
        <f>IF(OR($B488="",NOT(ISNUMBER(K488))),"",IF(COUNTIF(L488:$T488,K488)&gt;0,0,IF(COUNTIF($G488:$T488,"&gt;"&amp;K488)=0,"",SMALL($G488:$T488,COUNTIF($G488:$T488,"&lt;="&amp;K488)+1)-K488)))</f>
        <v/>
      </c>
      <c r="AI488" t="str">
        <f>IF(OR($B488="",NOT(ISNUMBER(L488))),"",IF(COUNTIF(M488:$T488,L488)&gt;0,0,IF(COUNTIF($G488:$T488,"&gt;"&amp;L488)=0,"",SMALL($G488:$T488,COUNTIF($G488:$T488,"&lt;="&amp;L488)+1)-L488)))</f>
        <v/>
      </c>
      <c r="AJ488" t="str">
        <f>IF(OR($B488="",NOT(ISNUMBER(M488))),"",IF(COUNTIF(N488:$T488,M488)&gt;0,0,IF(COUNTIF($G488:$T488,"&gt;"&amp;M488)=0,"",SMALL($G488:$T488,COUNTIF($G488:$T488,"&lt;="&amp;M488)+1)-M488)))</f>
        <v/>
      </c>
      <c r="AK488" t="str">
        <f>IF(OR($B488="",NOT(ISNUMBER(N488))),"",IF(COUNTIF(O488:$T488,N488)&gt;0,0,IF(COUNTIF($G488:$T488,"&gt;"&amp;N488)=0,"",SMALL($G488:$T488,COUNTIF($G488:$T488,"&lt;="&amp;N488)+1)-N488)))</f>
        <v/>
      </c>
      <c r="AL488" t="str">
        <f>IF(OR($B488="",NOT(ISNUMBER(O488))),"",IF(COUNTIF(P488:$T488,O488)&gt;0,0,IF(COUNTIF($G488:$T488,"&gt;"&amp;O488)=0,"",SMALL($G488:$T488,COUNTIF($G488:$T488,"&lt;="&amp;O488)+1)-O488)))</f>
        <v/>
      </c>
      <c r="AM488" t="str">
        <f>IF(OR($B488="",NOT(ISNUMBER(P488))),"",IF(COUNTIF(Q488:$T488,P488)&gt;0,0,IF(COUNTIF($G488:$T488,"&gt;"&amp;P488)=0,"",SMALL($G488:$T488,COUNTIF($G488:$T488,"&lt;="&amp;P488)+1)-P488)))</f>
        <v/>
      </c>
      <c r="AN488" t="str">
        <f>IF(OR($B488="",NOT(ISNUMBER(Q488))),"",IF(COUNTIF(R488:$T488,Q488)&gt;0,0,IF(COUNTIF($G488:$T488,"&gt;"&amp;Q488)=0,"",SMALL($G488:$T488,COUNTIF($G488:$T488,"&lt;="&amp;Q488)+1)-Q488)))</f>
        <v/>
      </c>
      <c r="AO488" t="str">
        <f>IF(OR($B488="",NOT(ISNUMBER(R488))),"",IF(COUNTIF(S488:$T488,R488)&gt;0,0,IF(COUNTIF($G488:$T488,"&gt;"&amp;R488)=0,"",SMALL($G488:$T488,COUNTIF($G488:$T488,"&lt;="&amp;R488)+1)-R488)))</f>
        <v/>
      </c>
      <c r="AP488">
        <f t="shared" ca="1" si="122"/>
        <v>0</v>
      </c>
      <c r="AQ488" s="25" t="str">
        <f t="shared" si="123"/>
        <v/>
      </c>
      <c r="AR488" s="25" t="str">
        <f t="shared" si="124"/>
        <v/>
      </c>
      <c r="AS488" s="25">
        <f t="shared" si="125"/>
        <v>46305</v>
      </c>
      <c r="AT488" s="25">
        <f t="shared" si="126"/>
        <v>46305</v>
      </c>
      <c r="AU488" s="25" t="str">
        <f t="shared" si="127"/>
        <v/>
      </c>
      <c r="AV488" s="25" t="str">
        <f t="shared" si="128"/>
        <v/>
      </c>
      <c r="AW488" s="25" t="str">
        <f t="shared" si="129"/>
        <v/>
      </c>
      <c r="AX488" s="25" t="str">
        <f t="shared" si="130"/>
        <v/>
      </c>
      <c r="AY488" s="25" t="str">
        <f t="shared" si="131"/>
        <v/>
      </c>
      <c r="AZ488" s="25" t="str">
        <f t="shared" si="132"/>
        <v/>
      </c>
      <c r="BA488" s="25" t="str">
        <f t="shared" si="133"/>
        <v/>
      </c>
      <c r="BB488" s="25" t="str">
        <f t="shared" si="134"/>
        <v/>
      </c>
      <c r="BC488" s="25">
        <f t="shared" si="135"/>
        <v>46305</v>
      </c>
    </row>
    <row r="489" spans="1:55" x14ac:dyDescent="0.25">
      <c r="A489" s="151">
        <f t="shared" si="120"/>
        <v>487</v>
      </c>
      <c r="B489" s="189" t="s">
        <v>936</v>
      </c>
      <c r="C489" s="154" t="s">
        <v>937</v>
      </c>
      <c r="D489" s="151">
        <f t="shared" si="119"/>
        <v>5</v>
      </c>
      <c r="E489" s="185" t="s">
        <v>61</v>
      </c>
      <c r="F489" s="173">
        <v>46304</v>
      </c>
      <c r="G489" s="173"/>
      <c r="H489" s="173"/>
      <c r="I489" s="173">
        <v>46304</v>
      </c>
      <c r="J489" s="173">
        <v>46307</v>
      </c>
      <c r="K489" s="173"/>
      <c r="L489" s="173"/>
      <c r="M489" s="173"/>
      <c r="N489" s="173"/>
      <c r="O489" s="173"/>
      <c r="P489" s="173"/>
      <c r="Q489" s="173"/>
      <c r="R489" s="173"/>
      <c r="S489" s="173"/>
      <c r="T489" s="174">
        <v>46307</v>
      </c>
      <c r="U489" s="151"/>
      <c r="V489" s="152"/>
      <c r="W489" s="175"/>
      <c r="X489" s="173"/>
      <c r="Y489" s="173"/>
      <c r="Z489" s="176" t="str">
        <f>IF(B489="","",IF(S489&lt;&gt;"","Sevk Edildi",IF(AND(X489&lt;&gt;"",Y489=""),"Reworkte",IF(T489&lt;&gt;"","Kapandı"&amp;IF(COUNT(G489:R489)=0,""," – "&amp;LOOKUP(2,1/(G489:R489=MAX(G489:R489)),{"Tasarım","Ply Cutter","Üretim","Kalite (Üretim sonrası)","Talaşlı","Kalite (Talaşlı sonrası)","Montaj","Kalite (Montaj sonrası)","Boya","Kalite (Boya sonrası)","Yarı Mamül","KM"})),IF(COUNT(G489:R489)=0,"Başlamadı",LOOKUP(2,1/(G489:R489=MAX(G489:R489)),{"Tasarımda","Ply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89" s="177">
        <f t="shared" ca="1" si="121"/>
        <v>3</v>
      </c>
      <c r="AB489" s="175"/>
      <c r="AD489" t="str">
        <f>IF(OR($B489="",NOT(ISNUMBER(G489))),"",IF(COUNTIF(H489:$T489,G489)&gt;0,0,IF(COUNTIF($G489:$T489,"&gt;"&amp;G489)=0,"",SMALL($G489:$T489,COUNTIF($G489:$T489,"&lt;="&amp;G489)+1)-G489)))</f>
        <v/>
      </c>
      <c r="AE489" t="str">
        <f>IF(OR($B489="",NOT(ISNUMBER(H489))),"",IF(COUNTIF(I489:$T489,H489)&gt;0,0,IF(COUNTIF($G489:$T489,"&gt;"&amp;H489)=0,"",SMALL($G489:$T489,COUNTIF($G489:$T489,"&lt;="&amp;H489)+1)-H489)))</f>
        <v/>
      </c>
      <c r="AF489">
        <f>IF(OR($B489="",NOT(ISNUMBER(I489))),"",IF(COUNTIF(J489:$T489,I489)&gt;0,0,IF(COUNTIF($G489:$T489,"&gt;"&amp;I489)=0,"",SMALL($G489:$T489,COUNTIF($G489:$T489,"&lt;="&amp;I489)+1)-I489)))</f>
        <v>3</v>
      </c>
      <c r="AG489">
        <f>IF(OR($B489="",NOT(ISNUMBER(J489))),"",IF(COUNTIF(K489:$T489,J489)&gt;0,0,IF(COUNTIF($G489:$T489,"&gt;"&amp;J489)=0,"",SMALL($G489:$T489,COUNTIF($G489:$T489,"&lt;="&amp;J489)+1)-J489)))</f>
        <v>0</v>
      </c>
      <c r="AH489" t="str">
        <f>IF(OR($B489="",NOT(ISNUMBER(K489))),"",IF(COUNTIF(L489:$T489,K489)&gt;0,0,IF(COUNTIF($G489:$T489,"&gt;"&amp;K489)=0,"",SMALL($G489:$T489,COUNTIF($G489:$T489,"&lt;="&amp;K489)+1)-K489)))</f>
        <v/>
      </c>
      <c r="AI489" t="str">
        <f>IF(OR($B489="",NOT(ISNUMBER(L489))),"",IF(COUNTIF(M489:$T489,L489)&gt;0,0,IF(COUNTIF($G489:$T489,"&gt;"&amp;L489)=0,"",SMALL($G489:$T489,COUNTIF($G489:$T489,"&lt;="&amp;L489)+1)-L489)))</f>
        <v/>
      </c>
      <c r="AJ489" t="str">
        <f>IF(OR($B489="",NOT(ISNUMBER(M489))),"",IF(COUNTIF(N489:$T489,M489)&gt;0,0,IF(COUNTIF($G489:$T489,"&gt;"&amp;M489)=0,"",SMALL($G489:$T489,COUNTIF($G489:$T489,"&lt;="&amp;M489)+1)-M489)))</f>
        <v/>
      </c>
      <c r="AK489" t="str">
        <f>IF(OR($B489="",NOT(ISNUMBER(N489))),"",IF(COUNTIF(O489:$T489,N489)&gt;0,0,IF(COUNTIF($G489:$T489,"&gt;"&amp;N489)=0,"",SMALL($G489:$T489,COUNTIF($G489:$T489,"&lt;="&amp;N489)+1)-N489)))</f>
        <v/>
      </c>
      <c r="AL489" t="str">
        <f>IF(OR($B489="",NOT(ISNUMBER(O489))),"",IF(COUNTIF(P489:$T489,O489)&gt;0,0,IF(COUNTIF($G489:$T489,"&gt;"&amp;O489)=0,"",SMALL($G489:$T489,COUNTIF($G489:$T489,"&lt;="&amp;O489)+1)-O489)))</f>
        <v/>
      </c>
      <c r="AM489" t="str">
        <f>IF(OR($B489="",NOT(ISNUMBER(P489))),"",IF(COUNTIF(Q489:$T489,P489)&gt;0,0,IF(COUNTIF($G489:$T489,"&gt;"&amp;P489)=0,"",SMALL($G489:$T489,COUNTIF($G489:$T489,"&lt;="&amp;P489)+1)-P489)))</f>
        <v/>
      </c>
      <c r="AN489" t="str">
        <f>IF(OR($B489="",NOT(ISNUMBER(Q489))),"",IF(COUNTIF(R489:$T489,Q489)&gt;0,0,IF(COUNTIF($G489:$T489,"&gt;"&amp;Q489)=0,"",SMALL($G489:$T489,COUNTIF($G489:$T489,"&lt;="&amp;Q489)+1)-Q489)))</f>
        <v/>
      </c>
      <c r="AO489" t="str">
        <f>IF(OR($B489="",NOT(ISNUMBER(R489))),"",IF(COUNTIF(S489:$T489,R489)&gt;0,0,IF(COUNTIF($G489:$T489,"&gt;"&amp;R489)=0,"",SMALL($G489:$T489,COUNTIF($G489:$T489,"&lt;="&amp;R489)+1)-R489)))</f>
        <v/>
      </c>
      <c r="AP489">
        <f t="shared" ca="1" si="122"/>
        <v>0</v>
      </c>
      <c r="AQ489" s="25" t="str">
        <f t="shared" si="123"/>
        <v/>
      </c>
      <c r="AR489" s="25" t="str">
        <f t="shared" si="124"/>
        <v/>
      </c>
      <c r="AS489" s="25">
        <f t="shared" si="125"/>
        <v>46307</v>
      </c>
      <c r="AT489" s="25">
        <f t="shared" si="126"/>
        <v>46307</v>
      </c>
      <c r="AU489" s="25" t="str">
        <f t="shared" si="127"/>
        <v/>
      </c>
      <c r="AV489" s="25" t="str">
        <f t="shared" si="128"/>
        <v/>
      </c>
      <c r="AW489" s="25" t="str">
        <f t="shared" si="129"/>
        <v/>
      </c>
      <c r="AX489" s="25" t="str">
        <f t="shared" si="130"/>
        <v/>
      </c>
      <c r="AY489" s="25" t="str">
        <f t="shared" si="131"/>
        <v/>
      </c>
      <c r="AZ489" s="25" t="str">
        <f t="shared" si="132"/>
        <v/>
      </c>
      <c r="BA489" s="25" t="str">
        <f t="shared" si="133"/>
        <v/>
      </c>
      <c r="BB489" s="25" t="str">
        <f t="shared" si="134"/>
        <v/>
      </c>
      <c r="BC489" s="25">
        <f t="shared" si="135"/>
        <v>46307</v>
      </c>
    </row>
    <row r="490" spans="1:55" x14ac:dyDescent="0.25">
      <c r="A490" s="151">
        <f t="shared" si="120"/>
        <v>488</v>
      </c>
      <c r="B490" s="189" t="s">
        <v>938</v>
      </c>
      <c r="C490" s="154" t="s">
        <v>939</v>
      </c>
      <c r="D490" s="151">
        <f t="shared" si="119"/>
        <v>9</v>
      </c>
      <c r="E490" s="185" t="s">
        <v>100</v>
      </c>
      <c r="F490" s="173">
        <v>46304</v>
      </c>
      <c r="G490" s="173"/>
      <c r="H490" s="173">
        <v>46304</v>
      </c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>
        <v>46304</v>
      </c>
      <c r="U490" s="151"/>
      <c r="V490" s="152"/>
      <c r="W490" s="175"/>
      <c r="X490" s="173"/>
      <c r="Y490" s="173"/>
      <c r="Z490" s="176" t="str">
        <f>IF(B490="","",IF(S490&lt;&gt;"","Sevk Edildi",IF(AND(X490&lt;&gt;"",Y490=""),"Reworkte",IF(T490&lt;&gt;"","Kapandı"&amp;IF(COUNT(G490:R490)=0,""," – "&amp;LOOKUP(2,1/(G490:R490=MAX(G490:R490)),{"Tasarım","Ply Cutter","Üretim","Kalite (Üretim sonrası)","Talaşlı","Kalite (Talaşlı sonrası)","Montaj","Kalite (Montaj sonrası)","Boya","Kalite (Boya sonrası)","Yarı Mamül","KM"})),IF(COUNT(G490:R490)=0,"Başlamadı",LOOKUP(2,1/(G490:R490=MAX(G490:R490)),{"Tasarımda","Ply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90" s="177">
        <f t="shared" ca="1" si="121"/>
        <v>0</v>
      </c>
      <c r="AB490" s="175"/>
      <c r="AD490" t="str">
        <f>IF(OR($B490="",NOT(ISNUMBER(G490))),"",IF(COUNTIF(H490:$T490,G490)&gt;0,0,IF(COUNTIF($G490:$T490,"&gt;"&amp;G490)=0,"",SMALL($G490:$T490,COUNTIF($G490:$T490,"&lt;="&amp;G490)+1)-G490)))</f>
        <v/>
      </c>
      <c r="AE490">
        <f>IF(OR($B490="",NOT(ISNUMBER(H490))),"",IF(COUNTIF(I490:$T490,H490)&gt;0,0,IF(COUNTIF($G490:$T490,"&gt;"&amp;H490)=0,"",SMALL($G490:$T490,COUNTIF($G490:$T490,"&lt;="&amp;H490)+1)-H490)))</f>
        <v>0</v>
      </c>
      <c r="AF490" t="str">
        <f>IF(OR($B490="",NOT(ISNUMBER(I490))),"",IF(COUNTIF(J490:$T490,I490)&gt;0,0,IF(COUNTIF($G490:$T490,"&gt;"&amp;I490)=0,"",SMALL($G490:$T490,COUNTIF($G490:$T490,"&lt;="&amp;I490)+1)-I490)))</f>
        <v/>
      </c>
      <c r="AG490" t="str">
        <f>IF(OR($B490="",NOT(ISNUMBER(J490))),"",IF(COUNTIF(K490:$T490,J490)&gt;0,0,IF(COUNTIF($G490:$T490,"&gt;"&amp;J490)=0,"",SMALL($G490:$T490,COUNTIF($G490:$T490,"&lt;="&amp;J490)+1)-J490)))</f>
        <v/>
      </c>
      <c r="AH490" t="str">
        <f>IF(OR($B490="",NOT(ISNUMBER(K490))),"",IF(COUNTIF(L490:$T490,K490)&gt;0,0,IF(COUNTIF($G490:$T490,"&gt;"&amp;K490)=0,"",SMALL($G490:$T490,COUNTIF($G490:$T490,"&lt;="&amp;K490)+1)-K490)))</f>
        <v/>
      </c>
      <c r="AI490" t="str">
        <f>IF(OR($B490="",NOT(ISNUMBER(L490))),"",IF(COUNTIF(M490:$T490,L490)&gt;0,0,IF(COUNTIF($G490:$T490,"&gt;"&amp;L490)=0,"",SMALL($G490:$T490,COUNTIF($G490:$T490,"&lt;="&amp;L490)+1)-L490)))</f>
        <v/>
      </c>
      <c r="AJ490" t="str">
        <f>IF(OR($B490="",NOT(ISNUMBER(M490))),"",IF(COUNTIF(N490:$T490,M490)&gt;0,0,IF(COUNTIF($G490:$T490,"&gt;"&amp;M490)=0,"",SMALL($G490:$T490,COUNTIF($G490:$T490,"&lt;="&amp;M490)+1)-M490)))</f>
        <v/>
      </c>
      <c r="AK490" t="str">
        <f>IF(OR($B490="",NOT(ISNUMBER(N490))),"",IF(COUNTIF(O490:$T490,N490)&gt;0,0,IF(COUNTIF($G490:$T490,"&gt;"&amp;N490)=0,"",SMALL($G490:$T490,COUNTIF($G490:$T490,"&lt;="&amp;N490)+1)-N490)))</f>
        <v/>
      </c>
      <c r="AL490" t="str">
        <f>IF(OR($B490="",NOT(ISNUMBER(O490))),"",IF(COUNTIF(P490:$T490,O490)&gt;0,0,IF(COUNTIF($G490:$T490,"&gt;"&amp;O490)=0,"",SMALL($G490:$T490,COUNTIF($G490:$T490,"&lt;="&amp;O490)+1)-O490)))</f>
        <v/>
      </c>
      <c r="AM490" t="str">
        <f>IF(OR($B490="",NOT(ISNUMBER(P490))),"",IF(COUNTIF(Q490:$T490,P490)&gt;0,0,IF(COUNTIF($G490:$T490,"&gt;"&amp;P490)=0,"",SMALL($G490:$T490,COUNTIF($G490:$T490,"&lt;="&amp;P490)+1)-P490)))</f>
        <v/>
      </c>
      <c r="AN490" t="str">
        <f>IF(OR($B490="",NOT(ISNUMBER(Q490))),"",IF(COUNTIF(R490:$T490,Q490)&gt;0,0,IF(COUNTIF($G490:$T490,"&gt;"&amp;Q490)=0,"",SMALL($G490:$T490,COUNTIF($G490:$T490,"&lt;="&amp;Q490)+1)-Q490)))</f>
        <v/>
      </c>
      <c r="AO490" t="str">
        <f>IF(OR($B490="",NOT(ISNUMBER(R490))),"",IF(COUNTIF(S490:$T490,R490)&gt;0,0,IF(COUNTIF($G490:$T490,"&gt;"&amp;R490)=0,"",SMALL($G490:$T490,COUNTIF($G490:$T490,"&lt;="&amp;R490)+1)-R490)))</f>
        <v/>
      </c>
      <c r="AP490">
        <f t="shared" ca="1" si="122"/>
        <v>0</v>
      </c>
      <c r="AQ490" s="25" t="str">
        <f t="shared" si="123"/>
        <v/>
      </c>
      <c r="AR490" s="25">
        <f t="shared" si="124"/>
        <v>46304</v>
      </c>
      <c r="AS490" s="25" t="str">
        <f t="shared" si="125"/>
        <v/>
      </c>
      <c r="AT490" s="25" t="str">
        <f t="shared" si="126"/>
        <v/>
      </c>
      <c r="AU490" s="25" t="str">
        <f t="shared" si="127"/>
        <v/>
      </c>
      <c r="AV490" s="25" t="str">
        <f t="shared" si="128"/>
        <v/>
      </c>
      <c r="AW490" s="25" t="str">
        <f t="shared" si="129"/>
        <v/>
      </c>
      <c r="AX490" s="25" t="str">
        <f t="shared" si="130"/>
        <v/>
      </c>
      <c r="AY490" s="25" t="str">
        <f t="shared" si="131"/>
        <v/>
      </c>
      <c r="AZ490" s="25" t="str">
        <f t="shared" si="132"/>
        <v/>
      </c>
      <c r="BA490" s="25" t="str">
        <f t="shared" si="133"/>
        <v/>
      </c>
      <c r="BB490" s="25" t="str">
        <f t="shared" si="134"/>
        <v/>
      </c>
      <c r="BC490" s="25">
        <f t="shared" si="135"/>
        <v>46304</v>
      </c>
    </row>
    <row r="491" spans="1:55" x14ac:dyDescent="0.25">
      <c r="A491" s="151">
        <f t="shared" si="120"/>
        <v>489</v>
      </c>
      <c r="B491" s="189" t="s">
        <v>940</v>
      </c>
      <c r="C491" s="154" t="s">
        <v>703</v>
      </c>
      <c r="D491" s="151">
        <f t="shared" si="119"/>
        <v>20</v>
      </c>
      <c r="E491" s="185" t="s">
        <v>100</v>
      </c>
      <c r="F491" s="173">
        <v>46304</v>
      </c>
      <c r="G491" s="173"/>
      <c r="H491" s="173">
        <v>46304</v>
      </c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>
        <v>46304</v>
      </c>
      <c r="U491" s="151"/>
      <c r="V491" s="152"/>
      <c r="W491" s="175"/>
      <c r="X491" s="173"/>
      <c r="Y491" s="173"/>
      <c r="Z491" s="176" t="str">
        <f>IF(B491="","",IF(S491&lt;&gt;"","Sevk Edildi",IF(AND(X491&lt;&gt;"",Y491=""),"Reworkte",IF(T491&lt;&gt;"","Kapandı"&amp;IF(COUNT(G491:R491)=0,""," – "&amp;LOOKUP(2,1/(G491:R491=MAX(G491:R491)),{"Tasarım","Ply Cutter","Üretim","Kalite (Üretim sonrası)","Talaşlı","Kalite (Talaşlı sonrası)","Montaj","Kalite (Montaj sonrası)","Boya","Kalite (Boya sonrası)","Yarı Mamül","KM"})),IF(COUNT(G491:R491)=0,"Başlamadı",LOOKUP(2,1/(G491:R491=MAX(G491:R491)),{"Tasarımda","Ply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91" s="177">
        <f t="shared" ca="1" si="121"/>
        <v>0</v>
      </c>
      <c r="AB491" s="175"/>
      <c r="AD491" t="str">
        <f>IF(OR($B491="",NOT(ISNUMBER(G491))),"",IF(COUNTIF(H491:$T491,G491)&gt;0,0,IF(COUNTIF($G491:$T491,"&gt;"&amp;G491)=0,"",SMALL($G491:$T491,COUNTIF($G491:$T491,"&lt;="&amp;G491)+1)-G491)))</f>
        <v/>
      </c>
      <c r="AE491">
        <f>IF(OR($B491="",NOT(ISNUMBER(H491))),"",IF(COUNTIF(I491:$T491,H491)&gt;0,0,IF(COUNTIF($G491:$T491,"&gt;"&amp;H491)=0,"",SMALL($G491:$T491,COUNTIF($G491:$T491,"&lt;="&amp;H491)+1)-H491)))</f>
        <v>0</v>
      </c>
      <c r="AF491" t="str">
        <f>IF(OR($B491="",NOT(ISNUMBER(I491))),"",IF(COUNTIF(J491:$T491,I491)&gt;0,0,IF(COUNTIF($G491:$T491,"&gt;"&amp;I491)=0,"",SMALL($G491:$T491,COUNTIF($G491:$T491,"&lt;="&amp;I491)+1)-I491)))</f>
        <v/>
      </c>
      <c r="AG491" t="str">
        <f>IF(OR($B491="",NOT(ISNUMBER(J491))),"",IF(COUNTIF(K491:$T491,J491)&gt;0,0,IF(COUNTIF($G491:$T491,"&gt;"&amp;J491)=0,"",SMALL($G491:$T491,COUNTIF($G491:$T491,"&lt;="&amp;J491)+1)-J491)))</f>
        <v/>
      </c>
      <c r="AH491" t="str">
        <f>IF(OR($B491="",NOT(ISNUMBER(K491))),"",IF(COUNTIF(L491:$T491,K491)&gt;0,0,IF(COUNTIF($G491:$T491,"&gt;"&amp;K491)=0,"",SMALL($G491:$T491,COUNTIF($G491:$T491,"&lt;="&amp;K491)+1)-K491)))</f>
        <v/>
      </c>
      <c r="AI491" t="str">
        <f>IF(OR($B491="",NOT(ISNUMBER(L491))),"",IF(COUNTIF(M491:$T491,L491)&gt;0,0,IF(COUNTIF($G491:$T491,"&gt;"&amp;L491)=0,"",SMALL($G491:$T491,COUNTIF($G491:$T491,"&lt;="&amp;L491)+1)-L491)))</f>
        <v/>
      </c>
      <c r="AJ491" t="str">
        <f>IF(OR($B491="",NOT(ISNUMBER(M491))),"",IF(COUNTIF(N491:$T491,M491)&gt;0,0,IF(COUNTIF($G491:$T491,"&gt;"&amp;M491)=0,"",SMALL($G491:$T491,COUNTIF($G491:$T491,"&lt;="&amp;M491)+1)-M491)))</f>
        <v/>
      </c>
      <c r="AK491" t="str">
        <f>IF(OR($B491="",NOT(ISNUMBER(N491))),"",IF(COUNTIF(O491:$T491,N491)&gt;0,0,IF(COUNTIF($G491:$T491,"&gt;"&amp;N491)=0,"",SMALL($G491:$T491,COUNTIF($G491:$T491,"&lt;="&amp;N491)+1)-N491)))</f>
        <v/>
      </c>
      <c r="AL491" t="str">
        <f>IF(OR($B491="",NOT(ISNUMBER(O491))),"",IF(COUNTIF(P491:$T491,O491)&gt;0,0,IF(COUNTIF($G491:$T491,"&gt;"&amp;O491)=0,"",SMALL($G491:$T491,COUNTIF($G491:$T491,"&lt;="&amp;O491)+1)-O491)))</f>
        <v/>
      </c>
      <c r="AM491" t="str">
        <f>IF(OR($B491="",NOT(ISNUMBER(P491))),"",IF(COUNTIF(Q491:$T491,P491)&gt;0,0,IF(COUNTIF($G491:$T491,"&gt;"&amp;P491)=0,"",SMALL($G491:$T491,COUNTIF($G491:$T491,"&lt;="&amp;P491)+1)-P491)))</f>
        <v/>
      </c>
      <c r="AN491" t="str">
        <f>IF(OR($B491="",NOT(ISNUMBER(Q491))),"",IF(COUNTIF(R491:$T491,Q491)&gt;0,0,IF(COUNTIF($G491:$T491,"&gt;"&amp;Q491)=0,"",SMALL($G491:$T491,COUNTIF($G491:$T491,"&lt;="&amp;Q491)+1)-Q491)))</f>
        <v/>
      </c>
      <c r="AO491" t="str">
        <f>IF(OR($B491="",NOT(ISNUMBER(R491))),"",IF(COUNTIF(S491:$T491,R491)&gt;0,0,IF(COUNTIF($G491:$T491,"&gt;"&amp;R491)=0,"",SMALL($G491:$T491,COUNTIF($G491:$T491,"&lt;="&amp;R491)+1)-R491)))</f>
        <v/>
      </c>
      <c r="AP491">
        <f t="shared" ca="1" si="122"/>
        <v>0</v>
      </c>
      <c r="AQ491" s="25" t="str">
        <f t="shared" si="123"/>
        <v/>
      </c>
      <c r="AR491" s="25">
        <f t="shared" si="124"/>
        <v>46304</v>
      </c>
      <c r="AS491" s="25" t="str">
        <f t="shared" si="125"/>
        <v/>
      </c>
      <c r="AT491" s="25" t="str">
        <f t="shared" si="126"/>
        <v/>
      </c>
      <c r="AU491" s="25" t="str">
        <f t="shared" si="127"/>
        <v/>
      </c>
      <c r="AV491" s="25" t="str">
        <f t="shared" si="128"/>
        <v/>
      </c>
      <c r="AW491" s="25" t="str">
        <f t="shared" si="129"/>
        <v/>
      </c>
      <c r="AX491" s="25" t="str">
        <f t="shared" si="130"/>
        <v/>
      </c>
      <c r="AY491" s="25" t="str">
        <f t="shared" si="131"/>
        <v/>
      </c>
      <c r="AZ491" s="25" t="str">
        <f t="shared" si="132"/>
        <v/>
      </c>
      <c r="BA491" s="25" t="str">
        <f t="shared" si="133"/>
        <v/>
      </c>
      <c r="BB491" s="25" t="str">
        <f t="shared" si="134"/>
        <v/>
      </c>
      <c r="BC491" s="25">
        <f t="shared" si="135"/>
        <v>46304</v>
      </c>
    </row>
    <row r="492" spans="1:55" x14ac:dyDescent="0.25">
      <c r="A492" s="151">
        <f t="shared" si="120"/>
        <v>490</v>
      </c>
      <c r="B492" s="189" t="s">
        <v>941</v>
      </c>
      <c r="C492" s="154" t="s">
        <v>942</v>
      </c>
      <c r="D492" s="151">
        <f t="shared" si="119"/>
        <v>5</v>
      </c>
      <c r="E492" s="185" t="s">
        <v>100</v>
      </c>
      <c r="F492" s="173">
        <v>46304</v>
      </c>
      <c r="G492" s="173"/>
      <c r="H492" s="173">
        <v>46304</v>
      </c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>
        <v>46304</v>
      </c>
      <c r="U492" s="151"/>
      <c r="V492" s="152"/>
      <c r="W492" s="175"/>
      <c r="X492" s="173"/>
      <c r="Y492" s="173"/>
      <c r="Z492" s="176" t="str">
        <f>IF(B492="","",IF(S492&lt;&gt;"","Sevk Edildi",IF(AND(X492&lt;&gt;"",Y492=""),"Reworkte",IF(T492&lt;&gt;"","Kapandı"&amp;IF(COUNT(G492:R492)=0,""," – "&amp;LOOKUP(2,1/(G492:R492=MAX(G492:R492)),{"Tasarım","Ply Cutter","Üretim","Kalite (Üretim sonrası)","Talaşlı","Kalite (Talaşlı sonrası)","Montaj","Kalite (Montaj sonrası)","Boya","Kalite (Boya sonrası)","Yarı Mamül","KM"})),IF(COUNT(G492:R492)=0,"Başlamadı",LOOKUP(2,1/(G492:R492=MAX(G492:R492)),{"Tasarımda","Ply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92" s="177">
        <f t="shared" ca="1" si="121"/>
        <v>0</v>
      </c>
      <c r="AB492" s="175"/>
      <c r="AD492" t="str">
        <f>IF(OR($B492="",NOT(ISNUMBER(G492))),"",IF(COUNTIF(H492:$T492,G492)&gt;0,0,IF(COUNTIF($G492:$T492,"&gt;"&amp;G492)=0,"",SMALL($G492:$T492,COUNTIF($G492:$T492,"&lt;="&amp;G492)+1)-G492)))</f>
        <v/>
      </c>
      <c r="AE492">
        <f>IF(OR($B492="",NOT(ISNUMBER(H492))),"",IF(COUNTIF(I492:$T492,H492)&gt;0,0,IF(COUNTIF($G492:$T492,"&gt;"&amp;H492)=0,"",SMALL($G492:$T492,COUNTIF($G492:$T492,"&lt;="&amp;H492)+1)-H492)))</f>
        <v>0</v>
      </c>
      <c r="AF492" t="str">
        <f>IF(OR($B492="",NOT(ISNUMBER(I492))),"",IF(COUNTIF(J492:$T492,I492)&gt;0,0,IF(COUNTIF($G492:$T492,"&gt;"&amp;I492)=0,"",SMALL($G492:$T492,COUNTIF($G492:$T492,"&lt;="&amp;I492)+1)-I492)))</f>
        <v/>
      </c>
      <c r="AG492" t="str">
        <f>IF(OR($B492="",NOT(ISNUMBER(J492))),"",IF(COUNTIF(K492:$T492,J492)&gt;0,0,IF(COUNTIF($G492:$T492,"&gt;"&amp;J492)=0,"",SMALL($G492:$T492,COUNTIF($G492:$T492,"&lt;="&amp;J492)+1)-J492)))</f>
        <v/>
      </c>
      <c r="AH492" t="str">
        <f>IF(OR($B492="",NOT(ISNUMBER(K492))),"",IF(COUNTIF(L492:$T492,K492)&gt;0,0,IF(COUNTIF($G492:$T492,"&gt;"&amp;K492)=0,"",SMALL($G492:$T492,COUNTIF($G492:$T492,"&lt;="&amp;K492)+1)-K492)))</f>
        <v/>
      </c>
      <c r="AI492" t="str">
        <f>IF(OR($B492="",NOT(ISNUMBER(L492))),"",IF(COUNTIF(M492:$T492,L492)&gt;0,0,IF(COUNTIF($G492:$T492,"&gt;"&amp;L492)=0,"",SMALL($G492:$T492,COUNTIF($G492:$T492,"&lt;="&amp;L492)+1)-L492)))</f>
        <v/>
      </c>
      <c r="AJ492" t="str">
        <f>IF(OR($B492="",NOT(ISNUMBER(M492))),"",IF(COUNTIF(N492:$T492,M492)&gt;0,0,IF(COUNTIF($G492:$T492,"&gt;"&amp;M492)=0,"",SMALL($G492:$T492,COUNTIF($G492:$T492,"&lt;="&amp;M492)+1)-M492)))</f>
        <v/>
      </c>
      <c r="AK492" t="str">
        <f>IF(OR($B492="",NOT(ISNUMBER(N492))),"",IF(COUNTIF(O492:$T492,N492)&gt;0,0,IF(COUNTIF($G492:$T492,"&gt;"&amp;N492)=0,"",SMALL($G492:$T492,COUNTIF($G492:$T492,"&lt;="&amp;N492)+1)-N492)))</f>
        <v/>
      </c>
      <c r="AL492" t="str">
        <f>IF(OR($B492="",NOT(ISNUMBER(O492))),"",IF(COUNTIF(P492:$T492,O492)&gt;0,0,IF(COUNTIF($G492:$T492,"&gt;"&amp;O492)=0,"",SMALL($G492:$T492,COUNTIF($G492:$T492,"&lt;="&amp;O492)+1)-O492)))</f>
        <v/>
      </c>
      <c r="AM492" t="str">
        <f>IF(OR($B492="",NOT(ISNUMBER(P492))),"",IF(COUNTIF(Q492:$T492,P492)&gt;0,0,IF(COUNTIF($G492:$T492,"&gt;"&amp;P492)=0,"",SMALL($G492:$T492,COUNTIF($G492:$T492,"&lt;="&amp;P492)+1)-P492)))</f>
        <v/>
      </c>
      <c r="AN492" t="str">
        <f>IF(OR($B492="",NOT(ISNUMBER(Q492))),"",IF(COUNTIF(R492:$T492,Q492)&gt;0,0,IF(COUNTIF($G492:$T492,"&gt;"&amp;Q492)=0,"",SMALL($G492:$T492,COUNTIF($G492:$T492,"&lt;="&amp;Q492)+1)-Q492)))</f>
        <v/>
      </c>
      <c r="AO492" t="str">
        <f>IF(OR($B492="",NOT(ISNUMBER(R492))),"",IF(COUNTIF(S492:$T492,R492)&gt;0,0,IF(COUNTIF($G492:$T492,"&gt;"&amp;R492)=0,"",SMALL($G492:$T492,COUNTIF($G492:$T492,"&lt;="&amp;R492)+1)-R492)))</f>
        <v/>
      </c>
      <c r="AP492">
        <f t="shared" ca="1" si="122"/>
        <v>0</v>
      </c>
      <c r="AQ492" s="25" t="str">
        <f t="shared" si="123"/>
        <v/>
      </c>
      <c r="AR492" s="25">
        <f t="shared" si="124"/>
        <v>46304</v>
      </c>
      <c r="AS492" s="25" t="str">
        <f t="shared" si="125"/>
        <v/>
      </c>
      <c r="AT492" s="25" t="str">
        <f t="shared" si="126"/>
        <v/>
      </c>
      <c r="AU492" s="25" t="str">
        <f t="shared" si="127"/>
        <v/>
      </c>
      <c r="AV492" s="25" t="str">
        <f t="shared" si="128"/>
        <v/>
      </c>
      <c r="AW492" s="25" t="str">
        <f t="shared" si="129"/>
        <v/>
      </c>
      <c r="AX492" s="25" t="str">
        <f t="shared" si="130"/>
        <v/>
      </c>
      <c r="AY492" s="25" t="str">
        <f t="shared" si="131"/>
        <v/>
      </c>
      <c r="AZ492" s="25" t="str">
        <f t="shared" si="132"/>
        <v/>
      </c>
      <c r="BA492" s="25" t="str">
        <f t="shared" si="133"/>
        <v/>
      </c>
      <c r="BB492" s="25" t="str">
        <f t="shared" si="134"/>
        <v/>
      </c>
      <c r="BC492" s="25">
        <f t="shared" si="135"/>
        <v>46304</v>
      </c>
    </row>
    <row r="493" spans="1:55" x14ac:dyDescent="0.25">
      <c r="A493" s="151">
        <f t="shared" si="120"/>
        <v>491</v>
      </c>
      <c r="B493" s="189" t="s">
        <v>943</v>
      </c>
      <c r="C493" s="154" t="s">
        <v>944</v>
      </c>
      <c r="D493" s="151">
        <f t="shared" si="119"/>
        <v>25</v>
      </c>
      <c r="E493" s="185" t="s">
        <v>100</v>
      </c>
      <c r="F493" s="173">
        <v>46304</v>
      </c>
      <c r="G493" s="173"/>
      <c r="H493" s="173">
        <v>46304</v>
      </c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>
        <v>46304</v>
      </c>
      <c r="U493" s="151"/>
      <c r="V493" s="152"/>
      <c r="W493" s="175"/>
      <c r="X493" s="173"/>
      <c r="Y493" s="173"/>
      <c r="Z493" s="176" t="str">
        <f>IF(B493="","",IF(S493&lt;&gt;"","Sevk Edildi",IF(AND(X493&lt;&gt;"",Y493=""),"Reworkte",IF(T493&lt;&gt;"","Kapandı"&amp;IF(COUNT(G493:R493)=0,""," – "&amp;LOOKUP(2,1/(G493:R493=MAX(G493:R493)),{"Tasarım","Ply Cutter","Üretim","Kalite (Üretim sonrası)","Talaşlı","Kalite (Talaşlı sonrası)","Montaj","Kalite (Montaj sonrası)","Boya","Kalite (Boya sonrası)","Yarı Mamül","KM"})),IF(COUNT(G493:R493)=0,"Başlamadı",LOOKUP(2,1/(G493:R493=MAX(G493:R493)),{"Tasarımda","Ply Cutter'da","Üretimde","Kalitede (Üretim sonrası)","Talaşlıda","Kalitede (Talaşlı sonrası)","Montajda","Kalitede (Montaj sonrası)","Boyada","Kalitede (Boya sonrası)","Yarı Mamülde","KM'de"}))))))</f>
        <v>Kapandı – Ply Cutter</v>
      </c>
      <c r="AA493" s="177">
        <f t="shared" ca="1" si="121"/>
        <v>0</v>
      </c>
      <c r="AB493" s="175"/>
      <c r="AD493" t="str">
        <f>IF(OR($B493="",NOT(ISNUMBER(G493))),"",IF(COUNTIF(H493:$T493,G493)&gt;0,0,IF(COUNTIF($G493:$T493,"&gt;"&amp;G493)=0,"",SMALL($G493:$T493,COUNTIF($G493:$T493,"&lt;="&amp;G493)+1)-G493)))</f>
        <v/>
      </c>
      <c r="AE493">
        <f>IF(OR($B493="",NOT(ISNUMBER(H493))),"",IF(COUNTIF(I493:$T493,H493)&gt;0,0,IF(COUNTIF($G493:$T493,"&gt;"&amp;H493)=0,"",SMALL($G493:$T493,COUNTIF($G493:$T493,"&lt;="&amp;H493)+1)-H493)))</f>
        <v>0</v>
      </c>
      <c r="AF493" t="str">
        <f>IF(OR($B493="",NOT(ISNUMBER(I493))),"",IF(COUNTIF(J493:$T493,I493)&gt;0,0,IF(COUNTIF($G493:$T493,"&gt;"&amp;I493)=0,"",SMALL($G493:$T493,COUNTIF($G493:$T493,"&lt;="&amp;I493)+1)-I493)))</f>
        <v/>
      </c>
      <c r="AG493" t="str">
        <f>IF(OR($B493="",NOT(ISNUMBER(J493))),"",IF(COUNTIF(K493:$T493,J493)&gt;0,0,IF(COUNTIF($G493:$T493,"&gt;"&amp;J493)=0,"",SMALL($G493:$T493,COUNTIF($G493:$T493,"&lt;="&amp;J493)+1)-J493)))</f>
        <v/>
      </c>
      <c r="AH493" t="str">
        <f>IF(OR($B493="",NOT(ISNUMBER(K493))),"",IF(COUNTIF(L493:$T493,K493)&gt;0,0,IF(COUNTIF($G493:$T493,"&gt;"&amp;K493)=0,"",SMALL($G493:$T493,COUNTIF($G493:$T493,"&lt;="&amp;K493)+1)-K493)))</f>
        <v/>
      </c>
      <c r="AI493" t="str">
        <f>IF(OR($B493="",NOT(ISNUMBER(L493))),"",IF(COUNTIF(M493:$T493,L493)&gt;0,0,IF(COUNTIF($G493:$T493,"&gt;"&amp;L493)=0,"",SMALL($G493:$T493,COUNTIF($G493:$T493,"&lt;="&amp;L493)+1)-L493)))</f>
        <v/>
      </c>
      <c r="AJ493" t="str">
        <f>IF(OR($B493="",NOT(ISNUMBER(M493))),"",IF(COUNTIF(N493:$T493,M493)&gt;0,0,IF(COUNTIF($G493:$T493,"&gt;"&amp;M493)=0,"",SMALL($G493:$T493,COUNTIF($G493:$T493,"&lt;="&amp;M493)+1)-M493)))</f>
        <v/>
      </c>
      <c r="AK493" t="str">
        <f>IF(OR($B493="",NOT(ISNUMBER(N493))),"",IF(COUNTIF(O493:$T493,N493)&gt;0,0,IF(COUNTIF($G493:$T493,"&gt;"&amp;N493)=0,"",SMALL($G493:$T493,COUNTIF($G493:$T493,"&lt;="&amp;N493)+1)-N493)))</f>
        <v/>
      </c>
      <c r="AL493" t="str">
        <f>IF(OR($B493="",NOT(ISNUMBER(O493))),"",IF(COUNTIF(P493:$T493,O493)&gt;0,0,IF(COUNTIF($G493:$T493,"&gt;"&amp;O493)=0,"",SMALL($G493:$T493,COUNTIF($G493:$T493,"&lt;="&amp;O493)+1)-O493)))</f>
        <v/>
      </c>
      <c r="AM493" t="str">
        <f>IF(OR($B493="",NOT(ISNUMBER(P493))),"",IF(COUNTIF(Q493:$T493,P493)&gt;0,0,IF(COUNTIF($G493:$T493,"&gt;"&amp;P493)=0,"",SMALL($G493:$T493,COUNTIF($G493:$T493,"&lt;="&amp;P493)+1)-P493)))</f>
        <v/>
      </c>
      <c r="AN493" t="str">
        <f>IF(OR($B493="",NOT(ISNUMBER(Q493))),"",IF(COUNTIF(R493:$T493,Q493)&gt;0,0,IF(COUNTIF($G493:$T493,"&gt;"&amp;Q493)=0,"",SMALL($G493:$T493,COUNTIF($G493:$T493,"&lt;="&amp;Q493)+1)-Q493)))</f>
        <v/>
      </c>
      <c r="AO493" t="str">
        <f>IF(OR($B493="",NOT(ISNUMBER(R493))),"",IF(COUNTIF(S493:$T493,R493)&gt;0,0,IF(COUNTIF($G493:$T493,"&gt;"&amp;R493)=0,"",SMALL($G493:$T493,COUNTIF($G493:$T493,"&lt;="&amp;R493)+1)-R493)))</f>
        <v/>
      </c>
      <c r="AP493">
        <f t="shared" ca="1" si="122"/>
        <v>0</v>
      </c>
      <c r="AQ493" s="25" t="str">
        <f t="shared" si="123"/>
        <v/>
      </c>
      <c r="AR493" s="25">
        <f t="shared" si="124"/>
        <v>46304</v>
      </c>
      <c r="AS493" s="25" t="str">
        <f t="shared" si="125"/>
        <v/>
      </c>
      <c r="AT493" s="25" t="str">
        <f t="shared" si="126"/>
        <v/>
      </c>
      <c r="AU493" s="25" t="str">
        <f t="shared" si="127"/>
        <v/>
      </c>
      <c r="AV493" s="25" t="str">
        <f t="shared" si="128"/>
        <v/>
      </c>
      <c r="AW493" s="25" t="str">
        <f t="shared" si="129"/>
        <v/>
      </c>
      <c r="AX493" s="25" t="str">
        <f t="shared" si="130"/>
        <v/>
      </c>
      <c r="AY493" s="25" t="str">
        <f t="shared" si="131"/>
        <v/>
      </c>
      <c r="AZ493" s="25" t="str">
        <f t="shared" si="132"/>
        <v/>
      </c>
      <c r="BA493" s="25" t="str">
        <f t="shared" si="133"/>
        <v/>
      </c>
      <c r="BB493" s="25" t="str">
        <f t="shared" si="134"/>
        <v/>
      </c>
      <c r="BC493" s="25">
        <f t="shared" si="135"/>
        <v>46304</v>
      </c>
    </row>
    <row r="494" spans="1:55" x14ac:dyDescent="0.25">
      <c r="A494" s="151">
        <f t="shared" si="120"/>
        <v>492</v>
      </c>
      <c r="B494" s="189" t="s">
        <v>945</v>
      </c>
      <c r="C494" s="154" t="s">
        <v>64</v>
      </c>
      <c r="D494" s="151">
        <f t="shared" si="119"/>
        <v>1</v>
      </c>
      <c r="E494" s="185" t="s">
        <v>61</v>
      </c>
      <c r="F494" s="173">
        <v>46305</v>
      </c>
      <c r="G494" s="173"/>
      <c r="H494" s="173"/>
      <c r="I494" s="173">
        <v>46305</v>
      </c>
      <c r="J494" s="173">
        <v>46305</v>
      </c>
      <c r="K494" s="173"/>
      <c r="L494" s="173"/>
      <c r="M494" s="173"/>
      <c r="N494" s="173"/>
      <c r="O494" s="173"/>
      <c r="P494" s="173"/>
      <c r="Q494" s="173"/>
      <c r="R494" s="173"/>
      <c r="S494" s="173"/>
      <c r="T494" s="174">
        <v>46305</v>
      </c>
      <c r="U494" s="151"/>
      <c r="V494" s="152"/>
      <c r="W494" s="175"/>
      <c r="X494" s="173"/>
      <c r="Y494" s="173"/>
      <c r="Z494" s="176" t="str">
        <f>IF(B494="","",IF(S494&lt;&gt;"","Sevk Edildi",IF(AND(X494&lt;&gt;"",Y494=""),"Reworkte",IF(T494&lt;&gt;"","Kapandı"&amp;IF(COUNT(G494:R494)=0,""," – "&amp;LOOKUP(2,1/(G494:R494=MAX(G494:R494)),{"Tasarım","Ply Cutter","Üretim","Kalite (Üretim sonrası)","Talaşlı","Kalite (Talaşlı sonrası)","Montaj","Kalite (Montaj sonrası)","Boya","Kalite (Boya sonrası)","Yarı Mamül","KM"})),IF(COUNT(G494:R494)=0,"Başlamadı",LOOKUP(2,1/(G494:R494=MAX(G494:R494)),{"Tasarımda","Ply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94" s="177">
        <f t="shared" ca="1" si="121"/>
        <v>0</v>
      </c>
      <c r="AB494" s="175"/>
      <c r="AD494" t="str">
        <f>IF(OR($B494="",NOT(ISNUMBER(G494))),"",IF(COUNTIF(H494:$T494,G494)&gt;0,0,IF(COUNTIF($G494:$T494,"&gt;"&amp;G494)=0,"",SMALL($G494:$T494,COUNTIF($G494:$T494,"&lt;="&amp;G494)+1)-G494)))</f>
        <v/>
      </c>
      <c r="AE494" t="str">
        <f>IF(OR($B494="",NOT(ISNUMBER(H494))),"",IF(COUNTIF(I494:$T494,H494)&gt;0,0,IF(COUNTIF($G494:$T494,"&gt;"&amp;H494)=0,"",SMALL($G494:$T494,COUNTIF($G494:$T494,"&lt;="&amp;H494)+1)-H494)))</f>
        <v/>
      </c>
      <c r="AF494">
        <f>IF(OR($B494="",NOT(ISNUMBER(I494))),"",IF(COUNTIF(J494:$T494,I494)&gt;0,0,IF(COUNTIF($G494:$T494,"&gt;"&amp;I494)=0,"",SMALL($G494:$T494,COUNTIF($G494:$T494,"&lt;="&amp;I494)+1)-I494)))</f>
        <v>0</v>
      </c>
      <c r="AG494">
        <f>IF(OR($B494="",NOT(ISNUMBER(J494))),"",IF(COUNTIF(K494:$T494,J494)&gt;0,0,IF(COUNTIF($G494:$T494,"&gt;"&amp;J494)=0,"",SMALL($G494:$T494,COUNTIF($G494:$T494,"&lt;="&amp;J494)+1)-J494)))</f>
        <v>0</v>
      </c>
      <c r="AH494" t="str">
        <f>IF(OR($B494="",NOT(ISNUMBER(K494))),"",IF(COUNTIF(L494:$T494,K494)&gt;0,0,IF(COUNTIF($G494:$T494,"&gt;"&amp;K494)=0,"",SMALL($G494:$T494,COUNTIF($G494:$T494,"&lt;="&amp;K494)+1)-K494)))</f>
        <v/>
      </c>
      <c r="AI494" t="str">
        <f>IF(OR($B494="",NOT(ISNUMBER(L494))),"",IF(COUNTIF(M494:$T494,L494)&gt;0,0,IF(COUNTIF($G494:$T494,"&gt;"&amp;L494)=0,"",SMALL($G494:$T494,COUNTIF($G494:$T494,"&lt;="&amp;L494)+1)-L494)))</f>
        <v/>
      </c>
      <c r="AJ494" t="str">
        <f>IF(OR($B494="",NOT(ISNUMBER(M494))),"",IF(COUNTIF(N494:$T494,M494)&gt;0,0,IF(COUNTIF($G494:$T494,"&gt;"&amp;M494)=0,"",SMALL($G494:$T494,COUNTIF($G494:$T494,"&lt;="&amp;M494)+1)-M494)))</f>
        <v/>
      </c>
      <c r="AK494" t="str">
        <f>IF(OR($B494="",NOT(ISNUMBER(N494))),"",IF(COUNTIF(O494:$T494,N494)&gt;0,0,IF(COUNTIF($G494:$T494,"&gt;"&amp;N494)=0,"",SMALL($G494:$T494,COUNTIF($G494:$T494,"&lt;="&amp;N494)+1)-N494)))</f>
        <v/>
      </c>
      <c r="AL494" t="str">
        <f>IF(OR($B494="",NOT(ISNUMBER(O494))),"",IF(COUNTIF(P494:$T494,O494)&gt;0,0,IF(COUNTIF($G494:$T494,"&gt;"&amp;O494)=0,"",SMALL($G494:$T494,COUNTIF($G494:$T494,"&lt;="&amp;O494)+1)-O494)))</f>
        <v/>
      </c>
      <c r="AM494" t="str">
        <f>IF(OR($B494="",NOT(ISNUMBER(P494))),"",IF(COUNTIF(Q494:$T494,P494)&gt;0,0,IF(COUNTIF($G494:$T494,"&gt;"&amp;P494)=0,"",SMALL($G494:$T494,COUNTIF($G494:$T494,"&lt;="&amp;P494)+1)-P494)))</f>
        <v/>
      </c>
      <c r="AN494" t="str">
        <f>IF(OR($B494="",NOT(ISNUMBER(Q494))),"",IF(COUNTIF(R494:$T494,Q494)&gt;0,0,IF(COUNTIF($G494:$T494,"&gt;"&amp;Q494)=0,"",SMALL($G494:$T494,COUNTIF($G494:$T494,"&lt;="&amp;Q494)+1)-Q494)))</f>
        <v/>
      </c>
      <c r="AO494" t="str">
        <f>IF(OR($B494="",NOT(ISNUMBER(R494))),"",IF(COUNTIF(S494:$T494,R494)&gt;0,0,IF(COUNTIF($G494:$T494,"&gt;"&amp;R494)=0,"",SMALL($G494:$T494,COUNTIF($G494:$T494,"&lt;="&amp;R494)+1)-R494)))</f>
        <v/>
      </c>
      <c r="AP494">
        <f t="shared" ca="1" si="122"/>
        <v>0</v>
      </c>
      <c r="AQ494" s="25" t="str">
        <f t="shared" si="123"/>
        <v/>
      </c>
      <c r="AR494" s="25" t="str">
        <f t="shared" si="124"/>
        <v/>
      </c>
      <c r="AS494" s="25">
        <f t="shared" si="125"/>
        <v>46305</v>
      </c>
      <c r="AT494" s="25">
        <f t="shared" si="126"/>
        <v>46305</v>
      </c>
      <c r="AU494" s="25" t="str">
        <f t="shared" si="127"/>
        <v/>
      </c>
      <c r="AV494" s="25" t="str">
        <f t="shared" si="128"/>
        <v/>
      </c>
      <c r="AW494" s="25" t="str">
        <f t="shared" si="129"/>
        <v/>
      </c>
      <c r="AX494" s="25" t="str">
        <f t="shared" si="130"/>
        <v/>
      </c>
      <c r="AY494" s="25" t="str">
        <f t="shared" si="131"/>
        <v/>
      </c>
      <c r="AZ494" s="25" t="str">
        <f t="shared" si="132"/>
        <v/>
      </c>
      <c r="BA494" s="25" t="str">
        <f t="shared" si="133"/>
        <v/>
      </c>
      <c r="BB494" s="25" t="str">
        <f t="shared" si="134"/>
        <v/>
      </c>
      <c r="BC494" s="25">
        <f t="shared" si="135"/>
        <v>46305</v>
      </c>
    </row>
    <row r="495" spans="1:55" x14ac:dyDescent="0.25">
      <c r="A495" s="151">
        <f t="shared" si="120"/>
        <v>493</v>
      </c>
      <c r="B495" s="189" t="s">
        <v>946</v>
      </c>
      <c r="C495" s="154" t="s">
        <v>64</v>
      </c>
      <c r="D495" s="151">
        <f t="shared" si="119"/>
        <v>1</v>
      </c>
      <c r="E495" s="185" t="s">
        <v>61</v>
      </c>
      <c r="F495" s="173">
        <v>46305</v>
      </c>
      <c r="G495" s="173"/>
      <c r="H495" s="173"/>
      <c r="I495" s="173">
        <v>46305</v>
      </c>
      <c r="J495" s="173">
        <v>46305</v>
      </c>
      <c r="K495" s="173"/>
      <c r="L495" s="173"/>
      <c r="M495" s="173"/>
      <c r="N495" s="173"/>
      <c r="O495" s="173"/>
      <c r="P495" s="173"/>
      <c r="Q495" s="173"/>
      <c r="R495" s="173"/>
      <c r="S495" s="173"/>
      <c r="T495" s="174">
        <v>46305</v>
      </c>
      <c r="U495" s="151"/>
      <c r="V495" s="152"/>
      <c r="W495" s="175"/>
      <c r="X495" s="173"/>
      <c r="Y495" s="173"/>
      <c r="Z495" s="176" t="str">
        <f>IF(B495="","",IF(S495&lt;&gt;"","Sevk Edildi",IF(AND(X495&lt;&gt;"",Y495=""),"Reworkte",IF(T495&lt;&gt;"","Kapandı"&amp;IF(COUNT(G495:R495)=0,""," – "&amp;LOOKUP(2,1/(G495:R495=MAX(G495:R495)),{"Tasarım","Ply Cutter","Üretim","Kalite (Üretim sonrası)","Talaşlı","Kalite (Talaşlı sonrası)","Montaj","Kalite (Montaj sonrası)","Boya","Kalite (Boya sonrası)","Yarı Mamül","KM"})),IF(COUNT(G495:R495)=0,"Başlamadı",LOOKUP(2,1/(G495:R495=MAX(G495:R495)),{"Tasarımda","Ply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495" s="177">
        <f t="shared" ca="1" si="121"/>
        <v>0</v>
      </c>
      <c r="AB495" s="175"/>
      <c r="AD495" t="str">
        <f>IF(OR($B495="",NOT(ISNUMBER(G495))),"",IF(COUNTIF(H495:$T495,G495)&gt;0,0,IF(COUNTIF($G495:$T495,"&gt;"&amp;G495)=0,"",SMALL($G495:$T495,COUNTIF($G495:$T495,"&lt;="&amp;G495)+1)-G495)))</f>
        <v/>
      </c>
      <c r="AE495" t="str">
        <f>IF(OR($B495="",NOT(ISNUMBER(H495))),"",IF(COUNTIF(I495:$T495,H495)&gt;0,0,IF(COUNTIF($G495:$T495,"&gt;"&amp;H495)=0,"",SMALL($G495:$T495,COUNTIF($G495:$T495,"&lt;="&amp;H495)+1)-H495)))</f>
        <v/>
      </c>
      <c r="AF495">
        <f>IF(OR($B495="",NOT(ISNUMBER(I495))),"",IF(COUNTIF(J495:$T495,I495)&gt;0,0,IF(COUNTIF($G495:$T495,"&gt;"&amp;I495)=0,"",SMALL($G495:$T495,COUNTIF($G495:$T495,"&lt;="&amp;I495)+1)-I495)))</f>
        <v>0</v>
      </c>
      <c r="AG495">
        <f>IF(OR($B495="",NOT(ISNUMBER(J495))),"",IF(COUNTIF(K495:$T495,J495)&gt;0,0,IF(COUNTIF($G495:$T495,"&gt;"&amp;J495)=0,"",SMALL($G495:$T495,COUNTIF($G495:$T495,"&lt;="&amp;J495)+1)-J495)))</f>
        <v>0</v>
      </c>
      <c r="AH495" t="str">
        <f>IF(OR($B495="",NOT(ISNUMBER(K495))),"",IF(COUNTIF(L495:$T495,K495)&gt;0,0,IF(COUNTIF($G495:$T495,"&gt;"&amp;K495)=0,"",SMALL($G495:$T495,COUNTIF($G495:$T495,"&lt;="&amp;K495)+1)-K495)))</f>
        <v/>
      </c>
      <c r="AI495" t="str">
        <f>IF(OR($B495="",NOT(ISNUMBER(L495))),"",IF(COUNTIF(M495:$T495,L495)&gt;0,0,IF(COUNTIF($G495:$T495,"&gt;"&amp;L495)=0,"",SMALL($G495:$T495,COUNTIF($G495:$T495,"&lt;="&amp;L495)+1)-L495)))</f>
        <v/>
      </c>
      <c r="AJ495" t="str">
        <f>IF(OR($B495="",NOT(ISNUMBER(M495))),"",IF(COUNTIF(N495:$T495,M495)&gt;0,0,IF(COUNTIF($G495:$T495,"&gt;"&amp;M495)=0,"",SMALL($G495:$T495,COUNTIF($G495:$T495,"&lt;="&amp;M495)+1)-M495)))</f>
        <v/>
      </c>
      <c r="AK495" t="str">
        <f>IF(OR($B495="",NOT(ISNUMBER(N495))),"",IF(COUNTIF(O495:$T495,N495)&gt;0,0,IF(COUNTIF($G495:$T495,"&gt;"&amp;N495)=0,"",SMALL($G495:$T495,COUNTIF($G495:$T495,"&lt;="&amp;N495)+1)-N495)))</f>
        <v/>
      </c>
      <c r="AL495" t="str">
        <f>IF(OR($B495="",NOT(ISNUMBER(O495))),"",IF(COUNTIF(P495:$T495,O495)&gt;0,0,IF(COUNTIF($G495:$T495,"&gt;"&amp;O495)=0,"",SMALL($G495:$T495,COUNTIF($G495:$T495,"&lt;="&amp;O495)+1)-O495)))</f>
        <v/>
      </c>
      <c r="AM495" t="str">
        <f>IF(OR($B495="",NOT(ISNUMBER(P495))),"",IF(COUNTIF(Q495:$T495,P495)&gt;0,0,IF(COUNTIF($G495:$T495,"&gt;"&amp;P495)=0,"",SMALL($G495:$T495,COUNTIF($G495:$T495,"&lt;="&amp;P495)+1)-P495)))</f>
        <v/>
      </c>
      <c r="AN495" t="str">
        <f>IF(OR($B495="",NOT(ISNUMBER(Q495))),"",IF(COUNTIF(R495:$T495,Q495)&gt;0,0,IF(COUNTIF($G495:$T495,"&gt;"&amp;Q495)=0,"",SMALL($G495:$T495,COUNTIF($G495:$T495,"&lt;="&amp;Q495)+1)-Q495)))</f>
        <v/>
      </c>
      <c r="AO495" t="str">
        <f>IF(OR($B495="",NOT(ISNUMBER(R495))),"",IF(COUNTIF(S495:$T495,R495)&gt;0,0,IF(COUNTIF($G495:$T495,"&gt;"&amp;R495)=0,"",SMALL($G495:$T495,COUNTIF($G495:$T495,"&lt;="&amp;R495)+1)-R495)))</f>
        <v/>
      </c>
      <c r="AP495">
        <f t="shared" ca="1" si="122"/>
        <v>0</v>
      </c>
      <c r="AQ495" s="25" t="str">
        <f t="shared" si="123"/>
        <v/>
      </c>
      <c r="AR495" s="25" t="str">
        <f t="shared" si="124"/>
        <v/>
      </c>
      <c r="AS495" s="25">
        <f t="shared" si="125"/>
        <v>46305</v>
      </c>
      <c r="AT495" s="25">
        <f t="shared" si="126"/>
        <v>46305</v>
      </c>
      <c r="AU495" s="25" t="str">
        <f t="shared" si="127"/>
        <v/>
      </c>
      <c r="AV495" s="25" t="str">
        <f t="shared" si="128"/>
        <v/>
      </c>
      <c r="AW495" s="25" t="str">
        <f t="shared" si="129"/>
        <v/>
      </c>
      <c r="AX495" s="25" t="str">
        <f t="shared" si="130"/>
        <v/>
      </c>
      <c r="AY495" s="25" t="str">
        <f t="shared" si="131"/>
        <v/>
      </c>
      <c r="AZ495" s="25" t="str">
        <f t="shared" si="132"/>
        <v/>
      </c>
      <c r="BA495" s="25" t="str">
        <f t="shared" si="133"/>
        <v/>
      </c>
      <c r="BB495" s="25" t="str">
        <f t="shared" si="134"/>
        <v/>
      </c>
      <c r="BC495" s="25">
        <f t="shared" si="135"/>
        <v>46305</v>
      </c>
    </row>
    <row r="496" spans="1:55" x14ac:dyDescent="0.25">
      <c r="A496" s="151">
        <f t="shared" si="120"/>
        <v>494</v>
      </c>
      <c r="B496" s="189" t="s">
        <v>947</v>
      </c>
      <c r="C496" s="154" t="s">
        <v>470</v>
      </c>
      <c r="D496" s="151">
        <f t="shared" si="119"/>
        <v>1</v>
      </c>
      <c r="E496" s="185" t="s">
        <v>61</v>
      </c>
      <c r="F496" s="173">
        <v>46305</v>
      </c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51"/>
      <c r="U496" s="151"/>
      <c r="V496" s="152"/>
      <c r="W496" s="175"/>
      <c r="X496" s="173"/>
      <c r="Y496" s="173"/>
      <c r="Z496" s="176" t="str">
        <f>IF(B496="","",IF(S496&lt;&gt;"","Sevk Edildi",IF(AND(X496&lt;&gt;"",Y496=""),"Reworkte",IF(T496&lt;&gt;"","Kapandı"&amp;IF(COUNT(G496:R496)=0,""," – "&amp;LOOKUP(2,1/(G496:R496=MAX(G496:R496)),{"Tasarım","Ply Cutter","Üretim","Kalite (Üretim sonrası)","Talaşlı","Kalite (Talaşlı sonrası)","Montaj","Kalite (Montaj sonrası)","Boya","Kalite (Boya sonrası)","Yarı Mamül","KM"})),IF(COUNT(G496:R496)=0,"Başlamadı",LOOKUP(2,1/(G496:R496=MAX(G496:R496)),{"Tasarımda","Ply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496" s="177">
        <f t="shared" ca="1" si="121"/>
        <v>2</v>
      </c>
      <c r="AB496" s="175"/>
      <c r="AD496" t="str">
        <f>IF(OR($B496="",NOT(ISNUMBER(G496))),"",IF(COUNTIF(H496:$T496,G496)&gt;0,0,IF(COUNTIF($G496:$T496,"&gt;"&amp;G496)=0,"",SMALL($G496:$T496,COUNTIF($G496:$T496,"&lt;="&amp;G496)+1)-G496)))</f>
        <v/>
      </c>
      <c r="AE496" t="str">
        <f>IF(OR($B496="",NOT(ISNUMBER(H496))),"",IF(COUNTIF(I496:$T496,H496)&gt;0,0,IF(COUNTIF($G496:$T496,"&gt;"&amp;H496)=0,"",SMALL($G496:$T496,COUNTIF($G496:$T496,"&lt;="&amp;H496)+1)-H496)))</f>
        <v/>
      </c>
      <c r="AF496" t="str">
        <f>IF(OR($B496="",NOT(ISNUMBER(I496))),"",IF(COUNTIF(J496:$T496,I496)&gt;0,0,IF(COUNTIF($G496:$T496,"&gt;"&amp;I496)=0,"",SMALL($G496:$T496,COUNTIF($G496:$T496,"&lt;="&amp;I496)+1)-I496)))</f>
        <v/>
      </c>
      <c r="AG496" t="str">
        <f>IF(OR($B496="",NOT(ISNUMBER(J496))),"",IF(COUNTIF(K496:$T496,J496)&gt;0,0,IF(COUNTIF($G496:$T496,"&gt;"&amp;J496)=0,"",SMALL($G496:$T496,COUNTIF($G496:$T496,"&lt;="&amp;J496)+1)-J496)))</f>
        <v/>
      </c>
      <c r="AH496" t="str">
        <f>IF(OR($B496="",NOT(ISNUMBER(K496))),"",IF(COUNTIF(L496:$T496,K496)&gt;0,0,IF(COUNTIF($G496:$T496,"&gt;"&amp;K496)=0,"",SMALL($G496:$T496,COUNTIF($G496:$T496,"&lt;="&amp;K496)+1)-K496)))</f>
        <v/>
      </c>
      <c r="AI496" t="str">
        <f>IF(OR($B496="",NOT(ISNUMBER(L496))),"",IF(COUNTIF(M496:$T496,L496)&gt;0,0,IF(COUNTIF($G496:$T496,"&gt;"&amp;L496)=0,"",SMALL($G496:$T496,COUNTIF($G496:$T496,"&lt;="&amp;L496)+1)-L496)))</f>
        <v/>
      </c>
      <c r="AJ496" t="str">
        <f>IF(OR($B496="",NOT(ISNUMBER(M496))),"",IF(COUNTIF(N496:$T496,M496)&gt;0,0,IF(COUNTIF($G496:$T496,"&gt;"&amp;M496)=0,"",SMALL($G496:$T496,COUNTIF($G496:$T496,"&lt;="&amp;M496)+1)-M496)))</f>
        <v/>
      </c>
      <c r="AK496" t="str">
        <f>IF(OR($B496="",NOT(ISNUMBER(N496))),"",IF(COUNTIF(O496:$T496,N496)&gt;0,0,IF(COUNTIF($G496:$T496,"&gt;"&amp;N496)=0,"",SMALL($G496:$T496,COUNTIF($G496:$T496,"&lt;="&amp;N496)+1)-N496)))</f>
        <v/>
      </c>
      <c r="AL496" t="str">
        <f>IF(OR($B496="",NOT(ISNUMBER(O496))),"",IF(COUNTIF(P496:$T496,O496)&gt;0,0,IF(COUNTIF($G496:$T496,"&gt;"&amp;O496)=0,"",SMALL($G496:$T496,COUNTIF($G496:$T496,"&lt;="&amp;O496)+1)-O496)))</f>
        <v/>
      </c>
      <c r="AM496" t="str">
        <f>IF(OR($B496="",NOT(ISNUMBER(P496))),"",IF(COUNTIF(Q496:$T496,P496)&gt;0,0,IF(COUNTIF($G496:$T496,"&gt;"&amp;P496)=0,"",SMALL($G496:$T496,COUNTIF($G496:$T496,"&lt;="&amp;P496)+1)-P496)))</f>
        <v/>
      </c>
      <c r="AN496" t="str">
        <f>IF(OR($B496="",NOT(ISNUMBER(Q496))),"",IF(COUNTIF(R496:$T496,Q496)&gt;0,0,IF(COUNTIF($G496:$T496,"&gt;"&amp;Q496)=0,"",SMALL($G496:$T496,COUNTIF($G496:$T496,"&lt;="&amp;Q496)+1)-Q496)))</f>
        <v/>
      </c>
      <c r="AO496" t="str">
        <f>IF(OR($B496="",NOT(ISNUMBER(R496))),"",IF(COUNTIF(S496:$T496,R496)&gt;0,0,IF(COUNTIF($G496:$T496,"&gt;"&amp;R496)=0,"",SMALL($G496:$T496,COUNTIF($G496:$T496,"&lt;="&amp;R496)+1)-R496)))</f>
        <v/>
      </c>
      <c r="AP496">
        <f t="shared" ca="1" si="122"/>
        <v>0</v>
      </c>
      <c r="AQ496" s="25" t="str">
        <f t="shared" si="123"/>
        <v/>
      </c>
      <c r="AR496" s="25" t="str">
        <f t="shared" si="124"/>
        <v/>
      </c>
      <c r="AS496" s="25" t="str">
        <f t="shared" si="125"/>
        <v/>
      </c>
      <c r="AT496" s="25" t="str">
        <f t="shared" si="126"/>
        <v/>
      </c>
      <c r="AU496" s="25" t="str">
        <f t="shared" si="127"/>
        <v/>
      </c>
      <c r="AV496" s="25" t="str">
        <f t="shared" si="128"/>
        <v/>
      </c>
      <c r="AW496" s="25" t="str">
        <f t="shared" si="129"/>
        <v/>
      </c>
      <c r="AX496" s="25" t="str">
        <f t="shared" si="130"/>
        <v/>
      </c>
      <c r="AY496" s="25" t="str">
        <f t="shared" si="131"/>
        <v/>
      </c>
      <c r="AZ496" s="25" t="str">
        <f t="shared" si="132"/>
        <v/>
      </c>
      <c r="BA496" s="25" t="str">
        <f t="shared" si="133"/>
        <v/>
      </c>
      <c r="BB496" s="25" t="str">
        <f t="shared" si="134"/>
        <v/>
      </c>
      <c r="BC496" s="25" t="str">
        <f t="shared" si="135"/>
        <v/>
      </c>
    </row>
    <row r="497" spans="1:55" x14ac:dyDescent="0.25">
      <c r="A497" s="151">
        <f t="shared" si="120"/>
        <v>495</v>
      </c>
      <c r="B497" s="189" t="s">
        <v>948</v>
      </c>
      <c r="C497" s="154" t="s">
        <v>423</v>
      </c>
      <c r="D497" s="151">
        <f t="shared" si="119"/>
        <v>1</v>
      </c>
      <c r="E497" s="185" t="s">
        <v>61</v>
      </c>
      <c r="F497" s="173">
        <v>46305</v>
      </c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51"/>
      <c r="U497" s="151"/>
      <c r="V497" s="152"/>
      <c r="W497" s="175"/>
      <c r="X497" s="173"/>
      <c r="Y497" s="173"/>
      <c r="Z497" s="176" t="str">
        <f>IF(B497="","",IF(S497&lt;&gt;"","Sevk Edildi",IF(AND(X497&lt;&gt;"",Y497=""),"Reworkte",IF(T497&lt;&gt;"","Kapandı"&amp;IF(COUNT(G497:R497)=0,""," – "&amp;LOOKUP(2,1/(G497:R497=MAX(G497:R497)),{"Tasarım","Ply Cutter","Üretim","Kalite (Üretim sonrası)","Talaşlı","Kalite (Talaşlı sonrası)","Montaj","Kalite (Montaj sonrası)","Boya","Kalite (Boya sonrası)","Yarı Mamül","KM"})),IF(COUNT(G497:R497)=0,"Başlamadı",LOOKUP(2,1/(G497:R497=MAX(G497:R497)),{"Tasarımda","Ply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497" s="177">
        <f t="shared" ca="1" si="121"/>
        <v>2</v>
      </c>
      <c r="AB497" s="175"/>
      <c r="AD497" t="str">
        <f>IF(OR($B497="",NOT(ISNUMBER(G497))),"",IF(COUNTIF(H497:$T497,G497)&gt;0,0,IF(COUNTIF($G497:$T497,"&gt;"&amp;G497)=0,"",SMALL($G497:$T497,COUNTIF($G497:$T497,"&lt;="&amp;G497)+1)-G497)))</f>
        <v/>
      </c>
      <c r="AE497" t="str">
        <f>IF(OR($B497="",NOT(ISNUMBER(H497))),"",IF(COUNTIF(I497:$T497,H497)&gt;0,0,IF(COUNTIF($G497:$T497,"&gt;"&amp;H497)=0,"",SMALL($G497:$T497,COUNTIF($G497:$T497,"&lt;="&amp;H497)+1)-H497)))</f>
        <v/>
      </c>
      <c r="AF497" t="str">
        <f>IF(OR($B497="",NOT(ISNUMBER(I497))),"",IF(COUNTIF(J497:$T497,I497)&gt;0,0,IF(COUNTIF($G497:$T497,"&gt;"&amp;I497)=0,"",SMALL($G497:$T497,COUNTIF($G497:$T497,"&lt;="&amp;I497)+1)-I497)))</f>
        <v/>
      </c>
      <c r="AG497" t="str">
        <f>IF(OR($B497="",NOT(ISNUMBER(J497))),"",IF(COUNTIF(K497:$T497,J497)&gt;0,0,IF(COUNTIF($G497:$T497,"&gt;"&amp;J497)=0,"",SMALL($G497:$T497,COUNTIF($G497:$T497,"&lt;="&amp;J497)+1)-J497)))</f>
        <v/>
      </c>
      <c r="AH497" t="str">
        <f>IF(OR($B497="",NOT(ISNUMBER(K497))),"",IF(COUNTIF(L497:$T497,K497)&gt;0,0,IF(COUNTIF($G497:$T497,"&gt;"&amp;K497)=0,"",SMALL($G497:$T497,COUNTIF($G497:$T497,"&lt;="&amp;K497)+1)-K497)))</f>
        <v/>
      </c>
      <c r="AI497" t="str">
        <f>IF(OR($B497="",NOT(ISNUMBER(L497))),"",IF(COUNTIF(M497:$T497,L497)&gt;0,0,IF(COUNTIF($G497:$T497,"&gt;"&amp;L497)=0,"",SMALL($G497:$T497,COUNTIF($G497:$T497,"&lt;="&amp;L497)+1)-L497)))</f>
        <v/>
      </c>
      <c r="AJ497" t="str">
        <f>IF(OR($B497="",NOT(ISNUMBER(M497))),"",IF(COUNTIF(N497:$T497,M497)&gt;0,0,IF(COUNTIF($G497:$T497,"&gt;"&amp;M497)=0,"",SMALL($G497:$T497,COUNTIF($G497:$T497,"&lt;="&amp;M497)+1)-M497)))</f>
        <v/>
      </c>
      <c r="AK497" t="str">
        <f>IF(OR($B497="",NOT(ISNUMBER(N497))),"",IF(COUNTIF(O497:$T497,N497)&gt;0,0,IF(COUNTIF($G497:$T497,"&gt;"&amp;N497)=0,"",SMALL($G497:$T497,COUNTIF($G497:$T497,"&lt;="&amp;N497)+1)-N497)))</f>
        <v/>
      </c>
      <c r="AL497" t="str">
        <f>IF(OR($B497="",NOT(ISNUMBER(O497))),"",IF(COUNTIF(P497:$T497,O497)&gt;0,0,IF(COUNTIF($G497:$T497,"&gt;"&amp;O497)=0,"",SMALL($G497:$T497,COUNTIF($G497:$T497,"&lt;="&amp;O497)+1)-O497)))</f>
        <v/>
      </c>
      <c r="AM497" t="str">
        <f>IF(OR($B497="",NOT(ISNUMBER(P497))),"",IF(COUNTIF(Q497:$T497,P497)&gt;0,0,IF(COUNTIF($G497:$T497,"&gt;"&amp;P497)=0,"",SMALL($G497:$T497,COUNTIF($G497:$T497,"&lt;="&amp;P497)+1)-P497)))</f>
        <v/>
      </c>
      <c r="AN497" t="str">
        <f>IF(OR($B497="",NOT(ISNUMBER(Q497))),"",IF(COUNTIF(R497:$T497,Q497)&gt;0,0,IF(COUNTIF($G497:$T497,"&gt;"&amp;Q497)=0,"",SMALL($G497:$T497,COUNTIF($G497:$T497,"&lt;="&amp;Q497)+1)-Q497)))</f>
        <v/>
      </c>
      <c r="AO497" t="str">
        <f>IF(OR($B497="",NOT(ISNUMBER(R497))),"",IF(COUNTIF(S497:$T497,R497)&gt;0,0,IF(COUNTIF($G497:$T497,"&gt;"&amp;R497)=0,"",SMALL($G497:$T497,COUNTIF($G497:$T497,"&lt;="&amp;R497)+1)-R497)))</f>
        <v/>
      </c>
      <c r="AP497">
        <f t="shared" ca="1" si="122"/>
        <v>0</v>
      </c>
      <c r="AQ497" s="25" t="str">
        <f t="shared" si="123"/>
        <v/>
      </c>
      <c r="AR497" s="25" t="str">
        <f t="shared" si="124"/>
        <v/>
      </c>
      <c r="AS497" s="25" t="str">
        <f t="shared" si="125"/>
        <v/>
      </c>
      <c r="AT497" s="25" t="str">
        <f t="shared" si="126"/>
        <v/>
      </c>
      <c r="AU497" s="25" t="str">
        <f t="shared" si="127"/>
        <v/>
      </c>
      <c r="AV497" s="25" t="str">
        <f t="shared" si="128"/>
        <v/>
      </c>
      <c r="AW497" s="25" t="str">
        <f t="shared" si="129"/>
        <v/>
      </c>
      <c r="AX497" s="25" t="str">
        <f t="shared" si="130"/>
        <v/>
      </c>
      <c r="AY497" s="25" t="str">
        <f t="shared" si="131"/>
        <v/>
      </c>
      <c r="AZ497" s="25" t="str">
        <f t="shared" si="132"/>
        <v/>
      </c>
      <c r="BA497" s="25" t="str">
        <f t="shared" si="133"/>
        <v/>
      </c>
      <c r="BB497" s="25" t="str">
        <f t="shared" si="134"/>
        <v/>
      </c>
      <c r="BC497" s="25" t="str">
        <f t="shared" si="135"/>
        <v/>
      </c>
    </row>
    <row r="498" spans="1:55" x14ac:dyDescent="0.25">
      <c r="A498" s="151">
        <f t="shared" si="120"/>
        <v>496</v>
      </c>
      <c r="B498" s="189" t="s">
        <v>949</v>
      </c>
      <c r="C498" s="154" t="s">
        <v>186</v>
      </c>
      <c r="D498" s="151">
        <f t="shared" si="119"/>
        <v>1</v>
      </c>
      <c r="E498" s="185" t="s">
        <v>61</v>
      </c>
      <c r="F498" s="173">
        <v>46305</v>
      </c>
      <c r="G498" s="173"/>
      <c r="H498" s="173"/>
      <c r="I498" s="173">
        <v>46305</v>
      </c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51"/>
      <c r="U498" s="151"/>
      <c r="V498" s="152"/>
      <c r="W498" s="175"/>
      <c r="X498" s="173"/>
      <c r="Y498" s="173"/>
      <c r="Z498" s="176" t="str">
        <f>IF(B498="","",IF(S498&lt;&gt;"","Sevk Edildi",IF(AND(X498&lt;&gt;"",Y498=""),"Reworkte",IF(T498&lt;&gt;"","Kapandı"&amp;IF(COUNT(G498:R498)=0,""," – "&amp;LOOKUP(2,1/(G498:R498=MAX(G498:R498)),{"Tasarım","Ply Cutter","Üretim","Kalite (Üretim sonrası)","Talaşlı","Kalite (Talaşlı sonrası)","Montaj","Kalite (Montaj sonrası)","Boya","Kalite (Boya sonrası)","Yarı Mamül","KM"})),IF(COUNT(G498:R498)=0,"Başlamadı",LOOKUP(2,1/(G498:R498=MAX(G498:R498)),{"Tasarımda","Ply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98" s="177">
        <f t="shared" ca="1" si="121"/>
        <v>2</v>
      </c>
      <c r="AB498" s="175"/>
      <c r="AD498" t="str">
        <f>IF(OR($B498="",NOT(ISNUMBER(G498))),"",IF(COUNTIF(H498:$T498,G498)&gt;0,0,IF(COUNTIF($G498:$T498,"&gt;"&amp;G498)=0,"",SMALL($G498:$T498,COUNTIF($G498:$T498,"&lt;="&amp;G498)+1)-G498)))</f>
        <v/>
      </c>
      <c r="AE498" t="str">
        <f>IF(OR($B498="",NOT(ISNUMBER(H498))),"",IF(COUNTIF(I498:$T498,H498)&gt;0,0,IF(COUNTIF($G498:$T498,"&gt;"&amp;H498)=0,"",SMALL($G498:$T498,COUNTIF($G498:$T498,"&lt;="&amp;H498)+1)-H498)))</f>
        <v/>
      </c>
      <c r="AF498" t="str">
        <f>IF(OR($B498="",NOT(ISNUMBER(I498))),"",IF(COUNTIF(J498:$T498,I498)&gt;0,0,IF(COUNTIF($G498:$T498,"&gt;"&amp;I498)=0,"",SMALL($G498:$T498,COUNTIF($G498:$T498,"&lt;="&amp;I498)+1)-I498)))</f>
        <v/>
      </c>
      <c r="AG498" t="str">
        <f>IF(OR($B498="",NOT(ISNUMBER(J498))),"",IF(COUNTIF(K498:$T498,J498)&gt;0,0,IF(COUNTIF($G498:$T498,"&gt;"&amp;J498)=0,"",SMALL($G498:$T498,COUNTIF($G498:$T498,"&lt;="&amp;J498)+1)-J498)))</f>
        <v/>
      </c>
      <c r="AH498" t="str">
        <f>IF(OR($B498="",NOT(ISNUMBER(K498))),"",IF(COUNTIF(L498:$T498,K498)&gt;0,0,IF(COUNTIF($G498:$T498,"&gt;"&amp;K498)=0,"",SMALL($G498:$T498,COUNTIF($G498:$T498,"&lt;="&amp;K498)+1)-K498)))</f>
        <v/>
      </c>
      <c r="AI498" t="str">
        <f>IF(OR($B498="",NOT(ISNUMBER(L498))),"",IF(COUNTIF(M498:$T498,L498)&gt;0,0,IF(COUNTIF($G498:$T498,"&gt;"&amp;L498)=0,"",SMALL($G498:$T498,COUNTIF($G498:$T498,"&lt;="&amp;L498)+1)-L498)))</f>
        <v/>
      </c>
      <c r="AJ498" t="str">
        <f>IF(OR($B498="",NOT(ISNUMBER(M498))),"",IF(COUNTIF(N498:$T498,M498)&gt;0,0,IF(COUNTIF($G498:$T498,"&gt;"&amp;M498)=0,"",SMALL($G498:$T498,COUNTIF($G498:$T498,"&lt;="&amp;M498)+1)-M498)))</f>
        <v/>
      </c>
      <c r="AK498" t="str">
        <f>IF(OR($B498="",NOT(ISNUMBER(N498))),"",IF(COUNTIF(O498:$T498,N498)&gt;0,0,IF(COUNTIF($G498:$T498,"&gt;"&amp;N498)=0,"",SMALL($G498:$T498,COUNTIF($G498:$T498,"&lt;="&amp;N498)+1)-N498)))</f>
        <v/>
      </c>
      <c r="AL498" t="str">
        <f>IF(OR($B498="",NOT(ISNUMBER(O498))),"",IF(COUNTIF(P498:$T498,O498)&gt;0,0,IF(COUNTIF($G498:$T498,"&gt;"&amp;O498)=0,"",SMALL($G498:$T498,COUNTIF($G498:$T498,"&lt;="&amp;O498)+1)-O498)))</f>
        <v/>
      </c>
      <c r="AM498" t="str">
        <f>IF(OR($B498="",NOT(ISNUMBER(P498))),"",IF(COUNTIF(Q498:$T498,P498)&gt;0,0,IF(COUNTIF($G498:$T498,"&gt;"&amp;P498)=0,"",SMALL($G498:$T498,COUNTIF($G498:$T498,"&lt;="&amp;P498)+1)-P498)))</f>
        <v/>
      </c>
      <c r="AN498" t="str">
        <f>IF(OR($B498="",NOT(ISNUMBER(Q498))),"",IF(COUNTIF(R498:$T498,Q498)&gt;0,0,IF(COUNTIF($G498:$T498,"&gt;"&amp;Q498)=0,"",SMALL($G498:$T498,COUNTIF($G498:$T498,"&lt;="&amp;Q498)+1)-Q498)))</f>
        <v/>
      </c>
      <c r="AO498" t="str">
        <f>IF(OR($B498="",NOT(ISNUMBER(R498))),"",IF(COUNTIF(S498:$T498,R498)&gt;0,0,IF(COUNTIF($G498:$T498,"&gt;"&amp;R498)=0,"",SMALL($G498:$T498,COUNTIF($G498:$T498,"&lt;="&amp;R498)+1)-R498)))</f>
        <v/>
      </c>
      <c r="AP498">
        <f t="shared" ca="1" si="122"/>
        <v>2</v>
      </c>
      <c r="AQ498" s="25" t="str">
        <f t="shared" si="123"/>
        <v/>
      </c>
      <c r="AR498" s="25" t="str">
        <f t="shared" si="124"/>
        <v/>
      </c>
      <c r="AS498" s="25" t="str">
        <f t="shared" si="125"/>
        <v/>
      </c>
      <c r="AT498" s="25" t="str">
        <f t="shared" si="126"/>
        <v/>
      </c>
      <c r="AU498" s="25" t="str">
        <f t="shared" si="127"/>
        <v/>
      </c>
      <c r="AV498" s="25" t="str">
        <f t="shared" si="128"/>
        <v/>
      </c>
      <c r="AW498" s="25" t="str">
        <f t="shared" si="129"/>
        <v/>
      </c>
      <c r="AX498" s="25" t="str">
        <f t="shared" si="130"/>
        <v/>
      </c>
      <c r="AY498" s="25" t="str">
        <f t="shared" si="131"/>
        <v/>
      </c>
      <c r="AZ498" s="25" t="str">
        <f t="shared" si="132"/>
        <v/>
      </c>
      <c r="BA498" s="25" t="str">
        <f t="shared" si="133"/>
        <v/>
      </c>
      <c r="BB498" s="25" t="str">
        <f t="shared" si="134"/>
        <v/>
      </c>
      <c r="BC498" s="25" t="str">
        <f t="shared" si="135"/>
        <v/>
      </c>
    </row>
    <row r="499" spans="1:55" x14ac:dyDescent="0.25">
      <c r="A499" s="151">
        <f t="shared" si="120"/>
        <v>497</v>
      </c>
      <c r="B499" s="189" t="s">
        <v>950</v>
      </c>
      <c r="C499" s="154" t="s">
        <v>121</v>
      </c>
      <c r="D499" s="151">
        <f t="shared" si="119"/>
        <v>1</v>
      </c>
      <c r="E499" s="185" t="s">
        <v>61</v>
      </c>
      <c r="F499" s="173">
        <v>46305</v>
      </c>
      <c r="G499" s="173"/>
      <c r="H499" s="173"/>
      <c r="I499" s="173">
        <v>46305</v>
      </c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51"/>
      <c r="U499" s="151"/>
      <c r="V499" s="152"/>
      <c r="W499" s="175"/>
      <c r="X499" s="173"/>
      <c r="Y499" s="173"/>
      <c r="Z499" s="176" t="str">
        <f>IF(B499="","",IF(S499&lt;&gt;"","Sevk Edildi",IF(AND(X499&lt;&gt;"",Y499=""),"Reworkte",IF(T499&lt;&gt;"","Kapandı"&amp;IF(COUNT(G499:R499)=0,""," – "&amp;LOOKUP(2,1/(G499:R499=MAX(G499:R499)),{"Tasarım","Ply Cutter","Üretim","Kalite (Üretim sonrası)","Talaşlı","Kalite (Talaşlı sonrası)","Montaj","Kalite (Montaj sonrası)","Boya","Kalite (Boya sonrası)","Yarı Mamül","KM"})),IF(COUNT(G499:R499)=0,"Başlamadı",LOOKUP(2,1/(G499:R499=MAX(G499:R499)),{"Tasarımda","Ply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499" s="177">
        <f t="shared" ca="1" si="121"/>
        <v>2</v>
      </c>
      <c r="AB499" s="175"/>
      <c r="AD499" t="str">
        <f>IF(OR($B499="",NOT(ISNUMBER(G499))),"",IF(COUNTIF(H499:$T499,G499)&gt;0,0,IF(COUNTIF($G499:$T499,"&gt;"&amp;G499)=0,"",SMALL($G499:$T499,COUNTIF($G499:$T499,"&lt;="&amp;G499)+1)-G499)))</f>
        <v/>
      </c>
      <c r="AE499" t="str">
        <f>IF(OR($B499="",NOT(ISNUMBER(H499))),"",IF(COUNTIF(I499:$T499,H499)&gt;0,0,IF(COUNTIF($G499:$T499,"&gt;"&amp;H499)=0,"",SMALL($G499:$T499,COUNTIF($G499:$T499,"&lt;="&amp;H499)+1)-H499)))</f>
        <v/>
      </c>
      <c r="AF499" t="str">
        <f>IF(OR($B499="",NOT(ISNUMBER(I499))),"",IF(COUNTIF(J499:$T499,I499)&gt;0,0,IF(COUNTIF($G499:$T499,"&gt;"&amp;I499)=0,"",SMALL($G499:$T499,COUNTIF($G499:$T499,"&lt;="&amp;I499)+1)-I499)))</f>
        <v/>
      </c>
      <c r="AG499" t="str">
        <f>IF(OR($B499="",NOT(ISNUMBER(J499))),"",IF(COUNTIF(K499:$T499,J499)&gt;0,0,IF(COUNTIF($G499:$T499,"&gt;"&amp;J499)=0,"",SMALL($G499:$T499,COUNTIF($G499:$T499,"&lt;="&amp;J499)+1)-J499)))</f>
        <v/>
      </c>
      <c r="AH499" t="str">
        <f>IF(OR($B499="",NOT(ISNUMBER(K499))),"",IF(COUNTIF(L499:$T499,K499)&gt;0,0,IF(COUNTIF($G499:$T499,"&gt;"&amp;K499)=0,"",SMALL($G499:$T499,COUNTIF($G499:$T499,"&lt;="&amp;K499)+1)-K499)))</f>
        <v/>
      </c>
      <c r="AI499" t="str">
        <f>IF(OR($B499="",NOT(ISNUMBER(L499))),"",IF(COUNTIF(M499:$T499,L499)&gt;0,0,IF(COUNTIF($G499:$T499,"&gt;"&amp;L499)=0,"",SMALL($G499:$T499,COUNTIF($G499:$T499,"&lt;="&amp;L499)+1)-L499)))</f>
        <v/>
      </c>
      <c r="AJ499" t="str">
        <f>IF(OR($B499="",NOT(ISNUMBER(M499))),"",IF(COUNTIF(N499:$T499,M499)&gt;0,0,IF(COUNTIF($G499:$T499,"&gt;"&amp;M499)=0,"",SMALL($G499:$T499,COUNTIF($G499:$T499,"&lt;="&amp;M499)+1)-M499)))</f>
        <v/>
      </c>
      <c r="AK499" t="str">
        <f>IF(OR($B499="",NOT(ISNUMBER(N499))),"",IF(COUNTIF(O499:$T499,N499)&gt;0,0,IF(COUNTIF($G499:$T499,"&gt;"&amp;N499)=0,"",SMALL($G499:$T499,COUNTIF($G499:$T499,"&lt;="&amp;N499)+1)-N499)))</f>
        <v/>
      </c>
      <c r="AL499" t="str">
        <f>IF(OR($B499="",NOT(ISNUMBER(O499))),"",IF(COUNTIF(P499:$T499,O499)&gt;0,0,IF(COUNTIF($G499:$T499,"&gt;"&amp;O499)=0,"",SMALL($G499:$T499,COUNTIF($G499:$T499,"&lt;="&amp;O499)+1)-O499)))</f>
        <v/>
      </c>
      <c r="AM499" t="str">
        <f>IF(OR($B499="",NOT(ISNUMBER(P499))),"",IF(COUNTIF(Q499:$T499,P499)&gt;0,0,IF(COUNTIF($G499:$T499,"&gt;"&amp;P499)=0,"",SMALL($G499:$T499,COUNTIF($G499:$T499,"&lt;="&amp;P499)+1)-P499)))</f>
        <v/>
      </c>
      <c r="AN499" t="str">
        <f>IF(OR($B499="",NOT(ISNUMBER(Q499))),"",IF(COUNTIF(R499:$T499,Q499)&gt;0,0,IF(COUNTIF($G499:$T499,"&gt;"&amp;Q499)=0,"",SMALL($G499:$T499,COUNTIF($G499:$T499,"&lt;="&amp;Q499)+1)-Q499)))</f>
        <v/>
      </c>
      <c r="AO499" t="str">
        <f>IF(OR($B499="",NOT(ISNUMBER(R499))),"",IF(COUNTIF(S499:$T499,R499)&gt;0,0,IF(COUNTIF($G499:$T499,"&gt;"&amp;R499)=0,"",SMALL($G499:$T499,COUNTIF($G499:$T499,"&lt;="&amp;R499)+1)-R499)))</f>
        <v/>
      </c>
      <c r="AP499">
        <f t="shared" ca="1" si="122"/>
        <v>2</v>
      </c>
      <c r="AQ499" s="25" t="str">
        <f t="shared" si="123"/>
        <v/>
      </c>
      <c r="AR499" s="25" t="str">
        <f t="shared" si="124"/>
        <v/>
      </c>
      <c r="AS499" s="25" t="str">
        <f t="shared" si="125"/>
        <v/>
      </c>
      <c r="AT499" s="25" t="str">
        <f t="shared" si="126"/>
        <v/>
      </c>
      <c r="AU499" s="25" t="str">
        <f t="shared" si="127"/>
        <v/>
      </c>
      <c r="AV499" s="25" t="str">
        <f t="shared" si="128"/>
        <v/>
      </c>
      <c r="AW499" s="25" t="str">
        <f t="shared" si="129"/>
        <v/>
      </c>
      <c r="AX499" s="25" t="str">
        <f t="shared" si="130"/>
        <v/>
      </c>
      <c r="AY499" s="25" t="str">
        <f t="shared" si="131"/>
        <v/>
      </c>
      <c r="AZ499" s="25" t="str">
        <f t="shared" si="132"/>
        <v/>
      </c>
      <c r="BA499" s="25" t="str">
        <f t="shared" si="133"/>
        <v/>
      </c>
      <c r="BB499" s="25" t="str">
        <f t="shared" si="134"/>
        <v/>
      </c>
      <c r="BC499" s="25" t="str">
        <f t="shared" si="135"/>
        <v/>
      </c>
    </row>
    <row r="500" spans="1:55" x14ac:dyDescent="0.25">
      <c r="A500" s="151">
        <f t="shared" si="120"/>
        <v>498</v>
      </c>
      <c r="B500" s="189" t="s">
        <v>951</v>
      </c>
      <c r="C500" s="154" t="s">
        <v>644</v>
      </c>
      <c r="D500" s="151">
        <f t="shared" si="119"/>
        <v>1</v>
      </c>
      <c r="E500" s="185" t="s">
        <v>61</v>
      </c>
      <c r="F500" s="173">
        <v>46305</v>
      </c>
      <c r="G500" s="173"/>
      <c r="H500" s="173"/>
      <c r="I500" s="173">
        <v>46305</v>
      </c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51"/>
      <c r="U500" s="151"/>
      <c r="V500" s="152"/>
      <c r="W500" s="175"/>
      <c r="X500" s="173"/>
      <c r="Y500" s="173"/>
      <c r="Z500" s="176" t="str">
        <f>IF(B500="","",IF(S500&lt;&gt;"","Sevk Edildi",IF(AND(X500&lt;&gt;"",Y500=""),"Reworkte",IF(T500&lt;&gt;"","Kapandı"&amp;IF(COUNT(G500:R500)=0,""," – "&amp;LOOKUP(2,1/(G500:R500=MAX(G500:R500)),{"Tasarım","Ply Cutter","Üretim","Kalite (Üretim sonrası)","Talaşlı","Kalite (Talaşlı sonrası)","Montaj","Kalite (Montaj sonrası)","Boya","Kalite (Boya sonrası)","Yarı Mamül","KM"})),IF(COUNT(G500:R500)=0,"Başlamadı",LOOKUP(2,1/(G500:R500=MAX(G500:R500)),{"Tasarımda","Ply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500" s="177">
        <f t="shared" ca="1" si="121"/>
        <v>2</v>
      </c>
      <c r="AB500" s="175"/>
      <c r="AD500" t="str">
        <f>IF(OR($B500="",NOT(ISNUMBER(G500))),"",IF(COUNTIF(H500:$T500,G500)&gt;0,0,IF(COUNTIF($G500:$T500,"&gt;"&amp;G500)=0,"",SMALL($G500:$T500,COUNTIF($G500:$T500,"&lt;="&amp;G500)+1)-G500)))</f>
        <v/>
      </c>
      <c r="AE500" t="str">
        <f>IF(OR($B500="",NOT(ISNUMBER(H500))),"",IF(COUNTIF(I500:$T500,H500)&gt;0,0,IF(COUNTIF($G500:$T500,"&gt;"&amp;H500)=0,"",SMALL($G500:$T500,COUNTIF($G500:$T500,"&lt;="&amp;H500)+1)-H500)))</f>
        <v/>
      </c>
      <c r="AF500" t="str">
        <f>IF(OR($B500="",NOT(ISNUMBER(I500))),"",IF(COUNTIF(J500:$T500,I500)&gt;0,0,IF(COUNTIF($G500:$T500,"&gt;"&amp;I500)=0,"",SMALL($G500:$T500,COUNTIF($G500:$T500,"&lt;="&amp;I500)+1)-I500)))</f>
        <v/>
      </c>
      <c r="AG500" t="str">
        <f>IF(OR($B500="",NOT(ISNUMBER(J500))),"",IF(COUNTIF(K500:$T500,J500)&gt;0,0,IF(COUNTIF($G500:$T500,"&gt;"&amp;J500)=0,"",SMALL($G500:$T500,COUNTIF($G500:$T500,"&lt;="&amp;J500)+1)-J500)))</f>
        <v/>
      </c>
      <c r="AH500" t="str">
        <f>IF(OR($B500="",NOT(ISNUMBER(K500))),"",IF(COUNTIF(L500:$T500,K500)&gt;0,0,IF(COUNTIF($G500:$T500,"&gt;"&amp;K500)=0,"",SMALL($G500:$T500,COUNTIF($G500:$T500,"&lt;="&amp;K500)+1)-K500)))</f>
        <v/>
      </c>
      <c r="AI500" t="str">
        <f>IF(OR($B500="",NOT(ISNUMBER(L500))),"",IF(COUNTIF(M500:$T500,L500)&gt;0,0,IF(COUNTIF($G500:$T500,"&gt;"&amp;L500)=0,"",SMALL($G500:$T500,COUNTIF($G500:$T500,"&lt;="&amp;L500)+1)-L500)))</f>
        <v/>
      </c>
      <c r="AJ500" t="str">
        <f>IF(OR($B500="",NOT(ISNUMBER(M500))),"",IF(COUNTIF(N500:$T500,M500)&gt;0,0,IF(COUNTIF($G500:$T500,"&gt;"&amp;M500)=0,"",SMALL($G500:$T500,COUNTIF($G500:$T500,"&lt;="&amp;M500)+1)-M500)))</f>
        <v/>
      </c>
      <c r="AK500" t="str">
        <f>IF(OR($B500="",NOT(ISNUMBER(N500))),"",IF(COUNTIF(O500:$T500,N500)&gt;0,0,IF(COUNTIF($G500:$T500,"&gt;"&amp;N500)=0,"",SMALL($G500:$T500,COUNTIF($G500:$T500,"&lt;="&amp;N500)+1)-N500)))</f>
        <v/>
      </c>
      <c r="AL500" t="str">
        <f>IF(OR($B500="",NOT(ISNUMBER(O500))),"",IF(COUNTIF(P500:$T500,O500)&gt;0,0,IF(COUNTIF($G500:$T500,"&gt;"&amp;O500)=0,"",SMALL($G500:$T500,COUNTIF($G500:$T500,"&lt;="&amp;O500)+1)-O500)))</f>
        <v/>
      </c>
      <c r="AM500" t="str">
        <f>IF(OR($B500="",NOT(ISNUMBER(P500))),"",IF(COUNTIF(Q500:$T500,P500)&gt;0,0,IF(COUNTIF($G500:$T500,"&gt;"&amp;P500)=0,"",SMALL($G500:$T500,COUNTIF($G500:$T500,"&lt;="&amp;P500)+1)-P500)))</f>
        <v/>
      </c>
      <c r="AN500" t="str">
        <f>IF(OR($B500="",NOT(ISNUMBER(Q500))),"",IF(COUNTIF(R500:$T500,Q500)&gt;0,0,IF(COUNTIF($G500:$T500,"&gt;"&amp;Q500)=0,"",SMALL($G500:$T500,COUNTIF($G500:$T500,"&lt;="&amp;Q500)+1)-Q500)))</f>
        <v/>
      </c>
      <c r="AO500" t="str">
        <f>IF(OR($B500="",NOT(ISNUMBER(R500))),"",IF(COUNTIF(S500:$T500,R500)&gt;0,0,IF(COUNTIF($G500:$T500,"&gt;"&amp;R500)=0,"",SMALL($G500:$T500,COUNTIF($G500:$T500,"&lt;="&amp;R500)+1)-R500)))</f>
        <v/>
      </c>
      <c r="AP500">
        <f t="shared" ca="1" si="122"/>
        <v>2</v>
      </c>
      <c r="AQ500" s="25" t="str">
        <f t="shared" si="123"/>
        <v/>
      </c>
      <c r="AR500" s="25" t="str">
        <f t="shared" si="124"/>
        <v/>
      </c>
      <c r="AS500" s="25" t="str">
        <f t="shared" si="125"/>
        <v/>
      </c>
      <c r="AT500" s="25" t="str">
        <f t="shared" si="126"/>
        <v/>
      </c>
      <c r="AU500" s="25" t="str">
        <f t="shared" si="127"/>
        <v/>
      </c>
      <c r="AV500" s="25" t="str">
        <f t="shared" si="128"/>
        <v/>
      </c>
      <c r="AW500" s="25" t="str">
        <f t="shared" si="129"/>
        <v/>
      </c>
      <c r="AX500" s="25" t="str">
        <f t="shared" si="130"/>
        <v/>
      </c>
      <c r="AY500" s="25" t="str">
        <f t="shared" si="131"/>
        <v/>
      </c>
      <c r="AZ500" s="25" t="str">
        <f t="shared" si="132"/>
        <v/>
      </c>
      <c r="BA500" s="25" t="str">
        <f t="shared" si="133"/>
        <v/>
      </c>
      <c r="BB500" s="25" t="str">
        <f t="shared" si="134"/>
        <v/>
      </c>
      <c r="BC500" s="25" t="str">
        <f t="shared" si="135"/>
        <v/>
      </c>
    </row>
    <row r="501" spans="1:55" x14ac:dyDescent="0.25">
      <c r="A501" s="151">
        <f t="shared" si="120"/>
        <v>499</v>
      </c>
      <c r="B501" s="189" t="s">
        <v>952</v>
      </c>
      <c r="C501" s="154" t="s">
        <v>668</v>
      </c>
      <c r="D501" s="151">
        <f t="shared" si="119"/>
        <v>1</v>
      </c>
      <c r="E501" s="185" t="s">
        <v>61</v>
      </c>
      <c r="F501" s="173">
        <v>46305</v>
      </c>
      <c r="G501" s="173"/>
      <c r="H501" s="173"/>
      <c r="I501" s="173">
        <v>46305</v>
      </c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51"/>
      <c r="U501" s="151"/>
      <c r="V501" s="152"/>
      <c r="W501" s="175"/>
      <c r="X501" s="173"/>
      <c r="Y501" s="173"/>
      <c r="Z501" s="176" t="str">
        <f>IF(B501="","",IF(S501&lt;&gt;"","Sevk Edildi",IF(AND(X501&lt;&gt;"",Y501=""),"Reworkte",IF(T501&lt;&gt;"","Kapandı"&amp;IF(COUNT(G501:R501)=0,""," – "&amp;LOOKUP(2,1/(G501:R501=MAX(G501:R501)),{"Tasarım","Ply Cutter","Üretim","Kalite (Üretim sonrası)","Talaşlı","Kalite (Talaşlı sonrası)","Montaj","Kalite (Montaj sonrası)","Boya","Kalite (Boya sonrası)","Yarı Mamül","KM"})),IF(COUNT(G501:R501)=0,"Başlamadı",LOOKUP(2,1/(G501:R501=MAX(G501:R501)),{"Tasarımda","Ply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501" s="177">
        <f t="shared" ca="1" si="121"/>
        <v>2</v>
      </c>
      <c r="AB501" s="175"/>
      <c r="AD501" t="str">
        <f>IF(OR($B501="",NOT(ISNUMBER(G501))),"",IF(COUNTIF(H501:$T501,G501)&gt;0,0,IF(COUNTIF($G501:$T501,"&gt;"&amp;G501)=0,"",SMALL($G501:$T501,COUNTIF($G501:$T501,"&lt;="&amp;G501)+1)-G501)))</f>
        <v/>
      </c>
      <c r="AE501" t="str">
        <f>IF(OR($B501="",NOT(ISNUMBER(H501))),"",IF(COUNTIF(I501:$T501,H501)&gt;0,0,IF(COUNTIF($G501:$T501,"&gt;"&amp;H501)=0,"",SMALL($G501:$T501,COUNTIF($G501:$T501,"&lt;="&amp;H501)+1)-H501)))</f>
        <v/>
      </c>
      <c r="AF501" t="str">
        <f>IF(OR($B501="",NOT(ISNUMBER(I501))),"",IF(COUNTIF(J501:$T501,I501)&gt;0,0,IF(COUNTIF($G501:$T501,"&gt;"&amp;I501)=0,"",SMALL($G501:$T501,COUNTIF($G501:$T501,"&lt;="&amp;I501)+1)-I501)))</f>
        <v/>
      </c>
      <c r="AG501" t="str">
        <f>IF(OR($B501="",NOT(ISNUMBER(J501))),"",IF(COUNTIF(K501:$T501,J501)&gt;0,0,IF(COUNTIF($G501:$T501,"&gt;"&amp;J501)=0,"",SMALL($G501:$T501,COUNTIF($G501:$T501,"&lt;="&amp;J501)+1)-J501)))</f>
        <v/>
      </c>
      <c r="AH501" t="str">
        <f>IF(OR($B501="",NOT(ISNUMBER(K501))),"",IF(COUNTIF(L501:$T501,K501)&gt;0,0,IF(COUNTIF($G501:$T501,"&gt;"&amp;K501)=0,"",SMALL($G501:$T501,COUNTIF($G501:$T501,"&lt;="&amp;K501)+1)-K501)))</f>
        <v/>
      </c>
      <c r="AI501" t="str">
        <f>IF(OR($B501="",NOT(ISNUMBER(L501))),"",IF(COUNTIF(M501:$T501,L501)&gt;0,0,IF(COUNTIF($G501:$T501,"&gt;"&amp;L501)=0,"",SMALL($G501:$T501,COUNTIF($G501:$T501,"&lt;="&amp;L501)+1)-L501)))</f>
        <v/>
      </c>
      <c r="AJ501" t="str">
        <f>IF(OR($B501="",NOT(ISNUMBER(M501))),"",IF(COUNTIF(N501:$T501,M501)&gt;0,0,IF(COUNTIF($G501:$T501,"&gt;"&amp;M501)=0,"",SMALL($G501:$T501,COUNTIF($G501:$T501,"&lt;="&amp;M501)+1)-M501)))</f>
        <v/>
      </c>
      <c r="AK501" t="str">
        <f>IF(OR($B501="",NOT(ISNUMBER(N501))),"",IF(COUNTIF(O501:$T501,N501)&gt;0,0,IF(COUNTIF($G501:$T501,"&gt;"&amp;N501)=0,"",SMALL($G501:$T501,COUNTIF($G501:$T501,"&lt;="&amp;N501)+1)-N501)))</f>
        <v/>
      </c>
      <c r="AL501" t="str">
        <f>IF(OR($B501="",NOT(ISNUMBER(O501))),"",IF(COUNTIF(P501:$T501,O501)&gt;0,0,IF(COUNTIF($G501:$T501,"&gt;"&amp;O501)=0,"",SMALL($G501:$T501,COUNTIF($G501:$T501,"&lt;="&amp;O501)+1)-O501)))</f>
        <v/>
      </c>
      <c r="AM501" t="str">
        <f>IF(OR($B501="",NOT(ISNUMBER(P501))),"",IF(COUNTIF(Q501:$T501,P501)&gt;0,0,IF(COUNTIF($G501:$T501,"&gt;"&amp;P501)=0,"",SMALL($G501:$T501,COUNTIF($G501:$T501,"&lt;="&amp;P501)+1)-P501)))</f>
        <v/>
      </c>
      <c r="AN501" t="str">
        <f>IF(OR($B501="",NOT(ISNUMBER(Q501))),"",IF(COUNTIF(R501:$T501,Q501)&gt;0,0,IF(COUNTIF($G501:$T501,"&gt;"&amp;Q501)=0,"",SMALL($G501:$T501,COUNTIF($G501:$T501,"&lt;="&amp;Q501)+1)-Q501)))</f>
        <v/>
      </c>
      <c r="AO501" t="str">
        <f>IF(OR($B501="",NOT(ISNUMBER(R501))),"",IF(COUNTIF(S501:$T501,R501)&gt;0,0,IF(COUNTIF($G501:$T501,"&gt;"&amp;R501)=0,"",SMALL($G501:$T501,COUNTIF($G501:$T501,"&lt;="&amp;R501)+1)-R501)))</f>
        <v/>
      </c>
      <c r="AP501">
        <f t="shared" ca="1" si="122"/>
        <v>2</v>
      </c>
      <c r="AQ501" s="25" t="str">
        <f t="shared" si="123"/>
        <v/>
      </c>
      <c r="AR501" s="25" t="str">
        <f t="shared" si="124"/>
        <v/>
      </c>
      <c r="AS501" s="25" t="str">
        <f t="shared" si="125"/>
        <v/>
      </c>
      <c r="AT501" s="25" t="str">
        <f t="shared" si="126"/>
        <v/>
      </c>
      <c r="AU501" s="25" t="str">
        <f t="shared" si="127"/>
        <v/>
      </c>
      <c r="AV501" s="25" t="str">
        <f t="shared" si="128"/>
        <v/>
      </c>
      <c r="AW501" s="25" t="str">
        <f t="shared" si="129"/>
        <v/>
      </c>
      <c r="AX501" s="25" t="str">
        <f t="shared" si="130"/>
        <v/>
      </c>
      <c r="AY501" s="25" t="str">
        <f t="shared" si="131"/>
        <v/>
      </c>
      <c r="AZ501" s="25" t="str">
        <f t="shared" si="132"/>
        <v/>
      </c>
      <c r="BA501" s="25" t="str">
        <f t="shared" si="133"/>
        <v/>
      </c>
      <c r="BB501" s="25" t="str">
        <f t="shared" si="134"/>
        <v/>
      </c>
      <c r="BC501" s="25" t="str">
        <f t="shared" si="135"/>
        <v/>
      </c>
    </row>
    <row r="502" spans="1:55" x14ac:dyDescent="0.25">
      <c r="A502" s="151">
        <f t="shared" si="120"/>
        <v>500</v>
      </c>
      <c r="B502" s="189" t="s">
        <v>953</v>
      </c>
      <c r="C502" s="154" t="s">
        <v>525</v>
      </c>
      <c r="D502" s="151">
        <f t="shared" si="119"/>
        <v>4</v>
      </c>
      <c r="E502" s="185" t="s">
        <v>61</v>
      </c>
      <c r="F502" s="173">
        <v>46305</v>
      </c>
      <c r="G502" s="173"/>
      <c r="H502" s="173"/>
      <c r="I502" s="173">
        <v>46305</v>
      </c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51"/>
      <c r="U502" s="151"/>
      <c r="V502" s="152"/>
      <c r="W502" s="175"/>
      <c r="X502" s="173"/>
      <c r="Y502" s="173"/>
      <c r="Z502" s="176" t="str">
        <f>IF(B502="","",IF(S502&lt;&gt;"","Sevk Edildi",IF(AND(X502&lt;&gt;"",Y502=""),"Reworkte",IF(T502&lt;&gt;"","Kapandı"&amp;IF(COUNT(G502:R502)=0,""," – "&amp;LOOKUP(2,1/(G502:R502=MAX(G502:R502)),{"Tasarım","Ply Cutter","Üretim","Kalite (Üretim sonrası)","Talaşlı","Kalite (Talaşlı sonrası)","Montaj","Kalite (Montaj sonrası)","Boya","Kalite (Boya sonrası)","Yarı Mamül","KM"})),IF(COUNT(G502:R502)=0,"Başlamadı",LOOKUP(2,1/(G502:R502=MAX(G502:R502)),{"Tasarımda","Ply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502" s="177">
        <f t="shared" ca="1" si="121"/>
        <v>2</v>
      </c>
      <c r="AB502" s="175"/>
      <c r="AD502" t="str">
        <f>IF(OR($B502="",NOT(ISNUMBER(G502))),"",IF(COUNTIF(H502:$T502,G502)&gt;0,0,IF(COUNTIF($G502:$T502,"&gt;"&amp;G502)=0,"",SMALL($G502:$T502,COUNTIF($G502:$T502,"&lt;="&amp;G502)+1)-G502)))</f>
        <v/>
      </c>
      <c r="AE502" t="str">
        <f>IF(OR($B502="",NOT(ISNUMBER(H502))),"",IF(COUNTIF(I502:$T502,H502)&gt;0,0,IF(COUNTIF($G502:$T502,"&gt;"&amp;H502)=0,"",SMALL($G502:$T502,COUNTIF($G502:$T502,"&lt;="&amp;H502)+1)-H502)))</f>
        <v/>
      </c>
      <c r="AF502" t="str">
        <f>IF(OR($B502="",NOT(ISNUMBER(I502))),"",IF(COUNTIF(J502:$T502,I502)&gt;0,0,IF(COUNTIF($G502:$T502,"&gt;"&amp;I502)=0,"",SMALL($G502:$T502,COUNTIF($G502:$T502,"&lt;="&amp;I502)+1)-I502)))</f>
        <v/>
      </c>
      <c r="AG502" t="str">
        <f>IF(OR($B502="",NOT(ISNUMBER(J502))),"",IF(COUNTIF(K502:$T502,J502)&gt;0,0,IF(COUNTIF($G502:$T502,"&gt;"&amp;J502)=0,"",SMALL($G502:$T502,COUNTIF($G502:$T502,"&lt;="&amp;J502)+1)-J502)))</f>
        <v/>
      </c>
      <c r="AH502" t="str">
        <f>IF(OR($B502="",NOT(ISNUMBER(K502))),"",IF(COUNTIF(L502:$T502,K502)&gt;0,0,IF(COUNTIF($G502:$T502,"&gt;"&amp;K502)=0,"",SMALL($G502:$T502,COUNTIF($G502:$T502,"&lt;="&amp;K502)+1)-K502)))</f>
        <v/>
      </c>
      <c r="AI502" t="str">
        <f>IF(OR($B502="",NOT(ISNUMBER(L502))),"",IF(COUNTIF(M502:$T502,L502)&gt;0,0,IF(COUNTIF($G502:$T502,"&gt;"&amp;L502)=0,"",SMALL($G502:$T502,COUNTIF($G502:$T502,"&lt;="&amp;L502)+1)-L502)))</f>
        <v/>
      </c>
      <c r="AJ502" t="str">
        <f>IF(OR($B502="",NOT(ISNUMBER(M502))),"",IF(COUNTIF(N502:$T502,M502)&gt;0,0,IF(COUNTIF($G502:$T502,"&gt;"&amp;M502)=0,"",SMALL($G502:$T502,COUNTIF($G502:$T502,"&lt;="&amp;M502)+1)-M502)))</f>
        <v/>
      </c>
      <c r="AK502" t="str">
        <f>IF(OR($B502="",NOT(ISNUMBER(N502))),"",IF(COUNTIF(O502:$T502,N502)&gt;0,0,IF(COUNTIF($G502:$T502,"&gt;"&amp;N502)=0,"",SMALL($G502:$T502,COUNTIF($G502:$T502,"&lt;="&amp;N502)+1)-N502)))</f>
        <v/>
      </c>
      <c r="AL502" t="str">
        <f>IF(OR($B502="",NOT(ISNUMBER(O502))),"",IF(COUNTIF(P502:$T502,O502)&gt;0,0,IF(COUNTIF($G502:$T502,"&gt;"&amp;O502)=0,"",SMALL($G502:$T502,COUNTIF($G502:$T502,"&lt;="&amp;O502)+1)-O502)))</f>
        <v/>
      </c>
      <c r="AM502" t="str">
        <f>IF(OR($B502="",NOT(ISNUMBER(P502))),"",IF(COUNTIF(Q502:$T502,P502)&gt;0,0,IF(COUNTIF($G502:$T502,"&gt;"&amp;P502)=0,"",SMALL($G502:$T502,COUNTIF($G502:$T502,"&lt;="&amp;P502)+1)-P502)))</f>
        <v/>
      </c>
      <c r="AN502" t="str">
        <f>IF(OR($B502="",NOT(ISNUMBER(Q502))),"",IF(COUNTIF(R502:$T502,Q502)&gt;0,0,IF(COUNTIF($G502:$T502,"&gt;"&amp;Q502)=0,"",SMALL($G502:$T502,COUNTIF($G502:$T502,"&lt;="&amp;Q502)+1)-Q502)))</f>
        <v/>
      </c>
      <c r="AO502" t="str">
        <f>IF(OR($B502="",NOT(ISNUMBER(R502))),"",IF(COUNTIF(S502:$T502,R502)&gt;0,0,IF(COUNTIF($G502:$T502,"&gt;"&amp;R502)=0,"",SMALL($G502:$T502,COUNTIF($G502:$T502,"&lt;="&amp;R502)+1)-R502)))</f>
        <v/>
      </c>
      <c r="AP502">
        <f t="shared" ca="1" si="122"/>
        <v>2</v>
      </c>
      <c r="AQ502" s="25" t="str">
        <f t="shared" si="123"/>
        <v/>
      </c>
      <c r="AR502" s="25" t="str">
        <f t="shared" si="124"/>
        <v/>
      </c>
      <c r="AS502" s="25" t="str">
        <f t="shared" si="125"/>
        <v/>
      </c>
      <c r="AT502" s="25" t="str">
        <f t="shared" si="126"/>
        <v/>
      </c>
      <c r="AU502" s="25" t="str">
        <f t="shared" si="127"/>
        <v/>
      </c>
      <c r="AV502" s="25" t="str">
        <f t="shared" si="128"/>
        <v/>
      </c>
      <c r="AW502" s="25" t="str">
        <f t="shared" si="129"/>
        <v/>
      </c>
      <c r="AX502" s="25" t="str">
        <f t="shared" si="130"/>
        <v/>
      </c>
      <c r="AY502" s="25" t="str">
        <f t="shared" si="131"/>
        <v/>
      </c>
      <c r="AZ502" s="25" t="str">
        <f t="shared" si="132"/>
        <v/>
      </c>
      <c r="BA502" s="25" t="str">
        <f t="shared" si="133"/>
        <v/>
      </c>
      <c r="BB502" s="25" t="str">
        <f t="shared" si="134"/>
        <v/>
      </c>
      <c r="BC502" s="25" t="str">
        <f t="shared" si="135"/>
        <v/>
      </c>
    </row>
    <row r="503" spans="1:55" x14ac:dyDescent="0.25">
      <c r="A503" s="151">
        <f t="shared" si="120"/>
        <v>501</v>
      </c>
      <c r="B503" s="189" t="s">
        <v>954</v>
      </c>
      <c r="C503" s="154" t="s">
        <v>528</v>
      </c>
      <c r="D503" s="151">
        <f t="shared" si="119"/>
        <v>1</v>
      </c>
      <c r="E503" s="185" t="s">
        <v>61</v>
      </c>
      <c r="F503" s="173">
        <v>46305</v>
      </c>
      <c r="G503" s="173"/>
      <c r="H503" s="173"/>
      <c r="I503" s="173">
        <v>46305</v>
      </c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51"/>
      <c r="U503" s="151"/>
      <c r="V503" s="152"/>
      <c r="W503" s="175"/>
      <c r="X503" s="173"/>
      <c r="Y503" s="173"/>
      <c r="Z503" s="176" t="str">
        <f>IF(B503="","",IF(S503&lt;&gt;"","Sevk Edildi",IF(AND(X503&lt;&gt;"",Y503=""),"Reworkte",IF(T503&lt;&gt;"","Kapandı"&amp;IF(COUNT(G503:R503)=0,""," – "&amp;LOOKUP(2,1/(G503:R503=MAX(G503:R503)),{"Tasarım","Ply Cutter","Üretim","Kalite (Üretim sonrası)","Talaşlı","Kalite (Talaşlı sonrası)","Montaj","Kalite (Montaj sonrası)","Boya","Kalite (Boya sonrası)","Yarı Mamül","KM"})),IF(COUNT(G503:R503)=0,"Başlamadı",LOOKUP(2,1/(G503:R503=MAX(G503:R503)),{"Tasarımda","Ply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503" s="177">
        <f t="shared" ca="1" si="121"/>
        <v>2</v>
      </c>
      <c r="AB503" s="175"/>
      <c r="AD503" t="str">
        <f>IF(OR($B503="",NOT(ISNUMBER(G503))),"",IF(COUNTIF(H503:$T503,G503)&gt;0,0,IF(COUNTIF($G503:$T503,"&gt;"&amp;G503)=0,"",SMALL($G503:$T503,COUNTIF($G503:$T503,"&lt;="&amp;G503)+1)-G503)))</f>
        <v/>
      </c>
      <c r="AE503" t="str">
        <f>IF(OR($B503="",NOT(ISNUMBER(H503))),"",IF(COUNTIF(I503:$T503,H503)&gt;0,0,IF(COUNTIF($G503:$T503,"&gt;"&amp;H503)=0,"",SMALL($G503:$T503,COUNTIF($G503:$T503,"&lt;="&amp;H503)+1)-H503)))</f>
        <v/>
      </c>
      <c r="AF503" t="str">
        <f>IF(OR($B503="",NOT(ISNUMBER(I503))),"",IF(COUNTIF(J503:$T503,I503)&gt;0,0,IF(COUNTIF($G503:$T503,"&gt;"&amp;I503)=0,"",SMALL($G503:$T503,COUNTIF($G503:$T503,"&lt;="&amp;I503)+1)-I503)))</f>
        <v/>
      </c>
      <c r="AG503" t="str">
        <f>IF(OR($B503="",NOT(ISNUMBER(J503))),"",IF(COUNTIF(K503:$T503,J503)&gt;0,0,IF(COUNTIF($G503:$T503,"&gt;"&amp;J503)=0,"",SMALL($G503:$T503,COUNTIF($G503:$T503,"&lt;="&amp;J503)+1)-J503)))</f>
        <v/>
      </c>
      <c r="AH503" t="str">
        <f>IF(OR($B503="",NOT(ISNUMBER(K503))),"",IF(COUNTIF(L503:$T503,K503)&gt;0,0,IF(COUNTIF($G503:$T503,"&gt;"&amp;K503)=0,"",SMALL($G503:$T503,COUNTIF($G503:$T503,"&lt;="&amp;K503)+1)-K503)))</f>
        <v/>
      </c>
      <c r="AI503" t="str">
        <f>IF(OR($B503="",NOT(ISNUMBER(L503))),"",IF(COUNTIF(M503:$T503,L503)&gt;0,0,IF(COUNTIF($G503:$T503,"&gt;"&amp;L503)=0,"",SMALL($G503:$T503,COUNTIF($G503:$T503,"&lt;="&amp;L503)+1)-L503)))</f>
        <v/>
      </c>
      <c r="AJ503" t="str">
        <f>IF(OR($B503="",NOT(ISNUMBER(M503))),"",IF(COUNTIF(N503:$T503,M503)&gt;0,0,IF(COUNTIF($G503:$T503,"&gt;"&amp;M503)=0,"",SMALL($G503:$T503,COUNTIF($G503:$T503,"&lt;="&amp;M503)+1)-M503)))</f>
        <v/>
      </c>
      <c r="AK503" t="str">
        <f>IF(OR($B503="",NOT(ISNUMBER(N503))),"",IF(COUNTIF(O503:$T503,N503)&gt;0,0,IF(COUNTIF($G503:$T503,"&gt;"&amp;N503)=0,"",SMALL($G503:$T503,COUNTIF($G503:$T503,"&lt;="&amp;N503)+1)-N503)))</f>
        <v/>
      </c>
      <c r="AL503" t="str">
        <f>IF(OR($B503="",NOT(ISNUMBER(O503))),"",IF(COUNTIF(P503:$T503,O503)&gt;0,0,IF(COUNTIF($G503:$T503,"&gt;"&amp;O503)=0,"",SMALL($G503:$T503,COUNTIF($G503:$T503,"&lt;="&amp;O503)+1)-O503)))</f>
        <v/>
      </c>
      <c r="AM503" t="str">
        <f>IF(OR($B503="",NOT(ISNUMBER(P503))),"",IF(COUNTIF(Q503:$T503,P503)&gt;0,0,IF(COUNTIF($G503:$T503,"&gt;"&amp;P503)=0,"",SMALL($G503:$T503,COUNTIF($G503:$T503,"&lt;="&amp;P503)+1)-P503)))</f>
        <v/>
      </c>
      <c r="AN503" t="str">
        <f>IF(OR($B503="",NOT(ISNUMBER(Q503))),"",IF(COUNTIF(R503:$T503,Q503)&gt;0,0,IF(COUNTIF($G503:$T503,"&gt;"&amp;Q503)=0,"",SMALL($G503:$T503,COUNTIF($G503:$T503,"&lt;="&amp;Q503)+1)-Q503)))</f>
        <v/>
      </c>
      <c r="AO503" t="str">
        <f>IF(OR($B503="",NOT(ISNUMBER(R503))),"",IF(COUNTIF(S503:$T503,R503)&gt;0,0,IF(COUNTIF($G503:$T503,"&gt;"&amp;R503)=0,"",SMALL($G503:$T503,COUNTIF($G503:$T503,"&lt;="&amp;R503)+1)-R503)))</f>
        <v/>
      </c>
      <c r="AP503">
        <f t="shared" ca="1" si="122"/>
        <v>2</v>
      </c>
      <c r="AQ503" s="25" t="str">
        <f t="shared" si="123"/>
        <v/>
      </c>
      <c r="AR503" s="25" t="str">
        <f t="shared" si="124"/>
        <v/>
      </c>
      <c r="AS503" s="25" t="str">
        <f t="shared" si="125"/>
        <v/>
      </c>
      <c r="AT503" s="25" t="str">
        <f t="shared" si="126"/>
        <v/>
      </c>
      <c r="AU503" s="25" t="str">
        <f t="shared" si="127"/>
        <v/>
      </c>
      <c r="AV503" s="25" t="str">
        <f t="shared" si="128"/>
        <v/>
      </c>
      <c r="AW503" s="25" t="str">
        <f t="shared" si="129"/>
        <v/>
      </c>
      <c r="AX503" s="25" t="str">
        <f t="shared" si="130"/>
        <v/>
      </c>
      <c r="AY503" s="25" t="str">
        <f t="shared" si="131"/>
        <v/>
      </c>
      <c r="AZ503" s="25" t="str">
        <f t="shared" si="132"/>
        <v/>
      </c>
      <c r="BA503" s="25" t="str">
        <f t="shared" si="133"/>
        <v/>
      </c>
      <c r="BB503" s="25" t="str">
        <f t="shared" si="134"/>
        <v/>
      </c>
      <c r="BC503" s="25" t="str">
        <f t="shared" si="135"/>
        <v/>
      </c>
    </row>
    <row r="504" spans="1:55" x14ac:dyDescent="0.25">
      <c r="A504" s="151">
        <f t="shared" si="120"/>
        <v>502</v>
      </c>
      <c r="B504" s="189" t="s">
        <v>955</v>
      </c>
      <c r="C504" s="154" t="s">
        <v>466</v>
      </c>
      <c r="D504" s="151">
        <f t="shared" si="119"/>
        <v>2</v>
      </c>
      <c r="E504" s="185" t="s">
        <v>61</v>
      </c>
      <c r="F504" s="173">
        <v>46305</v>
      </c>
      <c r="G504" s="173"/>
      <c r="H504" s="173"/>
      <c r="I504" s="173">
        <v>46305</v>
      </c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51"/>
      <c r="U504" s="151"/>
      <c r="V504" s="152"/>
      <c r="W504" s="175"/>
      <c r="X504" s="173"/>
      <c r="Y504" s="173"/>
      <c r="Z504" s="176" t="str">
        <f>IF(B504="","",IF(S504&lt;&gt;"","Sevk Edildi",IF(AND(X504&lt;&gt;"",Y504=""),"Reworkte",IF(T504&lt;&gt;"","Kapandı"&amp;IF(COUNT(G504:R504)=0,""," – "&amp;LOOKUP(2,1/(G504:R504=MAX(G504:R504)),{"Tasarım","Ply Cutter","Üretim","Kalite (Üretim sonrası)","Talaşlı","Kalite (Talaşlı sonrası)","Montaj","Kalite (Montaj sonrası)","Boya","Kalite (Boya sonrası)","Yarı Mamül","KM"})),IF(COUNT(G504:R504)=0,"Başlamadı",LOOKUP(2,1/(G504:R504=MAX(G504:R504)),{"Tasarımda","Ply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504" s="177">
        <f t="shared" ca="1" si="121"/>
        <v>2</v>
      </c>
      <c r="AB504" s="175"/>
      <c r="AD504" t="str">
        <f>IF(OR($B504="",NOT(ISNUMBER(G504))),"",IF(COUNTIF(H504:$T504,G504)&gt;0,0,IF(COUNTIF($G504:$T504,"&gt;"&amp;G504)=0,"",SMALL($G504:$T504,COUNTIF($G504:$T504,"&lt;="&amp;G504)+1)-G504)))</f>
        <v/>
      </c>
      <c r="AE504" t="str">
        <f>IF(OR($B504="",NOT(ISNUMBER(H504))),"",IF(COUNTIF(I504:$T504,H504)&gt;0,0,IF(COUNTIF($G504:$T504,"&gt;"&amp;H504)=0,"",SMALL($G504:$T504,COUNTIF($G504:$T504,"&lt;="&amp;H504)+1)-H504)))</f>
        <v/>
      </c>
      <c r="AF504" t="str">
        <f>IF(OR($B504="",NOT(ISNUMBER(I504))),"",IF(COUNTIF(J504:$T504,I504)&gt;0,0,IF(COUNTIF($G504:$T504,"&gt;"&amp;I504)=0,"",SMALL($G504:$T504,COUNTIF($G504:$T504,"&lt;="&amp;I504)+1)-I504)))</f>
        <v/>
      </c>
      <c r="AG504" t="str">
        <f>IF(OR($B504="",NOT(ISNUMBER(J504))),"",IF(COUNTIF(K504:$T504,J504)&gt;0,0,IF(COUNTIF($G504:$T504,"&gt;"&amp;J504)=0,"",SMALL($G504:$T504,COUNTIF($G504:$T504,"&lt;="&amp;J504)+1)-J504)))</f>
        <v/>
      </c>
      <c r="AH504" t="str">
        <f>IF(OR($B504="",NOT(ISNUMBER(K504))),"",IF(COUNTIF(L504:$T504,K504)&gt;0,0,IF(COUNTIF($G504:$T504,"&gt;"&amp;K504)=0,"",SMALL($G504:$T504,COUNTIF($G504:$T504,"&lt;="&amp;K504)+1)-K504)))</f>
        <v/>
      </c>
      <c r="AI504" t="str">
        <f>IF(OR($B504="",NOT(ISNUMBER(L504))),"",IF(COUNTIF(M504:$T504,L504)&gt;0,0,IF(COUNTIF($G504:$T504,"&gt;"&amp;L504)=0,"",SMALL($G504:$T504,COUNTIF($G504:$T504,"&lt;="&amp;L504)+1)-L504)))</f>
        <v/>
      </c>
      <c r="AJ504" t="str">
        <f>IF(OR($B504="",NOT(ISNUMBER(M504))),"",IF(COUNTIF(N504:$T504,M504)&gt;0,0,IF(COUNTIF($G504:$T504,"&gt;"&amp;M504)=0,"",SMALL($G504:$T504,COUNTIF($G504:$T504,"&lt;="&amp;M504)+1)-M504)))</f>
        <v/>
      </c>
      <c r="AK504" t="str">
        <f>IF(OR($B504="",NOT(ISNUMBER(N504))),"",IF(COUNTIF(O504:$T504,N504)&gt;0,0,IF(COUNTIF($G504:$T504,"&gt;"&amp;N504)=0,"",SMALL($G504:$T504,COUNTIF($G504:$T504,"&lt;="&amp;N504)+1)-N504)))</f>
        <v/>
      </c>
      <c r="AL504" t="str">
        <f>IF(OR($B504="",NOT(ISNUMBER(O504))),"",IF(COUNTIF(P504:$T504,O504)&gt;0,0,IF(COUNTIF($G504:$T504,"&gt;"&amp;O504)=0,"",SMALL($G504:$T504,COUNTIF($G504:$T504,"&lt;="&amp;O504)+1)-O504)))</f>
        <v/>
      </c>
      <c r="AM504" t="str">
        <f>IF(OR($B504="",NOT(ISNUMBER(P504))),"",IF(COUNTIF(Q504:$T504,P504)&gt;0,0,IF(COUNTIF($G504:$T504,"&gt;"&amp;P504)=0,"",SMALL($G504:$T504,COUNTIF($G504:$T504,"&lt;="&amp;P504)+1)-P504)))</f>
        <v/>
      </c>
      <c r="AN504" t="str">
        <f>IF(OR($B504="",NOT(ISNUMBER(Q504))),"",IF(COUNTIF(R504:$T504,Q504)&gt;0,0,IF(COUNTIF($G504:$T504,"&gt;"&amp;Q504)=0,"",SMALL($G504:$T504,COUNTIF($G504:$T504,"&lt;="&amp;Q504)+1)-Q504)))</f>
        <v/>
      </c>
      <c r="AO504" t="str">
        <f>IF(OR($B504="",NOT(ISNUMBER(R504))),"",IF(COUNTIF(S504:$T504,R504)&gt;0,0,IF(COUNTIF($G504:$T504,"&gt;"&amp;R504)=0,"",SMALL($G504:$T504,COUNTIF($G504:$T504,"&lt;="&amp;R504)+1)-R504)))</f>
        <v/>
      </c>
      <c r="AP504">
        <f t="shared" ca="1" si="122"/>
        <v>2</v>
      </c>
      <c r="AQ504" s="25" t="str">
        <f t="shared" si="123"/>
        <v/>
      </c>
      <c r="AR504" s="25" t="str">
        <f t="shared" si="124"/>
        <v/>
      </c>
      <c r="AS504" s="25" t="str">
        <f t="shared" si="125"/>
        <v/>
      </c>
      <c r="AT504" s="25" t="str">
        <f t="shared" si="126"/>
        <v/>
      </c>
      <c r="AU504" s="25" t="str">
        <f t="shared" si="127"/>
        <v/>
      </c>
      <c r="AV504" s="25" t="str">
        <f t="shared" si="128"/>
        <v/>
      </c>
      <c r="AW504" s="25" t="str">
        <f t="shared" si="129"/>
        <v/>
      </c>
      <c r="AX504" s="25" t="str">
        <f t="shared" si="130"/>
        <v/>
      </c>
      <c r="AY504" s="25" t="str">
        <f t="shared" si="131"/>
        <v/>
      </c>
      <c r="AZ504" s="25" t="str">
        <f t="shared" si="132"/>
        <v/>
      </c>
      <c r="BA504" s="25" t="str">
        <f t="shared" si="133"/>
        <v/>
      </c>
      <c r="BB504" s="25" t="str">
        <f t="shared" si="134"/>
        <v/>
      </c>
      <c r="BC504" s="25" t="str">
        <f t="shared" si="135"/>
        <v/>
      </c>
    </row>
    <row r="505" spans="1:55" x14ac:dyDescent="0.25">
      <c r="A505" s="151">
        <f t="shared" si="120"/>
        <v>503</v>
      </c>
      <c r="B505" s="189" t="s">
        <v>956</v>
      </c>
      <c r="C505" s="154" t="s">
        <v>478</v>
      </c>
      <c r="D505" s="151">
        <f t="shared" si="119"/>
        <v>1</v>
      </c>
      <c r="E505" s="185" t="s">
        <v>61</v>
      </c>
      <c r="F505" s="173">
        <v>46305</v>
      </c>
      <c r="G505" s="173"/>
      <c r="H505" s="173"/>
      <c r="I505" s="173">
        <v>46305</v>
      </c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51"/>
      <c r="U505" s="151"/>
      <c r="V505" s="152"/>
      <c r="W505" s="175"/>
      <c r="X505" s="173"/>
      <c r="Y505" s="173"/>
      <c r="Z505" s="176" t="str">
        <f>IF(B505="","",IF(S505&lt;&gt;"","Sevk Edildi",IF(AND(X505&lt;&gt;"",Y505=""),"Reworkte",IF(T505&lt;&gt;"","Kapandı"&amp;IF(COUNT(G505:R505)=0,""," – "&amp;LOOKUP(2,1/(G505:R505=MAX(G505:R505)),{"Tasarım","Ply Cutter","Üretim","Kalite (Üretim sonrası)","Talaşlı","Kalite (Talaşlı sonrası)","Montaj","Kalite (Montaj sonrası)","Boya","Kalite (Boya sonrası)","Yarı Mamül","KM"})),IF(COUNT(G505:R505)=0,"Başlamadı",LOOKUP(2,1/(G505:R505=MAX(G505:R505)),{"Tasarımda","Ply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505" s="177">
        <f t="shared" ca="1" si="121"/>
        <v>2</v>
      </c>
      <c r="AB505" s="175"/>
      <c r="AD505" t="str">
        <f>IF(OR($B505="",NOT(ISNUMBER(G505))),"",IF(COUNTIF(H505:$T505,G505)&gt;0,0,IF(COUNTIF($G505:$T505,"&gt;"&amp;G505)=0,"",SMALL($G505:$T505,COUNTIF($G505:$T505,"&lt;="&amp;G505)+1)-G505)))</f>
        <v/>
      </c>
      <c r="AE505" t="str">
        <f>IF(OR($B505="",NOT(ISNUMBER(H505))),"",IF(COUNTIF(I505:$T505,H505)&gt;0,0,IF(COUNTIF($G505:$T505,"&gt;"&amp;H505)=0,"",SMALL($G505:$T505,COUNTIF($G505:$T505,"&lt;="&amp;H505)+1)-H505)))</f>
        <v/>
      </c>
      <c r="AF505" t="str">
        <f>IF(OR($B505="",NOT(ISNUMBER(I505))),"",IF(COUNTIF(J505:$T505,I505)&gt;0,0,IF(COUNTIF($G505:$T505,"&gt;"&amp;I505)=0,"",SMALL($G505:$T505,COUNTIF($G505:$T505,"&lt;="&amp;I505)+1)-I505)))</f>
        <v/>
      </c>
      <c r="AG505" t="str">
        <f>IF(OR($B505="",NOT(ISNUMBER(J505))),"",IF(COUNTIF(K505:$T505,J505)&gt;0,0,IF(COUNTIF($G505:$T505,"&gt;"&amp;J505)=0,"",SMALL($G505:$T505,COUNTIF($G505:$T505,"&lt;="&amp;J505)+1)-J505)))</f>
        <v/>
      </c>
      <c r="AH505" t="str">
        <f>IF(OR($B505="",NOT(ISNUMBER(K505))),"",IF(COUNTIF(L505:$T505,K505)&gt;0,0,IF(COUNTIF($G505:$T505,"&gt;"&amp;K505)=0,"",SMALL($G505:$T505,COUNTIF($G505:$T505,"&lt;="&amp;K505)+1)-K505)))</f>
        <v/>
      </c>
      <c r="AI505" t="str">
        <f>IF(OR($B505="",NOT(ISNUMBER(L505))),"",IF(COUNTIF(M505:$T505,L505)&gt;0,0,IF(COUNTIF($G505:$T505,"&gt;"&amp;L505)=0,"",SMALL($G505:$T505,COUNTIF($G505:$T505,"&lt;="&amp;L505)+1)-L505)))</f>
        <v/>
      </c>
      <c r="AJ505" t="str">
        <f>IF(OR($B505="",NOT(ISNUMBER(M505))),"",IF(COUNTIF(N505:$T505,M505)&gt;0,0,IF(COUNTIF($G505:$T505,"&gt;"&amp;M505)=0,"",SMALL($G505:$T505,COUNTIF($G505:$T505,"&lt;="&amp;M505)+1)-M505)))</f>
        <v/>
      </c>
      <c r="AK505" t="str">
        <f>IF(OR($B505="",NOT(ISNUMBER(N505))),"",IF(COUNTIF(O505:$T505,N505)&gt;0,0,IF(COUNTIF($G505:$T505,"&gt;"&amp;N505)=0,"",SMALL($G505:$T505,COUNTIF($G505:$T505,"&lt;="&amp;N505)+1)-N505)))</f>
        <v/>
      </c>
      <c r="AL505" t="str">
        <f>IF(OR($B505="",NOT(ISNUMBER(O505))),"",IF(COUNTIF(P505:$T505,O505)&gt;0,0,IF(COUNTIF($G505:$T505,"&gt;"&amp;O505)=0,"",SMALL($G505:$T505,COUNTIF($G505:$T505,"&lt;="&amp;O505)+1)-O505)))</f>
        <v/>
      </c>
      <c r="AM505" t="str">
        <f>IF(OR($B505="",NOT(ISNUMBER(P505))),"",IF(COUNTIF(Q505:$T505,P505)&gt;0,0,IF(COUNTIF($G505:$T505,"&gt;"&amp;P505)=0,"",SMALL($G505:$T505,COUNTIF($G505:$T505,"&lt;="&amp;P505)+1)-P505)))</f>
        <v/>
      </c>
      <c r="AN505" t="str">
        <f>IF(OR($B505="",NOT(ISNUMBER(Q505))),"",IF(COUNTIF(R505:$T505,Q505)&gt;0,0,IF(COUNTIF($G505:$T505,"&gt;"&amp;Q505)=0,"",SMALL($G505:$T505,COUNTIF($G505:$T505,"&lt;="&amp;Q505)+1)-Q505)))</f>
        <v/>
      </c>
      <c r="AO505" t="str">
        <f>IF(OR($B505="",NOT(ISNUMBER(R505))),"",IF(COUNTIF(S505:$T505,R505)&gt;0,0,IF(COUNTIF($G505:$T505,"&gt;"&amp;R505)=0,"",SMALL($G505:$T505,COUNTIF($G505:$T505,"&lt;="&amp;R505)+1)-R505)))</f>
        <v/>
      </c>
      <c r="AP505">
        <f t="shared" ca="1" si="122"/>
        <v>2</v>
      </c>
      <c r="AQ505" s="25" t="str">
        <f t="shared" si="123"/>
        <v/>
      </c>
      <c r="AR505" s="25" t="str">
        <f t="shared" si="124"/>
        <v/>
      </c>
      <c r="AS505" s="25" t="str">
        <f t="shared" si="125"/>
        <v/>
      </c>
      <c r="AT505" s="25" t="str">
        <f t="shared" si="126"/>
        <v/>
      </c>
      <c r="AU505" s="25" t="str">
        <f t="shared" si="127"/>
        <v/>
      </c>
      <c r="AV505" s="25" t="str">
        <f t="shared" si="128"/>
        <v/>
      </c>
      <c r="AW505" s="25" t="str">
        <f t="shared" si="129"/>
        <v/>
      </c>
      <c r="AX505" s="25" t="str">
        <f t="shared" si="130"/>
        <v/>
      </c>
      <c r="AY505" s="25" t="str">
        <f t="shared" si="131"/>
        <v/>
      </c>
      <c r="AZ505" s="25" t="str">
        <f t="shared" si="132"/>
        <v/>
      </c>
      <c r="BA505" s="25" t="str">
        <f t="shared" si="133"/>
        <v/>
      </c>
      <c r="BB505" s="25" t="str">
        <f t="shared" si="134"/>
        <v/>
      </c>
      <c r="BC505" s="25" t="str">
        <f t="shared" si="135"/>
        <v/>
      </c>
    </row>
    <row r="506" spans="1:55" x14ac:dyDescent="0.25">
      <c r="A506" s="151">
        <f t="shared" si="120"/>
        <v>504</v>
      </c>
      <c r="B506" s="189" t="s">
        <v>957</v>
      </c>
      <c r="C506" s="154" t="s">
        <v>180</v>
      </c>
      <c r="D506" s="151">
        <f t="shared" si="119"/>
        <v>1</v>
      </c>
      <c r="E506" s="185" t="s">
        <v>61</v>
      </c>
      <c r="F506" s="173">
        <v>46305</v>
      </c>
      <c r="G506" s="173"/>
      <c r="H506" s="173"/>
      <c r="I506" s="173">
        <v>46305</v>
      </c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51"/>
      <c r="U506" s="151"/>
      <c r="V506" s="152"/>
      <c r="W506" s="175"/>
      <c r="X506" s="173"/>
      <c r="Y506" s="173"/>
      <c r="Z506" s="176" t="str">
        <f>IF(B506="","",IF(S506&lt;&gt;"","Sevk Edildi",IF(AND(X506&lt;&gt;"",Y506=""),"Reworkte",IF(T506&lt;&gt;"","Kapandı"&amp;IF(COUNT(G506:R506)=0,""," – "&amp;LOOKUP(2,1/(G506:R506=MAX(G506:R506)),{"Tasarım","Ply Cutter","Üretim","Kalite (Üretim sonrası)","Talaşlı","Kalite (Talaşlı sonrası)","Montaj","Kalite (Montaj sonrası)","Boya","Kalite (Boya sonrası)","Yarı Mamül","KM"})),IF(COUNT(G506:R506)=0,"Başlamadı",LOOKUP(2,1/(G506:R506=MAX(G506:R506)),{"Tasarımda","Ply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506" s="177">
        <f t="shared" ca="1" si="121"/>
        <v>2</v>
      </c>
      <c r="AB506" s="175"/>
      <c r="AD506" t="str">
        <f>IF(OR($B506="",NOT(ISNUMBER(G506))),"",IF(COUNTIF(H506:$T506,G506)&gt;0,0,IF(COUNTIF($G506:$T506,"&gt;"&amp;G506)=0,"",SMALL($G506:$T506,COUNTIF($G506:$T506,"&lt;="&amp;G506)+1)-G506)))</f>
        <v/>
      </c>
      <c r="AE506" t="str">
        <f>IF(OR($B506="",NOT(ISNUMBER(H506))),"",IF(COUNTIF(I506:$T506,H506)&gt;0,0,IF(COUNTIF($G506:$T506,"&gt;"&amp;H506)=0,"",SMALL($G506:$T506,COUNTIF($G506:$T506,"&lt;="&amp;H506)+1)-H506)))</f>
        <v/>
      </c>
      <c r="AF506" t="str">
        <f>IF(OR($B506="",NOT(ISNUMBER(I506))),"",IF(COUNTIF(J506:$T506,I506)&gt;0,0,IF(COUNTIF($G506:$T506,"&gt;"&amp;I506)=0,"",SMALL($G506:$T506,COUNTIF($G506:$T506,"&lt;="&amp;I506)+1)-I506)))</f>
        <v/>
      </c>
      <c r="AG506" t="str">
        <f>IF(OR($B506="",NOT(ISNUMBER(J506))),"",IF(COUNTIF(K506:$T506,J506)&gt;0,0,IF(COUNTIF($G506:$T506,"&gt;"&amp;J506)=0,"",SMALL($G506:$T506,COUNTIF($G506:$T506,"&lt;="&amp;J506)+1)-J506)))</f>
        <v/>
      </c>
      <c r="AH506" t="str">
        <f>IF(OR($B506="",NOT(ISNUMBER(K506))),"",IF(COUNTIF(L506:$T506,K506)&gt;0,0,IF(COUNTIF($G506:$T506,"&gt;"&amp;K506)=0,"",SMALL($G506:$T506,COUNTIF($G506:$T506,"&lt;="&amp;K506)+1)-K506)))</f>
        <v/>
      </c>
      <c r="AI506" t="str">
        <f>IF(OR($B506="",NOT(ISNUMBER(L506))),"",IF(COUNTIF(M506:$T506,L506)&gt;0,0,IF(COUNTIF($G506:$T506,"&gt;"&amp;L506)=0,"",SMALL($G506:$T506,COUNTIF($G506:$T506,"&lt;="&amp;L506)+1)-L506)))</f>
        <v/>
      </c>
      <c r="AJ506" t="str">
        <f>IF(OR($B506="",NOT(ISNUMBER(M506))),"",IF(COUNTIF(N506:$T506,M506)&gt;0,0,IF(COUNTIF($G506:$T506,"&gt;"&amp;M506)=0,"",SMALL($G506:$T506,COUNTIF($G506:$T506,"&lt;="&amp;M506)+1)-M506)))</f>
        <v/>
      </c>
      <c r="AK506" t="str">
        <f>IF(OR($B506="",NOT(ISNUMBER(N506))),"",IF(COUNTIF(O506:$T506,N506)&gt;0,0,IF(COUNTIF($G506:$T506,"&gt;"&amp;N506)=0,"",SMALL($G506:$T506,COUNTIF($G506:$T506,"&lt;="&amp;N506)+1)-N506)))</f>
        <v/>
      </c>
      <c r="AL506" t="str">
        <f>IF(OR($B506="",NOT(ISNUMBER(O506))),"",IF(COUNTIF(P506:$T506,O506)&gt;0,0,IF(COUNTIF($G506:$T506,"&gt;"&amp;O506)=0,"",SMALL($G506:$T506,COUNTIF($G506:$T506,"&lt;="&amp;O506)+1)-O506)))</f>
        <v/>
      </c>
      <c r="AM506" t="str">
        <f>IF(OR($B506="",NOT(ISNUMBER(P506))),"",IF(COUNTIF(Q506:$T506,P506)&gt;0,0,IF(COUNTIF($G506:$T506,"&gt;"&amp;P506)=0,"",SMALL($G506:$T506,COUNTIF($G506:$T506,"&lt;="&amp;P506)+1)-P506)))</f>
        <v/>
      </c>
      <c r="AN506" t="str">
        <f>IF(OR($B506="",NOT(ISNUMBER(Q506))),"",IF(COUNTIF(R506:$T506,Q506)&gt;0,0,IF(COUNTIF($G506:$T506,"&gt;"&amp;Q506)=0,"",SMALL($G506:$T506,COUNTIF($G506:$T506,"&lt;="&amp;Q506)+1)-Q506)))</f>
        <v/>
      </c>
      <c r="AO506" t="str">
        <f>IF(OR($B506="",NOT(ISNUMBER(R506))),"",IF(COUNTIF(S506:$T506,R506)&gt;0,0,IF(COUNTIF($G506:$T506,"&gt;"&amp;R506)=0,"",SMALL($G506:$T506,COUNTIF($G506:$T506,"&lt;="&amp;R506)+1)-R506)))</f>
        <v/>
      </c>
      <c r="AP506">
        <f t="shared" ca="1" si="122"/>
        <v>2</v>
      </c>
      <c r="AQ506" s="25" t="str">
        <f t="shared" si="123"/>
        <v/>
      </c>
      <c r="AR506" s="25" t="str">
        <f t="shared" si="124"/>
        <v/>
      </c>
      <c r="AS506" s="25" t="str">
        <f t="shared" si="125"/>
        <v/>
      </c>
      <c r="AT506" s="25" t="str">
        <f t="shared" si="126"/>
        <v/>
      </c>
      <c r="AU506" s="25" t="str">
        <f t="shared" si="127"/>
        <v/>
      </c>
      <c r="AV506" s="25" t="str">
        <f t="shared" si="128"/>
        <v/>
      </c>
      <c r="AW506" s="25" t="str">
        <f t="shared" si="129"/>
        <v/>
      </c>
      <c r="AX506" s="25" t="str">
        <f t="shared" si="130"/>
        <v/>
      </c>
      <c r="AY506" s="25" t="str">
        <f t="shared" si="131"/>
        <v/>
      </c>
      <c r="AZ506" s="25" t="str">
        <f t="shared" si="132"/>
        <v/>
      </c>
      <c r="BA506" s="25" t="str">
        <f t="shared" si="133"/>
        <v/>
      </c>
      <c r="BB506" s="25" t="str">
        <f t="shared" si="134"/>
        <v/>
      </c>
      <c r="BC506" s="25" t="str">
        <f t="shared" si="135"/>
        <v/>
      </c>
    </row>
    <row r="507" spans="1:55" x14ac:dyDescent="0.25">
      <c r="A507" s="151">
        <f t="shared" si="120"/>
        <v>505</v>
      </c>
      <c r="B507" s="189" t="s">
        <v>958</v>
      </c>
      <c r="C507" s="154" t="s">
        <v>959</v>
      </c>
      <c r="D507" s="151">
        <f t="shared" si="119"/>
        <v>2</v>
      </c>
      <c r="E507" s="185" t="s">
        <v>61</v>
      </c>
      <c r="F507" s="173">
        <v>46305</v>
      </c>
      <c r="G507" s="173"/>
      <c r="H507" s="173"/>
      <c r="I507" s="173">
        <v>46305</v>
      </c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51"/>
      <c r="U507" s="151"/>
      <c r="V507" s="152"/>
      <c r="W507" s="175"/>
      <c r="X507" s="173"/>
      <c r="Y507" s="173"/>
      <c r="Z507" s="176" t="str">
        <f>IF(B507="","",IF(S507&lt;&gt;"","Sevk Edildi",IF(AND(X507&lt;&gt;"",Y507=""),"Reworkte",IF(T507&lt;&gt;"","Kapandı"&amp;IF(COUNT(G507:R507)=0,""," – "&amp;LOOKUP(2,1/(G507:R507=MAX(G507:R507)),{"Tasarım","Ply Cutter","Üretim","Kalite (Üretim sonrası)","Talaşlı","Kalite (Talaşlı sonrası)","Montaj","Kalite (Montaj sonrası)","Boya","Kalite (Boya sonrası)","Yarı Mamül","KM"})),IF(COUNT(G507:R507)=0,"Başlamadı",LOOKUP(2,1/(G507:R507=MAX(G507:R507)),{"Tasarımda","Ply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507" s="177">
        <f t="shared" ca="1" si="121"/>
        <v>2</v>
      </c>
      <c r="AB507" s="175"/>
      <c r="AD507" t="str">
        <f>IF(OR($B507="",NOT(ISNUMBER(G507))),"",IF(COUNTIF(H507:$T507,G507)&gt;0,0,IF(COUNTIF($G507:$T507,"&gt;"&amp;G507)=0,"",SMALL($G507:$T507,COUNTIF($G507:$T507,"&lt;="&amp;G507)+1)-G507)))</f>
        <v/>
      </c>
      <c r="AE507" t="str">
        <f>IF(OR($B507="",NOT(ISNUMBER(H507))),"",IF(COUNTIF(I507:$T507,H507)&gt;0,0,IF(COUNTIF($G507:$T507,"&gt;"&amp;H507)=0,"",SMALL($G507:$T507,COUNTIF($G507:$T507,"&lt;="&amp;H507)+1)-H507)))</f>
        <v/>
      </c>
      <c r="AF507" t="str">
        <f>IF(OR($B507="",NOT(ISNUMBER(I507))),"",IF(COUNTIF(J507:$T507,I507)&gt;0,0,IF(COUNTIF($G507:$T507,"&gt;"&amp;I507)=0,"",SMALL($G507:$T507,COUNTIF($G507:$T507,"&lt;="&amp;I507)+1)-I507)))</f>
        <v/>
      </c>
      <c r="AG507" t="str">
        <f>IF(OR($B507="",NOT(ISNUMBER(J507))),"",IF(COUNTIF(K507:$T507,J507)&gt;0,0,IF(COUNTIF($G507:$T507,"&gt;"&amp;J507)=0,"",SMALL($G507:$T507,COUNTIF($G507:$T507,"&lt;="&amp;J507)+1)-J507)))</f>
        <v/>
      </c>
      <c r="AH507" t="str">
        <f>IF(OR($B507="",NOT(ISNUMBER(K507))),"",IF(COUNTIF(L507:$T507,K507)&gt;0,0,IF(COUNTIF($G507:$T507,"&gt;"&amp;K507)=0,"",SMALL($G507:$T507,COUNTIF($G507:$T507,"&lt;="&amp;K507)+1)-K507)))</f>
        <v/>
      </c>
      <c r="AI507" t="str">
        <f>IF(OR($B507="",NOT(ISNUMBER(L507))),"",IF(COUNTIF(M507:$T507,L507)&gt;0,0,IF(COUNTIF($G507:$T507,"&gt;"&amp;L507)=0,"",SMALL($G507:$T507,COUNTIF($G507:$T507,"&lt;="&amp;L507)+1)-L507)))</f>
        <v/>
      </c>
      <c r="AJ507" t="str">
        <f>IF(OR($B507="",NOT(ISNUMBER(M507))),"",IF(COUNTIF(N507:$T507,M507)&gt;0,0,IF(COUNTIF($G507:$T507,"&gt;"&amp;M507)=0,"",SMALL($G507:$T507,COUNTIF($G507:$T507,"&lt;="&amp;M507)+1)-M507)))</f>
        <v/>
      </c>
      <c r="AK507" t="str">
        <f>IF(OR($B507="",NOT(ISNUMBER(N507))),"",IF(COUNTIF(O507:$T507,N507)&gt;0,0,IF(COUNTIF($G507:$T507,"&gt;"&amp;N507)=0,"",SMALL($G507:$T507,COUNTIF($G507:$T507,"&lt;="&amp;N507)+1)-N507)))</f>
        <v/>
      </c>
      <c r="AL507" t="str">
        <f>IF(OR($B507="",NOT(ISNUMBER(O507))),"",IF(COUNTIF(P507:$T507,O507)&gt;0,0,IF(COUNTIF($G507:$T507,"&gt;"&amp;O507)=0,"",SMALL($G507:$T507,COUNTIF($G507:$T507,"&lt;="&amp;O507)+1)-O507)))</f>
        <v/>
      </c>
      <c r="AM507" t="str">
        <f>IF(OR($B507="",NOT(ISNUMBER(P507))),"",IF(COUNTIF(Q507:$T507,P507)&gt;0,0,IF(COUNTIF($G507:$T507,"&gt;"&amp;P507)=0,"",SMALL($G507:$T507,COUNTIF($G507:$T507,"&lt;="&amp;P507)+1)-P507)))</f>
        <v/>
      </c>
      <c r="AN507" t="str">
        <f>IF(OR($B507="",NOT(ISNUMBER(Q507))),"",IF(COUNTIF(R507:$T507,Q507)&gt;0,0,IF(COUNTIF($G507:$T507,"&gt;"&amp;Q507)=0,"",SMALL($G507:$T507,COUNTIF($G507:$T507,"&lt;="&amp;Q507)+1)-Q507)))</f>
        <v/>
      </c>
      <c r="AO507" t="str">
        <f>IF(OR($B507="",NOT(ISNUMBER(R507))),"",IF(COUNTIF(S507:$T507,R507)&gt;0,0,IF(COUNTIF($G507:$T507,"&gt;"&amp;R507)=0,"",SMALL($G507:$T507,COUNTIF($G507:$T507,"&lt;="&amp;R507)+1)-R507)))</f>
        <v/>
      </c>
      <c r="AP507">
        <f t="shared" ca="1" si="122"/>
        <v>2</v>
      </c>
      <c r="AQ507" s="25" t="str">
        <f t="shared" si="123"/>
        <v/>
      </c>
      <c r="AR507" s="25" t="str">
        <f t="shared" si="124"/>
        <v/>
      </c>
      <c r="AS507" s="25" t="str">
        <f t="shared" si="125"/>
        <v/>
      </c>
      <c r="AT507" s="25" t="str">
        <f t="shared" si="126"/>
        <v/>
      </c>
      <c r="AU507" s="25" t="str">
        <f t="shared" si="127"/>
        <v/>
      </c>
      <c r="AV507" s="25" t="str">
        <f t="shared" si="128"/>
        <v/>
      </c>
      <c r="AW507" s="25" t="str">
        <f t="shared" si="129"/>
        <v/>
      </c>
      <c r="AX507" s="25" t="str">
        <f t="shared" si="130"/>
        <v/>
      </c>
      <c r="AY507" s="25" t="str">
        <f t="shared" si="131"/>
        <v/>
      </c>
      <c r="AZ507" s="25" t="str">
        <f t="shared" si="132"/>
        <v/>
      </c>
      <c r="BA507" s="25" t="str">
        <f t="shared" si="133"/>
        <v/>
      </c>
      <c r="BB507" s="25" t="str">
        <f t="shared" si="134"/>
        <v/>
      </c>
      <c r="BC507" s="25" t="str">
        <f t="shared" si="135"/>
        <v/>
      </c>
    </row>
    <row r="508" spans="1:55" x14ac:dyDescent="0.25">
      <c r="A508" s="151">
        <f t="shared" si="120"/>
        <v>506</v>
      </c>
      <c r="B508" s="189" t="s">
        <v>960</v>
      </c>
      <c r="C508" s="154" t="s">
        <v>248</v>
      </c>
      <c r="D508" s="151">
        <f t="shared" si="119"/>
        <v>1</v>
      </c>
      <c r="E508" s="185" t="s">
        <v>61</v>
      </c>
      <c r="F508" s="173">
        <v>46305</v>
      </c>
      <c r="G508" s="173"/>
      <c r="H508" s="173"/>
      <c r="I508" s="173">
        <v>46305</v>
      </c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51"/>
      <c r="U508" s="151"/>
      <c r="V508" s="152"/>
      <c r="W508" s="175"/>
      <c r="X508" s="173"/>
      <c r="Y508" s="173"/>
      <c r="Z508" s="176" t="str">
        <f>IF(B508="","",IF(S508&lt;&gt;"","Sevk Edildi",IF(AND(X508&lt;&gt;"",Y508=""),"Reworkte",IF(T508&lt;&gt;"","Kapandı"&amp;IF(COUNT(G508:R508)=0,""," – "&amp;LOOKUP(2,1/(G508:R508=MAX(G508:R508)),{"Tasarım","Ply Cutter","Üretim","Kalite (Üretim sonrası)","Talaşlı","Kalite (Talaşlı sonrası)","Montaj","Kalite (Montaj sonrası)","Boya","Kalite (Boya sonrası)","Yarı Mamül","KM"})),IF(COUNT(G508:R508)=0,"Başlamadı",LOOKUP(2,1/(G508:R508=MAX(G508:R508)),{"Tasarımda","Ply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508" s="177">
        <f t="shared" ca="1" si="121"/>
        <v>2</v>
      </c>
      <c r="AB508" s="175"/>
      <c r="AD508" t="str">
        <f>IF(OR($B508="",NOT(ISNUMBER(G508))),"",IF(COUNTIF(H508:$T508,G508)&gt;0,0,IF(COUNTIF($G508:$T508,"&gt;"&amp;G508)=0,"",SMALL($G508:$T508,COUNTIF($G508:$T508,"&lt;="&amp;G508)+1)-G508)))</f>
        <v/>
      </c>
      <c r="AE508" t="str">
        <f>IF(OR($B508="",NOT(ISNUMBER(H508))),"",IF(COUNTIF(I508:$T508,H508)&gt;0,0,IF(COUNTIF($G508:$T508,"&gt;"&amp;H508)=0,"",SMALL($G508:$T508,COUNTIF($G508:$T508,"&lt;="&amp;H508)+1)-H508)))</f>
        <v/>
      </c>
      <c r="AF508" t="str">
        <f>IF(OR($B508="",NOT(ISNUMBER(I508))),"",IF(COUNTIF(J508:$T508,I508)&gt;0,0,IF(COUNTIF($G508:$T508,"&gt;"&amp;I508)=0,"",SMALL($G508:$T508,COUNTIF($G508:$T508,"&lt;="&amp;I508)+1)-I508)))</f>
        <v/>
      </c>
      <c r="AG508" t="str">
        <f>IF(OR($B508="",NOT(ISNUMBER(J508))),"",IF(COUNTIF(K508:$T508,J508)&gt;0,0,IF(COUNTIF($G508:$T508,"&gt;"&amp;J508)=0,"",SMALL($G508:$T508,COUNTIF($G508:$T508,"&lt;="&amp;J508)+1)-J508)))</f>
        <v/>
      </c>
      <c r="AH508" t="str">
        <f>IF(OR($B508="",NOT(ISNUMBER(K508))),"",IF(COUNTIF(L508:$T508,K508)&gt;0,0,IF(COUNTIF($G508:$T508,"&gt;"&amp;K508)=0,"",SMALL($G508:$T508,COUNTIF($G508:$T508,"&lt;="&amp;K508)+1)-K508)))</f>
        <v/>
      </c>
      <c r="AI508" t="str">
        <f>IF(OR($B508="",NOT(ISNUMBER(L508))),"",IF(COUNTIF(M508:$T508,L508)&gt;0,0,IF(COUNTIF($G508:$T508,"&gt;"&amp;L508)=0,"",SMALL($G508:$T508,COUNTIF($G508:$T508,"&lt;="&amp;L508)+1)-L508)))</f>
        <v/>
      </c>
      <c r="AJ508" t="str">
        <f>IF(OR($B508="",NOT(ISNUMBER(M508))),"",IF(COUNTIF(N508:$T508,M508)&gt;0,0,IF(COUNTIF($G508:$T508,"&gt;"&amp;M508)=0,"",SMALL($G508:$T508,COUNTIF($G508:$T508,"&lt;="&amp;M508)+1)-M508)))</f>
        <v/>
      </c>
      <c r="AK508" t="str">
        <f>IF(OR($B508="",NOT(ISNUMBER(N508))),"",IF(COUNTIF(O508:$T508,N508)&gt;0,0,IF(COUNTIF($G508:$T508,"&gt;"&amp;N508)=0,"",SMALL($G508:$T508,COUNTIF($G508:$T508,"&lt;="&amp;N508)+1)-N508)))</f>
        <v/>
      </c>
      <c r="AL508" t="str">
        <f>IF(OR($B508="",NOT(ISNUMBER(O508))),"",IF(COUNTIF(P508:$T508,O508)&gt;0,0,IF(COUNTIF($G508:$T508,"&gt;"&amp;O508)=0,"",SMALL($G508:$T508,COUNTIF($G508:$T508,"&lt;="&amp;O508)+1)-O508)))</f>
        <v/>
      </c>
      <c r="AM508" t="str">
        <f>IF(OR($B508="",NOT(ISNUMBER(P508))),"",IF(COUNTIF(Q508:$T508,P508)&gt;0,0,IF(COUNTIF($G508:$T508,"&gt;"&amp;P508)=0,"",SMALL($G508:$T508,COUNTIF($G508:$T508,"&lt;="&amp;P508)+1)-P508)))</f>
        <v/>
      </c>
      <c r="AN508" t="str">
        <f>IF(OR($B508="",NOT(ISNUMBER(Q508))),"",IF(COUNTIF(R508:$T508,Q508)&gt;0,0,IF(COUNTIF($G508:$T508,"&gt;"&amp;Q508)=0,"",SMALL($G508:$T508,COUNTIF($G508:$T508,"&lt;="&amp;Q508)+1)-Q508)))</f>
        <v/>
      </c>
      <c r="AO508" t="str">
        <f>IF(OR($B508="",NOT(ISNUMBER(R508))),"",IF(COUNTIF(S508:$T508,R508)&gt;0,0,IF(COUNTIF($G508:$T508,"&gt;"&amp;R508)=0,"",SMALL($G508:$T508,COUNTIF($G508:$T508,"&lt;="&amp;R508)+1)-R508)))</f>
        <v/>
      </c>
      <c r="AP508">
        <f t="shared" ca="1" si="122"/>
        <v>2</v>
      </c>
      <c r="AQ508" s="25" t="str">
        <f t="shared" si="123"/>
        <v/>
      </c>
      <c r="AR508" s="25" t="str">
        <f t="shared" si="124"/>
        <v/>
      </c>
      <c r="AS508" s="25" t="str">
        <f t="shared" si="125"/>
        <v/>
      </c>
      <c r="AT508" s="25" t="str">
        <f t="shared" si="126"/>
        <v/>
      </c>
      <c r="AU508" s="25" t="str">
        <f t="shared" si="127"/>
        <v/>
      </c>
      <c r="AV508" s="25" t="str">
        <f t="shared" si="128"/>
        <v/>
      </c>
      <c r="AW508" s="25" t="str">
        <f t="shared" si="129"/>
        <v/>
      </c>
      <c r="AX508" s="25" t="str">
        <f t="shared" si="130"/>
        <v/>
      </c>
      <c r="AY508" s="25" t="str">
        <f t="shared" si="131"/>
        <v/>
      </c>
      <c r="AZ508" s="25" t="str">
        <f t="shared" si="132"/>
        <v/>
      </c>
      <c r="BA508" s="25" t="str">
        <f t="shared" si="133"/>
        <v/>
      </c>
      <c r="BB508" s="25" t="str">
        <f t="shared" si="134"/>
        <v/>
      </c>
      <c r="BC508" s="25" t="str">
        <f t="shared" si="135"/>
        <v/>
      </c>
    </row>
    <row r="509" spans="1:55" x14ac:dyDescent="0.25">
      <c r="A509" s="151">
        <f t="shared" si="120"/>
        <v>507</v>
      </c>
      <c r="B509" s="190" t="s">
        <v>961</v>
      </c>
      <c r="C509" s="186" t="s">
        <v>962</v>
      </c>
      <c r="D509" s="151">
        <f t="shared" si="119"/>
        <v>8</v>
      </c>
      <c r="E509" s="185" t="s">
        <v>61</v>
      </c>
      <c r="F509" s="173">
        <v>46305</v>
      </c>
      <c r="G509" s="173"/>
      <c r="H509" s="173"/>
      <c r="I509" s="173"/>
      <c r="J509" s="173"/>
      <c r="K509" s="187">
        <v>46305</v>
      </c>
      <c r="L509" s="173">
        <v>46305</v>
      </c>
      <c r="M509" s="173"/>
      <c r="N509" s="173"/>
      <c r="O509" s="173"/>
      <c r="P509" s="173"/>
      <c r="Q509" s="173"/>
      <c r="R509" s="173"/>
      <c r="S509" s="173"/>
      <c r="T509" s="174">
        <v>46305</v>
      </c>
      <c r="U509" s="151"/>
      <c r="V509" s="152"/>
      <c r="W509" s="175"/>
      <c r="X509" s="173"/>
      <c r="Y509" s="173"/>
      <c r="Z509" s="176" t="str">
        <f>IF(B509="","",IF(S509&lt;&gt;"","Sevk Edildi",IF(AND(X509&lt;&gt;"",Y509=""),"Reworkte",IF(T509&lt;&gt;"","Kapandı"&amp;IF(COUNT(G509:R509)=0,""," – "&amp;LOOKUP(2,1/(G509:R509=MAX(G509:R509)),{"Tasarım","Ply Cutter","Üretim","Kalite (Üretim sonrası)","Talaşlı","Kalite (Talaşlı sonrası)","Montaj","Kalite (Montaj sonrası)","Boya","Kalite (Boya sonrası)","Yarı Mamül","KM"})),IF(COUNT(G509:R509)=0,"Başlamadı",LOOKUP(2,1/(G509:R509=MAX(G509:R509)),{"Tasarımda","Ply Cutter'da","Üretimde","Kalitede (Üretim sonrası)","Talaşlıda","Kalitede (Talaşlı sonrası)","Montajda","Kalitede (Montaj sonrası)","Boyada","Kalitede (Boya sonrası)","Yarı Mamülde","KM'de"}))))))</f>
        <v>Kapandı – Kalite (Talaşlı sonrası)</v>
      </c>
      <c r="AA509" s="177">
        <f t="shared" ca="1" si="121"/>
        <v>0</v>
      </c>
      <c r="AB509" s="175"/>
      <c r="AD509" t="str">
        <f>IF(OR($B509="",NOT(ISNUMBER(G509))),"",IF(COUNTIF(H509:$T509,G509)&gt;0,0,IF(COUNTIF($G509:$T509,"&gt;"&amp;G509)=0,"",SMALL($G509:$T509,COUNTIF($G509:$T509,"&lt;="&amp;G509)+1)-G509)))</f>
        <v/>
      </c>
      <c r="AE509" t="str">
        <f>IF(OR($B509="",NOT(ISNUMBER(H509))),"",IF(COUNTIF(I509:$T509,H509)&gt;0,0,IF(COUNTIF($G509:$T509,"&gt;"&amp;H509)=0,"",SMALL($G509:$T509,COUNTIF($G509:$T509,"&lt;="&amp;H509)+1)-H509)))</f>
        <v/>
      </c>
      <c r="AF509" t="str">
        <f>IF(OR($B509="",NOT(ISNUMBER(#REF!))),"",IF(COUNTIF(J509:$T509,#REF!)&gt;0,0,IF(COUNTIF($G509:$T509,"&gt;"&amp;#REF!)=0,"",SMALL($G509:$T509,COUNTIF($G509:$T509,"&lt;="&amp;#REF!)+1)-#REF!)))</f>
        <v/>
      </c>
      <c r="AG509" t="str">
        <f>IF(OR($B509="",NOT(ISNUMBER(J509))),"",IF(COUNTIF(K509:$T509,J509)&gt;0,0,IF(COUNTIF($G509:$T509,"&gt;"&amp;J509)=0,"",SMALL($G509:$T509,COUNTIF($G509:$T509,"&lt;="&amp;J509)+1)-J509)))</f>
        <v/>
      </c>
      <c r="AH509" t="str">
        <f>IF(OR($B509="",NOT(ISNUMBER(K510))),"",IF(COUNTIF(L509:$T509,K510)&gt;0,0,IF(COUNTIF($G509:$T509,"&gt;"&amp;K510)=0,"",SMALL($G509:$T509,COUNTIF($G509:$T509,"&lt;="&amp;K510)+1)-K510)))</f>
        <v/>
      </c>
      <c r="AI509">
        <f>IF(OR($B509="",NOT(ISNUMBER(L509))),"",IF(COUNTIF(M509:$T509,L509)&gt;0,0,IF(COUNTIF($G509:$T509,"&gt;"&amp;L509)=0,"",SMALL($G509:$T509,COUNTIF($G509:$T509,"&lt;="&amp;L509)+1)-L509)))</f>
        <v>0</v>
      </c>
      <c r="AJ509" t="str">
        <f>IF(OR($B509="",NOT(ISNUMBER(M509))),"",IF(COUNTIF(N509:$T509,M509)&gt;0,0,IF(COUNTIF($G509:$T509,"&gt;"&amp;M509)=0,"",SMALL($G509:$T509,COUNTIF($G509:$T509,"&lt;="&amp;M509)+1)-M509)))</f>
        <v/>
      </c>
      <c r="AK509" t="str">
        <f>IF(OR($B509="",NOT(ISNUMBER(N509))),"",IF(COUNTIF(O509:$T509,N509)&gt;0,0,IF(COUNTIF($G509:$T509,"&gt;"&amp;N509)=0,"",SMALL($G509:$T509,COUNTIF($G509:$T509,"&lt;="&amp;N509)+1)-N509)))</f>
        <v/>
      </c>
      <c r="AL509" t="str">
        <f>IF(OR($B509="",NOT(ISNUMBER(O509))),"",IF(COUNTIF(P509:$T509,O509)&gt;0,0,IF(COUNTIF($G509:$T509,"&gt;"&amp;O509)=0,"",SMALL($G509:$T509,COUNTIF($G509:$T509,"&lt;="&amp;O509)+1)-O509)))</f>
        <v/>
      </c>
      <c r="AM509" t="str">
        <f>IF(OR($B509="",NOT(ISNUMBER(P509))),"",IF(COUNTIF(Q509:$T509,P509)&gt;0,0,IF(COUNTIF($G509:$T509,"&gt;"&amp;P509)=0,"",SMALL($G509:$T509,COUNTIF($G509:$T509,"&lt;="&amp;P509)+1)-P509)))</f>
        <v/>
      </c>
      <c r="AN509" t="str">
        <f>IF(OR($B509="",NOT(ISNUMBER(Q509))),"",IF(COUNTIF(R509:$T509,Q509)&gt;0,0,IF(COUNTIF($G509:$T509,"&gt;"&amp;Q509)=0,"",SMALL($G509:$T509,COUNTIF($G509:$T509,"&lt;="&amp;Q509)+1)-Q509)))</f>
        <v/>
      </c>
      <c r="AO509" t="str">
        <f>IF(OR($B509="",NOT(ISNUMBER(R509))),"",IF(COUNTIF(S509:$T509,R509)&gt;0,0,IF(COUNTIF($G509:$T509,"&gt;"&amp;R509)=0,"",SMALL($G509:$T509,COUNTIF($G509:$T509,"&lt;="&amp;R509)+1)-R509)))</f>
        <v/>
      </c>
      <c r="AP509">
        <f t="shared" ca="1" si="122"/>
        <v>0</v>
      </c>
      <c r="AQ509" s="25" t="str">
        <f t="shared" si="123"/>
        <v/>
      </c>
      <c r="AR509" s="25" t="str">
        <f t="shared" si="124"/>
        <v/>
      </c>
      <c r="AS509" s="25" t="str">
        <f>IF(AND(ISNUMBER(#REF!),ISNUMBER(AF509)),#REF!+AF509,"")</f>
        <v/>
      </c>
      <c r="AT509" s="25" t="str">
        <f t="shared" si="126"/>
        <v/>
      </c>
      <c r="AU509" s="25" t="str">
        <f>IF(AND(ISNUMBER(K510),ISNUMBER(AH509)),K510+AH509,"")</f>
        <v/>
      </c>
      <c r="AV509" s="25">
        <f t="shared" si="128"/>
        <v>46305</v>
      </c>
      <c r="AW509" s="25" t="str">
        <f t="shared" si="129"/>
        <v/>
      </c>
      <c r="AX509" s="25" t="str">
        <f t="shared" si="130"/>
        <v/>
      </c>
      <c r="AY509" s="25" t="str">
        <f t="shared" si="131"/>
        <v/>
      </c>
      <c r="AZ509" s="25" t="str">
        <f t="shared" si="132"/>
        <v/>
      </c>
      <c r="BA509" s="25" t="str">
        <f t="shared" si="133"/>
        <v/>
      </c>
      <c r="BB509" s="25" t="str">
        <f t="shared" si="134"/>
        <v/>
      </c>
      <c r="BC509" s="25">
        <f t="shared" si="135"/>
        <v>46305</v>
      </c>
    </row>
    <row r="510" spans="1:55" x14ac:dyDescent="0.25">
      <c r="A510" s="151">
        <f t="shared" si="120"/>
        <v>508</v>
      </c>
      <c r="B510" s="190" t="s">
        <v>963</v>
      </c>
      <c r="C510" s="186" t="s">
        <v>229</v>
      </c>
      <c r="D510" s="151">
        <f t="shared" si="119"/>
        <v>1</v>
      </c>
      <c r="E510" s="185" t="s">
        <v>61</v>
      </c>
      <c r="F510" s="173">
        <v>46305</v>
      </c>
      <c r="G510" s="173"/>
      <c r="H510" s="173"/>
      <c r="J510" s="173"/>
      <c r="K510" s="173"/>
      <c r="L510" s="173"/>
      <c r="M510" s="173">
        <v>46305</v>
      </c>
      <c r="N510" s="173"/>
      <c r="O510" s="173"/>
      <c r="P510" s="173"/>
      <c r="Q510" s="173"/>
      <c r="R510" s="173"/>
      <c r="S510" s="173"/>
      <c r="T510" s="151"/>
      <c r="U510" s="151"/>
      <c r="V510" s="152"/>
      <c r="W510" s="175"/>
      <c r="X510" s="173"/>
      <c r="Y510" s="173"/>
      <c r="Z510" s="176" t="str">
        <f>IF(B510="","",IF(S510&lt;&gt;"","Sevk Edildi",IF(AND(X510&lt;&gt;"",Y510=""),"Reworkte",IF(T510&lt;&gt;"","Kapandı"&amp;IF(COUNT(G510:R510)=0,""," – "&amp;LOOKUP(2,1/(G510:R510=MAX(G510:R510)),{"Tasarım","Ply Cutter","Üretim","Kalite (Üretim sonrası)","Talaşlı","Kalite (Talaşlı sonrası)","Montaj","Kalite (Montaj sonrası)","Boya","Kalite (Boya sonrası)","Yarı Mamül","KM"})),IF(COUNT(G510:R510)=0,"Başlamadı",LOOKUP(2,1/(G510:R510=MAX(G510:R510)),{"Tasarımda","Ply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510" s="177">
        <f t="shared" ca="1" si="121"/>
        <v>2</v>
      </c>
      <c r="AB510" s="175"/>
      <c r="AD510" t="str">
        <f>IF(OR($B510="",NOT(ISNUMBER(G510))),"",IF(COUNTIF(H510:$T510,G510)&gt;0,0,IF(COUNTIF($G510:$T510,"&gt;"&amp;G510)=0,"",SMALL($G510:$T510,COUNTIF($G510:$T510,"&lt;="&amp;G510)+1)-G510)))</f>
        <v/>
      </c>
      <c r="AE510" t="str">
        <f>IF(OR($B510="",NOT(ISNUMBER(H510))),"",IF(COUNTIF(I510:$T510,H510)&gt;0,0,IF(COUNTIF($G510:$T510,"&gt;"&amp;H510)=0,"",SMALL($G510:$T510,COUNTIF($G510:$T510,"&lt;="&amp;H510)+1)-H510)))</f>
        <v/>
      </c>
      <c r="AF510" t="str">
        <f>IF(OR($B510="",NOT(ISNUMBER(I509))),"",IF(COUNTIF(J510:$T510,I509)&gt;0,0,IF(COUNTIF($G510:$T510,"&gt;"&amp;I509)=0,"",SMALL($G510:$T510,COUNTIF($G510:$T510,"&lt;="&amp;I509)+1)-I509)))</f>
        <v/>
      </c>
      <c r="AG510" t="str">
        <f>IF(OR($B510="",NOT(ISNUMBER(J510))),"",IF(COUNTIF(K510:$T510,J510)&gt;0,0,IF(COUNTIF($G510:$T510,"&gt;"&amp;J510)=0,"",SMALL($G510:$T510,COUNTIF($G510:$T510,"&lt;="&amp;J510)+1)-J510)))</f>
        <v/>
      </c>
      <c r="AH510" t="str">
        <f>IF(OR($B510="",NOT(ISNUMBER(#REF!))),"",IF(COUNTIF(L510:$T510,#REF!)&gt;0,0,IF(COUNTIF($G510:$T510,"&gt;"&amp;#REF!)=0,"",SMALL($G510:$T510,COUNTIF($G510:$T510,"&lt;="&amp;#REF!)+1)-#REF!)))</f>
        <v/>
      </c>
      <c r="AI510" t="str">
        <f>IF(OR($B510="",NOT(ISNUMBER(L510))),"",IF(COUNTIF(M510:$T510,L510)&gt;0,0,IF(COUNTIF($G510:$T510,"&gt;"&amp;L510)=0,"",SMALL($G510:$T510,COUNTIF($G510:$T510,"&lt;="&amp;L510)+1)-L510)))</f>
        <v/>
      </c>
      <c r="AJ510" t="str">
        <f>IF(OR($B510="",NOT(ISNUMBER(M510))),"",IF(COUNTIF(N510:$T510,M510)&gt;0,0,IF(COUNTIF($G510:$T510,"&gt;"&amp;M510)=0,"",SMALL($G510:$T510,COUNTIF($G510:$T510,"&lt;="&amp;M510)+1)-M510)))</f>
        <v/>
      </c>
      <c r="AK510" t="str">
        <f>IF(OR($B510="",NOT(ISNUMBER(N510))),"",IF(COUNTIF(O510:$T510,N510)&gt;0,0,IF(COUNTIF($G510:$T510,"&gt;"&amp;N510)=0,"",SMALL($G510:$T510,COUNTIF($G510:$T510,"&lt;="&amp;N510)+1)-N510)))</f>
        <v/>
      </c>
      <c r="AL510" t="str">
        <f>IF(OR($B510="",NOT(ISNUMBER(O510))),"",IF(COUNTIF(P510:$T510,O510)&gt;0,0,IF(COUNTIF($G510:$T510,"&gt;"&amp;O510)=0,"",SMALL($G510:$T510,COUNTIF($G510:$T510,"&lt;="&amp;O510)+1)-O510)))</f>
        <v/>
      </c>
      <c r="AM510" t="str">
        <f>IF(OR($B510="",NOT(ISNUMBER(P510))),"",IF(COUNTIF(Q510:$T510,P510)&gt;0,0,IF(COUNTIF($G510:$T510,"&gt;"&amp;P510)=0,"",SMALL($G510:$T510,COUNTIF($G510:$T510,"&lt;="&amp;P510)+1)-P510)))</f>
        <v/>
      </c>
      <c r="AN510" t="str">
        <f>IF(OR($B510="",NOT(ISNUMBER(Q510))),"",IF(COUNTIF(R510:$T510,Q510)&gt;0,0,IF(COUNTIF($G510:$T510,"&gt;"&amp;Q510)=0,"",SMALL($G510:$T510,COUNTIF($G510:$T510,"&lt;="&amp;Q510)+1)-Q510)))</f>
        <v/>
      </c>
      <c r="AO510" t="str">
        <f>IF(OR($B510="",NOT(ISNUMBER(R510))),"",IF(COUNTIF(S510:$T510,R510)&gt;0,0,IF(COUNTIF($G510:$T510,"&gt;"&amp;R510)=0,"",SMALL($G510:$T510,COUNTIF($G510:$T510,"&lt;="&amp;R510)+1)-R510)))</f>
        <v/>
      </c>
      <c r="AP510">
        <f t="shared" ca="1" si="122"/>
        <v>2</v>
      </c>
      <c r="AQ510" s="25" t="str">
        <f t="shared" si="123"/>
        <v/>
      </c>
      <c r="AR510" s="25" t="str">
        <f t="shared" si="124"/>
        <v/>
      </c>
      <c r="AS510" s="25" t="str">
        <f>IF(AND(ISNUMBER(I509),ISNUMBER(AF510)),I509+AF510,"")</f>
        <v/>
      </c>
      <c r="AT510" s="25" t="str">
        <f t="shared" si="126"/>
        <v/>
      </c>
      <c r="AU510" s="25" t="str">
        <f>IF(AND(ISNUMBER(#REF!),ISNUMBER(AH510)),#REF!+AH510,"")</f>
        <v/>
      </c>
      <c r="AV510" s="25" t="str">
        <f t="shared" si="128"/>
        <v/>
      </c>
      <c r="AW510" s="25" t="str">
        <f t="shared" si="129"/>
        <v/>
      </c>
      <c r="AX510" s="25" t="str">
        <f t="shared" si="130"/>
        <v/>
      </c>
      <c r="AY510" s="25" t="str">
        <f t="shared" si="131"/>
        <v/>
      </c>
      <c r="AZ510" s="25" t="str">
        <f t="shared" si="132"/>
        <v/>
      </c>
      <c r="BA510" s="25" t="str">
        <f t="shared" si="133"/>
        <v/>
      </c>
      <c r="BB510" s="25" t="str">
        <f t="shared" si="134"/>
        <v/>
      </c>
      <c r="BC510" s="25" t="str">
        <f t="shared" si="135"/>
        <v/>
      </c>
    </row>
    <row r="511" spans="1:55" x14ac:dyDescent="0.25">
      <c r="A511" s="151">
        <f t="shared" si="120"/>
        <v>509</v>
      </c>
      <c r="B511" s="190" t="s">
        <v>964</v>
      </c>
      <c r="C511" s="186" t="s">
        <v>229</v>
      </c>
      <c r="D511" s="151">
        <f t="shared" ref="D511:D574" si="136">IFERROR(VALUE(TRIM(MID(C511,FIND(" - ",C511)+3,FIND(" - ",C511,FIND(" - ",C511)+3)-FIND(" - ",C511)-3))),"")</f>
        <v>1</v>
      </c>
      <c r="E511" s="185" t="s">
        <v>61</v>
      </c>
      <c r="F511" s="173">
        <v>46305</v>
      </c>
      <c r="G511" s="173"/>
      <c r="H511" s="173"/>
      <c r="I511" s="173"/>
      <c r="J511" s="173"/>
      <c r="K511" s="173"/>
      <c r="L511" s="173"/>
      <c r="M511" s="173">
        <v>46305</v>
      </c>
      <c r="N511" s="173"/>
      <c r="O511" s="173"/>
      <c r="P511" s="173"/>
      <c r="Q511" s="173"/>
      <c r="R511" s="173"/>
      <c r="S511" s="173"/>
      <c r="T511" s="151"/>
      <c r="U511" s="151"/>
      <c r="V511" s="152"/>
      <c r="W511" s="175"/>
      <c r="X511" s="173"/>
      <c r="Y511" s="173"/>
      <c r="Z511" s="176" t="str">
        <f>IF(B511="","",IF(S511&lt;&gt;"","Sevk Edildi",IF(AND(X511&lt;&gt;"",Y511=""),"Reworkte",IF(T511&lt;&gt;"","Kapandı"&amp;IF(COUNT(G511:R511)=0,""," – "&amp;LOOKUP(2,1/(G511:R511=MAX(G511:R511)),{"Tasarım","Ply Cutter","Üretim","Kalite (Üretim sonrası)","Talaşlı","Kalite (Talaşlı sonrası)","Montaj","Kalite (Montaj sonrası)","Boya","Kalite (Boya sonrası)","Yarı Mamül","KM"})),IF(COUNT(G511:R511)=0,"Başlamadı",LOOKUP(2,1/(G511:R511=MAX(G511:R511)),{"Tasarımda","Ply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511" s="177">
        <f t="shared" ca="1" si="121"/>
        <v>2</v>
      </c>
      <c r="AB511" s="175"/>
      <c r="AD511" t="str">
        <f>IF(OR($B511="",NOT(ISNUMBER(G511))),"",IF(COUNTIF(H511:$T511,G511)&gt;0,0,IF(COUNTIF($G511:$T511,"&gt;"&amp;G511)=0,"",SMALL($G511:$T511,COUNTIF($G511:$T511,"&lt;="&amp;G511)+1)-G511)))</f>
        <v/>
      </c>
      <c r="AE511" t="str">
        <f>IF(OR($B511="",NOT(ISNUMBER(H511))),"",IF(COUNTIF(I511:$T511,H511)&gt;0,0,IF(COUNTIF($G511:$T511,"&gt;"&amp;H511)=0,"",SMALL($G511:$T511,COUNTIF($G511:$T511,"&lt;="&amp;H511)+1)-H511)))</f>
        <v/>
      </c>
      <c r="AF511" t="str">
        <f>IF(OR($B511="",NOT(ISNUMBER(I511))),"",IF(COUNTIF(J511:$T511,I511)&gt;0,0,IF(COUNTIF($G511:$T511,"&gt;"&amp;I511)=0,"",SMALL($G511:$T511,COUNTIF($G511:$T511,"&lt;="&amp;I511)+1)-I511)))</f>
        <v/>
      </c>
      <c r="AG511" t="str">
        <f>IF(OR($B511="",NOT(ISNUMBER(J511))),"",IF(COUNTIF(K511:$T511,J511)&gt;0,0,IF(COUNTIF($G511:$T511,"&gt;"&amp;J511)=0,"",SMALL($G511:$T511,COUNTIF($G511:$T511,"&lt;="&amp;J511)+1)-J511)))</f>
        <v/>
      </c>
      <c r="AH511" t="str">
        <f>IF(OR($B511="",NOT(ISNUMBER(K511))),"",IF(COUNTIF(L511:$T511,K511)&gt;0,0,IF(COUNTIF($G511:$T511,"&gt;"&amp;K511)=0,"",SMALL($G511:$T511,COUNTIF($G511:$T511,"&lt;="&amp;K511)+1)-K511)))</f>
        <v/>
      </c>
      <c r="AI511" t="str">
        <f>IF(OR($B511="",NOT(ISNUMBER(L511))),"",IF(COUNTIF(M511:$T511,L511)&gt;0,0,IF(COUNTIF($G511:$T511,"&gt;"&amp;L511)=0,"",SMALL($G511:$T511,COUNTIF($G511:$T511,"&lt;="&amp;L511)+1)-L511)))</f>
        <v/>
      </c>
      <c r="AJ511" t="str">
        <f>IF(OR($B511="",NOT(ISNUMBER(M511))),"",IF(COUNTIF(N511:$T511,M511)&gt;0,0,IF(COUNTIF($G511:$T511,"&gt;"&amp;M511)=0,"",SMALL($G511:$T511,COUNTIF($G511:$T511,"&lt;="&amp;M511)+1)-M511)))</f>
        <v/>
      </c>
      <c r="AK511" t="str">
        <f>IF(OR($B511="",NOT(ISNUMBER(N511))),"",IF(COUNTIF(O511:$T511,N511)&gt;0,0,IF(COUNTIF($G511:$T511,"&gt;"&amp;N511)=0,"",SMALL($G511:$T511,COUNTIF($G511:$T511,"&lt;="&amp;N511)+1)-N511)))</f>
        <v/>
      </c>
      <c r="AL511" t="str">
        <f>IF(OR($B511="",NOT(ISNUMBER(O511))),"",IF(COUNTIF(P511:$T511,O511)&gt;0,0,IF(COUNTIF($G511:$T511,"&gt;"&amp;O511)=0,"",SMALL($G511:$T511,COUNTIF($G511:$T511,"&lt;="&amp;O511)+1)-O511)))</f>
        <v/>
      </c>
      <c r="AM511" t="str">
        <f>IF(OR($B511="",NOT(ISNUMBER(P511))),"",IF(COUNTIF(Q511:$T511,P511)&gt;0,0,IF(COUNTIF($G511:$T511,"&gt;"&amp;P511)=0,"",SMALL($G511:$T511,COUNTIF($G511:$T511,"&lt;="&amp;P511)+1)-P511)))</f>
        <v/>
      </c>
      <c r="AN511" t="str">
        <f>IF(OR($B511="",NOT(ISNUMBER(Q511))),"",IF(COUNTIF(R511:$T511,Q511)&gt;0,0,IF(COUNTIF($G511:$T511,"&gt;"&amp;Q511)=0,"",SMALL($G511:$T511,COUNTIF($G511:$T511,"&lt;="&amp;Q511)+1)-Q511)))</f>
        <v/>
      </c>
      <c r="AO511" t="str">
        <f>IF(OR($B511="",NOT(ISNUMBER(R511))),"",IF(COUNTIF(S511:$T511,R511)&gt;0,0,IF(COUNTIF($G511:$T511,"&gt;"&amp;R511)=0,"",SMALL($G511:$T511,COUNTIF($G511:$T511,"&lt;="&amp;R511)+1)-R511)))</f>
        <v/>
      </c>
      <c r="AP511">
        <f t="shared" ca="1" si="122"/>
        <v>2</v>
      </c>
      <c r="AQ511" s="25" t="str">
        <f t="shared" si="123"/>
        <v/>
      </c>
      <c r="AR511" s="25" t="str">
        <f t="shared" si="124"/>
        <v/>
      </c>
      <c r="AS511" s="25" t="str">
        <f t="shared" si="125"/>
        <v/>
      </c>
      <c r="AT511" s="25" t="str">
        <f t="shared" si="126"/>
        <v/>
      </c>
      <c r="AU511" s="25" t="str">
        <f t="shared" si="127"/>
        <v/>
      </c>
      <c r="AV511" s="25" t="str">
        <f t="shared" si="128"/>
        <v/>
      </c>
      <c r="AW511" s="25" t="str">
        <f t="shared" si="129"/>
        <v/>
      </c>
      <c r="AX511" s="25" t="str">
        <f t="shared" si="130"/>
        <v/>
      </c>
      <c r="AY511" s="25" t="str">
        <f t="shared" si="131"/>
        <v/>
      </c>
      <c r="AZ511" s="25" t="str">
        <f t="shared" si="132"/>
        <v/>
      </c>
      <c r="BA511" s="25" t="str">
        <f t="shared" si="133"/>
        <v/>
      </c>
      <c r="BB511" s="25" t="str">
        <f t="shared" si="134"/>
        <v/>
      </c>
      <c r="BC511" s="25" t="str">
        <f t="shared" si="135"/>
        <v/>
      </c>
    </row>
    <row r="512" spans="1:55" x14ac:dyDescent="0.25">
      <c r="A512" s="151">
        <f t="shared" si="120"/>
        <v>510</v>
      </c>
      <c r="B512" s="190" t="s">
        <v>965</v>
      </c>
      <c r="C512" s="186" t="s">
        <v>227</v>
      </c>
      <c r="D512" s="151">
        <f t="shared" si="136"/>
        <v>1</v>
      </c>
      <c r="E512" s="185" t="s">
        <v>61</v>
      </c>
      <c r="F512" s="173">
        <v>46305</v>
      </c>
      <c r="G512" s="173"/>
      <c r="H512" s="173"/>
      <c r="I512" s="173"/>
      <c r="J512" s="173"/>
      <c r="K512" s="173"/>
      <c r="L512" s="173"/>
      <c r="M512" s="173">
        <v>46305</v>
      </c>
      <c r="N512" s="173"/>
      <c r="O512" s="173"/>
      <c r="P512" s="173"/>
      <c r="Q512" s="173"/>
      <c r="R512" s="173"/>
      <c r="S512" s="173"/>
      <c r="T512" s="151"/>
      <c r="U512" s="151"/>
      <c r="V512" s="152"/>
      <c r="W512" s="175"/>
      <c r="X512" s="173"/>
      <c r="Y512" s="173"/>
      <c r="Z512" s="176" t="str">
        <f>IF(B512="","",IF(S512&lt;&gt;"","Sevk Edildi",IF(AND(X512&lt;&gt;"",Y512=""),"Reworkte",IF(T512&lt;&gt;"","Kapandı"&amp;IF(COUNT(G512:R512)=0,""," – "&amp;LOOKUP(2,1/(G512:R512=MAX(G512:R512)),{"Tasarım","Ply Cutter","Üretim","Kalite (Üretim sonrası)","Talaşlı","Kalite (Talaşlı sonrası)","Montaj","Kalite (Montaj sonrası)","Boya","Kalite (Boya sonrası)","Yarı Mamül","KM"})),IF(COUNT(G512:R512)=0,"Başlamadı",LOOKUP(2,1/(G512:R512=MAX(G512:R512)),{"Tasarımda","Ply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512" s="177">
        <f t="shared" ca="1" si="121"/>
        <v>2</v>
      </c>
      <c r="AB512" s="175"/>
      <c r="AD512" t="str">
        <f>IF(OR($B512="",NOT(ISNUMBER(G512))),"",IF(COUNTIF(H512:$T512,G512)&gt;0,0,IF(COUNTIF($G512:$T512,"&gt;"&amp;G512)=0,"",SMALL($G512:$T512,COUNTIF($G512:$T512,"&lt;="&amp;G512)+1)-G512)))</f>
        <v/>
      </c>
      <c r="AE512" t="str">
        <f>IF(OR($B512="",NOT(ISNUMBER(H512))),"",IF(COUNTIF(I512:$T512,H512)&gt;0,0,IF(COUNTIF($G512:$T512,"&gt;"&amp;H512)=0,"",SMALL($G512:$T512,COUNTIF($G512:$T512,"&lt;="&amp;H512)+1)-H512)))</f>
        <v/>
      </c>
      <c r="AF512" t="str">
        <f>IF(OR($B512="",NOT(ISNUMBER(I512))),"",IF(COUNTIF(J512:$T512,I512)&gt;0,0,IF(COUNTIF($G512:$T512,"&gt;"&amp;I512)=0,"",SMALL($G512:$T512,COUNTIF($G512:$T512,"&lt;="&amp;I512)+1)-I512)))</f>
        <v/>
      </c>
      <c r="AG512" t="str">
        <f>IF(OR($B512="",NOT(ISNUMBER(J512))),"",IF(COUNTIF(K512:$T512,J512)&gt;0,0,IF(COUNTIF($G512:$T512,"&gt;"&amp;J512)=0,"",SMALL($G512:$T512,COUNTIF($G512:$T512,"&lt;="&amp;J512)+1)-J512)))</f>
        <v/>
      </c>
      <c r="AH512" t="str">
        <f>IF(OR($B512="",NOT(ISNUMBER(K512))),"",IF(COUNTIF(L512:$T512,K512)&gt;0,0,IF(COUNTIF($G512:$T512,"&gt;"&amp;K512)=0,"",SMALL($G512:$T512,COUNTIF($G512:$T512,"&lt;="&amp;K512)+1)-K512)))</f>
        <v/>
      </c>
      <c r="AI512" t="str">
        <f>IF(OR($B512="",NOT(ISNUMBER(L512))),"",IF(COUNTIF(M512:$T512,L512)&gt;0,0,IF(COUNTIF($G512:$T512,"&gt;"&amp;L512)=0,"",SMALL($G512:$T512,COUNTIF($G512:$T512,"&lt;="&amp;L512)+1)-L512)))</f>
        <v/>
      </c>
      <c r="AJ512" t="str">
        <f>IF(OR($B512="",NOT(ISNUMBER(M512))),"",IF(COUNTIF(N512:$T512,M512)&gt;0,0,IF(COUNTIF($G512:$T512,"&gt;"&amp;M512)=0,"",SMALL($G512:$T512,COUNTIF($G512:$T512,"&lt;="&amp;M512)+1)-M512)))</f>
        <v/>
      </c>
      <c r="AK512" t="str">
        <f>IF(OR($B512="",NOT(ISNUMBER(N512))),"",IF(COUNTIF(O512:$T512,N512)&gt;0,0,IF(COUNTIF($G512:$T512,"&gt;"&amp;N512)=0,"",SMALL($G512:$T512,COUNTIF($G512:$T512,"&lt;="&amp;N512)+1)-N512)))</f>
        <v/>
      </c>
      <c r="AL512" t="str">
        <f>IF(OR($B512="",NOT(ISNUMBER(O512))),"",IF(COUNTIF(P512:$T512,O512)&gt;0,0,IF(COUNTIF($G512:$T512,"&gt;"&amp;O512)=0,"",SMALL($G512:$T512,COUNTIF($G512:$T512,"&lt;="&amp;O512)+1)-O512)))</f>
        <v/>
      </c>
      <c r="AM512" t="str">
        <f>IF(OR($B512="",NOT(ISNUMBER(P512))),"",IF(COUNTIF(Q512:$T512,P512)&gt;0,0,IF(COUNTIF($G512:$T512,"&gt;"&amp;P512)=0,"",SMALL($G512:$T512,COUNTIF($G512:$T512,"&lt;="&amp;P512)+1)-P512)))</f>
        <v/>
      </c>
      <c r="AN512" t="str">
        <f>IF(OR($B512="",NOT(ISNUMBER(Q512))),"",IF(COUNTIF(R512:$T512,Q512)&gt;0,0,IF(COUNTIF($G512:$T512,"&gt;"&amp;Q512)=0,"",SMALL($G512:$T512,COUNTIF($G512:$T512,"&lt;="&amp;Q512)+1)-Q512)))</f>
        <v/>
      </c>
      <c r="AO512" t="str">
        <f>IF(OR($B512="",NOT(ISNUMBER(R512))),"",IF(COUNTIF(S512:$T512,R512)&gt;0,0,IF(COUNTIF($G512:$T512,"&gt;"&amp;R512)=0,"",SMALL($G512:$T512,COUNTIF($G512:$T512,"&lt;="&amp;R512)+1)-R512)))</f>
        <v/>
      </c>
      <c r="AP512">
        <f t="shared" ca="1" si="122"/>
        <v>2</v>
      </c>
      <c r="AQ512" s="25" t="str">
        <f t="shared" si="123"/>
        <v/>
      </c>
      <c r="AR512" s="25" t="str">
        <f t="shared" si="124"/>
        <v/>
      </c>
      <c r="AS512" s="25" t="str">
        <f t="shared" si="125"/>
        <v/>
      </c>
      <c r="AT512" s="25" t="str">
        <f t="shared" si="126"/>
        <v/>
      </c>
      <c r="AU512" s="25" t="str">
        <f t="shared" si="127"/>
        <v/>
      </c>
      <c r="AV512" s="25" t="str">
        <f t="shared" si="128"/>
        <v/>
      </c>
      <c r="AW512" s="25" t="str">
        <f t="shared" si="129"/>
        <v/>
      </c>
      <c r="AX512" s="25" t="str">
        <f t="shared" si="130"/>
        <v/>
      </c>
      <c r="AY512" s="25" t="str">
        <f t="shared" si="131"/>
        <v/>
      </c>
      <c r="AZ512" s="25" t="str">
        <f t="shared" si="132"/>
        <v/>
      </c>
      <c r="BA512" s="25" t="str">
        <f t="shared" si="133"/>
        <v/>
      </c>
      <c r="BB512" s="25" t="str">
        <f t="shared" si="134"/>
        <v/>
      </c>
      <c r="BC512" s="25" t="str">
        <f t="shared" si="135"/>
        <v/>
      </c>
    </row>
    <row r="513" spans="1:55" x14ac:dyDescent="0.25">
      <c r="A513" s="151">
        <f t="shared" si="120"/>
        <v>511</v>
      </c>
      <c r="B513" s="190" t="s">
        <v>966</v>
      </c>
      <c r="C513" s="186" t="s">
        <v>227</v>
      </c>
      <c r="D513" s="151">
        <f t="shared" si="136"/>
        <v>1</v>
      </c>
      <c r="E513" s="185" t="s">
        <v>61</v>
      </c>
      <c r="F513" s="173">
        <v>46305</v>
      </c>
      <c r="G513" s="173"/>
      <c r="H513" s="173"/>
      <c r="I513" s="173"/>
      <c r="J513" s="173"/>
      <c r="K513" s="173"/>
      <c r="L513" s="173"/>
      <c r="M513" s="173">
        <v>46305</v>
      </c>
      <c r="N513" s="173"/>
      <c r="O513" s="173"/>
      <c r="P513" s="173"/>
      <c r="Q513" s="173"/>
      <c r="R513" s="173"/>
      <c r="S513" s="173"/>
      <c r="T513" s="151"/>
      <c r="U513" s="151"/>
      <c r="V513" s="152"/>
      <c r="W513" s="175"/>
      <c r="X513" s="173"/>
      <c r="Y513" s="173"/>
      <c r="Z513" s="176" t="str">
        <f>IF(B513="","",IF(S513&lt;&gt;"","Sevk Edildi",IF(AND(X513&lt;&gt;"",Y513=""),"Reworkte",IF(T513&lt;&gt;"","Kapandı"&amp;IF(COUNT(G513:R513)=0,""," – "&amp;LOOKUP(2,1/(G513:R513=MAX(G513:R513)),{"Tasarım","Ply Cutter","Üretim","Kalite (Üretim sonrası)","Talaşlı","Kalite (Talaşlı sonrası)","Montaj","Kalite (Montaj sonrası)","Boya","Kalite (Boya sonrası)","Yarı Mamül","KM"})),IF(COUNT(G513:R513)=0,"Başlamadı",LOOKUP(2,1/(G513:R513=MAX(G513:R513)),{"Tasarımda","Ply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513" s="177">
        <f t="shared" ca="1" si="121"/>
        <v>2</v>
      </c>
      <c r="AB513" s="175"/>
      <c r="AD513" t="str">
        <f>IF(OR($B513="",NOT(ISNUMBER(G513))),"",IF(COUNTIF(H513:$T513,G513)&gt;0,0,IF(COUNTIF($G513:$T513,"&gt;"&amp;G513)=0,"",SMALL($G513:$T513,COUNTIF($G513:$T513,"&lt;="&amp;G513)+1)-G513)))</f>
        <v/>
      </c>
      <c r="AE513" t="str">
        <f>IF(OR($B513="",NOT(ISNUMBER(H513))),"",IF(COUNTIF(I513:$T513,H513)&gt;0,0,IF(COUNTIF($G513:$T513,"&gt;"&amp;H513)=0,"",SMALL($G513:$T513,COUNTIF($G513:$T513,"&lt;="&amp;H513)+1)-H513)))</f>
        <v/>
      </c>
      <c r="AF513" t="str">
        <f>IF(OR($B513="",NOT(ISNUMBER(I513))),"",IF(COUNTIF(J513:$T513,I513)&gt;0,0,IF(COUNTIF($G513:$T513,"&gt;"&amp;I513)=0,"",SMALL($G513:$T513,COUNTIF($G513:$T513,"&lt;="&amp;I513)+1)-I513)))</f>
        <v/>
      </c>
      <c r="AG513" t="str">
        <f>IF(OR($B513="",NOT(ISNUMBER(J513))),"",IF(COUNTIF(K513:$T513,J513)&gt;0,0,IF(COUNTIF($G513:$T513,"&gt;"&amp;J513)=0,"",SMALL($G513:$T513,COUNTIF($G513:$T513,"&lt;="&amp;J513)+1)-J513)))</f>
        <v/>
      </c>
      <c r="AH513" t="str">
        <f>IF(OR($B513="",NOT(ISNUMBER(K513))),"",IF(COUNTIF(L513:$T513,K513)&gt;0,0,IF(COUNTIF($G513:$T513,"&gt;"&amp;K513)=0,"",SMALL($G513:$T513,COUNTIF($G513:$T513,"&lt;="&amp;K513)+1)-K513)))</f>
        <v/>
      </c>
      <c r="AI513" t="str">
        <f>IF(OR($B513="",NOT(ISNUMBER(L513))),"",IF(COUNTIF(M513:$T513,L513)&gt;0,0,IF(COUNTIF($G513:$T513,"&gt;"&amp;L513)=0,"",SMALL($G513:$T513,COUNTIF($G513:$T513,"&lt;="&amp;L513)+1)-L513)))</f>
        <v/>
      </c>
      <c r="AJ513" t="str">
        <f>IF(OR($B513="",NOT(ISNUMBER(M513))),"",IF(COUNTIF(N513:$T513,M513)&gt;0,0,IF(COUNTIF($G513:$T513,"&gt;"&amp;M513)=0,"",SMALL($G513:$T513,COUNTIF($G513:$T513,"&lt;="&amp;M513)+1)-M513)))</f>
        <v/>
      </c>
      <c r="AK513" t="str">
        <f>IF(OR($B513="",NOT(ISNUMBER(N513))),"",IF(COUNTIF(O513:$T513,N513)&gt;0,0,IF(COUNTIF($G513:$T513,"&gt;"&amp;N513)=0,"",SMALL($G513:$T513,COUNTIF($G513:$T513,"&lt;="&amp;N513)+1)-N513)))</f>
        <v/>
      </c>
      <c r="AL513" t="str">
        <f>IF(OR($B513="",NOT(ISNUMBER(O513))),"",IF(COUNTIF(P513:$T513,O513)&gt;0,0,IF(COUNTIF($G513:$T513,"&gt;"&amp;O513)=0,"",SMALL($G513:$T513,COUNTIF($G513:$T513,"&lt;="&amp;O513)+1)-O513)))</f>
        <v/>
      </c>
      <c r="AM513" t="str">
        <f>IF(OR($B513="",NOT(ISNUMBER(P513))),"",IF(COUNTIF(Q513:$T513,P513)&gt;0,0,IF(COUNTIF($G513:$T513,"&gt;"&amp;P513)=0,"",SMALL($G513:$T513,COUNTIF($G513:$T513,"&lt;="&amp;P513)+1)-P513)))</f>
        <v/>
      </c>
      <c r="AN513" t="str">
        <f>IF(OR($B513="",NOT(ISNUMBER(Q513))),"",IF(COUNTIF(R513:$T513,Q513)&gt;0,0,IF(COUNTIF($G513:$T513,"&gt;"&amp;Q513)=0,"",SMALL($G513:$T513,COUNTIF($G513:$T513,"&lt;="&amp;Q513)+1)-Q513)))</f>
        <v/>
      </c>
      <c r="AO513" t="str">
        <f>IF(OR($B513="",NOT(ISNUMBER(R513))),"",IF(COUNTIF(S513:$T513,R513)&gt;0,0,IF(COUNTIF($G513:$T513,"&gt;"&amp;R513)=0,"",SMALL($G513:$T513,COUNTIF($G513:$T513,"&lt;="&amp;R513)+1)-R513)))</f>
        <v/>
      </c>
      <c r="AP513">
        <f t="shared" ca="1" si="122"/>
        <v>2</v>
      </c>
      <c r="AQ513" s="25" t="str">
        <f t="shared" si="123"/>
        <v/>
      </c>
      <c r="AR513" s="25" t="str">
        <f t="shared" si="124"/>
        <v/>
      </c>
      <c r="AS513" s="25" t="str">
        <f t="shared" si="125"/>
        <v/>
      </c>
      <c r="AT513" s="25" t="str">
        <f t="shared" si="126"/>
        <v/>
      </c>
      <c r="AU513" s="25" t="str">
        <f t="shared" si="127"/>
        <v/>
      </c>
      <c r="AV513" s="25" t="str">
        <f t="shared" si="128"/>
        <v/>
      </c>
      <c r="AW513" s="25" t="str">
        <f t="shared" si="129"/>
        <v/>
      </c>
      <c r="AX513" s="25" t="str">
        <f t="shared" si="130"/>
        <v/>
      </c>
      <c r="AY513" s="25" t="str">
        <f t="shared" si="131"/>
        <v/>
      </c>
      <c r="AZ513" s="25" t="str">
        <f t="shared" si="132"/>
        <v/>
      </c>
      <c r="BA513" s="25" t="str">
        <f t="shared" si="133"/>
        <v/>
      </c>
      <c r="BB513" s="25" t="str">
        <f t="shared" si="134"/>
        <v/>
      </c>
      <c r="BC513" s="25" t="str">
        <f t="shared" si="135"/>
        <v/>
      </c>
    </row>
    <row r="514" spans="1:55" x14ac:dyDescent="0.25">
      <c r="A514" s="151">
        <f t="shared" si="120"/>
        <v>512</v>
      </c>
      <c r="B514" s="190" t="s">
        <v>967</v>
      </c>
      <c r="C514" s="186" t="s">
        <v>968</v>
      </c>
      <c r="D514" s="151">
        <f t="shared" si="136"/>
        <v>1</v>
      </c>
      <c r="E514" s="185" t="s">
        <v>61</v>
      </c>
      <c r="F514" s="173">
        <v>46305</v>
      </c>
      <c r="G514" s="173"/>
      <c r="H514" s="173"/>
      <c r="I514" s="173"/>
      <c r="J514" s="173"/>
      <c r="K514" s="173"/>
      <c r="L514" s="173"/>
      <c r="M514" s="173">
        <v>46305</v>
      </c>
      <c r="N514" s="173"/>
      <c r="O514" s="173"/>
      <c r="P514" s="173"/>
      <c r="Q514" s="173"/>
      <c r="R514" s="173"/>
      <c r="S514" s="173"/>
      <c r="T514" s="151"/>
      <c r="U514" s="151"/>
      <c r="V514" s="152"/>
      <c r="W514" s="175"/>
      <c r="X514" s="173"/>
      <c r="Y514" s="173"/>
      <c r="Z514" s="176" t="str">
        <f>IF(B514="","",IF(S514&lt;&gt;"","Sevk Edildi",IF(AND(X514&lt;&gt;"",Y514=""),"Reworkte",IF(T514&lt;&gt;"","Kapandı"&amp;IF(COUNT(G514:R514)=0,""," – "&amp;LOOKUP(2,1/(G514:R514=MAX(G514:R514)),{"Tasarım","Ply Cutter","Üretim","Kalite (Üretim sonrası)","Talaşlı","Kalite (Talaşlı sonrası)","Montaj","Kalite (Montaj sonrası)","Boya","Kalite (Boya sonrası)","Yarı Mamül","KM"})),IF(COUNT(G514:R514)=0,"Başlamadı",LOOKUP(2,1/(G514:R514=MAX(G514:R514)),{"Tasarımda","Ply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514" s="177">
        <f t="shared" ca="1" si="121"/>
        <v>2</v>
      </c>
      <c r="AB514" s="175"/>
      <c r="AD514" t="str">
        <f>IF(OR($B514="",NOT(ISNUMBER(G514))),"",IF(COUNTIF(H514:$T514,G514)&gt;0,0,IF(COUNTIF($G514:$T514,"&gt;"&amp;G514)=0,"",SMALL($G514:$T514,COUNTIF($G514:$T514,"&lt;="&amp;G514)+1)-G514)))</f>
        <v/>
      </c>
      <c r="AE514" t="str">
        <f>IF(OR($B514="",NOT(ISNUMBER(H514))),"",IF(COUNTIF(I514:$T514,H514)&gt;0,0,IF(COUNTIF($G514:$T514,"&gt;"&amp;H514)=0,"",SMALL($G514:$T514,COUNTIF($G514:$T514,"&lt;="&amp;H514)+1)-H514)))</f>
        <v/>
      </c>
      <c r="AF514" t="str">
        <f>IF(OR($B514="",NOT(ISNUMBER(I514))),"",IF(COUNTIF(J514:$T514,I514)&gt;0,0,IF(COUNTIF($G514:$T514,"&gt;"&amp;I514)=0,"",SMALL($G514:$T514,COUNTIF($G514:$T514,"&lt;="&amp;I514)+1)-I514)))</f>
        <v/>
      </c>
      <c r="AG514" t="str">
        <f>IF(OR($B514="",NOT(ISNUMBER(J514))),"",IF(COUNTIF(K514:$T514,J514)&gt;0,0,IF(COUNTIF($G514:$T514,"&gt;"&amp;J514)=0,"",SMALL($G514:$T514,COUNTIF($G514:$T514,"&lt;="&amp;J514)+1)-J514)))</f>
        <v/>
      </c>
      <c r="AH514" t="str">
        <f>IF(OR($B514="",NOT(ISNUMBER(K514))),"",IF(COUNTIF(L514:$T514,K514)&gt;0,0,IF(COUNTIF($G514:$T514,"&gt;"&amp;K514)=0,"",SMALL($G514:$T514,COUNTIF($G514:$T514,"&lt;="&amp;K514)+1)-K514)))</f>
        <v/>
      </c>
      <c r="AI514" t="str">
        <f>IF(OR($B514="",NOT(ISNUMBER(L514))),"",IF(COUNTIF(M514:$T514,L514)&gt;0,0,IF(COUNTIF($G514:$T514,"&gt;"&amp;L514)=0,"",SMALL($G514:$T514,COUNTIF($G514:$T514,"&lt;="&amp;L514)+1)-L514)))</f>
        <v/>
      </c>
      <c r="AJ514" t="str">
        <f>IF(OR($B514="",NOT(ISNUMBER(M514))),"",IF(COUNTIF(N514:$T514,M514)&gt;0,0,IF(COUNTIF($G514:$T514,"&gt;"&amp;M514)=0,"",SMALL($G514:$T514,COUNTIF($G514:$T514,"&lt;="&amp;M514)+1)-M514)))</f>
        <v/>
      </c>
      <c r="AK514" t="str">
        <f>IF(OR($B514="",NOT(ISNUMBER(N514))),"",IF(COUNTIF(O514:$T514,N514)&gt;0,0,IF(COUNTIF($G514:$T514,"&gt;"&amp;N514)=0,"",SMALL($G514:$T514,COUNTIF($G514:$T514,"&lt;="&amp;N514)+1)-N514)))</f>
        <v/>
      </c>
      <c r="AL514" t="str">
        <f>IF(OR($B514="",NOT(ISNUMBER(O514))),"",IF(COUNTIF(P514:$T514,O514)&gt;0,0,IF(COUNTIF($G514:$T514,"&gt;"&amp;O514)=0,"",SMALL($G514:$T514,COUNTIF($G514:$T514,"&lt;="&amp;O514)+1)-O514)))</f>
        <v/>
      </c>
      <c r="AM514" t="str">
        <f>IF(OR($B514="",NOT(ISNUMBER(P514))),"",IF(COUNTIF(Q514:$T514,P514)&gt;0,0,IF(COUNTIF($G514:$T514,"&gt;"&amp;P514)=0,"",SMALL($G514:$T514,COUNTIF($G514:$T514,"&lt;="&amp;P514)+1)-P514)))</f>
        <v/>
      </c>
      <c r="AN514" t="str">
        <f>IF(OR($B514="",NOT(ISNUMBER(Q514))),"",IF(COUNTIF(R514:$T514,Q514)&gt;0,0,IF(COUNTIF($G514:$T514,"&gt;"&amp;Q514)=0,"",SMALL($G514:$T514,COUNTIF($G514:$T514,"&lt;="&amp;Q514)+1)-Q514)))</f>
        <v/>
      </c>
      <c r="AO514" t="str">
        <f>IF(OR($B514="",NOT(ISNUMBER(R514))),"",IF(COUNTIF(S514:$T514,R514)&gt;0,0,IF(COUNTIF($G514:$T514,"&gt;"&amp;R514)=0,"",SMALL($G514:$T514,COUNTIF($G514:$T514,"&lt;="&amp;R514)+1)-R514)))</f>
        <v/>
      </c>
      <c r="AP514">
        <f t="shared" ca="1" si="122"/>
        <v>2</v>
      </c>
      <c r="AQ514" s="25" t="str">
        <f t="shared" si="123"/>
        <v/>
      </c>
      <c r="AR514" s="25" t="str">
        <f t="shared" si="124"/>
        <v/>
      </c>
      <c r="AS514" s="25" t="str">
        <f t="shared" si="125"/>
        <v/>
      </c>
      <c r="AT514" s="25" t="str">
        <f t="shared" si="126"/>
        <v/>
      </c>
      <c r="AU514" s="25" t="str">
        <f t="shared" si="127"/>
        <v/>
      </c>
      <c r="AV514" s="25" t="str">
        <f t="shared" si="128"/>
        <v/>
      </c>
      <c r="AW514" s="25" t="str">
        <f t="shared" si="129"/>
        <v/>
      </c>
      <c r="AX514" s="25" t="str">
        <f t="shared" si="130"/>
        <v/>
      </c>
      <c r="AY514" s="25" t="str">
        <f t="shared" si="131"/>
        <v/>
      </c>
      <c r="AZ514" s="25" t="str">
        <f t="shared" si="132"/>
        <v/>
      </c>
      <c r="BA514" s="25" t="str">
        <f t="shared" si="133"/>
        <v/>
      </c>
      <c r="BB514" s="25" t="str">
        <f t="shared" si="134"/>
        <v/>
      </c>
      <c r="BC514" s="25" t="str">
        <f t="shared" si="135"/>
        <v/>
      </c>
    </row>
    <row r="515" spans="1:55" x14ac:dyDescent="0.25">
      <c r="A515" s="151">
        <f t="shared" ref="A515:A578" si="137">IF(B515="","",ROW()-2)</f>
        <v>513</v>
      </c>
      <c r="B515" s="190" t="s">
        <v>969</v>
      </c>
      <c r="C515" s="186" t="s">
        <v>133</v>
      </c>
      <c r="D515" s="151">
        <f t="shared" si="136"/>
        <v>3</v>
      </c>
      <c r="E515" s="185" t="s">
        <v>61</v>
      </c>
      <c r="F515" s="173">
        <v>46305</v>
      </c>
      <c r="G515" s="173"/>
      <c r="H515" s="173"/>
      <c r="I515" s="173"/>
      <c r="J515" s="173"/>
      <c r="K515" s="173"/>
      <c r="L515" s="173"/>
      <c r="M515" s="173">
        <v>46305</v>
      </c>
      <c r="N515" s="173"/>
      <c r="O515" s="173"/>
      <c r="P515" s="173"/>
      <c r="Q515" s="173"/>
      <c r="R515" s="173"/>
      <c r="S515" s="173"/>
      <c r="T515" s="151"/>
      <c r="U515" s="151"/>
      <c r="V515" s="152"/>
      <c r="W515" s="175"/>
      <c r="X515" s="173"/>
      <c r="Y515" s="173"/>
      <c r="Z515" s="176" t="str">
        <f>IF(B515="","",IF(S515&lt;&gt;"","Sevk Edildi",IF(AND(X515&lt;&gt;"",Y515=""),"Reworkte",IF(T515&lt;&gt;"","Kapandı"&amp;IF(COUNT(G515:R515)=0,""," – "&amp;LOOKUP(2,1/(G515:R515=MAX(G515:R515)),{"Tasarım","Ply Cutter","Üretim","Kalite (Üretim sonrası)","Talaşlı","Kalite (Talaşlı sonrası)","Montaj","Kalite (Montaj sonrası)","Boya","Kalite (Boya sonrası)","Yarı Mamül","KM"})),IF(COUNT(G515:R515)=0,"Başlamadı",LOOKUP(2,1/(G515:R515=MAX(G515:R515)),{"Tasarımda","Ply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515" s="177">
        <f t="shared" ref="AA515:AA578" ca="1" si="138">IF(OR(B515="",F515=""),"",IFERROR(IF(S515&lt;&gt;"",S515-F515,IF(T515&lt;&gt;"",T515-F515,TODAY()-F515)),""))</f>
        <v>2</v>
      </c>
      <c r="AB515" s="175"/>
      <c r="AD515" t="str">
        <f>IF(OR($B515="",NOT(ISNUMBER(G515))),"",IF(COUNTIF(H515:$T515,G515)&gt;0,0,IF(COUNTIF($G515:$T515,"&gt;"&amp;G515)=0,"",SMALL($G515:$T515,COUNTIF($G515:$T515,"&lt;="&amp;G515)+1)-G515)))</f>
        <v/>
      </c>
      <c r="AE515" t="str">
        <f>IF(OR($B515="",NOT(ISNUMBER(H515))),"",IF(COUNTIF(I515:$T515,H515)&gt;0,0,IF(COUNTIF($G515:$T515,"&gt;"&amp;H515)=0,"",SMALL($G515:$T515,COUNTIF($G515:$T515,"&lt;="&amp;H515)+1)-H515)))</f>
        <v/>
      </c>
      <c r="AF515" t="str">
        <f>IF(OR($B515="",NOT(ISNUMBER(I515))),"",IF(COUNTIF(J515:$T515,I515)&gt;0,0,IF(COUNTIF($G515:$T515,"&gt;"&amp;I515)=0,"",SMALL($G515:$T515,COUNTIF($G515:$T515,"&lt;="&amp;I515)+1)-I515)))</f>
        <v/>
      </c>
      <c r="AG515" t="str">
        <f>IF(OR($B515="",NOT(ISNUMBER(J515))),"",IF(COUNTIF(K515:$T515,J515)&gt;0,0,IF(COUNTIF($G515:$T515,"&gt;"&amp;J515)=0,"",SMALL($G515:$T515,COUNTIF($G515:$T515,"&lt;="&amp;J515)+1)-J515)))</f>
        <v/>
      </c>
      <c r="AH515" t="str">
        <f>IF(OR($B515="",NOT(ISNUMBER(K515))),"",IF(COUNTIF(L515:$T515,K515)&gt;0,0,IF(COUNTIF($G515:$T515,"&gt;"&amp;K515)=0,"",SMALL($G515:$T515,COUNTIF($G515:$T515,"&lt;="&amp;K515)+1)-K515)))</f>
        <v/>
      </c>
      <c r="AI515" t="str">
        <f>IF(OR($B515="",NOT(ISNUMBER(L515))),"",IF(COUNTIF(M515:$T515,L515)&gt;0,0,IF(COUNTIF($G515:$T515,"&gt;"&amp;L515)=0,"",SMALL($G515:$T515,COUNTIF($G515:$T515,"&lt;="&amp;L515)+1)-L515)))</f>
        <v/>
      </c>
      <c r="AJ515" t="str">
        <f>IF(OR($B515="",NOT(ISNUMBER(M515))),"",IF(COUNTIF(N515:$T515,M515)&gt;0,0,IF(COUNTIF($G515:$T515,"&gt;"&amp;M515)=0,"",SMALL($G515:$T515,COUNTIF($G515:$T515,"&lt;="&amp;M515)+1)-M515)))</f>
        <v/>
      </c>
      <c r="AK515" t="str">
        <f>IF(OR($B515="",NOT(ISNUMBER(N515))),"",IF(COUNTIF(O515:$T515,N515)&gt;0,0,IF(COUNTIF($G515:$T515,"&gt;"&amp;N515)=0,"",SMALL($G515:$T515,COUNTIF($G515:$T515,"&lt;="&amp;N515)+1)-N515)))</f>
        <v/>
      </c>
      <c r="AL515" t="str">
        <f>IF(OR($B515="",NOT(ISNUMBER(O515))),"",IF(COUNTIF(P515:$T515,O515)&gt;0,0,IF(COUNTIF($G515:$T515,"&gt;"&amp;O515)=0,"",SMALL($G515:$T515,COUNTIF($G515:$T515,"&lt;="&amp;O515)+1)-O515)))</f>
        <v/>
      </c>
      <c r="AM515" t="str">
        <f>IF(OR($B515="",NOT(ISNUMBER(P515))),"",IF(COUNTIF(Q515:$T515,P515)&gt;0,0,IF(COUNTIF($G515:$T515,"&gt;"&amp;P515)=0,"",SMALL($G515:$T515,COUNTIF($G515:$T515,"&lt;="&amp;P515)+1)-P515)))</f>
        <v/>
      </c>
      <c r="AN515" t="str">
        <f>IF(OR($B515="",NOT(ISNUMBER(Q515))),"",IF(COUNTIF(R515:$T515,Q515)&gt;0,0,IF(COUNTIF($G515:$T515,"&gt;"&amp;Q515)=0,"",SMALL($G515:$T515,COUNTIF($G515:$T515,"&lt;="&amp;Q515)+1)-Q515)))</f>
        <v/>
      </c>
      <c r="AO515" t="str">
        <f>IF(OR($B515="",NOT(ISNUMBER(R515))),"",IF(COUNTIF(S515:$T515,R515)&gt;0,0,IF(COUNTIF($G515:$T515,"&gt;"&amp;R515)=0,"",SMALL($G515:$T515,COUNTIF($G515:$T515,"&lt;="&amp;R515)+1)-R515)))</f>
        <v/>
      </c>
      <c r="AP515">
        <f t="shared" ref="AP515:AP578" ca="1" si="139">IF(OR($B515="",Z515="",Z515="Başlamadı",Z515="Sevk Edildi",Z515="Reworkte",LEFT(Z515,7)="Kapandı"),0,TODAY()-MAX($G515:$R515))</f>
        <v>2</v>
      </c>
      <c r="AQ515" s="25" t="str">
        <f t="shared" ref="AQ515:AQ578" si="140">IF(AND(ISNUMBER(G515),ISNUMBER(AD515)),G515+AD515,"")</f>
        <v/>
      </c>
      <c r="AR515" s="25" t="str">
        <f t="shared" ref="AR515:AR578" si="141">IF(AND(ISNUMBER(H515),ISNUMBER(AE515)),H515+AE515,"")</f>
        <v/>
      </c>
      <c r="AS515" s="25" t="str">
        <f t="shared" ref="AS515:AS578" si="142">IF(AND(ISNUMBER(I515),ISNUMBER(AF515)),I515+AF515,"")</f>
        <v/>
      </c>
      <c r="AT515" s="25" t="str">
        <f t="shared" ref="AT515:AT578" si="143">IF(AND(ISNUMBER(J515),ISNUMBER(AG515)),J515+AG515,"")</f>
        <v/>
      </c>
      <c r="AU515" s="25" t="str">
        <f t="shared" ref="AU515:AU578" si="144">IF(AND(ISNUMBER(K515),ISNUMBER(AH515)),K515+AH515,"")</f>
        <v/>
      </c>
      <c r="AV515" s="25" t="str">
        <f t="shared" ref="AV515:AV578" si="145">IF(AND(ISNUMBER(L515),ISNUMBER(AI515)),L515+AI515,"")</f>
        <v/>
      </c>
      <c r="AW515" s="25" t="str">
        <f t="shared" ref="AW515:AW578" si="146">IF(AND(ISNUMBER(M515),ISNUMBER(AJ515)),M515+AJ515,"")</f>
        <v/>
      </c>
      <c r="AX515" s="25" t="str">
        <f t="shared" ref="AX515:AX578" si="147">IF(AND(ISNUMBER(N515),ISNUMBER(AK515)),N515+AK515,"")</f>
        <v/>
      </c>
      <c r="AY515" s="25" t="str">
        <f t="shared" ref="AY515:AY578" si="148">IF(AND(ISNUMBER(O515),ISNUMBER(AL515)),O515+AL515,"")</f>
        <v/>
      </c>
      <c r="AZ515" s="25" t="str">
        <f t="shared" ref="AZ515:AZ578" si="149">IF(AND(ISNUMBER(P515),ISNUMBER(AM515)),P515+AM515,"")</f>
        <v/>
      </c>
      <c r="BA515" s="25" t="str">
        <f t="shared" ref="BA515:BA578" si="150">IF(AND(ISNUMBER(Q515),ISNUMBER(AN515)),Q515+AN515,"")</f>
        <v/>
      </c>
      <c r="BB515" s="25" t="str">
        <f t="shared" ref="BB515:BB578" si="151">IF(AND(ISNUMBER(R515),ISNUMBER(AO515)),R515+AO515,"")</f>
        <v/>
      </c>
      <c r="BC515" s="25" t="str">
        <f t="shared" ref="BC515:BC578" si="152">IF(AND(S515="",T515=""),"",MIN(S515,T515))</f>
        <v/>
      </c>
    </row>
    <row r="516" spans="1:55" x14ac:dyDescent="0.25">
      <c r="A516" s="151">
        <f t="shared" si="137"/>
        <v>514</v>
      </c>
      <c r="B516" s="190" t="s">
        <v>970</v>
      </c>
      <c r="C516" s="186" t="s">
        <v>133</v>
      </c>
      <c r="D516" s="151">
        <f t="shared" si="136"/>
        <v>3</v>
      </c>
      <c r="E516" s="185" t="s">
        <v>61</v>
      </c>
      <c r="F516" s="173">
        <v>46305</v>
      </c>
      <c r="G516" s="173"/>
      <c r="H516" s="173"/>
      <c r="I516" s="173"/>
      <c r="J516" s="173"/>
      <c r="K516" s="173"/>
      <c r="L516" s="173"/>
      <c r="M516" s="173">
        <v>46305</v>
      </c>
      <c r="N516" s="173"/>
      <c r="O516" s="173"/>
      <c r="P516" s="173"/>
      <c r="Q516" s="173"/>
      <c r="R516" s="173"/>
      <c r="S516" s="173"/>
      <c r="T516" s="151"/>
      <c r="U516" s="151"/>
      <c r="V516" s="152"/>
      <c r="W516" s="175"/>
      <c r="X516" s="173"/>
      <c r="Y516" s="173"/>
      <c r="Z516" s="176" t="str">
        <f>IF(B516="","",IF(S516&lt;&gt;"","Sevk Edildi",IF(AND(X516&lt;&gt;"",Y516=""),"Reworkte",IF(T516&lt;&gt;"","Kapandı"&amp;IF(COUNT(G516:R516)=0,""," – "&amp;LOOKUP(2,1/(G516:R516=MAX(G516:R516)),{"Tasarım","Ply Cutter","Üretim","Kalite (Üretim sonrası)","Talaşlı","Kalite (Talaşlı sonrası)","Montaj","Kalite (Montaj sonrası)","Boya","Kalite (Boya sonrası)","Yarı Mamül","KM"})),IF(COUNT(G516:R516)=0,"Başlamadı",LOOKUP(2,1/(G516:R516=MAX(G516:R516)),{"Tasarımda","Ply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516" s="177">
        <f t="shared" ca="1" si="138"/>
        <v>2</v>
      </c>
      <c r="AB516" s="175"/>
      <c r="AD516" t="str">
        <f>IF(OR($B516="",NOT(ISNUMBER(G516))),"",IF(COUNTIF(H516:$T516,G516)&gt;0,0,IF(COUNTIF($G516:$T516,"&gt;"&amp;G516)=0,"",SMALL($G516:$T516,COUNTIF($G516:$T516,"&lt;="&amp;G516)+1)-G516)))</f>
        <v/>
      </c>
      <c r="AE516" t="str">
        <f>IF(OR($B516="",NOT(ISNUMBER(H516))),"",IF(COUNTIF(I516:$T516,H516)&gt;0,0,IF(COUNTIF($G516:$T516,"&gt;"&amp;H516)=0,"",SMALL($G516:$T516,COUNTIF($G516:$T516,"&lt;="&amp;H516)+1)-H516)))</f>
        <v/>
      </c>
      <c r="AF516" t="str">
        <f>IF(OR($B516="",NOT(ISNUMBER(I516))),"",IF(COUNTIF(J516:$T516,I516)&gt;0,0,IF(COUNTIF($G516:$T516,"&gt;"&amp;I516)=0,"",SMALL($G516:$T516,COUNTIF($G516:$T516,"&lt;="&amp;I516)+1)-I516)))</f>
        <v/>
      </c>
      <c r="AG516" t="str">
        <f>IF(OR($B516="",NOT(ISNUMBER(J516))),"",IF(COUNTIF(K516:$T516,J516)&gt;0,0,IF(COUNTIF($G516:$T516,"&gt;"&amp;J516)=0,"",SMALL($G516:$T516,COUNTIF($G516:$T516,"&lt;="&amp;J516)+1)-J516)))</f>
        <v/>
      </c>
      <c r="AH516" t="str">
        <f>IF(OR($B516="",NOT(ISNUMBER(K516))),"",IF(COUNTIF(L516:$T516,K516)&gt;0,0,IF(COUNTIF($G516:$T516,"&gt;"&amp;K516)=0,"",SMALL($G516:$T516,COUNTIF($G516:$T516,"&lt;="&amp;K516)+1)-K516)))</f>
        <v/>
      </c>
      <c r="AI516" t="str">
        <f>IF(OR($B516="",NOT(ISNUMBER(L516))),"",IF(COUNTIF(M516:$T516,L516)&gt;0,0,IF(COUNTIF($G516:$T516,"&gt;"&amp;L516)=0,"",SMALL($G516:$T516,COUNTIF($G516:$T516,"&lt;="&amp;L516)+1)-L516)))</f>
        <v/>
      </c>
      <c r="AJ516" t="str">
        <f>IF(OR($B516="",NOT(ISNUMBER(M516))),"",IF(COUNTIF(N516:$T516,M516)&gt;0,0,IF(COUNTIF($G516:$T516,"&gt;"&amp;M516)=0,"",SMALL($G516:$T516,COUNTIF($G516:$T516,"&lt;="&amp;M516)+1)-M516)))</f>
        <v/>
      </c>
      <c r="AK516" t="str">
        <f>IF(OR($B516="",NOT(ISNUMBER(N516))),"",IF(COUNTIF(O516:$T516,N516)&gt;0,0,IF(COUNTIF($G516:$T516,"&gt;"&amp;N516)=0,"",SMALL($G516:$T516,COUNTIF($G516:$T516,"&lt;="&amp;N516)+1)-N516)))</f>
        <v/>
      </c>
      <c r="AL516" t="str">
        <f>IF(OR($B516="",NOT(ISNUMBER(O516))),"",IF(COUNTIF(P516:$T516,O516)&gt;0,0,IF(COUNTIF($G516:$T516,"&gt;"&amp;O516)=0,"",SMALL($G516:$T516,COUNTIF($G516:$T516,"&lt;="&amp;O516)+1)-O516)))</f>
        <v/>
      </c>
      <c r="AM516" t="str">
        <f>IF(OR($B516="",NOT(ISNUMBER(P516))),"",IF(COUNTIF(Q516:$T516,P516)&gt;0,0,IF(COUNTIF($G516:$T516,"&gt;"&amp;P516)=0,"",SMALL($G516:$T516,COUNTIF($G516:$T516,"&lt;="&amp;P516)+1)-P516)))</f>
        <v/>
      </c>
      <c r="AN516" t="str">
        <f>IF(OR($B516="",NOT(ISNUMBER(Q516))),"",IF(COUNTIF(R516:$T516,Q516)&gt;0,0,IF(COUNTIF($G516:$T516,"&gt;"&amp;Q516)=0,"",SMALL($G516:$T516,COUNTIF($G516:$T516,"&lt;="&amp;Q516)+1)-Q516)))</f>
        <v/>
      </c>
      <c r="AO516" t="str">
        <f>IF(OR($B516="",NOT(ISNUMBER(R516))),"",IF(COUNTIF(S516:$T516,R516)&gt;0,0,IF(COUNTIF($G516:$T516,"&gt;"&amp;R516)=0,"",SMALL($G516:$T516,COUNTIF($G516:$T516,"&lt;="&amp;R516)+1)-R516)))</f>
        <v/>
      </c>
      <c r="AP516">
        <f t="shared" ca="1" si="139"/>
        <v>2</v>
      </c>
      <c r="AQ516" s="25" t="str">
        <f t="shared" si="140"/>
        <v/>
      </c>
      <c r="AR516" s="25" t="str">
        <f t="shared" si="141"/>
        <v/>
      </c>
      <c r="AS516" s="25" t="str">
        <f t="shared" si="142"/>
        <v/>
      </c>
      <c r="AT516" s="25" t="str">
        <f t="shared" si="143"/>
        <v/>
      </c>
      <c r="AU516" s="25" t="str">
        <f t="shared" si="144"/>
        <v/>
      </c>
      <c r="AV516" s="25" t="str">
        <f t="shared" si="145"/>
        <v/>
      </c>
      <c r="AW516" s="25" t="str">
        <f t="shared" si="146"/>
        <v/>
      </c>
      <c r="AX516" s="25" t="str">
        <f t="shared" si="147"/>
        <v/>
      </c>
      <c r="AY516" s="25" t="str">
        <f t="shared" si="148"/>
        <v/>
      </c>
      <c r="AZ516" s="25" t="str">
        <f t="shared" si="149"/>
        <v/>
      </c>
      <c r="BA516" s="25" t="str">
        <f t="shared" si="150"/>
        <v/>
      </c>
      <c r="BB516" s="25" t="str">
        <f t="shared" si="151"/>
        <v/>
      </c>
      <c r="BC516" s="25" t="str">
        <f t="shared" si="152"/>
        <v/>
      </c>
    </row>
    <row r="517" spans="1:55" x14ac:dyDescent="0.25">
      <c r="A517" s="151">
        <f t="shared" si="137"/>
        <v>515</v>
      </c>
      <c r="B517" s="190" t="s">
        <v>971</v>
      </c>
      <c r="C517" s="186" t="s">
        <v>133</v>
      </c>
      <c r="D517" s="151">
        <f t="shared" si="136"/>
        <v>3</v>
      </c>
      <c r="E517" s="185" t="s">
        <v>61</v>
      </c>
      <c r="F517" s="173">
        <v>46305</v>
      </c>
      <c r="G517" s="173"/>
      <c r="H517" s="173"/>
      <c r="I517" s="173"/>
      <c r="J517" s="173"/>
      <c r="K517" s="173"/>
      <c r="L517" s="173"/>
      <c r="M517" s="173">
        <v>46305</v>
      </c>
      <c r="N517" s="173"/>
      <c r="O517" s="173"/>
      <c r="P517" s="173"/>
      <c r="Q517" s="173"/>
      <c r="R517" s="173"/>
      <c r="S517" s="173"/>
      <c r="T517" s="151"/>
      <c r="U517" s="151"/>
      <c r="V517" s="152"/>
      <c r="W517" s="175"/>
      <c r="X517" s="173"/>
      <c r="Y517" s="173"/>
      <c r="Z517" s="176" t="str">
        <f>IF(B517="","",IF(S517&lt;&gt;"","Sevk Edildi",IF(AND(X517&lt;&gt;"",Y517=""),"Reworkte",IF(T517&lt;&gt;"","Kapandı"&amp;IF(COUNT(G517:R517)=0,""," – "&amp;LOOKUP(2,1/(G517:R517=MAX(G517:R517)),{"Tasarım","Ply Cutter","Üretim","Kalite (Üretim sonrası)","Talaşlı","Kalite (Talaşlı sonrası)","Montaj","Kalite (Montaj sonrası)","Boya","Kalite (Boya sonrası)","Yarı Mamül","KM"})),IF(COUNT(G517:R517)=0,"Başlamadı",LOOKUP(2,1/(G517:R517=MAX(G517:R517)),{"Tasarımda","Ply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517" s="177">
        <f t="shared" ca="1" si="138"/>
        <v>2</v>
      </c>
      <c r="AB517" s="175"/>
      <c r="AD517" t="str">
        <f>IF(OR($B517="",NOT(ISNUMBER(G517))),"",IF(COUNTIF(H517:$T517,G517)&gt;0,0,IF(COUNTIF($G517:$T517,"&gt;"&amp;G517)=0,"",SMALL($G517:$T517,COUNTIF($G517:$T517,"&lt;="&amp;G517)+1)-G517)))</f>
        <v/>
      </c>
      <c r="AE517" t="str">
        <f>IF(OR($B517="",NOT(ISNUMBER(H517))),"",IF(COUNTIF(I517:$T517,H517)&gt;0,0,IF(COUNTIF($G517:$T517,"&gt;"&amp;H517)=0,"",SMALL($G517:$T517,COUNTIF($G517:$T517,"&lt;="&amp;H517)+1)-H517)))</f>
        <v/>
      </c>
      <c r="AF517" t="str">
        <f>IF(OR($B517="",NOT(ISNUMBER(I517))),"",IF(COUNTIF(J517:$T517,I517)&gt;0,0,IF(COUNTIF($G517:$T517,"&gt;"&amp;I517)=0,"",SMALL($G517:$T517,COUNTIF($G517:$T517,"&lt;="&amp;I517)+1)-I517)))</f>
        <v/>
      </c>
      <c r="AG517" t="str">
        <f>IF(OR($B517="",NOT(ISNUMBER(J517))),"",IF(COUNTIF(K517:$T517,J517)&gt;0,0,IF(COUNTIF($G517:$T517,"&gt;"&amp;J517)=0,"",SMALL($G517:$T517,COUNTIF($G517:$T517,"&lt;="&amp;J517)+1)-J517)))</f>
        <v/>
      </c>
      <c r="AH517" t="str">
        <f>IF(OR($B517="",NOT(ISNUMBER(K517))),"",IF(COUNTIF(L517:$T517,K517)&gt;0,0,IF(COUNTIF($G517:$T517,"&gt;"&amp;K517)=0,"",SMALL($G517:$T517,COUNTIF($G517:$T517,"&lt;="&amp;K517)+1)-K517)))</f>
        <v/>
      </c>
      <c r="AI517" t="str">
        <f>IF(OR($B517="",NOT(ISNUMBER(L517))),"",IF(COUNTIF(M517:$T517,L517)&gt;0,0,IF(COUNTIF($G517:$T517,"&gt;"&amp;L517)=0,"",SMALL($G517:$T517,COUNTIF($G517:$T517,"&lt;="&amp;L517)+1)-L517)))</f>
        <v/>
      </c>
      <c r="AJ517" t="str">
        <f>IF(OR($B517="",NOT(ISNUMBER(M517))),"",IF(COUNTIF(N517:$T517,M517)&gt;0,0,IF(COUNTIF($G517:$T517,"&gt;"&amp;M517)=0,"",SMALL($G517:$T517,COUNTIF($G517:$T517,"&lt;="&amp;M517)+1)-M517)))</f>
        <v/>
      </c>
      <c r="AK517" t="str">
        <f>IF(OR($B517="",NOT(ISNUMBER(N517))),"",IF(COUNTIF(O517:$T517,N517)&gt;0,0,IF(COUNTIF($G517:$T517,"&gt;"&amp;N517)=0,"",SMALL($G517:$T517,COUNTIF($G517:$T517,"&lt;="&amp;N517)+1)-N517)))</f>
        <v/>
      </c>
      <c r="AL517" t="str">
        <f>IF(OR($B517="",NOT(ISNUMBER(O517))),"",IF(COUNTIF(P517:$T517,O517)&gt;0,0,IF(COUNTIF($G517:$T517,"&gt;"&amp;O517)=0,"",SMALL($G517:$T517,COUNTIF($G517:$T517,"&lt;="&amp;O517)+1)-O517)))</f>
        <v/>
      </c>
      <c r="AM517" t="str">
        <f>IF(OR($B517="",NOT(ISNUMBER(P517))),"",IF(COUNTIF(Q517:$T517,P517)&gt;0,0,IF(COUNTIF($G517:$T517,"&gt;"&amp;P517)=0,"",SMALL($G517:$T517,COUNTIF($G517:$T517,"&lt;="&amp;P517)+1)-P517)))</f>
        <v/>
      </c>
      <c r="AN517" t="str">
        <f>IF(OR($B517="",NOT(ISNUMBER(Q517))),"",IF(COUNTIF(R517:$T517,Q517)&gt;0,0,IF(COUNTIF($G517:$T517,"&gt;"&amp;Q517)=0,"",SMALL($G517:$T517,COUNTIF($G517:$T517,"&lt;="&amp;Q517)+1)-Q517)))</f>
        <v/>
      </c>
      <c r="AO517" t="str">
        <f>IF(OR($B517="",NOT(ISNUMBER(R517))),"",IF(COUNTIF(S517:$T517,R517)&gt;0,0,IF(COUNTIF($G517:$T517,"&gt;"&amp;R517)=0,"",SMALL($G517:$T517,COUNTIF($G517:$T517,"&lt;="&amp;R517)+1)-R517)))</f>
        <v/>
      </c>
      <c r="AP517">
        <f t="shared" ca="1" si="139"/>
        <v>2</v>
      </c>
      <c r="AQ517" s="25" t="str">
        <f t="shared" si="140"/>
        <v/>
      </c>
      <c r="AR517" s="25" t="str">
        <f t="shared" si="141"/>
        <v/>
      </c>
      <c r="AS517" s="25" t="str">
        <f t="shared" si="142"/>
        <v/>
      </c>
      <c r="AT517" s="25" t="str">
        <f t="shared" si="143"/>
        <v/>
      </c>
      <c r="AU517" s="25" t="str">
        <f t="shared" si="144"/>
        <v/>
      </c>
      <c r="AV517" s="25" t="str">
        <f t="shared" si="145"/>
        <v/>
      </c>
      <c r="AW517" s="25" t="str">
        <f t="shared" si="146"/>
        <v/>
      </c>
      <c r="AX517" s="25" t="str">
        <f t="shared" si="147"/>
        <v/>
      </c>
      <c r="AY517" s="25" t="str">
        <f t="shared" si="148"/>
        <v/>
      </c>
      <c r="AZ517" s="25" t="str">
        <f t="shared" si="149"/>
        <v/>
      </c>
      <c r="BA517" s="25" t="str">
        <f t="shared" si="150"/>
        <v/>
      </c>
      <c r="BB517" s="25" t="str">
        <f t="shared" si="151"/>
        <v/>
      </c>
      <c r="BC517" s="25" t="str">
        <f t="shared" si="152"/>
        <v/>
      </c>
    </row>
    <row r="518" spans="1:55" x14ac:dyDescent="0.25">
      <c r="A518" s="151">
        <f t="shared" si="137"/>
        <v>516</v>
      </c>
      <c r="B518" s="190" t="s">
        <v>972</v>
      </c>
      <c r="C518" s="186" t="s">
        <v>973</v>
      </c>
      <c r="D518" s="151">
        <f t="shared" si="136"/>
        <v>2</v>
      </c>
      <c r="E518" s="185" t="s">
        <v>61</v>
      </c>
      <c r="F518" s="173">
        <v>46305</v>
      </c>
      <c r="G518" s="173"/>
      <c r="H518" s="173"/>
      <c r="I518" s="173"/>
      <c r="J518" s="173"/>
      <c r="K518" s="173"/>
      <c r="L518" s="173"/>
      <c r="M518" s="173">
        <v>46305</v>
      </c>
      <c r="N518" s="173"/>
      <c r="O518" s="173"/>
      <c r="P518" s="173"/>
      <c r="Q518" s="173"/>
      <c r="R518" s="173"/>
      <c r="S518" s="173"/>
      <c r="T518" s="151"/>
      <c r="U518" s="151"/>
      <c r="V518" s="152"/>
      <c r="W518" s="175"/>
      <c r="X518" s="173"/>
      <c r="Y518" s="173"/>
      <c r="Z518" s="176" t="str">
        <f>IF(B518="","",IF(S518&lt;&gt;"","Sevk Edildi",IF(AND(X518&lt;&gt;"",Y518=""),"Reworkte",IF(T518&lt;&gt;"","Kapandı"&amp;IF(COUNT(G518:R518)=0,""," – "&amp;LOOKUP(2,1/(G518:R518=MAX(G518:R518)),{"Tasarım","Ply Cutter","Üretim","Kalite (Üretim sonrası)","Talaşlı","Kalite (Talaşlı sonrası)","Montaj","Kalite (Montaj sonrası)","Boya","Kalite (Boya sonrası)","Yarı Mamül","KM"})),IF(COUNT(G518:R518)=0,"Başlamadı",LOOKUP(2,1/(G518:R518=MAX(G518:R518)),{"Tasarımda","Ply Cutter'da","Üretimde","Kalitede (Üretim sonrası)","Talaşlıda","Kalitede (Talaşlı sonrası)","Montajda","Kalitede (Montaj sonrası)","Boyada","Kalitede (Boya sonrası)","Yarı Mamülde","KM'de"}))))))</f>
        <v>Montajda</v>
      </c>
      <c r="AA518" s="177">
        <f t="shared" ca="1" si="138"/>
        <v>2</v>
      </c>
      <c r="AB518" s="175"/>
      <c r="AD518" t="str">
        <f>IF(OR($B518="",NOT(ISNUMBER(G518))),"",IF(COUNTIF(H518:$T518,G518)&gt;0,0,IF(COUNTIF($G518:$T518,"&gt;"&amp;G518)=0,"",SMALL($G518:$T518,COUNTIF($G518:$T518,"&lt;="&amp;G518)+1)-G518)))</f>
        <v/>
      </c>
      <c r="AE518" t="str">
        <f>IF(OR($B518="",NOT(ISNUMBER(H518))),"",IF(COUNTIF(I518:$T518,H518)&gt;0,0,IF(COUNTIF($G518:$T518,"&gt;"&amp;H518)=0,"",SMALL($G518:$T518,COUNTIF($G518:$T518,"&lt;="&amp;H518)+1)-H518)))</f>
        <v/>
      </c>
      <c r="AF518" t="str">
        <f>IF(OR($B518="",NOT(ISNUMBER(I518))),"",IF(COUNTIF(J518:$T518,I518)&gt;0,0,IF(COUNTIF($G518:$T518,"&gt;"&amp;I518)=0,"",SMALL($G518:$T518,COUNTIF($G518:$T518,"&lt;="&amp;I518)+1)-I518)))</f>
        <v/>
      </c>
      <c r="AG518" t="str">
        <f>IF(OR($B518="",NOT(ISNUMBER(J518))),"",IF(COUNTIF(K518:$T518,J518)&gt;0,0,IF(COUNTIF($G518:$T518,"&gt;"&amp;J518)=0,"",SMALL($G518:$T518,COUNTIF($G518:$T518,"&lt;="&amp;J518)+1)-J518)))</f>
        <v/>
      </c>
      <c r="AH518" t="str">
        <f>IF(OR($B518="",NOT(ISNUMBER(K518))),"",IF(COUNTIF(L518:$T518,K518)&gt;0,0,IF(COUNTIF($G518:$T518,"&gt;"&amp;K518)=0,"",SMALL($G518:$T518,COUNTIF($G518:$T518,"&lt;="&amp;K518)+1)-K518)))</f>
        <v/>
      </c>
      <c r="AI518" t="str">
        <f>IF(OR($B518="",NOT(ISNUMBER(L518))),"",IF(COUNTIF(M518:$T518,L518)&gt;0,0,IF(COUNTIF($G518:$T518,"&gt;"&amp;L518)=0,"",SMALL($G518:$T518,COUNTIF($G518:$T518,"&lt;="&amp;L518)+1)-L518)))</f>
        <v/>
      </c>
      <c r="AJ518" t="str">
        <f>IF(OR($B518="",NOT(ISNUMBER(M518))),"",IF(COUNTIF(N518:$T518,M518)&gt;0,0,IF(COUNTIF($G518:$T518,"&gt;"&amp;M518)=0,"",SMALL($G518:$T518,COUNTIF($G518:$T518,"&lt;="&amp;M518)+1)-M518)))</f>
        <v/>
      </c>
      <c r="AK518" t="str">
        <f>IF(OR($B518="",NOT(ISNUMBER(N518))),"",IF(COUNTIF(O518:$T518,N518)&gt;0,0,IF(COUNTIF($G518:$T518,"&gt;"&amp;N518)=0,"",SMALL($G518:$T518,COUNTIF($G518:$T518,"&lt;="&amp;N518)+1)-N518)))</f>
        <v/>
      </c>
      <c r="AL518" t="str">
        <f>IF(OR($B518="",NOT(ISNUMBER(O518))),"",IF(COUNTIF(P518:$T518,O518)&gt;0,0,IF(COUNTIF($G518:$T518,"&gt;"&amp;O518)=0,"",SMALL($G518:$T518,COUNTIF($G518:$T518,"&lt;="&amp;O518)+1)-O518)))</f>
        <v/>
      </c>
      <c r="AM518" t="str">
        <f>IF(OR($B518="",NOT(ISNUMBER(P518))),"",IF(COUNTIF(Q518:$T518,P518)&gt;0,0,IF(COUNTIF($G518:$T518,"&gt;"&amp;P518)=0,"",SMALL($G518:$T518,COUNTIF($G518:$T518,"&lt;="&amp;P518)+1)-P518)))</f>
        <v/>
      </c>
      <c r="AN518" t="str">
        <f>IF(OR($B518="",NOT(ISNUMBER(Q518))),"",IF(COUNTIF(R518:$T518,Q518)&gt;0,0,IF(COUNTIF($G518:$T518,"&gt;"&amp;Q518)=0,"",SMALL($G518:$T518,COUNTIF($G518:$T518,"&lt;="&amp;Q518)+1)-Q518)))</f>
        <v/>
      </c>
      <c r="AO518" t="str">
        <f>IF(OR($B518="",NOT(ISNUMBER(R518))),"",IF(COUNTIF(S518:$T518,R518)&gt;0,0,IF(COUNTIF($G518:$T518,"&gt;"&amp;R518)=0,"",SMALL($G518:$T518,COUNTIF($G518:$T518,"&lt;="&amp;R518)+1)-R518)))</f>
        <v/>
      </c>
      <c r="AP518">
        <f t="shared" ca="1" si="139"/>
        <v>2</v>
      </c>
      <c r="AQ518" s="25" t="str">
        <f t="shared" si="140"/>
        <v/>
      </c>
      <c r="AR518" s="25" t="str">
        <f t="shared" si="141"/>
        <v/>
      </c>
      <c r="AS518" s="25" t="str">
        <f t="shared" si="142"/>
        <v/>
      </c>
      <c r="AT518" s="25" t="str">
        <f t="shared" si="143"/>
        <v/>
      </c>
      <c r="AU518" s="25" t="str">
        <f t="shared" si="144"/>
        <v/>
      </c>
      <c r="AV518" s="25" t="str">
        <f t="shared" si="145"/>
        <v/>
      </c>
      <c r="AW518" s="25" t="str">
        <f t="shared" si="146"/>
        <v/>
      </c>
      <c r="AX518" s="25" t="str">
        <f t="shared" si="147"/>
        <v/>
      </c>
      <c r="AY518" s="25" t="str">
        <f t="shared" si="148"/>
        <v/>
      </c>
      <c r="AZ518" s="25" t="str">
        <f t="shared" si="149"/>
        <v/>
      </c>
      <c r="BA518" s="25" t="str">
        <f t="shared" si="150"/>
        <v/>
      </c>
      <c r="BB518" s="25" t="str">
        <f t="shared" si="151"/>
        <v/>
      </c>
      <c r="BC518" s="25" t="str">
        <f t="shared" si="152"/>
        <v/>
      </c>
    </row>
    <row r="519" spans="1:55" x14ac:dyDescent="0.25">
      <c r="A519" s="151">
        <f t="shared" si="137"/>
        <v>517</v>
      </c>
      <c r="B519" s="255" t="s">
        <v>978</v>
      </c>
      <c r="C519" s="254" t="s">
        <v>376</v>
      </c>
      <c r="D519" s="151">
        <f t="shared" si="136"/>
        <v>2</v>
      </c>
      <c r="E519" s="185" t="s">
        <v>61</v>
      </c>
      <c r="F519" s="173">
        <v>46305</v>
      </c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51"/>
      <c r="U519" s="151"/>
      <c r="V519" s="152"/>
      <c r="W519" s="175"/>
      <c r="X519" s="173"/>
      <c r="Y519" s="173"/>
      <c r="Z519" s="176" t="str">
        <f>IF(B519="","",IF(S519&lt;&gt;"","Sevk Edildi",IF(AND(X519&lt;&gt;"",Y519=""),"Reworkte",IF(T519&lt;&gt;"","Kapandı"&amp;IF(COUNT(G519:R519)=0,""," – "&amp;LOOKUP(2,1/(G519:R519=MAX(G519:R519)),{"Tasarım","Ply Cutter","Üretim","Kalite (Üretim sonrası)","Talaşlı","Kalite (Talaşlı sonrası)","Montaj","Kalite (Montaj sonrası)","Boya","Kalite (Boya sonrası)","Yarı Mamül","KM"})),IF(COUNT(G519:R519)=0,"Başlamadı",LOOKUP(2,1/(G519:R519=MAX(G519:R519)),{"Tasarımda","Ply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519" s="177">
        <f t="shared" ca="1" si="138"/>
        <v>2</v>
      </c>
      <c r="AB519" s="175"/>
      <c r="AD519" t="str">
        <f>IF(OR($B519="",NOT(ISNUMBER(G519))),"",IF(COUNTIF(H519:$T519,G519)&gt;0,0,IF(COUNTIF($G519:$T519,"&gt;"&amp;G519)=0,"",SMALL($G519:$T519,COUNTIF($G519:$T519,"&lt;="&amp;G519)+1)-G519)))</f>
        <v/>
      </c>
      <c r="AE519" t="str">
        <f>IF(OR($B519="",NOT(ISNUMBER(H519))),"",IF(COUNTIF(I519:$T519,H519)&gt;0,0,IF(COUNTIF($G519:$T519,"&gt;"&amp;H519)=0,"",SMALL($G519:$T519,COUNTIF($G519:$T519,"&lt;="&amp;H519)+1)-H519)))</f>
        <v/>
      </c>
      <c r="AF519" t="str">
        <f>IF(OR($B519="",NOT(ISNUMBER(I519))),"",IF(COUNTIF(J519:$T519,I519)&gt;0,0,IF(COUNTIF($G519:$T519,"&gt;"&amp;I519)=0,"",SMALL($G519:$T519,COUNTIF($G519:$T519,"&lt;="&amp;I519)+1)-I519)))</f>
        <v/>
      </c>
      <c r="AG519" t="str">
        <f>IF(OR($B519="",NOT(ISNUMBER(J519))),"",IF(COUNTIF(K519:$T519,J519)&gt;0,0,IF(COUNTIF($G519:$T519,"&gt;"&amp;J519)=0,"",SMALL($G519:$T519,COUNTIF($G519:$T519,"&lt;="&amp;J519)+1)-J519)))</f>
        <v/>
      </c>
      <c r="AH519" t="str">
        <f>IF(OR($B519="",NOT(ISNUMBER(K519))),"",IF(COUNTIF(L519:$T519,K519)&gt;0,0,IF(COUNTIF($G519:$T519,"&gt;"&amp;K519)=0,"",SMALL($G519:$T519,COUNTIF($G519:$T519,"&lt;="&amp;K519)+1)-K519)))</f>
        <v/>
      </c>
      <c r="AI519" t="str">
        <f>IF(OR($B519="",NOT(ISNUMBER(L519))),"",IF(COUNTIF(M519:$T519,L519)&gt;0,0,IF(COUNTIF($G519:$T519,"&gt;"&amp;L519)=0,"",SMALL($G519:$T519,COUNTIF($G519:$T519,"&lt;="&amp;L519)+1)-L519)))</f>
        <v/>
      </c>
      <c r="AJ519" t="str">
        <f>IF(OR($B519="",NOT(ISNUMBER(M519))),"",IF(COUNTIF(N519:$T519,M519)&gt;0,0,IF(COUNTIF($G519:$T519,"&gt;"&amp;M519)=0,"",SMALL($G519:$T519,COUNTIF($G519:$T519,"&lt;="&amp;M519)+1)-M519)))</f>
        <v/>
      </c>
      <c r="AK519" t="str">
        <f>IF(OR($B519="",NOT(ISNUMBER(N519))),"",IF(COUNTIF(O519:$T519,N519)&gt;0,0,IF(COUNTIF($G519:$T519,"&gt;"&amp;N519)=0,"",SMALL($G519:$T519,COUNTIF($G519:$T519,"&lt;="&amp;N519)+1)-N519)))</f>
        <v/>
      </c>
      <c r="AL519" t="str">
        <f>IF(OR($B519="",NOT(ISNUMBER(O519))),"",IF(COUNTIF(P519:$T519,O519)&gt;0,0,IF(COUNTIF($G519:$T519,"&gt;"&amp;O519)=0,"",SMALL($G519:$T519,COUNTIF($G519:$T519,"&lt;="&amp;O519)+1)-O519)))</f>
        <v/>
      </c>
      <c r="AM519" t="str">
        <f>IF(OR($B519="",NOT(ISNUMBER(P519))),"",IF(COUNTIF(Q519:$T519,P519)&gt;0,0,IF(COUNTIF($G519:$T519,"&gt;"&amp;P519)=0,"",SMALL($G519:$T519,COUNTIF($G519:$T519,"&lt;="&amp;P519)+1)-P519)))</f>
        <v/>
      </c>
      <c r="AN519" t="str">
        <f>IF(OR($B519="",NOT(ISNUMBER(Q519))),"",IF(COUNTIF(R519:$T519,Q519)&gt;0,0,IF(COUNTIF($G519:$T519,"&gt;"&amp;Q519)=0,"",SMALL($G519:$T519,COUNTIF($G519:$T519,"&lt;="&amp;Q519)+1)-Q519)))</f>
        <v/>
      </c>
      <c r="AO519" t="str">
        <f>IF(OR($B519="",NOT(ISNUMBER(R519))),"",IF(COUNTIF(S519:$T519,R519)&gt;0,0,IF(COUNTIF($G519:$T519,"&gt;"&amp;R519)=0,"",SMALL($G519:$T519,COUNTIF($G519:$T519,"&lt;="&amp;R519)+1)-R519)))</f>
        <v/>
      </c>
      <c r="AP519">
        <f t="shared" ca="1" si="139"/>
        <v>0</v>
      </c>
      <c r="AQ519" s="25" t="str">
        <f t="shared" si="140"/>
        <v/>
      </c>
      <c r="AR519" s="25" t="str">
        <f t="shared" si="141"/>
        <v/>
      </c>
      <c r="AS519" s="25" t="str">
        <f t="shared" si="142"/>
        <v/>
      </c>
      <c r="AT519" s="25" t="str">
        <f t="shared" si="143"/>
        <v/>
      </c>
      <c r="AU519" s="25" t="str">
        <f t="shared" si="144"/>
        <v/>
      </c>
      <c r="AV519" s="25" t="str">
        <f t="shared" si="145"/>
        <v/>
      </c>
      <c r="AW519" s="25" t="str">
        <f t="shared" si="146"/>
        <v/>
      </c>
      <c r="AX519" s="25" t="str">
        <f t="shared" si="147"/>
        <v/>
      </c>
      <c r="AY519" s="25" t="str">
        <f t="shared" si="148"/>
        <v/>
      </c>
      <c r="AZ519" s="25" t="str">
        <f t="shared" si="149"/>
        <v/>
      </c>
      <c r="BA519" s="25" t="str">
        <f t="shared" si="150"/>
        <v/>
      </c>
      <c r="BB519" s="25" t="str">
        <f t="shared" si="151"/>
        <v/>
      </c>
      <c r="BC519" s="25" t="str">
        <f t="shared" si="152"/>
        <v/>
      </c>
    </row>
    <row r="520" spans="1:55" x14ac:dyDescent="0.25">
      <c r="A520" s="151">
        <f t="shared" si="137"/>
        <v>518</v>
      </c>
      <c r="B520" s="255" t="s">
        <v>979</v>
      </c>
      <c r="C520" s="254" t="s">
        <v>378</v>
      </c>
      <c r="D520" s="151">
        <f t="shared" si="136"/>
        <v>2</v>
      </c>
      <c r="E520" s="185" t="s">
        <v>61</v>
      </c>
      <c r="F520" s="173">
        <v>46305</v>
      </c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51"/>
      <c r="U520" s="151"/>
      <c r="V520" s="152"/>
      <c r="W520" s="175"/>
      <c r="X520" s="173"/>
      <c r="Y520" s="173"/>
      <c r="Z520" s="176" t="str">
        <f>IF(B520="","",IF(S520&lt;&gt;"","Sevk Edildi",IF(AND(X520&lt;&gt;"",Y520=""),"Reworkte",IF(T520&lt;&gt;"","Kapandı"&amp;IF(COUNT(G520:R520)=0,""," – "&amp;LOOKUP(2,1/(G520:R520=MAX(G520:R520)),{"Tasarım","Ply Cutter","Üretim","Kalite (Üretim sonrası)","Talaşlı","Kalite (Talaşlı sonrası)","Montaj","Kalite (Montaj sonrası)","Boya","Kalite (Boya sonrası)","Yarı Mamül","KM"})),IF(COUNT(G520:R520)=0,"Başlamadı",LOOKUP(2,1/(G520:R520=MAX(G520:R520)),{"Tasarımda","Ply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520" s="177">
        <f t="shared" ca="1" si="138"/>
        <v>2</v>
      </c>
      <c r="AB520" s="175"/>
      <c r="AD520" t="str">
        <f>IF(OR($B520="",NOT(ISNUMBER(G520))),"",IF(COUNTIF(H520:$T520,G520)&gt;0,0,IF(COUNTIF($G520:$T520,"&gt;"&amp;G520)=0,"",SMALL($G520:$T520,COUNTIF($G520:$T520,"&lt;="&amp;G520)+1)-G520)))</f>
        <v/>
      </c>
      <c r="AE520" t="str">
        <f>IF(OR($B520="",NOT(ISNUMBER(H520))),"",IF(COUNTIF(I520:$T520,H520)&gt;0,0,IF(COUNTIF($G520:$T520,"&gt;"&amp;H520)=0,"",SMALL($G520:$T520,COUNTIF($G520:$T520,"&lt;="&amp;H520)+1)-H520)))</f>
        <v/>
      </c>
      <c r="AF520" t="str">
        <f>IF(OR($B520="",NOT(ISNUMBER(I520))),"",IF(COUNTIF(J520:$T520,I520)&gt;0,0,IF(COUNTIF($G520:$T520,"&gt;"&amp;I520)=0,"",SMALL($G520:$T520,COUNTIF($G520:$T520,"&lt;="&amp;I520)+1)-I520)))</f>
        <v/>
      </c>
      <c r="AG520" t="str">
        <f>IF(OR($B520="",NOT(ISNUMBER(J520))),"",IF(COUNTIF(K520:$T520,J520)&gt;0,0,IF(COUNTIF($G520:$T520,"&gt;"&amp;J520)=0,"",SMALL($G520:$T520,COUNTIF($G520:$T520,"&lt;="&amp;J520)+1)-J520)))</f>
        <v/>
      </c>
      <c r="AH520" t="str">
        <f>IF(OR($B520="",NOT(ISNUMBER(K520))),"",IF(COUNTIF(L520:$T520,K520)&gt;0,0,IF(COUNTIF($G520:$T520,"&gt;"&amp;K520)=0,"",SMALL($G520:$T520,COUNTIF($G520:$T520,"&lt;="&amp;K520)+1)-K520)))</f>
        <v/>
      </c>
      <c r="AI520" t="str">
        <f>IF(OR($B520="",NOT(ISNUMBER(L520))),"",IF(COUNTIF(M520:$T520,L520)&gt;0,0,IF(COUNTIF($G520:$T520,"&gt;"&amp;L520)=0,"",SMALL($G520:$T520,COUNTIF($G520:$T520,"&lt;="&amp;L520)+1)-L520)))</f>
        <v/>
      </c>
      <c r="AJ520" t="str">
        <f>IF(OR($B520="",NOT(ISNUMBER(M520))),"",IF(COUNTIF(N520:$T520,M520)&gt;0,0,IF(COUNTIF($G520:$T520,"&gt;"&amp;M520)=0,"",SMALL($G520:$T520,COUNTIF($G520:$T520,"&lt;="&amp;M520)+1)-M520)))</f>
        <v/>
      </c>
      <c r="AK520" t="str">
        <f>IF(OR($B520="",NOT(ISNUMBER(N520))),"",IF(COUNTIF(O520:$T520,N520)&gt;0,0,IF(COUNTIF($G520:$T520,"&gt;"&amp;N520)=0,"",SMALL($G520:$T520,COUNTIF($G520:$T520,"&lt;="&amp;N520)+1)-N520)))</f>
        <v/>
      </c>
      <c r="AL520" t="str">
        <f>IF(OR($B520="",NOT(ISNUMBER(O520))),"",IF(COUNTIF(P520:$T520,O520)&gt;0,0,IF(COUNTIF($G520:$T520,"&gt;"&amp;O520)=0,"",SMALL($G520:$T520,COUNTIF($G520:$T520,"&lt;="&amp;O520)+1)-O520)))</f>
        <v/>
      </c>
      <c r="AM520" t="str">
        <f>IF(OR($B520="",NOT(ISNUMBER(P520))),"",IF(COUNTIF(Q520:$T520,P520)&gt;0,0,IF(COUNTIF($G520:$T520,"&gt;"&amp;P520)=0,"",SMALL($G520:$T520,COUNTIF($G520:$T520,"&lt;="&amp;P520)+1)-P520)))</f>
        <v/>
      </c>
      <c r="AN520" t="str">
        <f>IF(OR($B520="",NOT(ISNUMBER(Q520))),"",IF(COUNTIF(R520:$T520,Q520)&gt;0,0,IF(COUNTIF($G520:$T520,"&gt;"&amp;Q520)=0,"",SMALL($G520:$T520,COUNTIF($G520:$T520,"&lt;="&amp;Q520)+1)-Q520)))</f>
        <v/>
      </c>
      <c r="AO520" t="str">
        <f>IF(OR($B520="",NOT(ISNUMBER(R520))),"",IF(COUNTIF(S520:$T520,R520)&gt;0,0,IF(COUNTIF($G520:$T520,"&gt;"&amp;R520)=0,"",SMALL($G520:$T520,COUNTIF($G520:$T520,"&lt;="&amp;R520)+1)-R520)))</f>
        <v/>
      </c>
      <c r="AP520">
        <f t="shared" ca="1" si="139"/>
        <v>0</v>
      </c>
      <c r="AQ520" s="25" t="str">
        <f t="shared" si="140"/>
        <v/>
      </c>
      <c r="AR520" s="25" t="str">
        <f t="shared" si="141"/>
        <v/>
      </c>
      <c r="AS520" s="25" t="str">
        <f t="shared" si="142"/>
        <v/>
      </c>
      <c r="AT520" s="25" t="str">
        <f t="shared" si="143"/>
        <v/>
      </c>
      <c r="AU520" s="25" t="str">
        <f t="shared" si="144"/>
        <v/>
      </c>
      <c r="AV520" s="25" t="str">
        <f t="shared" si="145"/>
        <v/>
      </c>
      <c r="AW520" s="25" t="str">
        <f t="shared" si="146"/>
        <v/>
      </c>
      <c r="AX520" s="25" t="str">
        <f t="shared" si="147"/>
        <v/>
      </c>
      <c r="AY520" s="25" t="str">
        <f t="shared" si="148"/>
        <v/>
      </c>
      <c r="AZ520" s="25" t="str">
        <f t="shared" si="149"/>
        <v/>
      </c>
      <c r="BA520" s="25" t="str">
        <f t="shared" si="150"/>
        <v/>
      </c>
      <c r="BB520" s="25" t="str">
        <f t="shared" si="151"/>
        <v/>
      </c>
      <c r="BC520" s="25" t="str">
        <f t="shared" si="152"/>
        <v/>
      </c>
    </row>
    <row r="521" spans="1:55" x14ac:dyDescent="0.25">
      <c r="A521" s="151">
        <f t="shared" si="137"/>
        <v>519</v>
      </c>
      <c r="B521" s="255" t="s">
        <v>980</v>
      </c>
      <c r="C521" s="254" t="s">
        <v>72</v>
      </c>
      <c r="D521" s="151">
        <f t="shared" si="136"/>
        <v>1</v>
      </c>
      <c r="E521" s="185" t="s">
        <v>61</v>
      </c>
      <c r="F521" s="173">
        <v>46305</v>
      </c>
      <c r="G521" s="173"/>
      <c r="H521" s="173"/>
      <c r="I521" s="173">
        <v>46305</v>
      </c>
      <c r="J521" s="173">
        <v>46307</v>
      </c>
      <c r="K521" s="173"/>
      <c r="L521" s="173"/>
      <c r="M521" s="173"/>
      <c r="N521" s="173"/>
      <c r="O521" s="173"/>
      <c r="P521" s="173"/>
      <c r="Q521" s="173"/>
      <c r="R521" s="173"/>
      <c r="S521" s="173"/>
      <c r="T521" s="174">
        <v>46307</v>
      </c>
      <c r="U521" s="151"/>
      <c r="V521" s="152"/>
      <c r="W521" s="175"/>
      <c r="X521" s="173"/>
      <c r="Y521" s="173"/>
      <c r="Z521" s="176" t="str">
        <f>IF(B521="","",IF(S521&lt;&gt;"","Sevk Edildi",IF(AND(X521&lt;&gt;"",Y521=""),"Reworkte",IF(T521&lt;&gt;"","Kapandı"&amp;IF(COUNT(G521:R521)=0,""," – "&amp;LOOKUP(2,1/(G521:R521=MAX(G521:R521)),{"Tasarım","Ply Cutter","Üretim","Kalite (Üretim sonrası)","Talaşlı","Kalite (Talaşlı sonrası)","Montaj","Kalite (Montaj sonrası)","Boya","Kalite (Boya sonrası)","Yarı Mamül","KM"})),IF(COUNT(G521:R521)=0,"Başlamadı",LOOKUP(2,1/(G521:R521=MAX(G521:R521)),{"Tasarımda","Ply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21" s="177">
        <f t="shared" ca="1" si="138"/>
        <v>2</v>
      </c>
      <c r="AB521" s="175"/>
      <c r="AD521" t="str">
        <f>IF(OR($B521="",NOT(ISNUMBER(G521))),"",IF(COUNTIF(H521:$T521,G521)&gt;0,0,IF(COUNTIF($G521:$T521,"&gt;"&amp;G521)=0,"",SMALL($G521:$T521,COUNTIF($G521:$T521,"&lt;="&amp;G521)+1)-G521)))</f>
        <v/>
      </c>
      <c r="AE521" t="str">
        <f>IF(OR($B521="",NOT(ISNUMBER(H521))),"",IF(COUNTIF(I521:$T521,H521)&gt;0,0,IF(COUNTIF($G521:$T521,"&gt;"&amp;H521)=0,"",SMALL($G521:$T521,COUNTIF($G521:$T521,"&lt;="&amp;H521)+1)-H521)))</f>
        <v/>
      </c>
      <c r="AF521">
        <f>IF(OR($B521="",NOT(ISNUMBER(I521))),"",IF(COUNTIF(J521:$T521,I521)&gt;0,0,IF(COUNTIF($G521:$T521,"&gt;"&amp;I521)=0,"",SMALL($G521:$T521,COUNTIF($G521:$T521,"&lt;="&amp;I521)+1)-I521)))</f>
        <v>2</v>
      </c>
      <c r="AG521">
        <f>IF(OR($B521="",NOT(ISNUMBER(J521))),"",IF(COUNTIF(K521:$T521,J521)&gt;0,0,IF(COUNTIF($G521:$T521,"&gt;"&amp;J521)=0,"",SMALL($G521:$T521,COUNTIF($G521:$T521,"&lt;="&amp;J521)+1)-J521)))</f>
        <v>0</v>
      </c>
      <c r="AH521" t="str">
        <f>IF(OR($B521="",NOT(ISNUMBER(K521))),"",IF(COUNTIF(L521:$T521,K521)&gt;0,0,IF(COUNTIF($G521:$T521,"&gt;"&amp;K521)=0,"",SMALL($G521:$T521,COUNTIF($G521:$T521,"&lt;="&amp;K521)+1)-K521)))</f>
        <v/>
      </c>
      <c r="AI521" t="str">
        <f>IF(OR($B521="",NOT(ISNUMBER(L521))),"",IF(COUNTIF(M521:$T521,L521)&gt;0,0,IF(COUNTIF($G521:$T521,"&gt;"&amp;L521)=0,"",SMALL($G521:$T521,COUNTIF($G521:$T521,"&lt;="&amp;L521)+1)-L521)))</f>
        <v/>
      </c>
      <c r="AJ521" t="str">
        <f>IF(OR($B521="",NOT(ISNUMBER(M521))),"",IF(COUNTIF(N521:$T521,M521)&gt;0,0,IF(COUNTIF($G521:$T521,"&gt;"&amp;M521)=0,"",SMALL($G521:$T521,COUNTIF($G521:$T521,"&lt;="&amp;M521)+1)-M521)))</f>
        <v/>
      </c>
      <c r="AK521" t="str">
        <f>IF(OR($B521="",NOT(ISNUMBER(N521))),"",IF(COUNTIF(O521:$T521,N521)&gt;0,0,IF(COUNTIF($G521:$T521,"&gt;"&amp;N521)=0,"",SMALL($G521:$T521,COUNTIF($G521:$T521,"&lt;="&amp;N521)+1)-N521)))</f>
        <v/>
      </c>
      <c r="AL521" t="str">
        <f>IF(OR($B521="",NOT(ISNUMBER(O521))),"",IF(COUNTIF(P521:$T521,O521)&gt;0,0,IF(COUNTIF($G521:$T521,"&gt;"&amp;O521)=0,"",SMALL($G521:$T521,COUNTIF($G521:$T521,"&lt;="&amp;O521)+1)-O521)))</f>
        <v/>
      </c>
      <c r="AM521" t="str">
        <f>IF(OR($B521="",NOT(ISNUMBER(P521))),"",IF(COUNTIF(Q521:$T521,P521)&gt;0,0,IF(COUNTIF($G521:$T521,"&gt;"&amp;P521)=0,"",SMALL($G521:$T521,COUNTIF($G521:$T521,"&lt;="&amp;P521)+1)-P521)))</f>
        <v/>
      </c>
      <c r="AN521" t="str">
        <f>IF(OR($B521="",NOT(ISNUMBER(Q521))),"",IF(COUNTIF(R521:$T521,Q521)&gt;0,0,IF(COUNTIF($G521:$T521,"&gt;"&amp;Q521)=0,"",SMALL($G521:$T521,COUNTIF($G521:$T521,"&lt;="&amp;Q521)+1)-Q521)))</f>
        <v/>
      </c>
      <c r="AO521" t="str">
        <f>IF(OR($B521="",NOT(ISNUMBER(R521))),"",IF(COUNTIF(S521:$T521,R521)&gt;0,0,IF(COUNTIF($G521:$T521,"&gt;"&amp;R521)=0,"",SMALL($G521:$T521,COUNTIF($G521:$T521,"&lt;="&amp;R521)+1)-R521)))</f>
        <v/>
      </c>
      <c r="AP521">
        <f t="shared" ca="1" si="139"/>
        <v>0</v>
      </c>
      <c r="AQ521" s="25" t="str">
        <f t="shared" si="140"/>
        <v/>
      </c>
      <c r="AR521" s="25" t="str">
        <f t="shared" si="141"/>
        <v/>
      </c>
      <c r="AS521" s="25">
        <f t="shared" si="142"/>
        <v>46307</v>
      </c>
      <c r="AT521" s="25">
        <f t="shared" si="143"/>
        <v>46307</v>
      </c>
      <c r="AU521" s="25" t="str">
        <f t="shared" si="144"/>
        <v/>
      </c>
      <c r="AV521" s="25" t="str">
        <f t="shared" si="145"/>
        <v/>
      </c>
      <c r="AW521" s="25" t="str">
        <f t="shared" si="146"/>
        <v/>
      </c>
      <c r="AX521" s="25" t="str">
        <f t="shared" si="147"/>
        <v/>
      </c>
      <c r="AY521" s="25" t="str">
        <f t="shared" si="148"/>
        <v/>
      </c>
      <c r="AZ521" s="25" t="str">
        <f t="shared" si="149"/>
        <v/>
      </c>
      <c r="BA521" s="25" t="str">
        <f t="shared" si="150"/>
        <v/>
      </c>
      <c r="BB521" s="25" t="str">
        <f t="shared" si="151"/>
        <v/>
      </c>
      <c r="BC521" s="25">
        <f t="shared" si="152"/>
        <v>46307</v>
      </c>
    </row>
    <row r="522" spans="1:55" x14ac:dyDescent="0.25">
      <c r="A522" s="151">
        <f t="shared" si="137"/>
        <v>520</v>
      </c>
      <c r="B522" s="255" t="s">
        <v>981</v>
      </c>
      <c r="C522" s="254" t="s">
        <v>72</v>
      </c>
      <c r="D522" s="151">
        <f t="shared" si="136"/>
        <v>1</v>
      </c>
      <c r="E522" s="185" t="s">
        <v>61</v>
      </c>
      <c r="F522" s="173">
        <v>46305</v>
      </c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51"/>
      <c r="U522" s="151"/>
      <c r="V522" s="152"/>
      <c r="W522" s="175"/>
      <c r="X522" s="173"/>
      <c r="Y522" s="173"/>
      <c r="Z522" s="176" t="str">
        <f>IF(B522="","",IF(S522&lt;&gt;"","Sevk Edildi",IF(AND(X522&lt;&gt;"",Y522=""),"Reworkte",IF(T522&lt;&gt;"","Kapandı"&amp;IF(COUNT(G522:R522)=0,""," – "&amp;LOOKUP(2,1/(G522:R522=MAX(G522:R522)),{"Tasarım","Ply Cutter","Üretim","Kalite (Üretim sonrası)","Talaşlı","Kalite (Talaşlı sonrası)","Montaj","Kalite (Montaj sonrası)","Boya","Kalite (Boya sonrası)","Yarı Mamül","KM"})),IF(COUNT(G522:R522)=0,"Başlamadı",LOOKUP(2,1/(G522:R522=MAX(G522:R522)),{"Tasarımda","Ply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522" s="177">
        <f t="shared" ca="1" si="138"/>
        <v>2</v>
      </c>
      <c r="AB522" s="175"/>
      <c r="AD522" t="str">
        <f>IF(OR($B522="",NOT(ISNUMBER(G522))),"",IF(COUNTIF(H522:$T522,G522)&gt;0,0,IF(COUNTIF($G522:$T522,"&gt;"&amp;G522)=0,"",SMALL($G522:$T522,COUNTIF($G522:$T522,"&lt;="&amp;G522)+1)-G522)))</f>
        <v/>
      </c>
      <c r="AE522" t="str">
        <f>IF(OR($B522="",NOT(ISNUMBER(H522))),"",IF(COUNTIF(I522:$T522,H522)&gt;0,0,IF(COUNTIF($G522:$T522,"&gt;"&amp;H522)=0,"",SMALL($G522:$T522,COUNTIF($G522:$T522,"&lt;="&amp;H522)+1)-H522)))</f>
        <v/>
      </c>
      <c r="AF522" t="str">
        <f>IF(OR($B522="",NOT(ISNUMBER(I522))),"",IF(COUNTIF(J522:$T522,I522)&gt;0,0,IF(COUNTIF($G522:$T522,"&gt;"&amp;I522)=0,"",SMALL($G522:$T522,COUNTIF($G522:$T522,"&lt;="&amp;I522)+1)-I522)))</f>
        <v/>
      </c>
      <c r="AG522" t="str">
        <f>IF(OR($B522="",NOT(ISNUMBER(J522))),"",IF(COUNTIF(K522:$T522,J522)&gt;0,0,IF(COUNTIF($G522:$T522,"&gt;"&amp;J522)=0,"",SMALL($G522:$T522,COUNTIF($G522:$T522,"&lt;="&amp;J522)+1)-J522)))</f>
        <v/>
      </c>
      <c r="AH522" t="str">
        <f>IF(OR($B522="",NOT(ISNUMBER(K522))),"",IF(COUNTIF(L522:$T522,K522)&gt;0,0,IF(COUNTIF($G522:$T522,"&gt;"&amp;K522)=0,"",SMALL($G522:$T522,COUNTIF($G522:$T522,"&lt;="&amp;K522)+1)-K522)))</f>
        <v/>
      </c>
      <c r="AI522" t="str">
        <f>IF(OR($B522="",NOT(ISNUMBER(L522))),"",IF(COUNTIF(M522:$T522,L522)&gt;0,0,IF(COUNTIF($G522:$T522,"&gt;"&amp;L522)=0,"",SMALL($G522:$T522,COUNTIF($G522:$T522,"&lt;="&amp;L522)+1)-L522)))</f>
        <v/>
      </c>
      <c r="AJ522" t="str">
        <f>IF(OR($B522="",NOT(ISNUMBER(M522))),"",IF(COUNTIF(N522:$T522,M522)&gt;0,0,IF(COUNTIF($G522:$T522,"&gt;"&amp;M522)=0,"",SMALL($G522:$T522,COUNTIF($G522:$T522,"&lt;="&amp;M522)+1)-M522)))</f>
        <v/>
      </c>
      <c r="AK522" t="str">
        <f>IF(OR($B522="",NOT(ISNUMBER(N522))),"",IF(COUNTIF(O522:$T522,N522)&gt;0,0,IF(COUNTIF($G522:$T522,"&gt;"&amp;N522)=0,"",SMALL($G522:$T522,COUNTIF($G522:$T522,"&lt;="&amp;N522)+1)-N522)))</f>
        <v/>
      </c>
      <c r="AL522" t="str">
        <f>IF(OR($B522="",NOT(ISNUMBER(O522))),"",IF(COUNTIF(P522:$T522,O522)&gt;0,0,IF(COUNTIF($G522:$T522,"&gt;"&amp;O522)=0,"",SMALL($G522:$T522,COUNTIF($G522:$T522,"&lt;="&amp;O522)+1)-O522)))</f>
        <v/>
      </c>
      <c r="AM522" t="str">
        <f>IF(OR($B522="",NOT(ISNUMBER(P522))),"",IF(COUNTIF(Q522:$T522,P522)&gt;0,0,IF(COUNTIF($G522:$T522,"&gt;"&amp;P522)=0,"",SMALL($G522:$T522,COUNTIF($G522:$T522,"&lt;="&amp;P522)+1)-P522)))</f>
        <v/>
      </c>
      <c r="AN522" t="str">
        <f>IF(OR($B522="",NOT(ISNUMBER(Q522))),"",IF(COUNTIF(R522:$T522,Q522)&gt;0,0,IF(COUNTIF($G522:$T522,"&gt;"&amp;Q522)=0,"",SMALL($G522:$T522,COUNTIF($G522:$T522,"&lt;="&amp;Q522)+1)-Q522)))</f>
        <v/>
      </c>
      <c r="AO522" t="str">
        <f>IF(OR($B522="",NOT(ISNUMBER(R522))),"",IF(COUNTIF(S522:$T522,R522)&gt;0,0,IF(COUNTIF($G522:$T522,"&gt;"&amp;R522)=0,"",SMALL($G522:$T522,COUNTIF($G522:$T522,"&lt;="&amp;R522)+1)-R522)))</f>
        <v/>
      </c>
      <c r="AP522">
        <f t="shared" ca="1" si="139"/>
        <v>0</v>
      </c>
      <c r="AQ522" s="25" t="str">
        <f t="shared" si="140"/>
        <v/>
      </c>
      <c r="AR522" s="25" t="str">
        <f t="shared" si="141"/>
        <v/>
      </c>
      <c r="AS522" s="25" t="str">
        <f t="shared" si="142"/>
        <v/>
      </c>
      <c r="AT522" s="25" t="str">
        <f t="shared" si="143"/>
        <v/>
      </c>
      <c r="AU522" s="25" t="str">
        <f t="shared" si="144"/>
        <v/>
      </c>
      <c r="AV522" s="25" t="str">
        <f t="shared" si="145"/>
        <v/>
      </c>
      <c r="AW522" s="25" t="str">
        <f t="shared" si="146"/>
        <v/>
      </c>
      <c r="AX522" s="25" t="str">
        <f t="shared" si="147"/>
        <v/>
      </c>
      <c r="AY522" s="25" t="str">
        <f t="shared" si="148"/>
        <v/>
      </c>
      <c r="AZ522" s="25" t="str">
        <f t="shared" si="149"/>
        <v/>
      </c>
      <c r="BA522" s="25" t="str">
        <f t="shared" si="150"/>
        <v/>
      </c>
      <c r="BB522" s="25" t="str">
        <f t="shared" si="151"/>
        <v/>
      </c>
      <c r="BC522" s="25" t="str">
        <f t="shared" si="152"/>
        <v/>
      </c>
    </row>
    <row r="523" spans="1:55" x14ac:dyDescent="0.25">
      <c r="A523" s="151">
        <f t="shared" si="137"/>
        <v>521</v>
      </c>
      <c r="B523" s="255" t="s">
        <v>982</v>
      </c>
      <c r="C523" s="254" t="s">
        <v>92</v>
      </c>
      <c r="D523" s="151">
        <f t="shared" si="136"/>
        <v>2</v>
      </c>
      <c r="E523" s="185" t="s">
        <v>61</v>
      </c>
      <c r="F523" s="173">
        <v>46305</v>
      </c>
      <c r="G523" s="173"/>
      <c r="H523" s="173"/>
      <c r="I523" s="173">
        <v>46305</v>
      </c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51"/>
      <c r="U523" s="151"/>
      <c r="V523" s="152"/>
      <c r="W523" s="175"/>
      <c r="X523" s="173"/>
      <c r="Y523" s="173"/>
      <c r="Z523" s="176" t="str">
        <f>IF(B523="","",IF(S523&lt;&gt;"","Sevk Edildi",IF(AND(X523&lt;&gt;"",Y523=""),"Reworkte",IF(T523&lt;&gt;"","Kapandı"&amp;IF(COUNT(G523:R523)=0,""," – "&amp;LOOKUP(2,1/(G523:R523=MAX(G523:R523)),{"Tasarım","Ply Cutter","Üretim","Kalite (Üretim sonrası)","Talaşlı","Kalite (Talaşlı sonrası)","Montaj","Kalite (Montaj sonrası)","Boya","Kalite (Boya sonrası)","Yarı Mamül","KM"})),IF(COUNT(G523:R523)=0,"Başlamadı",LOOKUP(2,1/(G523:R523=MAX(G523:R523)),{"Tasarımda","Ply Cutter'da","Üretimde","Kalitede (Üretim sonrası)","Talaşlıda","Kalitede (Talaşlı sonrası)","Montajda","Kalitede (Montaj sonrası)","Boyada","Kalitede (Boya sonrası)","Yarı Mamülde","KM'de"}))))))</f>
        <v>Üretimde</v>
      </c>
      <c r="AA523" s="177">
        <f t="shared" ca="1" si="138"/>
        <v>2</v>
      </c>
      <c r="AB523" s="175"/>
      <c r="AD523" t="str">
        <f>IF(OR($B523="",NOT(ISNUMBER(G523))),"",IF(COUNTIF(H523:$T523,G523)&gt;0,0,IF(COUNTIF($G523:$T523,"&gt;"&amp;G523)=0,"",SMALL($G523:$T523,COUNTIF($G523:$T523,"&lt;="&amp;G523)+1)-G523)))</f>
        <v/>
      </c>
      <c r="AE523" t="str">
        <f>IF(OR($B523="",NOT(ISNUMBER(H523))),"",IF(COUNTIF(I523:$T523,H523)&gt;0,0,IF(COUNTIF($G523:$T523,"&gt;"&amp;H523)=0,"",SMALL($G523:$T523,COUNTIF($G523:$T523,"&lt;="&amp;H523)+1)-H523)))</f>
        <v/>
      </c>
      <c r="AF523" t="str">
        <f>IF(OR($B523="",NOT(ISNUMBER(I523))),"",IF(COUNTIF(J523:$T523,I523)&gt;0,0,IF(COUNTIF($G523:$T523,"&gt;"&amp;I523)=0,"",SMALL($G523:$T523,COUNTIF($G523:$T523,"&lt;="&amp;I523)+1)-I523)))</f>
        <v/>
      </c>
      <c r="AG523" t="str">
        <f>IF(OR($B523="",NOT(ISNUMBER(J523))),"",IF(COUNTIF(K523:$T523,J523)&gt;0,0,IF(COUNTIF($G523:$T523,"&gt;"&amp;J523)=0,"",SMALL($G523:$T523,COUNTIF($G523:$T523,"&lt;="&amp;J523)+1)-J523)))</f>
        <v/>
      </c>
      <c r="AH523" t="str">
        <f>IF(OR($B523="",NOT(ISNUMBER(K523))),"",IF(COUNTIF(L523:$T523,K523)&gt;0,0,IF(COUNTIF($G523:$T523,"&gt;"&amp;K523)=0,"",SMALL($G523:$T523,COUNTIF($G523:$T523,"&lt;="&amp;K523)+1)-K523)))</f>
        <v/>
      </c>
      <c r="AI523" t="str">
        <f>IF(OR($B523="",NOT(ISNUMBER(L523))),"",IF(COUNTIF(M523:$T523,L523)&gt;0,0,IF(COUNTIF($G523:$T523,"&gt;"&amp;L523)=0,"",SMALL($G523:$T523,COUNTIF($G523:$T523,"&lt;="&amp;L523)+1)-L523)))</f>
        <v/>
      </c>
      <c r="AJ523" t="str">
        <f>IF(OR($B523="",NOT(ISNUMBER(M523))),"",IF(COUNTIF(N523:$T523,M523)&gt;0,0,IF(COUNTIF($G523:$T523,"&gt;"&amp;M523)=0,"",SMALL($G523:$T523,COUNTIF($G523:$T523,"&lt;="&amp;M523)+1)-M523)))</f>
        <v/>
      </c>
      <c r="AK523" t="str">
        <f>IF(OR($B523="",NOT(ISNUMBER(N523))),"",IF(COUNTIF(O523:$T523,N523)&gt;0,0,IF(COUNTIF($G523:$T523,"&gt;"&amp;N523)=0,"",SMALL($G523:$T523,COUNTIF($G523:$T523,"&lt;="&amp;N523)+1)-N523)))</f>
        <v/>
      </c>
      <c r="AL523" t="str">
        <f>IF(OR($B523="",NOT(ISNUMBER(O523))),"",IF(COUNTIF(P523:$T523,O523)&gt;0,0,IF(COUNTIF($G523:$T523,"&gt;"&amp;O523)=0,"",SMALL($G523:$T523,COUNTIF($G523:$T523,"&lt;="&amp;O523)+1)-O523)))</f>
        <v/>
      </c>
      <c r="AM523" t="str">
        <f>IF(OR($B523="",NOT(ISNUMBER(P523))),"",IF(COUNTIF(Q523:$T523,P523)&gt;0,0,IF(COUNTIF($G523:$T523,"&gt;"&amp;P523)=0,"",SMALL($G523:$T523,COUNTIF($G523:$T523,"&lt;="&amp;P523)+1)-P523)))</f>
        <v/>
      </c>
      <c r="AN523" t="str">
        <f>IF(OR($B523="",NOT(ISNUMBER(Q523))),"",IF(COUNTIF(R523:$T523,Q523)&gt;0,0,IF(COUNTIF($G523:$T523,"&gt;"&amp;Q523)=0,"",SMALL($G523:$T523,COUNTIF($G523:$T523,"&lt;="&amp;Q523)+1)-Q523)))</f>
        <v/>
      </c>
      <c r="AO523" t="str">
        <f>IF(OR($B523="",NOT(ISNUMBER(R523))),"",IF(COUNTIF(S523:$T523,R523)&gt;0,0,IF(COUNTIF($G523:$T523,"&gt;"&amp;R523)=0,"",SMALL($G523:$T523,COUNTIF($G523:$T523,"&lt;="&amp;R523)+1)-R523)))</f>
        <v/>
      </c>
      <c r="AP523">
        <f t="shared" ca="1" si="139"/>
        <v>2</v>
      </c>
      <c r="AQ523" s="25" t="str">
        <f t="shared" si="140"/>
        <v/>
      </c>
      <c r="AR523" s="25" t="str">
        <f t="shared" si="141"/>
        <v/>
      </c>
      <c r="AS523" s="25" t="str">
        <f t="shared" si="142"/>
        <v/>
      </c>
      <c r="AT523" s="25" t="str">
        <f t="shared" si="143"/>
        <v/>
      </c>
      <c r="AU523" s="25" t="str">
        <f t="shared" si="144"/>
        <v/>
      </c>
      <c r="AV523" s="25" t="str">
        <f t="shared" si="145"/>
        <v/>
      </c>
      <c r="AW523" s="25" t="str">
        <f t="shared" si="146"/>
        <v/>
      </c>
      <c r="AX523" s="25" t="str">
        <f t="shared" si="147"/>
        <v/>
      </c>
      <c r="AY523" s="25" t="str">
        <f t="shared" si="148"/>
        <v/>
      </c>
      <c r="AZ523" s="25" t="str">
        <f t="shared" si="149"/>
        <v/>
      </c>
      <c r="BA523" s="25" t="str">
        <f t="shared" si="150"/>
        <v/>
      </c>
      <c r="BB523" s="25" t="str">
        <f t="shared" si="151"/>
        <v/>
      </c>
      <c r="BC523" s="25" t="str">
        <f t="shared" si="152"/>
        <v/>
      </c>
    </row>
    <row r="524" spans="1:55" x14ac:dyDescent="0.25">
      <c r="A524" s="151">
        <f t="shared" si="137"/>
        <v>522</v>
      </c>
      <c r="B524" s="255" t="s">
        <v>983</v>
      </c>
      <c r="C524" s="254" t="s">
        <v>355</v>
      </c>
      <c r="D524" s="151">
        <f t="shared" si="136"/>
        <v>1</v>
      </c>
      <c r="E524" s="185" t="s">
        <v>61</v>
      </c>
      <c r="F524" s="173">
        <v>46305</v>
      </c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51"/>
      <c r="U524" s="151"/>
      <c r="V524" s="152"/>
      <c r="W524" s="175"/>
      <c r="X524" s="173"/>
      <c r="Y524" s="173"/>
      <c r="Z524" s="176" t="str">
        <f>IF(B524="","",IF(S524&lt;&gt;"","Sevk Edildi",IF(AND(X524&lt;&gt;"",Y524=""),"Reworkte",IF(T524&lt;&gt;"","Kapandı"&amp;IF(COUNT(G524:R524)=0,""," – "&amp;LOOKUP(2,1/(G524:R524=MAX(G524:R524)),{"Tasarım","Ply Cutter","Üretim","Kalite (Üretim sonrası)","Talaşlı","Kalite (Talaşlı sonrası)","Montaj","Kalite (Montaj sonrası)","Boya","Kalite (Boya sonrası)","Yarı Mamül","KM"})),IF(COUNT(G524:R524)=0,"Başlamadı",LOOKUP(2,1/(G524:R524=MAX(G524:R524)),{"Tasarımda","Ply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524" s="177">
        <f t="shared" ca="1" si="138"/>
        <v>2</v>
      </c>
      <c r="AB524" s="175"/>
      <c r="AD524" t="str">
        <f>IF(OR($B524="",NOT(ISNUMBER(G524))),"",IF(COUNTIF(H524:$T524,G524)&gt;0,0,IF(COUNTIF($G524:$T524,"&gt;"&amp;G524)=0,"",SMALL($G524:$T524,COUNTIF($G524:$T524,"&lt;="&amp;G524)+1)-G524)))</f>
        <v/>
      </c>
      <c r="AE524" t="str">
        <f>IF(OR($B524="",NOT(ISNUMBER(H524))),"",IF(COUNTIF(I524:$T524,H524)&gt;0,0,IF(COUNTIF($G524:$T524,"&gt;"&amp;H524)=0,"",SMALL($G524:$T524,COUNTIF($G524:$T524,"&lt;="&amp;H524)+1)-H524)))</f>
        <v/>
      </c>
      <c r="AF524" t="str">
        <f>IF(OR($B524="",NOT(ISNUMBER(I524))),"",IF(COUNTIF(J524:$T524,I524)&gt;0,0,IF(COUNTIF($G524:$T524,"&gt;"&amp;I524)=0,"",SMALL($G524:$T524,COUNTIF($G524:$T524,"&lt;="&amp;I524)+1)-I524)))</f>
        <v/>
      </c>
      <c r="AG524" t="str">
        <f>IF(OR($B524="",NOT(ISNUMBER(J524))),"",IF(COUNTIF(K524:$T524,J524)&gt;0,0,IF(COUNTIF($G524:$T524,"&gt;"&amp;J524)=0,"",SMALL($G524:$T524,COUNTIF($G524:$T524,"&lt;="&amp;J524)+1)-J524)))</f>
        <v/>
      </c>
      <c r="AH524" t="str">
        <f>IF(OR($B524="",NOT(ISNUMBER(K524))),"",IF(COUNTIF(L524:$T524,K524)&gt;0,0,IF(COUNTIF($G524:$T524,"&gt;"&amp;K524)=0,"",SMALL($G524:$T524,COUNTIF($G524:$T524,"&lt;="&amp;K524)+1)-K524)))</f>
        <v/>
      </c>
      <c r="AI524" t="str">
        <f>IF(OR($B524="",NOT(ISNUMBER(L524))),"",IF(COUNTIF(M524:$T524,L524)&gt;0,0,IF(COUNTIF($G524:$T524,"&gt;"&amp;L524)=0,"",SMALL($G524:$T524,COUNTIF($G524:$T524,"&lt;="&amp;L524)+1)-L524)))</f>
        <v/>
      </c>
      <c r="AJ524" t="str">
        <f>IF(OR($B524="",NOT(ISNUMBER(M524))),"",IF(COUNTIF(N524:$T524,M524)&gt;0,0,IF(COUNTIF($G524:$T524,"&gt;"&amp;M524)=0,"",SMALL($G524:$T524,COUNTIF($G524:$T524,"&lt;="&amp;M524)+1)-M524)))</f>
        <v/>
      </c>
      <c r="AK524" t="str">
        <f>IF(OR($B524="",NOT(ISNUMBER(N524))),"",IF(COUNTIF(O524:$T524,N524)&gt;0,0,IF(COUNTIF($G524:$T524,"&gt;"&amp;N524)=0,"",SMALL($G524:$T524,COUNTIF($G524:$T524,"&lt;="&amp;N524)+1)-N524)))</f>
        <v/>
      </c>
      <c r="AL524" t="str">
        <f>IF(OR($B524="",NOT(ISNUMBER(O524))),"",IF(COUNTIF(P524:$T524,O524)&gt;0,0,IF(COUNTIF($G524:$T524,"&gt;"&amp;O524)=0,"",SMALL($G524:$T524,COUNTIF($G524:$T524,"&lt;="&amp;O524)+1)-O524)))</f>
        <v/>
      </c>
      <c r="AM524" t="str">
        <f>IF(OR($B524="",NOT(ISNUMBER(P524))),"",IF(COUNTIF(Q524:$T524,P524)&gt;0,0,IF(COUNTIF($G524:$T524,"&gt;"&amp;P524)=0,"",SMALL($G524:$T524,COUNTIF($G524:$T524,"&lt;="&amp;P524)+1)-P524)))</f>
        <v/>
      </c>
      <c r="AN524" t="str">
        <f>IF(OR($B524="",NOT(ISNUMBER(Q524))),"",IF(COUNTIF(R524:$T524,Q524)&gt;0,0,IF(COUNTIF($G524:$T524,"&gt;"&amp;Q524)=0,"",SMALL($G524:$T524,COUNTIF($G524:$T524,"&lt;="&amp;Q524)+1)-Q524)))</f>
        <v/>
      </c>
      <c r="AO524" t="str">
        <f>IF(OR($B524="",NOT(ISNUMBER(R524))),"",IF(COUNTIF(S524:$T524,R524)&gt;0,0,IF(COUNTIF($G524:$T524,"&gt;"&amp;R524)=0,"",SMALL($G524:$T524,COUNTIF($G524:$T524,"&lt;="&amp;R524)+1)-R524)))</f>
        <v/>
      </c>
      <c r="AP524">
        <f t="shared" ca="1" si="139"/>
        <v>0</v>
      </c>
      <c r="AQ524" s="25" t="str">
        <f t="shared" si="140"/>
        <v/>
      </c>
      <c r="AR524" s="25" t="str">
        <f t="shared" si="141"/>
        <v/>
      </c>
      <c r="AS524" s="25" t="str">
        <f t="shared" si="142"/>
        <v/>
      </c>
      <c r="AT524" s="25" t="str">
        <f t="shared" si="143"/>
        <v/>
      </c>
      <c r="AU524" s="25" t="str">
        <f t="shared" si="144"/>
        <v/>
      </c>
      <c r="AV524" s="25" t="str">
        <f t="shared" si="145"/>
        <v/>
      </c>
      <c r="AW524" s="25" t="str">
        <f t="shared" si="146"/>
        <v/>
      </c>
      <c r="AX524" s="25" t="str">
        <f t="shared" si="147"/>
        <v/>
      </c>
      <c r="AY524" s="25" t="str">
        <f t="shared" si="148"/>
        <v/>
      </c>
      <c r="AZ524" s="25" t="str">
        <f t="shared" si="149"/>
        <v/>
      </c>
      <c r="BA524" s="25" t="str">
        <f t="shared" si="150"/>
        <v/>
      </c>
      <c r="BB524" s="25" t="str">
        <f t="shared" si="151"/>
        <v/>
      </c>
      <c r="BC524" s="25" t="str">
        <f t="shared" si="152"/>
        <v/>
      </c>
    </row>
    <row r="525" spans="1:55" x14ac:dyDescent="0.25">
      <c r="A525" s="151">
        <f t="shared" si="137"/>
        <v>523</v>
      </c>
      <c r="B525" s="255" t="s">
        <v>984</v>
      </c>
      <c r="C525" s="254" t="s">
        <v>355</v>
      </c>
      <c r="D525" s="151">
        <f t="shared" si="136"/>
        <v>1</v>
      </c>
      <c r="E525" s="185" t="s">
        <v>61</v>
      </c>
      <c r="F525" s="173">
        <v>46305</v>
      </c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51"/>
      <c r="U525" s="151"/>
      <c r="V525" s="152"/>
      <c r="W525" s="175"/>
      <c r="X525" s="173"/>
      <c r="Y525" s="173"/>
      <c r="Z525" s="176" t="str">
        <f>IF(B525="","",IF(S525&lt;&gt;"","Sevk Edildi",IF(AND(X525&lt;&gt;"",Y525=""),"Reworkte",IF(T525&lt;&gt;"","Kapandı"&amp;IF(COUNT(G525:R525)=0,""," – "&amp;LOOKUP(2,1/(G525:R525=MAX(G525:R525)),{"Tasarım","Ply Cutter","Üretim","Kalite (Üretim sonrası)","Talaşlı","Kalite (Talaşlı sonrası)","Montaj","Kalite (Montaj sonrası)","Boya","Kalite (Boya sonrası)","Yarı Mamül","KM"})),IF(COUNT(G525:R525)=0,"Başlamadı",LOOKUP(2,1/(G525:R525=MAX(G525:R525)),{"Tasarımda","Ply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525" s="177">
        <f t="shared" ca="1" si="138"/>
        <v>2</v>
      </c>
      <c r="AB525" s="175"/>
      <c r="AD525" t="str">
        <f>IF(OR($B525="",NOT(ISNUMBER(G525))),"",IF(COUNTIF(H525:$T525,G525)&gt;0,0,IF(COUNTIF($G525:$T525,"&gt;"&amp;G525)=0,"",SMALL($G525:$T525,COUNTIF($G525:$T525,"&lt;="&amp;G525)+1)-G525)))</f>
        <v/>
      </c>
      <c r="AE525" t="str">
        <f>IF(OR($B525="",NOT(ISNUMBER(H525))),"",IF(COUNTIF(I525:$T525,H525)&gt;0,0,IF(COUNTIF($G525:$T525,"&gt;"&amp;H525)=0,"",SMALL($G525:$T525,COUNTIF($G525:$T525,"&lt;="&amp;H525)+1)-H525)))</f>
        <v/>
      </c>
      <c r="AF525" t="str">
        <f>IF(OR($B525="",NOT(ISNUMBER(I525))),"",IF(COUNTIF(J525:$T525,I525)&gt;0,0,IF(COUNTIF($G525:$T525,"&gt;"&amp;I525)=0,"",SMALL($G525:$T525,COUNTIF($G525:$T525,"&lt;="&amp;I525)+1)-I525)))</f>
        <v/>
      </c>
      <c r="AG525" t="str">
        <f>IF(OR($B525="",NOT(ISNUMBER(J525))),"",IF(COUNTIF(K525:$T525,J525)&gt;0,0,IF(COUNTIF($G525:$T525,"&gt;"&amp;J525)=0,"",SMALL($G525:$T525,COUNTIF($G525:$T525,"&lt;="&amp;J525)+1)-J525)))</f>
        <v/>
      </c>
      <c r="AH525" t="str">
        <f>IF(OR($B525="",NOT(ISNUMBER(K525))),"",IF(COUNTIF(L525:$T525,K525)&gt;0,0,IF(COUNTIF($G525:$T525,"&gt;"&amp;K525)=0,"",SMALL($G525:$T525,COUNTIF($G525:$T525,"&lt;="&amp;K525)+1)-K525)))</f>
        <v/>
      </c>
      <c r="AI525" t="str">
        <f>IF(OR($B525="",NOT(ISNUMBER(L525))),"",IF(COUNTIF(M525:$T525,L525)&gt;0,0,IF(COUNTIF($G525:$T525,"&gt;"&amp;L525)=0,"",SMALL($G525:$T525,COUNTIF($G525:$T525,"&lt;="&amp;L525)+1)-L525)))</f>
        <v/>
      </c>
      <c r="AJ525" t="str">
        <f>IF(OR($B525="",NOT(ISNUMBER(M525))),"",IF(COUNTIF(N525:$T525,M525)&gt;0,0,IF(COUNTIF($G525:$T525,"&gt;"&amp;M525)=0,"",SMALL($G525:$T525,COUNTIF($G525:$T525,"&lt;="&amp;M525)+1)-M525)))</f>
        <v/>
      </c>
      <c r="AK525" t="str">
        <f>IF(OR($B525="",NOT(ISNUMBER(N525))),"",IF(COUNTIF(O525:$T525,N525)&gt;0,0,IF(COUNTIF($G525:$T525,"&gt;"&amp;N525)=0,"",SMALL($G525:$T525,COUNTIF($G525:$T525,"&lt;="&amp;N525)+1)-N525)))</f>
        <v/>
      </c>
      <c r="AL525" t="str">
        <f>IF(OR($B525="",NOT(ISNUMBER(O525))),"",IF(COUNTIF(P525:$T525,O525)&gt;0,0,IF(COUNTIF($G525:$T525,"&gt;"&amp;O525)=0,"",SMALL($G525:$T525,COUNTIF($G525:$T525,"&lt;="&amp;O525)+1)-O525)))</f>
        <v/>
      </c>
      <c r="AM525" t="str">
        <f>IF(OR($B525="",NOT(ISNUMBER(P525))),"",IF(COUNTIF(Q525:$T525,P525)&gt;0,0,IF(COUNTIF($G525:$T525,"&gt;"&amp;P525)=0,"",SMALL($G525:$T525,COUNTIF($G525:$T525,"&lt;="&amp;P525)+1)-P525)))</f>
        <v/>
      </c>
      <c r="AN525" t="str">
        <f>IF(OR($B525="",NOT(ISNUMBER(Q525))),"",IF(COUNTIF(R525:$T525,Q525)&gt;0,0,IF(COUNTIF($G525:$T525,"&gt;"&amp;Q525)=0,"",SMALL($G525:$T525,COUNTIF($G525:$T525,"&lt;="&amp;Q525)+1)-Q525)))</f>
        <v/>
      </c>
      <c r="AO525" t="str">
        <f>IF(OR($B525="",NOT(ISNUMBER(R525))),"",IF(COUNTIF(S525:$T525,R525)&gt;0,0,IF(COUNTIF($G525:$T525,"&gt;"&amp;R525)=0,"",SMALL($G525:$T525,COUNTIF($G525:$T525,"&lt;="&amp;R525)+1)-R525)))</f>
        <v/>
      </c>
      <c r="AP525">
        <f t="shared" ca="1" si="139"/>
        <v>0</v>
      </c>
      <c r="AQ525" s="25" t="str">
        <f t="shared" si="140"/>
        <v/>
      </c>
      <c r="AR525" s="25" t="str">
        <f t="shared" si="141"/>
        <v/>
      </c>
      <c r="AS525" s="25" t="str">
        <f t="shared" si="142"/>
        <v/>
      </c>
      <c r="AT525" s="25" t="str">
        <f t="shared" si="143"/>
        <v/>
      </c>
      <c r="AU525" s="25" t="str">
        <f t="shared" si="144"/>
        <v/>
      </c>
      <c r="AV525" s="25" t="str">
        <f t="shared" si="145"/>
        <v/>
      </c>
      <c r="AW525" s="25" t="str">
        <f t="shared" si="146"/>
        <v/>
      </c>
      <c r="AX525" s="25" t="str">
        <f t="shared" si="147"/>
        <v/>
      </c>
      <c r="AY525" s="25" t="str">
        <f t="shared" si="148"/>
        <v/>
      </c>
      <c r="AZ525" s="25" t="str">
        <f t="shared" si="149"/>
        <v/>
      </c>
      <c r="BA525" s="25" t="str">
        <f t="shared" si="150"/>
        <v/>
      </c>
      <c r="BB525" s="25" t="str">
        <f t="shared" si="151"/>
        <v/>
      </c>
      <c r="BC525" s="25" t="str">
        <f t="shared" si="152"/>
        <v/>
      </c>
    </row>
    <row r="526" spans="1:55" x14ac:dyDescent="0.25">
      <c r="A526" s="151">
        <f t="shared" si="137"/>
        <v>524</v>
      </c>
      <c r="B526" s="255" t="s">
        <v>985</v>
      </c>
      <c r="C526" s="254" t="s">
        <v>525</v>
      </c>
      <c r="D526" s="151">
        <f t="shared" si="136"/>
        <v>4</v>
      </c>
      <c r="E526" s="185" t="s">
        <v>61</v>
      </c>
      <c r="F526" s="173">
        <v>46305</v>
      </c>
      <c r="G526" s="173"/>
      <c r="H526" s="173"/>
      <c r="I526" s="173">
        <v>46305</v>
      </c>
      <c r="J526" s="173">
        <v>46307</v>
      </c>
      <c r="K526" s="173"/>
      <c r="L526" s="173"/>
      <c r="M526" s="173"/>
      <c r="N526" s="173"/>
      <c r="O526" s="173"/>
      <c r="P526" s="173"/>
      <c r="Q526" s="173"/>
      <c r="R526" s="173"/>
      <c r="S526" s="173"/>
      <c r="T526" s="174">
        <v>46307</v>
      </c>
      <c r="U526" s="151"/>
      <c r="V526" s="152"/>
      <c r="W526" s="175"/>
      <c r="X526" s="173"/>
      <c r="Y526" s="173"/>
      <c r="Z526" s="176" t="str">
        <f>IF(B526="","",IF(S526&lt;&gt;"","Sevk Edildi",IF(AND(X526&lt;&gt;"",Y526=""),"Reworkte",IF(T526&lt;&gt;"","Kapandı"&amp;IF(COUNT(G526:R526)=0,""," – "&amp;LOOKUP(2,1/(G526:R526=MAX(G526:R526)),{"Tasarım","Ply Cutter","Üretim","Kalite (Üretim sonrası)","Talaşlı","Kalite (Talaşlı sonrası)","Montaj","Kalite (Montaj sonrası)","Boya","Kalite (Boya sonrası)","Yarı Mamül","KM"})),IF(COUNT(G526:R526)=0,"Başlamadı",LOOKUP(2,1/(G526:R526=MAX(G526:R526)),{"Tasarımda","Ply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26" s="177">
        <f t="shared" ca="1" si="138"/>
        <v>2</v>
      </c>
      <c r="AB526" s="175"/>
      <c r="AD526" t="str">
        <f>IF(OR($B526="",NOT(ISNUMBER(G526))),"",IF(COUNTIF(H526:$T526,G526)&gt;0,0,IF(COUNTIF($G526:$T526,"&gt;"&amp;G526)=0,"",SMALL($G526:$T526,COUNTIF($G526:$T526,"&lt;="&amp;G526)+1)-G526)))</f>
        <v/>
      </c>
      <c r="AE526" t="str">
        <f>IF(OR($B526="",NOT(ISNUMBER(H526))),"",IF(COUNTIF(I526:$T526,H526)&gt;0,0,IF(COUNTIF($G526:$T526,"&gt;"&amp;H526)=0,"",SMALL($G526:$T526,COUNTIF($G526:$T526,"&lt;="&amp;H526)+1)-H526)))</f>
        <v/>
      </c>
      <c r="AF526">
        <f>IF(OR($B526="",NOT(ISNUMBER(I526))),"",IF(COUNTIF(J526:$T526,I526)&gt;0,0,IF(COUNTIF($G526:$T526,"&gt;"&amp;I526)=0,"",SMALL($G526:$T526,COUNTIF($G526:$T526,"&lt;="&amp;I526)+1)-I526)))</f>
        <v>2</v>
      </c>
      <c r="AG526">
        <f>IF(OR($B526="",NOT(ISNUMBER(J526))),"",IF(COUNTIF(K526:$T526,J526)&gt;0,0,IF(COUNTIF($G526:$T526,"&gt;"&amp;J526)=0,"",SMALL($G526:$T526,COUNTIF($G526:$T526,"&lt;="&amp;J526)+1)-J526)))</f>
        <v>0</v>
      </c>
      <c r="AH526" t="str">
        <f>IF(OR($B526="",NOT(ISNUMBER(K526))),"",IF(COUNTIF(L526:$T526,K526)&gt;0,0,IF(COUNTIF($G526:$T526,"&gt;"&amp;K526)=0,"",SMALL($G526:$T526,COUNTIF($G526:$T526,"&lt;="&amp;K526)+1)-K526)))</f>
        <v/>
      </c>
      <c r="AI526" t="str">
        <f>IF(OR($B526="",NOT(ISNUMBER(L526))),"",IF(COUNTIF(M526:$T526,L526)&gt;0,0,IF(COUNTIF($G526:$T526,"&gt;"&amp;L526)=0,"",SMALL($G526:$T526,COUNTIF($G526:$T526,"&lt;="&amp;L526)+1)-L526)))</f>
        <v/>
      </c>
      <c r="AJ526" t="str">
        <f>IF(OR($B526="",NOT(ISNUMBER(M526))),"",IF(COUNTIF(N526:$T526,M526)&gt;0,0,IF(COUNTIF($G526:$T526,"&gt;"&amp;M526)=0,"",SMALL($G526:$T526,COUNTIF($G526:$T526,"&lt;="&amp;M526)+1)-M526)))</f>
        <v/>
      </c>
      <c r="AK526" t="str">
        <f>IF(OR($B526="",NOT(ISNUMBER(N526))),"",IF(COUNTIF(O526:$T526,N526)&gt;0,0,IF(COUNTIF($G526:$T526,"&gt;"&amp;N526)=0,"",SMALL($G526:$T526,COUNTIF($G526:$T526,"&lt;="&amp;N526)+1)-N526)))</f>
        <v/>
      </c>
      <c r="AL526" t="str">
        <f>IF(OR($B526="",NOT(ISNUMBER(O526))),"",IF(COUNTIF(P526:$T526,O526)&gt;0,0,IF(COUNTIF($G526:$T526,"&gt;"&amp;O526)=0,"",SMALL($G526:$T526,COUNTIF($G526:$T526,"&lt;="&amp;O526)+1)-O526)))</f>
        <v/>
      </c>
      <c r="AM526" t="str">
        <f>IF(OR($B526="",NOT(ISNUMBER(P526))),"",IF(COUNTIF(Q526:$T526,P526)&gt;0,0,IF(COUNTIF($G526:$T526,"&gt;"&amp;P526)=0,"",SMALL($G526:$T526,COUNTIF($G526:$T526,"&lt;="&amp;P526)+1)-P526)))</f>
        <v/>
      </c>
      <c r="AN526" t="str">
        <f>IF(OR($B526="",NOT(ISNUMBER(Q526))),"",IF(COUNTIF(R526:$T526,Q526)&gt;0,0,IF(COUNTIF($G526:$T526,"&gt;"&amp;Q526)=0,"",SMALL($G526:$T526,COUNTIF($G526:$T526,"&lt;="&amp;Q526)+1)-Q526)))</f>
        <v/>
      </c>
      <c r="AO526" t="str">
        <f>IF(OR($B526="",NOT(ISNUMBER(R526))),"",IF(COUNTIF(S526:$T526,R526)&gt;0,0,IF(COUNTIF($G526:$T526,"&gt;"&amp;R526)=0,"",SMALL($G526:$T526,COUNTIF($G526:$T526,"&lt;="&amp;R526)+1)-R526)))</f>
        <v/>
      </c>
      <c r="AP526">
        <f t="shared" ca="1" si="139"/>
        <v>0</v>
      </c>
      <c r="AQ526" s="25" t="str">
        <f t="shared" si="140"/>
        <v/>
      </c>
      <c r="AR526" s="25" t="str">
        <f t="shared" si="141"/>
        <v/>
      </c>
      <c r="AS526" s="25">
        <f t="shared" si="142"/>
        <v>46307</v>
      </c>
      <c r="AT526" s="25">
        <f t="shared" si="143"/>
        <v>46307</v>
      </c>
      <c r="AU526" s="25" t="str">
        <f t="shared" si="144"/>
        <v/>
      </c>
      <c r="AV526" s="25" t="str">
        <f t="shared" si="145"/>
        <v/>
      </c>
      <c r="AW526" s="25" t="str">
        <f t="shared" si="146"/>
        <v/>
      </c>
      <c r="AX526" s="25" t="str">
        <f t="shared" si="147"/>
        <v/>
      </c>
      <c r="AY526" s="25" t="str">
        <f t="shared" si="148"/>
        <v/>
      </c>
      <c r="AZ526" s="25" t="str">
        <f t="shared" si="149"/>
        <v/>
      </c>
      <c r="BA526" s="25" t="str">
        <f t="shared" si="150"/>
        <v/>
      </c>
      <c r="BB526" s="25" t="str">
        <f t="shared" si="151"/>
        <v/>
      </c>
      <c r="BC526" s="25">
        <f t="shared" si="152"/>
        <v>46307</v>
      </c>
    </row>
    <row r="527" spans="1:55" x14ac:dyDescent="0.25">
      <c r="A527" s="151">
        <f t="shared" si="137"/>
        <v>525</v>
      </c>
      <c r="B527" s="255" t="s">
        <v>986</v>
      </c>
      <c r="C527" s="254" t="s">
        <v>525</v>
      </c>
      <c r="D527" s="151">
        <f t="shared" si="136"/>
        <v>4</v>
      </c>
      <c r="E527" s="185" t="s">
        <v>61</v>
      </c>
      <c r="F527" s="173">
        <v>46305</v>
      </c>
      <c r="G527" s="173"/>
      <c r="H527" s="173"/>
      <c r="I527" s="173">
        <v>46305</v>
      </c>
      <c r="J527" s="173">
        <v>46307</v>
      </c>
      <c r="K527" s="173"/>
      <c r="L527" s="173"/>
      <c r="M527" s="173"/>
      <c r="N527" s="173"/>
      <c r="O527" s="173"/>
      <c r="P527" s="173"/>
      <c r="Q527" s="173"/>
      <c r="R527" s="173"/>
      <c r="S527" s="173"/>
      <c r="T527" s="174">
        <v>46307</v>
      </c>
      <c r="U527" s="151"/>
      <c r="V527" s="152"/>
      <c r="W527" s="175"/>
      <c r="X527" s="173"/>
      <c r="Y527" s="173"/>
      <c r="Z527" s="176" t="str">
        <f>IF(B527="","",IF(S527&lt;&gt;"","Sevk Edildi",IF(AND(X527&lt;&gt;"",Y527=""),"Reworkte",IF(T527&lt;&gt;"","Kapandı"&amp;IF(COUNT(G527:R527)=0,""," – "&amp;LOOKUP(2,1/(G527:R527=MAX(G527:R527)),{"Tasarım","Ply Cutter","Üretim","Kalite (Üretim sonrası)","Talaşlı","Kalite (Talaşlı sonrası)","Montaj","Kalite (Montaj sonrası)","Boya","Kalite (Boya sonrası)","Yarı Mamül","KM"})),IF(COUNT(G527:R527)=0,"Başlamadı",LOOKUP(2,1/(G527:R527=MAX(G527:R527)),{"Tasarımda","Ply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27" s="177">
        <f t="shared" ca="1" si="138"/>
        <v>2</v>
      </c>
      <c r="AB527" s="175"/>
      <c r="AD527" t="str">
        <f>IF(OR($B527="",NOT(ISNUMBER(G527))),"",IF(COUNTIF(H527:$T527,G527)&gt;0,0,IF(COUNTIF($G527:$T527,"&gt;"&amp;G527)=0,"",SMALL($G527:$T527,COUNTIF($G527:$T527,"&lt;="&amp;G527)+1)-G527)))</f>
        <v/>
      </c>
      <c r="AE527" t="str">
        <f>IF(OR($B527="",NOT(ISNUMBER(H527))),"",IF(COUNTIF(I527:$T527,H527)&gt;0,0,IF(COUNTIF($G527:$T527,"&gt;"&amp;H527)=0,"",SMALL($G527:$T527,COUNTIF($G527:$T527,"&lt;="&amp;H527)+1)-H527)))</f>
        <v/>
      </c>
      <c r="AF527">
        <f>IF(OR($B527="",NOT(ISNUMBER(I527))),"",IF(COUNTIF(J527:$T527,I527)&gt;0,0,IF(COUNTIF($G527:$T527,"&gt;"&amp;I527)=0,"",SMALL($G527:$T527,COUNTIF($G527:$T527,"&lt;="&amp;I527)+1)-I527)))</f>
        <v>2</v>
      </c>
      <c r="AG527">
        <f>IF(OR($B527="",NOT(ISNUMBER(J527))),"",IF(COUNTIF(K527:$T527,J527)&gt;0,0,IF(COUNTIF($G527:$T527,"&gt;"&amp;J527)=0,"",SMALL($G527:$T527,COUNTIF($G527:$T527,"&lt;="&amp;J527)+1)-J527)))</f>
        <v>0</v>
      </c>
      <c r="AH527" t="str">
        <f>IF(OR($B527="",NOT(ISNUMBER(K527))),"",IF(COUNTIF(L527:$T527,K527)&gt;0,0,IF(COUNTIF($G527:$T527,"&gt;"&amp;K527)=0,"",SMALL($G527:$T527,COUNTIF($G527:$T527,"&lt;="&amp;K527)+1)-K527)))</f>
        <v/>
      </c>
      <c r="AI527" t="str">
        <f>IF(OR($B527="",NOT(ISNUMBER(L527))),"",IF(COUNTIF(M527:$T527,L527)&gt;0,0,IF(COUNTIF($G527:$T527,"&gt;"&amp;L527)=0,"",SMALL($G527:$T527,COUNTIF($G527:$T527,"&lt;="&amp;L527)+1)-L527)))</f>
        <v/>
      </c>
      <c r="AJ527" t="str">
        <f>IF(OR($B527="",NOT(ISNUMBER(M527))),"",IF(COUNTIF(N527:$T527,M527)&gt;0,0,IF(COUNTIF($G527:$T527,"&gt;"&amp;M527)=0,"",SMALL($G527:$T527,COUNTIF($G527:$T527,"&lt;="&amp;M527)+1)-M527)))</f>
        <v/>
      </c>
      <c r="AK527" t="str">
        <f>IF(OR($B527="",NOT(ISNUMBER(N527))),"",IF(COUNTIF(O527:$T527,N527)&gt;0,0,IF(COUNTIF($G527:$T527,"&gt;"&amp;N527)=0,"",SMALL($G527:$T527,COUNTIF($G527:$T527,"&lt;="&amp;N527)+1)-N527)))</f>
        <v/>
      </c>
      <c r="AL527" t="str">
        <f>IF(OR($B527="",NOT(ISNUMBER(O527))),"",IF(COUNTIF(P527:$T527,O527)&gt;0,0,IF(COUNTIF($G527:$T527,"&gt;"&amp;O527)=0,"",SMALL($G527:$T527,COUNTIF($G527:$T527,"&lt;="&amp;O527)+1)-O527)))</f>
        <v/>
      </c>
      <c r="AM527" t="str">
        <f>IF(OR($B527="",NOT(ISNUMBER(P527))),"",IF(COUNTIF(Q527:$T527,P527)&gt;0,0,IF(COUNTIF($G527:$T527,"&gt;"&amp;P527)=0,"",SMALL($G527:$T527,COUNTIF($G527:$T527,"&lt;="&amp;P527)+1)-P527)))</f>
        <v/>
      </c>
      <c r="AN527" t="str">
        <f>IF(OR($B527="",NOT(ISNUMBER(Q527))),"",IF(COUNTIF(R527:$T527,Q527)&gt;0,0,IF(COUNTIF($G527:$T527,"&gt;"&amp;Q527)=0,"",SMALL($G527:$T527,COUNTIF($G527:$T527,"&lt;="&amp;Q527)+1)-Q527)))</f>
        <v/>
      </c>
      <c r="AO527" t="str">
        <f>IF(OR($B527="",NOT(ISNUMBER(R527))),"",IF(COUNTIF(S527:$T527,R527)&gt;0,0,IF(COUNTIF($G527:$T527,"&gt;"&amp;R527)=0,"",SMALL($G527:$T527,COUNTIF($G527:$T527,"&lt;="&amp;R527)+1)-R527)))</f>
        <v/>
      </c>
      <c r="AP527">
        <f t="shared" ca="1" si="139"/>
        <v>0</v>
      </c>
      <c r="AQ527" s="25" t="str">
        <f t="shared" si="140"/>
        <v/>
      </c>
      <c r="AR527" s="25" t="str">
        <f t="shared" si="141"/>
        <v/>
      </c>
      <c r="AS527" s="25">
        <f t="shared" si="142"/>
        <v>46307</v>
      </c>
      <c r="AT527" s="25">
        <f t="shared" si="143"/>
        <v>46307</v>
      </c>
      <c r="AU527" s="25" t="str">
        <f t="shared" si="144"/>
        <v/>
      </c>
      <c r="AV527" s="25" t="str">
        <f t="shared" si="145"/>
        <v/>
      </c>
      <c r="AW527" s="25" t="str">
        <f t="shared" si="146"/>
        <v/>
      </c>
      <c r="AX527" s="25" t="str">
        <f t="shared" si="147"/>
        <v/>
      </c>
      <c r="AY527" s="25" t="str">
        <f t="shared" si="148"/>
        <v/>
      </c>
      <c r="AZ527" s="25" t="str">
        <f t="shared" si="149"/>
        <v/>
      </c>
      <c r="BA527" s="25" t="str">
        <f t="shared" si="150"/>
        <v/>
      </c>
      <c r="BB527" s="25" t="str">
        <f t="shared" si="151"/>
        <v/>
      </c>
      <c r="BC527" s="25">
        <f t="shared" si="152"/>
        <v>46307</v>
      </c>
    </row>
    <row r="528" spans="1:55" x14ac:dyDescent="0.25">
      <c r="A528" s="151">
        <f t="shared" si="137"/>
        <v>526</v>
      </c>
      <c r="B528" s="255" t="s">
        <v>987</v>
      </c>
      <c r="C528" s="254" t="s">
        <v>478</v>
      </c>
      <c r="D528" s="151">
        <f t="shared" si="136"/>
        <v>1</v>
      </c>
      <c r="E528" s="185" t="s">
        <v>61</v>
      </c>
      <c r="F528" s="173">
        <v>46305</v>
      </c>
      <c r="G528" s="173"/>
      <c r="H528" s="173"/>
      <c r="I528" s="173">
        <v>46305</v>
      </c>
      <c r="J528" s="173">
        <v>46307</v>
      </c>
      <c r="K528" s="173"/>
      <c r="L528" s="173"/>
      <c r="M528" s="173"/>
      <c r="N528" s="173"/>
      <c r="O528" s="173"/>
      <c r="P528" s="173"/>
      <c r="Q528" s="173"/>
      <c r="R528" s="173"/>
      <c r="S528" s="173"/>
      <c r="T528" s="174">
        <v>46307</v>
      </c>
      <c r="U528" s="151"/>
      <c r="V528" s="152"/>
      <c r="W528" s="175"/>
      <c r="X528" s="173"/>
      <c r="Y528" s="173"/>
      <c r="Z528" s="176" t="str">
        <f>IF(B528="","",IF(S528&lt;&gt;"","Sevk Edildi",IF(AND(X528&lt;&gt;"",Y528=""),"Reworkte",IF(T528&lt;&gt;"","Kapandı"&amp;IF(COUNT(G528:R528)=0,""," – "&amp;LOOKUP(2,1/(G528:R528=MAX(G528:R528)),{"Tasarım","Ply Cutter","Üretim","Kalite (Üretim sonrası)","Talaşlı","Kalite (Talaşlı sonrası)","Montaj","Kalite (Montaj sonrası)","Boya","Kalite (Boya sonrası)","Yarı Mamül","KM"})),IF(COUNT(G528:R528)=0,"Başlamadı",LOOKUP(2,1/(G528:R528=MAX(G528:R528)),{"Tasarımda","Ply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28" s="177">
        <f t="shared" ca="1" si="138"/>
        <v>2</v>
      </c>
      <c r="AB528" s="175"/>
      <c r="AD528" t="str">
        <f>IF(OR($B528="",NOT(ISNUMBER(G528))),"",IF(COUNTIF(H528:$T528,G528)&gt;0,0,IF(COUNTIF($G528:$T528,"&gt;"&amp;G528)=0,"",SMALL($G528:$T528,COUNTIF($G528:$T528,"&lt;="&amp;G528)+1)-G528)))</f>
        <v/>
      </c>
      <c r="AE528" t="str">
        <f>IF(OR($B528="",NOT(ISNUMBER(H528))),"",IF(COUNTIF(I528:$T528,H528)&gt;0,0,IF(COUNTIF($G528:$T528,"&gt;"&amp;H528)=0,"",SMALL($G528:$T528,COUNTIF($G528:$T528,"&lt;="&amp;H528)+1)-H528)))</f>
        <v/>
      </c>
      <c r="AF528">
        <f>IF(OR($B528="",NOT(ISNUMBER(I528))),"",IF(COUNTIF(J528:$T528,I528)&gt;0,0,IF(COUNTIF($G528:$T528,"&gt;"&amp;I528)=0,"",SMALL($G528:$T528,COUNTIF($G528:$T528,"&lt;="&amp;I528)+1)-I528)))</f>
        <v>2</v>
      </c>
      <c r="AG528">
        <f>IF(OR($B528="",NOT(ISNUMBER(J528))),"",IF(COUNTIF(K528:$T528,J528)&gt;0,0,IF(COUNTIF($G528:$T528,"&gt;"&amp;J528)=0,"",SMALL($G528:$T528,COUNTIF($G528:$T528,"&lt;="&amp;J528)+1)-J528)))</f>
        <v>0</v>
      </c>
      <c r="AH528" t="str">
        <f>IF(OR($B528="",NOT(ISNUMBER(K528))),"",IF(COUNTIF(L528:$T528,K528)&gt;0,0,IF(COUNTIF($G528:$T528,"&gt;"&amp;K528)=0,"",SMALL($G528:$T528,COUNTIF($G528:$T528,"&lt;="&amp;K528)+1)-K528)))</f>
        <v/>
      </c>
      <c r="AI528" t="str">
        <f>IF(OR($B528="",NOT(ISNUMBER(L528))),"",IF(COUNTIF(M528:$T528,L528)&gt;0,0,IF(COUNTIF($G528:$T528,"&gt;"&amp;L528)=0,"",SMALL($G528:$T528,COUNTIF($G528:$T528,"&lt;="&amp;L528)+1)-L528)))</f>
        <v/>
      </c>
      <c r="AJ528" t="str">
        <f>IF(OR($B528="",NOT(ISNUMBER(M528))),"",IF(COUNTIF(N528:$T528,M528)&gt;0,0,IF(COUNTIF($G528:$T528,"&gt;"&amp;M528)=0,"",SMALL($G528:$T528,COUNTIF($G528:$T528,"&lt;="&amp;M528)+1)-M528)))</f>
        <v/>
      </c>
      <c r="AK528" t="str">
        <f>IF(OR($B528="",NOT(ISNUMBER(N528))),"",IF(COUNTIF(O528:$T528,N528)&gt;0,0,IF(COUNTIF($G528:$T528,"&gt;"&amp;N528)=0,"",SMALL($G528:$T528,COUNTIF($G528:$T528,"&lt;="&amp;N528)+1)-N528)))</f>
        <v/>
      </c>
      <c r="AL528" t="str">
        <f>IF(OR($B528="",NOT(ISNUMBER(O528))),"",IF(COUNTIF(P528:$T528,O528)&gt;0,0,IF(COUNTIF($G528:$T528,"&gt;"&amp;O528)=0,"",SMALL($G528:$T528,COUNTIF($G528:$T528,"&lt;="&amp;O528)+1)-O528)))</f>
        <v/>
      </c>
      <c r="AM528" t="str">
        <f>IF(OR($B528="",NOT(ISNUMBER(P528))),"",IF(COUNTIF(Q528:$T528,P528)&gt;0,0,IF(COUNTIF($G528:$T528,"&gt;"&amp;P528)=0,"",SMALL($G528:$T528,COUNTIF($G528:$T528,"&lt;="&amp;P528)+1)-P528)))</f>
        <v/>
      </c>
      <c r="AN528" t="str">
        <f>IF(OR($B528="",NOT(ISNUMBER(Q528))),"",IF(COUNTIF(R528:$T528,Q528)&gt;0,0,IF(COUNTIF($G528:$T528,"&gt;"&amp;Q528)=0,"",SMALL($G528:$T528,COUNTIF($G528:$T528,"&lt;="&amp;Q528)+1)-Q528)))</f>
        <v/>
      </c>
      <c r="AO528" t="str">
        <f>IF(OR($B528="",NOT(ISNUMBER(R528))),"",IF(COUNTIF(S528:$T528,R528)&gt;0,0,IF(COUNTIF($G528:$T528,"&gt;"&amp;R528)=0,"",SMALL($G528:$T528,COUNTIF($G528:$T528,"&lt;="&amp;R528)+1)-R528)))</f>
        <v/>
      </c>
      <c r="AP528">
        <f t="shared" ca="1" si="139"/>
        <v>0</v>
      </c>
      <c r="AQ528" s="25" t="str">
        <f t="shared" si="140"/>
        <v/>
      </c>
      <c r="AR528" s="25" t="str">
        <f t="shared" si="141"/>
        <v/>
      </c>
      <c r="AS528" s="25">
        <f t="shared" si="142"/>
        <v>46307</v>
      </c>
      <c r="AT528" s="25">
        <f t="shared" si="143"/>
        <v>46307</v>
      </c>
      <c r="AU528" s="25" t="str">
        <f t="shared" si="144"/>
        <v/>
      </c>
      <c r="AV528" s="25" t="str">
        <f t="shared" si="145"/>
        <v/>
      </c>
      <c r="AW528" s="25" t="str">
        <f t="shared" si="146"/>
        <v/>
      </c>
      <c r="AX528" s="25" t="str">
        <f t="shared" si="147"/>
        <v/>
      </c>
      <c r="AY528" s="25" t="str">
        <f t="shared" si="148"/>
        <v/>
      </c>
      <c r="AZ528" s="25" t="str">
        <f t="shared" si="149"/>
        <v/>
      </c>
      <c r="BA528" s="25" t="str">
        <f t="shared" si="150"/>
        <v/>
      </c>
      <c r="BB528" s="25" t="str">
        <f t="shared" si="151"/>
        <v/>
      </c>
      <c r="BC528" s="25">
        <f t="shared" si="152"/>
        <v>46307</v>
      </c>
    </row>
    <row r="529" spans="1:55" x14ac:dyDescent="0.25">
      <c r="A529" s="151">
        <f t="shared" si="137"/>
        <v>527</v>
      </c>
      <c r="B529" s="255" t="s">
        <v>988</v>
      </c>
      <c r="C529" s="254" t="s">
        <v>466</v>
      </c>
      <c r="D529" s="151">
        <f t="shared" si="136"/>
        <v>2</v>
      </c>
      <c r="E529" s="185" t="s">
        <v>61</v>
      </c>
      <c r="F529" s="173">
        <v>46305</v>
      </c>
      <c r="G529" s="173"/>
      <c r="H529" s="173"/>
      <c r="I529" s="173">
        <v>46305</v>
      </c>
      <c r="J529" s="173">
        <v>46307</v>
      </c>
      <c r="K529" s="173"/>
      <c r="L529" s="173"/>
      <c r="M529" s="173"/>
      <c r="N529" s="173"/>
      <c r="O529" s="173"/>
      <c r="P529" s="173"/>
      <c r="Q529" s="173"/>
      <c r="R529" s="173"/>
      <c r="S529" s="173"/>
      <c r="T529" s="174">
        <v>46307</v>
      </c>
      <c r="U529" s="151"/>
      <c r="V529" s="152"/>
      <c r="W529" s="175"/>
      <c r="X529" s="173"/>
      <c r="Y529" s="173"/>
      <c r="Z529" s="176" t="str">
        <f>IF(B529="","",IF(S529&lt;&gt;"","Sevk Edildi",IF(AND(X529&lt;&gt;"",Y529=""),"Reworkte",IF(T529&lt;&gt;"","Kapandı"&amp;IF(COUNT(G529:R529)=0,""," – "&amp;LOOKUP(2,1/(G529:R529=MAX(G529:R529)),{"Tasarım","Ply Cutter","Üretim","Kalite (Üretim sonrası)","Talaşlı","Kalite (Talaşlı sonrası)","Montaj","Kalite (Montaj sonrası)","Boya","Kalite (Boya sonrası)","Yarı Mamül","KM"})),IF(COUNT(G529:R529)=0,"Başlamadı",LOOKUP(2,1/(G529:R529=MAX(G529:R529)),{"Tasarımda","Ply Cutter'da","Üretimde","Kalitede (Üretim sonrası)","Talaşlıda","Kalitede (Talaşlı sonrası)","Montajda","Kalitede (Montaj sonrası)","Boyada","Kalitede (Boya sonrası)","Yarı Mamülde","KM'de"}))))))</f>
        <v>Kapandı – Kalite (Üretim sonrası)</v>
      </c>
      <c r="AA529" s="177">
        <f t="shared" ca="1" si="138"/>
        <v>2</v>
      </c>
      <c r="AB529" s="175"/>
      <c r="AD529" t="str">
        <f>IF(OR($B529="",NOT(ISNUMBER(G529))),"",IF(COUNTIF(H529:$T529,G529)&gt;0,0,IF(COUNTIF($G529:$T529,"&gt;"&amp;G529)=0,"",SMALL($G529:$T529,COUNTIF($G529:$T529,"&lt;="&amp;G529)+1)-G529)))</f>
        <v/>
      </c>
      <c r="AE529" t="str">
        <f>IF(OR($B529="",NOT(ISNUMBER(H529))),"",IF(COUNTIF(I529:$T529,H529)&gt;0,0,IF(COUNTIF($G529:$T529,"&gt;"&amp;H529)=0,"",SMALL($G529:$T529,COUNTIF($G529:$T529,"&lt;="&amp;H529)+1)-H529)))</f>
        <v/>
      </c>
      <c r="AF529">
        <f>IF(OR($B529="",NOT(ISNUMBER(I529))),"",IF(COUNTIF(J529:$T529,I529)&gt;0,0,IF(COUNTIF($G529:$T529,"&gt;"&amp;I529)=0,"",SMALL($G529:$T529,COUNTIF($G529:$T529,"&lt;="&amp;I529)+1)-I529)))</f>
        <v>2</v>
      </c>
      <c r="AG529">
        <f>IF(OR($B529="",NOT(ISNUMBER(J529))),"",IF(COUNTIF(K529:$T529,J529)&gt;0,0,IF(COUNTIF($G529:$T529,"&gt;"&amp;J529)=0,"",SMALL($G529:$T529,COUNTIF($G529:$T529,"&lt;="&amp;J529)+1)-J529)))</f>
        <v>0</v>
      </c>
      <c r="AH529" t="str">
        <f>IF(OR($B529="",NOT(ISNUMBER(K529))),"",IF(COUNTIF(L529:$T529,K529)&gt;0,0,IF(COUNTIF($G529:$T529,"&gt;"&amp;K529)=0,"",SMALL($G529:$T529,COUNTIF($G529:$T529,"&lt;="&amp;K529)+1)-K529)))</f>
        <v/>
      </c>
      <c r="AI529" t="str">
        <f>IF(OR($B529="",NOT(ISNUMBER(L529))),"",IF(COUNTIF(M529:$T529,L529)&gt;0,0,IF(COUNTIF($G529:$T529,"&gt;"&amp;L529)=0,"",SMALL($G529:$T529,COUNTIF($G529:$T529,"&lt;="&amp;L529)+1)-L529)))</f>
        <v/>
      </c>
      <c r="AJ529" t="str">
        <f>IF(OR($B529="",NOT(ISNUMBER(M529))),"",IF(COUNTIF(N529:$T529,M529)&gt;0,0,IF(COUNTIF($G529:$T529,"&gt;"&amp;M529)=0,"",SMALL($G529:$T529,COUNTIF($G529:$T529,"&lt;="&amp;M529)+1)-M529)))</f>
        <v/>
      </c>
      <c r="AK529" t="str">
        <f>IF(OR($B529="",NOT(ISNUMBER(N529))),"",IF(COUNTIF(O529:$T529,N529)&gt;0,0,IF(COUNTIF($G529:$T529,"&gt;"&amp;N529)=0,"",SMALL($G529:$T529,COUNTIF($G529:$T529,"&lt;="&amp;N529)+1)-N529)))</f>
        <v/>
      </c>
      <c r="AL529" t="str">
        <f>IF(OR($B529="",NOT(ISNUMBER(O529))),"",IF(COUNTIF(P529:$T529,O529)&gt;0,0,IF(COUNTIF($G529:$T529,"&gt;"&amp;O529)=0,"",SMALL($G529:$T529,COUNTIF($G529:$T529,"&lt;="&amp;O529)+1)-O529)))</f>
        <v/>
      </c>
      <c r="AM529" t="str">
        <f>IF(OR($B529="",NOT(ISNUMBER(P529))),"",IF(COUNTIF(Q529:$T529,P529)&gt;0,0,IF(COUNTIF($G529:$T529,"&gt;"&amp;P529)=0,"",SMALL($G529:$T529,COUNTIF($G529:$T529,"&lt;="&amp;P529)+1)-P529)))</f>
        <v/>
      </c>
      <c r="AN529" t="str">
        <f>IF(OR($B529="",NOT(ISNUMBER(Q529))),"",IF(COUNTIF(R529:$T529,Q529)&gt;0,0,IF(COUNTIF($G529:$T529,"&gt;"&amp;Q529)=0,"",SMALL($G529:$T529,COUNTIF($G529:$T529,"&lt;="&amp;Q529)+1)-Q529)))</f>
        <v/>
      </c>
      <c r="AO529" t="str">
        <f>IF(OR($B529="",NOT(ISNUMBER(R529))),"",IF(COUNTIF(S529:$T529,R529)&gt;0,0,IF(COUNTIF($G529:$T529,"&gt;"&amp;R529)=0,"",SMALL($G529:$T529,COUNTIF($G529:$T529,"&lt;="&amp;R529)+1)-R529)))</f>
        <v/>
      </c>
      <c r="AP529">
        <f t="shared" ca="1" si="139"/>
        <v>0</v>
      </c>
      <c r="AQ529" s="25" t="str">
        <f t="shared" si="140"/>
        <v/>
      </c>
      <c r="AR529" s="25" t="str">
        <f t="shared" si="141"/>
        <v/>
      </c>
      <c r="AS529" s="25">
        <f t="shared" si="142"/>
        <v>46307</v>
      </c>
      <c r="AT529" s="25">
        <f t="shared" si="143"/>
        <v>46307</v>
      </c>
      <c r="AU529" s="25" t="str">
        <f t="shared" si="144"/>
        <v/>
      </c>
      <c r="AV529" s="25" t="str">
        <f t="shared" si="145"/>
        <v/>
      </c>
      <c r="AW529" s="25" t="str">
        <f t="shared" si="146"/>
        <v/>
      </c>
      <c r="AX529" s="25" t="str">
        <f t="shared" si="147"/>
        <v/>
      </c>
      <c r="AY529" s="25" t="str">
        <f t="shared" si="148"/>
        <v/>
      </c>
      <c r="AZ529" s="25" t="str">
        <f t="shared" si="149"/>
        <v/>
      </c>
      <c r="BA529" s="25" t="str">
        <f t="shared" si="150"/>
        <v/>
      </c>
      <c r="BB529" s="25" t="str">
        <f t="shared" si="151"/>
        <v/>
      </c>
      <c r="BC529" s="25">
        <f t="shared" si="152"/>
        <v>46307</v>
      </c>
    </row>
    <row r="530" spans="1:55" x14ac:dyDescent="0.25">
      <c r="A530" s="151">
        <f t="shared" si="137"/>
        <v>528</v>
      </c>
      <c r="B530" s="255" t="s">
        <v>989</v>
      </c>
      <c r="C530" s="254" t="s">
        <v>113</v>
      </c>
      <c r="D530" s="151">
        <f t="shared" si="136"/>
        <v>1</v>
      </c>
      <c r="E530" s="185" t="s">
        <v>61</v>
      </c>
      <c r="F530" s="173">
        <v>46305</v>
      </c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51"/>
      <c r="U530" s="151"/>
      <c r="V530" s="152"/>
      <c r="W530" s="175"/>
      <c r="X530" s="173"/>
      <c r="Y530" s="173"/>
      <c r="Z530" s="176" t="str">
        <f>IF(B530="","",IF(S530&lt;&gt;"","Sevk Edildi",IF(AND(X530&lt;&gt;"",Y530=""),"Reworkte",IF(T530&lt;&gt;"","Kapandı"&amp;IF(COUNT(G530:R530)=0,""," – "&amp;LOOKUP(2,1/(G530:R530=MAX(G530:R530)),{"Tasarım","Ply Cutter","Üretim","Kalite (Üretim sonrası)","Talaşlı","Kalite (Talaşlı sonrası)","Montaj","Kalite (Montaj sonrası)","Boya","Kalite (Boya sonrası)","Yarı Mamül","KM"})),IF(COUNT(G530:R530)=0,"Başlamadı",LOOKUP(2,1/(G530:R530=MAX(G530:R530)),{"Tasarımda","Ply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530" s="177">
        <f t="shared" ca="1" si="138"/>
        <v>2</v>
      </c>
      <c r="AB530" s="175"/>
      <c r="AD530" t="str">
        <f>IF(OR($B530="",NOT(ISNUMBER(G530))),"",IF(COUNTIF(H530:$T530,G530)&gt;0,0,IF(COUNTIF($G530:$T530,"&gt;"&amp;G530)=0,"",SMALL($G530:$T530,COUNTIF($G530:$T530,"&lt;="&amp;G530)+1)-G530)))</f>
        <v/>
      </c>
      <c r="AE530" t="str">
        <f>IF(OR($B530="",NOT(ISNUMBER(H530))),"",IF(COUNTIF(I530:$T530,H530)&gt;0,0,IF(COUNTIF($G530:$T530,"&gt;"&amp;H530)=0,"",SMALL($G530:$T530,COUNTIF($G530:$T530,"&lt;="&amp;H530)+1)-H530)))</f>
        <v/>
      </c>
      <c r="AF530" t="str">
        <f>IF(OR($B530="",NOT(ISNUMBER(I530))),"",IF(COUNTIF(J530:$T530,I530)&gt;0,0,IF(COUNTIF($G530:$T530,"&gt;"&amp;I530)=0,"",SMALL($G530:$T530,COUNTIF($G530:$T530,"&lt;="&amp;I530)+1)-I530)))</f>
        <v/>
      </c>
      <c r="AG530" t="str">
        <f>IF(OR($B530="",NOT(ISNUMBER(J530))),"",IF(COUNTIF(K530:$T530,J530)&gt;0,0,IF(COUNTIF($G530:$T530,"&gt;"&amp;J530)=0,"",SMALL($G530:$T530,COUNTIF($G530:$T530,"&lt;="&amp;J530)+1)-J530)))</f>
        <v/>
      </c>
      <c r="AH530" t="str">
        <f>IF(OR($B530="",NOT(ISNUMBER(K530))),"",IF(COUNTIF(L530:$T530,K530)&gt;0,0,IF(COUNTIF($G530:$T530,"&gt;"&amp;K530)=0,"",SMALL($G530:$T530,COUNTIF($G530:$T530,"&lt;="&amp;K530)+1)-K530)))</f>
        <v/>
      </c>
      <c r="AI530" t="str">
        <f>IF(OR($B530="",NOT(ISNUMBER(L530))),"",IF(COUNTIF(M530:$T530,L530)&gt;0,0,IF(COUNTIF($G530:$T530,"&gt;"&amp;L530)=0,"",SMALL($G530:$T530,COUNTIF($G530:$T530,"&lt;="&amp;L530)+1)-L530)))</f>
        <v/>
      </c>
      <c r="AJ530" t="str">
        <f>IF(OR($B530="",NOT(ISNUMBER(M530))),"",IF(COUNTIF(N530:$T530,M530)&gt;0,0,IF(COUNTIF($G530:$T530,"&gt;"&amp;M530)=0,"",SMALL($G530:$T530,COUNTIF($G530:$T530,"&lt;="&amp;M530)+1)-M530)))</f>
        <v/>
      </c>
      <c r="AK530" t="str">
        <f>IF(OR($B530="",NOT(ISNUMBER(N530))),"",IF(COUNTIF(O530:$T530,N530)&gt;0,0,IF(COUNTIF($G530:$T530,"&gt;"&amp;N530)=0,"",SMALL($G530:$T530,COUNTIF($G530:$T530,"&lt;="&amp;N530)+1)-N530)))</f>
        <v/>
      </c>
      <c r="AL530" t="str">
        <f>IF(OR($B530="",NOT(ISNUMBER(O530))),"",IF(COUNTIF(P530:$T530,O530)&gt;0,0,IF(COUNTIF($G530:$T530,"&gt;"&amp;O530)=0,"",SMALL($G530:$T530,COUNTIF($G530:$T530,"&lt;="&amp;O530)+1)-O530)))</f>
        <v/>
      </c>
      <c r="AM530" t="str">
        <f>IF(OR($B530="",NOT(ISNUMBER(P530))),"",IF(COUNTIF(Q530:$T530,P530)&gt;0,0,IF(COUNTIF($G530:$T530,"&gt;"&amp;P530)=0,"",SMALL($G530:$T530,COUNTIF($G530:$T530,"&lt;="&amp;P530)+1)-P530)))</f>
        <v/>
      </c>
      <c r="AN530" t="str">
        <f>IF(OR($B530="",NOT(ISNUMBER(Q530))),"",IF(COUNTIF(R530:$T530,Q530)&gt;0,0,IF(COUNTIF($G530:$T530,"&gt;"&amp;Q530)=0,"",SMALL($G530:$T530,COUNTIF($G530:$T530,"&lt;="&amp;Q530)+1)-Q530)))</f>
        <v/>
      </c>
      <c r="AO530" t="str">
        <f>IF(OR($B530="",NOT(ISNUMBER(R530))),"",IF(COUNTIF(S530:$T530,R530)&gt;0,0,IF(COUNTIF($G530:$T530,"&gt;"&amp;R530)=0,"",SMALL($G530:$T530,COUNTIF($G530:$T530,"&lt;="&amp;R530)+1)-R530)))</f>
        <v/>
      </c>
      <c r="AP530">
        <f t="shared" ca="1" si="139"/>
        <v>0</v>
      </c>
      <c r="AQ530" s="25" t="str">
        <f t="shared" si="140"/>
        <v/>
      </c>
      <c r="AR530" s="25" t="str">
        <f t="shared" si="141"/>
        <v/>
      </c>
      <c r="AS530" s="25" t="str">
        <f t="shared" si="142"/>
        <v/>
      </c>
      <c r="AT530" s="25" t="str">
        <f t="shared" si="143"/>
        <v/>
      </c>
      <c r="AU530" s="25" t="str">
        <f t="shared" si="144"/>
        <v/>
      </c>
      <c r="AV530" s="25" t="str">
        <f t="shared" si="145"/>
        <v/>
      </c>
      <c r="AW530" s="25" t="str">
        <f t="shared" si="146"/>
        <v/>
      </c>
      <c r="AX530" s="25" t="str">
        <f t="shared" si="147"/>
        <v/>
      </c>
      <c r="AY530" s="25" t="str">
        <f t="shared" si="148"/>
        <v/>
      </c>
      <c r="AZ530" s="25" t="str">
        <f t="shared" si="149"/>
        <v/>
      </c>
      <c r="BA530" s="25" t="str">
        <f t="shared" si="150"/>
        <v/>
      </c>
      <c r="BB530" s="25" t="str">
        <f t="shared" si="151"/>
        <v/>
      </c>
      <c r="BC530" s="25" t="str">
        <f t="shared" si="152"/>
        <v/>
      </c>
    </row>
    <row r="531" spans="1:55" x14ac:dyDescent="0.25">
      <c r="A531" s="151">
        <f t="shared" si="137"/>
        <v>529</v>
      </c>
      <c r="B531" s="255" t="s">
        <v>990</v>
      </c>
      <c r="C531" s="254" t="s">
        <v>113</v>
      </c>
      <c r="D531" s="151">
        <f t="shared" si="136"/>
        <v>1</v>
      </c>
      <c r="E531" s="185" t="s">
        <v>61</v>
      </c>
      <c r="F531" s="173">
        <v>46305</v>
      </c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51"/>
      <c r="U531" s="151"/>
      <c r="V531" s="152"/>
      <c r="W531" s="175"/>
      <c r="X531" s="173"/>
      <c r="Y531" s="173"/>
      <c r="Z531" s="176" t="str">
        <f>IF(B531="","",IF(S531&lt;&gt;"","Sevk Edildi",IF(AND(X531&lt;&gt;"",Y531=""),"Reworkte",IF(T531&lt;&gt;"","Kapandı"&amp;IF(COUNT(G531:R531)=0,""," – "&amp;LOOKUP(2,1/(G531:R531=MAX(G531:R531)),{"Tasarım","Ply Cutter","Üretim","Kalite (Üretim sonrası)","Talaşlı","Kalite (Talaşlı sonrası)","Montaj","Kalite (Montaj sonrası)","Boya","Kalite (Boya sonrası)","Yarı Mamül","KM"})),IF(COUNT(G531:R531)=0,"Başlamadı",LOOKUP(2,1/(G531:R531=MAX(G531:R531)),{"Tasarımda","Ply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531" s="177">
        <f t="shared" ca="1" si="138"/>
        <v>2</v>
      </c>
      <c r="AB531" s="175"/>
      <c r="AD531" t="str">
        <f>IF(OR($B531="",NOT(ISNUMBER(G531))),"",IF(COUNTIF(H531:$T531,G531)&gt;0,0,IF(COUNTIF($G531:$T531,"&gt;"&amp;G531)=0,"",SMALL($G531:$T531,COUNTIF($G531:$T531,"&lt;="&amp;G531)+1)-G531)))</f>
        <v/>
      </c>
      <c r="AE531" t="str">
        <f>IF(OR($B531="",NOT(ISNUMBER(H531))),"",IF(COUNTIF(I531:$T531,H531)&gt;0,0,IF(COUNTIF($G531:$T531,"&gt;"&amp;H531)=0,"",SMALL($G531:$T531,COUNTIF($G531:$T531,"&lt;="&amp;H531)+1)-H531)))</f>
        <v/>
      </c>
      <c r="AF531" t="str">
        <f>IF(OR($B531="",NOT(ISNUMBER(I531))),"",IF(COUNTIF(J531:$T531,I531)&gt;0,0,IF(COUNTIF($G531:$T531,"&gt;"&amp;I531)=0,"",SMALL($G531:$T531,COUNTIF($G531:$T531,"&lt;="&amp;I531)+1)-I531)))</f>
        <v/>
      </c>
      <c r="AG531" t="str">
        <f>IF(OR($B531="",NOT(ISNUMBER(J531))),"",IF(COUNTIF(K531:$T531,J531)&gt;0,0,IF(COUNTIF($G531:$T531,"&gt;"&amp;J531)=0,"",SMALL($G531:$T531,COUNTIF($G531:$T531,"&lt;="&amp;J531)+1)-J531)))</f>
        <v/>
      </c>
      <c r="AH531" t="str">
        <f>IF(OR($B531="",NOT(ISNUMBER(K531))),"",IF(COUNTIF(L531:$T531,K531)&gt;0,0,IF(COUNTIF($G531:$T531,"&gt;"&amp;K531)=0,"",SMALL($G531:$T531,COUNTIF($G531:$T531,"&lt;="&amp;K531)+1)-K531)))</f>
        <v/>
      </c>
      <c r="AI531" t="str">
        <f>IF(OR($B531="",NOT(ISNUMBER(L531))),"",IF(COUNTIF(M531:$T531,L531)&gt;0,0,IF(COUNTIF($G531:$T531,"&gt;"&amp;L531)=0,"",SMALL($G531:$T531,COUNTIF($G531:$T531,"&lt;="&amp;L531)+1)-L531)))</f>
        <v/>
      </c>
      <c r="AJ531" t="str">
        <f>IF(OR($B531="",NOT(ISNUMBER(M531))),"",IF(COUNTIF(N531:$T531,M531)&gt;0,0,IF(COUNTIF($G531:$T531,"&gt;"&amp;M531)=0,"",SMALL($G531:$T531,COUNTIF($G531:$T531,"&lt;="&amp;M531)+1)-M531)))</f>
        <v/>
      </c>
      <c r="AK531" t="str">
        <f>IF(OR($B531="",NOT(ISNUMBER(N531))),"",IF(COUNTIF(O531:$T531,N531)&gt;0,0,IF(COUNTIF($G531:$T531,"&gt;"&amp;N531)=0,"",SMALL($G531:$T531,COUNTIF($G531:$T531,"&lt;="&amp;N531)+1)-N531)))</f>
        <v/>
      </c>
      <c r="AL531" t="str">
        <f>IF(OR($B531="",NOT(ISNUMBER(O531))),"",IF(COUNTIF(P531:$T531,O531)&gt;0,0,IF(COUNTIF($G531:$T531,"&gt;"&amp;O531)=0,"",SMALL($G531:$T531,COUNTIF($G531:$T531,"&lt;="&amp;O531)+1)-O531)))</f>
        <v/>
      </c>
      <c r="AM531" t="str">
        <f>IF(OR($B531="",NOT(ISNUMBER(P531))),"",IF(COUNTIF(Q531:$T531,P531)&gt;0,0,IF(COUNTIF($G531:$T531,"&gt;"&amp;P531)=0,"",SMALL($G531:$T531,COUNTIF($G531:$T531,"&lt;="&amp;P531)+1)-P531)))</f>
        <v/>
      </c>
      <c r="AN531" t="str">
        <f>IF(OR($B531="",NOT(ISNUMBER(Q531))),"",IF(COUNTIF(R531:$T531,Q531)&gt;0,0,IF(COUNTIF($G531:$T531,"&gt;"&amp;Q531)=0,"",SMALL($G531:$T531,COUNTIF($G531:$T531,"&lt;="&amp;Q531)+1)-Q531)))</f>
        <v/>
      </c>
      <c r="AO531" t="str">
        <f>IF(OR($B531="",NOT(ISNUMBER(R531))),"",IF(COUNTIF(S531:$T531,R531)&gt;0,0,IF(COUNTIF($G531:$T531,"&gt;"&amp;R531)=0,"",SMALL($G531:$T531,COUNTIF($G531:$T531,"&lt;="&amp;R531)+1)-R531)))</f>
        <v/>
      </c>
      <c r="AP531">
        <f t="shared" ca="1" si="139"/>
        <v>0</v>
      </c>
      <c r="AQ531" s="25" t="str">
        <f t="shared" si="140"/>
        <v/>
      </c>
      <c r="AR531" s="25" t="str">
        <f t="shared" si="141"/>
        <v/>
      </c>
      <c r="AS531" s="25" t="str">
        <f t="shared" si="142"/>
        <v/>
      </c>
      <c r="AT531" s="25" t="str">
        <f t="shared" si="143"/>
        <v/>
      </c>
      <c r="AU531" s="25" t="str">
        <f t="shared" si="144"/>
        <v/>
      </c>
      <c r="AV531" s="25" t="str">
        <f t="shared" si="145"/>
        <v/>
      </c>
      <c r="AW531" s="25" t="str">
        <f t="shared" si="146"/>
        <v/>
      </c>
      <c r="AX531" s="25" t="str">
        <f t="shared" si="147"/>
        <v/>
      </c>
      <c r="AY531" s="25" t="str">
        <f t="shared" si="148"/>
        <v/>
      </c>
      <c r="AZ531" s="25" t="str">
        <f t="shared" si="149"/>
        <v/>
      </c>
      <c r="BA531" s="25" t="str">
        <f t="shared" si="150"/>
        <v/>
      </c>
      <c r="BB531" s="25" t="str">
        <f t="shared" si="151"/>
        <v/>
      </c>
      <c r="BC531" s="25" t="str">
        <f t="shared" si="152"/>
        <v/>
      </c>
    </row>
    <row r="532" spans="1:55" x14ac:dyDescent="0.25">
      <c r="A532" s="151">
        <f t="shared" si="137"/>
        <v>530</v>
      </c>
      <c r="B532" s="255" t="s">
        <v>991</v>
      </c>
      <c r="C532" s="254" t="s">
        <v>699</v>
      </c>
      <c r="D532" s="151">
        <f t="shared" si="136"/>
        <v>28</v>
      </c>
      <c r="E532" s="185" t="s">
        <v>100</v>
      </c>
      <c r="F532" s="173">
        <v>46305</v>
      </c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51"/>
      <c r="U532" s="151"/>
      <c r="V532" s="152"/>
      <c r="W532" s="175"/>
      <c r="X532" s="173"/>
      <c r="Y532" s="173"/>
      <c r="Z532" s="176" t="str">
        <f>IF(B532="","",IF(S532&lt;&gt;"","Sevk Edildi",IF(AND(X532&lt;&gt;"",Y532=""),"Reworkte",IF(T532&lt;&gt;"","Kapandı"&amp;IF(COUNT(G532:R532)=0,""," – "&amp;LOOKUP(2,1/(G532:R532=MAX(G532:R532)),{"Tasarım","Ply Cutter","Üretim","Kalite (Üretim sonrası)","Talaşlı","Kalite (Talaşlı sonrası)","Montaj","Kalite (Montaj sonrası)","Boya","Kalite (Boya sonrası)","Yarı Mamül","KM"})),IF(COUNT(G532:R532)=0,"Başlamadı",LOOKUP(2,1/(G532:R532=MAX(G532:R532)),{"Tasarımda","Ply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532" s="177">
        <f t="shared" ca="1" si="138"/>
        <v>2</v>
      </c>
      <c r="AB532" s="175"/>
      <c r="AD532" t="str">
        <f>IF(OR($B532="",NOT(ISNUMBER(G532))),"",IF(COUNTIF(H532:$T532,G532)&gt;0,0,IF(COUNTIF($G532:$T532,"&gt;"&amp;G532)=0,"",SMALL($G532:$T532,COUNTIF($G532:$T532,"&lt;="&amp;G532)+1)-G532)))</f>
        <v/>
      </c>
      <c r="AE532" t="str">
        <f>IF(OR($B532="",NOT(ISNUMBER(H532))),"",IF(COUNTIF(I532:$T532,H532)&gt;0,0,IF(COUNTIF($G532:$T532,"&gt;"&amp;H532)=0,"",SMALL($G532:$T532,COUNTIF($G532:$T532,"&lt;="&amp;H532)+1)-H532)))</f>
        <v/>
      </c>
      <c r="AF532" t="str">
        <f>IF(OR($B532="",NOT(ISNUMBER(I532))),"",IF(COUNTIF(J532:$T532,I532)&gt;0,0,IF(COUNTIF($G532:$T532,"&gt;"&amp;I532)=0,"",SMALL($G532:$T532,COUNTIF($G532:$T532,"&lt;="&amp;I532)+1)-I532)))</f>
        <v/>
      </c>
      <c r="AG532" t="str">
        <f>IF(OR($B532="",NOT(ISNUMBER(J532))),"",IF(COUNTIF(K532:$T532,J532)&gt;0,0,IF(COUNTIF($G532:$T532,"&gt;"&amp;J532)=0,"",SMALL($G532:$T532,COUNTIF($G532:$T532,"&lt;="&amp;J532)+1)-J532)))</f>
        <v/>
      </c>
      <c r="AH532" t="str">
        <f>IF(OR($B532="",NOT(ISNUMBER(K532))),"",IF(COUNTIF(L532:$T532,K532)&gt;0,0,IF(COUNTIF($G532:$T532,"&gt;"&amp;K532)=0,"",SMALL($G532:$T532,COUNTIF($G532:$T532,"&lt;="&amp;K532)+1)-K532)))</f>
        <v/>
      </c>
      <c r="AI532" t="str">
        <f>IF(OR($B532="",NOT(ISNUMBER(L532))),"",IF(COUNTIF(M532:$T532,L532)&gt;0,0,IF(COUNTIF($G532:$T532,"&gt;"&amp;L532)=0,"",SMALL($G532:$T532,COUNTIF($G532:$T532,"&lt;="&amp;L532)+1)-L532)))</f>
        <v/>
      </c>
      <c r="AJ532" t="str">
        <f>IF(OR($B532="",NOT(ISNUMBER(M532))),"",IF(COUNTIF(N532:$T532,M532)&gt;0,0,IF(COUNTIF($G532:$T532,"&gt;"&amp;M532)=0,"",SMALL($G532:$T532,COUNTIF($G532:$T532,"&lt;="&amp;M532)+1)-M532)))</f>
        <v/>
      </c>
      <c r="AK532" t="str">
        <f>IF(OR($B532="",NOT(ISNUMBER(N532))),"",IF(COUNTIF(O532:$T532,N532)&gt;0,0,IF(COUNTIF($G532:$T532,"&gt;"&amp;N532)=0,"",SMALL($G532:$T532,COUNTIF($G532:$T532,"&lt;="&amp;N532)+1)-N532)))</f>
        <v/>
      </c>
      <c r="AL532" t="str">
        <f>IF(OR($B532="",NOT(ISNUMBER(O532))),"",IF(COUNTIF(P532:$T532,O532)&gt;0,0,IF(COUNTIF($G532:$T532,"&gt;"&amp;O532)=0,"",SMALL($G532:$T532,COUNTIF($G532:$T532,"&lt;="&amp;O532)+1)-O532)))</f>
        <v/>
      </c>
      <c r="AM532" t="str">
        <f>IF(OR($B532="",NOT(ISNUMBER(P532))),"",IF(COUNTIF(Q532:$T532,P532)&gt;0,0,IF(COUNTIF($G532:$T532,"&gt;"&amp;P532)=0,"",SMALL($G532:$T532,COUNTIF($G532:$T532,"&lt;="&amp;P532)+1)-P532)))</f>
        <v/>
      </c>
      <c r="AN532" t="str">
        <f>IF(OR($B532="",NOT(ISNUMBER(Q532))),"",IF(COUNTIF(R532:$T532,Q532)&gt;0,0,IF(COUNTIF($G532:$T532,"&gt;"&amp;Q532)=0,"",SMALL($G532:$T532,COUNTIF($G532:$T532,"&lt;="&amp;Q532)+1)-Q532)))</f>
        <v/>
      </c>
      <c r="AO532" t="str">
        <f>IF(OR($B532="",NOT(ISNUMBER(R532))),"",IF(COUNTIF(S532:$T532,R532)&gt;0,0,IF(COUNTIF($G532:$T532,"&gt;"&amp;R532)=0,"",SMALL($G532:$T532,COUNTIF($G532:$T532,"&lt;="&amp;R532)+1)-R532)))</f>
        <v/>
      </c>
      <c r="AP532">
        <f t="shared" ca="1" si="139"/>
        <v>0</v>
      </c>
      <c r="AQ532" s="25" t="str">
        <f t="shared" si="140"/>
        <v/>
      </c>
      <c r="AR532" s="25" t="str">
        <f t="shared" si="141"/>
        <v/>
      </c>
      <c r="AS532" s="25" t="str">
        <f t="shared" si="142"/>
        <v/>
      </c>
      <c r="AT532" s="25" t="str">
        <f t="shared" si="143"/>
        <v/>
      </c>
      <c r="AU532" s="25" t="str">
        <f t="shared" si="144"/>
        <v/>
      </c>
      <c r="AV532" s="25" t="str">
        <f t="shared" si="145"/>
        <v/>
      </c>
      <c r="AW532" s="25" t="str">
        <f t="shared" si="146"/>
        <v/>
      </c>
      <c r="AX532" s="25" t="str">
        <f t="shared" si="147"/>
        <v/>
      </c>
      <c r="AY532" s="25" t="str">
        <f t="shared" si="148"/>
        <v/>
      </c>
      <c r="AZ532" s="25" t="str">
        <f t="shared" si="149"/>
        <v/>
      </c>
      <c r="BA532" s="25" t="str">
        <f t="shared" si="150"/>
        <v/>
      </c>
      <c r="BB532" s="25" t="str">
        <f t="shared" si="151"/>
        <v/>
      </c>
      <c r="BC532" s="25" t="str">
        <f t="shared" si="152"/>
        <v/>
      </c>
    </row>
    <row r="533" spans="1:55" x14ac:dyDescent="0.25">
      <c r="A533" s="151">
        <f t="shared" si="137"/>
        <v>531</v>
      </c>
      <c r="B533" s="255" t="s">
        <v>992</v>
      </c>
      <c r="C533" s="254" t="s">
        <v>993</v>
      </c>
      <c r="D533" s="151">
        <f t="shared" si="136"/>
        <v>18</v>
      </c>
      <c r="E533" s="185" t="s">
        <v>100</v>
      </c>
      <c r="F533" s="173">
        <v>46305</v>
      </c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51"/>
      <c r="U533" s="151"/>
      <c r="V533" s="152"/>
      <c r="W533" s="175"/>
      <c r="X533" s="173"/>
      <c r="Y533" s="173"/>
      <c r="Z533" s="176" t="str">
        <f>IF(B533="","",IF(S533&lt;&gt;"","Sevk Edildi",IF(AND(X533&lt;&gt;"",Y533=""),"Reworkte",IF(T533&lt;&gt;"","Kapandı"&amp;IF(COUNT(G533:R533)=0,""," – "&amp;LOOKUP(2,1/(G533:R533=MAX(G533:R533)),{"Tasarım","Ply Cutter","Üretim","Kalite (Üretim sonrası)","Talaşlı","Kalite (Talaşlı sonrası)","Montaj","Kalite (Montaj sonrası)","Boya","Kalite (Boya sonrası)","Yarı Mamül","KM"})),IF(COUNT(G533:R533)=0,"Başlamadı",LOOKUP(2,1/(G533:R533=MAX(G533:R533)),{"Tasarımda","Ply Cutter'da","Üretimde","Kalitede (Üretim sonrası)","Talaşlıda","Kalitede (Talaşlı sonrası)","Montajda","Kalitede (Montaj sonrası)","Boyada","Kalitede (Boya sonrası)","Yarı Mamülde","KM'de"}))))))</f>
        <v>Başlamadı</v>
      </c>
      <c r="AA533" s="177">
        <f t="shared" ca="1" si="138"/>
        <v>2</v>
      </c>
      <c r="AB533" s="175"/>
      <c r="AD533" t="str">
        <f>IF(OR($B533="",NOT(ISNUMBER(G533))),"",IF(COUNTIF(H533:$T533,G533)&gt;0,0,IF(COUNTIF($G533:$T533,"&gt;"&amp;G533)=0,"",SMALL($G533:$T533,COUNTIF($G533:$T533,"&lt;="&amp;G533)+1)-G533)))</f>
        <v/>
      </c>
      <c r="AE533" t="str">
        <f>IF(OR($B533="",NOT(ISNUMBER(H533))),"",IF(COUNTIF(I533:$T533,H533)&gt;0,0,IF(COUNTIF($G533:$T533,"&gt;"&amp;H533)=0,"",SMALL($G533:$T533,COUNTIF($G533:$T533,"&lt;="&amp;H533)+1)-H533)))</f>
        <v/>
      </c>
      <c r="AF533" t="str">
        <f>IF(OR($B533="",NOT(ISNUMBER(I533))),"",IF(COUNTIF(J533:$T533,I533)&gt;0,0,IF(COUNTIF($G533:$T533,"&gt;"&amp;I533)=0,"",SMALL($G533:$T533,COUNTIF($G533:$T533,"&lt;="&amp;I533)+1)-I533)))</f>
        <v/>
      </c>
      <c r="AG533" t="str">
        <f>IF(OR($B533="",NOT(ISNUMBER(J533))),"",IF(COUNTIF(K533:$T533,J533)&gt;0,0,IF(COUNTIF($G533:$T533,"&gt;"&amp;J533)=0,"",SMALL($G533:$T533,COUNTIF($G533:$T533,"&lt;="&amp;J533)+1)-J533)))</f>
        <v/>
      </c>
      <c r="AH533" t="str">
        <f>IF(OR($B533="",NOT(ISNUMBER(K533))),"",IF(COUNTIF(L533:$T533,K533)&gt;0,0,IF(COUNTIF($G533:$T533,"&gt;"&amp;K533)=0,"",SMALL($G533:$T533,COUNTIF($G533:$T533,"&lt;="&amp;K533)+1)-K533)))</f>
        <v/>
      </c>
      <c r="AI533" t="str">
        <f>IF(OR($B533="",NOT(ISNUMBER(L533))),"",IF(COUNTIF(M533:$T533,L533)&gt;0,0,IF(COUNTIF($G533:$T533,"&gt;"&amp;L533)=0,"",SMALL($G533:$T533,COUNTIF($G533:$T533,"&lt;="&amp;L533)+1)-L533)))</f>
        <v/>
      </c>
      <c r="AJ533" t="str">
        <f>IF(OR($B533="",NOT(ISNUMBER(M533))),"",IF(COUNTIF(N533:$T533,M533)&gt;0,0,IF(COUNTIF($G533:$T533,"&gt;"&amp;M533)=0,"",SMALL($G533:$T533,COUNTIF($G533:$T533,"&lt;="&amp;M533)+1)-M533)))</f>
        <v/>
      </c>
      <c r="AK533" t="str">
        <f>IF(OR($B533="",NOT(ISNUMBER(N533))),"",IF(COUNTIF(O533:$T533,N533)&gt;0,0,IF(COUNTIF($G533:$T533,"&gt;"&amp;N533)=0,"",SMALL($G533:$T533,COUNTIF($G533:$T533,"&lt;="&amp;N533)+1)-N533)))</f>
        <v/>
      </c>
      <c r="AL533" t="str">
        <f>IF(OR($B533="",NOT(ISNUMBER(O533))),"",IF(COUNTIF(P533:$T533,O533)&gt;0,0,IF(COUNTIF($G533:$T533,"&gt;"&amp;O533)=0,"",SMALL($G533:$T533,COUNTIF($G533:$T533,"&lt;="&amp;O533)+1)-O533)))</f>
        <v/>
      </c>
      <c r="AM533" t="str">
        <f>IF(OR($B533="",NOT(ISNUMBER(P533))),"",IF(COUNTIF(Q533:$T533,P533)&gt;0,0,IF(COUNTIF($G533:$T533,"&gt;"&amp;P533)=0,"",SMALL($G533:$T533,COUNTIF($G533:$T533,"&lt;="&amp;P533)+1)-P533)))</f>
        <v/>
      </c>
      <c r="AN533" t="str">
        <f>IF(OR($B533="",NOT(ISNUMBER(Q533))),"",IF(COUNTIF(R533:$T533,Q533)&gt;0,0,IF(COUNTIF($G533:$T533,"&gt;"&amp;Q533)=0,"",SMALL($G533:$T533,COUNTIF($G533:$T533,"&lt;="&amp;Q533)+1)-Q533)))</f>
        <v/>
      </c>
      <c r="AO533" t="str">
        <f>IF(OR($B533="",NOT(ISNUMBER(R533))),"",IF(COUNTIF(S533:$T533,R533)&gt;0,0,IF(COUNTIF($G533:$T533,"&gt;"&amp;R533)=0,"",SMALL($G533:$T533,COUNTIF($G533:$T533,"&lt;="&amp;R533)+1)-R533)))</f>
        <v/>
      </c>
      <c r="AP533">
        <f t="shared" ca="1" si="139"/>
        <v>0</v>
      </c>
      <c r="AQ533" s="25" t="str">
        <f t="shared" si="140"/>
        <v/>
      </c>
      <c r="AR533" s="25" t="str">
        <f t="shared" si="141"/>
        <v/>
      </c>
      <c r="AS533" s="25" t="str">
        <f t="shared" si="142"/>
        <v/>
      </c>
      <c r="AT533" s="25" t="str">
        <f t="shared" si="143"/>
        <v/>
      </c>
      <c r="AU533" s="25" t="str">
        <f t="shared" si="144"/>
        <v/>
      </c>
      <c r="AV533" s="25" t="str">
        <f t="shared" si="145"/>
        <v/>
      </c>
      <c r="AW533" s="25" t="str">
        <f t="shared" si="146"/>
        <v/>
      </c>
      <c r="AX533" s="25" t="str">
        <f t="shared" si="147"/>
        <v/>
      </c>
      <c r="AY533" s="25" t="str">
        <f t="shared" si="148"/>
        <v/>
      </c>
      <c r="AZ533" s="25" t="str">
        <f t="shared" si="149"/>
        <v/>
      </c>
      <c r="BA533" s="25" t="str">
        <f t="shared" si="150"/>
        <v/>
      </c>
      <c r="BB533" s="25" t="str">
        <f t="shared" si="151"/>
        <v/>
      </c>
      <c r="BC533" s="25" t="str">
        <f t="shared" si="152"/>
        <v/>
      </c>
    </row>
    <row r="534" spans="1:55" x14ac:dyDescent="0.25">
      <c r="A534" s="151" t="str">
        <f t="shared" si="137"/>
        <v/>
      </c>
      <c r="B534" s="151"/>
      <c r="C534" s="152"/>
      <c r="D534" s="151" t="str">
        <f t="shared" si="136"/>
        <v/>
      </c>
      <c r="E534" s="151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51"/>
      <c r="U534" s="151"/>
      <c r="V534" s="152"/>
      <c r="W534" s="175"/>
      <c r="X534" s="173"/>
      <c r="Y534" s="173"/>
      <c r="Z534" s="176" t="str">
        <f>IF(B534="","",IF(S534&lt;&gt;"","Sevk Edildi",IF(AND(X534&lt;&gt;"",Y534=""),"Reworkte",IF(T534&lt;&gt;"","Kapandı"&amp;IF(COUNT(G534:R534)=0,""," – "&amp;LOOKUP(2,1/(G534:R534=MAX(G534:R534)),{"Tasarım","Ply Cutter","Üretim","Kalite (Üretim sonrası)","Talaşlı","Kalite (Talaşlı sonrası)","Montaj","Kalite (Montaj sonrası)","Boya","Kalite (Boya sonrası)","Yarı Mamül","KM"})),IF(COUNT(G534:R534)=0,"Başlamadı",LOOKUP(2,1/(G534:R534=MAX(G534:R534)),{"Tasarımda","Ply Cutter'da","Üretimde","Kalitede (Üretim sonrası)","Talaşlıda","Kalitede (Talaşlı sonrası)","Montajda","Kalitede (Montaj sonrası)","Boyada","Kalitede (Boya sonrası)","Yarı Mamülde","KM'de"}))))))</f>
        <v/>
      </c>
      <c r="AA534" s="177" t="str">
        <f t="shared" ca="1" si="138"/>
        <v/>
      </c>
      <c r="AB534" s="175"/>
      <c r="AD534" t="str">
        <f>IF(OR($B534="",NOT(ISNUMBER(G534))),"",IF(COUNTIF(H534:$T534,G534)&gt;0,0,IF(COUNTIF($G534:$T534,"&gt;"&amp;G534)=0,"",SMALL($G534:$T534,COUNTIF($G534:$T534,"&lt;="&amp;G534)+1)-G534)))</f>
        <v/>
      </c>
      <c r="AE534" t="str">
        <f>IF(OR($B534="",NOT(ISNUMBER(H534))),"",IF(COUNTIF(I534:$T534,H534)&gt;0,0,IF(COUNTIF($G534:$T534,"&gt;"&amp;H534)=0,"",SMALL($G534:$T534,COUNTIF($G534:$T534,"&lt;="&amp;H534)+1)-H534)))</f>
        <v/>
      </c>
      <c r="AF534" t="str">
        <f>IF(OR($B534="",NOT(ISNUMBER(I534))),"",IF(COUNTIF(J534:$T534,I534)&gt;0,0,IF(COUNTIF($G534:$T534,"&gt;"&amp;I534)=0,"",SMALL($G534:$T534,COUNTIF($G534:$T534,"&lt;="&amp;I534)+1)-I534)))</f>
        <v/>
      </c>
      <c r="AG534" t="str">
        <f>IF(OR($B534="",NOT(ISNUMBER(J534))),"",IF(COUNTIF(K534:$T534,J534)&gt;0,0,IF(COUNTIF($G534:$T534,"&gt;"&amp;J534)=0,"",SMALL($G534:$T534,COUNTIF($G534:$T534,"&lt;="&amp;J534)+1)-J534)))</f>
        <v/>
      </c>
      <c r="AH534" t="str">
        <f>IF(OR($B534="",NOT(ISNUMBER(K534))),"",IF(COUNTIF(L534:$T534,K534)&gt;0,0,IF(COUNTIF($G534:$T534,"&gt;"&amp;K534)=0,"",SMALL($G534:$T534,COUNTIF($G534:$T534,"&lt;="&amp;K534)+1)-K534)))</f>
        <v/>
      </c>
      <c r="AI534" t="str">
        <f>IF(OR($B534="",NOT(ISNUMBER(L534))),"",IF(COUNTIF(M534:$T534,L534)&gt;0,0,IF(COUNTIF($G534:$T534,"&gt;"&amp;L534)=0,"",SMALL($G534:$T534,COUNTIF($G534:$T534,"&lt;="&amp;L534)+1)-L534)))</f>
        <v/>
      </c>
      <c r="AJ534" t="str">
        <f>IF(OR($B534="",NOT(ISNUMBER(M534))),"",IF(COUNTIF(N534:$T534,M534)&gt;0,0,IF(COUNTIF($G534:$T534,"&gt;"&amp;M534)=0,"",SMALL($G534:$T534,COUNTIF($G534:$T534,"&lt;="&amp;M534)+1)-M534)))</f>
        <v/>
      </c>
      <c r="AK534" t="str">
        <f>IF(OR($B534="",NOT(ISNUMBER(N534))),"",IF(COUNTIF(O534:$T534,N534)&gt;0,0,IF(COUNTIF($G534:$T534,"&gt;"&amp;N534)=0,"",SMALL($G534:$T534,COUNTIF($G534:$T534,"&lt;="&amp;N534)+1)-N534)))</f>
        <v/>
      </c>
      <c r="AL534" t="str">
        <f>IF(OR($B534="",NOT(ISNUMBER(O534))),"",IF(COUNTIF(P534:$T534,O534)&gt;0,0,IF(COUNTIF($G534:$T534,"&gt;"&amp;O534)=0,"",SMALL($G534:$T534,COUNTIF($G534:$T534,"&lt;="&amp;O534)+1)-O534)))</f>
        <v/>
      </c>
      <c r="AM534" t="str">
        <f>IF(OR($B534="",NOT(ISNUMBER(P534))),"",IF(COUNTIF(Q534:$T534,P534)&gt;0,0,IF(COUNTIF($G534:$T534,"&gt;"&amp;P534)=0,"",SMALL($G534:$T534,COUNTIF($G534:$T534,"&lt;="&amp;P534)+1)-P534)))</f>
        <v/>
      </c>
      <c r="AN534" t="str">
        <f>IF(OR($B534="",NOT(ISNUMBER(Q534))),"",IF(COUNTIF(R534:$T534,Q534)&gt;0,0,IF(COUNTIF($G534:$T534,"&gt;"&amp;Q534)=0,"",SMALL($G534:$T534,COUNTIF($G534:$T534,"&lt;="&amp;Q534)+1)-Q534)))</f>
        <v/>
      </c>
      <c r="AO534" t="str">
        <f>IF(OR($B534="",NOT(ISNUMBER(R534))),"",IF(COUNTIF(S534:$T534,R534)&gt;0,0,IF(COUNTIF($G534:$T534,"&gt;"&amp;R534)=0,"",SMALL($G534:$T534,COUNTIF($G534:$T534,"&lt;="&amp;R534)+1)-R534)))</f>
        <v/>
      </c>
      <c r="AP534">
        <f t="shared" ca="1" si="139"/>
        <v>0</v>
      </c>
      <c r="AQ534" s="25" t="str">
        <f t="shared" si="140"/>
        <v/>
      </c>
      <c r="AR534" s="25" t="str">
        <f t="shared" si="141"/>
        <v/>
      </c>
      <c r="AS534" s="25" t="str">
        <f t="shared" si="142"/>
        <v/>
      </c>
      <c r="AT534" s="25" t="str">
        <f t="shared" si="143"/>
        <v/>
      </c>
      <c r="AU534" s="25" t="str">
        <f t="shared" si="144"/>
        <v/>
      </c>
      <c r="AV534" s="25" t="str">
        <f t="shared" si="145"/>
        <v/>
      </c>
      <c r="AW534" s="25" t="str">
        <f t="shared" si="146"/>
        <v/>
      </c>
      <c r="AX534" s="25" t="str">
        <f t="shared" si="147"/>
        <v/>
      </c>
      <c r="AY534" s="25" t="str">
        <f t="shared" si="148"/>
        <v/>
      </c>
      <c r="AZ534" s="25" t="str">
        <f t="shared" si="149"/>
        <v/>
      </c>
      <c r="BA534" s="25" t="str">
        <f t="shared" si="150"/>
        <v/>
      </c>
      <c r="BB534" s="25" t="str">
        <f t="shared" si="151"/>
        <v/>
      </c>
      <c r="BC534" s="25" t="str">
        <f t="shared" si="152"/>
        <v/>
      </c>
    </row>
    <row r="535" spans="1:55" x14ac:dyDescent="0.25">
      <c r="A535" s="151" t="str">
        <f t="shared" si="137"/>
        <v/>
      </c>
      <c r="B535" s="151"/>
      <c r="C535" s="152"/>
      <c r="D535" s="151" t="str">
        <f t="shared" si="136"/>
        <v/>
      </c>
      <c r="E535" s="151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51"/>
      <c r="U535" s="151"/>
      <c r="V535" s="152"/>
      <c r="W535" s="175"/>
      <c r="X535" s="173"/>
      <c r="Y535" s="173"/>
      <c r="Z535" s="176" t="str">
        <f>IF(B535="","",IF(S535&lt;&gt;"","Sevk Edildi",IF(AND(X535&lt;&gt;"",Y535=""),"Reworkte",IF(T535&lt;&gt;"","Kapandı"&amp;IF(COUNT(G535:R535)=0,""," – "&amp;LOOKUP(2,1/(G535:R535=MAX(G535:R535)),{"Tasarım","Ply Cutter","Üretim","Kalite (Üretim sonrası)","Talaşlı","Kalite (Talaşlı sonrası)","Montaj","Kalite (Montaj sonrası)","Boya","Kalite (Boya sonrası)","Yarı Mamül","KM"})),IF(COUNT(G535:R535)=0,"Başlamadı",LOOKUP(2,1/(G535:R535=MAX(G535:R535)),{"Tasarımda","Ply Cutter'da","Üretimde","Kalitede (Üretim sonrası)","Talaşlıda","Kalitede (Talaşlı sonrası)","Montajda","Kalitede (Montaj sonrası)","Boyada","Kalitede (Boya sonrası)","Yarı Mamülde","KM'de"}))))))</f>
        <v/>
      </c>
      <c r="AA535" s="177" t="str">
        <f t="shared" ca="1" si="138"/>
        <v/>
      </c>
      <c r="AB535" s="175"/>
      <c r="AD535" t="str">
        <f>IF(OR($B535="",NOT(ISNUMBER(G535))),"",IF(COUNTIF(H535:$T535,G535)&gt;0,0,IF(COUNTIF($G535:$T535,"&gt;"&amp;G535)=0,"",SMALL($G535:$T535,COUNTIF($G535:$T535,"&lt;="&amp;G535)+1)-G535)))</f>
        <v/>
      </c>
      <c r="AE535" t="str">
        <f>IF(OR($B535="",NOT(ISNUMBER(H535))),"",IF(COUNTIF(I535:$T535,H535)&gt;0,0,IF(COUNTIF($G535:$T535,"&gt;"&amp;H535)=0,"",SMALL($G535:$T535,COUNTIF($G535:$T535,"&lt;="&amp;H535)+1)-H535)))</f>
        <v/>
      </c>
      <c r="AF535" t="str">
        <f>IF(OR($B535="",NOT(ISNUMBER(I535))),"",IF(COUNTIF(J535:$T535,I535)&gt;0,0,IF(COUNTIF($G535:$T535,"&gt;"&amp;I535)=0,"",SMALL($G535:$T535,COUNTIF($G535:$T535,"&lt;="&amp;I535)+1)-I535)))</f>
        <v/>
      </c>
      <c r="AG535" t="str">
        <f>IF(OR($B535="",NOT(ISNUMBER(J535))),"",IF(COUNTIF(K535:$T535,J535)&gt;0,0,IF(COUNTIF($G535:$T535,"&gt;"&amp;J535)=0,"",SMALL($G535:$T535,COUNTIF($G535:$T535,"&lt;="&amp;J535)+1)-J535)))</f>
        <v/>
      </c>
      <c r="AH535" t="str">
        <f>IF(OR($B535="",NOT(ISNUMBER(K535))),"",IF(COUNTIF(L535:$T535,K535)&gt;0,0,IF(COUNTIF($G535:$T535,"&gt;"&amp;K535)=0,"",SMALL($G535:$T535,COUNTIF($G535:$T535,"&lt;="&amp;K535)+1)-K535)))</f>
        <v/>
      </c>
      <c r="AI535" t="str">
        <f>IF(OR($B535="",NOT(ISNUMBER(L535))),"",IF(COUNTIF(M535:$T535,L535)&gt;0,0,IF(COUNTIF($G535:$T535,"&gt;"&amp;L535)=0,"",SMALL($G535:$T535,COUNTIF($G535:$T535,"&lt;="&amp;L535)+1)-L535)))</f>
        <v/>
      </c>
      <c r="AJ535" t="str">
        <f>IF(OR($B535="",NOT(ISNUMBER(M535))),"",IF(COUNTIF(N535:$T535,M535)&gt;0,0,IF(COUNTIF($G535:$T535,"&gt;"&amp;M535)=0,"",SMALL($G535:$T535,COUNTIF($G535:$T535,"&lt;="&amp;M535)+1)-M535)))</f>
        <v/>
      </c>
      <c r="AK535" t="str">
        <f>IF(OR($B535="",NOT(ISNUMBER(N535))),"",IF(COUNTIF(O535:$T535,N535)&gt;0,0,IF(COUNTIF($G535:$T535,"&gt;"&amp;N535)=0,"",SMALL($G535:$T535,COUNTIF($G535:$T535,"&lt;="&amp;N535)+1)-N535)))</f>
        <v/>
      </c>
      <c r="AL535" t="str">
        <f>IF(OR($B535="",NOT(ISNUMBER(O535))),"",IF(COUNTIF(P535:$T535,O535)&gt;0,0,IF(COUNTIF($G535:$T535,"&gt;"&amp;O535)=0,"",SMALL($G535:$T535,COUNTIF($G535:$T535,"&lt;="&amp;O535)+1)-O535)))</f>
        <v/>
      </c>
      <c r="AM535" t="str">
        <f>IF(OR($B535="",NOT(ISNUMBER(P535))),"",IF(COUNTIF(Q535:$T535,P535)&gt;0,0,IF(COUNTIF($G535:$T535,"&gt;"&amp;P535)=0,"",SMALL($G535:$T535,COUNTIF($G535:$T535,"&lt;="&amp;P535)+1)-P535)))</f>
        <v/>
      </c>
      <c r="AN535" t="str">
        <f>IF(OR($B535="",NOT(ISNUMBER(Q535))),"",IF(COUNTIF(R535:$T535,Q535)&gt;0,0,IF(COUNTIF($G535:$T535,"&gt;"&amp;Q535)=0,"",SMALL($G535:$T535,COUNTIF($G535:$T535,"&lt;="&amp;Q535)+1)-Q535)))</f>
        <v/>
      </c>
      <c r="AO535" t="str">
        <f>IF(OR($B535="",NOT(ISNUMBER(R535))),"",IF(COUNTIF(S535:$T535,R535)&gt;0,0,IF(COUNTIF($G535:$T535,"&gt;"&amp;R535)=0,"",SMALL($G535:$T535,COUNTIF($G535:$T535,"&lt;="&amp;R535)+1)-R535)))</f>
        <v/>
      </c>
      <c r="AP535">
        <f t="shared" ca="1" si="139"/>
        <v>0</v>
      </c>
      <c r="AQ535" s="25" t="str">
        <f t="shared" si="140"/>
        <v/>
      </c>
      <c r="AR535" s="25" t="str">
        <f t="shared" si="141"/>
        <v/>
      </c>
      <c r="AS535" s="25" t="str">
        <f t="shared" si="142"/>
        <v/>
      </c>
      <c r="AT535" s="25" t="str">
        <f t="shared" si="143"/>
        <v/>
      </c>
      <c r="AU535" s="25" t="str">
        <f t="shared" si="144"/>
        <v/>
      </c>
      <c r="AV535" s="25" t="str">
        <f t="shared" si="145"/>
        <v/>
      </c>
      <c r="AW535" s="25" t="str">
        <f t="shared" si="146"/>
        <v/>
      </c>
      <c r="AX535" s="25" t="str">
        <f t="shared" si="147"/>
        <v/>
      </c>
      <c r="AY535" s="25" t="str">
        <f t="shared" si="148"/>
        <v/>
      </c>
      <c r="AZ535" s="25" t="str">
        <f t="shared" si="149"/>
        <v/>
      </c>
      <c r="BA535" s="25" t="str">
        <f t="shared" si="150"/>
        <v/>
      </c>
      <c r="BB535" s="25" t="str">
        <f t="shared" si="151"/>
        <v/>
      </c>
      <c r="BC535" s="25" t="str">
        <f t="shared" si="152"/>
        <v/>
      </c>
    </row>
    <row r="536" spans="1:55" x14ac:dyDescent="0.25">
      <c r="A536" s="151" t="str">
        <f t="shared" si="137"/>
        <v/>
      </c>
      <c r="B536" s="151"/>
      <c r="C536" s="152"/>
      <c r="D536" s="151" t="str">
        <f t="shared" si="136"/>
        <v/>
      </c>
      <c r="E536" s="151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51"/>
      <c r="U536" s="151"/>
      <c r="V536" s="152"/>
      <c r="W536" s="175"/>
      <c r="X536" s="173"/>
      <c r="Y536" s="173"/>
      <c r="Z536" s="176" t="str">
        <f>IF(B536="","",IF(S536&lt;&gt;"","Sevk Edildi",IF(AND(X536&lt;&gt;"",Y536=""),"Reworkte",IF(T536&lt;&gt;"","Kapandı"&amp;IF(COUNT(G536:R536)=0,""," – "&amp;LOOKUP(2,1/(G536:R536=MAX(G536:R536)),{"Tasarım","Ply Cutter","Üretim","Kalite (Üretim sonrası)","Talaşlı","Kalite (Talaşlı sonrası)","Montaj","Kalite (Montaj sonrası)","Boya","Kalite (Boya sonrası)","Yarı Mamül","KM"})),IF(COUNT(G536:R536)=0,"Başlamadı",LOOKUP(2,1/(G536:R536=MAX(G536:R536)),{"Tasarımda","Ply Cutter'da","Üretimde","Kalitede (Üretim sonrası)","Talaşlıda","Kalitede (Talaşlı sonrası)","Montajda","Kalitede (Montaj sonrası)","Boyada","Kalitede (Boya sonrası)","Yarı Mamülde","KM'de"}))))))</f>
        <v/>
      </c>
      <c r="AA536" s="177" t="str">
        <f t="shared" ca="1" si="138"/>
        <v/>
      </c>
      <c r="AB536" s="175"/>
      <c r="AD536" t="str">
        <f>IF(OR($B536="",NOT(ISNUMBER(G536))),"",IF(COUNTIF(H536:$T536,G536)&gt;0,0,IF(COUNTIF($G536:$T536,"&gt;"&amp;G536)=0,"",SMALL($G536:$T536,COUNTIF($G536:$T536,"&lt;="&amp;G536)+1)-G536)))</f>
        <v/>
      </c>
      <c r="AE536" t="str">
        <f>IF(OR($B536="",NOT(ISNUMBER(H536))),"",IF(COUNTIF(I536:$T536,H536)&gt;0,0,IF(COUNTIF($G536:$T536,"&gt;"&amp;H536)=0,"",SMALL($G536:$T536,COUNTIF($G536:$T536,"&lt;="&amp;H536)+1)-H536)))</f>
        <v/>
      </c>
      <c r="AF536" t="str">
        <f>IF(OR($B536="",NOT(ISNUMBER(I536))),"",IF(COUNTIF(J536:$T536,I536)&gt;0,0,IF(COUNTIF($G536:$T536,"&gt;"&amp;I536)=0,"",SMALL($G536:$T536,COUNTIF($G536:$T536,"&lt;="&amp;I536)+1)-I536)))</f>
        <v/>
      </c>
      <c r="AG536" t="str">
        <f>IF(OR($B536="",NOT(ISNUMBER(J536))),"",IF(COUNTIF(K536:$T536,J536)&gt;0,0,IF(COUNTIF($G536:$T536,"&gt;"&amp;J536)=0,"",SMALL($G536:$T536,COUNTIF($G536:$T536,"&lt;="&amp;J536)+1)-J536)))</f>
        <v/>
      </c>
      <c r="AH536" t="str">
        <f>IF(OR($B536="",NOT(ISNUMBER(K536))),"",IF(COUNTIF(L536:$T536,K536)&gt;0,0,IF(COUNTIF($G536:$T536,"&gt;"&amp;K536)=0,"",SMALL($G536:$T536,COUNTIF($G536:$T536,"&lt;="&amp;K536)+1)-K536)))</f>
        <v/>
      </c>
      <c r="AI536" t="str">
        <f>IF(OR($B536="",NOT(ISNUMBER(L536))),"",IF(COUNTIF(M536:$T536,L536)&gt;0,0,IF(COUNTIF($G536:$T536,"&gt;"&amp;L536)=0,"",SMALL($G536:$T536,COUNTIF($G536:$T536,"&lt;="&amp;L536)+1)-L536)))</f>
        <v/>
      </c>
      <c r="AJ536" t="str">
        <f>IF(OR($B536="",NOT(ISNUMBER(M536))),"",IF(COUNTIF(N536:$T536,M536)&gt;0,0,IF(COUNTIF($G536:$T536,"&gt;"&amp;M536)=0,"",SMALL($G536:$T536,COUNTIF($G536:$T536,"&lt;="&amp;M536)+1)-M536)))</f>
        <v/>
      </c>
      <c r="AK536" t="str">
        <f>IF(OR($B536="",NOT(ISNUMBER(N536))),"",IF(COUNTIF(O536:$T536,N536)&gt;0,0,IF(COUNTIF($G536:$T536,"&gt;"&amp;N536)=0,"",SMALL($G536:$T536,COUNTIF($G536:$T536,"&lt;="&amp;N536)+1)-N536)))</f>
        <v/>
      </c>
      <c r="AL536" t="str">
        <f>IF(OR($B536="",NOT(ISNUMBER(O536))),"",IF(COUNTIF(P536:$T536,O536)&gt;0,0,IF(COUNTIF($G536:$T536,"&gt;"&amp;O536)=0,"",SMALL($G536:$T536,COUNTIF($G536:$T536,"&lt;="&amp;O536)+1)-O536)))</f>
        <v/>
      </c>
      <c r="AM536" t="str">
        <f>IF(OR($B536="",NOT(ISNUMBER(P536))),"",IF(COUNTIF(Q536:$T536,P536)&gt;0,0,IF(COUNTIF($G536:$T536,"&gt;"&amp;P536)=0,"",SMALL($G536:$T536,COUNTIF($G536:$T536,"&lt;="&amp;P536)+1)-P536)))</f>
        <v/>
      </c>
      <c r="AN536" t="str">
        <f>IF(OR($B536="",NOT(ISNUMBER(Q536))),"",IF(COUNTIF(R536:$T536,Q536)&gt;0,0,IF(COUNTIF($G536:$T536,"&gt;"&amp;Q536)=0,"",SMALL($G536:$T536,COUNTIF($G536:$T536,"&lt;="&amp;Q536)+1)-Q536)))</f>
        <v/>
      </c>
      <c r="AO536" t="str">
        <f>IF(OR($B536="",NOT(ISNUMBER(R536))),"",IF(COUNTIF(S536:$T536,R536)&gt;0,0,IF(COUNTIF($G536:$T536,"&gt;"&amp;R536)=0,"",SMALL($G536:$T536,COUNTIF($G536:$T536,"&lt;="&amp;R536)+1)-R536)))</f>
        <v/>
      </c>
      <c r="AP536">
        <f t="shared" ca="1" si="139"/>
        <v>0</v>
      </c>
      <c r="AQ536" s="25" t="str">
        <f t="shared" si="140"/>
        <v/>
      </c>
      <c r="AR536" s="25" t="str">
        <f t="shared" si="141"/>
        <v/>
      </c>
      <c r="AS536" s="25" t="str">
        <f t="shared" si="142"/>
        <v/>
      </c>
      <c r="AT536" s="25" t="str">
        <f t="shared" si="143"/>
        <v/>
      </c>
      <c r="AU536" s="25" t="str">
        <f t="shared" si="144"/>
        <v/>
      </c>
      <c r="AV536" s="25" t="str">
        <f t="shared" si="145"/>
        <v/>
      </c>
      <c r="AW536" s="25" t="str">
        <f t="shared" si="146"/>
        <v/>
      </c>
      <c r="AX536" s="25" t="str">
        <f t="shared" si="147"/>
        <v/>
      </c>
      <c r="AY536" s="25" t="str">
        <f t="shared" si="148"/>
        <v/>
      </c>
      <c r="AZ536" s="25" t="str">
        <f t="shared" si="149"/>
        <v/>
      </c>
      <c r="BA536" s="25" t="str">
        <f t="shared" si="150"/>
        <v/>
      </c>
      <c r="BB536" s="25" t="str">
        <f t="shared" si="151"/>
        <v/>
      </c>
      <c r="BC536" s="25" t="str">
        <f t="shared" si="152"/>
        <v/>
      </c>
    </row>
    <row r="537" spans="1:55" x14ac:dyDescent="0.25">
      <c r="A537" s="151" t="str">
        <f t="shared" si="137"/>
        <v/>
      </c>
      <c r="B537" s="151"/>
      <c r="C537" s="152"/>
      <c r="D537" s="151" t="str">
        <f t="shared" si="136"/>
        <v/>
      </c>
      <c r="E537" s="151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51"/>
      <c r="U537" s="151"/>
      <c r="V537" s="152"/>
      <c r="W537" s="175"/>
      <c r="X537" s="173"/>
      <c r="Y537" s="173"/>
      <c r="Z537" s="176" t="str">
        <f>IF(B537="","",IF(S537&lt;&gt;"","Sevk Edildi",IF(AND(X537&lt;&gt;"",Y537=""),"Reworkte",IF(T537&lt;&gt;"","Kapandı"&amp;IF(COUNT(G537:R537)=0,""," – "&amp;LOOKUP(2,1/(G537:R537=MAX(G537:R537)),{"Tasarım","Ply Cutter","Üretim","Kalite (Üretim sonrası)","Talaşlı","Kalite (Talaşlı sonrası)","Montaj","Kalite (Montaj sonrası)","Boya","Kalite (Boya sonrası)","Yarı Mamül","KM"})),IF(COUNT(G537:R537)=0,"Başlamadı",LOOKUP(2,1/(G537:R537=MAX(G537:R537)),{"Tasarımda","Ply Cutter'da","Üretimde","Kalitede (Üretim sonrası)","Talaşlıda","Kalitede (Talaşlı sonrası)","Montajda","Kalitede (Montaj sonrası)","Boyada","Kalitede (Boya sonrası)","Yarı Mamülde","KM'de"}))))))</f>
        <v/>
      </c>
      <c r="AA537" s="177" t="str">
        <f t="shared" ca="1" si="138"/>
        <v/>
      </c>
      <c r="AB537" s="175"/>
      <c r="AD537" t="str">
        <f>IF(OR($B537="",NOT(ISNUMBER(G537))),"",IF(COUNTIF(H537:$T537,G537)&gt;0,0,IF(COUNTIF($G537:$T537,"&gt;"&amp;G537)=0,"",SMALL($G537:$T537,COUNTIF($G537:$T537,"&lt;="&amp;G537)+1)-G537)))</f>
        <v/>
      </c>
      <c r="AE537" t="str">
        <f>IF(OR($B537="",NOT(ISNUMBER(H537))),"",IF(COUNTIF(I537:$T537,H537)&gt;0,0,IF(COUNTIF($G537:$T537,"&gt;"&amp;H537)=0,"",SMALL($G537:$T537,COUNTIF($G537:$T537,"&lt;="&amp;H537)+1)-H537)))</f>
        <v/>
      </c>
      <c r="AF537" t="str">
        <f>IF(OR($B537="",NOT(ISNUMBER(I537))),"",IF(COUNTIF(J537:$T537,I537)&gt;0,0,IF(COUNTIF($G537:$T537,"&gt;"&amp;I537)=0,"",SMALL($G537:$T537,COUNTIF($G537:$T537,"&lt;="&amp;I537)+1)-I537)))</f>
        <v/>
      </c>
      <c r="AG537" t="str">
        <f>IF(OR($B537="",NOT(ISNUMBER(J537))),"",IF(COUNTIF(K537:$T537,J537)&gt;0,0,IF(COUNTIF($G537:$T537,"&gt;"&amp;J537)=0,"",SMALL($G537:$T537,COUNTIF($G537:$T537,"&lt;="&amp;J537)+1)-J537)))</f>
        <v/>
      </c>
      <c r="AH537" t="str">
        <f>IF(OR($B537="",NOT(ISNUMBER(K537))),"",IF(COUNTIF(L537:$T537,K537)&gt;0,0,IF(COUNTIF($G537:$T537,"&gt;"&amp;K537)=0,"",SMALL($G537:$T537,COUNTIF($G537:$T537,"&lt;="&amp;K537)+1)-K537)))</f>
        <v/>
      </c>
      <c r="AI537" t="str">
        <f>IF(OR($B537="",NOT(ISNUMBER(L537))),"",IF(COUNTIF(M537:$T537,L537)&gt;0,0,IF(COUNTIF($G537:$T537,"&gt;"&amp;L537)=0,"",SMALL($G537:$T537,COUNTIF($G537:$T537,"&lt;="&amp;L537)+1)-L537)))</f>
        <v/>
      </c>
      <c r="AJ537" t="str">
        <f>IF(OR($B537="",NOT(ISNUMBER(M537))),"",IF(COUNTIF(N537:$T537,M537)&gt;0,0,IF(COUNTIF($G537:$T537,"&gt;"&amp;M537)=0,"",SMALL($G537:$T537,COUNTIF($G537:$T537,"&lt;="&amp;M537)+1)-M537)))</f>
        <v/>
      </c>
      <c r="AK537" t="str">
        <f>IF(OR($B537="",NOT(ISNUMBER(N537))),"",IF(COUNTIF(O537:$T537,N537)&gt;0,0,IF(COUNTIF($G537:$T537,"&gt;"&amp;N537)=0,"",SMALL($G537:$T537,COUNTIF($G537:$T537,"&lt;="&amp;N537)+1)-N537)))</f>
        <v/>
      </c>
      <c r="AL537" t="str">
        <f>IF(OR($B537="",NOT(ISNUMBER(O537))),"",IF(COUNTIF(P537:$T537,O537)&gt;0,0,IF(COUNTIF($G537:$T537,"&gt;"&amp;O537)=0,"",SMALL($G537:$T537,COUNTIF($G537:$T537,"&lt;="&amp;O537)+1)-O537)))</f>
        <v/>
      </c>
      <c r="AM537" t="str">
        <f>IF(OR($B537="",NOT(ISNUMBER(P537))),"",IF(COUNTIF(Q537:$T537,P537)&gt;0,0,IF(COUNTIF($G537:$T537,"&gt;"&amp;P537)=0,"",SMALL($G537:$T537,COUNTIF($G537:$T537,"&lt;="&amp;P537)+1)-P537)))</f>
        <v/>
      </c>
      <c r="AN537" t="str">
        <f>IF(OR($B537="",NOT(ISNUMBER(Q537))),"",IF(COUNTIF(R537:$T537,Q537)&gt;0,0,IF(COUNTIF($G537:$T537,"&gt;"&amp;Q537)=0,"",SMALL($G537:$T537,COUNTIF($G537:$T537,"&lt;="&amp;Q537)+1)-Q537)))</f>
        <v/>
      </c>
      <c r="AO537" t="str">
        <f>IF(OR($B537="",NOT(ISNUMBER(R537))),"",IF(COUNTIF(S537:$T537,R537)&gt;0,0,IF(COUNTIF($G537:$T537,"&gt;"&amp;R537)=0,"",SMALL($G537:$T537,COUNTIF($G537:$T537,"&lt;="&amp;R537)+1)-R537)))</f>
        <v/>
      </c>
      <c r="AP537">
        <f t="shared" ca="1" si="139"/>
        <v>0</v>
      </c>
      <c r="AQ537" s="25" t="str">
        <f t="shared" si="140"/>
        <v/>
      </c>
      <c r="AR537" s="25" t="str">
        <f t="shared" si="141"/>
        <v/>
      </c>
      <c r="AS537" s="25" t="str">
        <f t="shared" si="142"/>
        <v/>
      </c>
      <c r="AT537" s="25" t="str">
        <f t="shared" si="143"/>
        <v/>
      </c>
      <c r="AU537" s="25" t="str">
        <f t="shared" si="144"/>
        <v/>
      </c>
      <c r="AV537" s="25" t="str">
        <f t="shared" si="145"/>
        <v/>
      </c>
      <c r="AW537" s="25" t="str">
        <f t="shared" si="146"/>
        <v/>
      </c>
      <c r="AX537" s="25" t="str">
        <f t="shared" si="147"/>
        <v/>
      </c>
      <c r="AY537" s="25" t="str">
        <f t="shared" si="148"/>
        <v/>
      </c>
      <c r="AZ537" s="25" t="str">
        <f t="shared" si="149"/>
        <v/>
      </c>
      <c r="BA537" s="25" t="str">
        <f t="shared" si="150"/>
        <v/>
      </c>
      <c r="BB537" s="25" t="str">
        <f t="shared" si="151"/>
        <v/>
      </c>
      <c r="BC537" s="25" t="str">
        <f t="shared" si="152"/>
        <v/>
      </c>
    </row>
    <row r="538" spans="1:55" x14ac:dyDescent="0.25">
      <c r="A538" s="151" t="str">
        <f t="shared" si="137"/>
        <v/>
      </c>
      <c r="B538" s="151"/>
      <c r="C538" s="152"/>
      <c r="D538" s="151" t="str">
        <f t="shared" si="136"/>
        <v/>
      </c>
      <c r="E538" s="151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51"/>
      <c r="U538" s="151"/>
      <c r="V538" s="152"/>
      <c r="W538" s="175"/>
      <c r="X538" s="173"/>
      <c r="Y538" s="173"/>
      <c r="Z538" s="176" t="str">
        <f>IF(B538="","",IF(S538&lt;&gt;"","Sevk Edildi",IF(AND(X538&lt;&gt;"",Y538=""),"Reworkte",IF(T538&lt;&gt;"","Kapandı"&amp;IF(COUNT(G538:R538)=0,""," – "&amp;LOOKUP(2,1/(G538:R538=MAX(G538:R538)),{"Tasarım","Ply Cutter","Üretim","Kalite (Üretim sonrası)","Talaşlı","Kalite (Talaşlı sonrası)","Montaj","Kalite (Montaj sonrası)","Boya","Kalite (Boya sonrası)","Yarı Mamül","KM"})),IF(COUNT(G538:R538)=0,"Başlamadı",LOOKUP(2,1/(G538:R538=MAX(G538:R538)),{"Tasarımda","Ply Cutter'da","Üretimde","Kalitede (Üretim sonrası)","Talaşlıda","Kalitede (Talaşlı sonrası)","Montajda","Kalitede (Montaj sonrası)","Boyada","Kalitede (Boya sonrası)","Yarı Mamülde","KM'de"}))))))</f>
        <v/>
      </c>
      <c r="AA538" s="177" t="str">
        <f t="shared" ca="1" si="138"/>
        <v/>
      </c>
      <c r="AB538" s="175"/>
      <c r="AD538" t="str">
        <f>IF(OR($B538="",NOT(ISNUMBER(G538))),"",IF(COUNTIF(H538:$T538,G538)&gt;0,0,IF(COUNTIF($G538:$T538,"&gt;"&amp;G538)=0,"",SMALL($G538:$T538,COUNTIF($G538:$T538,"&lt;="&amp;G538)+1)-G538)))</f>
        <v/>
      </c>
      <c r="AE538" t="str">
        <f>IF(OR($B538="",NOT(ISNUMBER(H538))),"",IF(COUNTIF(I538:$T538,H538)&gt;0,0,IF(COUNTIF($G538:$T538,"&gt;"&amp;H538)=0,"",SMALL($G538:$T538,COUNTIF($G538:$T538,"&lt;="&amp;H538)+1)-H538)))</f>
        <v/>
      </c>
      <c r="AF538" t="str">
        <f>IF(OR($B538="",NOT(ISNUMBER(I538))),"",IF(COUNTIF(J538:$T538,I538)&gt;0,0,IF(COUNTIF($G538:$T538,"&gt;"&amp;I538)=0,"",SMALL($G538:$T538,COUNTIF($G538:$T538,"&lt;="&amp;I538)+1)-I538)))</f>
        <v/>
      </c>
      <c r="AG538" t="str">
        <f>IF(OR($B538="",NOT(ISNUMBER(J538))),"",IF(COUNTIF(K538:$T538,J538)&gt;0,0,IF(COUNTIF($G538:$T538,"&gt;"&amp;J538)=0,"",SMALL($G538:$T538,COUNTIF($G538:$T538,"&lt;="&amp;J538)+1)-J538)))</f>
        <v/>
      </c>
      <c r="AH538" t="str">
        <f>IF(OR($B538="",NOT(ISNUMBER(K538))),"",IF(COUNTIF(L538:$T538,K538)&gt;0,0,IF(COUNTIF($G538:$T538,"&gt;"&amp;K538)=0,"",SMALL($G538:$T538,COUNTIF($G538:$T538,"&lt;="&amp;K538)+1)-K538)))</f>
        <v/>
      </c>
      <c r="AI538" t="str">
        <f>IF(OR($B538="",NOT(ISNUMBER(L538))),"",IF(COUNTIF(M538:$T538,L538)&gt;0,0,IF(COUNTIF($G538:$T538,"&gt;"&amp;L538)=0,"",SMALL($G538:$T538,COUNTIF($G538:$T538,"&lt;="&amp;L538)+1)-L538)))</f>
        <v/>
      </c>
      <c r="AJ538" t="str">
        <f>IF(OR($B538="",NOT(ISNUMBER(M538))),"",IF(COUNTIF(N538:$T538,M538)&gt;0,0,IF(COUNTIF($G538:$T538,"&gt;"&amp;M538)=0,"",SMALL($G538:$T538,COUNTIF($G538:$T538,"&lt;="&amp;M538)+1)-M538)))</f>
        <v/>
      </c>
      <c r="AK538" t="str">
        <f>IF(OR($B538="",NOT(ISNUMBER(N538))),"",IF(COUNTIF(O538:$T538,N538)&gt;0,0,IF(COUNTIF($G538:$T538,"&gt;"&amp;N538)=0,"",SMALL($G538:$T538,COUNTIF($G538:$T538,"&lt;="&amp;N538)+1)-N538)))</f>
        <v/>
      </c>
      <c r="AL538" t="str">
        <f>IF(OR($B538="",NOT(ISNUMBER(O538))),"",IF(COUNTIF(P538:$T538,O538)&gt;0,0,IF(COUNTIF($G538:$T538,"&gt;"&amp;O538)=0,"",SMALL($G538:$T538,COUNTIF($G538:$T538,"&lt;="&amp;O538)+1)-O538)))</f>
        <v/>
      </c>
      <c r="AM538" t="str">
        <f>IF(OR($B538="",NOT(ISNUMBER(P538))),"",IF(COUNTIF(Q538:$T538,P538)&gt;0,0,IF(COUNTIF($G538:$T538,"&gt;"&amp;P538)=0,"",SMALL($G538:$T538,COUNTIF($G538:$T538,"&lt;="&amp;P538)+1)-P538)))</f>
        <v/>
      </c>
      <c r="AN538" t="str">
        <f>IF(OR($B538="",NOT(ISNUMBER(Q538))),"",IF(COUNTIF(R538:$T538,Q538)&gt;0,0,IF(COUNTIF($G538:$T538,"&gt;"&amp;Q538)=0,"",SMALL($G538:$T538,COUNTIF($G538:$T538,"&lt;="&amp;Q538)+1)-Q538)))</f>
        <v/>
      </c>
      <c r="AO538" t="str">
        <f>IF(OR($B538="",NOT(ISNUMBER(R538))),"",IF(COUNTIF(S538:$T538,R538)&gt;0,0,IF(COUNTIF($G538:$T538,"&gt;"&amp;R538)=0,"",SMALL($G538:$T538,COUNTIF($G538:$T538,"&lt;="&amp;R538)+1)-R538)))</f>
        <v/>
      </c>
      <c r="AP538">
        <f t="shared" ca="1" si="139"/>
        <v>0</v>
      </c>
      <c r="AQ538" s="25" t="str">
        <f t="shared" si="140"/>
        <v/>
      </c>
      <c r="AR538" s="25" t="str">
        <f t="shared" si="141"/>
        <v/>
      </c>
      <c r="AS538" s="25" t="str">
        <f t="shared" si="142"/>
        <v/>
      </c>
      <c r="AT538" s="25" t="str">
        <f t="shared" si="143"/>
        <v/>
      </c>
      <c r="AU538" s="25" t="str">
        <f t="shared" si="144"/>
        <v/>
      </c>
      <c r="AV538" s="25" t="str">
        <f t="shared" si="145"/>
        <v/>
      </c>
      <c r="AW538" s="25" t="str">
        <f t="shared" si="146"/>
        <v/>
      </c>
      <c r="AX538" s="25" t="str">
        <f t="shared" si="147"/>
        <v/>
      </c>
      <c r="AY538" s="25" t="str">
        <f t="shared" si="148"/>
        <v/>
      </c>
      <c r="AZ538" s="25" t="str">
        <f t="shared" si="149"/>
        <v/>
      </c>
      <c r="BA538" s="25" t="str">
        <f t="shared" si="150"/>
        <v/>
      </c>
      <c r="BB538" s="25" t="str">
        <f t="shared" si="151"/>
        <v/>
      </c>
      <c r="BC538" s="25" t="str">
        <f t="shared" si="152"/>
        <v/>
      </c>
    </row>
    <row r="539" spans="1:55" x14ac:dyDescent="0.25">
      <c r="A539" s="151" t="str">
        <f t="shared" si="137"/>
        <v/>
      </c>
      <c r="B539" s="151"/>
      <c r="C539" s="152"/>
      <c r="D539" s="151" t="str">
        <f t="shared" si="136"/>
        <v/>
      </c>
      <c r="E539" s="151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51"/>
      <c r="U539" s="151"/>
      <c r="V539" s="152"/>
      <c r="W539" s="175"/>
      <c r="X539" s="173"/>
      <c r="Y539" s="173"/>
      <c r="Z539" s="176" t="str">
        <f>IF(B539="","",IF(S539&lt;&gt;"","Sevk Edildi",IF(AND(X539&lt;&gt;"",Y539=""),"Reworkte",IF(T539&lt;&gt;"","Kapandı"&amp;IF(COUNT(G539:R539)=0,""," – "&amp;LOOKUP(2,1/(G539:R539=MAX(G539:R539)),{"Tasarım","Ply Cutter","Üretim","Kalite (Üretim sonrası)","Talaşlı","Kalite (Talaşlı sonrası)","Montaj","Kalite (Montaj sonrası)","Boya","Kalite (Boya sonrası)","Yarı Mamül","KM"})),IF(COUNT(G539:R539)=0,"Başlamadı",LOOKUP(2,1/(G539:R539=MAX(G539:R539)),{"Tasarımda","Ply Cutter'da","Üretimde","Kalitede (Üretim sonrası)","Talaşlıda","Kalitede (Talaşlı sonrası)","Montajda","Kalitede (Montaj sonrası)","Boyada","Kalitede (Boya sonrası)","Yarı Mamülde","KM'de"}))))))</f>
        <v/>
      </c>
      <c r="AA539" s="177" t="str">
        <f t="shared" ca="1" si="138"/>
        <v/>
      </c>
      <c r="AB539" s="175"/>
      <c r="AD539" t="str">
        <f>IF(OR($B539="",NOT(ISNUMBER(G539))),"",IF(COUNTIF(H539:$T539,G539)&gt;0,0,IF(COUNTIF($G539:$T539,"&gt;"&amp;G539)=0,"",SMALL($G539:$T539,COUNTIF($G539:$T539,"&lt;="&amp;G539)+1)-G539)))</f>
        <v/>
      </c>
      <c r="AE539" t="str">
        <f>IF(OR($B539="",NOT(ISNUMBER(H539))),"",IF(COUNTIF(I539:$T539,H539)&gt;0,0,IF(COUNTIF($G539:$T539,"&gt;"&amp;H539)=0,"",SMALL($G539:$T539,COUNTIF($G539:$T539,"&lt;="&amp;H539)+1)-H539)))</f>
        <v/>
      </c>
      <c r="AF539" t="str">
        <f>IF(OR($B539="",NOT(ISNUMBER(I539))),"",IF(COUNTIF(J539:$T539,I539)&gt;0,0,IF(COUNTIF($G539:$T539,"&gt;"&amp;I539)=0,"",SMALL($G539:$T539,COUNTIF($G539:$T539,"&lt;="&amp;I539)+1)-I539)))</f>
        <v/>
      </c>
      <c r="AG539" t="str">
        <f>IF(OR($B539="",NOT(ISNUMBER(J539))),"",IF(COUNTIF(K539:$T539,J539)&gt;0,0,IF(COUNTIF($G539:$T539,"&gt;"&amp;J539)=0,"",SMALL($G539:$T539,COUNTIF($G539:$T539,"&lt;="&amp;J539)+1)-J539)))</f>
        <v/>
      </c>
      <c r="AH539" t="str">
        <f>IF(OR($B539="",NOT(ISNUMBER(K539))),"",IF(COUNTIF(L539:$T539,K539)&gt;0,0,IF(COUNTIF($G539:$T539,"&gt;"&amp;K539)=0,"",SMALL($G539:$T539,COUNTIF($G539:$T539,"&lt;="&amp;K539)+1)-K539)))</f>
        <v/>
      </c>
      <c r="AI539" t="str">
        <f>IF(OR($B539="",NOT(ISNUMBER(L539))),"",IF(COUNTIF(M539:$T539,L539)&gt;0,0,IF(COUNTIF($G539:$T539,"&gt;"&amp;L539)=0,"",SMALL($G539:$T539,COUNTIF($G539:$T539,"&lt;="&amp;L539)+1)-L539)))</f>
        <v/>
      </c>
      <c r="AJ539" t="str">
        <f>IF(OR($B539="",NOT(ISNUMBER(M539))),"",IF(COUNTIF(N539:$T539,M539)&gt;0,0,IF(COUNTIF($G539:$T539,"&gt;"&amp;M539)=0,"",SMALL($G539:$T539,COUNTIF($G539:$T539,"&lt;="&amp;M539)+1)-M539)))</f>
        <v/>
      </c>
      <c r="AK539" t="str">
        <f>IF(OR($B539="",NOT(ISNUMBER(N539))),"",IF(COUNTIF(O539:$T539,N539)&gt;0,0,IF(COUNTIF($G539:$T539,"&gt;"&amp;N539)=0,"",SMALL($G539:$T539,COUNTIF($G539:$T539,"&lt;="&amp;N539)+1)-N539)))</f>
        <v/>
      </c>
      <c r="AL539" t="str">
        <f>IF(OR($B539="",NOT(ISNUMBER(O539))),"",IF(COUNTIF(P539:$T539,O539)&gt;0,0,IF(COUNTIF($G539:$T539,"&gt;"&amp;O539)=0,"",SMALL($G539:$T539,COUNTIF($G539:$T539,"&lt;="&amp;O539)+1)-O539)))</f>
        <v/>
      </c>
      <c r="AM539" t="str">
        <f>IF(OR($B539="",NOT(ISNUMBER(P539))),"",IF(COUNTIF(Q539:$T539,P539)&gt;0,0,IF(COUNTIF($G539:$T539,"&gt;"&amp;P539)=0,"",SMALL($G539:$T539,COUNTIF($G539:$T539,"&lt;="&amp;P539)+1)-P539)))</f>
        <v/>
      </c>
      <c r="AN539" t="str">
        <f>IF(OR($B539="",NOT(ISNUMBER(Q539))),"",IF(COUNTIF(R539:$T539,Q539)&gt;0,0,IF(COUNTIF($G539:$T539,"&gt;"&amp;Q539)=0,"",SMALL($G539:$T539,COUNTIF($G539:$T539,"&lt;="&amp;Q539)+1)-Q539)))</f>
        <v/>
      </c>
      <c r="AO539" t="str">
        <f>IF(OR($B539="",NOT(ISNUMBER(R539))),"",IF(COUNTIF(S539:$T539,R539)&gt;0,0,IF(COUNTIF($G539:$T539,"&gt;"&amp;R539)=0,"",SMALL($G539:$T539,COUNTIF($G539:$T539,"&lt;="&amp;R539)+1)-R539)))</f>
        <v/>
      </c>
      <c r="AP539">
        <f t="shared" ca="1" si="139"/>
        <v>0</v>
      </c>
      <c r="AQ539" s="25" t="str">
        <f t="shared" si="140"/>
        <v/>
      </c>
      <c r="AR539" s="25" t="str">
        <f t="shared" si="141"/>
        <v/>
      </c>
      <c r="AS539" s="25" t="str">
        <f t="shared" si="142"/>
        <v/>
      </c>
      <c r="AT539" s="25" t="str">
        <f t="shared" si="143"/>
        <v/>
      </c>
      <c r="AU539" s="25" t="str">
        <f t="shared" si="144"/>
        <v/>
      </c>
      <c r="AV539" s="25" t="str">
        <f t="shared" si="145"/>
        <v/>
      </c>
      <c r="AW539" s="25" t="str">
        <f t="shared" si="146"/>
        <v/>
      </c>
      <c r="AX539" s="25" t="str">
        <f t="shared" si="147"/>
        <v/>
      </c>
      <c r="AY539" s="25" t="str">
        <f t="shared" si="148"/>
        <v/>
      </c>
      <c r="AZ539" s="25" t="str">
        <f t="shared" si="149"/>
        <v/>
      </c>
      <c r="BA539" s="25" t="str">
        <f t="shared" si="150"/>
        <v/>
      </c>
      <c r="BB539" s="25" t="str">
        <f t="shared" si="151"/>
        <v/>
      </c>
      <c r="BC539" s="25" t="str">
        <f t="shared" si="152"/>
        <v/>
      </c>
    </row>
    <row r="540" spans="1:55" x14ac:dyDescent="0.25">
      <c r="A540" s="151" t="str">
        <f t="shared" si="137"/>
        <v/>
      </c>
      <c r="B540" s="151"/>
      <c r="C540" s="152"/>
      <c r="D540" s="151" t="str">
        <f t="shared" si="136"/>
        <v/>
      </c>
      <c r="E540" s="151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51"/>
      <c r="U540" s="151"/>
      <c r="V540" s="152"/>
      <c r="W540" s="175"/>
      <c r="X540" s="173"/>
      <c r="Y540" s="173"/>
      <c r="Z540" s="176" t="str">
        <f>IF(B540="","",IF(S540&lt;&gt;"","Sevk Edildi",IF(AND(X540&lt;&gt;"",Y540=""),"Reworkte",IF(T540&lt;&gt;"","Kapandı"&amp;IF(COUNT(G540:R540)=0,""," – "&amp;LOOKUP(2,1/(G540:R540=MAX(G540:R540)),{"Tasarım","Ply Cutter","Üretim","Kalite (Üretim sonrası)","Talaşlı","Kalite (Talaşlı sonrası)","Montaj","Kalite (Montaj sonrası)","Boya","Kalite (Boya sonrası)","Yarı Mamül","KM"})),IF(COUNT(G540:R540)=0,"Başlamadı",LOOKUP(2,1/(G540:R540=MAX(G540:R540)),{"Tasarımda","Ply Cutter'da","Üretimde","Kalitede (Üretim sonrası)","Talaşlıda","Kalitede (Talaşlı sonrası)","Montajda","Kalitede (Montaj sonrası)","Boyada","Kalitede (Boya sonrası)","Yarı Mamülde","KM'de"}))))))</f>
        <v/>
      </c>
      <c r="AA540" s="177" t="str">
        <f t="shared" ca="1" si="138"/>
        <v/>
      </c>
      <c r="AB540" s="175"/>
      <c r="AD540" t="str">
        <f>IF(OR($B540="",NOT(ISNUMBER(G540))),"",IF(COUNTIF(H540:$T540,G540)&gt;0,0,IF(COUNTIF($G540:$T540,"&gt;"&amp;G540)=0,"",SMALL($G540:$T540,COUNTIF($G540:$T540,"&lt;="&amp;G540)+1)-G540)))</f>
        <v/>
      </c>
      <c r="AE540" t="str">
        <f>IF(OR($B540="",NOT(ISNUMBER(H540))),"",IF(COUNTIF(I540:$T540,H540)&gt;0,0,IF(COUNTIF($G540:$T540,"&gt;"&amp;H540)=0,"",SMALL($G540:$T540,COUNTIF($G540:$T540,"&lt;="&amp;H540)+1)-H540)))</f>
        <v/>
      </c>
      <c r="AF540" t="str">
        <f>IF(OR($B540="",NOT(ISNUMBER(I540))),"",IF(COUNTIF(J540:$T540,I540)&gt;0,0,IF(COUNTIF($G540:$T540,"&gt;"&amp;I540)=0,"",SMALL($G540:$T540,COUNTIF($G540:$T540,"&lt;="&amp;I540)+1)-I540)))</f>
        <v/>
      </c>
      <c r="AG540" t="str">
        <f>IF(OR($B540="",NOT(ISNUMBER(J540))),"",IF(COUNTIF(K540:$T540,J540)&gt;0,0,IF(COUNTIF($G540:$T540,"&gt;"&amp;J540)=0,"",SMALL($G540:$T540,COUNTIF($G540:$T540,"&lt;="&amp;J540)+1)-J540)))</f>
        <v/>
      </c>
      <c r="AH540" t="str">
        <f>IF(OR($B540="",NOT(ISNUMBER(K540))),"",IF(COUNTIF(L540:$T540,K540)&gt;0,0,IF(COUNTIF($G540:$T540,"&gt;"&amp;K540)=0,"",SMALL($G540:$T540,COUNTIF($G540:$T540,"&lt;="&amp;K540)+1)-K540)))</f>
        <v/>
      </c>
      <c r="AI540" t="str">
        <f>IF(OR($B540="",NOT(ISNUMBER(L540))),"",IF(COUNTIF(M540:$T540,L540)&gt;0,0,IF(COUNTIF($G540:$T540,"&gt;"&amp;L540)=0,"",SMALL($G540:$T540,COUNTIF($G540:$T540,"&lt;="&amp;L540)+1)-L540)))</f>
        <v/>
      </c>
      <c r="AJ540" t="str">
        <f>IF(OR($B540="",NOT(ISNUMBER(M540))),"",IF(COUNTIF(N540:$T540,M540)&gt;0,0,IF(COUNTIF($G540:$T540,"&gt;"&amp;M540)=0,"",SMALL($G540:$T540,COUNTIF($G540:$T540,"&lt;="&amp;M540)+1)-M540)))</f>
        <v/>
      </c>
      <c r="AK540" t="str">
        <f>IF(OR($B540="",NOT(ISNUMBER(N540))),"",IF(COUNTIF(O540:$T540,N540)&gt;0,0,IF(COUNTIF($G540:$T540,"&gt;"&amp;N540)=0,"",SMALL($G540:$T540,COUNTIF($G540:$T540,"&lt;="&amp;N540)+1)-N540)))</f>
        <v/>
      </c>
      <c r="AL540" t="str">
        <f>IF(OR($B540="",NOT(ISNUMBER(O540))),"",IF(COUNTIF(P540:$T540,O540)&gt;0,0,IF(COUNTIF($G540:$T540,"&gt;"&amp;O540)=0,"",SMALL($G540:$T540,COUNTIF($G540:$T540,"&lt;="&amp;O540)+1)-O540)))</f>
        <v/>
      </c>
      <c r="AM540" t="str">
        <f>IF(OR($B540="",NOT(ISNUMBER(P540))),"",IF(COUNTIF(Q540:$T540,P540)&gt;0,0,IF(COUNTIF($G540:$T540,"&gt;"&amp;P540)=0,"",SMALL($G540:$T540,COUNTIF($G540:$T540,"&lt;="&amp;P540)+1)-P540)))</f>
        <v/>
      </c>
      <c r="AN540" t="str">
        <f>IF(OR($B540="",NOT(ISNUMBER(Q540))),"",IF(COUNTIF(R540:$T540,Q540)&gt;0,0,IF(COUNTIF($G540:$T540,"&gt;"&amp;Q540)=0,"",SMALL($G540:$T540,COUNTIF($G540:$T540,"&lt;="&amp;Q540)+1)-Q540)))</f>
        <v/>
      </c>
      <c r="AO540" t="str">
        <f>IF(OR($B540="",NOT(ISNUMBER(R540))),"",IF(COUNTIF(S540:$T540,R540)&gt;0,0,IF(COUNTIF($G540:$T540,"&gt;"&amp;R540)=0,"",SMALL($G540:$T540,COUNTIF($G540:$T540,"&lt;="&amp;R540)+1)-R540)))</f>
        <v/>
      </c>
      <c r="AP540">
        <f t="shared" ca="1" si="139"/>
        <v>0</v>
      </c>
      <c r="AQ540" s="25" t="str">
        <f t="shared" si="140"/>
        <v/>
      </c>
      <c r="AR540" s="25" t="str">
        <f t="shared" si="141"/>
        <v/>
      </c>
      <c r="AS540" s="25" t="str">
        <f t="shared" si="142"/>
        <v/>
      </c>
      <c r="AT540" s="25" t="str">
        <f t="shared" si="143"/>
        <v/>
      </c>
      <c r="AU540" s="25" t="str">
        <f t="shared" si="144"/>
        <v/>
      </c>
      <c r="AV540" s="25" t="str">
        <f t="shared" si="145"/>
        <v/>
      </c>
      <c r="AW540" s="25" t="str">
        <f t="shared" si="146"/>
        <v/>
      </c>
      <c r="AX540" s="25" t="str">
        <f t="shared" si="147"/>
        <v/>
      </c>
      <c r="AY540" s="25" t="str">
        <f t="shared" si="148"/>
        <v/>
      </c>
      <c r="AZ540" s="25" t="str">
        <f t="shared" si="149"/>
        <v/>
      </c>
      <c r="BA540" s="25" t="str">
        <f t="shared" si="150"/>
        <v/>
      </c>
      <c r="BB540" s="25" t="str">
        <f t="shared" si="151"/>
        <v/>
      </c>
      <c r="BC540" s="25" t="str">
        <f t="shared" si="152"/>
        <v/>
      </c>
    </row>
    <row r="541" spans="1:55" x14ac:dyDescent="0.25">
      <c r="A541" s="151" t="str">
        <f t="shared" si="137"/>
        <v/>
      </c>
      <c r="B541" s="151"/>
      <c r="C541" s="152"/>
      <c r="D541" s="151" t="str">
        <f t="shared" si="136"/>
        <v/>
      </c>
      <c r="E541" s="151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51"/>
      <c r="U541" s="151"/>
      <c r="V541" s="152"/>
      <c r="W541" s="175"/>
      <c r="X541" s="173"/>
      <c r="Y541" s="173"/>
      <c r="Z541" s="176" t="str">
        <f>IF(B541="","",IF(S541&lt;&gt;"","Sevk Edildi",IF(AND(X541&lt;&gt;"",Y541=""),"Reworkte",IF(T541&lt;&gt;"","Kapandı"&amp;IF(COUNT(G541:R541)=0,""," – "&amp;LOOKUP(2,1/(G541:R541=MAX(G541:R541)),{"Tasarım","Ply Cutter","Üretim","Kalite (Üretim sonrası)","Talaşlı","Kalite (Talaşlı sonrası)","Montaj","Kalite (Montaj sonrası)","Boya","Kalite (Boya sonrası)","Yarı Mamül","KM"})),IF(COUNT(G541:R541)=0,"Başlamadı",LOOKUP(2,1/(G541:R541=MAX(G541:R541)),{"Tasarımda","Ply Cutter'da","Üretimde","Kalitede (Üretim sonrası)","Talaşlıda","Kalitede (Talaşlı sonrası)","Montajda","Kalitede (Montaj sonrası)","Boyada","Kalitede (Boya sonrası)","Yarı Mamülde","KM'de"}))))))</f>
        <v/>
      </c>
      <c r="AA541" s="177" t="str">
        <f t="shared" ca="1" si="138"/>
        <v/>
      </c>
      <c r="AB541" s="175"/>
      <c r="AD541" t="str">
        <f>IF(OR($B541="",NOT(ISNUMBER(G541))),"",IF(COUNTIF(H541:$T541,G541)&gt;0,0,IF(COUNTIF($G541:$T541,"&gt;"&amp;G541)=0,"",SMALL($G541:$T541,COUNTIF($G541:$T541,"&lt;="&amp;G541)+1)-G541)))</f>
        <v/>
      </c>
      <c r="AE541" t="str">
        <f>IF(OR($B541="",NOT(ISNUMBER(H541))),"",IF(COUNTIF(I541:$T541,H541)&gt;0,0,IF(COUNTIF($G541:$T541,"&gt;"&amp;H541)=0,"",SMALL($G541:$T541,COUNTIF($G541:$T541,"&lt;="&amp;H541)+1)-H541)))</f>
        <v/>
      </c>
      <c r="AF541" t="str">
        <f>IF(OR($B541="",NOT(ISNUMBER(I541))),"",IF(COUNTIF(J541:$T541,I541)&gt;0,0,IF(COUNTIF($G541:$T541,"&gt;"&amp;I541)=0,"",SMALL($G541:$T541,COUNTIF($G541:$T541,"&lt;="&amp;I541)+1)-I541)))</f>
        <v/>
      </c>
      <c r="AG541" t="str">
        <f>IF(OR($B541="",NOT(ISNUMBER(J541))),"",IF(COUNTIF(K541:$T541,J541)&gt;0,0,IF(COUNTIF($G541:$T541,"&gt;"&amp;J541)=0,"",SMALL($G541:$T541,COUNTIF($G541:$T541,"&lt;="&amp;J541)+1)-J541)))</f>
        <v/>
      </c>
      <c r="AH541" t="str">
        <f>IF(OR($B541="",NOT(ISNUMBER(K541))),"",IF(COUNTIF(L541:$T541,K541)&gt;0,0,IF(COUNTIF($G541:$T541,"&gt;"&amp;K541)=0,"",SMALL($G541:$T541,COUNTIF($G541:$T541,"&lt;="&amp;K541)+1)-K541)))</f>
        <v/>
      </c>
      <c r="AI541" t="str">
        <f>IF(OR($B541="",NOT(ISNUMBER(L541))),"",IF(COUNTIF(M541:$T541,L541)&gt;0,0,IF(COUNTIF($G541:$T541,"&gt;"&amp;L541)=0,"",SMALL($G541:$T541,COUNTIF($G541:$T541,"&lt;="&amp;L541)+1)-L541)))</f>
        <v/>
      </c>
      <c r="AJ541" t="str">
        <f>IF(OR($B541="",NOT(ISNUMBER(M541))),"",IF(COUNTIF(N541:$T541,M541)&gt;0,0,IF(COUNTIF($G541:$T541,"&gt;"&amp;M541)=0,"",SMALL($G541:$T541,COUNTIF($G541:$T541,"&lt;="&amp;M541)+1)-M541)))</f>
        <v/>
      </c>
      <c r="AK541" t="str">
        <f>IF(OR($B541="",NOT(ISNUMBER(N541))),"",IF(COUNTIF(O541:$T541,N541)&gt;0,0,IF(COUNTIF($G541:$T541,"&gt;"&amp;N541)=0,"",SMALL($G541:$T541,COUNTIF($G541:$T541,"&lt;="&amp;N541)+1)-N541)))</f>
        <v/>
      </c>
      <c r="AL541" t="str">
        <f>IF(OR($B541="",NOT(ISNUMBER(O541))),"",IF(COUNTIF(P541:$T541,O541)&gt;0,0,IF(COUNTIF($G541:$T541,"&gt;"&amp;O541)=0,"",SMALL($G541:$T541,COUNTIF($G541:$T541,"&lt;="&amp;O541)+1)-O541)))</f>
        <v/>
      </c>
      <c r="AM541" t="str">
        <f>IF(OR($B541="",NOT(ISNUMBER(P541))),"",IF(COUNTIF(Q541:$T541,P541)&gt;0,0,IF(COUNTIF($G541:$T541,"&gt;"&amp;P541)=0,"",SMALL($G541:$T541,COUNTIF($G541:$T541,"&lt;="&amp;P541)+1)-P541)))</f>
        <v/>
      </c>
      <c r="AN541" t="str">
        <f>IF(OR($B541="",NOT(ISNUMBER(Q541))),"",IF(COUNTIF(R541:$T541,Q541)&gt;0,0,IF(COUNTIF($G541:$T541,"&gt;"&amp;Q541)=0,"",SMALL($G541:$T541,COUNTIF($G541:$T541,"&lt;="&amp;Q541)+1)-Q541)))</f>
        <v/>
      </c>
      <c r="AO541" t="str">
        <f>IF(OR($B541="",NOT(ISNUMBER(R541))),"",IF(COUNTIF(S541:$T541,R541)&gt;0,0,IF(COUNTIF($G541:$T541,"&gt;"&amp;R541)=0,"",SMALL($G541:$T541,COUNTIF($G541:$T541,"&lt;="&amp;R541)+1)-R541)))</f>
        <v/>
      </c>
      <c r="AP541">
        <f t="shared" ca="1" si="139"/>
        <v>0</v>
      </c>
      <c r="AQ541" s="25" t="str">
        <f t="shared" si="140"/>
        <v/>
      </c>
      <c r="AR541" s="25" t="str">
        <f t="shared" si="141"/>
        <v/>
      </c>
      <c r="AS541" s="25" t="str">
        <f t="shared" si="142"/>
        <v/>
      </c>
      <c r="AT541" s="25" t="str">
        <f t="shared" si="143"/>
        <v/>
      </c>
      <c r="AU541" s="25" t="str">
        <f t="shared" si="144"/>
        <v/>
      </c>
      <c r="AV541" s="25" t="str">
        <f t="shared" si="145"/>
        <v/>
      </c>
      <c r="AW541" s="25" t="str">
        <f t="shared" si="146"/>
        <v/>
      </c>
      <c r="AX541" s="25" t="str">
        <f t="shared" si="147"/>
        <v/>
      </c>
      <c r="AY541" s="25" t="str">
        <f t="shared" si="148"/>
        <v/>
      </c>
      <c r="AZ541" s="25" t="str">
        <f t="shared" si="149"/>
        <v/>
      </c>
      <c r="BA541" s="25" t="str">
        <f t="shared" si="150"/>
        <v/>
      </c>
      <c r="BB541" s="25" t="str">
        <f t="shared" si="151"/>
        <v/>
      </c>
      <c r="BC541" s="25" t="str">
        <f t="shared" si="152"/>
        <v/>
      </c>
    </row>
    <row r="542" spans="1:55" x14ac:dyDescent="0.25">
      <c r="A542" s="151" t="str">
        <f t="shared" si="137"/>
        <v/>
      </c>
      <c r="B542" s="151"/>
      <c r="C542" s="152"/>
      <c r="D542" s="151" t="str">
        <f t="shared" si="136"/>
        <v/>
      </c>
      <c r="E542" s="151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51"/>
      <c r="U542" s="151"/>
      <c r="V542" s="152"/>
      <c r="W542" s="175"/>
      <c r="X542" s="173"/>
      <c r="Y542" s="173"/>
      <c r="Z542" s="176" t="str">
        <f>IF(B542="","",IF(S542&lt;&gt;"","Sevk Edildi",IF(AND(X542&lt;&gt;"",Y542=""),"Reworkte",IF(T542&lt;&gt;"","Kapandı"&amp;IF(COUNT(G542:R542)=0,""," – "&amp;LOOKUP(2,1/(G542:R542=MAX(G542:R542)),{"Tasarım","Ply Cutter","Üretim","Kalite (Üretim sonrası)","Talaşlı","Kalite (Talaşlı sonrası)","Montaj","Kalite (Montaj sonrası)","Boya","Kalite (Boya sonrası)","Yarı Mamül","KM"})),IF(COUNT(G542:R542)=0,"Başlamadı",LOOKUP(2,1/(G542:R542=MAX(G542:R542)),{"Tasarımda","Ply Cutter'da","Üretimde","Kalitede (Üretim sonrası)","Talaşlıda","Kalitede (Talaşlı sonrası)","Montajda","Kalitede (Montaj sonrası)","Boyada","Kalitede (Boya sonrası)","Yarı Mamülde","KM'de"}))))))</f>
        <v/>
      </c>
      <c r="AA542" s="177" t="str">
        <f t="shared" ca="1" si="138"/>
        <v/>
      </c>
      <c r="AB542" s="175"/>
      <c r="AD542" t="str">
        <f>IF(OR($B542="",NOT(ISNUMBER(G542))),"",IF(COUNTIF(H542:$T542,G542)&gt;0,0,IF(COUNTIF($G542:$T542,"&gt;"&amp;G542)=0,"",SMALL($G542:$T542,COUNTIF($G542:$T542,"&lt;="&amp;G542)+1)-G542)))</f>
        <v/>
      </c>
      <c r="AE542" t="str">
        <f>IF(OR($B542="",NOT(ISNUMBER(H542))),"",IF(COUNTIF(I542:$T542,H542)&gt;0,0,IF(COUNTIF($G542:$T542,"&gt;"&amp;H542)=0,"",SMALL($G542:$T542,COUNTIF($G542:$T542,"&lt;="&amp;H542)+1)-H542)))</f>
        <v/>
      </c>
      <c r="AF542" t="str">
        <f>IF(OR($B542="",NOT(ISNUMBER(I542))),"",IF(COUNTIF(J542:$T542,I542)&gt;0,0,IF(COUNTIF($G542:$T542,"&gt;"&amp;I542)=0,"",SMALL($G542:$T542,COUNTIF($G542:$T542,"&lt;="&amp;I542)+1)-I542)))</f>
        <v/>
      </c>
      <c r="AG542" t="str">
        <f>IF(OR($B542="",NOT(ISNUMBER(J542))),"",IF(COUNTIF(K542:$T542,J542)&gt;0,0,IF(COUNTIF($G542:$T542,"&gt;"&amp;J542)=0,"",SMALL($G542:$T542,COUNTIF($G542:$T542,"&lt;="&amp;J542)+1)-J542)))</f>
        <v/>
      </c>
      <c r="AH542" t="str">
        <f>IF(OR($B542="",NOT(ISNUMBER(K542))),"",IF(COUNTIF(L542:$T542,K542)&gt;0,0,IF(COUNTIF($G542:$T542,"&gt;"&amp;K542)=0,"",SMALL($G542:$T542,COUNTIF($G542:$T542,"&lt;="&amp;K542)+1)-K542)))</f>
        <v/>
      </c>
      <c r="AI542" t="str">
        <f>IF(OR($B542="",NOT(ISNUMBER(L542))),"",IF(COUNTIF(M542:$T542,L542)&gt;0,0,IF(COUNTIF($G542:$T542,"&gt;"&amp;L542)=0,"",SMALL($G542:$T542,COUNTIF($G542:$T542,"&lt;="&amp;L542)+1)-L542)))</f>
        <v/>
      </c>
      <c r="AJ542" t="str">
        <f>IF(OR($B542="",NOT(ISNUMBER(M542))),"",IF(COUNTIF(N542:$T542,M542)&gt;0,0,IF(COUNTIF($G542:$T542,"&gt;"&amp;M542)=0,"",SMALL($G542:$T542,COUNTIF($G542:$T542,"&lt;="&amp;M542)+1)-M542)))</f>
        <v/>
      </c>
      <c r="AK542" t="str">
        <f>IF(OR($B542="",NOT(ISNUMBER(N542))),"",IF(COUNTIF(O542:$T542,N542)&gt;0,0,IF(COUNTIF($G542:$T542,"&gt;"&amp;N542)=0,"",SMALL($G542:$T542,COUNTIF($G542:$T542,"&lt;="&amp;N542)+1)-N542)))</f>
        <v/>
      </c>
      <c r="AL542" t="str">
        <f>IF(OR($B542="",NOT(ISNUMBER(O542))),"",IF(COUNTIF(P542:$T542,O542)&gt;0,0,IF(COUNTIF($G542:$T542,"&gt;"&amp;O542)=0,"",SMALL($G542:$T542,COUNTIF($G542:$T542,"&lt;="&amp;O542)+1)-O542)))</f>
        <v/>
      </c>
      <c r="AM542" t="str">
        <f>IF(OR($B542="",NOT(ISNUMBER(P542))),"",IF(COUNTIF(Q542:$T542,P542)&gt;0,0,IF(COUNTIF($G542:$T542,"&gt;"&amp;P542)=0,"",SMALL($G542:$T542,COUNTIF($G542:$T542,"&lt;="&amp;P542)+1)-P542)))</f>
        <v/>
      </c>
      <c r="AN542" t="str">
        <f>IF(OR($B542="",NOT(ISNUMBER(Q542))),"",IF(COUNTIF(R542:$T542,Q542)&gt;0,0,IF(COUNTIF($G542:$T542,"&gt;"&amp;Q542)=0,"",SMALL($G542:$T542,COUNTIF($G542:$T542,"&lt;="&amp;Q542)+1)-Q542)))</f>
        <v/>
      </c>
      <c r="AO542" t="str">
        <f>IF(OR($B542="",NOT(ISNUMBER(R542))),"",IF(COUNTIF(S542:$T542,R542)&gt;0,0,IF(COUNTIF($G542:$T542,"&gt;"&amp;R542)=0,"",SMALL($G542:$T542,COUNTIF($G542:$T542,"&lt;="&amp;R542)+1)-R542)))</f>
        <v/>
      </c>
      <c r="AP542">
        <f t="shared" ca="1" si="139"/>
        <v>0</v>
      </c>
      <c r="AQ542" s="25" t="str">
        <f t="shared" si="140"/>
        <v/>
      </c>
      <c r="AR542" s="25" t="str">
        <f t="shared" si="141"/>
        <v/>
      </c>
      <c r="AS542" s="25" t="str">
        <f t="shared" si="142"/>
        <v/>
      </c>
      <c r="AT542" s="25" t="str">
        <f t="shared" si="143"/>
        <v/>
      </c>
      <c r="AU542" s="25" t="str">
        <f t="shared" si="144"/>
        <v/>
      </c>
      <c r="AV542" s="25" t="str">
        <f t="shared" si="145"/>
        <v/>
      </c>
      <c r="AW542" s="25" t="str">
        <f t="shared" si="146"/>
        <v/>
      </c>
      <c r="AX542" s="25" t="str">
        <f t="shared" si="147"/>
        <v/>
      </c>
      <c r="AY542" s="25" t="str">
        <f t="shared" si="148"/>
        <v/>
      </c>
      <c r="AZ542" s="25" t="str">
        <f t="shared" si="149"/>
        <v/>
      </c>
      <c r="BA542" s="25" t="str">
        <f t="shared" si="150"/>
        <v/>
      </c>
      <c r="BB542" s="25" t="str">
        <f t="shared" si="151"/>
        <v/>
      </c>
      <c r="BC542" s="25" t="str">
        <f t="shared" si="152"/>
        <v/>
      </c>
    </row>
    <row r="543" spans="1:55" x14ac:dyDescent="0.25">
      <c r="A543" s="151" t="str">
        <f t="shared" si="137"/>
        <v/>
      </c>
      <c r="B543" s="151"/>
      <c r="C543" s="152"/>
      <c r="D543" s="151" t="str">
        <f t="shared" si="136"/>
        <v/>
      </c>
      <c r="E543" s="151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51"/>
      <c r="U543" s="151"/>
      <c r="V543" s="152"/>
      <c r="W543" s="175"/>
      <c r="X543" s="173"/>
      <c r="Y543" s="173"/>
      <c r="Z543" s="176" t="str">
        <f>IF(B543="","",IF(S543&lt;&gt;"","Sevk Edildi",IF(AND(X543&lt;&gt;"",Y543=""),"Reworkte",IF(T543&lt;&gt;"","Kapandı"&amp;IF(COUNT(G543:R543)=0,""," – "&amp;LOOKUP(2,1/(G543:R543=MAX(G543:R543)),{"Tasarım","Ply Cutter","Üretim","Kalite (Üretim sonrası)","Talaşlı","Kalite (Talaşlı sonrası)","Montaj","Kalite (Montaj sonrası)","Boya","Kalite (Boya sonrası)","Yarı Mamül","KM"})),IF(COUNT(G543:R543)=0,"Başlamadı",LOOKUP(2,1/(G543:R543=MAX(G543:R543)),{"Tasarımda","Ply Cutter'da","Üretimde","Kalitede (Üretim sonrası)","Talaşlıda","Kalitede (Talaşlı sonrası)","Montajda","Kalitede (Montaj sonrası)","Boyada","Kalitede (Boya sonrası)","Yarı Mamülde","KM'de"}))))))</f>
        <v/>
      </c>
      <c r="AA543" s="177" t="str">
        <f t="shared" ca="1" si="138"/>
        <v/>
      </c>
      <c r="AB543" s="175"/>
      <c r="AD543" t="str">
        <f>IF(OR($B543="",NOT(ISNUMBER(G543))),"",IF(COUNTIF(H543:$T543,G543)&gt;0,0,IF(COUNTIF($G543:$T543,"&gt;"&amp;G543)=0,"",SMALL($G543:$T543,COUNTIF($G543:$T543,"&lt;="&amp;G543)+1)-G543)))</f>
        <v/>
      </c>
      <c r="AE543" t="str">
        <f>IF(OR($B543="",NOT(ISNUMBER(H543))),"",IF(COUNTIF(I543:$T543,H543)&gt;0,0,IF(COUNTIF($G543:$T543,"&gt;"&amp;H543)=0,"",SMALL($G543:$T543,COUNTIF($G543:$T543,"&lt;="&amp;H543)+1)-H543)))</f>
        <v/>
      </c>
      <c r="AF543" t="str">
        <f>IF(OR($B543="",NOT(ISNUMBER(I543))),"",IF(COUNTIF(J543:$T543,I543)&gt;0,0,IF(COUNTIF($G543:$T543,"&gt;"&amp;I543)=0,"",SMALL($G543:$T543,COUNTIF($G543:$T543,"&lt;="&amp;I543)+1)-I543)))</f>
        <v/>
      </c>
      <c r="AG543" t="str">
        <f>IF(OR($B543="",NOT(ISNUMBER(J543))),"",IF(COUNTIF(K543:$T543,J543)&gt;0,0,IF(COUNTIF($G543:$T543,"&gt;"&amp;J543)=0,"",SMALL($G543:$T543,COUNTIF($G543:$T543,"&lt;="&amp;J543)+1)-J543)))</f>
        <v/>
      </c>
      <c r="AH543" t="str">
        <f>IF(OR($B543="",NOT(ISNUMBER(K543))),"",IF(COUNTIF(L543:$T543,K543)&gt;0,0,IF(COUNTIF($G543:$T543,"&gt;"&amp;K543)=0,"",SMALL($G543:$T543,COUNTIF($G543:$T543,"&lt;="&amp;K543)+1)-K543)))</f>
        <v/>
      </c>
      <c r="AI543" t="str">
        <f>IF(OR($B543="",NOT(ISNUMBER(L543))),"",IF(COUNTIF(M543:$T543,L543)&gt;0,0,IF(COUNTIF($G543:$T543,"&gt;"&amp;L543)=0,"",SMALL($G543:$T543,COUNTIF($G543:$T543,"&lt;="&amp;L543)+1)-L543)))</f>
        <v/>
      </c>
      <c r="AJ543" t="str">
        <f>IF(OR($B543="",NOT(ISNUMBER(M543))),"",IF(COUNTIF(N543:$T543,M543)&gt;0,0,IF(COUNTIF($G543:$T543,"&gt;"&amp;M543)=0,"",SMALL($G543:$T543,COUNTIF($G543:$T543,"&lt;="&amp;M543)+1)-M543)))</f>
        <v/>
      </c>
      <c r="AK543" t="str">
        <f>IF(OR($B543="",NOT(ISNUMBER(N543))),"",IF(COUNTIF(O543:$T543,N543)&gt;0,0,IF(COUNTIF($G543:$T543,"&gt;"&amp;N543)=0,"",SMALL($G543:$T543,COUNTIF($G543:$T543,"&lt;="&amp;N543)+1)-N543)))</f>
        <v/>
      </c>
      <c r="AL543" t="str">
        <f>IF(OR($B543="",NOT(ISNUMBER(O543))),"",IF(COUNTIF(P543:$T543,O543)&gt;0,0,IF(COUNTIF($G543:$T543,"&gt;"&amp;O543)=0,"",SMALL($G543:$T543,COUNTIF($G543:$T543,"&lt;="&amp;O543)+1)-O543)))</f>
        <v/>
      </c>
      <c r="AM543" t="str">
        <f>IF(OR($B543="",NOT(ISNUMBER(P543))),"",IF(COUNTIF(Q543:$T543,P543)&gt;0,0,IF(COUNTIF($G543:$T543,"&gt;"&amp;P543)=0,"",SMALL($G543:$T543,COUNTIF($G543:$T543,"&lt;="&amp;P543)+1)-P543)))</f>
        <v/>
      </c>
      <c r="AN543" t="str">
        <f>IF(OR($B543="",NOT(ISNUMBER(Q543))),"",IF(COUNTIF(R543:$T543,Q543)&gt;0,0,IF(COUNTIF($G543:$T543,"&gt;"&amp;Q543)=0,"",SMALL($G543:$T543,COUNTIF($G543:$T543,"&lt;="&amp;Q543)+1)-Q543)))</f>
        <v/>
      </c>
      <c r="AO543" t="str">
        <f>IF(OR($B543="",NOT(ISNUMBER(R543))),"",IF(COUNTIF(S543:$T543,R543)&gt;0,0,IF(COUNTIF($G543:$T543,"&gt;"&amp;R543)=0,"",SMALL($G543:$T543,COUNTIF($G543:$T543,"&lt;="&amp;R543)+1)-R543)))</f>
        <v/>
      </c>
      <c r="AP543">
        <f t="shared" ca="1" si="139"/>
        <v>0</v>
      </c>
      <c r="AQ543" s="25" t="str">
        <f t="shared" si="140"/>
        <v/>
      </c>
      <c r="AR543" s="25" t="str">
        <f t="shared" si="141"/>
        <v/>
      </c>
      <c r="AS543" s="25" t="str">
        <f t="shared" si="142"/>
        <v/>
      </c>
      <c r="AT543" s="25" t="str">
        <f t="shared" si="143"/>
        <v/>
      </c>
      <c r="AU543" s="25" t="str">
        <f t="shared" si="144"/>
        <v/>
      </c>
      <c r="AV543" s="25" t="str">
        <f t="shared" si="145"/>
        <v/>
      </c>
      <c r="AW543" s="25" t="str">
        <f t="shared" si="146"/>
        <v/>
      </c>
      <c r="AX543" s="25" t="str">
        <f t="shared" si="147"/>
        <v/>
      </c>
      <c r="AY543" s="25" t="str">
        <f t="shared" si="148"/>
        <v/>
      </c>
      <c r="AZ543" s="25" t="str">
        <f t="shared" si="149"/>
        <v/>
      </c>
      <c r="BA543" s="25" t="str">
        <f t="shared" si="150"/>
        <v/>
      </c>
      <c r="BB543" s="25" t="str">
        <f t="shared" si="151"/>
        <v/>
      </c>
      <c r="BC543" s="25" t="str">
        <f t="shared" si="152"/>
        <v/>
      </c>
    </row>
    <row r="544" spans="1:55" x14ac:dyDescent="0.25">
      <c r="A544" s="151" t="str">
        <f t="shared" si="137"/>
        <v/>
      </c>
      <c r="B544" s="151"/>
      <c r="C544" s="152"/>
      <c r="D544" s="151" t="str">
        <f t="shared" si="136"/>
        <v/>
      </c>
      <c r="E544" s="151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51"/>
      <c r="U544" s="151"/>
      <c r="V544" s="152"/>
      <c r="W544" s="175"/>
      <c r="X544" s="173"/>
      <c r="Y544" s="173"/>
      <c r="Z544" s="176" t="str">
        <f>IF(B544="","",IF(S544&lt;&gt;"","Sevk Edildi",IF(AND(X544&lt;&gt;"",Y544=""),"Reworkte",IF(T544&lt;&gt;"","Kapandı"&amp;IF(COUNT(G544:R544)=0,""," – "&amp;LOOKUP(2,1/(G544:R544=MAX(G544:R544)),{"Tasarım","Ply Cutter","Üretim","Kalite (Üretim sonrası)","Talaşlı","Kalite (Talaşlı sonrası)","Montaj","Kalite (Montaj sonrası)","Boya","Kalite (Boya sonrası)","Yarı Mamül","KM"})),IF(COUNT(G544:R544)=0,"Başlamadı",LOOKUP(2,1/(G544:R544=MAX(G544:R544)),{"Tasarımda","Ply Cutter'da","Üretimde","Kalitede (Üretim sonrası)","Talaşlıda","Kalitede (Talaşlı sonrası)","Montajda","Kalitede (Montaj sonrası)","Boyada","Kalitede (Boya sonrası)","Yarı Mamülde","KM'de"}))))))</f>
        <v/>
      </c>
      <c r="AA544" s="177" t="str">
        <f t="shared" ca="1" si="138"/>
        <v/>
      </c>
      <c r="AB544" s="175"/>
      <c r="AD544" t="str">
        <f>IF(OR($B544="",NOT(ISNUMBER(G544))),"",IF(COUNTIF(H544:$T544,G544)&gt;0,0,IF(COUNTIF($G544:$T544,"&gt;"&amp;G544)=0,"",SMALL($G544:$T544,COUNTIF($G544:$T544,"&lt;="&amp;G544)+1)-G544)))</f>
        <v/>
      </c>
      <c r="AE544" t="str">
        <f>IF(OR($B544="",NOT(ISNUMBER(H544))),"",IF(COUNTIF(I544:$T544,H544)&gt;0,0,IF(COUNTIF($G544:$T544,"&gt;"&amp;H544)=0,"",SMALL($G544:$T544,COUNTIF($G544:$T544,"&lt;="&amp;H544)+1)-H544)))</f>
        <v/>
      </c>
      <c r="AF544" t="str">
        <f>IF(OR($B544="",NOT(ISNUMBER(I544))),"",IF(COUNTIF(J544:$T544,I544)&gt;0,0,IF(COUNTIF($G544:$T544,"&gt;"&amp;I544)=0,"",SMALL($G544:$T544,COUNTIF($G544:$T544,"&lt;="&amp;I544)+1)-I544)))</f>
        <v/>
      </c>
      <c r="AG544" t="str">
        <f>IF(OR($B544="",NOT(ISNUMBER(J544))),"",IF(COUNTIF(K544:$T544,J544)&gt;0,0,IF(COUNTIF($G544:$T544,"&gt;"&amp;J544)=0,"",SMALL($G544:$T544,COUNTIF($G544:$T544,"&lt;="&amp;J544)+1)-J544)))</f>
        <v/>
      </c>
      <c r="AH544" t="str">
        <f>IF(OR($B544="",NOT(ISNUMBER(K544))),"",IF(COUNTIF(L544:$T544,K544)&gt;0,0,IF(COUNTIF($G544:$T544,"&gt;"&amp;K544)=0,"",SMALL($G544:$T544,COUNTIF($G544:$T544,"&lt;="&amp;K544)+1)-K544)))</f>
        <v/>
      </c>
      <c r="AI544" t="str">
        <f>IF(OR($B544="",NOT(ISNUMBER(L544))),"",IF(COUNTIF(M544:$T544,L544)&gt;0,0,IF(COUNTIF($G544:$T544,"&gt;"&amp;L544)=0,"",SMALL($G544:$T544,COUNTIF($G544:$T544,"&lt;="&amp;L544)+1)-L544)))</f>
        <v/>
      </c>
      <c r="AJ544" t="str">
        <f>IF(OR($B544="",NOT(ISNUMBER(M544))),"",IF(COUNTIF(N544:$T544,M544)&gt;0,0,IF(COUNTIF($G544:$T544,"&gt;"&amp;M544)=0,"",SMALL($G544:$T544,COUNTIF($G544:$T544,"&lt;="&amp;M544)+1)-M544)))</f>
        <v/>
      </c>
      <c r="AK544" t="str">
        <f>IF(OR($B544="",NOT(ISNUMBER(N544))),"",IF(COUNTIF(O544:$T544,N544)&gt;0,0,IF(COUNTIF($G544:$T544,"&gt;"&amp;N544)=0,"",SMALL($G544:$T544,COUNTIF($G544:$T544,"&lt;="&amp;N544)+1)-N544)))</f>
        <v/>
      </c>
      <c r="AL544" t="str">
        <f>IF(OR($B544="",NOT(ISNUMBER(O544))),"",IF(COUNTIF(P544:$T544,O544)&gt;0,0,IF(COUNTIF($G544:$T544,"&gt;"&amp;O544)=0,"",SMALL($G544:$T544,COUNTIF($G544:$T544,"&lt;="&amp;O544)+1)-O544)))</f>
        <v/>
      </c>
      <c r="AM544" t="str">
        <f>IF(OR($B544="",NOT(ISNUMBER(P544))),"",IF(COUNTIF(Q544:$T544,P544)&gt;0,0,IF(COUNTIF($G544:$T544,"&gt;"&amp;P544)=0,"",SMALL($G544:$T544,COUNTIF($G544:$T544,"&lt;="&amp;P544)+1)-P544)))</f>
        <v/>
      </c>
      <c r="AN544" t="str">
        <f>IF(OR($B544="",NOT(ISNUMBER(Q544))),"",IF(COUNTIF(R544:$T544,Q544)&gt;0,0,IF(COUNTIF($G544:$T544,"&gt;"&amp;Q544)=0,"",SMALL($G544:$T544,COUNTIF($G544:$T544,"&lt;="&amp;Q544)+1)-Q544)))</f>
        <v/>
      </c>
      <c r="AO544" t="str">
        <f>IF(OR($B544="",NOT(ISNUMBER(R544))),"",IF(COUNTIF(S544:$T544,R544)&gt;0,0,IF(COUNTIF($G544:$T544,"&gt;"&amp;R544)=0,"",SMALL($G544:$T544,COUNTIF($G544:$T544,"&lt;="&amp;R544)+1)-R544)))</f>
        <v/>
      </c>
      <c r="AP544">
        <f t="shared" ca="1" si="139"/>
        <v>0</v>
      </c>
      <c r="AQ544" s="25" t="str">
        <f t="shared" si="140"/>
        <v/>
      </c>
      <c r="AR544" s="25" t="str">
        <f t="shared" si="141"/>
        <v/>
      </c>
      <c r="AS544" s="25" t="str">
        <f t="shared" si="142"/>
        <v/>
      </c>
      <c r="AT544" s="25" t="str">
        <f t="shared" si="143"/>
        <v/>
      </c>
      <c r="AU544" s="25" t="str">
        <f t="shared" si="144"/>
        <v/>
      </c>
      <c r="AV544" s="25" t="str">
        <f t="shared" si="145"/>
        <v/>
      </c>
      <c r="AW544" s="25" t="str">
        <f t="shared" si="146"/>
        <v/>
      </c>
      <c r="AX544" s="25" t="str">
        <f t="shared" si="147"/>
        <v/>
      </c>
      <c r="AY544" s="25" t="str">
        <f t="shared" si="148"/>
        <v/>
      </c>
      <c r="AZ544" s="25" t="str">
        <f t="shared" si="149"/>
        <v/>
      </c>
      <c r="BA544" s="25" t="str">
        <f t="shared" si="150"/>
        <v/>
      </c>
      <c r="BB544" s="25" t="str">
        <f t="shared" si="151"/>
        <v/>
      </c>
      <c r="BC544" s="25" t="str">
        <f t="shared" si="152"/>
        <v/>
      </c>
    </row>
    <row r="545" spans="1:55" x14ac:dyDescent="0.25">
      <c r="A545" s="151" t="str">
        <f t="shared" si="137"/>
        <v/>
      </c>
      <c r="B545" s="151"/>
      <c r="C545" s="152"/>
      <c r="D545" s="151" t="str">
        <f t="shared" si="136"/>
        <v/>
      </c>
      <c r="E545" s="151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51"/>
      <c r="U545" s="151"/>
      <c r="V545" s="152"/>
      <c r="W545" s="175"/>
      <c r="X545" s="173"/>
      <c r="Y545" s="173"/>
      <c r="Z545" s="176" t="str">
        <f>IF(B545="","",IF(S545&lt;&gt;"","Sevk Edildi",IF(AND(X545&lt;&gt;"",Y545=""),"Reworkte",IF(T545&lt;&gt;"","Kapandı"&amp;IF(COUNT(G545:R545)=0,""," – "&amp;LOOKUP(2,1/(G545:R545=MAX(G545:R545)),{"Tasarım","Ply Cutter","Üretim","Kalite (Üretim sonrası)","Talaşlı","Kalite (Talaşlı sonrası)","Montaj","Kalite (Montaj sonrası)","Boya","Kalite (Boya sonrası)","Yarı Mamül","KM"})),IF(COUNT(G545:R545)=0,"Başlamadı",LOOKUP(2,1/(G545:R545=MAX(G545:R545)),{"Tasarımda","Ply Cutter'da","Üretimde","Kalitede (Üretim sonrası)","Talaşlıda","Kalitede (Talaşlı sonrası)","Montajda","Kalitede (Montaj sonrası)","Boyada","Kalitede (Boya sonrası)","Yarı Mamülde","KM'de"}))))))</f>
        <v/>
      </c>
      <c r="AA545" s="177" t="str">
        <f t="shared" ca="1" si="138"/>
        <v/>
      </c>
      <c r="AB545" s="175"/>
      <c r="AD545" t="str">
        <f>IF(OR($B545="",NOT(ISNUMBER(G545))),"",IF(COUNTIF(H545:$T545,G545)&gt;0,0,IF(COUNTIF($G545:$T545,"&gt;"&amp;G545)=0,"",SMALL($G545:$T545,COUNTIF($G545:$T545,"&lt;="&amp;G545)+1)-G545)))</f>
        <v/>
      </c>
      <c r="AE545" t="str">
        <f>IF(OR($B545="",NOT(ISNUMBER(H545))),"",IF(COUNTIF(I545:$T545,H545)&gt;0,0,IF(COUNTIF($G545:$T545,"&gt;"&amp;H545)=0,"",SMALL($G545:$T545,COUNTIF($G545:$T545,"&lt;="&amp;H545)+1)-H545)))</f>
        <v/>
      </c>
      <c r="AF545" t="str">
        <f>IF(OR($B545="",NOT(ISNUMBER(I545))),"",IF(COUNTIF(J545:$T545,I545)&gt;0,0,IF(COUNTIF($G545:$T545,"&gt;"&amp;I545)=0,"",SMALL($G545:$T545,COUNTIF($G545:$T545,"&lt;="&amp;I545)+1)-I545)))</f>
        <v/>
      </c>
      <c r="AG545" t="str">
        <f>IF(OR($B545="",NOT(ISNUMBER(J545))),"",IF(COUNTIF(K545:$T545,J545)&gt;0,0,IF(COUNTIF($G545:$T545,"&gt;"&amp;J545)=0,"",SMALL($G545:$T545,COUNTIF($G545:$T545,"&lt;="&amp;J545)+1)-J545)))</f>
        <v/>
      </c>
      <c r="AH545" t="str">
        <f>IF(OR($B545="",NOT(ISNUMBER(K545))),"",IF(COUNTIF(L545:$T545,K545)&gt;0,0,IF(COUNTIF($G545:$T545,"&gt;"&amp;K545)=0,"",SMALL($G545:$T545,COUNTIF($G545:$T545,"&lt;="&amp;K545)+1)-K545)))</f>
        <v/>
      </c>
      <c r="AI545" t="str">
        <f>IF(OR($B545="",NOT(ISNUMBER(L545))),"",IF(COUNTIF(M545:$T545,L545)&gt;0,0,IF(COUNTIF($G545:$T545,"&gt;"&amp;L545)=0,"",SMALL($G545:$T545,COUNTIF($G545:$T545,"&lt;="&amp;L545)+1)-L545)))</f>
        <v/>
      </c>
      <c r="AJ545" t="str">
        <f>IF(OR($B545="",NOT(ISNUMBER(M545))),"",IF(COUNTIF(N545:$T545,M545)&gt;0,0,IF(COUNTIF($G545:$T545,"&gt;"&amp;M545)=0,"",SMALL($G545:$T545,COUNTIF($G545:$T545,"&lt;="&amp;M545)+1)-M545)))</f>
        <v/>
      </c>
      <c r="AK545" t="str">
        <f>IF(OR($B545="",NOT(ISNUMBER(N545))),"",IF(COUNTIF(O545:$T545,N545)&gt;0,0,IF(COUNTIF($G545:$T545,"&gt;"&amp;N545)=0,"",SMALL($G545:$T545,COUNTIF($G545:$T545,"&lt;="&amp;N545)+1)-N545)))</f>
        <v/>
      </c>
      <c r="AL545" t="str">
        <f>IF(OR($B545="",NOT(ISNUMBER(O545))),"",IF(COUNTIF(P545:$T545,O545)&gt;0,0,IF(COUNTIF($G545:$T545,"&gt;"&amp;O545)=0,"",SMALL($G545:$T545,COUNTIF($G545:$T545,"&lt;="&amp;O545)+1)-O545)))</f>
        <v/>
      </c>
      <c r="AM545" t="str">
        <f>IF(OR($B545="",NOT(ISNUMBER(P545))),"",IF(COUNTIF(Q545:$T545,P545)&gt;0,0,IF(COUNTIF($G545:$T545,"&gt;"&amp;P545)=0,"",SMALL($G545:$T545,COUNTIF($G545:$T545,"&lt;="&amp;P545)+1)-P545)))</f>
        <v/>
      </c>
      <c r="AN545" t="str">
        <f>IF(OR($B545="",NOT(ISNUMBER(Q545))),"",IF(COUNTIF(R545:$T545,Q545)&gt;0,0,IF(COUNTIF($G545:$T545,"&gt;"&amp;Q545)=0,"",SMALL($G545:$T545,COUNTIF($G545:$T545,"&lt;="&amp;Q545)+1)-Q545)))</f>
        <v/>
      </c>
      <c r="AO545" t="str">
        <f>IF(OR($B545="",NOT(ISNUMBER(R545))),"",IF(COUNTIF(S545:$T545,R545)&gt;0,0,IF(COUNTIF($G545:$T545,"&gt;"&amp;R545)=0,"",SMALL($G545:$T545,COUNTIF($G545:$T545,"&lt;="&amp;R545)+1)-R545)))</f>
        <v/>
      </c>
      <c r="AP545">
        <f t="shared" ca="1" si="139"/>
        <v>0</v>
      </c>
      <c r="AQ545" s="25" t="str">
        <f t="shared" si="140"/>
        <v/>
      </c>
      <c r="AR545" s="25" t="str">
        <f t="shared" si="141"/>
        <v/>
      </c>
      <c r="AS545" s="25" t="str">
        <f t="shared" si="142"/>
        <v/>
      </c>
      <c r="AT545" s="25" t="str">
        <f t="shared" si="143"/>
        <v/>
      </c>
      <c r="AU545" s="25" t="str">
        <f t="shared" si="144"/>
        <v/>
      </c>
      <c r="AV545" s="25" t="str">
        <f t="shared" si="145"/>
        <v/>
      </c>
      <c r="AW545" s="25" t="str">
        <f t="shared" si="146"/>
        <v/>
      </c>
      <c r="AX545" s="25" t="str">
        <f t="shared" si="147"/>
        <v/>
      </c>
      <c r="AY545" s="25" t="str">
        <f t="shared" si="148"/>
        <v/>
      </c>
      <c r="AZ545" s="25" t="str">
        <f t="shared" si="149"/>
        <v/>
      </c>
      <c r="BA545" s="25" t="str">
        <f t="shared" si="150"/>
        <v/>
      </c>
      <c r="BB545" s="25" t="str">
        <f t="shared" si="151"/>
        <v/>
      </c>
      <c r="BC545" s="25" t="str">
        <f t="shared" si="152"/>
        <v/>
      </c>
    </row>
    <row r="546" spans="1:55" x14ac:dyDescent="0.25">
      <c r="A546" s="151" t="str">
        <f t="shared" si="137"/>
        <v/>
      </c>
      <c r="B546" s="151"/>
      <c r="C546" s="152"/>
      <c r="D546" s="151" t="str">
        <f t="shared" si="136"/>
        <v/>
      </c>
      <c r="E546" s="151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51"/>
      <c r="U546" s="151"/>
      <c r="V546" s="152"/>
      <c r="W546" s="175"/>
      <c r="X546" s="173"/>
      <c r="Y546" s="173"/>
      <c r="Z546" s="176" t="str">
        <f>IF(B546="","",IF(S546&lt;&gt;"","Sevk Edildi",IF(AND(X546&lt;&gt;"",Y546=""),"Reworkte",IF(T546&lt;&gt;"","Kapandı"&amp;IF(COUNT(G546:R546)=0,""," – "&amp;LOOKUP(2,1/(G546:R546=MAX(G546:R546)),{"Tasarım","Ply Cutter","Üretim","Kalite (Üretim sonrası)","Talaşlı","Kalite (Talaşlı sonrası)","Montaj","Kalite (Montaj sonrası)","Boya","Kalite (Boya sonrası)","Yarı Mamül","KM"})),IF(COUNT(G546:R546)=0,"Başlamadı",LOOKUP(2,1/(G546:R546=MAX(G546:R546)),{"Tasarımda","Ply Cutter'da","Üretimde","Kalitede (Üretim sonrası)","Talaşlıda","Kalitede (Talaşlı sonrası)","Montajda","Kalitede (Montaj sonrası)","Boyada","Kalitede (Boya sonrası)","Yarı Mamülde","KM'de"}))))))</f>
        <v/>
      </c>
      <c r="AA546" s="177" t="str">
        <f t="shared" ca="1" si="138"/>
        <v/>
      </c>
      <c r="AB546" s="175"/>
      <c r="AD546" t="str">
        <f>IF(OR($B546="",NOT(ISNUMBER(G546))),"",IF(COUNTIF(H546:$T546,G546)&gt;0,0,IF(COUNTIF($G546:$T546,"&gt;"&amp;G546)=0,"",SMALL($G546:$T546,COUNTIF($G546:$T546,"&lt;="&amp;G546)+1)-G546)))</f>
        <v/>
      </c>
      <c r="AE546" t="str">
        <f>IF(OR($B546="",NOT(ISNUMBER(H546))),"",IF(COUNTIF(I546:$T546,H546)&gt;0,0,IF(COUNTIF($G546:$T546,"&gt;"&amp;H546)=0,"",SMALL($G546:$T546,COUNTIF($G546:$T546,"&lt;="&amp;H546)+1)-H546)))</f>
        <v/>
      </c>
      <c r="AF546" t="str">
        <f>IF(OR($B546="",NOT(ISNUMBER(I546))),"",IF(COUNTIF(J546:$T546,I546)&gt;0,0,IF(COUNTIF($G546:$T546,"&gt;"&amp;I546)=0,"",SMALL($G546:$T546,COUNTIF($G546:$T546,"&lt;="&amp;I546)+1)-I546)))</f>
        <v/>
      </c>
      <c r="AG546" t="str">
        <f>IF(OR($B546="",NOT(ISNUMBER(J546))),"",IF(COUNTIF(K546:$T546,J546)&gt;0,0,IF(COUNTIF($G546:$T546,"&gt;"&amp;J546)=0,"",SMALL($G546:$T546,COUNTIF($G546:$T546,"&lt;="&amp;J546)+1)-J546)))</f>
        <v/>
      </c>
      <c r="AH546" t="str">
        <f>IF(OR($B546="",NOT(ISNUMBER(K546))),"",IF(COUNTIF(L546:$T546,K546)&gt;0,0,IF(COUNTIF($G546:$T546,"&gt;"&amp;K546)=0,"",SMALL($G546:$T546,COUNTIF($G546:$T546,"&lt;="&amp;K546)+1)-K546)))</f>
        <v/>
      </c>
      <c r="AI546" t="str">
        <f>IF(OR($B546="",NOT(ISNUMBER(L546))),"",IF(COUNTIF(M546:$T546,L546)&gt;0,0,IF(COUNTIF($G546:$T546,"&gt;"&amp;L546)=0,"",SMALL($G546:$T546,COUNTIF($G546:$T546,"&lt;="&amp;L546)+1)-L546)))</f>
        <v/>
      </c>
      <c r="AJ546" t="str">
        <f>IF(OR($B546="",NOT(ISNUMBER(M546))),"",IF(COUNTIF(N546:$T546,M546)&gt;0,0,IF(COUNTIF($G546:$T546,"&gt;"&amp;M546)=0,"",SMALL($G546:$T546,COUNTIF($G546:$T546,"&lt;="&amp;M546)+1)-M546)))</f>
        <v/>
      </c>
      <c r="AK546" t="str">
        <f>IF(OR($B546="",NOT(ISNUMBER(N546))),"",IF(COUNTIF(O546:$T546,N546)&gt;0,0,IF(COUNTIF($G546:$T546,"&gt;"&amp;N546)=0,"",SMALL($G546:$T546,COUNTIF($G546:$T546,"&lt;="&amp;N546)+1)-N546)))</f>
        <v/>
      </c>
      <c r="AL546" t="str">
        <f>IF(OR($B546="",NOT(ISNUMBER(O546))),"",IF(COUNTIF(P546:$T546,O546)&gt;0,0,IF(COUNTIF($G546:$T546,"&gt;"&amp;O546)=0,"",SMALL($G546:$T546,COUNTIF($G546:$T546,"&lt;="&amp;O546)+1)-O546)))</f>
        <v/>
      </c>
      <c r="AM546" t="str">
        <f>IF(OR($B546="",NOT(ISNUMBER(P546))),"",IF(COUNTIF(Q546:$T546,P546)&gt;0,0,IF(COUNTIF($G546:$T546,"&gt;"&amp;P546)=0,"",SMALL($G546:$T546,COUNTIF($G546:$T546,"&lt;="&amp;P546)+1)-P546)))</f>
        <v/>
      </c>
      <c r="AN546" t="str">
        <f>IF(OR($B546="",NOT(ISNUMBER(Q546))),"",IF(COUNTIF(R546:$T546,Q546)&gt;0,0,IF(COUNTIF($G546:$T546,"&gt;"&amp;Q546)=0,"",SMALL($G546:$T546,COUNTIF($G546:$T546,"&lt;="&amp;Q546)+1)-Q546)))</f>
        <v/>
      </c>
      <c r="AO546" t="str">
        <f>IF(OR($B546="",NOT(ISNUMBER(R546))),"",IF(COUNTIF(S546:$T546,R546)&gt;0,0,IF(COUNTIF($G546:$T546,"&gt;"&amp;R546)=0,"",SMALL($G546:$T546,COUNTIF($G546:$T546,"&lt;="&amp;R546)+1)-R546)))</f>
        <v/>
      </c>
      <c r="AP546">
        <f t="shared" ca="1" si="139"/>
        <v>0</v>
      </c>
      <c r="AQ546" s="25" t="str">
        <f t="shared" si="140"/>
        <v/>
      </c>
      <c r="AR546" s="25" t="str">
        <f t="shared" si="141"/>
        <v/>
      </c>
      <c r="AS546" s="25" t="str">
        <f t="shared" si="142"/>
        <v/>
      </c>
      <c r="AT546" s="25" t="str">
        <f t="shared" si="143"/>
        <v/>
      </c>
      <c r="AU546" s="25" t="str">
        <f t="shared" si="144"/>
        <v/>
      </c>
      <c r="AV546" s="25" t="str">
        <f t="shared" si="145"/>
        <v/>
      </c>
      <c r="AW546" s="25" t="str">
        <f t="shared" si="146"/>
        <v/>
      </c>
      <c r="AX546" s="25" t="str">
        <f t="shared" si="147"/>
        <v/>
      </c>
      <c r="AY546" s="25" t="str">
        <f t="shared" si="148"/>
        <v/>
      </c>
      <c r="AZ546" s="25" t="str">
        <f t="shared" si="149"/>
        <v/>
      </c>
      <c r="BA546" s="25" t="str">
        <f t="shared" si="150"/>
        <v/>
      </c>
      <c r="BB546" s="25" t="str">
        <f t="shared" si="151"/>
        <v/>
      </c>
      <c r="BC546" s="25" t="str">
        <f t="shared" si="152"/>
        <v/>
      </c>
    </row>
    <row r="547" spans="1:55" x14ac:dyDescent="0.25">
      <c r="A547" s="151" t="str">
        <f t="shared" si="137"/>
        <v/>
      </c>
      <c r="B547" s="151"/>
      <c r="C547" s="152"/>
      <c r="D547" s="151" t="str">
        <f t="shared" si="136"/>
        <v/>
      </c>
      <c r="E547" s="151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51"/>
      <c r="U547" s="151"/>
      <c r="V547" s="152"/>
      <c r="W547" s="175"/>
      <c r="X547" s="173"/>
      <c r="Y547" s="173"/>
      <c r="Z547" s="176" t="str">
        <f>IF(B547="","",IF(S547&lt;&gt;"","Sevk Edildi",IF(AND(X547&lt;&gt;"",Y547=""),"Reworkte",IF(T547&lt;&gt;"","Kapandı"&amp;IF(COUNT(G547:R547)=0,""," – "&amp;LOOKUP(2,1/(G547:R547=MAX(G547:R547)),{"Tasarım","Ply Cutter","Üretim","Kalite (Üretim sonrası)","Talaşlı","Kalite (Talaşlı sonrası)","Montaj","Kalite (Montaj sonrası)","Boya","Kalite (Boya sonrası)","Yarı Mamül","KM"})),IF(COUNT(G547:R547)=0,"Başlamadı",LOOKUP(2,1/(G547:R547=MAX(G547:R547)),{"Tasarımda","Ply Cutter'da","Üretimde","Kalitede (Üretim sonrası)","Talaşlıda","Kalitede (Talaşlı sonrası)","Montajda","Kalitede (Montaj sonrası)","Boyada","Kalitede (Boya sonrası)","Yarı Mamülde","KM'de"}))))))</f>
        <v/>
      </c>
      <c r="AA547" s="177" t="str">
        <f t="shared" ca="1" si="138"/>
        <v/>
      </c>
      <c r="AB547" s="175"/>
      <c r="AD547" t="str">
        <f>IF(OR($B547="",NOT(ISNUMBER(G547))),"",IF(COUNTIF(H547:$T547,G547)&gt;0,0,IF(COUNTIF($G547:$T547,"&gt;"&amp;G547)=0,"",SMALL($G547:$T547,COUNTIF($G547:$T547,"&lt;="&amp;G547)+1)-G547)))</f>
        <v/>
      </c>
      <c r="AE547" t="str">
        <f>IF(OR($B547="",NOT(ISNUMBER(H547))),"",IF(COUNTIF(I547:$T547,H547)&gt;0,0,IF(COUNTIF($G547:$T547,"&gt;"&amp;H547)=0,"",SMALL($G547:$T547,COUNTIF($G547:$T547,"&lt;="&amp;H547)+1)-H547)))</f>
        <v/>
      </c>
      <c r="AF547" t="str">
        <f>IF(OR($B547="",NOT(ISNUMBER(I547))),"",IF(COUNTIF(J547:$T547,I547)&gt;0,0,IF(COUNTIF($G547:$T547,"&gt;"&amp;I547)=0,"",SMALL($G547:$T547,COUNTIF($G547:$T547,"&lt;="&amp;I547)+1)-I547)))</f>
        <v/>
      </c>
      <c r="AG547" t="str">
        <f>IF(OR($B547="",NOT(ISNUMBER(J547))),"",IF(COUNTIF(K547:$T547,J547)&gt;0,0,IF(COUNTIF($G547:$T547,"&gt;"&amp;J547)=0,"",SMALL($G547:$T547,COUNTIF($G547:$T547,"&lt;="&amp;J547)+1)-J547)))</f>
        <v/>
      </c>
      <c r="AH547" t="str">
        <f>IF(OR($B547="",NOT(ISNUMBER(K547))),"",IF(COUNTIF(L547:$T547,K547)&gt;0,0,IF(COUNTIF($G547:$T547,"&gt;"&amp;K547)=0,"",SMALL($G547:$T547,COUNTIF($G547:$T547,"&lt;="&amp;K547)+1)-K547)))</f>
        <v/>
      </c>
      <c r="AI547" t="str">
        <f>IF(OR($B547="",NOT(ISNUMBER(L547))),"",IF(COUNTIF(M547:$T547,L547)&gt;0,0,IF(COUNTIF($G547:$T547,"&gt;"&amp;L547)=0,"",SMALL($G547:$T547,COUNTIF($G547:$T547,"&lt;="&amp;L547)+1)-L547)))</f>
        <v/>
      </c>
      <c r="AJ547" t="str">
        <f>IF(OR($B547="",NOT(ISNUMBER(M547))),"",IF(COUNTIF(N547:$T547,M547)&gt;0,0,IF(COUNTIF($G547:$T547,"&gt;"&amp;M547)=0,"",SMALL($G547:$T547,COUNTIF($G547:$T547,"&lt;="&amp;M547)+1)-M547)))</f>
        <v/>
      </c>
      <c r="AK547" t="str">
        <f>IF(OR($B547="",NOT(ISNUMBER(N547))),"",IF(COUNTIF(O547:$T547,N547)&gt;0,0,IF(COUNTIF($G547:$T547,"&gt;"&amp;N547)=0,"",SMALL($G547:$T547,COUNTIF($G547:$T547,"&lt;="&amp;N547)+1)-N547)))</f>
        <v/>
      </c>
      <c r="AL547" t="str">
        <f>IF(OR($B547="",NOT(ISNUMBER(O547))),"",IF(COUNTIF(P547:$T547,O547)&gt;0,0,IF(COUNTIF($G547:$T547,"&gt;"&amp;O547)=0,"",SMALL($G547:$T547,COUNTIF($G547:$T547,"&lt;="&amp;O547)+1)-O547)))</f>
        <v/>
      </c>
      <c r="AM547" t="str">
        <f>IF(OR($B547="",NOT(ISNUMBER(P547))),"",IF(COUNTIF(Q547:$T547,P547)&gt;0,0,IF(COUNTIF($G547:$T547,"&gt;"&amp;P547)=0,"",SMALL($G547:$T547,COUNTIF($G547:$T547,"&lt;="&amp;P547)+1)-P547)))</f>
        <v/>
      </c>
      <c r="AN547" t="str">
        <f>IF(OR($B547="",NOT(ISNUMBER(Q547))),"",IF(COUNTIF(R547:$T547,Q547)&gt;0,0,IF(COUNTIF($G547:$T547,"&gt;"&amp;Q547)=0,"",SMALL($G547:$T547,COUNTIF($G547:$T547,"&lt;="&amp;Q547)+1)-Q547)))</f>
        <v/>
      </c>
      <c r="AO547" t="str">
        <f>IF(OR($B547="",NOT(ISNUMBER(R547))),"",IF(COUNTIF(S547:$T547,R547)&gt;0,0,IF(COUNTIF($G547:$T547,"&gt;"&amp;R547)=0,"",SMALL($G547:$T547,COUNTIF($G547:$T547,"&lt;="&amp;R547)+1)-R547)))</f>
        <v/>
      </c>
      <c r="AP547">
        <f t="shared" ca="1" si="139"/>
        <v>0</v>
      </c>
      <c r="AQ547" s="25" t="str">
        <f t="shared" si="140"/>
        <v/>
      </c>
      <c r="AR547" s="25" t="str">
        <f t="shared" si="141"/>
        <v/>
      </c>
      <c r="AS547" s="25" t="str">
        <f t="shared" si="142"/>
        <v/>
      </c>
      <c r="AT547" s="25" t="str">
        <f t="shared" si="143"/>
        <v/>
      </c>
      <c r="AU547" s="25" t="str">
        <f t="shared" si="144"/>
        <v/>
      </c>
      <c r="AV547" s="25" t="str">
        <f t="shared" si="145"/>
        <v/>
      </c>
      <c r="AW547" s="25" t="str">
        <f t="shared" si="146"/>
        <v/>
      </c>
      <c r="AX547" s="25" t="str">
        <f t="shared" si="147"/>
        <v/>
      </c>
      <c r="AY547" s="25" t="str">
        <f t="shared" si="148"/>
        <v/>
      </c>
      <c r="AZ547" s="25" t="str">
        <f t="shared" si="149"/>
        <v/>
      </c>
      <c r="BA547" s="25" t="str">
        <f t="shared" si="150"/>
        <v/>
      </c>
      <c r="BB547" s="25" t="str">
        <f t="shared" si="151"/>
        <v/>
      </c>
      <c r="BC547" s="25" t="str">
        <f t="shared" si="152"/>
        <v/>
      </c>
    </row>
    <row r="548" spans="1:55" x14ac:dyDescent="0.25">
      <c r="A548" s="151" t="str">
        <f t="shared" si="137"/>
        <v/>
      </c>
      <c r="B548" s="151"/>
      <c r="C548" s="152"/>
      <c r="D548" s="151" t="str">
        <f t="shared" si="136"/>
        <v/>
      </c>
      <c r="E548" s="151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51"/>
      <c r="U548" s="151"/>
      <c r="V548" s="152"/>
      <c r="W548" s="175"/>
      <c r="X548" s="173"/>
      <c r="Y548" s="173"/>
      <c r="Z548" s="176" t="str">
        <f>IF(B548="","",IF(S548&lt;&gt;"","Sevk Edildi",IF(AND(X548&lt;&gt;"",Y548=""),"Reworkte",IF(T548&lt;&gt;"","Kapandı"&amp;IF(COUNT(G548:R548)=0,""," – "&amp;LOOKUP(2,1/(G548:R548=MAX(G548:R548)),{"Tasarım","Ply Cutter","Üretim","Kalite (Üretim sonrası)","Talaşlı","Kalite (Talaşlı sonrası)","Montaj","Kalite (Montaj sonrası)","Boya","Kalite (Boya sonrası)","Yarı Mamül","KM"})),IF(COUNT(G548:R548)=0,"Başlamadı",LOOKUP(2,1/(G548:R548=MAX(G548:R548)),{"Tasarımda","Ply Cutter'da","Üretimde","Kalitede (Üretim sonrası)","Talaşlıda","Kalitede (Talaşlı sonrası)","Montajda","Kalitede (Montaj sonrası)","Boyada","Kalitede (Boya sonrası)","Yarı Mamülde","KM'de"}))))))</f>
        <v/>
      </c>
      <c r="AA548" s="177" t="str">
        <f t="shared" ca="1" si="138"/>
        <v/>
      </c>
      <c r="AB548" s="175"/>
      <c r="AD548" t="str">
        <f>IF(OR($B548="",NOT(ISNUMBER(G548))),"",IF(COUNTIF(H548:$T548,G548)&gt;0,0,IF(COUNTIF($G548:$T548,"&gt;"&amp;G548)=0,"",SMALL($G548:$T548,COUNTIF($G548:$T548,"&lt;="&amp;G548)+1)-G548)))</f>
        <v/>
      </c>
      <c r="AE548" t="str">
        <f>IF(OR($B548="",NOT(ISNUMBER(H548))),"",IF(COUNTIF(I548:$T548,H548)&gt;0,0,IF(COUNTIF($G548:$T548,"&gt;"&amp;H548)=0,"",SMALL($G548:$T548,COUNTIF($G548:$T548,"&lt;="&amp;H548)+1)-H548)))</f>
        <v/>
      </c>
      <c r="AF548" t="str">
        <f>IF(OR($B548="",NOT(ISNUMBER(I548))),"",IF(COUNTIF(J548:$T548,I548)&gt;0,0,IF(COUNTIF($G548:$T548,"&gt;"&amp;I548)=0,"",SMALL($G548:$T548,COUNTIF($G548:$T548,"&lt;="&amp;I548)+1)-I548)))</f>
        <v/>
      </c>
      <c r="AG548" t="str">
        <f>IF(OR($B548="",NOT(ISNUMBER(J548))),"",IF(COUNTIF(K548:$T548,J548)&gt;0,0,IF(COUNTIF($G548:$T548,"&gt;"&amp;J548)=0,"",SMALL($G548:$T548,COUNTIF($G548:$T548,"&lt;="&amp;J548)+1)-J548)))</f>
        <v/>
      </c>
      <c r="AH548" t="str">
        <f>IF(OR($B548="",NOT(ISNUMBER(K548))),"",IF(COUNTIF(L548:$T548,K548)&gt;0,0,IF(COUNTIF($G548:$T548,"&gt;"&amp;K548)=0,"",SMALL($G548:$T548,COUNTIF($G548:$T548,"&lt;="&amp;K548)+1)-K548)))</f>
        <v/>
      </c>
      <c r="AI548" t="str">
        <f>IF(OR($B548="",NOT(ISNUMBER(L548))),"",IF(COUNTIF(M548:$T548,L548)&gt;0,0,IF(COUNTIF($G548:$T548,"&gt;"&amp;L548)=0,"",SMALL($G548:$T548,COUNTIF($G548:$T548,"&lt;="&amp;L548)+1)-L548)))</f>
        <v/>
      </c>
      <c r="AJ548" t="str">
        <f>IF(OR($B548="",NOT(ISNUMBER(M548))),"",IF(COUNTIF(N548:$T548,M548)&gt;0,0,IF(COUNTIF($G548:$T548,"&gt;"&amp;M548)=0,"",SMALL($G548:$T548,COUNTIF($G548:$T548,"&lt;="&amp;M548)+1)-M548)))</f>
        <v/>
      </c>
      <c r="AK548" t="str">
        <f>IF(OR($B548="",NOT(ISNUMBER(N548))),"",IF(COUNTIF(O548:$T548,N548)&gt;0,0,IF(COUNTIF($G548:$T548,"&gt;"&amp;N548)=0,"",SMALL($G548:$T548,COUNTIF($G548:$T548,"&lt;="&amp;N548)+1)-N548)))</f>
        <v/>
      </c>
      <c r="AL548" t="str">
        <f>IF(OR($B548="",NOT(ISNUMBER(O548))),"",IF(COUNTIF(P548:$T548,O548)&gt;0,0,IF(COUNTIF($G548:$T548,"&gt;"&amp;O548)=0,"",SMALL($G548:$T548,COUNTIF($G548:$T548,"&lt;="&amp;O548)+1)-O548)))</f>
        <v/>
      </c>
      <c r="AM548" t="str">
        <f>IF(OR($B548="",NOT(ISNUMBER(P548))),"",IF(COUNTIF(Q548:$T548,P548)&gt;0,0,IF(COUNTIF($G548:$T548,"&gt;"&amp;P548)=0,"",SMALL($G548:$T548,COUNTIF($G548:$T548,"&lt;="&amp;P548)+1)-P548)))</f>
        <v/>
      </c>
      <c r="AN548" t="str">
        <f>IF(OR($B548="",NOT(ISNUMBER(Q548))),"",IF(COUNTIF(R548:$T548,Q548)&gt;0,0,IF(COUNTIF($G548:$T548,"&gt;"&amp;Q548)=0,"",SMALL($G548:$T548,COUNTIF($G548:$T548,"&lt;="&amp;Q548)+1)-Q548)))</f>
        <v/>
      </c>
      <c r="AO548" t="str">
        <f>IF(OR($B548="",NOT(ISNUMBER(R548))),"",IF(COUNTIF(S548:$T548,R548)&gt;0,0,IF(COUNTIF($G548:$T548,"&gt;"&amp;R548)=0,"",SMALL($G548:$T548,COUNTIF($G548:$T548,"&lt;="&amp;R548)+1)-R548)))</f>
        <v/>
      </c>
      <c r="AP548">
        <f t="shared" ca="1" si="139"/>
        <v>0</v>
      </c>
      <c r="AQ548" s="25" t="str">
        <f t="shared" si="140"/>
        <v/>
      </c>
      <c r="AR548" s="25" t="str">
        <f t="shared" si="141"/>
        <v/>
      </c>
      <c r="AS548" s="25" t="str">
        <f t="shared" si="142"/>
        <v/>
      </c>
      <c r="AT548" s="25" t="str">
        <f t="shared" si="143"/>
        <v/>
      </c>
      <c r="AU548" s="25" t="str">
        <f t="shared" si="144"/>
        <v/>
      </c>
      <c r="AV548" s="25" t="str">
        <f t="shared" si="145"/>
        <v/>
      </c>
      <c r="AW548" s="25" t="str">
        <f t="shared" si="146"/>
        <v/>
      </c>
      <c r="AX548" s="25" t="str">
        <f t="shared" si="147"/>
        <v/>
      </c>
      <c r="AY548" s="25" t="str">
        <f t="shared" si="148"/>
        <v/>
      </c>
      <c r="AZ548" s="25" t="str">
        <f t="shared" si="149"/>
        <v/>
      </c>
      <c r="BA548" s="25" t="str">
        <f t="shared" si="150"/>
        <v/>
      </c>
      <c r="BB548" s="25" t="str">
        <f t="shared" si="151"/>
        <v/>
      </c>
      <c r="BC548" s="25" t="str">
        <f t="shared" si="152"/>
        <v/>
      </c>
    </row>
    <row r="549" spans="1:55" x14ac:dyDescent="0.25">
      <c r="A549" s="151" t="str">
        <f t="shared" si="137"/>
        <v/>
      </c>
      <c r="B549" s="151"/>
      <c r="C549" s="152"/>
      <c r="D549" s="151" t="str">
        <f t="shared" si="136"/>
        <v/>
      </c>
      <c r="E549" s="151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51"/>
      <c r="U549" s="151"/>
      <c r="V549" s="152"/>
      <c r="W549" s="175"/>
      <c r="X549" s="173"/>
      <c r="Y549" s="173"/>
      <c r="Z549" s="176" t="str">
        <f>IF(B549="","",IF(S549&lt;&gt;"","Sevk Edildi",IF(AND(X549&lt;&gt;"",Y549=""),"Reworkte",IF(T549&lt;&gt;"","Kapandı"&amp;IF(COUNT(G549:R549)=0,""," – "&amp;LOOKUP(2,1/(G549:R549=MAX(G549:R549)),{"Tasarım","Ply Cutter","Üretim","Kalite (Üretim sonrası)","Talaşlı","Kalite (Talaşlı sonrası)","Montaj","Kalite (Montaj sonrası)","Boya","Kalite (Boya sonrası)","Yarı Mamül","KM"})),IF(COUNT(G549:R549)=0,"Başlamadı",LOOKUP(2,1/(G549:R549=MAX(G549:R549)),{"Tasarımda","Ply Cutter'da","Üretimde","Kalitede (Üretim sonrası)","Talaşlıda","Kalitede (Talaşlı sonrası)","Montajda","Kalitede (Montaj sonrası)","Boyada","Kalitede (Boya sonrası)","Yarı Mamülde","KM'de"}))))))</f>
        <v/>
      </c>
      <c r="AA549" s="177" t="str">
        <f t="shared" ca="1" si="138"/>
        <v/>
      </c>
      <c r="AB549" s="175"/>
      <c r="AD549" t="str">
        <f>IF(OR($B549="",NOT(ISNUMBER(G549))),"",IF(COUNTIF(H549:$T549,G549)&gt;0,0,IF(COUNTIF($G549:$T549,"&gt;"&amp;G549)=0,"",SMALL($G549:$T549,COUNTIF($G549:$T549,"&lt;="&amp;G549)+1)-G549)))</f>
        <v/>
      </c>
      <c r="AE549" t="str">
        <f>IF(OR($B549="",NOT(ISNUMBER(H549))),"",IF(COUNTIF(I549:$T549,H549)&gt;0,0,IF(COUNTIF($G549:$T549,"&gt;"&amp;H549)=0,"",SMALL($G549:$T549,COUNTIF($G549:$T549,"&lt;="&amp;H549)+1)-H549)))</f>
        <v/>
      </c>
      <c r="AF549" t="str">
        <f>IF(OR($B549="",NOT(ISNUMBER(I549))),"",IF(COUNTIF(J549:$T549,I549)&gt;0,0,IF(COUNTIF($G549:$T549,"&gt;"&amp;I549)=0,"",SMALL($G549:$T549,COUNTIF($G549:$T549,"&lt;="&amp;I549)+1)-I549)))</f>
        <v/>
      </c>
      <c r="AG549" t="str">
        <f>IF(OR($B549="",NOT(ISNUMBER(J549))),"",IF(COUNTIF(K549:$T549,J549)&gt;0,0,IF(COUNTIF($G549:$T549,"&gt;"&amp;J549)=0,"",SMALL($G549:$T549,COUNTIF($G549:$T549,"&lt;="&amp;J549)+1)-J549)))</f>
        <v/>
      </c>
      <c r="AH549" t="str">
        <f>IF(OR($B549="",NOT(ISNUMBER(K549))),"",IF(COUNTIF(L549:$T549,K549)&gt;0,0,IF(COUNTIF($G549:$T549,"&gt;"&amp;K549)=0,"",SMALL($G549:$T549,COUNTIF($G549:$T549,"&lt;="&amp;K549)+1)-K549)))</f>
        <v/>
      </c>
      <c r="AI549" t="str">
        <f>IF(OR($B549="",NOT(ISNUMBER(L549))),"",IF(COUNTIF(M549:$T549,L549)&gt;0,0,IF(COUNTIF($G549:$T549,"&gt;"&amp;L549)=0,"",SMALL($G549:$T549,COUNTIF($G549:$T549,"&lt;="&amp;L549)+1)-L549)))</f>
        <v/>
      </c>
      <c r="AJ549" t="str">
        <f>IF(OR($B549="",NOT(ISNUMBER(M549))),"",IF(COUNTIF(N549:$T549,M549)&gt;0,0,IF(COUNTIF($G549:$T549,"&gt;"&amp;M549)=0,"",SMALL($G549:$T549,COUNTIF($G549:$T549,"&lt;="&amp;M549)+1)-M549)))</f>
        <v/>
      </c>
      <c r="AK549" t="str">
        <f>IF(OR($B549="",NOT(ISNUMBER(N549))),"",IF(COUNTIF(O549:$T549,N549)&gt;0,0,IF(COUNTIF($G549:$T549,"&gt;"&amp;N549)=0,"",SMALL($G549:$T549,COUNTIF($G549:$T549,"&lt;="&amp;N549)+1)-N549)))</f>
        <v/>
      </c>
      <c r="AL549" t="str">
        <f>IF(OR($B549="",NOT(ISNUMBER(O549))),"",IF(COUNTIF(P549:$T549,O549)&gt;0,0,IF(COUNTIF($G549:$T549,"&gt;"&amp;O549)=0,"",SMALL($G549:$T549,COUNTIF($G549:$T549,"&lt;="&amp;O549)+1)-O549)))</f>
        <v/>
      </c>
      <c r="AM549" t="str">
        <f>IF(OR($B549="",NOT(ISNUMBER(P549))),"",IF(COUNTIF(Q549:$T549,P549)&gt;0,0,IF(COUNTIF($G549:$T549,"&gt;"&amp;P549)=0,"",SMALL($G549:$T549,COUNTIF($G549:$T549,"&lt;="&amp;P549)+1)-P549)))</f>
        <v/>
      </c>
      <c r="AN549" t="str">
        <f>IF(OR($B549="",NOT(ISNUMBER(Q549))),"",IF(COUNTIF(R549:$T549,Q549)&gt;0,0,IF(COUNTIF($G549:$T549,"&gt;"&amp;Q549)=0,"",SMALL($G549:$T549,COUNTIF($G549:$T549,"&lt;="&amp;Q549)+1)-Q549)))</f>
        <v/>
      </c>
      <c r="AO549" t="str">
        <f>IF(OR($B549="",NOT(ISNUMBER(R549))),"",IF(COUNTIF(S549:$T549,R549)&gt;0,0,IF(COUNTIF($G549:$T549,"&gt;"&amp;R549)=0,"",SMALL($G549:$T549,COUNTIF($G549:$T549,"&lt;="&amp;R549)+1)-R549)))</f>
        <v/>
      </c>
      <c r="AP549">
        <f t="shared" ca="1" si="139"/>
        <v>0</v>
      </c>
      <c r="AQ549" s="25" t="str">
        <f t="shared" si="140"/>
        <v/>
      </c>
      <c r="AR549" s="25" t="str">
        <f t="shared" si="141"/>
        <v/>
      </c>
      <c r="AS549" s="25" t="str">
        <f t="shared" si="142"/>
        <v/>
      </c>
      <c r="AT549" s="25" t="str">
        <f t="shared" si="143"/>
        <v/>
      </c>
      <c r="AU549" s="25" t="str">
        <f t="shared" si="144"/>
        <v/>
      </c>
      <c r="AV549" s="25" t="str">
        <f t="shared" si="145"/>
        <v/>
      </c>
      <c r="AW549" s="25" t="str">
        <f t="shared" si="146"/>
        <v/>
      </c>
      <c r="AX549" s="25" t="str">
        <f t="shared" si="147"/>
        <v/>
      </c>
      <c r="AY549" s="25" t="str">
        <f t="shared" si="148"/>
        <v/>
      </c>
      <c r="AZ549" s="25" t="str">
        <f t="shared" si="149"/>
        <v/>
      </c>
      <c r="BA549" s="25" t="str">
        <f t="shared" si="150"/>
        <v/>
      </c>
      <c r="BB549" s="25" t="str">
        <f t="shared" si="151"/>
        <v/>
      </c>
      <c r="BC549" s="25" t="str">
        <f t="shared" si="152"/>
        <v/>
      </c>
    </row>
    <row r="550" spans="1:55" x14ac:dyDescent="0.25">
      <c r="A550" s="151" t="str">
        <f t="shared" si="137"/>
        <v/>
      </c>
      <c r="B550" s="151"/>
      <c r="C550" s="152"/>
      <c r="D550" s="151" t="str">
        <f t="shared" si="136"/>
        <v/>
      </c>
      <c r="E550" s="151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51"/>
      <c r="U550" s="151"/>
      <c r="V550" s="152"/>
      <c r="W550" s="175"/>
      <c r="X550" s="173"/>
      <c r="Y550" s="173"/>
      <c r="Z550" s="176" t="str">
        <f>IF(B550="","",IF(S550&lt;&gt;"","Sevk Edildi",IF(AND(X550&lt;&gt;"",Y550=""),"Reworkte",IF(T550&lt;&gt;"","Kapandı"&amp;IF(COUNT(G550:R550)=0,""," – "&amp;LOOKUP(2,1/(G550:R550=MAX(G550:R550)),{"Tasarım","Ply Cutter","Üretim","Kalite (Üretim sonrası)","Talaşlı","Kalite (Talaşlı sonrası)","Montaj","Kalite (Montaj sonrası)","Boya","Kalite (Boya sonrası)","Yarı Mamül","KM"})),IF(COUNT(G550:R550)=0,"Başlamadı",LOOKUP(2,1/(G550:R550=MAX(G550:R550)),{"Tasarımda","Ply Cutter'da","Üretimde","Kalitede (Üretim sonrası)","Talaşlıda","Kalitede (Talaşlı sonrası)","Montajda","Kalitede (Montaj sonrası)","Boyada","Kalitede (Boya sonrası)","Yarı Mamülde","KM'de"}))))))</f>
        <v/>
      </c>
      <c r="AA550" s="177" t="str">
        <f t="shared" ca="1" si="138"/>
        <v/>
      </c>
      <c r="AB550" s="175"/>
      <c r="AD550" t="str">
        <f>IF(OR($B550="",NOT(ISNUMBER(G550))),"",IF(COUNTIF(H550:$T550,G550)&gt;0,0,IF(COUNTIF($G550:$T550,"&gt;"&amp;G550)=0,"",SMALL($G550:$T550,COUNTIF($G550:$T550,"&lt;="&amp;G550)+1)-G550)))</f>
        <v/>
      </c>
      <c r="AE550" t="str">
        <f>IF(OR($B550="",NOT(ISNUMBER(H550))),"",IF(COUNTIF(I550:$T550,H550)&gt;0,0,IF(COUNTIF($G550:$T550,"&gt;"&amp;H550)=0,"",SMALL($G550:$T550,COUNTIF($G550:$T550,"&lt;="&amp;H550)+1)-H550)))</f>
        <v/>
      </c>
      <c r="AF550" t="str">
        <f>IF(OR($B550="",NOT(ISNUMBER(I550))),"",IF(COUNTIF(J550:$T550,I550)&gt;0,0,IF(COUNTIF($G550:$T550,"&gt;"&amp;I550)=0,"",SMALL($G550:$T550,COUNTIF($G550:$T550,"&lt;="&amp;I550)+1)-I550)))</f>
        <v/>
      </c>
      <c r="AG550" t="str">
        <f>IF(OR($B550="",NOT(ISNUMBER(J550))),"",IF(COUNTIF(K550:$T550,J550)&gt;0,0,IF(COUNTIF($G550:$T550,"&gt;"&amp;J550)=0,"",SMALL($G550:$T550,COUNTIF($G550:$T550,"&lt;="&amp;J550)+1)-J550)))</f>
        <v/>
      </c>
      <c r="AH550" t="str">
        <f>IF(OR($B550="",NOT(ISNUMBER(K550))),"",IF(COUNTIF(L550:$T550,K550)&gt;0,0,IF(COUNTIF($G550:$T550,"&gt;"&amp;K550)=0,"",SMALL($G550:$T550,COUNTIF($G550:$T550,"&lt;="&amp;K550)+1)-K550)))</f>
        <v/>
      </c>
      <c r="AI550" t="str">
        <f>IF(OR($B550="",NOT(ISNUMBER(L550))),"",IF(COUNTIF(M550:$T550,L550)&gt;0,0,IF(COUNTIF($G550:$T550,"&gt;"&amp;L550)=0,"",SMALL($G550:$T550,COUNTIF($G550:$T550,"&lt;="&amp;L550)+1)-L550)))</f>
        <v/>
      </c>
      <c r="AJ550" t="str">
        <f>IF(OR($B550="",NOT(ISNUMBER(M550))),"",IF(COUNTIF(N550:$T550,M550)&gt;0,0,IF(COUNTIF($G550:$T550,"&gt;"&amp;M550)=0,"",SMALL($G550:$T550,COUNTIF($G550:$T550,"&lt;="&amp;M550)+1)-M550)))</f>
        <v/>
      </c>
      <c r="AK550" t="str">
        <f>IF(OR($B550="",NOT(ISNUMBER(N550))),"",IF(COUNTIF(O550:$T550,N550)&gt;0,0,IF(COUNTIF($G550:$T550,"&gt;"&amp;N550)=0,"",SMALL($G550:$T550,COUNTIF($G550:$T550,"&lt;="&amp;N550)+1)-N550)))</f>
        <v/>
      </c>
      <c r="AL550" t="str">
        <f>IF(OR($B550="",NOT(ISNUMBER(O550))),"",IF(COUNTIF(P550:$T550,O550)&gt;0,0,IF(COUNTIF($G550:$T550,"&gt;"&amp;O550)=0,"",SMALL($G550:$T550,COUNTIF($G550:$T550,"&lt;="&amp;O550)+1)-O550)))</f>
        <v/>
      </c>
      <c r="AM550" t="str">
        <f>IF(OR($B550="",NOT(ISNUMBER(P550))),"",IF(COUNTIF(Q550:$T550,P550)&gt;0,0,IF(COUNTIF($G550:$T550,"&gt;"&amp;P550)=0,"",SMALL($G550:$T550,COUNTIF($G550:$T550,"&lt;="&amp;P550)+1)-P550)))</f>
        <v/>
      </c>
      <c r="AN550" t="str">
        <f>IF(OR($B550="",NOT(ISNUMBER(Q550))),"",IF(COUNTIF(R550:$T550,Q550)&gt;0,0,IF(COUNTIF($G550:$T550,"&gt;"&amp;Q550)=0,"",SMALL($G550:$T550,COUNTIF($G550:$T550,"&lt;="&amp;Q550)+1)-Q550)))</f>
        <v/>
      </c>
      <c r="AO550" t="str">
        <f>IF(OR($B550="",NOT(ISNUMBER(R550))),"",IF(COUNTIF(S550:$T550,R550)&gt;0,0,IF(COUNTIF($G550:$T550,"&gt;"&amp;R550)=0,"",SMALL($G550:$T550,COUNTIF($G550:$T550,"&lt;="&amp;R550)+1)-R550)))</f>
        <v/>
      </c>
      <c r="AP550">
        <f t="shared" ca="1" si="139"/>
        <v>0</v>
      </c>
      <c r="AQ550" s="25" t="str">
        <f t="shared" si="140"/>
        <v/>
      </c>
      <c r="AR550" s="25" t="str">
        <f t="shared" si="141"/>
        <v/>
      </c>
      <c r="AS550" s="25" t="str">
        <f t="shared" si="142"/>
        <v/>
      </c>
      <c r="AT550" s="25" t="str">
        <f t="shared" si="143"/>
        <v/>
      </c>
      <c r="AU550" s="25" t="str">
        <f t="shared" si="144"/>
        <v/>
      </c>
      <c r="AV550" s="25" t="str">
        <f t="shared" si="145"/>
        <v/>
      </c>
      <c r="AW550" s="25" t="str">
        <f t="shared" si="146"/>
        <v/>
      </c>
      <c r="AX550" s="25" t="str">
        <f t="shared" si="147"/>
        <v/>
      </c>
      <c r="AY550" s="25" t="str">
        <f t="shared" si="148"/>
        <v/>
      </c>
      <c r="AZ550" s="25" t="str">
        <f t="shared" si="149"/>
        <v/>
      </c>
      <c r="BA550" s="25" t="str">
        <f t="shared" si="150"/>
        <v/>
      </c>
      <c r="BB550" s="25" t="str">
        <f t="shared" si="151"/>
        <v/>
      </c>
      <c r="BC550" s="25" t="str">
        <f t="shared" si="152"/>
        <v/>
      </c>
    </row>
    <row r="551" spans="1:55" x14ac:dyDescent="0.25">
      <c r="A551" s="149" t="str">
        <f t="shared" si="137"/>
        <v/>
      </c>
      <c r="B551" s="149"/>
      <c r="C551" s="150"/>
      <c r="D551" s="149" t="str">
        <f t="shared" si="136"/>
        <v/>
      </c>
      <c r="E551" s="14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49"/>
      <c r="U551" s="149"/>
      <c r="V551" s="150"/>
      <c r="W551" s="170"/>
      <c r="X551" s="169"/>
      <c r="Y551" s="169"/>
      <c r="Z551" s="171" t="str">
        <f>IF(B551="","",IF(S551&lt;&gt;"","Sevk Edildi",IF(AND(X551&lt;&gt;"",Y551=""),"Reworkte",IF(T551&lt;&gt;"","Kapandı"&amp;IF(COUNT(G551:R551)=0,""," – "&amp;LOOKUP(2,1/(G551:R551=MAX(G551:R551)),{"Tasarım","Ply Cutter","Üretim","Kalite (Üretim sonrası)","Talaşlı","Kalite (Talaşlı sonrası)","Montaj","Kalite (Montaj sonrası)","Boya","Kalite (Boya sonrası)","Yarı Mamül","KM"})),IF(COUNT(G551:R551)=0,"Başlamadı",LOOKUP(2,1/(G551:R551=MAX(G551:R551)),{"Tasarımda","Ply Cutter'da","Üretimde","Kalitede (Üretim sonrası)","Talaşlıda","Kalitede (Talaşlı sonrası)","Montajda","Kalitede (Montaj sonrası)","Boyada","Kalitede (Boya sonrası)","Yarı Mamülde","KM'de"}))))))</f>
        <v/>
      </c>
      <c r="AA551" s="172" t="str">
        <f t="shared" ca="1" si="138"/>
        <v/>
      </c>
      <c r="AB551" s="170"/>
      <c r="AD551" t="str">
        <f>IF(OR($B551="",NOT(ISNUMBER(G551))),"",IF(COUNTIF(H551:$T551,G551)&gt;0,0,IF(COUNTIF($G551:$T551,"&gt;"&amp;G551)=0,"",SMALL($G551:$T551,COUNTIF($G551:$T551,"&lt;="&amp;G551)+1)-G551)))</f>
        <v/>
      </c>
      <c r="AE551" t="str">
        <f>IF(OR($B551="",NOT(ISNUMBER(H551))),"",IF(COUNTIF(I551:$T551,H551)&gt;0,0,IF(COUNTIF($G551:$T551,"&gt;"&amp;H551)=0,"",SMALL($G551:$T551,COUNTIF($G551:$T551,"&lt;="&amp;H551)+1)-H551)))</f>
        <v/>
      </c>
      <c r="AF551" t="str">
        <f>IF(OR($B551="",NOT(ISNUMBER(I551))),"",IF(COUNTIF(J551:$T551,I551)&gt;0,0,IF(COUNTIF($G551:$T551,"&gt;"&amp;I551)=0,"",SMALL($G551:$T551,COUNTIF($G551:$T551,"&lt;="&amp;I551)+1)-I551)))</f>
        <v/>
      </c>
      <c r="AG551" t="str">
        <f>IF(OR($B551="",NOT(ISNUMBER(J551))),"",IF(COUNTIF(K551:$T551,J551)&gt;0,0,IF(COUNTIF($G551:$T551,"&gt;"&amp;J551)=0,"",SMALL($G551:$T551,COUNTIF($G551:$T551,"&lt;="&amp;J551)+1)-J551)))</f>
        <v/>
      </c>
      <c r="AH551" t="str">
        <f>IF(OR($B551="",NOT(ISNUMBER(K551))),"",IF(COUNTIF(L551:$T551,K551)&gt;0,0,IF(COUNTIF($G551:$T551,"&gt;"&amp;K551)=0,"",SMALL($G551:$T551,COUNTIF($G551:$T551,"&lt;="&amp;K551)+1)-K551)))</f>
        <v/>
      </c>
      <c r="AI551" t="str">
        <f>IF(OR($B551="",NOT(ISNUMBER(L551))),"",IF(COUNTIF(M551:$T551,L551)&gt;0,0,IF(COUNTIF($G551:$T551,"&gt;"&amp;L551)=0,"",SMALL($G551:$T551,COUNTIF($G551:$T551,"&lt;="&amp;L551)+1)-L551)))</f>
        <v/>
      </c>
      <c r="AJ551" t="str">
        <f>IF(OR($B551="",NOT(ISNUMBER(M551))),"",IF(COUNTIF(N551:$T551,M551)&gt;0,0,IF(COUNTIF($G551:$T551,"&gt;"&amp;M551)=0,"",SMALL($G551:$T551,COUNTIF($G551:$T551,"&lt;="&amp;M551)+1)-M551)))</f>
        <v/>
      </c>
      <c r="AK551" t="str">
        <f>IF(OR($B551="",NOT(ISNUMBER(N551))),"",IF(COUNTIF(O551:$T551,N551)&gt;0,0,IF(COUNTIF($G551:$T551,"&gt;"&amp;N551)=0,"",SMALL($G551:$T551,COUNTIF($G551:$T551,"&lt;="&amp;N551)+1)-N551)))</f>
        <v/>
      </c>
      <c r="AL551" t="str">
        <f>IF(OR($B551="",NOT(ISNUMBER(O551))),"",IF(COUNTIF(P551:$T551,O551)&gt;0,0,IF(COUNTIF($G551:$T551,"&gt;"&amp;O551)=0,"",SMALL($G551:$T551,COUNTIF($G551:$T551,"&lt;="&amp;O551)+1)-O551)))</f>
        <v/>
      </c>
      <c r="AM551" t="str">
        <f>IF(OR($B551="",NOT(ISNUMBER(P551))),"",IF(COUNTIF(Q551:$T551,P551)&gt;0,0,IF(COUNTIF($G551:$T551,"&gt;"&amp;P551)=0,"",SMALL($G551:$T551,COUNTIF($G551:$T551,"&lt;="&amp;P551)+1)-P551)))</f>
        <v/>
      </c>
      <c r="AN551" t="str">
        <f>IF(OR($B551="",NOT(ISNUMBER(Q551))),"",IF(COUNTIF(R551:$T551,Q551)&gt;0,0,IF(COUNTIF($G551:$T551,"&gt;"&amp;Q551)=0,"",SMALL($G551:$T551,COUNTIF($G551:$T551,"&lt;="&amp;Q551)+1)-Q551)))</f>
        <v/>
      </c>
      <c r="AO551" t="str">
        <f>IF(OR($B551="",NOT(ISNUMBER(R551))),"",IF(COUNTIF(S551:$T551,R551)&gt;0,0,IF(COUNTIF($G551:$T551,"&gt;"&amp;R551)=0,"",SMALL($G551:$T551,COUNTIF($G551:$T551,"&lt;="&amp;R551)+1)-R551)))</f>
        <v/>
      </c>
      <c r="AP551">
        <f t="shared" ca="1" si="139"/>
        <v>0</v>
      </c>
      <c r="AQ551" s="25" t="str">
        <f t="shared" si="140"/>
        <v/>
      </c>
      <c r="AR551" s="25" t="str">
        <f t="shared" si="141"/>
        <v/>
      </c>
      <c r="AS551" s="25" t="str">
        <f t="shared" si="142"/>
        <v/>
      </c>
      <c r="AT551" s="25" t="str">
        <f t="shared" si="143"/>
        <v/>
      </c>
      <c r="AU551" s="25" t="str">
        <f t="shared" si="144"/>
        <v/>
      </c>
      <c r="AV551" s="25" t="str">
        <f t="shared" si="145"/>
        <v/>
      </c>
      <c r="AW551" s="25" t="str">
        <f t="shared" si="146"/>
        <v/>
      </c>
      <c r="AX551" s="25" t="str">
        <f t="shared" si="147"/>
        <v/>
      </c>
      <c r="AY551" s="25" t="str">
        <f t="shared" si="148"/>
        <v/>
      </c>
      <c r="AZ551" s="25" t="str">
        <f t="shared" si="149"/>
        <v/>
      </c>
      <c r="BA551" s="25" t="str">
        <f t="shared" si="150"/>
        <v/>
      </c>
      <c r="BB551" s="25" t="str">
        <f t="shared" si="151"/>
        <v/>
      </c>
      <c r="BC551" s="25" t="str">
        <f t="shared" si="152"/>
        <v/>
      </c>
    </row>
    <row r="552" spans="1:55" x14ac:dyDescent="0.25">
      <c r="A552" s="19" t="str">
        <f t="shared" si="137"/>
        <v/>
      </c>
      <c r="B552" s="19"/>
      <c r="C552" s="20"/>
      <c r="D552" s="19" t="str">
        <f t="shared" si="136"/>
        <v/>
      </c>
      <c r="E552" s="19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19"/>
      <c r="U552" s="19"/>
      <c r="V552" s="20"/>
      <c r="W552" s="22"/>
      <c r="X552" s="21"/>
      <c r="Y552" s="21"/>
      <c r="Z552" s="23" t="str">
        <f>IF(B552="","",IF(S552&lt;&gt;"","Sevk Edildi",IF(AND(X552&lt;&gt;"",Y552=""),"Reworkte",IF(T552&lt;&gt;"","Kapandı"&amp;IF(COUNT(G552:R552)=0,""," – "&amp;LOOKUP(2,1/(G552:R552=MAX(G552:R552)),{"Tasarım","Ply Cutter","Üretim","Kalite (Üretim sonrası)","Talaşlı","Kalite (Talaşlı sonrası)","Montaj","Kalite (Montaj sonrası)","Boya","Kalite (Boya sonrası)","Yarı Mamül","KM"})),IF(COUNT(G552:R552)=0,"Başlamadı",LOOKUP(2,1/(G552:R552=MAX(G552:R552)),{"Tasarımda","Ply Cutter'da","Üretimde","Kalitede (Üretim sonrası)","Talaşlıda","Kalitede (Talaşlı sonrası)","Montajda","Kalitede (Montaj sonrası)","Boyada","Kalitede (Boya sonrası)","Yarı Mamülde","KM'de"}))))))</f>
        <v/>
      </c>
      <c r="AA552" s="24" t="str">
        <f t="shared" ca="1" si="138"/>
        <v/>
      </c>
      <c r="AB552" s="22"/>
      <c r="AD552" t="str">
        <f>IF(OR($B552="",NOT(ISNUMBER(G552))),"",IF(COUNTIF(H552:$T552,G552)&gt;0,0,IF(COUNTIF($G552:$T552,"&gt;"&amp;G552)=0,"",SMALL($G552:$T552,COUNTIF($G552:$T552,"&lt;="&amp;G552)+1)-G552)))</f>
        <v/>
      </c>
      <c r="AE552" t="str">
        <f>IF(OR($B552="",NOT(ISNUMBER(H552))),"",IF(COUNTIF(I552:$T552,H552)&gt;0,0,IF(COUNTIF($G552:$T552,"&gt;"&amp;H552)=0,"",SMALL($G552:$T552,COUNTIF($G552:$T552,"&lt;="&amp;H552)+1)-H552)))</f>
        <v/>
      </c>
      <c r="AF552" t="str">
        <f>IF(OR($B552="",NOT(ISNUMBER(I552))),"",IF(COUNTIF(J552:$T552,I552)&gt;0,0,IF(COUNTIF($G552:$T552,"&gt;"&amp;I552)=0,"",SMALL($G552:$T552,COUNTIF($G552:$T552,"&lt;="&amp;I552)+1)-I552)))</f>
        <v/>
      </c>
      <c r="AG552" t="str">
        <f>IF(OR($B552="",NOT(ISNUMBER(J552))),"",IF(COUNTIF(K552:$T552,J552)&gt;0,0,IF(COUNTIF($G552:$T552,"&gt;"&amp;J552)=0,"",SMALL($G552:$T552,COUNTIF($G552:$T552,"&lt;="&amp;J552)+1)-J552)))</f>
        <v/>
      </c>
      <c r="AH552" t="str">
        <f>IF(OR($B552="",NOT(ISNUMBER(K552))),"",IF(COUNTIF(L552:$T552,K552)&gt;0,0,IF(COUNTIF($G552:$T552,"&gt;"&amp;K552)=0,"",SMALL($G552:$T552,COUNTIF($G552:$T552,"&lt;="&amp;K552)+1)-K552)))</f>
        <v/>
      </c>
      <c r="AI552" t="str">
        <f>IF(OR($B552="",NOT(ISNUMBER(L552))),"",IF(COUNTIF(M552:$T552,L552)&gt;0,0,IF(COUNTIF($G552:$T552,"&gt;"&amp;L552)=0,"",SMALL($G552:$T552,COUNTIF($G552:$T552,"&lt;="&amp;L552)+1)-L552)))</f>
        <v/>
      </c>
      <c r="AJ552" t="str">
        <f>IF(OR($B552="",NOT(ISNUMBER(M552))),"",IF(COUNTIF(N552:$T552,M552)&gt;0,0,IF(COUNTIF($G552:$T552,"&gt;"&amp;M552)=0,"",SMALL($G552:$T552,COUNTIF($G552:$T552,"&lt;="&amp;M552)+1)-M552)))</f>
        <v/>
      </c>
      <c r="AK552" t="str">
        <f>IF(OR($B552="",NOT(ISNUMBER(N552))),"",IF(COUNTIF(O552:$T552,N552)&gt;0,0,IF(COUNTIF($G552:$T552,"&gt;"&amp;N552)=0,"",SMALL($G552:$T552,COUNTIF($G552:$T552,"&lt;="&amp;N552)+1)-N552)))</f>
        <v/>
      </c>
      <c r="AL552" t="str">
        <f>IF(OR($B552="",NOT(ISNUMBER(O552))),"",IF(COUNTIF(P552:$T552,O552)&gt;0,0,IF(COUNTIF($G552:$T552,"&gt;"&amp;O552)=0,"",SMALL($G552:$T552,COUNTIF($G552:$T552,"&lt;="&amp;O552)+1)-O552)))</f>
        <v/>
      </c>
      <c r="AM552" t="str">
        <f>IF(OR($B552="",NOT(ISNUMBER(P552))),"",IF(COUNTIF(Q552:$T552,P552)&gt;0,0,IF(COUNTIF($G552:$T552,"&gt;"&amp;P552)=0,"",SMALL($G552:$T552,COUNTIF($G552:$T552,"&lt;="&amp;P552)+1)-P552)))</f>
        <v/>
      </c>
      <c r="AN552" t="str">
        <f>IF(OR($B552="",NOT(ISNUMBER(Q552))),"",IF(COUNTIF(R552:$T552,Q552)&gt;0,0,IF(COUNTIF($G552:$T552,"&gt;"&amp;Q552)=0,"",SMALL($G552:$T552,COUNTIF($G552:$T552,"&lt;="&amp;Q552)+1)-Q552)))</f>
        <v/>
      </c>
      <c r="AO552" t="str">
        <f>IF(OR($B552="",NOT(ISNUMBER(R552))),"",IF(COUNTIF(S552:$T552,R552)&gt;0,0,IF(COUNTIF($G552:$T552,"&gt;"&amp;R552)=0,"",SMALL($G552:$T552,COUNTIF($G552:$T552,"&lt;="&amp;R552)+1)-R552)))</f>
        <v/>
      </c>
      <c r="AP552">
        <f t="shared" ca="1" si="139"/>
        <v>0</v>
      </c>
      <c r="AQ552" s="25" t="str">
        <f t="shared" si="140"/>
        <v/>
      </c>
      <c r="AR552" s="25" t="str">
        <f t="shared" si="141"/>
        <v/>
      </c>
      <c r="AS552" s="25" t="str">
        <f t="shared" si="142"/>
        <v/>
      </c>
      <c r="AT552" s="25" t="str">
        <f t="shared" si="143"/>
        <v/>
      </c>
      <c r="AU552" s="25" t="str">
        <f t="shared" si="144"/>
        <v/>
      </c>
      <c r="AV552" s="25" t="str">
        <f t="shared" si="145"/>
        <v/>
      </c>
      <c r="AW552" s="25" t="str">
        <f t="shared" si="146"/>
        <v/>
      </c>
      <c r="AX552" s="25" t="str">
        <f t="shared" si="147"/>
        <v/>
      </c>
      <c r="AY552" s="25" t="str">
        <f t="shared" si="148"/>
        <v/>
      </c>
      <c r="AZ552" s="25" t="str">
        <f t="shared" si="149"/>
        <v/>
      </c>
      <c r="BA552" s="25" t="str">
        <f t="shared" si="150"/>
        <v/>
      </c>
      <c r="BB552" s="25" t="str">
        <f t="shared" si="151"/>
        <v/>
      </c>
      <c r="BC552" s="25" t="str">
        <f t="shared" si="152"/>
        <v/>
      </c>
    </row>
    <row r="553" spans="1:55" x14ac:dyDescent="0.25">
      <c r="A553" s="19" t="str">
        <f t="shared" si="137"/>
        <v/>
      </c>
      <c r="B553" s="19"/>
      <c r="C553" s="20"/>
      <c r="D553" s="19" t="str">
        <f t="shared" si="136"/>
        <v/>
      </c>
      <c r="E553" s="19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19"/>
      <c r="U553" s="19"/>
      <c r="V553" s="20"/>
      <c r="W553" s="22"/>
      <c r="X553" s="21"/>
      <c r="Y553" s="21"/>
      <c r="Z553" s="23" t="str">
        <f>IF(B553="","",IF(S553&lt;&gt;"","Sevk Edildi",IF(AND(X553&lt;&gt;"",Y553=""),"Reworkte",IF(T553&lt;&gt;"","Kapandı"&amp;IF(COUNT(G553:R553)=0,""," – "&amp;LOOKUP(2,1/(G553:R553=MAX(G553:R553)),{"Tasarım","Ply Cutter","Üretim","Kalite (Üretim sonrası)","Talaşlı","Kalite (Talaşlı sonrası)","Montaj","Kalite (Montaj sonrası)","Boya","Kalite (Boya sonrası)","Yarı Mamül","KM"})),IF(COUNT(G553:R553)=0,"Başlamadı",LOOKUP(2,1/(G553:R553=MAX(G553:R553)),{"Tasarımda","Ply Cutter'da","Üretimde","Kalitede (Üretim sonrası)","Talaşlıda","Kalitede (Talaşlı sonrası)","Montajda","Kalitede (Montaj sonrası)","Boyada","Kalitede (Boya sonrası)","Yarı Mamülde","KM'de"}))))))</f>
        <v/>
      </c>
      <c r="AA553" s="24" t="str">
        <f t="shared" ca="1" si="138"/>
        <v/>
      </c>
      <c r="AB553" s="22"/>
      <c r="AD553" t="str">
        <f>IF(OR($B553="",NOT(ISNUMBER(G553))),"",IF(COUNTIF(H553:$T553,G553)&gt;0,0,IF(COUNTIF($G553:$T553,"&gt;"&amp;G553)=0,"",SMALL($G553:$T553,COUNTIF($G553:$T553,"&lt;="&amp;G553)+1)-G553)))</f>
        <v/>
      </c>
      <c r="AE553" t="str">
        <f>IF(OR($B553="",NOT(ISNUMBER(H553))),"",IF(COUNTIF(I553:$T553,H553)&gt;0,0,IF(COUNTIF($G553:$T553,"&gt;"&amp;H553)=0,"",SMALL($G553:$T553,COUNTIF($G553:$T553,"&lt;="&amp;H553)+1)-H553)))</f>
        <v/>
      </c>
      <c r="AF553" t="str">
        <f>IF(OR($B553="",NOT(ISNUMBER(I553))),"",IF(COUNTIF(J553:$T553,I553)&gt;0,0,IF(COUNTIF($G553:$T553,"&gt;"&amp;I553)=0,"",SMALL($G553:$T553,COUNTIF($G553:$T553,"&lt;="&amp;I553)+1)-I553)))</f>
        <v/>
      </c>
      <c r="AG553" t="str">
        <f>IF(OR($B553="",NOT(ISNUMBER(J553))),"",IF(COUNTIF(K553:$T553,J553)&gt;0,0,IF(COUNTIF($G553:$T553,"&gt;"&amp;J553)=0,"",SMALL($G553:$T553,COUNTIF($G553:$T553,"&lt;="&amp;J553)+1)-J553)))</f>
        <v/>
      </c>
      <c r="AH553" t="str">
        <f>IF(OR($B553="",NOT(ISNUMBER(K553))),"",IF(COUNTIF(L553:$T553,K553)&gt;0,0,IF(COUNTIF($G553:$T553,"&gt;"&amp;K553)=0,"",SMALL($G553:$T553,COUNTIF($G553:$T553,"&lt;="&amp;K553)+1)-K553)))</f>
        <v/>
      </c>
      <c r="AI553" t="str">
        <f>IF(OR($B553="",NOT(ISNUMBER(L553))),"",IF(COUNTIF(M553:$T553,L553)&gt;0,0,IF(COUNTIF($G553:$T553,"&gt;"&amp;L553)=0,"",SMALL($G553:$T553,COUNTIF($G553:$T553,"&lt;="&amp;L553)+1)-L553)))</f>
        <v/>
      </c>
      <c r="AJ553" t="str">
        <f>IF(OR($B553="",NOT(ISNUMBER(M553))),"",IF(COUNTIF(N553:$T553,M553)&gt;0,0,IF(COUNTIF($G553:$T553,"&gt;"&amp;M553)=0,"",SMALL($G553:$T553,COUNTIF($G553:$T553,"&lt;="&amp;M553)+1)-M553)))</f>
        <v/>
      </c>
      <c r="AK553" t="str">
        <f>IF(OR($B553="",NOT(ISNUMBER(N553))),"",IF(COUNTIF(O553:$T553,N553)&gt;0,0,IF(COUNTIF($G553:$T553,"&gt;"&amp;N553)=0,"",SMALL($G553:$T553,COUNTIF($G553:$T553,"&lt;="&amp;N553)+1)-N553)))</f>
        <v/>
      </c>
      <c r="AL553" t="str">
        <f>IF(OR($B553="",NOT(ISNUMBER(O553))),"",IF(COUNTIF(P553:$T553,O553)&gt;0,0,IF(COUNTIF($G553:$T553,"&gt;"&amp;O553)=0,"",SMALL($G553:$T553,COUNTIF($G553:$T553,"&lt;="&amp;O553)+1)-O553)))</f>
        <v/>
      </c>
      <c r="AM553" t="str">
        <f>IF(OR($B553="",NOT(ISNUMBER(P553))),"",IF(COUNTIF(Q553:$T553,P553)&gt;0,0,IF(COUNTIF($G553:$T553,"&gt;"&amp;P553)=0,"",SMALL($G553:$T553,COUNTIF($G553:$T553,"&lt;="&amp;P553)+1)-P553)))</f>
        <v/>
      </c>
      <c r="AN553" t="str">
        <f>IF(OR($B553="",NOT(ISNUMBER(Q553))),"",IF(COUNTIF(R553:$T553,Q553)&gt;0,0,IF(COUNTIF($G553:$T553,"&gt;"&amp;Q553)=0,"",SMALL($G553:$T553,COUNTIF($G553:$T553,"&lt;="&amp;Q553)+1)-Q553)))</f>
        <v/>
      </c>
      <c r="AO553" t="str">
        <f>IF(OR($B553="",NOT(ISNUMBER(R553))),"",IF(COUNTIF(S553:$T553,R553)&gt;0,0,IF(COUNTIF($G553:$T553,"&gt;"&amp;R553)=0,"",SMALL($G553:$T553,COUNTIF($G553:$T553,"&lt;="&amp;R553)+1)-R553)))</f>
        <v/>
      </c>
      <c r="AP553">
        <f t="shared" ca="1" si="139"/>
        <v>0</v>
      </c>
      <c r="AQ553" s="25" t="str">
        <f t="shared" si="140"/>
        <v/>
      </c>
      <c r="AR553" s="25" t="str">
        <f t="shared" si="141"/>
        <v/>
      </c>
      <c r="AS553" s="25" t="str">
        <f t="shared" si="142"/>
        <v/>
      </c>
      <c r="AT553" s="25" t="str">
        <f t="shared" si="143"/>
        <v/>
      </c>
      <c r="AU553" s="25" t="str">
        <f t="shared" si="144"/>
        <v/>
      </c>
      <c r="AV553" s="25" t="str">
        <f t="shared" si="145"/>
        <v/>
      </c>
      <c r="AW553" s="25" t="str">
        <f t="shared" si="146"/>
        <v/>
      </c>
      <c r="AX553" s="25" t="str">
        <f t="shared" si="147"/>
        <v/>
      </c>
      <c r="AY553" s="25" t="str">
        <f t="shared" si="148"/>
        <v/>
      </c>
      <c r="AZ553" s="25" t="str">
        <f t="shared" si="149"/>
        <v/>
      </c>
      <c r="BA553" s="25" t="str">
        <f t="shared" si="150"/>
        <v/>
      </c>
      <c r="BB553" s="25" t="str">
        <f t="shared" si="151"/>
        <v/>
      </c>
      <c r="BC553" s="25" t="str">
        <f t="shared" si="152"/>
        <v/>
      </c>
    </row>
    <row r="554" spans="1:55" x14ac:dyDescent="0.25">
      <c r="A554" s="19" t="str">
        <f t="shared" si="137"/>
        <v/>
      </c>
      <c r="B554" s="19"/>
      <c r="C554" s="20"/>
      <c r="D554" s="19" t="str">
        <f t="shared" si="136"/>
        <v/>
      </c>
      <c r="E554" s="19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19"/>
      <c r="U554" s="19"/>
      <c r="V554" s="20"/>
      <c r="W554" s="22"/>
      <c r="X554" s="21"/>
      <c r="Y554" s="21"/>
      <c r="Z554" s="23" t="str">
        <f>IF(B554="","",IF(S554&lt;&gt;"","Sevk Edildi",IF(AND(X554&lt;&gt;"",Y554=""),"Reworkte",IF(T554&lt;&gt;"","Kapandı"&amp;IF(COUNT(G554:R554)=0,""," – "&amp;LOOKUP(2,1/(G554:R554=MAX(G554:R554)),{"Tasarım","Ply Cutter","Üretim","Kalite (Üretim sonrası)","Talaşlı","Kalite (Talaşlı sonrası)","Montaj","Kalite (Montaj sonrası)","Boya","Kalite (Boya sonrası)","Yarı Mamül","KM"})),IF(COUNT(G554:R554)=0,"Başlamadı",LOOKUP(2,1/(G554:R554=MAX(G554:R554)),{"Tasarımda","Ply Cutter'da","Üretimde","Kalitede (Üretim sonrası)","Talaşlıda","Kalitede (Talaşlı sonrası)","Montajda","Kalitede (Montaj sonrası)","Boyada","Kalitede (Boya sonrası)","Yarı Mamülde","KM'de"}))))))</f>
        <v/>
      </c>
      <c r="AA554" s="24" t="str">
        <f t="shared" ca="1" si="138"/>
        <v/>
      </c>
      <c r="AB554" s="22"/>
      <c r="AD554" t="str">
        <f>IF(OR($B554="",NOT(ISNUMBER(G554))),"",IF(COUNTIF(H554:$T554,G554)&gt;0,0,IF(COUNTIF($G554:$T554,"&gt;"&amp;G554)=0,"",SMALL($G554:$T554,COUNTIF($G554:$T554,"&lt;="&amp;G554)+1)-G554)))</f>
        <v/>
      </c>
      <c r="AE554" t="str">
        <f>IF(OR($B554="",NOT(ISNUMBER(H554))),"",IF(COUNTIF(I554:$T554,H554)&gt;0,0,IF(COUNTIF($G554:$T554,"&gt;"&amp;H554)=0,"",SMALL($G554:$T554,COUNTIF($G554:$T554,"&lt;="&amp;H554)+1)-H554)))</f>
        <v/>
      </c>
      <c r="AF554" t="str">
        <f>IF(OR($B554="",NOT(ISNUMBER(I554))),"",IF(COUNTIF(J554:$T554,I554)&gt;0,0,IF(COUNTIF($G554:$T554,"&gt;"&amp;I554)=0,"",SMALL($G554:$T554,COUNTIF($G554:$T554,"&lt;="&amp;I554)+1)-I554)))</f>
        <v/>
      </c>
      <c r="AG554" t="str">
        <f>IF(OR($B554="",NOT(ISNUMBER(J554))),"",IF(COUNTIF(K554:$T554,J554)&gt;0,0,IF(COUNTIF($G554:$T554,"&gt;"&amp;J554)=0,"",SMALL($G554:$T554,COUNTIF($G554:$T554,"&lt;="&amp;J554)+1)-J554)))</f>
        <v/>
      </c>
      <c r="AH554" t="str">
        <f>IF(OR($B554="",NOT(ISNUMBER(K554))),"",IF(COUNTIF(L554:$T554,K554)&gt;0,0,IF(COUNTIF($G554:$T554,"&gt;"&amp;K554)=0,"",SMALL($G554:$T554,COUNTIF($G554:$T554,"&lt;="&amp;K554)+1)-K554)))</f>
        <v/>
      </c>
      <c r="AI554" t="str">
        <f>IF(OR($B554="",NOT(ISNUMBER(L554))),"",IF(COUNTIF(M554:$T554,L554)&gt;0,0,IF(COUNTIF($G554:$T554,"&gt;"&amp;L554)=0,"",SMALL($G554:$T554,COUNTIF($G554:$T554,"&lt;="&amp;L554)+1)-L554)))</f>
        <v/>
      </c>
      <c r="AJ554" t="str">
        <f>IF(OR($B554="",NOT(ISNUMBER(M554))),"",IF(COUNTIF(N554:$T554,M554)&gt;0,0,IF(COUNTIF($G554:$T554,"&gt;"&amp;M554)=0,"",SMALL($G554:$T554,COUNTIF($G554:$T554,"&lt;="&amp;M554)+1)-M554)))</f>
        <v/>
      </c>
      <c r="AK554" t="str">
        <f>IF(OR($B554="",NOT(ISNUMBER(N554))),"",IF(COUNTIF(O554:$T554,N554)&gt;0,0,IF(COUNTIF($G554:$T554,"&gt;"&amp;N554)=0,"",SMALL($G554:$T554,COUNTIF($G554:$T554,"&lt;="&amp;N554)+1)-N554)))</f>
        <v/>
      </c>
      <c r="AL554" t="str">
        <f>IF(OR($B554="",NOT(ISNUMBER(O554))),"",IF(COUNTIF(P554:$T554,O554)&gt;0,0,IF(COUNTIF($G554:$T554,"&gt;"&amp;O554)=0,"",SMALL($G554:$T554,COUNTIF($G554:$T554,"&lt;="&amp;O554)+1)-O554)))</f>
        <v/>
      </c>
      <c r="AM554" t="str">
        <f>IF(OR($B554="",NOT(ISNUMBER(P554))),"",IF(COUNTIF(Q554:$T554,P554)&gt;0,0,IF(COUNTIF($G554:$T554,"&gt;"&amp;P554)=0,"",SMALL($G554:$T554,COUNTIF($G554:$T554,"&lt;="&amp;P554)+1)-P554)))</f>
        <v/>
      </c>
      <c r="AN554" t="str">
        <f>IF(OR($B554="",NOT(ISNUMBER(Q554))),"",IF(COUNTIF(R554:$T554,Q554)&gt;0,0,IF(COUNTIF($G554:$T554,"&gt;"&amp;Q554)=0,"",SMALL($G554:$T554,COUNTIF($G554:$T554,"&lt;="&amp;Q554)+1)-Q554)))</f>
        <v/>
      </c>
      <c r="AO554" t="str">
        <f>IF(OR($B554="",NOT(ISNUMBER(R554))),"",IF(COUNTIF(S554:$T554,R554)&gt;0,0,IF(COUNTIF($G554:$T554,"&gt;"&amp;R554)=0,"",SMALL($G554:$T554,COUNTIF($G554:$T554,"&lt;="&amp;R554)+1)-R554)))</f>
        <v/>
      </c>
      <c r="AP554">
        <f t="shared" ca="1" si="139"/>
        <v>0</v>
      </c>
      <c r="AQ554" s="25" t="str">
        <f t="shared" si="140"/>
        <v/>
      </c>
      <c r="AR554" s="25" t="str">
        <f t="shared" si="141"/>
        <v/>
      </c>
      <c r="AS554" s="25" t="str">
        <f t="shared" si="142"/>
        <v/>
      </c>
      <c r="AT554" s="25" t="str">
        <f t="shared" si="143"/>
        <v/>
      </c>
      <c r="AU554" s="25" t="str">
        <f t="shared" si="144"/>
        <v/>
      </c>
      <c r="AV554" s="25" t="str">
        <f t="shared" si="145"/>
        <v/>
      </c>
      <c r="AW554" s="25" t="str">
        <f t="shared" si="146"/>
        <v/>
      </c>
      <c r="AX554" s="25" t="str">
        <f t="shared" si="147"/>
        <v/>
      </c>
      <c r="AY554" s="25" t="str">
        <f t="shared" si="148"/>
        <v/>
      </c>
      <c r="AZ554" s="25" t="str">
        <f t="shared" si="149"/>
        <v/>
      </c>
      <c r="BA554" s="25" t="str">
        <f t="shared" si="150"/>
        <v/>
      </c>
      <c r="BB554" s="25" t="str">
        <f t="shared" si="151"/>
        <v/>
      </c>
      <c r="BC554" s="25" t="str">
        <f t="shared" si="152"/>
        <v/>
      </c>
    </row>
    <row r="555" spans="1:55" x14ac:dyDescent="0.25">
      <c r="A555" s="19" t="str">
        <f t="shared" si="137"/>
        <v/>
      </c>
      <c r="B555" s="19"/>
      <c r="C555" s="20"/>
      <c r="D555" s="19" t="str">
        <f t="shared" si="136"/>
        <v/>
      </c>
      <c r="E555" s="19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19"/>
      <c r="U555" s="19"/>
      <c r="V555" s="20"/>
      <c r="W555" s="22"/>
      <c r="X555" s="21"/>
      <c r="Y555" s="21"/>
      <c r="Z555" s="23" t="str">
        <f>IF(B555="","",IF(S555&lt;&gt;"","Sevk Edildi",IF(AND(X555&lt;&gt;"",Y555=""),"Reworkte",IF(T555&lt;&gt;"","Kapandı"&amp;IF(COUNT(G555:R555)=0,""," – "&amp;LOOKUP(2,1/(G555:R555=MAX(G555:R555)),{"Tasarım","Ply Cutter","Üretim","Kalite (Üretim sonrası)","Talaşlı","Kalite (Talaşlı sonrası)","Montaj","Kalite (Montaj sonrası)","Boya","Kalite (Boya sonrası)","Yarı Mamül","KM"})),IF(COUNT(G555:R555)=0,"Başlamadı",LOOKUP(2,1/(G555:R555=MAX(G555:R555)),{"Tasarımda","Ply Cutter'da","Üretimde","Kalitede (Üretim sonrası)","Talaşlıda","Kalitede (Talaşlı sonrası)","Montajda","Kalitede (Montaj sonrası)","Boyada","Kalitede (Boya sonrası)","Yarı Mamülde","KM'de"}))))))</f>
        <v/>
      </c>
      <c r="AA555" s="24" t="str">
        <f t="shared" ca="1" si="138"/>
        <v/>
      </c>
      <c r="AB555" s="22"/>
      <c r="AD555" t="str">
        <f>IF(OR($B555="",NOT(ISNUMBER(G555))),"",IF(COUNTIF(H555:$T555,G555)&gt;0,0,IF(COUNTIF($G555:$T555,"&gt;"&amp;G555)=0,"",SMALL($G555:$T555,COUNTIF($G555:$T555,"&lt;="&amp;G555)+1)-G555)))</f>
        <v/>
      </c>
      <c r="AE555" t="str">
        <f>IF(OR($B555="",NOT(ISNUMBER(H555))),"",IF(COUNTIF(I555:$T555,H555)&gt;0,0,IF(COUNTIF($G555:$T555,"&gt;"&amp;H555)=0,"",SMALL($G555:$T555,COUNTIF($G555:$T555,"&lt;="&amp;H555)+1)-H555)))</f>
        <v/>
      </c>
      <c r="AF555" t="str">
        <f>IF(OR($B555="",NOT(ISNUMBER(I555))),"",IF(COUNTIF(J555:$T555,I555)&gt;0,0,IF(COUNTIF($G555:$T555,"&gt;"&amp;I555)=0,"",SMALL($G555:$T555,COUNTIF($G555:$T555,"&lt;="&amp;I555)+1)-I555)))</f>
        <v/>
      </c>
      <c r="AG555" t="str">
        <f>IF(OR($B555="",NOT(ISNUMBER(J555))),"",IF(COUNTIF(K555:$T555,J555)&gt;0,0,IF(COUNTIF($G555:$T555,"&gt;"&amp;J555)=0,"",SMALL($G555:$T555,COUNTIF($G555:$T555,"&lt;="&amp;J555)+1)-J555)))</f>
        <v/>
      </c>
      <c r="AH555" t="str">
        <f>IF(OR($B555="",NOT(ISNUMBER(K555))),"",IF(COUNTIF(L555:$T555,K555)&gt;0,0,IF(COUNTIF($G555:$T555,"&gt;"&amp;K555)=0,"",SMALL($G555:$T555,COUNTIF($G555:$T555,"&lt;="&amp;K555)+1)-K555)))</f>
        <v/>
      </c>
      <c r="AI555" t="str">
        <f>IF(OR($B555="",NOT(ISNUMBER(L555))),"",IF(COUNTIF(M555:$T555,L555)&gt;0,0,IF(COUNTIF($G555:$T555,"&gt;"&amp;L555)=0,"",SMALL($G555:$T555,COUNTIF($G555:$T555,"&lt;="&amp;L555)+1)-L555)))</f>
        <v/>
      </c>
      <c r="AJ555" t="str">
        <f>IF(OR($B555="",NOT(ISNUMBER(M555))),"",IF(COUNTIF(N555:$T555,M555)&gt;0,0,IF(COUNTIF($G555:$T555,"&gt;"&amp;M555)=0,"",SMALL($G555:$T555,COUNTIF($G555:$T555,"&lt;="&amp;M555)+1)-M555)))</f>
        <v/>
      </c>
      <c r="AK555" t="str">
        <f>IF(OR($B555="",NOT(ISNUMBER(N555))),"",IF(COUNTIF(O555:$T555,N555)&gt;0,0,IF(COUNTIF($G555:$T555,"&gt;"&amp;N555)=0,"",SMALL($G555:$T555,COUNTIF($G555:$T555,"&lt;="&amp;N555)+1)-N555)))</f>
        <v/>
      </c>
      <c r="AL555" t="str">
        <f>IF(OR($B555="",NOT(ISNUMBER(O555))),"",IF(COUNTIF(P555:$T555,O555)&gt;0,0,IF(COUNTIF($G555:$T555,"&gt;"&amp;O555)=0,"",SMALL($G555:$T555,COUNTIF($G555:$T555,"&lt;="&amp;O555)+1)-O555)))</f>
        <v/>
      </c>
      <c r="AM555" t="str">
        <f>IF(OR($B555="",NOT(ISNUMBER(P555))),"",IF(COUNTIF(Q555:$T555,P555)&gt;0,0,IF(COUNTIF($G555:$T555,"&gt;"&amp;P555)=0,"",SMALL($G555:$T555,COUNTIF($G555:$T555,"&lt;="&amp;P555)+1)-P555)))</f>
        <v/>
      </c>
      <c r="AN555" t="str">
        <f>IF(OR($B555="",NOT(ISNUMBER(Q555))),"",IF(COUNTIF(R555:$T555,Q555)&gt;0,0,IF(COUNTIF($G555:$T555,"&gt;"&amp;Q555)=0,"",SMALL($G555:$T555,COUNTIF($G555:$T555,"&lt;="&amp;Q555)+1)-Q555)))</f>
        <v/>
      </c>
      <c r="AO555" t="str">
        <f>IF(OR($B555="",NOT(ISNUMBER(R555))),"",IF(COUNTIF(S555:$T555,R555)&gt;0,0,IF(COUNTIF($G555:$T555,"&gt;"&amp;R555)=0,"",SMALL($G555:$T555,COUNTIF($G555:$T555,"&lt;="&amp;R555)+1)-R555)))</f>
        <v/>
      </c>
      <c r="AP555">
        <f t="shared" ca="1" si="139"/>
        <v>0</v>
      </c>
      <c r="AQ555" s="25" t="str">
        <f t="shared" si="140"/>
        <v/>
      </c>
      <c r="AR555" s="25" t="str">
        <f t="shared" si="141"/>
        <v/>
      </c>
      <c r="AS555" s="25" t="str">
        <f t="shared" si="142"/>
        <v/>
      </c>
      <c r="AT555" s="25" t="str">
        <f t="shared" si="143"/>
        <v/>
      </c>
      <c r="AU555" s="25" t="str">
        <f t="shared" si="144"/>
        <v/>
      </c>
      <c r="AV555" s="25" t="str">
        <f t="shared" si="145"/>
        <v/>
      </c>
      <c r="AW555" s="25" t="str">
        <f t="shared" si="146"/>
        <v/>
      </c>
      <c r="AX555" s="25" t="str">
        <f t="shared" si="147"/>
        <v/>
      </c>
      <c r="AY555" s="25" t="str">
        <f t="shared" si="148"/>
        <v/>
      </c>
      <c r="AZ555" s="25" t="str">
        <f t="shared" si="149"/>
        <v/>
      </c>
      <c r="BA555" s="25" t="str">
        <f t="shared" si="150"/>
        <v/>
      </c>
      <c r="BB555" s="25" t="str">
        <f t="shared" si="151"/>
        <v/>
      </c>
      <c r="BC555" s="25" t="str">
        <f t="shared" si="152"/>
        <v/>
      </c>
    </row>
    <row r="556" spans="1:55" x14ac:dyDescent="0.25">
      <c r="A556" s="19" t="str">
        <f t="shared" si="137"/>
        <v/>
      </c>
      <c r="B556" s="19"/>
      <c r="C556" s="20"/>
      <c r="D556" s="19" t="str">
        <f t="shared" si="136"/>
        <v/>
      </c>
      <c r="E556" s="19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19"/>
      <c r="U556" s="19"/>
      <c r="V556" s="20"/>
      <c r="W556" s="22"/>
      <c r="X556" s="21"/>
      <c r="Y556" s="21"/>
      <c r="Z556" s="23" t="str">
        <f>IF(B556="","",IF(S556&lt;&gt;"","Sevk Edildi",IF(AND(X556&lt;&gt;"",Y556=""),"Reworkte",IF(T556&lt;&gt;"","Kapandı"&amp;IF(COUNT(G556:R556)=0,""," – "&amp;LOOKUP(2,1/(G556:R556=MAX(G556:R556)),{"Tasarım","Ply Cutter","Üretim","Kalite (Üretim sonrası)","Talaşlı","Kalite (Talaşlı sonrası)","Montaj","Kalite (Montaj sonrası)","Boya","Kalite (Boya sonrası)","Yarı Mamül","KM"})),IF(COUNT(G556:R556)=0,"Başlamadı",LOOKUP(2,1/(G556:R556=MAX(G556:R556)),{"Tasarımda","Ply Cutter'da","Üretimde","Kalitede (Üretim sonrası)","Talaşlıda","Kalitede (Talaşlı sonrası)","Montajda","Kalitede (Montaj sonrası)","Boyada","Kalitede (Boya sonrası)","Yarı Mamülde","KM'de"}))))))</f>
        <v/>
      </c>
      <c r="AA556" s="24" t="str">
        <f t="shared" ca="1" si="138"/>
        <v/>
      </c>
      <c r="AB556" s="22"/>
      <c r="AD556" t="str">
        <f>IF(OR($B556="",NOT(ISNUMBER(G556))),"",IF(COUNTIF(H556:$T556,G556)&gt;0,0,IF(COUNTIF($G556:$T556,"&gt;"&amp;G556)=0,"",SMALL($G556:$T556,COUNTIF($G556:$T556,"&lt;="&amp;G556)+1)-G556)))</f>
        <v/>
      </c>
      <c r="AE556" t="str">
        <f>IF(OR($B556="",NOT(ISNUMBER(H556))),"",IF(COUNTIF(I556:$T556,H556)&gt;0,0,IF(COUNTIF($G556:$T556,"&gt;"&amp;H556)=0,"",SMALL($G556:$T556,COUNTIF($G556:$T556,"&lt;="&amp;H556)+1)-H556)))</f>
        <v/>
      </c>
      <c r="AF556" t="str">
        <f>IF(OR($B556="",NOT(ISNUMBER(I556))),"",IF(COUNTIF(J556:$T556,I556)&gt;0,0,IF(COUNTIF($G556:$T556,"&gt;"&amp;I556)=0,"",SMALL($G556:$T556,COUNTIF($G556:$T556,"&lt;="&amp;I556)+1)-I556)))</f>
        <v/>
      </c>
      <c r="AG556" t="str">
        <f>IF(OR($B556="",NOT(ISNUMBER(J556))),"",IF(COUNTIF(K556:$T556,J556)&gt;0,0,IF(COUNTIF($G556:$T556,"&gt;"&amp;J556)=0,"",SMALL($G556:$T556,COUNTIF($G556:$T556,"&lt;="&amp;J556)+1)-J556)))</f>
        <v/>
      </c>
      <c r="AH556" t="str">
        <f>IF(OR($B556="",NOT(ISNUMBER(K556))),"",IF(COUNTIF(L556:$T556,K556)&gt;0,0,IF(COUNTIF($G556:$T556,"&gt;"&amp;K556)=0,"",SMALL($G556:$T556,COUNTIF($G556:$T556,"&lt;="&amp;K556)+1)-K556)))</f>
        <v/>
      </c>
      <c r="AI556" t="str">
        <f>IF(OR($B556="",NOT(ISNUMBER(L556))),"",IF(COUNTIF(M556:$T556,L556)&gt;0,0,IF(COUNTIF($G556:$T556,"&gt;"&amp;L556)=0,"",SMALL($G556:$T556,COUNTIF($G556:$T556,"&lt;="&amp;L556)+1)-L556)))</f>
        <v/>
      </c>
      <c r="AJ556" t="str">
        <f>IF(OR($B556="",NOT(ISNUMBER(M556))),"",IF(COUNTIF(N556:$T556,M556)&gt;0,0,IF(COUNTIF($G556:$T556,"&gt;"&amp;M556)=0,"",SMALL($G556:$T556,COUNTIF($G556:$T556,"&lt;="&amp;M556)+1)-M556)))</f>
        <v/>
      </c>
      <c r="AK556" t="str">
        <f>IF(OR($B556="",NOT(ISNUMBER(N556))),"",IF(COUNTIF(O556:$T556,N556)&gt;0,0,IF(COUNTIF($G556:$T556,"&gt;"&amp;N556)=0,"",SMALL($G556:$T556,COUNTIF($G556:$T556,"&lt;="&amp;N556)+1)-N556)))</f>
        <v/>
      </c>
      <c r="AL556" t="str">
        <f>IF(OR($B556="",NOT(ISNUMBER(O556))),"",IF(COUNTIF(P556:$T556,O556)&gt;0,0,IF(COUNTIF($G556:$T556,"&gt;"&amp;O556)=0,"",SMALL($G556:$T556,COUNTIF($G556:$T556,"&lt;="&amp;O556)+1)-O556)))</f>
        <v/>
      </c>
      <c r="AM556" t="str">
        <f>IF(OR($B556="",NOT(ISNUMBER(P556))),"",IF(COUNTIF(Q556:$T556,P556)&gt;0,0,IF(COUNTIF($G556:$T556,"&gt;"&amp;P556)=0,"",SMALL($G556:$T556,COUNTIF($G556:$T556,"&lt;="&amp;P556)+1)-P556)))</f>
        <v/>
      </c>
      <c r="AN556" t="str">
        <f>IF(OR($B556="",NOT(ISNUMBER(Q556))),"",IF(COUNTIF(R556:$T556,Q556)&gt;0,0,IF(COUNTIF($G556:$T556,"&gt;"&amp;Q556)=0,"",SMALL($G556:$T556,COUNTIF($G556:$T556,"&lt;="&amp;Q556)+1)-Q556)))</f>
        <v/>
      </c>
      <c r="AO556" t="str">
        <f>IF(OR($B556="",NOT(ISNUMBER(R556))),"",IF(COUNTIF(S556:$T556,R556)&gt;0,0,IF(COUNTIF($G556:$T556,"&gt;"&amp;R556)=0,"",SMALL($G556:$T556,COUNTIF($G556:$T556,"&lt;="&amp;R556)+1)-R556)))</f>
        <v/>
      </c>
      <c r="AP556">
        <f t="shared" ca="1" si="139"/>
        <v>0</v>
      </c>
      <c r="AQ556" s="25" t="str">
        <f t="shared" si="140"/>
        <v/>
      </c>
      <c r="AR556" s="25" t="str">
        <f t="shared" si="141"/>
        <v/>
      </c>
      <c r="AS556" s="25" t="str">
        <f t="shared" si="142"/>
        <v/>
      </c>
      <c r="AT556" s="25" t="str">
        <f t="shared" si="143"/>
        <v/>
      </c>
      <c r="AU556" s="25" t="str">
        <f t="shared" si="144"/>
        <v/>
      </c>
      <c r="AV556" s="25" t="str">
        <f t="shared" si="145"/>
        <v/>
      </c>
      <c r="AW556" s="25" t="str">
        <f t="shared" si="146"/>
        <v/>
      </c>
      <c r="AX556" s="25" t="str">
        <f t="shared" si="147"/>
        <v/>
      </c>
      <c r="AY556" s="25" t="str">
        <f t="shared" si="148"/>
        <v/>
      </c>
      <c r="AZ556" s="25" t="str">
        <f t="shared" si="149"/>
        <v/>
      </c>
      <c r="BA556" s="25" t="str">
        <f t="shared" si="150"/>
        <v/>
      </c>
      <c r="BB556" s="25" t="str">
        <f t="shared" si="151"/>
        <v/>
      </c>
      <c r="BC556" s="25" t="str">
        <f t="shared" si="152"/>
        <v/>
      </c>
    </row>
    <row r="557" spans="1:55" x14ac:dyDescent="0.25">
      <c r="A557" s="19" t="str">
        <f t="shared" si="137"/>
        <v/>
      </c>
      <c r="B557" s="19"/>
      <c r="C557" s="20"/>
      <c r="D557" s="19" t="str">
        <f t="shared" si="136"/>
        <v/>
      </c>
      <c r="E557" s="19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19"/>
      <c r="U557" s="19"/>
      <c r="V557" s="20"/>
      <c r="W557" s="22"/>
      <c r="X557" s="21"/>
      <c r="Y557" s="21"/>
      <c r="Z557" s="23" t="str">
        <f>IF(B557="","",IF(S557&lt;&gt;"","Sevk Edildi",IF(AND(X557&lt;&gt;"",Y557=""),"Reworkte",IF(T557&lt;&gt;"","Kapandı"&amp;IF(COUNT(G557:R557)=0,""," – "&amp;LOOKUP(2,1/(G557:R557=MAX(G557:R557)),{"Tasarım","Ply Cutter","Üretim","Kalite (Üretim sonrası)","Talaşlı","Kalite (Talaşlı sonrası)","Montaj","Kalite (Montaj sonrası)","Boya","Kalite (Boya sonrası)","Yarı Mamül","KM"})),IF(COUNT(G557:R557)=0,"Başlamadı",LOOKUP(2,1/(G557:R557=MAX(G557:R557)),{"Tasarımda","Ply Cutter'da","Üretimde","Kalitede (Üretim sonrası)","Talaşlıda","Kalitede (Talaşlı sonrası)","Montajda","Kalitede (Montaj sonrası)","Boyada","Kalitede (Boya sonrası)","Yarı Mamülde","KM'de"}))))))</f>
        <v/>
      </c>
      <c r="AA557" s="24" t="str">
        <f t="shared" ca="1" si="138"/>
        <v/>
      </c>
      <c r="AB557" s="22"/>
      <c r="AD557" t="str">
        <f>IF(OR($B557="",NOT(ISNUMBER(G557))),"",IF(COUNTIF(H557:$T557,G557)&gt;0,0,IF(COUNTIF($G557:$T557,"&gt;"&amp;G557)=0,"",SMALL($G557:$T557,COUNTIF($G557:$T557,"&lt;="&amp;G557)+1)-G557)))</f>
        <v/>
      </c>
      <c r="AE557" t="str">
        <f>IF(OR($B557="",NOT(ISNUMBER(H557))),"",IF(COUNTIF(I557:$T557,H557)&gt;0,0,IF(COUNTIF($G557:$T557,"&gt;"&amp;H557)=0,"",SMALL($G557:$T557,COUNTIF($G557:$T557,"&lt;="&amp;H557)+1)-H557)))</f>
        <v/>
      </c>
      <c r="AF557" t="str">
        <f>IF(OR($B557="",NOT(ISNUMBER(I557))),"",IF(COUNTIF(J557:$T557,I557)&gt;0,0,IF(COUNTIF($G557:$T557,"&gt;"&amp;I557)=0,"",SMALL($G557:$T557,COUNTIF($G557:$T557,"&lt;="&amp;I557)+1)-I557)))</f>
        <v/>
      </c>
      <c r="AG557" t="str">
        <f>IF(OR($B557="",NOT(ISNUMBER(J557))),"",IF(COUNTIF(K557:$T557,J557)&gt;0,0,IF(COUNTIF($G557:$T557,"&gt;"&amp;J557)=0,"",SMALL($G557:$T557,COUNTIF($G557:$T557,"&lt;="&amp;J557)+1)-J557)))</f>
        <v/>
      </c>
      <c r="AH557" t="str">
        <f>IF(OR($B557="",NOT(ISNUMBER(K557))),"",IF(COUNTIF(L557:$T557,K557)&gt;0,0,IF(COUNTIF($G557:$T557,"&gt;"&amp;K557)=0,"",SMALL($G557:$T557,COUNTIF($G557:$T557,"&lt;="&amp;K557)+1)-K557)))</f>
        <v/>
      </c>
      <c r="AI557" t="str">
        <f>IF(OR($B557="",NOT(ISNUMBER(L557))),"",IF(COUNTIF(M557:$T557,L557)&gt;0,0,IF(COUNTIF($G557:$T557,"&gt;"&amp;L557)=0,"",SMALL($G557:$T557,COUNTIF($G557:$T557,"&lt;="&amp;L557)+1)-L557)))</f>
        <v/>
      </c>
      <c r="AJ557" t="str">
        <f>IF(OR($B557="",NOT(ISNUMBER(M557))),"",IF(COUNTIF(N557:$T557,M557)&gt;0,0,IF(COUNTIF($G557:$T557,"&gt;"&amp;M557)=0,"",SMALL($G557:$T557,COUNTIF($G557:$T557,"&lt;="&amp;M557)+1)-M557)))</f>
        <v/>
      </c>
      <c r="AK557" t="str">
        <f>IF(OR($B557="",NOT(ISNUMBER(N557))),"",IF(COUNTIF(O557:$T557,N557)&gt;0,0,IF(COUNTIF($G557:$T557,"&gt;"&amp;N557)=0,"",SMALL($G557:$T557,COUNTIF($G557:$T557,"&lt;="&amp;N557)+1)-N557)))</f>
        <v/>
      </c>
      <c r="AL557" t="str">
        <f>IF(OR($B557="",NOT(ISNUMBER(O557))),"",IF(COUNTIF(P557:$T557,O557)&gt;0,0,IF(COUNTIF($G557:$T557,"&gt;"&amp;O557)=0,"",SMALL($G557:$T557,COUNTIF($G557:$T557,"&lt;="&amp;O557)+1)-O557)))</f>
        <v/>
      </c>
      <c r="AM557" t="str">
        <f>IF(OR($B557="",NOT(ISNUMBER(P557))),"",IF(COUNTIF(Q557:$T557,P557)&gt;0,0,IF(COUNTIF($G557:$T557,"&gt;"&amp;P557)=0,"",SMALL($G557:$T557,COUNTIF($G557:$T557,"&lt;="&amp;P557)+1)-P557)))</f>
        <v/>
      </c>
      <c r="AN557" t="str">
        <f>IF(OR($B557="",NOT(ISNUMBER(Q557))),"",IF(COUNTIF(R557:$T557,Q557)&gt;0,0,IF(COUNTIF($G557:$T557,"&gt;"&amp;Q557)=0,"",SMALL($G557:$T557,COUNTIF($G557:$T557,"&lt;="&amp;Q557)+1)-Q557)))</f>
        <v/>
      </c>
      <c r="AO557" t="str">
        <f>IF(OR($B557="",NOT(ISNUMBER(R557))),"",IF(COUNTIF(S557:$T557,R557)&gt;0,0,IF(COUNTIF($G557:$T557,"&gt;"&amp;R557)=0,"",SMALL($G557:$T557,COUNTIF($G557:$T557,"&lt;="&amp;R557)+1)-R557)))</f>
        <v/>
      </c>
      <c r="AP557">
        <f t="shared" ca="1" si="139"/>
        <v>0</v>
      </c>
      <c r="AQ557" s="25" t="str">
        <f t="shared" si="140"/>
        <v/>
      </c>
      <c r="AR557" s="25" t="str">
        <f t="shared" si="141"/>
        <v/>
      </c>
      <c r="AS557" s="25" t="str">
        <f t="shared" si="142"/>
        <v/>
      </c>
      <c r="AT557" s="25" t="str">
        <f t="shared" si="143"/>
        <v/>
      </c>
      <c r="AU557" s="25" t="str">
        <f t="shared" si="144"/>
        <v/>
      </c>
      <c r="AV557" s="25" t="str">
        <f t="shared" si="145"/>
        <v/>
      </c>
      <c r="AW557" s="25" t="str">
        <f t="shared" si="146"/>
        <v/>
      </c>
      <c r="AX557" s="25" t="str">
        <f t="shared" si="147"/>
        <v/>
      </c>
      <c r="AY557" s="25" t="str">
        <f t="shared" si="148"/>
        <v/>
      </c>
      <c r="AZ557" s="25" t="str">
        <f t="shared" si="149"/>
        <v/>
      </c>
      <c r="BA557" s="25" t="str">
        <f t="shared" si="150"/>
        <v/>
      </c>
      <c r="BB557" s="25" t="str">
        <f t="shared" si="151"/>
        <v/>
      </c>
      <c r="BC557" s="25" t="str">
        <f t="shared" si="152"/>
        <v/>
      </c>
    </row>
    <row r="558" spans="1:55" x14ac:dyDescent="0.25">
      <c r="A558" s="19" t="str">
        <f t="shared" si="137"/>
        <v/>
      </c>
      <c r="B558" s="19"/>
      <c r="C558" s="20"/>
      <c r="D558" s="19" t="str">
        <f t="shared" si="136"/>
        <v/>
      </c>
      <c r="E558" s="19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19"/>
      <c r="U558" s="19"/>
      <c r="V558" s="20"/>
      <c r="W558" s="22"/>
      <c r="X558" s="21"/>
      <c r="Y558" s="21"/>
      <c r="Z558" s="23" t="str">
        <f>IF(B558="","",IF(S558&lt;&gt;"","Sevk Edildi",IF(AND(X558&lt;&gt;"",Y558=""),"Reworkte",IF(T558&lt;&gt;"","Kapandı"&amp;IF(COUNT(G558:R558)=0,""," – "&amp;LOOKUP(2,1/(G558:R558=MAX(G558:R558)),{"Tasarım","Ply Cutter","Üretim","Kalite (Üretim sonrası)","Talaşlı","Kalite (Talaşlı sonrası)","Montaj","Kalite (Montaj sonrası)","Boya","Kalite (Boya sonrası)","Yarı Mamül","KM"})),IF(COUNT(G558:R558)=0,"Başlamadı",LOOKUP(2,1/(G558:R558=MAX(G558:R558)),{"Tasarımda","Ply Cutter'da","Üretimde","Kalitede (Üretim sonrası)","Talaşlıda","Kalitede (Talaşlı sonrası)","Montajda","Kalitede (Montaj sonrası)","Boyada","Kalitede (Boya sonrası)","Yarı Mamülde","KM'de"}))))))</f>
        <v/>
      </c>
      <c r="AA558" s="24" t="str">
        <f t="shared" ca="1" si="138"/>
        <v/>
      </c>
      <c r="AB558" s="22"/>
      <c r="AD558" t="str">
        <f>IF(OR($B558="",NOT(ISNUMBER(G558))),"",IF(COUNTIF(H558:$T558,G558)&gt;0,0,IF(COUNTIF($G558:$T558,"&gt;"&amp;G558)=0,"",SMALL($G558:$T558,COUNTIF($G558:$T558,"&lt;="&amp;G558)+1)-G558)))</f>
        <v/>
      </c>
      <c r="AE558" t="str">
        <f>IF(OR($B558="",NOT(ISNUMBER(H558))),"",IF(COUNTIF(I558:$T558,H558)&gt;0,0,IF(COUNTIF($G558:$T558,"&gt;"&amp;H558)=0,"",SMALL($G558:$T558,COUNTIF($G558:$T558,"&lt;="&amp;H558)+1)-H558)))</f>
        <v/>
      </c>
      <c r="AF558" t="str">
        <f>IF(OR($B558="",NOT(ISNUMBER(I558))),"",IF(COUNTIF(J558:$T558,I558)&gt;0,0,IF(COUNTIF($G558:$T558,"&gt;"&amp;I558)=0,"",SMALL($G558:$T558,COUNTIF($G558:$T558,"&lt;="&amp;I558)+1)-I558)))</f>
        <v/>
      </c>
      <c r="AG558" t="str">
        <f>IF(OR($B558="",NOT(ISNUMBER(J558))),"",IF(COUNTIF(K558:$T558,J558)&gt;0,0,IF(COUNTIF($G558:$T558,"&gt;"&amp;J558)=0,"",SMALL($G558:$T558,COUNTIF($G558:$T558,"&lt;="&amp;J558)+1)-J558)))</f>
        <v/>
      </c>
      <c r="AH558" t="str">
        <f>IF(OR($B558="",NOT(ISNUMBER(K558))),"",IF(COUNTIF(L558:$T558,K558)&gt;0,0,IF(COUNTIF($G558:$T558,"&gt;"&amp;K558)=0,"",SMALL($G558:$T558,COUNTIF($G558:$T558,"&lt;="&amp;K558)+1)-K558)))</f>
        <v/>
      </c>
      <c r="AI558" t="str">
        <f>IF(OR($B558="",NOT(ISNUMBER(L558))),"",IF(COUNTIF(M558:$T558,L558)&gt;0,0,IF(COUNTIF($G558:$T558,"&gt;"&amp;L558)=0,"",SMALL($G558:$T558,COUNTIF($G558:$T558,"&lt;="&amp;L558)+1)-L558)))</f>
        <v/>
      </c>
      <c r="AJ558" t="str">
        <f>IF(OR($B558="",NOT(ISNUMBER(M558))),"",IF(COUNTIF(N558:$T558,M558)&gt;0,0,IF(COUNTIF($G558:$T558,"&gt;"&amp;M558)=0,"",SMALL($G558:$T558,COUNTIF($G558:$T558,"&lt;="&amp;M558)+1)-M558)))</f>
        <v/>
      </c>
      <c r="AK558" t="str">
        <f>IF(OR($B558="",NOT(ISNUMBER(N558))),"",IF(COUNTIF(O558:$T558,N558)&gt;0,0,IF(COUNTIF($G558:$T558,"&gt;"&amp;N558)=0,"",SMALL($G558:$T558,COUNTIF($G558:$T558,"&lt;="&amp;N558)+1)-N558)))</f>
        <v/>
      </c>
      <c r="AL558" t="str">
        <f>IF(OR($B558="",NOT(ISNUMBER(O558))),"",IF(COUNTIF(P558:$T558,O558)&gt;0,0,IF(COUNTIF($G558:$T558,"&gt;"&amp;O558)=0,"",SMALL($G558:$T558,COUNTIF($G558:$T558,"&lt;="&amp;O558)+1)-O558)))</f>
        <v/>
      </c>
      <c r="AM558" t="str">
        <f>IF(OR($B558="",NOT(ISNUMBER(P558))),"",IF(COUNTIF(Q558:$T558,P558)&gt;0,0,IF(COUNTIF($G558:$T558,"&gt;"&amp;P558)=0,"",SMALL($G558:$T558,COUNTIF($G558:$T558,"&lt;="&amp;P558)+1)-P558)))</f>
        <v/>
      </c>
      <c r="AN558" t="str">
        <f>IF(OR($B558="",NOT(ISNUMBER(Q558))),"",IF(COUNTIF(R558:$T558,Q558)&gt;0,0,IF(COUNTIF($G558:$T558,"&gt;"&amp;Q558)=0,"",SMALL($G558:$T558,COUNTIF($G558:$T558,"&lt;="&amp;Q558)+1)-Q558)))</f>
        <v/>
      </c>
      <c r="AO558" t="str">
        <f>IF(OR($B558="",NOT(ISNUMBER(R558))),"",IF(COUNTIF(S558:$T558,R558)&gt;0,0,IF(COUNTIF($G558:$T558,"&gt;"&amp;R558)=0,"",SMALL($G558:$T558,COUNTIF($G558:$T558,"&lt;="&amp;R558)+1)-R558)))</f>
        <v/>
      </c>
      <c r="AP558">
        <f t="shared" ca="1" si="139"/>
        <v>0</v>
      </c>
      <c r="AQ558" s="25" t="str">
        <f t="shared" si="140"/>
        <v/>
      </c>
      <c r="AR558" s="25" t="str">
        <f t="shared" si="141"/>
        <v/>
      </c>
      <c r="AS558" s="25" t="str">
        <f t="shared" si="142"/>
        <v/>
      </c>
      <c r="AT558" s="25" t="str">
        <f t="shared" si="143"/>
        <v/>
      </c>
      <c r="AU558" s="25" t="str">
        <f t="shared" si="144"/>
        <v/>
      </c>
      <c r="AV558" s="25" t="str">
        <f t="shared" si="145"/>
        <v/>
      </c>
      <c r="AW558" s="25" t="str">
        <f t="shared" si="146"/>
        <v/>
      </c>
      <c r="AX558" s="25" t="str">
        <f t="shared" si="147"/>
        <v/>
      </c>
      <c r="AY558" s="25" t="str">
        <f t="shared" si="148"/>
        <v/>
      </c>
      <c r="AZ558" s="25" t="str">
        <f t="shared" si="149"/>
        <v/>
      </c>
      <c r="BA558" s="25" t="str">
        <f t="shared" si="150"/>
        <v/>
      </c>
      <c r="BB558" s="25" t="str">
        <f t="shared" si="151"/>
        <v/>
      </c>
      <c r="BC558" s="25" t="str">
        <f t="shared" si="152"/>
        <v/>
      </c>
    </row>
    <row r="559" spans="1:55" x14ac:dyDescent="0.25">
      <c r="A559" s="19" t="str">
        <f t="shared" si="137"/>
        <v/>
      </c>
      <c r="B559" s="19"/>
      <c r="C559" s="20"/>
      <c r="D559" s="19" t="str">
        <f t="shared" si="136"/>
        <v/>
      </c>
      <c r="E559" s="19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19"/>
      <c r="U559" s="19"/>
      <c r="V559" s="20"/>
      <c r="W559" s="22"/>
      <c r="X559" s="21"/>
      <c r="Y559" s="21"/>
      <c r="Z559" s="23" t="str">
        <f>IF(B559="","",IF(S559&lt;&gt;"","Sevk Edildi",IF(AND(X559&lt;&gt;"",Y559=""),"Reworkte",IF(T559&lt;&gt;"","Kapandı"&amp;IF(COUNT(G559:R559)=0,""," – "&amp;LOOKUP(2,1/(G559:R559=MAX(G559:R559)),{"Tasarım","Ply Cutter","Üretim","Kalite (Üretim sonrası)","Talaşlı","Kalite (Talaşlı sonrası)","Montaj","Kalite (Montaj sonrası)","Boya","Kalite (Boya sonrası)","Yarı Mamül","KM"})),IF(COUNT(G559:R559)=0,"Başlamadı",LOOKUP(2,1/(G559:R559=MAX(G559:R559)),{"Tasarımda","Ply Cutter'da","Üretimde","Kalitede (Üretim sonrası)","Talaşlıda","Kalitede (Talaşlı sonrası)","Montajda","Kalitede (Montaj sonrası)","Boyada","Kalitede (Boya sonrası)","Yarı Mamülde","KM'de"}))))))</f>
        <v/>
      </c>
      <c r="AA559" s="24" t="str">
        <f t="shared" ca="1" si="138"/>
        <v/>
      </c>
      <c r="AB559" s="22"/>
      <c r="AD559" t="str">
        <f>IF(OR($B559="",NOT(ISNUMBER(G559))),"",IF(COUNTIF(H559:$T559,G559)&gt;0,0,IF(COUNTIF($G559:$T559,"&gt;"&amp;G559)=0,"",SMALL($G559:$T559,COUNTIF($G559:$T559,"&lt;="&amp;G559)+1)-G559)))</f>
        <v/>
      </c>
      <c r="AE559" t="str">
        <f>IF(OR($B559="",NOT(ISNUMBER(H559))),"",IF(COUNTIF(I559:$T559,H559)&gt;0,0,IF(COUNTIF($G559:$T559,"&gt;"&amp;H559)=0,"",SMALL($G559:$T559,COUNTIF($G559:$T559,"&lt;="&amp;H559)+1)-H559)))</f>
        <v/>
      </c>
      <c r="AF559" t="str">
        <f>IF(OR($B559="",NOT(ISNUMBER(I559))),"",IF(COUNTIF(J559:$T559,I559)&gt;0,0,IF(COUNTIF($G559:$T559,"&gt;"&amp;I559)=0,"",SMALL($G559:$T559,COUNTIF($G559:$T559,"&lt;="&amp;I559)+1)-I559)))</f>
        <v/>
      </c>
      <c r="AG559" t="str">
        <f>IF(OR($B559="",NOT(ISNUMBER(J559))),"",IF(COUNTIF(K559:$T559,J559)&gt;0,0,IF(COUNTIF($G559:$T559,"&gt;"&amp;J559)=0,"",SMALL($G559:$T559,COUNTIF($G559:$T559,"&lt;="&amp;J559)+1)-J559)))</f>
        <v/>
      </c>
      <c r="AH559" t="str">
        <f>IF(OR($B559="",NOT(ISNUMBER(K559))),"",IF(COUNTIF(L559:$T559,K559)&gt;0,0,IF(COUNTIF($G559:$T559,"&gt;"&amp;K559)=0,"",SMALL($G559:$T559,COUNTIF($G559:$T559,"&lt;="&amp;K559)+1)-K559)))</f>
        <v/>
      </c>
      <c r="AI559" t="str">
        <f>IF(OR($B559="",NOT(ISNUMBER(L559))),"",IF(COUNTIF(M559:$T559,L559)&gt;0,0,IF(COUNTIF($G559:$T559,"&gt;"&amp;L559)=0,"",SMALL($G559:$T559,COUNTIF($G559:$T559,"&lt;="&amp;L559)+1)-L559)))</f>
        <v/>
      </c>
      <c r="AJ559" t="str">
        <f>IF(OR($B559="",NOT(ISNUMBER(M559))),"",IF(COUNTIF(N559:$T559,M559)&gt;0,0,IF(COUNTIF($G559:$T559,"&gt;"&amp;M559)=0,"",SMALL($G559:$T559,COUNTIF($G559:$T559,"&lt;="&amp;M559)+1)-M559)))</f>
        <v/>
      </c>
      <c r="AK559" t="str">
        <f>IF(OR($B559="",NOT(ISNUMBER(N559))),"",IF(COUNTIF(O559:$T559,N559)&gt;0,0,IF(COUNTIF($G559:$T559,"&gt;"&amp;N559)=0,"",SMALL($G559:$T559,COUNTIF($G559:$T559,"&lt;="&amp;N559)+1)-N559)))</f>
        <v/>
      </c>
      <c r="AL559" t="str">
        <f>IF(OR($B559="",NOT(ISNUMBER(O559))),"",IF(COUNTIF(P559:$T559,O559)&gt;0,0,IF(COUNTIF($G559:$T559,"&gt;"&amp;O559)=0,"",SMALL($G559:$T559,COUNTIF($G559:$T559,"&lt;="&amp;O559)+1)-O559)))</f>
        <v/>
      </c>
      <c r="AM559" t="str">
        <f>IF(OR($B559="",NOT(ISNUMBER(P559))),"",IF(COUNTIF(Q559:$T559,P559)&gt;0,0,IF(COUNTIF($G559:$T559,"&gt;"&amp;P559)=0,"",SMALL($G559:$T559,COUNTIF($G559:$T559,"&lt;="&amp;P559)+1)-P559)))</f>
        <v/>
      </c>
      <c r="AN559" t="str">
        <f>IF(OR($B559="",NOT(ISNUMBER(Q559))),"",IF(COUNTIF(R559:$T559,Q559)&gt;0,0,IF(COUNTIF($G559:$T559,"&gt;"&amp;Q559)=0,"",SMALL($G559:$T559,COUNTIF($G559:$T559,"&lt;="&amp;Q559)+1)-Q559)))</f>
        <v/>
      </c>
      <c r="AO559" t="str">
        <f>IF(OR($B559="",NOT(ISNUMBER(R559))),"",IF(COUNTIF(S559:$T559,R559)&gt;0,0,IF(COUNTIF($G559:$T559,"&gt;"&amp;R559)=0,"",SMALL($G559:$T559,COUNTIF($G559:$T559,"&lt;="&amp;R559)+1)-R559)))</f>
        <v/>
      </c>
      <c r="AP559">
        <f t="shared" ca="1" si="139"/>
        <v>0</v>
      </c>
      <c r="AQ559" s="25" t="str">
        <f t="shared" si="140"/>
        <v/>
      </c>
      <c r="AR559" s="25" t="str">
        <f t="shared" si="141"/>
        <v/>
      </c>
      <c r="AS559" s="25" t="str">
        <f t="shared" si="142"/>
        <v/>
      </c>
      <c r="AT559" s="25" t="str">
        <f t="shared" si="143"/>
        <v/>
      </c>
      <c r="AU559" s="25" t="str">
        <f t="shared" si="144"/>
        <v/>
      </c>
      <c r="AV559" s="25" t="str">
        <f t="shared" si="145"/>
        <v/>
      </c>
      <c r="AW559" s="25" t="str">
        <f t="shared" si="146"/>
        <v/>
      </c>
      <c r="AX559" s="25" t="str">
        <f t="shared" si="147"/>
        <v/>
      </c>
      <c r="AY559" s="25" t="str">
        <f t="shared" si="148"/>
        <v/>
      </c>
      <c r="AZ559" s="25" t="str">
        <f t="shared" si="149"/>
        <v/>
      </c>
      <c r="BA559" s="25" t="str">
        <f t="shared" si="150"/>
        <v/>
      </c>
      <c r="BB559" s="25" t="str">
        <f t="shared" si="151"/>
        <v/>
      </c>
      <c r="BC559" s="25" t="str">
        <f t="shared" si="152"/>
        <v/>
      </c>
    </row>
    <row r="560" spans="1:55" x14ac:dyDescent="0.25">
      <c r="A560" s="19" t="str">
        <f t="shared" si="137"/>
        <v/>
      </c>
      <c r="B560" s="19"/>
      <c r="C560" s="20"/>
      <c r="D560" s="19" t="str">
        <f t="shared" si="136"/>
        <v/>
      </c>
      <c r="E560" s="19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19"/>
      <c r="U560" s="19"/>
      <c r="V560" s="20"/>
      <c r="W560" s="22"/>
      <c r="X560" s="21"/>
      <c r="Y560" s="21"/>
      <c r="Z560" s="23" t="str">
        <f>IF(B560="","",IF(S560&lt;&gt;"","Sevk Edildi",IF(AND(X560&lt;&gt;"",Y560=""),"Reworkte",IF(T560&lt;&gt;"","Kapandı"&amp;IF(COUNT(G560:R560)=0,""," – "&amp;LOOKUP(2,1/(G560:R560=MAX(G560:R560)),{"Tasarım","Ply Cutter","Üretim","Kalite (Üretim sonrası)","Talaşlı","Kalite (Talaşlı sonrası)","Montaj","Kalite (Montaj sonrası)","Boya","Kalite (Boya sonrası)","Yarı Mamül","KM"})),IF(COUNT(G560:R560)=0,"Başlamadı",LOOKUP(2,1/(G560:R560=MAX(G560:R560)),{"Tasarımda","Ply Cutter'da","Üretimde","Kalitede (Üretim sonrası)","Talaşlıda","Kalitede (Talaşlı sonrası)","Montajda","Kalitede (Montaj sonrası)","Boyada","Kalitede (Boya sonrası)","Yarı Mamülde","KM'de"}))))))</f>
        <v/>
      </c>
      <c r="AA560" s="24" t="str">
        <f t="shared" ca="1" si="138"/>
        <v/>
      </c>
      <c r="AB560" s="22"/>
      <c r="AD560" t="str">
        <f>IF(OR($B560="",NOT(ISNUMBER(G560))),"",IF(COUNTIF(H560:$T560,G560)&gt;0,0,IF(COUNTIF($G560:$T560,"&gt;"&amp;G560)=0,"",SMALL($G560:$T560,COUNTIF($G560:$T560,"&lt;="&amp;G560)+1)-G560)))</f>
        <v/>
      </c>
      <c r="AE560" t="str">
        <f>IF(OR($B560="",NOT(ISNUMBER(H560))),"",IF(COUNTIF(I560:$T560,H560)&gt;0,0,IF(COUNTIF($G560:$T560,"&gt;"&amp;H560)=0,"",SMALL($G560:$T560,COUNTIF($G560:$T560,"&lt;="&amp;H560)+1)-H560)))</f>
        <v/>
      </c>
      <c r="AF560" t="str">
        <f>IF(OR($B560="",NOT(ISNUMBER(I560))),"",IF(COUNTIF(J560:$T560,I560)&gt;0,0,IF(COUNTIF($G560:$T560,"&gt;"&amp;I560)=0,"",SMALL($G560:$T560,COUNTIF($G560:$T560,"&lt;="&amp;I560)+1)-I560)))</f>
        <v/>
      </c>
      <c r="AG560" t="str">
        <f>IF(OR($B560="",NOT(ISNUMBER(J560))),"",IF(COUNTIF(K560:$T560,J560)&gt;0,0,IF(COUNTIF($G560:$T560,"&gt;"&amp;J560)=0,"",SMALL($G560:$T560,COUNTIF($G560:$T560,"&lt;="&amp;J560)+1)-J560)))</f>
        <v/>
      </c>
      <c r="AH560" t="str">
        <f>IF(OR($B560="",NOT(ISNUMBER(K560))),"",IF(COUNTIF(L560:$T560,K560)&gt;0,0,IF(COUNTIF($G560:$T560,"&gt;"&amp;K560)=0,"",SMALL($G560:$T560,COUNTIF($G560:$T560,"&lt;="&amp;K560)+1)-K560)))</f>
        <v/>
      </c>
      <c r="AI560" t="str">
        <f>IF(OR($B560="",NOT(ISNUMBER(L560))),"",IF(COUNTIF(M560:$T560,L560)&gt;0,0,IF(COUNTIF($G560:$T560,"&gt;"&amp;L560)=0,"",SMALL($G560:$T560,COUNTIF($G560:$T560,"&lt;="&amp;L560)+1)-L560)))</f>
        <v/>
      </c>
      <c r="AJ560" t="str">
        <f>IF(OR($B560="",NOT(ISNUMBER(M560))),"",IF(COUNTIF(N560:$T560,M560)&gt;0,0,IF(COUNTIF($G560:$T560,"&gt;"&amp;M560)=0,"",SMALL($G560:$T560,COUNTIF($G560:$T560,"&lt;="&amp;M560)+1)-M560)))</f>
        <v/>
      </c>
      <c r="AK560" t="str">
        <f>IF(OR($B560="",NOT(ISNUMBER(N560))),"",IF(COUNTIF(O560:$T560,N560)&gt;0,0,IF(COUNTIF($G560:$T560,"&gt;"&amp;N560)=0,"",SMALL($G560:$T560,COUNTIF($G560:$T560,"&lt;="&amp;N560)+1)-N560)))</f>
        <v/>
      </c>
      <c r="AL560" t="str">
        <f>IF(OR($B560="",NOT(ISNUMBER(O560))),"",IF(COUNTIF(P560:$T560,O560)&gt;0,0,IF(COUNTIF($G560:$T560,"&gt;"&amp;O560)=0,"",SMALL($G560:$T560,COUNTIF($G560:$T560,"&lt;="&amp;O560)+1)-O560)))</f>
        <v/>
      </c>
      <c r="AM560" t="str">
        <f>IF(OR($B560="",NOT(ISNUMBER(P560))),"",IF(COUNTIF(Q560:$T560,P560)&gt;0,0,IF(COUNTIF($G560:$T560,"&gt;"&amp;P560)=0,"",SMALL($G560:$T560,COUNTIF($G560:$T560,"&lt;="&amp;P560)+1)-P560)))</f>
        <v/>
      </c>
      <c r="AN560" t="str">
        <f>IF(OR($B560="",NOT(ISNUMBER(Q560))),"",IF(COUNTIF(R560:$T560,Q560)&gt;0,0,IF(COUNTIF($G560:$T560,"&gt;"&amp;Q560)=0,"",SMALL($G560:$T560,COUNTIF($G560:$T560,"&lt;="&amp;Q560)+1)-Q560)))</f>
        <v/>
      </c>
      <c r="AO560" t="str">
        <f>IF(OR($B560="",NOT(ISNUMBER(R560))),"",IF(COUNTIF(S560:$T560,R560)&gt;0,0,IF(COUNTIF($G560:$T560,"&gt;"&amp;R560)=0,"",SMALL($G560:$T560,COUNTIF($G560:$T560,"&lt;="&amp;R560)+1)-R560)))</f>
        <v/>
      </c>
      <c r="AP560">
        <f t="shared" ca="1" si="139"/>
        <v>0</v>
      </c>
      <c r="AQ560" s="25" t="str">
        <f t="shared" si="140"/>
        <v/>
      </c>
      <c r="AR560" s="25" t="str">
        <f t="shared" si="141"/>
        <v/>
      </c>
      <c r="AS560" s="25" t="str">
        <f t="shared" si="142"/>
        <v/>
      </c>
      <c r="AT560" s="25" t="str">
        <f t="shared" si="143"/>
        <v/>
      </c>
      <c r="AU560" s="25" t="str">
        <f t="shared" si="144"/>
        <v/>
      </c>
      <c r="AV560" s="25" t="str">
        <f t="shared" si="145"/>
        <v/>
      </c>
      <c r="AW560" s="25" t="str">
        <f t="shared" si="146"/>
        <v/>
      </c>
      <c r="AX560" s="25" t="str">
        <f t="shared" si="147"/>
        <v/>
      </c>
      <c r="AY560" s="25" t="str">
        <f t="shared" si="148"/>
        <v/>
      </c>
      <c r="AZ560" s="25" t="str">
        <f t="shared" si="149"/>
        <v/>
      </c>
      <c r="BA560" s="25" t="str">
        <f t="shared" si="150"/>
        <v/>
      </c>
      <c r="BB560" s="25" t="str">
        <f t="shared" si="151"/>
        <v/>
      </c>
      <c r="BC560" s="25" t="str">
        <f t="shared" si="152"/>
        <v/>
      </c>
    </row>
    <row r="561" spans="1:55" x14ac:dyDescent="0.25">
      <c r="A561" s="19" t="str">
        <f t="shared" si="137"/>
        <v/>
      </c>
      <c r="B561" s="19"/>
      <c r="C561" s="20"/>
      <c r="D561" s="19" t="str">
        <f t="shared" si="136"/>
        <v/>
      </c>
      <c r="E561" s="19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19"/>
      <c r="U561" s="19"/>
      <c r="V561" s="20"/>
      <c r="W561" s="22"/>
      <c r="X561" s="21"/>
      <c r="Y561" s="21"/>
      <c r="Z561" s="23" t="str">
        <f>IF(B561="","",IF(S561&lt;&gt;"","Sevk Edildi",IF(AND(X561&lt;&gt;"",Y561=""),"Reworkte",IF(T561&lt;&gt;"","Kapandı"&amp;IF(COUNT(G561:R561)=0,""," – "&amp;LOOKUP(2,1/(G561:R561=MAX(G561:R561)),{"Tasarım","Ply Cutter","Üretim","Kalite (Üretim sonrası)","Talaşlı","Kalite (Talaşlı sonrası)","Montaj","Kalite (Montaj sonrası)","Boya","Kalite (Boya sonrası)","Yarı Mamül","KM"})),IF(COUNT(G561:R561)=0,"Başlamadı",LOOKUP(2,1/(G561:R561=MAX(G561:R561)),{"Tasarımda","Ply Cutter'da","Üretimde","Kalitede (Üretim sonrası)","Talaşlıda","Kalitede (Talaşlı sonrası)","Montajda","Kalitede (Montaj sonrası)","Boyada","Kalitede (Boya sonrası)","Yarı Mamülde","KM'de"}))))))</f>
        <v/>
      </c>
      <c r="AA561" s="24" t="str">
        <f t="shared" ca="1" si="138"/>
        <v/>
      </c>
      <c r="AB561" s="22"/>
      <c r="AD561" t="str">
        <f>IF(OR($B561="",NOT(ISNUMBER(G561))),"",IF(COUNTIF(H561:$T561,G561)&gt;0,0,IF(COUNTIF($G561:$T561,"&gt;"&amp;G561)=0,"",SMALL($G561:$T561,COUNTIF($G561:$T561,"&lt;="&amp;G561)+1)-G561)))</f>
        <v/>
      </c>
      <c r="AE561" t="str">
        <f>IF(OR($B561="",NOT(ISNUMBER(H561))),"",IF(COUNTIF(I561:$T561,H561)&gt;0,0,IF(COUNTIF($G561:$T561,"&gt;"&amp;H561)=0,"",SMALL($G561:$T561,COUNTIF($G561:$T561,"&lt;="&amp;H561)+1)-H561)))</f>
        <v/>
      </c>
      <c r="AF561" t="str">
        <f>IF(OR($B561="",NOT(ISNUMBER(I561))),"",IF(COUNTIF(J561:$T561,I561)&gt;0,0,IF(COUNTIF($G561:$T561,"&gt;"&amp;I561)=0,"",SMALL($G561:$T561,COUNTIF($G561:$T561,"&lt;="&amp;I561)+1)-I561)))</f>
        <v/>
      </c>
      <c r="AG561" t="str">
        <f>IF(OR($B561="",NOT(ISNUMBER(J561))),"",IF(COUNTIF(K561:$T561,J561)&gt;0,0,IF(COUNTIF($G561:$T561,"&gt;"&amp;J561)=0,"",SMALL($G561:$T561,COUNTIF($G561:$T561,"&lt;="&amp;J561)+1)-J561)))</f>
        <v/>
      </c>
      <c r="AH561" t="str">
        <f>IF(OR($B561="",NOT(ISNUMBER(K561))),"",IF(COUNTIF(L561:$T561,K561)&gt;0,0,IF(COUNTIF($G561:$T561,"&gt;"&amp;K561)=0,"",SMALL($G561:$T561,COUNTIF($G561:$T561,"&lt;="&amp;K561)+1)-K561)))</f>
        <v/>
      </c>
      <c r="AI561" t="str">
        <f>IF(OR($B561="",NOT(ISNUMBER(L561))),"",IF(COUNTIF(M561:$T561,L561)&gt;0,0,IF(COUNTIF($G561:$T561,"&gt;"&amp;L561)=0,"",SMALL($G561:$T561,COUNTIF($G561:$T561,"&lt;="&amp;L561)+1)-L561)))</f>
        <v/>
      </c>
      <c r="AJ561" t="str">
        <f>IF(OR($B561="",NOT(ISNUMBER(M561))),"",IF(COUNTIF(N561:$T561,M561)&gt;0,0,IF(COUNTIF($G561:$T561,"&gt;"&amp;M561)=0,"",SMALL($G561:$T561,COUNTIF($G561:$T561,"&lt;="&amp;M561)+1)-M561)))</f>
        <v/>
      </c>
      <c r="AK561" t="str">
        <f>IF(OR($B561="",NOT(ISNUMBER(N561))),"",IF(COUNTIF(O561:$T561,N561)&gt;0,0,IF(COUNTIF($G561:$T561,"&gt;"&amp;N561)=0,"",SMALL($G561:$T561,COUNTIF($G561:$T561,"&lt;="&amp;N561)+1)-N561)))</f>
        <v/>
      </c>
      <c r="AL561" t="str">
        <f>IF(OR($B561="",NOT(ISNUMBER(O561))),"",IF(COUNTIF(P561:$T561,O561)&gt;0,0,IF(COUNTIF($G561:$T561,"&gt;"&amp;O561)=0,"",SMALL($G561:$T561,COUNTIF($G561:$T561,"&lt;="&amp;O561)+1)-O561)))</f>
        <v/>
      </c>
      <c r="AM561" t="str">
        <f>IF(OR($B561="",NOT(ISNUMBER(P561))),"",IF(COUNTIF(Q561:$T561,P561)&gt;0,0,IF(COUNTIF($G561:$T561,"&gt;"&amp;P561)=0,"",SMALL($G561:$T561,COUNTIF($G561:$T561,"&lt;="&amp;P561)+1)-P561)))</f>
        <v/>
      </c>
      <c r="AN561" t="str">
        <f>IF(OR($B561="",NOT(ISNUMBER(Q561))),"",IF(COUNTIF(R561:$T561,Q561)&gt;0,0,IF(COUNTIF($G561:$T561,"&gt;"&amp;Q561)=0,"",SMALL($G561:$T561,COUNTIF($G561:$T561,"&lt;="&amp;Q561)+1)-Q561)))</f>
        <v/>
      </c>
      <c r="AO561" t="str">
        <f>IF(OR($B561="",NOT(ISNUMBER(R561))),"",IF(COUNTIF(S561:$T561,R561)&gt;0,0,IF(COUNTIF($G561:$T561,"&gt;"&amp;R561)=0,"",SMALL($G561:$T561,COUNTIF($G561:$T561,"&lt;="&amp;R561)+1)-R561)))</f>
        <v/>
      </c>
      <c r="AP561">
        <f t="shared" ca="1" si="139"/>
        <v>0</v>
      </c>
      <c r="AQ561" s="25" t="str">
        <f t="shared" si="140"/>
        <v/>
      </c>
      <c r="AR561" s="25" t="str">
        <f t="shared" si="141"/>
        <v/>
      </c>
      <c r="AS561" s="25" t="str">
        <f t="shared" si="142"/>
        <v/>
      </c>
      <c r="AT561" s="25" t="str">
        <f t="shared" si="143"/>
        <v/>
      </c>
      <c r="AU561" s="25" t="str">
        <f t="shared" si="144"/>
        <v/>
      </c>
      <c r="AV561" s="25" t="str">
        <f t="shared" si="145"/>
        <v/>
      </c>
      <c r="AW561" s="25" t="str">
        <f t="shared" si="146"/>
        <v/>
      </c>
      <c r="AX561" s="25" t="str">
        <f t="shared" si="147"/>
        <v/>
      </c>
      <c r="AY561" s="25" t="str">
        <f t="shared" si="148"/>
        <v/>
      </c>
      <c r="AZ561" s="25" t="str">
        <f t="shared" si="149"/>
        <v/>
      </c>
      <c r="BA561" s="25" t="str">
        <f t="shared" si="150"/>
        <v/>
      </c>
      <c r="BB561" s="25" t="str">
        <f t="shared" si="151"/>
        <v/>
      </c>
      <c r="BC561" s="25" t="str">
        <f t="shared" si="152"/>
        <v/>
      </c>
    </row>
    <row r="562" spans="1:55" x14ac:dyDescent="0.25">
      <c r="A562" s="19" t="str">
        <f t="shared" si="137"/>
        <v/>
      </c>
      <c r="B562" s="19"/>
      <c r="C562" s="20"/>
      <c r="D562" s="19" t="str">
        <f t="shared" si="136"/>
        <v/>
      </c>
      <c r="E562" s="19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19"/>
      <c r="U562" s="19"/>
      <c r="V562" s="20"/>
      <c r="W562" s="22"/>
      <c r="X562" s="21"/>
      <c r="Y562" s="21"/>
      <c r="Z562" s="23" t="str">
        <f>IF(B562="","",IF(S562&lt;&gt;"","Sevk Edildi",IF(AND(X562&lt;&gt;"",Y562=""),"Reworkte",IF(T562&lt;&gt;"","Kapandı"&amp;IF(COUNT(G562:R562)=0,""," – "&amp;LOOKUP(2,1/(G562:R562=MAX(G562:R562)),{"Tasarım","Ply Cutter","Üretim","Kalite (Üretim sonrası)","Talaşlı","Kalite (Talaşlı sonrası)","Montaj","Kalite (Montaj sonrası)","Boya","Kalite (Boya sonrası)","Yarı Mamül","KM"})),IF(COUNT(G562:R562)=0,"Başlamadı",LOOKUP(2,1/(G562:R562=MAX(G562:R562)),{"Tasarımda","Ply Cutter'da","Üretimde","Kalitede (Üretim sonrası)","Talaşlıda","Kalitede (Talaşlı sonrası)","Montajda","Kalitede (Montaj sonrası)","Boyada","Kalitede (Boya sonrası)","Yarı Mamülde","KM'de"}))))))</f>
        <v/>
      </c>
      <c r="AA562" s="24" t="str">
        <f t="shared" ca="1" si="138"/>
        <v/>
      </c>
      <c r="AB562" s="22"/>
      <c r="AD562" t="str">
        <f>IF(OR($B562="",NOT(ISNUMBER(G562))),"",IF(COUNTIF(H562:$T562,G562)&gt;0,0,IF(COUNTIF($G562:$T562,"&gt;"&amp;G562)=0,"",SMALL($G562:$T562,COUNTIF($G562:$T562,"&lt;="&amp;G562)+1)-G562)))</f>
        <v/>
      </c>
      <c r="AE562" t="str">
        <f>IF(OR($B562="",NOT(ISNUMBER(H562))),"",IF(COUNTIF(I562:$T562,H562)&gt;0,0,IF(COUNTIF($G562:$T562,"&gt;"&amp;H562)=0,"",SMALL($G562:$T562,COUNTIF($G562:$T562,"&lt;="&amp;H562)+1)-H562)))</f>
        <v/>
      </c>
      <c r="AF562" t="str">
        <f>IF(OR($B562="",NOT(ISNUMBER(I562))),"",IF(COUNTIF(J562:$T562,I562)&gt;0,0,IF(COUNTIF($G562:$T562,"&gt;"&amp;I562)=0,"",SMALL($G562:$T562,COUNTIF($G562:$T562,"&lt;="&amp;I562)+1)-I562)))</f>
        <v/>
      </c>
      <c r="AG562" t="str">
        <f>IF(OR($B562="",NOT(ISNUMBER(J562))),"",IF(COUNTIF(K562:$T562,J562)&gt;0,0,IF(COUNTIF($G562:$T562,"&gt;"&amp;J562)=0,"",SMALL($G562:$T562,COUNTIF($G562:$T562,"&lt;="&amp;J562)+1)-J562)))</f>
        <v/>
      </c>
      <c r="AH562" t="str">
        <f>IF(OR($B562="",NOT(ISNUMBER(K562))),"",IF(COUNTIF(L562:$T562,K562)&gt;0,0,IF(COUNTIF($G562:$T562,"&gt;"&amp;K562)=0,"",SMALL($G562:$T562,COUNTIF($G562:$T562,"&lt;="&amp;K562)+1)-K562)))</f>
        <v/>
      </c>
      <c r="AI562" t="str">
        <f>IF(OR($B562="",NOT(ISNUMBER(L562))),"",IF(COUNTIF(M562:$T562,L562)&gt;0,0,IF(COUNTIF($G562:$T562,"&gt;"&amp;L562)=0,"",SMALL($G562:$T562,COUNTIF($G562:$T562,"&lt;="&amp;L562)+1)-L562)))</f>
        <v/>
      </c>
      <c r="AJ562" t="str">
        <f>IF(OR($B562="",NOT(ISNUMBER(M562))),"",IF(COUNTIF(N562:$T562,M562)&gt;0,0,IF(COUNTIF($G562:$T562,"&gt;"&amp;M562)=0,"",SMALL($G562:$T562,COUNTIF($G562:$T562,"&lt;="&amp;M562)+1)-M562)))</f>
        <v/>
      </c>
      <c r="AK562" t="str">
        <f>IF(OR($B562="",NOT(ISNUMBER(N562))),"",IF(COUNTIF(O562:$T562,N562)&gt;0,0,IF(COUNTIF($G562:$T562,"&gt;"&amp;N562)=0,"",SMALL($G562:$T562,COUNTIF($G562:$T562,"&lt;="&amp;N562)+1)-N562)))</f>
        <v/>
      </c>
      <c r="AL562" t="str">
        <f>IF(OR($B562="",NOT(ISNUMBER(O562))),"",IF(COUNTIF(P562:$T562,O562)&gt;0,0,IF(COUNTIF($G562:$T562,"&gt;"&amp;O562)=0,"",SMALL($G562:$T562,COUNTIF($G562:$T562,"&lt;="&amp;O562)+1)-O562)))</f>
        <v/>
      </c>
      <c r="AM562" t="str">
        <f>IF(OR($B562="",NOT(ISNUMBER(P562))),"",IF(COUNTIF(Q562:$T562,P562)&gt;0,0,IF(COUNTIF($G562:$T562,"&gt;"&amp;P562)=0,"",SMALL($G562:$T562,COUNTIF($G562:$T562,"&lt;="&amp;P562)+1)-P562)))</f>
        <v/>
      </c>
      <c r="AN562" t="str">
        <f>IF(OR($B562="",NOT(ISNUMBER(Q562))),"",IF(COUNTIF(R562:$T562,Q562)&gt;0,0,IF(COUNTIF($G562:$T562,"&gt;"&amp;Q562)=0,"",SMALL($G562:$T562,COUNTIF($G562:$T562,"&lt;="&amp;Q562)+1)-Q562)))</f>
        <v/>
      </c>
      <c r="AO562" t="str">
        <f>IF(OR($B562="",NOT(ISNUMBER(R562))),"",IF(COUNTIF(S562:$T562,R562)&gt;0,0,IF(COUNTIF($G562:$T562,"&gt;"&amp;R562)=0,"",SMALL($G562:$T562,COUNTIF($G562:$T562,"&lt;="&amp;R562)+1)-R562)))</f>
        <v/>
      </c>
      <c r="AP562">
        <f t="shared" ca="1" si="139"/>
        <v>0</v>
      </c>
      <c r="AQ562" s="25" t="str">
        <f t="shared" si="140"/>
        <v/>
      </c>
      <c r="AR562" s="25" t="str">
        <f t="shared" si="141"/>
        <v/>
      </c>
      <c r="AS562" s="25" t="str">
        <f t="shared" si="142"/>
        <v/>
      </c>
      <c r="AT562" s="25" t="str">
        <f t="shared" si="143"/>
        <v/>
      </c>
      <c r="AU562" s="25" t="str">
        <f t="shared" si="144"/>
        <v/>
      </c>
      <c r="AV562" s="25" t="str">
        <f t="shared" si="145"/>
        <v/>
      </c>
      <c r="AW562" s="25" t="str">
        <f t="shared" si="146"/>
        <v/>
      </c>
      <c r="AX562" s="25" t="str">
        <f t="shared" si="147"/>
        <v/>
      </c>
      <c r="AY562" s="25" t="str">
        <f t="shared" si="148"/>
        <v/>
      </c>
      <c r="AZ562" s="25" t="str">
        <f t="shared" si="149"/>
        <v/>
      </c>
      <c r="BA562" s="25" t="str">
        <f t="shared" si="150"/>
        <v/>
      </c>
      <c r="BB562" s="25" t="str">
        <f t="shared" si="151"/>
        <v/>
      </c>
      <c r="BC562" s="25" t="str">
        <f t="shared" si="152"/>
        <v/>
      </c>
    </row>
    <row r="563" spans="1:55" x14ac:dyDescent="0.25">
      <c r="A563" s="19" t="str">
        <f t="shared" si="137"/>
        <v/>
      </c>
      <c r="B563" s="19"/>
      <c r="C563" s="20"/>
      <c r="D563" s="19" t="str">
        <f t="shared" si="136"/>
        <v/>
      </c>
      <c r="E563" s="19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19"/>
      <c r="U563" s="19"/>
      <c r="V563" s="20"/>
      <c r="W563" s="22"/>
      <c r="X563" s="21"/>
      <c r="Y563" s="21"/>
      <c r="Z563" s="23" t="str">
        <f>IF(B563="","",IF(S563&lt;&gt;"","Sevk Edildi",IF(AND(X563&lt;&gt;"",Y563=""),"Reworkte",IF(T563&lt;&gt;"","Kapandı"&amp;IF(COUNT(G563:R563)=0,""," – "&amp;LOOKUP(2,1/(G563:R563=MAX(G563:R563)),{"Tasarım","Ply Cutter","Üretim","Kalite (Üretim sonrası)","Talaşlı","Kalite (Talaşlı sonrası)","Montaj","Kalite (Montaj sonrası)","Boya","Kalite (Boya sonrası)","Yarı Mamül","KM"})),IF(COUNT(G563:R563)=0,"Başlamadı",LOOKUP(2,1/(G563:R563=MAX(G563:R563)),{"Tasarımda","Ply Cutter'da","Üretimde","Kalitede (Üretim sonrası)","Talaşlıda","Kalitede (Talaşlı sonrası)","Montajda","Kalitede (Montaj sonrası)","Boyada","Kalitede (Boya sonrası)","Yarı Mamülde","KM'de"}))))))</f>
        <v/>
      </c>
      <c r="AA563" s="24" t="str">
        <f t="shared" ca="1" si="138"/>
        <v/>
      </c>
      <c r="AB563" s="22"/>
      <c r="AD563" t="str">
        <f>IF(OR($B563="",NOT(ISNUMBER(G563))),"",IF(COUNTIF(H563:$T563,G563)&gt;0,0,IF(COUNTIF($G563:$T563,"&gt;"&amp;G563)=0,"",SMALL($G563:$T563,COUNTIF($G563:$T563,"&lt;="&amp;G563)+1)-G563)))</f>
        <v/>
      </c>
      <c r="AE563" t="str">
        <f>IF(OR($B563="",NOT(ISNUMBER(H563))),"",IF(COUNTIF(I563:$T563,H563)&gt;0,0,IF(COUNTIF($G563:$T563,"&gt;"&amp;H563)=0,"",SMALL($G563:$T563,COUNTIF($G563:$T563,"&lt;="&amp;H563)+1)-H563)))</f>
        <v/>
      </c>
      <c r="AF563" t="str">
        <f>IF(OR($B563="",NOT(ISNUMBER(I563))),"",IF(COUNTIF(J563:$T563,I563)&gt;0,0,IF(COUNTIF($G563:$T563,"&gt;"&amp;I563)=0,"",SMALL($G563:$T563,COUNTIF($G563:$T563,"&lt;="&amp;I563)+1)-I563)))</f>
        <v/>
      </c>
      <c r="AG563" t="str">
        <f>IF(OR($B563="",NOT(ISNUMBER(J563))),"",IF(COUNTIF(K563:$T563,J563)&gt;0,0,IF(COUNTIF($G563:$T563,"&gt;"&amp;J563)=0,"",SMALL($G563:$T563,COUNTIF($G563:$T563,"&lt;="&amp;J563)+1)-J563)))</f>
        <v/>
      </c>
      <c r="AH563" t="str">
        <f>IF(OR($B563="",NOT(ISNUMBER(K563))),"",IF(COUNTIF(L563:$T563,K563)&gt;0,0,IF(COUNTIF($G563:$T563,"&gt;"&amp;K563)=0,"",SMALL($G563:$T563,COUNTIF($G563:$T563,"&lt;="&amp;K563)+1)-K563)))</f>
        <v/>
      </c>
      <c r="AI563" t="str">
        <f>IF(OR($B563="",NOT(ISNUMBER(L563))),"",IF(COUNTIF(M563:$T563,L563)&gt;0,0,IF(COUNTIF($G563:$T563,"&gt;"&amp;L563)=0,"",SMALL($G563:$T563,COUNTIF($G563:$T563,"&lt;="&amp;L563)+1)-L563)))</f>
        <v/>
      </c>
      <c r="AJ563" t="str">
        <f>IF(OR($B563="",NOT(ISNUMBER(M563))),"",IF(COUNTIF(N563:$T563,M563)&gt;0,0,IF(COUNTIF($G563:$T563,"&gt;"&amp;M563)=0,"",SMALL($G563:$T563,COUNTIF($G563:$T563,"&lt;="&amp;M563)+1)-M563)))</f>
        <v/>
      </c>
      <c r="AK563" t="str">
        <f>IF(OR($B563="",NOT(ISNUMBER(N563))),"",IF(COUNTIF(O563:$T563,N563)&gt;0,0,IF(COUNTIF($G563:$T563,"&gt;"&amp;N563)=0,"",SMALL($G563:$T563,COUNTIF($G563:$T563,"&lt;="&amp;N563)+1)-N563)))</f>
        <v/>
      </c>
      <c r="AL563" t="str">
        <f>IF(OR($B563="",NOT(ISNUMBER(O563))),"",IF(COUNTIF(P563:$T563,O563)&gt;0,0,IF(COUNTIF($G563:$T563,"&gt;"&amp;O563)=0,"",SMALL($G563:$T563,COUNTIF($G563:$T563,"&lt;="&amp;O563)+1)-O563)))</f>
        <v/>
      </c>
      <c r="AM563" t="str">
        <f>IF(OR($B563="",NOT(ISNUMBER(P563))),"",IF(COUNTIF(Q563:$T563,P563)&gt;0,0,IF(COUNTIF($G563:$T563,"&gt;"&amp;P563)=0,"",SMALL($G563:$T563,COUNTIF($G563:$T563,"&lt;="&amp;P563)+1)-P563)))</f>
        <v/>
      </c>
      <c r="AN563" t="str">
        <f>IF(OR($B563="",NOT(ISNUMBER(Q563))),"",IF(COUNTIF(R563:$T563,Q563)&gt;0,0,IF(COUNTIF($G563:$T563,"&gt;"&amp;Q563)=0,"",SMALL($G563:$T563,COUNTIF($G563:$T563,"&lt;="&amp;Q563)+1)-Q563)))</f>
        <v/>
      </c>
      <c r="AO563" t="str">
        <f>IF(OR($B563="",NOT(ISNUMBER(R563))),"",IF(COUNTIF(S563:$T563,R563)&gt;0,0,IF(COUNTIF($G563:$T563,"&gt;"&amp;R563)=0,"",SMALL($G563:$T563,COUNTIF($G563:$T563,"&lt;="&amp;R563)+1)-R563)))</f>
        <v/>
      </c>
      <c r="AP563">
        <f t="shared" ca="1" si="139"/>
        <v>0</v>
      </c>
      <c r="AQ563" s="25" t="str">
        <f t="shared" si="140"/>
        <v/>
      </c>
      <c r="AR563" s="25" t="str">
        <f t="shared" si="141"/>
        <v/>
      </c>
      <c r="AS563" s="25" t="str">
        <f t="shared" si="142"/>
        <v/>
      </c>
      <c r="AT563" s="25" t="str">
        <f t="shared" si="143"/>
        <v/>
      </c>
      <c r="AU563" s="25" t="str">
        <f t="shared" si="144"/>
        <v/>
      </c>
      <c r="AV563" s="25" t="str">
        <f t="shared" si="145"/>
        <v/>
      </c>
      <c r="AW563" s="25" t="str">
        <f t="shared" si="146"/>
        <v/>
      </c>
      <c r="AX563" s="25" t="str">
        <f t="shared" si="147"/>
        <v/>
      </c>
      <c r="AY563" s="25" t="str">
        <f t="shared" si="148"/>
        <v/>
      </c>
      <c r="AZ563" s="25" t="str">
        <f t="shared" si="149"/>
        <v/>
      </c>
      <c r="BA563" s="25" t="str">
        <f t="shared" si="150"/>
        <v/>
      </c>
      <c r="BB563" s="25" t="str">
        <f t="shared" si="151"/>
        <v/>
      </c>
      <c r="BC563" s="25" t="str">
        <f t="shared" si="152"/>
        <v/>
      </c>
    </row>
    <row r="564" spans="1:55" x14ac:dyDescent="0.25">
      <c r="A564" s="19" t="str">
        <f t="shared" si="137"/>
        <v/>
      </c>
      <c r="B564" s="19"/>
      <c r="C564" s="20"/>
      <c r="D564" s="19" t="str">
        <f t="shared" si="136"/>
        <v/>
      </c>
      <c r="E564" s="19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19"/>
      <c r="U564" s="19"/>
      <c r="V564" s="20"/>
      <c r="W564" s="22"/>
      <c r="X564" s="21"/>
      <c r="Y564" s="21"/>
      <c r="Z564" s="23" t="str">
        <f>IF(B564="","",IF(S564&lt;&gt;"","Sevk Edildi",IF(AND(X564&lt;&gt;"",Y564=""),"Reworkte",IF(T564&lt;&gt;"","Kapandı"&amp;IF(COUNT(G564:R564)=0,""," – "&amp;LOOKUP(2,1/(G564:R564=MAX(G564:R564)),{"Tasarım","Ply Cutter","Üretim","Kalite (Üretim sonrası)","Talaşlı","Kalite (Talaşlı sonrası)","Montaj","Kalite (Montaj sonrası)","Boya","Kalite (Boya sonrası)","Yarı Mamül","KM"})),IF(COUNT(G564:R564)=0,"Başlamadı",LOOKUP(2,1/(G564:R564=MAX(G564:R564)),{"Tasarımda","Ply Cutter'da","Üretimde","Kalitede (Üretim sonrası)","Talaşlıda","Kalitede (Talaşlı sonrası)","Montajda","Kalitede (Montaj sonrası)","Boyada","Kalitede (Boya sonrası)","Yarı Mamülde","KM'de"}))))))</f>
        <v/>
      </c>
      <c r="AA564" s="24" t="str">
        <f t="shared" ca="1" si="138"/>
        <v/>
      </c>
      <c r="AB564" s="22"/>
      <c r="AD564" t="str">
        <f>IF(OR($B564="",NOT(ISNUMBER(G564))),"",IF(COUNTIF(H564:$T564,G564)&gt;0,0,IF(COUNTIF($G564:$T564,"&gt;"&amp;G564)=0,"",SMALL($G564:$T564,COUNTIF($G564:$T564,"&lt;="&amp;G564)+1)-G564)))</f>
        <v/>
      </c>
      <c r="AE564" t="str">
        <f>IF(OR($B564="",NOT(ISNUMBER(H564))),"",IF(COUNTIF(I564:$T564,H564)&gt;0,0,IF(COUNTIF($G564:$T564,"&gt;"&amp;H564)=0,"",SMALL($G564:$T564,COUNTIF($G564:$T564,"&lt;="&amp;H564)+1)-H564)))</f>
        <v/>
      </c>
      <c r="AF564" t="str">
        <f>IF(OR($B564="",NOT(ISNUMBER(I564))),"",IF(COUNTIF(J564:$T564,I564)&gt;0,0,IF(COUNTIF($G564:$T564,"&gt;"&amp;I564)=0,"",SMALL($G564:$T564,COUNTIF($G564:$T564,"&lt;="&amp;I564)+1)-I564)))</f>
        <v/>
      </c>
      <c r="AG564" t="str">
        <f>IF(OR($B564="",NOT(ISNUMBER(J564))),"",IF(COUNTIF(K564:$T564,J564)&gt;0,0,IF(COUNTIF($G564:$T564,"&gt;"&amp;J564)=0,"",SMALL($G564:$T564,COUNTIF($G564:$T564,"&lt;="&amp;J564)+1)-J564)))</f>
        <v/>
      </c>
      <c r="AH564" t="str">
        <f>IF(OR($B564="",NOT(ISNUMBER(K564))),"",IF(COUNTIF(L564:$T564,K564)&gt;0,0,IF(COUNTIF($G564:$T564,"&gt;"&amp;K564)=0,"",SMALL($G564:$T564,COUNTIF($G564:$T564,"&lt;="&amp;K564)+1)-K564)))</f>
        <v/>
      </c>
      <c r="AI564" t="str">
        <f>IF(OR($B564="",NOT(ISNUMBER(L564))),"",IF(COUNTIF(M564:$T564,L564)&gt;0,0,IF(COUNTIF($G564:$T564,"&gt;"&amp;L564)=0,"",SMALL($G564:$T564,COUNTIF($G564:$T564,"&lt;="&amp;L564)+1)-L564)))</f>
        <v/>
      </c>
      <c r="AJ564" t="str">
        <f>IF(OR($B564="",NOT(ISNUMBER(M564))),"",IF(COUNTIF(N564:$T564,M564)&gt;0,0,IF(COUNTIF($G564:$T564,"&gt;"&amp;M564)=0,"",SMALL($G564:$T564,COUNTIF($G564:$T564,"&lt;="&amp;M564)+1)-M564)))</f>
        <v/>
      </c>
      <c r="AK564" t="str">
        <f>IF(OR($B564="",NOT(ISNUMBER(N564))),"",IF(COUNTIF(O564:$T564,N564)&gt;0,0,IF(COUNTIF($G564:$T564,"&gt;"&amp;N564)=0,"",SMALL($G564:$T564,COUNTIF($G564:$T564,"&lt;="&amp;N564)+1)-N564)))</f>
        <v/>
      </c>
      <c r="AL564" t="str">
        <f>IF(OR($B564="",NOT(ISNUMBER(O564))),"",IF(COUNTIF(P564:$T564,O564)&gt;0,0,IF(COUNTIF($G564:$T564,"&gt;"&amp;O564)=0,"",SMALL($G564:$T564,COUNTIF($G564:$T564,"&lt;="&amp;O564)+1)-O564)))</f>
        <v/>
      </c>
      <c r="AM564" t="str">
        <f>IF(OR($B564="",NOT(ISNUMBER(P564))),"",IF(COUNTIF(Q564:$T564,P564)&gt;0,0,IF(COUNTIF($G564:$T564,"&gt;"&amp;P564)=0,"",SMALL($G564:$T564,COUNTIF($G564:$T564,"&lt;="&amp;P564)+1)-P564)))</f>
        <v/>
      </c>
      <c r="AN564" t="str">
        <f>IF(OR($B564="",NOT(ISNUMBER(Q564))),"",IF(COUNTIF(R564:$T564,Q564)&gt;0,0,IF(COUNTIF($G564:$T564,"&gt;"&amp;Q564)=0,"",SMALL($G564:$T564,COUNTIF($G564:$T564,"&lt;="&amp;Q564)+1)-Q564)))</f>
        <v/>
      </c>
      <c r="AO564" t="str">
        <f>IF(OR($B564="",NOT(ISNUMBER(R564))),"",IF(COUNTIF(S564:$T564,R564)&gt;0,0,IF(COUNTIF($G564:$T564,"&gt;"&amp;R564)=0,"",SMALL($G564:$T564,COUNTIF($G564:$T564,"&lt;="&amp;R564)+1)-R564)))</f>
        <v/>
      </c>
      <c r="AP564">
        <f t="shared" ca="1" si="139"/>
        <v>0</v>
      </c>
      <c r="AQ564" s="25" t="str">
        <f t="shared" si="140"/>
        <v/>
      </c>
      <c r="AR564" s="25" t="str">
        <f t="shared" si="141"/>
        <v/>
      </c>
      <c r="AS564" s="25" t="str">
        <f t="shared" si="142"/>
        <v/>
      </c>
      <c r="AT564" s="25" t="str">
        <f t="shared" si="143"/>
        <v/>
      </c>
      <c r="AU564" s="25" t="str">
        <f t="shared" si="144"/>
        <v/>
      </c>
      <c r="AV564" s="25" t="str">
        <f t="shared" si="145"/>
        <v/>
      </c>
      <c r="AW564" s="25" t="str">
        <f t="shared" si="146"/>
        <v/>
      </c>
      <c r="AX564" s="25" t="str">
        <f t="shared" si="147"/>
        <v/>
      </c>
      <c r="AY564" s="25" t="str">
        <f t="shared" si="148"/>
        <v/>
      </c>
      <c r="AZ564" s="25" t="str">
        <f t="shared" si="149"/>
        <v/>
      </c>
      <c r="BA564" s="25" t="str">
        <f t="shared" si="150"/>
        <v/>
      </c>
      <c r="BB564" s="25" t="str">
        <f t="shared" si="151"/>
        <v/>
      </c>
      <c r="BC564" s="25" t="str">
        <f t="shared" si="152"/>
        <v/>
      </c>
    </row>
    <row r="565" spans="1:55" x14ac:dyDescent="0.25">
      <c r="A565" s="19" t="str">
        <f t="shared" si="137"/>
        <v/>
      </c>
      <c r="B565" s="19"/>
      <c r="C565" s="20"/>
      <c r="D565" s="19" t="str">
        <f t="shared" si="136"/>
        <v/>
      </c>
      <c r="E565" s="19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19"/>
      <c r="U565" s="19"/>
      <c r="V565" s="20"/>
      <c r="W565" s="22"/>
      <c r="X565" s="21"/>
      <c r="Y565" s="21"/>
      <c r="Z565" s="23" t="str">
        <f>IF(B565="","",IF(S565&lt;&gt;"","Sevk Edildi",IF(AND(X565&lt;&gt;"",Y565=""),"Reworkte",IF(T565&lt;&gt;"","Kapandı"&amp;IF(COUNT(G565:R565)=0,""," – "&amp;LOOKUP(2,1/(G565:R565=MAX(G565:R565)),{"Tasarım","Ply Cutter","Üretim","Kalite (Üretim sonrası)","Talaşlı","Kalite (Talaşlı sonrası)","Montaj","Kalite (Montaj sonrası)","Boya","Kalite (Boya sonrası)","Yarı Mamül","KM"})),IF(COUNT(G565:R565)=0,"Başlamadı",LOOKUP(2,1/(G565:R565=MAX(G565:R565)),{"Tasarımda","Ply Cutter'da","Üretimde","Kalitede (Üretim sonrası)","Talaşlıda","Kalitede (Talaşlı sonrası)","Montajda","Kalitede (Montaj sonrası)","Boyada","Kalitede (Boya sonrası)","Yarı Mamülde","KM'de"}))))))</f>
        <v/>
      </c>
      <c r="AA565" s="24" t="str">
        <f t="shared" ca="1" si="138"/>
        <v/>
      </c>
      <c r="AB565" s="22"/>
      <c r="AD565" t="str">
        <f>IF(OR($B565="",NOT(ISNUMBER(G565))),"",IF(COUNTIF(H565:$T565,G565)&gt;0,0,IF(COUNTIF($G565:$T565,"&gt;"&amp;G565)=0,"",SMALL($G565:$T565,COUNTIF($G565:$T565,"&lt;="&amp;G565)+1)-G565)))</f>
        <v/>
      </c>
      <c r="AE565" t="str">
        <f>IF(OR($B565="",NOT(ISNUMBER(H565))),"",IF(COUNTIF(I565:$T565,H565)&gt;0,0,IF(COUNTIF($G565:$T565,"&gt;"&amp;H565)=0,"",SMALL($G565:$T565,COUNTIF($G565:$T565,"&lt;="&amp;H565)+1)-H565)))</f>
        <v/>
      </c>
      <c r="AF565" t="str">
        <f>IF(OR($B565="",NOT(ISNUMBER(I565))),"",IF(COUNTIF(J565:$T565,I565)&gt;0,0,IF(COUNTIF($G565:$T565,"&gt;"&amp;I565)=0,"",SMALL($G565:$T565,COUNTIF($G565:$T565,"&lt;="&amp;I565)+1)-I565)))</f>
        <v/>
      </c>
      <c r="AG565" t="str">
        <f>IF(OR($B565="",NOT(ISNUMBER(J565))),"",IF(COUNTIF(K565:$T565,J565)&gt;0,0,IF(COUNTIF($G565:$T565,"&gt;"&amp;J565)=0,"",SMALL($G565:$T565,COUNTIF($G565:$T565,"&lt;="&amp;J565)+1)-J565)))</f>
        <v/>
      </c>
      <c r="AH565" t="str">
        <f>IF(OR($B565="",NOT(ISNUMBER(K565))),"",IF(COUNTIF(L565:$T565,K565)&gt;0,0,IF(COUNTIF($G565:$T565,"&gt;"&amp;K565)=0,"",SMALL($G565:$T565,COUNTIF($G565:$T565,"&lt;="&amp;K565)+1)-K565)))</f>
        <v/>
      </c>
      <c r="AI565" t="str">
        <f>IF(OR($B565="",NOT(ISNUMBER(L565))),"",IF(COUNTIF(M565:$T565,L565)&gt;0,0,IF(COUNTIF($G565:$T565,"&gt;"&amp;L565)=0,"",SMALL($G565:$T565,COUNTIF($G565:$T565,"&lt;="&amp;L565)+1)-L565)))</f>
        <v/>
      </c>
      <c r="AJ565" t="str">
        <f>IF(OR($B565="",NOT(ISNUMBER(M565))),"",IF(COUNTIF(N565:$T565,M565)&gt;0,0,IF(COUNTIF($G565:$T565,"&gt;"&amp;M565)=0,"",SMALL($G565:$T565,COUNTIF($G565:$T565,"&lt;="&amp;M565)+1)-M565)))</f>
        <v/>
      </c>
      <c r="AK565" t="str">
        <f>IF(OR($B565="",NOT(ISNUMBER(N565))),"",IF(COUNTIF(O565:$T565,N565)&gt;0,0,IF(COUNTIF($G565:$T565,"&gt;"&amp;N565)=0,"",SMALL($G565:$T565,COUNTIF($G565:$T565,"&lt;="&amp;N565)+1)-N565)))</f>
        <v/>
      </c>
      <c r="AL565" t="str">
        <f>IF(OR($B565="",NOT(ISNUMBER(O565))),"",IF(COUNTIF(P565:$T565,O565)&gt;0,0,IF(COUNTIF($G565:$T565,"&gt;"&amp;O565)=0,"",SMALL($G565:$T565,COUNTIF($G565:$T565,"&lt;="&amp;O565)+1)-O565)))</f>
        <v/>
      </c>
      <c r="AM565" t="str">
        <f>IF(OR($B565="",NOT(ISNUMBER(P565))),"",IF(COUNTIF(Q565:$T565,P565)&gt;0,0,IF(COUNTIF($G565:$T565,"&gt;"&amp;P565)=0,"",SMALL($G565:$T565,COUNTIF($G565:$T565,"&lt;="&amp;P565)+1)-P565)))</f>
        <v/>
      </c>
      <c r="AN565" t="str">
        <f>IF(OR($B565="",NOT(ISNUMBER(Q565))),"",IF(COUNTIF(R565:$T565,Q565)&gt;0,0,IF(COUNTIF($G565:$T565,"&gt;"&amp;Q565)=0,"",SMALL($G565:$T565,COUNTIF($G565:$T565,"&lt;="&amp;Q565)+1)-Q565)))</f>
        <v/>
      </c>
      <c r="AO565" t="str">
        <f>IF(OR($B565="",NOT(ISNUMBER(R565))),"",IF(COUNTIF(S565:$T565,R565)&gt;0,0,IF(COUNTIF($G565:$T565,"&gt;"&amp;R565)=0,"",SMALL($G565:$T565,COUNTIF($G565:$T565,"&lt;="&amp;R565)+1)-R565)))</f>
        <v/>
      </c>
      <c r="AP565">
        <f t="shared" ca="1" si="139"/>
        <v>0</v>
      </c>
      <c r="AQ565" s="25" t="str">
        <f t="shared" si="140"/>
        <v/>
      </c>
      <c r="AR565" s="25" t="str">
        <f t="shared" si="141"/>
        <v/>
      </c>
      <c r="AS565" s="25" t="str">
        <f t="shared" si="142"/>
        <v/>
      </c>
      <c r="AT565" s="25" t="str">
        <f t="shared" si="143"/>
        <v/>
      </c>
      <c r="AU565" s="25" t="str">
        <f t="shared" si="144"/>
        <v/>
      </c>
      <c r="AV565" s="25" t="str">
        <f t="shared" si="145"/>
        <v/>
      </c>
      <c r="AW565" s="25" t="str">
        <f t="shared" si="146"/>
        <v/>
      </c>
      <c r="AX565" s="25" t="str">
        <f t="shared" si="147"/>
        <v/>
      </c>
      <c r="AY565" s="25" t="str">
        <f t="shared" si="148"/>
        <v/>
      </c>
      <c r="AZ565" s="25" t="str">
        <f t="shared" si="149"/>
        <v/>
      </c>
      <c r="BA565" s="25" t="str">
        <f t="shared" si="150"/>
        <v/>
      </c>
      <c r="BB565" s="25" t="str">
        <f t="shared" si="151"/>
        <v/>
      </c>
      <c r="BC565" s="25" t="str">
        <f t="shared" si="152"/>
        <v/>
      </c>
    </row>
    <row r="566" spans="1:55" x14ac:dyDescent="0.25">
      <c r="A566" s="19" t="str">
        <f t="shared" si="137"/>
        <v/>
      </c>
      <c r="B566" s="19"/>
      <c r="C566" s="20"/>
      <c r="D566" s="19" t="str">
        <f t="shared" si="136"/>
        <v/>
      </c>
      <c r="E566" s="19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19"/>
      <c r="U566" s="19"/>
      <c r="V566" s="20"/>
      <c r="W566" s="22"/>
      <c r="X566" s="21"/>
      <c r="Y566" s="21"/>
      <c r="Z566" s="23" t="str">
        <f>IF(B566="","",IF(S566&lt;&gt;"","Sevk Edildi",IF(AND(X566&lt;&gt;"",Y566=""),"Reworkte",IF(T566&lt;&gt;"","Kapandı"&amp;IF(COUNT(G566:R566)=0,""," – "&amp;LOOKUP(2,1/(G566:R566=MAX(G566:R566)),{"Tasarım","Ply Cutter","Üretim","Kalite (Üretim sonrası)","Talaşlı","Kalite (Talaşlı sonrası)","Montaj","Kalite (Montaj sonrası)","Boya","Kalite (Boya sonrası)","Yarı Mamül","KM"})),IF(COUNT(G566:R566)=0,"Başlamadı",LOOKUP(2,1/(G566:R566=MAX(G566:R566)),{"Tasarımda","Ply Cutter'da","Üretimde","Kalitede (Üretim sonrası)","Talaşlıda","Kalitede (Talaşlı sonrası)","Montajda","Kalitede (Montaj sonrası)","Boyada","Kalitede (Boya sonrası)","Yarı Mamülde","KM'de"}))))))</f>
        <v/>
      </c>
      <c r="AA566" s="24" t="str">
        <f t="shared" ca="1" si="138"/>
        <v/>
      </c>
      <c r="AB566" s="22"/>
      <c r="AD566" t="str">
        <f>IF(OR($B566="",NOT(ISNUMBER(G566))),"",IF(COUNTIF(H566:$T566,G566)&gt;0,0,IF(COUNTIF($G566:$T566,"&gt;"&amp;G566)=0,"",SMALL($G566:$T566,COUNTIF($G566:$T566,"&lt;="&amp;G566)+1)-G566)))</f>
        <v/>
      </c>
      <c r="AE566" t="str">
        <f>IF(OR($B566="",NOT(ISNUMBER(H566))),"",IF(COUNTIF(I566:$T566,H566)&gt;0,0,IF(COUNTIF($G566:$T566,"&gt;"&amp;H566)=0,"",SMALL($G566:$T566,COUNTIF($G566:$T566,"&lt;="&amp;H566)+1)-H566)))</f>
        <v/>
      </c>
      <c r="AF566" t="str">
        <f>IF(OR($B566="",NOT(ISNUMBER(I566))),"",IF(COUNTIF(J566:$T566,I566)&gt;0,0,IF(COUNTIF($G566:$T566,"&gt;"&amp;I566)=0,"",SMALL($G566:$T566,COUNTIF($G566:$T566,"&lt;="&amp;I566)+1)-I566)))</f>
        <v/>
      </c>
      <c r="AG566" t="str">
        <f>IF(OR($B566="",NOT(ISNUMBER(J566))),"",IF(COUNTIF(K566:$T566,J566)&gt;0,0,IF(COUNTIF($G566:$T566,"&gt;"&amp;J566)=0,"",SMALL($G566:$T566,COUNTIF($G566:$T566,"&lt;="&amp;J566)+1)-J566)))</f>
        <v/>
      </c>
      <c r="AH566" t="str">
        <f>IF(OR($B566="",NOT(ISNUMBER(K566))),"",IF(COUNTIF(L566:$T566,K566)&gt;0,0,IF(COUNTIF($G566:$T566,"&gt;"&amp;K566)=0,"",SMALL($G566:$T566,COUNTIF($G566:$T566,"&lt;="&amp;K566)+1)-K566)))</f>
        <v/>
      </c>
      <c r="AI566" t="str">
        <f>IF(OR($B566="",NOT(ISNUMBER(L566))),"",IF(COUNTIF(M566:$T566,L566)&gt;0,0,IF(COUNTIF($G566:$T566,"&gt;"&amp;L566)=0,"",SMALL($G566:$T566,COUNTIF($G566:$T566,"&lt;="&amp;L566)+1)-L566)))</f>
        <v/>
      </c>
      <c r="AJ566" t="str">
        <f>IF(OR($B566="",NOT(ISNUMBER(M566))),"",IF(COUNTIF(N566:$T566,M566)&gt;0,0,IF(COUNTIF($G566:$T566,"&gt;"&amp;M566)=0,"",SMALL($G566:$T566,COUNTIF($G566:$T566,"&lt;="&amp;M566)+1)-M566)))</f>
        <v/>
      </c>
      <c r="AK566" t="str">
        <f>IF(OR($B566="",NOT(ISNUMBER(N566))),"",IF(COUNTIF(O566:$T566,N566)&gt;0,0,IF(COUNTIF($G566:$T566,"&gt;"&amp;N566)=0,"",SMALL($G566:$T566,COUNTIF($G566:$T566,"&lt;="&amp;N566)+1)-N566)))</f>
        <v/>
      </c>
      <c r="AL566" t="str">
        <f>IF(OR($B566="",NOT(ISNUMBER(O566))),"",IF(COUNTIF(P566:$T566,O566)&gt;0,0,IF(COUNTIF($G566:$T566,"&gt;"&amp;O566)=0,"",SMALL($G566:$T566,COUNTIF($G566:$T566,"&lt;="&amp;O566)+1)-O566)))</f>
        <v/>
      </c>
      <c r="AM566" t="str">
        <f>IF(OR($B566="",NOT(ISNUMBER(P566))),"",IF(COUNTIF(Q566:$T566,P566)&gt;0,0,IF(COUNTIF($G566:$T566,"&gt;"&amp;P566)=0,"",SMALL($G566:$T566,COUNTIF($G566:$T566,"&lt;="&amp;P566)+1)-P566)))</f>
        <v/>
      </c>
      <c r="AN566" t="str">
        <f>IF(OR($B566="",NOT(ISNUMBER(Q566))),"",IF(COUNTIF(R566:$T566,Q566)&gt;0,0,IF(COUNTIF($G566:$T566,"&gt;"&amp;Q566)=0,"",SMALL($G566:$T566,COUNTIF($G566:$T566,"&lt;="&amp;Q566)+1)-Q566)))</f>
        <v/>
      </c>
      <c r="AO566" t="str">
        <f>IF(OR($B566="",NOT(ISNUMBER(R566))),"",IF(COUNTIF(S566:$T566,R566)&gt;0,0,IF(COUNTIF($G566:$T566,"&gt;"&amp;R566)=0,"",SMALL($G566:$T566,COUNTIF($G566:$T566,"&lt;="&amp;R566)+1)-R566)))</f>
        <v/>
      </c>
      <c r="AP566">
        <f t="shared" ca="1" si="139"/>
        <v>0</v>
      </c>
      <c r="AQ566" s="25" t="str">
        <f t="shared" si="140"/>
        <v/>
      </c>
      <c r="AR566" s="25" t="str">
        <f t="shared" si="141"/>
        <v/>
      </c>
      <c r="AS566" s="25" t="str">
        <f t="shared" si="142"/>
        <v/>
      </c>
      <c r="AT566" s="25" t="str">
        <f t="shared" si="143"/>
        <v/>
      </c>
      <c r="AU566" s="25" t="str">
        <f t="shared" si="144"/>
        <v/>
      </c>
      <c r="AV566" s="25" t="str">
        <f t="shared" si="145"/>
        <v/>
      </c>
      <c r="AW566" s="25" t="str">
        <f t="shared" si="146"/>
        <v/>
      </c>
      <c r="AX566" s="25" t="str">
        <f t="shared" si="147"/>
        <v/>
      </c>
      <c r="AY566" s="25" t="str">
        <f t="shared" si="148"/>
        <v/>
      </c>
      <c r="AZ566" s="25" t="str">
        <f t="shared" si="149"/>
        <v/>
      </c>
      <c r="BA566" s="25" t="str">
        <f t="shared" si="150"/>
        <v/>
      </c>
      <c r="BB566" s="25" t="str">
        <f t="shared" si="151"/>
        <v/>
      </c>
      <c r="BC566" s="25" t="str">
        <f t="shared" si="152"/>
        <v/>
      </c>
    </row>
    <row r="567" spans="1:55" x14ac:dyDescent="0.25">
      <c r="A567" s="19" t="str">
        <f t="shared" si="137"/>
        <v/>
      </c>
      <c r="B567" s="19"/>
      <c r="C567" s="20"/>
      <c r="D567" s="19" t="str">
        <f t="shared" si="136"/>
        <v/>
      </c>
      <c r="E567" s="19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19"/>
      <c r="U567" s="19"/>
      <c r="V567" s="20"/>
      <c r="W567" s="22"/>
      <c r="X567" s="21"/>
      <c r="Y567" s="21"/>
      <c r="Z567" s="23" t="str">
        <f>IF(B567="","",IF(S567&lt;&gt;"","Sevk Edildi",IF(AND(X567&lt;&gt;"",Y567=""),"Reworkte",IF(T567&lt;&gt;"","Kapandı"&amp;IF(COUNT(G567:R567)=0,""," – "&amp;LOOKUP(2,1/(G567:R567=MAX(G567:R567)),{"Tasarım","Ply Cutter","Üretim","Kalite (Üretim sonrası)","Talaşlı","Kalite (Talaşlı sonrası)","Montaj","Kalite (Montaj sonrası)","Boya","Kalite (Boya sonrası)","Yarı Mamül","KM"})),IF(COUNT(G567:R567)=0,"Başlamadı",LOOKUP(2,1/(G567:R567=MAX(G567:R567)),{"Tasarımda","Ply Cutter'da","Üretimde","Kalitede (Üretim sonrası)","Talaşlıda","Kalitede (Talaşlı sonrası)","Montajda","Kalitede (Montaj sonrası)","Boyada","Kalitede (Boya sonrası)","Yarı Mamülde","KM'de"}))))))</f>
        <v/>
      </c>
      <c r="AA567" s="24" t="str">
        <f t="shared" ca="1" si="138"/>
        <v/>
      </c>
      <c r="AB567" s="22"/>
      <c r="AD567" t="str">
        <f>IF(OR($B567="",NOT(ISNUMBER(G567))),"",IF(COUNTIF(H567:$T567,G567)&gt;0,0,IF(COUNTIF($G567:$T567,"&gt;"&amp;G567)=0,"",SMALL($G567:$T567,COUNTIF($G567:$T567,"&lt;="&amp;G567)+1)-G567)))</f>
        <v/>
      </c>
      <c r="AE567" t="str">
        <f>IF(OR($B567="",NOT(ISNUMBER(H567))),"",IF(COUNTIF(I567:$T567,H567)&gt;0,0,IF(COUNTIF($G567:$T567,"&gt;"&amp;H567)=0,"",SMALL($G567:$T567,COUNTIF($G567:$T567,"&lt;="&amp;H567)+1)-H567)))</f>
        <v/>
      </c>
      <c r="AF567" t="str">
        <f>IF(OR($B567="",NOT(ISNUMBER(I567))),"",IF(COUNTIF(J567:$T567,I567)&gt;0,0,IF(COUNTIF($G567:$T567,"&gt;"&amp;I567)=0,"",SMALL($G567:$T567,COUNTIF($G567:$T567,"&lt;="&amp;I567)+1)-I567)))</f>
        <v/>
      </c>
      <c r="AG567" t="str">
        <f>IF(OR($B567="",NOT(ISNUMBER(J567))),"",IF(COUNTIF(K567:$T567,J567)&gt;0,0,IF(COUNTIF($G567:$T567,"&gt;"&amp;J567)=0,"",SMALL($G567:$T567,COUNTIF($G567:$T567,"&lt;="&amp;J567)+1)-J567)))</f>
        <v/>
      </c>
      <c r="AH567" t="str">
        <f>IF(OR($B567="",NOT(ISNUMBER(K567))),"",IF(COUNTIF(L567:$T567,K567)&gt;0,0,IF(COUNTIF($G567:$T567,"&gt;"&amp;K567)=0,"",SMALL($G567:$T567,COUNTIF($G567:$T567,"&lt;="&amp;K567)+1)-K567)))</f>
        <v/>
      </c>
      <c r="AI567" t="str">
        <f>IF(OR($B567="",NOT(ISNUMBER(L567))),"",IF(COUNTIF(M567:$T567,L567)&gt;0,0,IF(COUNTIF($G567:$T567,"&gt;"&amp;L567)=0,"",SMALL($G567:$T567,COUNTIF($G567:$T567,"&lt;="&amp;L567)+1)-L567)))</f>
        <v/>
      </c>
      <c r="AJ567" t="str">
        <f>IF(OR($B567="",NOT(ISNUMBER(M567))),"",IF(COUNTIF(N567:$T567,M567)&gt;0,0,IF(COUNTIF($G567:$T567,"&gt;"&amp;M567)=0,"",SMALL($G567:$T567,COUNTIF($G567:$T567,"&lt;="&amp;M567)+1)-M567)))</f>
        <v/>
      </c>
      <c r="AK567" t="str">
        <f>IF(OR($B567="",NOT(ISNUMBER(N567))),"",IF(COUNTIF(O567:$T567,N567)&gt;0,0,IF(COUNTIF($G567:$T567,"&gt;"&amp;N567)=0,"",SMALL($G567:$T567,COUNTIF($G567:$T567,"&lt;="&amp;N567)+1)-N567)))</f>
        <v/>
      </c>
      <c r="AL567" t="str">
        <f>IF(OR($B567="",NOT(ISNUMBER(O567))),"",IF(COUNTIF(P567:$T567,O567)&gt;0,0,IF(COUNTIF($G567:$T567,"&gt;"&amp;O567)=0,"",SMALL($G567:$T567,COUNTIF($G567:$T567,"&lt;="&amp;O567)+1)-O567)))</f>
        <v/>
      </c>
      <c r="AM567" t="str">
        <f>IF(OR($B567="",NOT(ISNUMBER(P567))),"",IF(COUNTIF(Q567:$T567,P567)&gt;0,0,IF(COUNTIF($G567:$T567,"&gt;"&amp;P567)=0,"",SMALL($G567:$T567,COUNTIF($G567:$T567,"&lt;="&amp;P567)+1)-P567)))</f>
        <v/>
      </c>
      <c r="AN567" t="str">
        <f>IF(OR($B567="",NOT(ISNUMBER(Q567))),"",IF(COUNTIF(R567:$T567,Q567)&gt;0,0,IF(COUNTIF($G567:$T567,"&gt;"&amp;Q567)=0,"",SMALL($G567:$T567,COUNTIF($G567:$T567,"&lt;="&amp;Q567)+1)-Q567)))</f>
        <v/>
      </c>
      <c r="AO567" t="str">
        <f>IF(OR($B567="",NOT(ISNUMBER(R567))),"",IF(COUNTIF(S567:$T567,R567)&gt;0,0,IF(COUNTIF($G567:$T567,"&gt;"&amp;R567)=0,"",SMALL($G567:$T567,COUNTIF($G567:$T567,"&lt;="&amp;R567)+1)-R567)))</f>
        <v/>
      </c>
      <c r="AP567">
        <f t="shared" ca="1" si="139"/>
        <v>0</v>
      </c>
      <c r="AQ567" s="25" t="str">
        <f t="shared" si="140"/>
        <v/>
      </c>
      <c r="AR567" s="25" t="str">
        <f t="shared" si="141"/>
        <v/>
      </c>
      <c r="AS567" s="25" t="str">
        <f t="shared" si="142"/>
        <v/>
      </c>
      <c r="AT567" s="25" t="str">
        <f t="shared" si="143"/>
        <v/>
      </c>
      <c r="AU567" s="25" t="str">
        <f t="shared" si="144"/>
        <v/>
      </c>
      <c r="AV567" s="25" t="str">
        <f t="shared" si="145"/>
        <v/>
      </c>
      <c r="AW567" s="25" t="str">
        <f t="shared" si="146"/>
        <v/>
      </c>
      <c r="AX567" s="25" t="str">
        <f t="shared" si="147"/>
        <v/>
      </c>
      <c r="AY567" s="25" t="str">
        <f t="shared" si="148"/>
        <v/>
      </c>
      <c r="AZ567" s="25" t="str">
        <f t="shared" si="149"/>
        <v/>
      </c>
      <c r="BA567" s="25" t="str">
        <f t="shared" si="150"/>
        <v/>
      </c>
      <c r="BB567" s="25" t="str">
        <f t="shared" si="151"/>
        <v/>
      </c>
      <c r="BC567" s="25" t="str">
        <f t="shared" si="152"/>
        <v/>
      </c>
    </row>
    <row r="568" spans="1:55" x14ac:dyDescent="0.25">
      <c r="A568" s="19" t="str">
        <f t="shared" si="137"/>
        <v/>
      </c>
      <c r="B568" s="19"/>
      <c r="C568" s="20"/>
      <c r="D568" s="19" t="str">
        <f t="shared" si="136"/>
        <v/>
      </c>
      <c r="E568" s="19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19"/>
      <c r="U568" s="19"/>
      <c r="V568" s="20"/>
      <c r="W568" s="22"/>
      <c r="X568" s="21"/>
      <c r="Y568" s="21"/>
      <c r="Z568" s="23" t="str">
        <f>IF(B568="","",IF(S568&lt;&gt;"","Sevk Edildi",IF(AND(X568&lt;&gt;"",Y568=""),"Reworkte",IF(T568&lt;&gt;"","Kapandı"&amp;IF(COUNT(G568:R568)=0,""," – "&amp;LOOKUP(2,1/(G568:R568=MAX(G568:R568)),{"Tasarım","Ply Cutter","Üretim","Kalite (Üretim sonrası)","Talaşlı","Kalite (Talaşlı sonrası)","Montaj","Kalite (Montaj sonrası)","Boya","Kalite (Boya sonrası)","Yarı Mamül","KM"})),IF(COUNT(G568:R568)=0,"Başlamadı",LOOKUP(2,1/(G568:R568=MAX(G568:R568)),{"Tasarımda","Ply Cutter'da","Üretimde","Kalitede (Üretim sonrası)","Talaşlıda","Kalitede (Talaşlı sonrası)","Montajda","Kalitede (Montaj sonrası)","Boyada","Kalitede (Boya sonrası)","Yarı Mamülde","KM'de"}))))))</f>
        <v/>
      </c>
      <c r="AA568" s="24" t="str">
        <f t="shared" ca="1" si="138"/>
        <v/>
      </c>
      <c r="AB568" s="22"/>
      <c r="AD568" t="str">
        <f>IF(OR($B568="",NOT(ISNUMBER(G568))),"",IF(COUNTIF(H568:$T568,G568)&gt;0,0,IF(COUNTIF($G568:$T568,"&gt;"&amp;G568)=0,"",SMALL($G568:$T568,COUNTIF($G568:$T568,"&lt;="&amp;G568)+1)-G568)))</f>
        <v/>
      </c>
      <c r="AE568" t="str">
        <f>IF(OR($B568="",NOT(ISNUMBER(H568))),"",IF(COUNTIF(I568:$T568,H568)&gt;0,0,IF(COUNTIF($G568:$T568,"&gt;"&amp;H568)=0,"",SMALL($G568:$T568,COUNTIF($G568:$T568,"&lt;="&amp;H568)+1)-H568)))</f>
        <v/>
      </c>
      <c r="AF568" t="str">
        <f>IF(OR($B568="",NOT(ISNUMBER(I568))),"",IF(COUNTIF(J568:$T568,I568)&gt;0,0,IF(COUNTIF($G568:$T568,"&gt;"&amp;I568)=0,"",SMALL($G568:$T568,COUNTIF($G568:$T568,"&lt;="&amp;I568)+1)-I568)))</f>
        <v/>
      </c>
      <c r="AG568" t="str">
        <f>IF(OR($B568="",NOT(ISNUMBER(J568))),"",IF(COUNTIF(K568:$T568,J568)&gt;0,0,IF(COUNTIF($G568:$T568,"&gt;"&amp;J568)=0,"",SMALL($G568:$T568,COUNTIF($G568:$T568,"&lt;="&amp;J568)+1)-J568)))</f>
        <v/>
      </c>
      <c r="AH568" t="str">
        <f>IF(OR($B568="",NOT(ISNUMBER(K568))),"",IF(COUNTIF(L568:$T568,K568)&gt;0,0,IF(COUNTIF($G568:$T568,"&gt;"&amp;K568)=0,"",SMALL($G568:$T568,COUNTIF($G568:$T568,"&lt;="&amp;K568)+1)-K568)))</f>
        <v/>
      </c>
      <c r="AI568" t="str">
        <f>IF(OR($B568="",NOT(ISNUMBER(L568))),"",IF(COUNTIF(M568:$T568,L568)&gt;0,0,IF(COUNTIF($G568:$T568,"&gt;"&amp;L568)=0,"",SMALL($G568:$T568,COUNTIF($G568:$T568,"&lt;="&amp;L568)+1)-L568)))</f>
        <v/>
      </c>
      <c r="AJ568" t="str">
        <f>IF(OR($B568="",NOT(ISNUMBER(M568))),"",IF(COUNTIF(N568:$T568,M568)&gt;0,0,IF(COUNTIF($G568:$T568,"&gt;"&amp;M568)=0,"",SMALL($G568:$T568,COUNTIF($G568:$T568,"&lt;="&amp;M568)+1)-M568)))</f>
        <v/>
      </c>
      <c r="AK568" t="str">
        <f>IF(OR($B568="",NOT(ISNUMBER(N568))),"",IF(COUNTIF(O568:$T568,N568)&gt;0,0,IF(COUNTIF($G568:$T568,"&gt;"&amp;N568)=0,"",SMALL($G568:$T568,COUNTIF($G568:$T568,"&lt;="&amp;N568)+1)-N568)))</f>
        <v/>
      </c>
      <c r="AL568" t="str">
        <f>IF(OR($B568="",NOT(ISNUMBER(O568))),"",IF(COUNTIF(P568:$T568,O568)&gt;0,0,IF(COUNTIF($G568:$T568,"&gt;"&amp;O568)=0,"",SMALL($G568:$T568,COUNTIF($G568:$T568,"&lt;="&amp;O568)+1)-O568)))</f>
        <v/>
      </c>
      <c r="AM568" t="str">
        <f>IF(OR($B568="",NOT(ISNUMBER(P568))),"",IF(COUNTIF(Q568:$T568,P568)&gt;0,0,IF(COUNTIF($G568:$T568,"&gt;"&amp;P568)=0,"",SMALL($G568:$T568,COUNTIF($G568:$T568,"&lt;="&amp;P568)+1)-P568)))</f>
        <v/>
      </c>
      <c r="AN568" t="str">
        <f>IF(OR($B568="",NOT(ISNUMBER(Q568))),"",IF(COUNTIF(R568:$T568,Q568)&gt;0,0,IF(COUNTIF($G568:$T568,"&gt;"&amp;Q568)=0,"",SMALL($G568:$T568,COUNTIF($G568:$T568,"&lt;="&amp;Q568)+1)-Q568)))</f>
        <v/>
      </c>
      <c r="AO568" t="str">
        <f>IF(OR($B568="",NOT(ISNUMBER(R568))),"",IF(COUNTIF(S568:$T568,R568)&gt;0,0,IF(COUNTIF($G568:$T568,"&gt;"&amp;R568)=0,"",SMALL($G568:$T568,COUNTIF($G568:$T568,"&lt;="&amp;R568)+1)-R568)))</f>
        <v/>
      </c>
      <c r="AP568">
        <f t="shared" ca="1" si="139"/>
        <v>0</v>
      </c>
      <c r="AQ568" s="25" t="str">
        <f t="shared" si="140"/>
        <v/>
      </c>
      <c r="AR568" s="25" t="str">
        <f t="shared" si="141"/>
        <v/>
      </c>
      <c r="AS568" s="25" t="str">
        <f t="shared" si="142"/>
        <v/>
      </c>
      <c r="AT568" s="25" t="str">
        <f t="shared" si="143"/>
        <v/>
      </c>
      <c r="AU568" s="25" t="str">
        <f t="shared" si="144"/>
        <v/>
      </c>
      <c r="AV568" s="25" t="str">
        <f t="shared" si="145"/>
        <v/>
      </c>
      <c r="AW568" s="25" t="str">
        <f t="shared" si="146"/>
        <v/>
      </c>
      <c r="AX568" s="25" t="str">
        <f t="shared" si="147"/>
        <v/>
      </c>
      <c r="AY568" s="25" t="str">
        <f t="shared" si="148"/>
        <v/>
      </c>
      <c r="AZ568" s="25" t="str">
        <f t="shared" si="149"/>
        <v/>
      </c>
      <c r="BA568" s="25" t="str">
        <f t="shared" si="150"/>
        <v/>
      </c>
      <c r="BB568" s="25" t="str">
        <f t="shared" si="151"/>
        <v/>
      </c>
      <c r="BC568" s="25" t="str">
        <f t="shared" si="152"/>
        <v/>
      </c>
    </row>
    <row r="569" spans="1:55" x14ac:dyDescent="0.25">
      <c r="A569" s="19" t="str">
        <f t="shared" si="137"/>
        <v/>
      </c>
      <c r="B569" s="19"/>
      <c r="C569" s="20"/>
      <c r="D569" s="19" t="str">
        <f t="shared" si="136"/>
        <v/>
      </c>
      <c r="E569" s="19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19"/>
      <c r="U569" s="19"/>
      <c r="V569" s="20"/>
      <c r="W569" s="22"/>
      <c r="X569" s="21"/>
      <c r="Y569" s="21"/>
      <c r="Z569" s="23" t="str">
        <f>IF(B569="","",IF(S569&lt;&gt;"","Sevk Edildi",IF(AND(X569&lt;&gt;"",Y569=""),"Reworkte",IF(T569&lt;&gt;"","Kapandı"&amp;IF(COUNT(G569:R569)=0,""," – "&amp;LOOKUP(2,1/(G569:R569=MAX(G569:R569)),{"Tasarım","Ply Cutter","Üretim","Kalite (Üretim sonrası)","Talaşlı","Kalite (Talaşlı sonrası)","Montaj","Kalite (Montaj sonrası)","Boya","Kalite (Boya sonrası)","Yarı Mamül","KM"})),IF(COUNT(G569:R569)=0,"Başlamadı",LOOKUP(2,1/(G569:R569=MAX(G569:R569)),{"Tasarımda","Ply Cutter'da","Üretimde","Kalitede (Üretim sonrası)","Talaşlıda","Kalitede (Talaşlı sonrası)","Montajda","Kalitede (Montaj sonrası)","Boyada","Kalitede (Boya sonrası)","Yarı Mamülde","KM'de"}))))))</f>
        <v/>
      </c>
      <c r="AA569" s="24" t="str">
        <f t="shared" ca="1" si="138"/>
        <v/>
      </c>
      <c r="AB569" s="22"/>
      <c r="AD569" t="str">
        <f>IF(OR($B569="",NOT(ISNUMBER(G569))),"",IF(COUNTIF(H569:$T569,G569)&gt;0,0,IF(COUNTIF($G569:$T569,"&gt;"&amp;G569)=0,"",SMALL($G569:$T569,COUNTIF($G569:$T569,"&lt;="&amp;G569)+1)-G569)))</f>
        <v/>
      </c>
      <c r="AE569" t="str">
        <f>IF(OR($B569="",NOT(ISNUMBER(H569))),"",IF(COUNTIF(I569:$T569,H569)&gt;0,0,IF(COUNTIF($G569:$T569,"&gt;"&amp;H569)=0,"",SMALL($G569:$T569,COUNTIF($G569:$T569,"&lt;="&amp;H569)+1)-H569)))</f>
        <v/>
      </c>
      <c r="AF569" t="str">
        <f>IF(OR($B569="",NOT(ISNUMBER(I569))),"",IF(COUNTIF(J569:$T569,I569)&gt;0,0,IF(COUNTIF($G569:$T569,"&gt;"&amp;I569)=0,"",SMALL($G569:$T569,COUNTIF($G569:$T569,"&lt;="&amp;I569)+1)-I569)))</f>
        <v/>
      </c>
      <c r="AG569" t="str">
        <f>IF(OR($B569="",NOT(ISNUMBER(J569))),"",IF(COUNTIF(K569:$T569,J569)&gt;0,0,IF(COUNTIF($G569:$T569,"&gt;"&amp;J569)=0,"",SMALL($G569:$T569,COUNTIF($G569:$T569,"&lt;="&amp;J569)+1)-J569)))</f>
        <v/>
      </c>
      <c r="AH569" t="str">
        <f>IF(OR($B569="",NOT(ISNUMBER(K569))),"",IF(COUNTIF(L569:$T569,K569)&gt;0,0,IF(COUNTIF($G569:$T569,"&gt;"&amp;K569)=0,"",SMALL($G569:$T569,COUNTIF($G569:$T569,"&lt;="&amp;K569)+1)-K569)))</f>
        <v/>
      </c>
      <c r="AI569" t="str">
        <f>IF(OR($B569="",NOT(ISNUMBER(L569))),"",IF(COUNTIF(M569:$T569,L569)&gt;0,0,IF(COUNTIF($G569:$T569,"&gt;"&amp;L569)=0,"",SMALL($G569:$T569,COUNTIF($G569:$T569,"&lt;="&amp;L569)+1)-L569)))</f>
        <v/>
      </c>
      <c r="AJ569" t="str">
        <f>IF(OR($B569="",NOT(ISNUMBER(M569))),"",IF(COUNTIF(N569:$T569,M569)&gt;0,0,IF(COUNTIF($G569:$T569,"&gt;"&amp;M569)=0,"",SMALL($G569:$T569,COUNTIF($G569:$T569,"&lt;="&amp;M569)+1)-M569)))</f>
        <v/>
      </c>
      <c r="AK569" t="str">
        <f>IF(OR($B569="",NOT(ISNUMBER(N569))),"",IF(COUNTIF(O569:$T569,N569)&gt;0,0,IF(COUNTIF($G569:$T569,"&gt;"&amp;N569)=0,"",SMALL($G569:$T569,COUNTIF($G569:$T569,"&lt;="&amp;N569)+1)-N569)))</f>
        <v/>
      </c>
      <c r="AL569" t="str">
        <f>IF(OR($B569="",NOT(ISNUMBER(O569))),"",IF(COUNTIF(P569:$T569,O569)&gt;0,0,IF(COUNTIF($G569:$T569,"&gt;"&amp;O569)=0,"",SMALL($G569:$T569,COUNTIF($G569:$T569,"&lt;="&amp;O569)+1)-O569)))</f>
        <v/>
      </c>
      <c r="AM569" t="str">
        <f>IF(OR($B569="",NOT(ISNUMBER(P569))),"",IF(COUNTIF(Q569:$T569,P569)&gt;0,0,IF(COUNTIF($G569:$T569,"&gt;"&amp;P569)=0,"",SMALL($G569:$T569,COUNTIF($G569:$T569,"&lt;="&amp;P569)+1)-P569)))</f>
        <v/>
      </c>
      <c r="AN569" t="str">
        <f>IF(OR($B569="",NOT(ISNUMBER(Q569))),"",IF(COUNTIF(R569:$T569,Q569)&gt;0,0,IF(COUNTIF($G569:$T569,"&gt;"&amp;Q569)=0,"",SMALL($G569:$T569,COUNTIF($G569:$T569,"&lt;="&amp;Q569)+1)-Q569)))</f>
        <v/>
      </c>
      <c r="AO569" t="str">
        <f>IF(OR($B569="",NOT(ISNUMBER(R569))),"",IF(COUNTIF(S569:$T569,R569)&gt;0,0,IF(COUNTIF($G569:$T569,"&gt;"&amp;R569)=0,"",SMALL($G569:$T569,COUNTIF($G569:$T569,"&lt;="&amp;R569)+1)-R569)))</f>
        <v/>
      </c>
      <c r="AP569">
        <f t="shared" ca="1" si="139"/>
        <v>0</v>
      </c>
      <c r="AQ569" s="25" t="str">
        <f t="shared" si="140"/>
        <v/>
      </c>
      <c r="AR569" s="25" t="str">
        <f t="shared" si="141"/>
        <v/>
      </c>
      <c r="AS569" s="25" t="str">
        <f t="shared" si="142"/>
        <v/>
      </c>
      <c r="AT569" s="25" t="str">
        <f t="shared" si="143"/>
        <v/>
      </c>
      <c r="AU569" s="25" t="str">
        <f t="shared" si="144"/>
        <v/>
      </c>
      <c r="AV569" s="25" t="str">
        <f t="shared" si="145"/>
        <v/>
      </c>
      <c r="AW569" s="25" t="str">
        <f t="shared" si="146"/>
        <v/>
      </c>
      <c r="AX569" s="25" t="str">
        <f t="shared" si="147"/>
        <v/>
      </c>
      <c r="AY569" s="25" t="str">
        <f t="shared" si="148"/>
        <v/>
      </c>
      <c r="AZ569" s="25" t="str">
        <f t="shared" si="149"/>
        <v/>
      </c>
      <c r="BA569" s="25" t="str">
        <f t="shared" si="150"/>
        <v/>
      </c>
      <c r="BB569" s="25" t="str">
        <f t="shared" si="151"/>
        <v/>
      </c>
      <c r="BC569" s="25" t="str">
        <f t="shared" si="152"/>
        <v/>
      </c>
    </row>
    <row r="570" spans="1:55" x14ac:dyDescent="0.25">
      <c r="A570" s="19" t="str">
        <f t="shared" si="137"/>
        <v/>
      </c>
      <c r="B570" s="19"/>
      <c r="C570" s="20"/>
      <c r="D570" s="19" t="str">
        <f t="shared" si="136"/>
        <v/>
      </c>
      <c r="E570" s="19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19"/>
      <c r="U570" s="19"/>
      <c r="V570" s="20"/>
      <c r="W570" s="22"/>
      <c r="X570" s="21"/>
      <c r="Y570" s="21"/>
      <c r="Z570" s="23" t="str">
        <f>IF(B570="","",IF(S570&lt;&gt;"","Sevk Edildi",IF(AND(X570&lt;&gt;"",Y570=""),"Reworkte",IF(T570&lt;&gt;"","Kapandı"&amp;IF(COUNT(G570:R570)=0,""," – "&amp;LOOKUP(2,1/(G570:R570=MAX(G570:R570)),{"Tasarım","Ply Cutter","Üretim","Kalite (Üretim sonrası)","Talaşlı","Kalite (Talaşlı sonrası)","Montaj","Kalite (Montaj sonrası)","Boya","Kalite (Boya sonrası)","Yarı Mamül","KM"})),IF(COUNT(G570:R570)=0,"Başlamadı",LOOKUP(2,1/(G570:R570=MAX(G570:R570)),{"Tasarımda","Ply Cutter'da","Üretimde","Kalitede (Üretim sonrası)","Talaşlıda","Kalitede (Talaşlı sonrası)","Montajda","Kalitede (Montaj sonrası)","Boyada","Kalitede (Boya sonrası)","Yarı Mamülde","KM'de"}))))))</f>
        <v/>
      </c>
      <c r="AA570" s="24" t="str">
        <f t="shared" ca="1" si="138"/>
        <v/>
      </c>
      <c r="AB570" s="22"/>
      <c r="AD570" t="str">
        <f>IF(OR($B570="",NOT(ISNUMBER(G570))),"",IF(COUNTIF(H570:$T570,G570)&gt;0,0,IF(COUNTIF($G570:$T570,"&gt;"&amp;G570)=0,"",SMALL($G570:$T570,COUNTIF($G570:$T570,"&lt;="&amp;G570)+1)-G570)))</f>
        <v/>
      </c>
      <c r="AE570" t="str">
        <f>IF(OR($B570="",NOT(ISNUMBER(H570))),"",IF(COUNTIF(I570:$T570,H570)&gt;0,0,IF(COUNTIF($G570:$T570,"&gt;"&amp;H570)=0,"",SMALL($G570:$T570,COUNTIF($G570:$T570,"&lt;="&amp;H570)+1)-H570)))</f>
        <v/>
      </c>
      <c r="AF570" t="str">
        <f>IF(OR($B570="",NOT(ISNUMBER(I570))),"",IF(COUNTIF(J570:$T570,I570)&gt;0,0,IF(COUNTIF($G570:$T570,"&gt;"&amp;I570)=0,"",SMALL($G570:$T570,COUNTIF($G570:$T570,"&lt;="&amp;I570)+1)-I570)))</f>
        <v/>
      </c>
      <c r="AG570" t="str">
        <f>IF(OR($B570="",NOT(ISNUMBER(J570))),"",IF(COUNTIF(K570:$T570,J570)&gt;0,0,IF(COUNTIF($G570:$T570,"&gt;"&amp;J570)=0,"",SMALL($G570:$T570,COUNTIF($G570:$T570,"&lt;="&amp;J570)+1)-J570)))</f>
        <v/>
      </c>
      <c r="AH570" t="str">
        <f>IF(OR($B570="",NOT(ISNUMBER(K570))),"",IF(COUNTIF(L570:$T570,K570)&gt;0,0,IF(COUNTIF($G570:$T570,"&gt;"&amp;K570)=0,"",SMALL($G570:$T570,COUNTIF($G570:$T570,"&lt;="&amp;K570)+1)-K570)))</f>
        <v/>
      </c>
      <c r="AI570" t="str">
        <f>IF(OR($B570="",NOT(ISNUMBER(L570))),"",IF(COUNTIF(M570:$T570,L570)&gt;0,0,IF(COUNTIF($G570:$T570,"&gt;"&amp;L570)=0,"",SMALL($G570:$T570,COUNTIF($G570:$T570,"&lt;="&amp;L570)+1)-L570)))</f>
        <v/>
      </c>
      <c r="AJ570" t="str">
        <f>IF(OR($B570="",NOT(ISNUMBER(M570))),"",IF(COUNTIF(N570:$T570,M570)&gt;0,0,IF(COUNTIF($G570:$T570,"&gt;"&amp;M570)=0,"",SMALL($G570:$T570,COUNTIF($G570:$T570,"&lt;="&amp;M570)+1)-M570)))</f>
        <v/>
      </c>
      <c r="AK570" t="str">
        <f>IF(OR($B570="",NOT(ISNUMBER(N570))),"",IF(COUNTIF(O570:$T570,N570)&gt;0,0,IF(COUNTIF($G570:$T570,"&gt;"&amp;N570)=0,"",SMALL($G570:$T570,COUNTIF($G570:$T570,"&lt;="&amp;N570)+1)-N570)))</f>
        <v/>
      </c>
      <c r="AL570" t="str">
        <f>IF(OR($B570="",NOT(ISNUMBER(O570))),"",IF(COUNTIF(P570:$T570,O570)&gt;0,0,IF(COUNTIF($G570:$T570,"&gt;"&amp;O570)=0,"",SMALL($G570:$T570,COUNTIF($G570:$T570,"&lt;="&amp;O570)+1)-O570)))</f>
        <v/>
      </c>
      <c r="AM570" t="str">
        <f>IF(OR($B570="",NOT(ISNUMBER(P570))),"",IF(COUNTIF(Q570:$T570,P570)&gt;0,0,IF(COUNTIF($G570:$T570,"&gt;"&amp;P570)=0,"",SMALL($G570:$T570,COUNTIF($G570:$T570,"&lt;="&amp;P570)+1)-P570)))</f>
        <v/>
      </c>
      <c r="AN570" t="str">
        <f>IF(OR($B570="",NOT(ISNUMBER(Q570))),"",IF(COUNTIF(R570:$T570,Q570)&gt;0,0,IF(COUNTIF($G570:$T570,"&gt;"&amp;Q570)=0,"",SMALL($G570:$T570,COUNTIF($G570:$T570,"&lt;="&amp;Q570)+1)-Q570)))</f>
        <v/>
      </c>
      <c r="AO570" t="str">
        <f>IF(OR($B570="",NOT(ISNUMBER(R570))),"",IF(COUNTIF(S570:$T570,R570)&gt;0,0,IF(COUNTIF($G570:$T570,"&gt;"&amp;R570)=0,"",SMALL($G570:$T570,COUNTIF($G570:$T570,"&lt;="&amp;R570)+1)-R570)))</f>
        <v/>
      </c>
      <c r="AP570">
        <f t="shared" ca="1" si="139"/>
        <v>0</v>
      </c>
      <c r="AQ570" s="25" t="str">
        <f t="shared" si="140"/>
        <v/>
      </c>
      <c r="AR570" s="25" t="str">
        <f t="shared" si="141"/>
        <v/>
      </c>
      <c r="AS570" s="25" t="str">
        <f t="shared" si="142"/>
        <v/>
      </c>
      <c r="AT570" s="25" t="str">
        <f t="shared" si="143"/>
        <v/>
      </c>
      <c r="AU570" s="25" t="str">
        <f t="shared" si="144"/>
        <v/>
      </c>
      <c r="AV570" s="25" t="str">
        <f t="shared" si="145"/>
        <v/>
      </c>
      <c r="AW570" s="25" t="str">
        <f t="shared" si="146"/>
        <v/>
      </c>
      <c r="AX570" s="25" t="str">
        <f t="shared" si="147"/>
        <v/>
      </c>
      <c r="AY570" s="25" t="str">
        <f t="shared" si="148"/>
        <v/>
      </c>
      <c r="AZ570" s="25" t="str">
        <f t="shared" si="149"/>
        <v/>
      </c>
      <c r="BA570" s="25" t="str">
        <f t="shared" si="150"/>
        <v/>
      </c>
      <c r="BB570" s="25" t="str">
        <f t="shared" si="151"/>
        <v/>
      </c>
      <c r="BC570" s="25" t="str">
        <f t="shared" si="152"/>
        <v/>
      </c>
    </row>
    <row r="571" spans="1:55" x14ac:dyDescent="0.25">
      <c r="A571" s="19" t="str">
        <f t="shared" si="137"/>
        <v/>
      </c>
      <c r="B571" s="19"/>
      <c r="C571" s="20"/>
      <c r="D571" s="19" t="str">
        <f t="shared" si="136"/>
        <v/>
      </c>
      <c r="E571" s="19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19"/>
      <c r="U571" s="19"/>
      <c r="V571" s="20"/>
      <c r="W571" s="22"/>
      <c r="X571" s="21"/>
      <c r="Y571" s="21"/>
      <c r="Z571" s="23" t="str">
        <f>IF(B571="","",IF(S571&lt;&gt;"","Sevk Edildi",IF(AND(X571&lt;&gt;"",Y571=""),"Reworkte",IF(T571&lt;&gt;"","Kapandı"&amp;IF(COUNT(G571:R571)=0,""," – "&amp;LOOKUP(2,1/(G571:R571=MAX(G571:R571)),{"Tasarım","Ply Cutter","Üretim","Kalite (Üretim sonrası)","Talaşlı","Kalite (Talaşlı sonrası)","Montaj","Kalite (Montaj sonrası)","Boya","Kalite (Boya sonrası)","Yarı Mamül","KM"})),IF(COUNT(G571:R571)=0,"Başlamadı",LOOKUP(2,1/(G571:R571=MAX(G571:R571)),{"Tasarımda","Ply Cutter'da","Üretimde","Kalitede (Üretim sonrası)","Talaşlıda","Kalitede (Talaşlı sonrası)","Montajda","Kalitede (Montaj sonrası)","Boyada","Kalitede (Boya sonrası)","Yarı Mamülde","KM'de"}))))))</f>
        <v/>
      </c>
      <c r="AA571" s="24" t="str">
        <f t="shared" ca="1" si="138"/>
        <v/>
      </c>
      <c r="AB571" s="22"/>
      <c r="AD571" t="str">
        <f>IF(OR($B571="",NOT(ISNUMBER(G571))),"",IF(COUNTIF(H571:$T571,G571)&gt;0,0,IF(COUNTIF($G571:$T571,"&gt;"&amp;G571)=0,"",SMALL($G571:$T571,COUNTIF($G571:$T571,"&lt;="&amp;G571)+1)-G571)))</f>
        <v/>
      </c>
      <c r="AE571" t="str">
        <f>IF(OR($B571="",NOT(ISNUMBER(H571))),"",IF(COUNTIF(I571:$T571,H571)&gt;0,0,IF(COUNTIF($G571:$T571,"&gt;"&amp;H571)=0,"",SMALL($G571:$T571,COUNTIF($G571:$T571,"&lt;="&amp;H571)+1)-H571)))</f>
        <v/>
      </c>
      <c r="AF571" t="str">
        <f>IF(OR($B571="",NOT(ISNUMBER(I571))),"",IF(COUNTIF(J571:$T571,I571)&gt;0,0,IF(COUNTIF($G571:$T571,"&gt;"&amp;I571)=0,"",SMALL($G571:$T571,COUNTIF($G571:$T571,"&lt;="&amp;I571)+1)-I571)))</f>
        <v/>
      </c>
      <c r="AG571" t="str">
        <f>IF(OR($B571="",NOT(ISNUMBER(J571))),"",IF(COUNTIF(K571:$T571,J571)&gt;0,0,IF(COUNTIF($G571:$T571,"&gt;"&amp;J571)=0,"",SMALL($G571:$T571,COUNTIF($G571:$T571,"&lt;="&amp;J571)+1)-J571)))</f>
        <v/>
      </c>
      <c r="AH571" t="str">
        <f>IF(OR($B571="",NOT(ISNUMBER(K571))),"",IF(COUNTIF(L571:$T571,K571)&gt;0,0,IF(COUNTIF($G571:$T571,"&gt;"&amp;K571)=0,"",SMALL($G571:$T571,COUNTIF($G571:$T571,"&lt;="&amp;K571)+1)-K571)))</f>
        <v/>
      </c>
      <c r="AI571" t="str">
        <f>IF(OR($B571="",NOT(ISNUMBER(L571))),"",IF(COUNTIF(M571:$T571,L571)&gt;0,0,IF(COUNTIF($G571:$T571,"&gt;"&amp;L571)=0,"",SMALL($G571:$T571,COUNTIF($G571:$T571,"&lt;="&amp;L571)+1)-L571)))</f>
        <v/>
      </c>
      <c r="AJ571" t="str">
        <f>IF(OR($B571="",NOT(ISNUMBER(M571))),"",IF(COUNTIF(N571:$T571,M571)&gt;0,0,IF(COUNTIF($G571:$T571,"&gt;"&amp;M571)=0,"",SMALL($G571:$T571,COUNTIF($G571:$T571,"&lt;="&amp;M571)+1)-M571)))</f>
        <v/>
      </c>
      <c r="AK571" t="str">
        <f>IF(OR($B571="",NOT(ISNUMBER(N571))),"",IF(COUNTIF(O571:$T571,N571)&gt;0,0,IF(COUNTIF($G571:$T571,"&gt;"&amp;N571)=0,"",SMALL($G571:$T571,COUNTIF($G571:$T571,"&lt;="&amp;N571)+1)-N571)))</f>
        <v/>
      </c>
      <c r="AL571" t="str">
        <f>IF(OR($B571="",NOT(ISNUMBER(O571))),"",IF(COUNTIF(P571:$T571,O571)&gt;0,0,IF(COUNTIF($G571:$T571,"&gt;"&amp;O571)=0,"",SMALL($G571:$T571,COUNTIF($G571:$T571,"&lt;="&amp;O571)+1)-O571)))</f>
        <v/>
      </c>
      <c r="AM571" t="str">
        <f>IF(OR($B571="",NOT(ISNUMBER(P571))),"",IF(COUNTIF(Q571:$T571,P571)&gt;0,0,IF(COUNTIF($G571:$T571,"&gt;"&amp;P571)=0,"",SMALL($G571:$T571,COUNTIF($G571:$T571,"&lt;="&amp;P571)+1)-P571)))</f>
        <v/>
      </c>
      <c r="AN571" t="str">
        <f>IF(OR($B571="",NOT(ISNUMBER(Q571))),"",IF(COUNTIF(R571:$T571,Q571)&gt;0,0,IF(COUNTIF($G571:$T571,"&gt;"&amp;Q571)=0,"",SMALL($G571:$T571,COUNTIF($G571:$T571,"&lt;="&amp;Q571)+1)-Q571)))</f>
        <v/>
      </c>
      <c r="AO571" t="str">
        <f>IF(OR($B571="",NOT(ISNUMBER(R571))),"",IF(COUNTIF(S571:$T571,R571)&gt;0,0,IF(COUNTIF($G571:$T571,"&gt;"&amp;R571)=0,"",SMALL($G571:$T571,COUNTIF($G571:$T571,"&lt;="&amp;R571)+1)-R571)))</f>
        <v/>
      </c>
      <c r="AP571">
        <f t="shared" ca="1" si="139"/>
        <v>0</v>
      </c>
      <c r="AQ571" s="25" t="str">
        <f t="shared" si="140"/>
        <v/>
      </c>
      <c r="AR571" s="25" t="str">
        <f t="shared" si="141"/>
        <v/>
      </c>
      <c r="AS571" s="25" t="str">
        <f t="shared" si="142"/>
        <v/>
      </c>
      <c r="AT571" s="25" t="str">
        <f t="shared" si="143"/>
        <v/>
      </c>
      <c r="AU571" s="25" t="str">
        <f t="shared" si="144"/>
        <v/>
      </c>
      <c r="AV571" s="25" t="str">
        <f t="shared" si="145"/>
        <v/>
      </c>
      <c r="AW571" s="25" t="str">
        <f t="shared" si="146"/>
        <v/>
      </c>
      <c r="AX571" s="25" t="str">
        <f t="shared" si="147"/>
        <v/>
      </c>
      <c r="AY571" s="25" t="str">
        <f t="shared" si="148"/>
        <v/>
      </c>
      <c r="AZ571" s="25" t="str">
        <f t="shared" si="149"/>
        <v/>
      </c>
      <c r="BA571" s="25" t="str">
        <f t="shared" si="150"/>
        <v/>
      </c>
      <c r="BB571" s="25" t="str">
        <f t="shared" si="151"/>
        <v/>
      </c>
      <c r="BC571" s="25" t="str">
        <f t="shared" si="152"/>
        <v/>
      </c>
    </row>
    <row r="572" spans="1:55" x14ac:dyDescent="0.25">
      <c r="A572" s="19" t="str">
        <f t="shared" si="137"/>
        <v/>
      </c>
      <c r="B572" s="19"/>
      <c r="C572" s="20"/>
      <c r="D572" s="19" t="str">
        <f t="shared" si="136"/>
        <v/>
      </c>
      <c r="E572" s="19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19"/>
      <c r="U572" s="19"/>
      <c r="V572" s="20"/>
      <c r="W572" s="22"/>
      <c r="X572" s="21"/>
      <c r="Y572" s="21"/>
      <c r="Z572" s="23" t="str">
        <f>IF(B572="","",IF(S572&lt;&gt;"","Sevk Edildi",IF(AND(X572&lt;&gt;"",Y572=""),"Reworkte",IF(T572&lt;&gt;"","Kapandı"&amp;IF(COUNT(G572:R572)=0,""," – "&amp;LOOKUP(2,1/(G572:R572=MAX(G572:R572)),{"Tasarım","Ply Cutter","Üretim","Kalite (Üretim sonrası)","Talaşlı","Kalite (Talaşlı sonrası)","Montaj","Kalite (Montaj sonrası)","Boya","Kalite (Boya sonrası)","Yarı Mamül","KM"})),IF(COUNT(G572:R572)=0,"Başlamadı",LOOKUP(2,1/(G572:R572=MAX(G572:R572)),{"Tasarımda","Ply Cutter'da","Üretimde","Kalitede (Üretim sonrası)","Talaşlıda","Kalitede (Talaşlı sonrası)","Montajda","Kalitede (Montaj sonrası)","Boyada","Kalitede (Boya sonrası)","Yarı Mamülde","KM'de"}))))))</f>
        <v/>
      </c>
      <c r="AA572" s="24" t="str">
        <f t="shared" ca="1" si="138"/>
        <v/>
      </c>
      <c r="AB572" s="22"/>
      <c r="AD572" t="str">
        <f>IF(OR($B572="",NOT(ISNUMBER(G572))),"",IF(COUNTIF(H572:$T572,G572)&gt;0,0,IF(COUNTIF($G572:$T572,"&gt;"&amp;G572)=0,"",SMALL($G572:$T572,COUNTIF($G572:$T572,"&lt;="&amp;G572)+1)-G572)))</f>
        <v/>
      </c>
      <c r="AE572" t="str">
        <f>IF(OR($B572="",NOT(ISNUMBER(H572))),"",IF(COUNTIF(I572:$T572,H572)&gt;0,0,IF(COUNTIF($G572:$T572,"&gt;"&amp;H572)=0,"",SMALL($G572:$T572,COUNTIF($G572:$T572,"&lt;="&amp;H572)+1)-H572)))</f>
        <v/>
      </c>
      <c r="AF572" t="str">
        <f>IF(OR($B572="",NOT(ISNUMBER(I572))),"",IF(COUNTIF(J572:$T572,I572)&gt;0,0,IF(COUNTIF($G572:$T572,"&gt;"&amp;I572)=0,"",SMALL($G572:$T572,COUNTIF($G572:$T572,"&lt;="&amp;I572)+1)-I572)))</f>
        <v/>
      </c>
      <c r="AG572" t="str">
        <f>IF(OR($B572="",NOT(ISNUMBER(J572))),"",IF(COUNTIF(K572:$T572,J572)&gt;0,0,IF(COUNTIF($G572:$T572,"&gt;"&amp;J572)=0,"",SMALL($G572:$T572,COUNTIF($G572:$T572,"&lt;="&amp;J572)+1)-J572)))</f>
        <v/>
      </c>
      <c r="AH572" t="str">
        <f>IF(OR($B572="",NOT(ISNUMBER(K572))),"",IF(COUNTIF(L572:$T572,K572)&gt;0,0,IF(COUNTIF($G572:$T572,"&gt;"&amp;K572)=0,"",SMALL($G572:$T572,COUNTIF($G572:$T572,"&lt;="&amp;K572)+1)-K572)))</f>
        <v/>
      </c>
      <c r="AI572" t="str">
        <f>IF(OR($B572="",NOT(ISNUMBER(L572))),"",IF(COUNTIF(M572:$T572,L572)&gt;0,0,IF(COUNTIF($G572:$T572,"&gt;"&amp;L572)=0,"",SMALL($G572:$T572,COUNTIF($G572:$T572,"&lt;="&amp;L572)+1)-L572)))</f>
        <v/>
      </c>
      <c r="AJ572" t="str">
        <f>IF(OR($B572="",NOT(ISNUMBER(M572))),"",IF(COUNTIF(N572:$T572,M572)&gt;0,0,IF(COUNTIF($G572:$T572,"&gt;"&amp;M572)=0,"",SMALL($G572:$T572,COUNTIF($G572:$T572,"&lt;="&amp;M572)+1)-M572)))</f>
        <v/>
      </c>
      <c r="AK572" t="str">
        <f>IF(OR($B572="",NOT(ISNUMBER(N572))),"",IF(COUNTIF(O572:$T572,N572)&gt;0,0,IF(COUNTIF($G572:$T572,"&gt;"&amp;N572)=0,"",SMALL($G572:$T572,COUNTIF($G572:$T572,"&lt;="&amp;N572)+1)-N572)))</f>
        <v/>
      </c>
      <c r="AL572" t="str">
        <f>IF(OR($B572="",NOT(ISNUMBER(O572))),"",IF(COUNTIF(P572:$T572,O572)&gt;0,0,IF(COUNTIF($G572:$T572,"&gt;"&amp;O572)=0,"",SMALL($G572:$T572,COUNTIF($G572:$T572,"&lt;="&amp;O572)+1)-O572)))</f>
        <v/>
      </c>
      <c r="AM572" t="str">
        <f>IF(OR($B572="",NOT(ISNUMBER(P572))),"",IF(COUNTIF(Q572:$T572,P572)&gt;0,0,IF(COUNTIF($G572:$T572,"&gt;"&amp;P572)=0,"",SMALL($G572:$T572,COUNTIF($G572:$T572,"&lt;="&amp;P572)+1)-P572)))</f>
        <v/>
      </c>
      <c r="AN572" t="str">
        <f>IF(OR($B572="",NOT(ISNUMBER(Q572))),"",IF(COUNTIF(R572:$T572,Q572)&gt;0,0,IF(COUNTIF($G572:$T572,"&gt;"&amp;Q572)=0,"",SMALL($G572:$T572,COUNTIF($G572:$T572,"&lt;="&amp;Q572)+1)-Q572)))</f>
        <v/>
      </c>
      <c r="AO572" t="str">
        <f>IF(OR($B572="",NOT(ISNUMBER(R572))),"",IF(COUNTIF(S572:$T572,R572)&gt;0,0,IF(COUNTIF($G572:$T572,"&gt;"&amp;R572)=0,"",SMALL($G572:$T572,COUNTIF($G572:$T572,"&lt;="&amp;R572)+1)-R572)))</f>
        <v/>
      </c>
      <c r="AP572">
        <f t="shared" ca="1" si="139"/>
        <v>0</v>
      </c>
      <c r="AQ572" s="25" t="str">
        <f t="shared" si="140"/>
        <v/>
      </c>
      <c r="AR572" s="25" t="str">
        <f t="shared" si="141"/>
        <v/>
      </c>
      <c r="AS572" s="25" t="str">
        <f t="shared" si="142"/>
        <v/>
      </c>
      <c r="AT572" s="25" t="str">
        <f t="shared" si="143"/>
        <v/>
      </c>
      <c r="AU572" s="25" t="str">
        <f t="shared" si="144"/>
        <v/>
      </c>
      <c r="AV572" s="25" t="str">
        <f t="shared" si="145"/>
        <v/>
      </c>
      <c r="AW572" s="25" t="str">
        <f t="shared" si="146"/>
        <v/>
      </c>
      <c r="AX572" s="25" t="str">
        <f t="shared" si="147"/>
        <v/>
      </c>
      <c r="AY572" s="25" t="str">
        <f t="shared" si="148"/>
        <v/>
      </c>
      <c r="AZ572" s="25" t="str">
        <f t="shared" si="149"/>
        <v/>
      </c>
      <c r="BA572" s="25" t="str">
        <f t="shared" si="150"/>
        <v/>
      </c>
      <c r="BB572" s="25" t="str">
        <f t="shared" si="151"/>
        <v/>
      </c>
      <c r="BC572" s="25" t="str">
        <f t="shared" si="152"/>
        <v/>
      </c>
    </row>
    <row r="573" spans="1:55" x14ac:dyDescent="0.25">
      <c r="A573" s="19" t="str">
        <f t="shared" si="137"/>
        <v/>
      </c>
      <c r="B573" s="19"/>
      <c r="C573" s="20"/>
      <c r="D573" s="19" t="str">
        <f t="shared" si="136"/>
        <v/>
      </c>
      <c r="E573" s="19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19"/>
      <c r="U573" s="19"/>
      <c r="V573" s="20"/>
      <c r="W573" s="22"/>
      <c r="X573" s="21"/>
      <c r="Y573" s="21"/>
      <c r="Z573" s="23" t="str">
        <f>IF(B573="","",IF(S573&lt;&gt;"","Sevk Edildi",IF(AND(X573&lt;&gt;"",Y573=""),"Reworkte",IF(T573&lt;&gt;"","Kapandı"&amp;IF(COUNT(G573:R573)=0,""," – "&amp;LOOKUP(2,1/(G573:R573=MAX(G573:R573)),{"Tasarım","Ply Cutter","Üretim","Kalite (Üretim sonrası)","Talaşlı","Kalite (Talaşlı sonrası)","Montaj","Kalite (Montaj sonrası)","Boya","Kalite (Boya sonrası)","Yarı Mamül","KM"})),IF(COUNT(G573:R573)=0,"Başlamadı",LOOKUP(2,1/(G573:R573=MAX(G573:R573)),{"Tasarımda","Ply Cutter'da","Üretimde","Kalitede (Üretim sonrası)","Talaşlıda","Kalitede (Talaşlı sonrası)","Montajda","Kalitede (Montaj sonrası)","Boyada","Kalitede (Boya sonrası)","Yarı Mamülde","KM'de"}))))))</f>
        <v/>
      </c>
      <c r="AA573" s="24" t="str">
        <f t="shared" ca="1" si="138"/>
        <v/>
      </c>
      <c r="AB573" s="22"/>
      <c r="AD573" t="str">
        <f>IF(OR($B573="",NOT(ISNUMBER(G573))),"",IF(COUNTIF(H573:$T573,G573)&gt;0,0,IF(COUNTIF($G573:$T573,"&gt;"&amp;G573)=0,"",SMALL($G573:$T573,COUNTIF($G573:$T573,"&lt;="&amp;G573)+1)-G573)))</f>
        <v/>
      </c>
      <c r="AE573" t="str">
        <f>IF(OR($B573="",NOT(ISNUMBER(H573))),"",IF(COUNTIF(I573:$T573,H573)&gt;0,0,IF(COUNTIF($G573:$T573,"&gt;"&amp;H573)=0,"",SMALL($G573:$T573,COUNTIF($G573:$T573,"&lt;="&amp;H573)+1)-H573)))</f>
        <v/>
      </c>
      <c r="AF573" t="str">
        <f>IF(OR($B573="",NOT(ISNUMBER(I573))),"",IF(COUNTIF(J573:$T573,I573)&gt;0,0,IF(COUNTIF($G573:$T573,"&gt;"&amp;I573)=0,"",SMALL($G573:$T573,COUNTIF($G573:$T573,"&lt;="&amp;I573)+1)-I573)))</f>
        <v/>
      </c>
      <c r="AG573" t="str">
        <f>IF(OR($B573="",NOT(ISNUMBER(J573))),"",IF(COUNTIF(K573:$T573,J573)&gt;0,0,IF(COUNTIF($G573:$T573,"&gt;"&amp;J573)=0,"",SMALL($G573:$T573,COUNTIF($G573:$T573,"&lt;="&amp;J573)+1)-J573)))</f>
        <v/>
      </c>
      <c r="AH573" t="str">
        <f>IF(OR($B573="",NOT(ISNUMBER(K573))),"",IF(COUNTIF(L573:$T573,K573)&gt;0,0,IF(COUNTIF($G573:$T573,"&gt;"&amp;K573)=0,"",SMALL($G573:$T573,COUNTIF($G573:$T573,"&lt;="&amp;K573)+1)-K573)))</f>
        <v/>
      </c>
      <c r="AI573" t="str">
        <f>IF(OR($B573="",NOT(ISNUMBER(L573))),"",IF(COUNTIF(M573:$T573,L573)&gt;0,0,IF(COUNTIF($G573:$T573,"&gt;"&amp;L573)=0,"",SMALL($G573:$T573,COUNTIF($G573:$T573,"&lt;="&amp;L573)+1)-L573)))</f>
        <v/>
      </c>
      <c r="AJ573" t="str">
        <f>IF(OR($B573="",NOT(ISNUMBER(M573))),"",IF(COUNTIF(N573:$T573,M573)&gt;0,0,IF(COUNTIF($G573:$T573,"&gt;"&amp;M573)=0,"",SMALL($G573:$T573,COUNTIF($G573:$T573,"&lt;="&amp;M573)+1)-M573)))</f>
        <v/>
      </c>
      <c r="AK573" t="str">
        <f>IF(OR($B573="",NOT(ISNUMBER(N573))),"",IF(COUNTIF(O573:$T573,N573)&gt;0,0,IF(COUNTIF($G573:$T573,"&gt;"&amp;N573)=0,"",SMALL($G573:$T573,COUNTIF($G573:$T573,"&lt;="&amp;N573)+1)-N573)))</f>
        <v/>
      </c>
      <c r="AL573" t="str">
        <f>IF(OR($B573="",NOT(ISNUMBER(O573))),"",IF(COUNTIF(P573:$T573,O573)&gt;0,0,IF(COUNTIF($G573:$T573,"&gt;"&amp;O573)=0,"",SMALL($G573:$T573,COUNTIF($G573:$T573,"&lt;="&amp;O573)+1)-O573)))</f>
        <v/>
      </c>
      <c r="AM573" t="str">
        <f>IF(OR($B573="",NOT(ISNUMBER(P573))),"",IF(COUNTIF(Q573:$T573,P573)&gt;0,0,IF(COUNTIF($G573:$T573,"&gt;"&amp;P573)=0,"",SMALL($G573:$T573,COUNTIF($G573:$T573,"&lt;="&amp;P573)+1)-P573)))</f>
        <v/>
      </c>
      <c r="AN573" t="str">
        <f>IF(OR($B573="",NOT(ISNUMBER(Q573))),"",IF(COUNTIF(R573:$T573,Q573)&gt;0,0,IF(COUNTIF($G573:$T573,"&gt;"&amp;Q573)=0,"",SMALL($G573:$T573,COUNTIF($G573:$T573,"&lt;="&amp;Q573)+1)-Q573)))</f>
        <v/>
      </c>
      <c r="AO573" t="str">
        <f>IF(OR($B573="",NOT(ISNUMBER(R573))),"",IF(COUNTIF(S573:$T573,R573)&gt;0,0,IF(COUNTIF($G573:$T573,"&gt;"&amp;R573)=0,"",SMALL($G573:$T573,COUNTIF($G573:$T573,"&lt;="&amp;R573)+1)-R573)))</f>
        <v/>
      </c>
      <c r="AP573">
        <f t="shared" ca="1" si="139"/>
        <v>0</v>
      </c>
      <c r="AQ573" s="25" t="str">
        <f t="shared" si="140"/>
        <v/>
      </c>
      <c r="AR573" s="25" t="str">
        <f t="shared" si="141"/>
        <v/>
      </c>
      <c r="AS573" s="25" t="str">
        <f t="shared" si="142"/>
        <v/>
      </c>
      <c r="AT573" s="25" t="str">
        <f t="shared" si="143"/>
        <v/>
      </c>
      <c r="AU573" s="25" t="str">
        <f t="shared" si="144"/>
        <v/>
      </c>
      <c r="AV573" s="25" t="str">
        <f t="shared" si="145"/>
        <v/>
      </c>
      <c r="AW573" s="25" t="str">
        <f t="shared" si="146"/>
        <v/>
      </c>
      <c r="AX573" s="25" t="str">
        <f t="shared" si="147"/>
        <v/>
      </c>
      <c r="AY573" s="25" t="str">
        <f t="shared" si="148"/>
        <v/>
      </c>
      <c r="AZ573" s="25" t="str">
        <f t="shared" si="149"/>
        <v/>
      </c>
      <c r="BA573" s="25" t="str">
        <f t="shared" si="150"/>
        <v/>
      </c>
      <c r="BB573" s="25" t="str">
        <f t="shared" si="151"/>
        <v/>
      </c>
      <c r="BC573" s="25" t="str">
        <f t="shared" si="152"/>
        <v/>
      </c>
    </row>
    <row r="574" spans="1:55" x14ac:dyDescent="0.25">
      <c r="A574" s="19" t="str">
        <f t="shared" si="137"/>
        <v/>
      </c>
      <c r="B574" s="19"/>
      <c r="C574" s="20"/>
      <c r="D574" s="19" t="str">
        <f t="shared" si="136"/>
        <v/>
      </c>
      <c r="E574" s="19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19"/>
      <c r="U574" s="19"/>
      <c r="V574" s="20"/>
      <c r="W574" s="22"/>
      <c r="X574" s="21"/>
      <c r="Y574" s="21"/>
      <c r="Z574" s="23" t="str">
        <f>IF(B574="","",IF(S574&lt;&gt;"","Sevk Edildi",IF(AND(X574&lt;&gt;"",Y574=""),"Reworkte",IF(T574&lt;&gt;"","Kapandı"&amp;IF(COUNT(G574:R574)=0,""," – "&amp;LOOKUP(2,1/(G574:R574=MAX(G574:R574)),{"Tasarım","Ply Cutter","Üretim","Kalite (Üretim sonrası)","Talaşlı","Kalite (Talaşlı sonrası)","Montaj","Kalite (Montaj sonrası)","Boya","Kalite (Boya sonrası)","Yarı Mamül","KM"})),IF(COUNT(G574:R574)=0,"Başlamadı",LOOKUP(2,1/(G574:R574=MAX(G574:R574)),{"Tasarımda","Ply Cutter'da","Üretimde","Kalitede (Üretim sonrası)","Talaşlıda","Kalitede (Talaşlı sonrası)","Montajda","Kalitede (Montaj sonrası)","Boyada","Kalitede (Boya sonrası)","Yarı Mamülde","KM'de"}))))))</f>
        <v/>
      </c>
      <c r="AA574" s="24" t="str">
        <f t="shared" ca="1" si="138"/>
        <v/>
      </c>
      <c r="AB574" s="22"/>
      <c r="AD574" t="str">
        <f>IF(OR($B574="",NOT(ISNUMBER(G574))),"",IF(COUNTIF(H574:$T574,G574)&gt;0,0,IF(COUNTIF($G574:$T574,"&gt;"&amp;G574)=0,"",SMALL($G574:$T574,COUNTIF($G574:$T574,"&lt;="&amp;G574)+1)-G574)))</f>
        <v/>
      </c>
      <c r="AE574" t="str">
        <f>IF(OR($B574="",NOT(ISNUMBER(H574))),"",IF(COUNTIF(I574:$T574,H574)&gt;0,0,IF(COUNTIF($G574:$T574,"&gt;"&amp;H574)=0,"",SMALL($G574:$T574,COUNTIF($G574:$T574,"&lt;="&amp;H574)+1)-H574)))</f>
        <v/>
      </c>
      <c r="AF574" t="str">
        <f>IF(OR($B574="",NOT(ISNUMBER(I574))),"",IF(COUNTIF(J574:$T574,I574)&gt;0,0,IF(COUNTIF($G574:$T574,"&gt;"&amp;I574)=0,"",SMALL($G574:$T574,COUNTIF($G574:$T574,"&lt;="&amp;I574)+1)-I574)))</f>
        <v/>
      </c>
      <c r="AG574" t="str">
        <f>IF(OR($B574="",NOT(ISNUMBER(J574))),"",IF(COUNTIF(K574:$T574,J574)&gt;0,0,IF(COUNTIF($G574:$T574,"&gt;"&amp;J574)=0,"",SMALL($G574:$T574,COUNTIF($G574:$T574,"&lt;="&amp;J574)+1)-J574)))</f>
        <v/>
      </c>
      <c r="AH574" t="str">
        <f>IF(OR($B574="",NOT(ISNUMBER(K574))),"",IF(COUNTIF(L574:$T574,K574)&gt;0,0,IF(COUNTIF($G574:$T574,"&gt;"&amp;K574)=0,"",SMALL($G574:$T574,COUNTIF($G574:$T574,"&lt;="&amp;K574)+1)-K574)))</f>
        <v/>
      </c>
      <c r="AI574" t="str">
        <f>IF(OR($B574="",NOT(ISNUMBER(L574))),"",IF(COUNTIF(M574:$T574,L574)&gt;0,0,IF(COUNTIF($G574:$T574,"&gt;"&amp;L574)=0,"",SMALL($G574:$T574,COUNTIF($G574:$T574,"&lt;="&amp;L574)+1)-L574)))</f>
        <v/>
      </c>
      <c r="AJ574" t="str">
        <f>IF(OR($B574="",NOT(ISNUMBER(M574))),"",IF(COUNTIF(N574:$T574,M574)&gt;0,0,IF(COUNTIF($G574:$T574,"&gt;"&amp;M574)=0,"",SMALL($G574:$T574,COUNTIF($G574:$T574,"&lt;="&amp;M574)+1)-M574)))</f>
        <v/>
      </c>
      <c r="AK574" t="str">
        <f>IF(OR($B574="",NOT(ISNUMBER(N574))),"",IF(COUNTIF(O574:$T574,N574)&gt;0,0,IF(COUNTIF($G574:$T574,"&gt;"&amp;N574)=0,"",SMALL($G574:$T574,COUNTIF($G574:$T574,"&lt;="&amp;N574)+1)-N574)))</f>
        <v/>
      </c>
      <c r="AL574" t="str">
        <f>IF(OR($B574="",NOT(ISNUMBER(O574))),"",IF(COUNTIF(P574:$T574,O574)&gt;0,0,IF(COUNTIF($G574:$T574,"&gt;"&amp;O574)=0,"",SMALL($G574:$T574,COUNTIF($G574:$T574,"&lt;="&amp;O574)+1)-O574)))</f>
        <v/>
      </c>
      <c r="AM574" t="str">
        <f>IF(OR($B574="",NOT(ISNUMBER(P574))),"",IF(COUNTIF(Q574:$T574,P574)&gt;0,0,IF(COUNTIF($G574:$T574,"&gt;"&amp;P574)=0,"",SMALL($G574:$T574,COUNTIF($G574:$T574,"&lt;="&amp;P574)+1)-P574)))</f>
        <v/>
      </c>
      <c r="AN574" t="str">
        <f>IF(OR($B574="",NOT(ISNUMBER(Q574))),"",IF(COUNTIF(R574:$T574,Q574)&gt;0,0,IF(COUNTIF($G574:$T574,"&gt;"&amp;Q574)=0,"",SMALL($G574:$T574,COUNTIF($G574:$T574,"&lt;="&amp;Q574)+1)-Q574)))</f>
        <v/>
      </c>
      <c r="AO574" t="str">
        <f>IF(OR($B574="",NOT(ISNUMBER(R574))),"",IF(COUNTIF(S574:$T574,R574)&gt;0,0,IF(COUNTIF($G574:$T574,"&gt;"&amp;R574)=0,"",SMALL($G574:$T574,COUNTIF($G574:$T574,"&lt;="&amp;R574)+1)-R574)))</f>
        <v/>
      </c>
      <c r="AP574">
        <f t="shared" ca="1" si="139"/>
        <v>0</v>
      </c>
      <c r="AQ574" s="25" t="str">
        <f t="shared" si="140"/>
        <v/>
      </c>
      <c r="AR574" s="25" t="str">
        <f t="shared" si="141"/>
        <v/>
      </c>
      <c r="AS574" s="25" t="str">
        <f t="shared" si="142"/>
        <v/>
      </c>
      <c r="AT574" s="25" t="str">
        <f t="shared" si="143"/>
        <v/>
      </c>
      <c r="AU574" s="25" t="str">
        <f t="shared" si="144"/>
        <v/>
      </c>
      <c r="AV574" s="25" t="str">
        <f t="shared" si="145"/>
        <v/>
      </c>
      <c r="AW574" s="25" t="str">
        <f t="shared" si="146"/>
        <v/>
      </c>
      <c r="AX574" s="25" t="str">
        <f t="shared" si="147"/>
        <v/>
      </c>
      <c r="AY574" s="25" t="str">
        <f t="shared" si="148"/>
        <v/>
      </c>
      <c r="AZ574" s="25" t="str">
        <f t="shared" si="149"/>
        <v/>
      </c>
      <c r="BA574" s="25" t="str">
        <f t="shared" si="150"/>
        <v/>
      </c>
      <c r="BB574" s="25" t="str">
        <f t="shared" si="151"/>
        <v/>
      </c>
      <c r="BC574" s="25" t="str">
        <f t="shared" si="152"/>
        <v/>
      </c>
    </row>
    <row r="575" spans="1:55" x14ac:dyDescent="0.25">
      <c r="A575" s="19" t="str">
        <f t="shared" si="137"/>
        <v/>
      </c>
      <c r="B575" s="19"/>
      <c r="C575" s="20"/>
      <c r="D575" s="19" t="str">
        <f t="shared" ref="D575:D638" si="153">IFERROR(VALUE(TRIM(MID(C575,FIND(" - ",C575)+3,FIND(" - ",C575,FIND(" - ",C575)+3)-FIND(" - ",C575)-3))),"")</f>
        <v/>
      </c>
      <c r="E575" s="19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19"/>
      <c r="U575" s="19"/>
      <c r="V575" s="20"/>
      <c r="W575" s="22"/>
      <c r="X575" s="21"/>
      <c r="Y575" s="21"/>
      <c r="Z575" s="23" t="str">
        <f>IF(B575="","",IF(S575&lt;&gt;"","Sevk Edildi",IF(AND(X575&lt;&gt;"",Y575=""),"Reworkte",IF(T575&lt;&gt;"","Kapandı"&amp;IF(COUNT(G575:R575)=0,""," – "&amp;LOOKUP(2,1/(G575:R575=MAX(G575:R575)),{"Tasarım","Ply Cutter","Üretim","Kalite (Üretim sonrası)","Talaşlı","Kalite (Talaşlı sonrası)","Montaj","Kalite (Montaj sonrası)","Boya","Kalite (Boya sonrası)","Yarı Mamül","KM"})),IF(COUNT(G575:R575)=0,"Başlamadı",LOOKUP(2,1/(G575:R575=MAX(G575:R575)),{"Tasarımda","Ply Cutter'da","Üretimde","Kalitede (Üretim sonrası)","Talaşlıda","Kalitede (Talaşlı sonrası)","Montajda","Kalitede (Montaj sonrası)","Boyada","Kalitede (Boya sonrası)","Yarı Mamülde","KM'de"}))))))</f>
        <v/>
      </c>
      <c r="AA575" s="24" t="str">
        <f t="shared" ca="1" si="138"/>
        <v/>
      </c>
      <c r="AB575" s="22"/>
      <c r="AD575" t="str">
        <f>IF(OR($B575="",NOT(ISNUMBER(G575))),"",IF(COUNTIF(H575:$T575,G575)&gt;0,0,IF(COUNTIF($G575:$T575,"&gt;"&amp;G575)=0,"",SMALL($G575:$T575,COUNTIF($G575:$T575,"&lt;="&amp;G575)+1)-G575)))</f>
        <v/>
      </c>
      <c r="AE575" t="str">
        <f>IF(OR($B575="",NOT(ISNUMBER(H575))),"",IF(COUNTIF(I575:$T575,H575)&gt;0,0,IF(COUNTIF($G575:$T575,"&gt;"&amp;H575)=0,"",SMALL($G575:$T575,COUNTIF($G575:$T575,"&lt;="&amp;H575)+1)-H575)))</f>
        <v/>
      </c>
      <c r="AF575" t="str">
        <f>IF(OR($B575="",NOT(ISNUMBER(I575))),"",IF(COUNTIF(J575:$T575,I575)&gt;0,0,IF(COUNTIF($G575:$T575,"&gt;"&amp;I575)=0,"",SMALL($G575:$T575,COUNTIF($G575:$T575,"&lt;="&amp;I575)+1)-I575)))</f>
        <v/>
      </c>
      <c r="AG575" t="str">
        <f>IF(OR($B575="",NOT(ISNUMBER(J575))),"",IF(COUNTIF(K575:$T575,J575)&gt;0,0,IF(COUNTIF($G575:$T575,"&gt;"&amp;J575)=0,"",SMALL($G575:$T575,COUNTIF($G575:$T575,"&lt;="&amp;J575)+1)-J575)))</f>
        <v/>
      </c>
      <c r="AH575" t="str">
        <f>IF(OR($B575="",NOT(ISNUMBER(K575))),"",IF(COUNTIF(L575:$T575,K575)&gt;0,0,IF(COUNTIF($G575:$T575,"&gt;"&amp;K575)=0,"",SMALL($G575:$T575,COUNTIF($G575:$T575,"&lt;="&amp;K575)+1)-K575)))</f>
        <v/>
      </c>
      <c r="AI575" t="str">
        <f>IF(OR($B575="",NOT(ISNUMBER(L575))),"",IF(COUNTIF(M575:$T575,L575)&gt;0,0,IF(COUNTIF($G575:$T575,"&gt;"&amp;L575)=0,"",SMALL($G575:$T575,COUNTIF($G575:$T575,"&lt;="&amp;L575)+1)-L575)))</f>
        <v/>
      </c>
      <c r="AJ575" t="str">
        <f>IF(OR($B575="",NOT(ISNUMBER(M575))),"",IF(COUNTIF(N575:$T575,M575)&gt;0,0,IF(COUNTIF($G575:$T575,"&gt;"&amp;M575)=0,"",SMALL($G575:$T575,COUNTIF($G575:$T575,"&lt;="&amp;M575)+1)-M575)))</f>
        <v/>
      </c>
      <c r="AK575" t="str">
        <f>IF(OR($B575="",NOT(ISNUMBER(N575))),"",IF(COUNTIF(O575:$T575,N575)&gt;0,0,IF(COUNTIF($G575:$T575,"&gt;"&amp;N575)=0,"",SMALL($G575:$T575,COUNTIF($G575:$T575,"&lt;="&amp;N575)+1)-N575)))</f>
        <v/>
      </c>
      <c r="AL575" t="str">
        <f>IF(OR($B575="",NOT(ISNUMBER(O575))),"",IF(COUNTIF(P575:$T575,O575)&gt;0,0,IF(COUNTIF($G575:$T575,"&gt;"&amp;O575)=0,"",SMALL($G575:$T575,COUNTIF($G575:$T575,"&lt;="&amp;O575)+1)-O575)))</f>
        <v/>
      </c>
      <c r="AM575" t="str">
        <f>IF(OR($B575="",NOT(ISNUMBER(P575))),"",IF(COUNTIF(Q575:$T575,P575)&gt;0,0,IF(COUNTIF($G575:$T575,"&gt;"&amp;P575)=0,"",SMALL($G575:$T575,COUNTIF($G575:$T575,"&lt;="&amp;P575)+1)-P575)))</f>
        <v/>
      </c>
      <c r="AN575" t="str">
        <f>IF(OR($B575="",NOT(ISNUMBER(Q575))),"",IF(COUNTIF(R575:$T575,Q575)&gt;0,0,IF(COUNTIF($G575:$T575,"&gt;"&amp;Q575)=0,"",SMALL($G575:$T575,COUNTIF($G575:$T575,"&lt;="&amp;Q575)+1)-Q575)))</f>
        <v/>
      </c>
      <c r="AO575" t="str">
        <f>IF(OR($B575="",NOT(ISNUMBER(R575))),"",IF(COUNTIF(S575:$T575,R575)&gt;0,0,IF(COUNTIF($G575:$T575,"&gt;"&amp;R575)=0,"",SMALL($G575:$T575,COUNTIF($G575:$T575,"&lt;="&amp;R575)+1)-R575)))</f>
        <v/>
      </c>
      <c r="AP575">
        <f t="shared" ca="1" si="139"/>
        <v>0</v>
      </c>
      <c r="AQ575" s="25" t="str">
        <f t="shared" si="140"/>
        <v/>
      </c>
      <c r="AR575" s="25" t="str">
        <f t="shared" si="141"/>
        <v/>
      </c>
      <c r="AS575" s="25" t="str">
        <f t="shared" si="142"/>
        <v/>
      </c>
      <c r="AT575" s="25" t="str">
        <f t="shared" si="143"/>
        <v/>
      </c>
      <c r="AU575" s="25" t="str">
        <f t="shared" si="144"/>
        <v/>
      </c>
      <c r="AV575" s="25" t="str">
        <f t="shared" si="145"/>
        <v/>
      </c>
      <c r="AW575" s="25" t="str">
        <f t="shared" si="146"/>
        <v/>
      </c>
      <c r="AX575" s="25" t="str">
        <f t="shared" si="147"/>
        <v/>
      </c>
      <c r="AY575" s="25" t="str">
        <f t="shared" si="148"/>
        <v/>
      </c>
      <c r="AZ575" s="25" t="str">
        <f t="shared" si="149"/>
        <v/>
      </c>
      <c r="BA575" s="25" t="str">
        <f t="shared" si="150"/>
        <v/>
      </c>
      <c r="BB575" s="25" t="str">
        <f t="shared" si="151"/>
        <v/>
      </c>
      <c r="BC575" s="25" t="str">
        <f t="shared" si="152"/>
        <v/>
      </c>
    </row>
    <row r="576" spans="1:55" x14ac:dyDescent="0.25">
      <c r="A576" s="19" t="str">
        <f t="shared" si="137"/>
        <v/>
      </c>
      <c r="B576" s="19"/>
      <c r="C576" s="20"/>
      <c r="D576" s="19" t="str">
        <f t="shared" si="153"/>
        <v/>
      </c>
      <c r="E576" s="19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19"/>
      <c r="U576" s="19"/>
      <c r="V576" s="20"/>
      <c r="W576" s="22"/>
      <c r="X576" s="21"/>
      <c r="Y576" s="21"/>
      <c r="Z576" s="23" t="str">
        <f>IF(B576="","",IF(S576&lt;&gt;"","Sevk Edildi",IF(AND(X576&lt;&gt;"",Y576=""),"Reworkte",IF(T576&lt;&gt;"","Kapandı"&amp;IF(COUNT(G576:R576)=0,""," – "&amp;LOOKUP(2,1/(G576:R576=MAX(G576:R576)),{"Tasarım","Ply Cutter","Üretim","Kalite (Üretim sonrası)","Talaşlı","Kalite (Talaşlı sonrası)","Montaj","Kalite (Montaj sonrası)","Boya","Kalite (Boya sonrası)","Yarı Mamül","KM"})),IF(COUNT(G576:R576)=0,"Başlamadı",LOOKUP(2,1/(G576:R576=MAX(G576:R576)),{"Tasarımda","Ply Cutter'da","Üretimde","Kalitede (Üretim sonrası)","Talaşlıda","Kalitede (Talaşlı sonrası)","Montajda","Kalitede (Montaj sonrası)","Boyada","Kalitede (Boya sonrası)","Yarı Mamülde","KM'de"}))))))</f>
        <v/>
      </c>
      <c r="AA576" s="24" t="str">
        <f t="shared" ca="1" si="138"/>
        <v/>
      </c>
      <c r="AB576" s="22"/>
      <c r="AD576" t="str">
        <f>IF(OR($B576="",NOT(ISNUMBER(G576))),"",IF(COUNTIF(H576:$T576,G576)&gt;0,0,IF(COUNTIF($G576:$T576,"&gt;"&amp;G576)=0,"",SMALL($G576:$T576,COUNTIF($G576:$T576,"&lt;="&amp;G576)+1)-G576)))</f>
        <v/>
      </c>
      <c r="AE576" t="str">
        <f>IF(OR($B576="",NOT(ISNUMBER(H576))),"",IF(COUNTIF(I576:$T576,H576)&gt;0,0,IF(COUNTIF($G576:$T576,"&gt;"&amp;H576)=0,"",SMALL($G576:$T576,COUNTIF($G576:$T576,"&lt;="&amp;H576)+1)-H576)))</f>
        <v/>
      </c>
      <c r="AF576" t="str">
        <f>IF(OR($B576="",NOT(ISNUMBER(I576))),"",IF(COUNTIF(J576:$T576,I576)&gt;0,0,IF(COUNTIF($G576:$T576,"&gt;"&amp;I576)=0,"",SMALL($G576:$T576,COUNTIF($G576:$T576,"&lt;="&amp;I576)+1)-I576)))</f>
        <v/>
      </c>
      <c r="AG576" t="str">
        <f>IF(OR($B576="",NOT(ISNUMBER(J576))),"",IF(COUNTIF(K576:$T576,J576)&gt;0,0,IF(COUNTIF($G576:$T576,"&gt;"&amp;J576)=0,"",SMALL($G576:$T576,COUNTIF($G576:$T576,"&lt;="&amp;J576)+1)-J576)))</f>
        <v/>
      </c>
      <c r="AH576" t="str">
        <f>IF(OR($B576="",NOT(ISNUMBER(K576))),"",IF(COUNTIF(L576:$T576,K576)&gt;0,0,IF(COUNTIF($G576:$T576,"&gt;"&amp;K576)=0,"",SMALL($G576:$T576,COUNTIF($G576:$T576,"&lt;="&amp;K576)+1)-K576)))</f>
        <v/>
      </c>
      <c r="AI576" t="str">
        <f>IF(OR($B576="",NOT(ISNUMBER(L576))),"",IF(COUNTIF(M576:$T576,L576)&gt;0,0,IF(COUNTIF($G576:$T576,"&gt;"&amp;L576)=0,"",SMALL($G576:$T576,COUNTIF($G576:$T576,"&lt;="&amp;L576)+1)-L576)))</f>
        <v/>
      </c>
      <c r="AJ576" t="str">
        <f>IF(OR($B576="",NOT(ISNUMBER(M576))),"",IF(COUNTIF(N576:$T576,M576)&gt;0,0,IF(COUNTIF($G576:$T576,"&gt;"&amp;M576)=0,"",SMALL($G576:$T576,COUNTIF($G576:$T576,"&lt;="&amp;M576)+1)-M576)))</f>
        <v/>
      </c>
      <c r="AK576" t="str">
        <f>IF(OR($B576="",NOT(ISNUMBER(N576))),"",IF(COUNTIF(O576:$T576,N576)&gt;0,0,IF(COUNTIF($G576:$T576,"&gt;"&amp;N576)=0,"",SMALL($G576:$T576,COUNTIF($G576:$T576,"&lt;="&amp;N576)+1)-N576)))</f>
        <v/>
      </c>
      <c r="AL576" t="str">
        <f>IF(OR($B576="",NOT(ISNUMBER(O576))),"",IF(COUNTIF(P576:$T576,O576)&gt;0,0,IF(COUNTIF($G576:$T576,"&gt;"&amp;O576)=0,"",SMALL($G576:$T576,COUNTIF($G576:$T576,"&lt;="&amp;O576)+1)-O576)))</f>
        <v/>
      </c>
      <c r="AM576" t="str">
        <f>IF(OR($B576="",NOT(ISNUMBER(P576))),"",IF(COUNTIF(Q576:$T576,P576)&gt;0,0,IF(COUNTIF($G576:$T576,"&gt;"&amp;P576)=0,"",SMALL($G576:$T576,COUNTIF($G576:$T576,"&lt;="&amp;P576)+1)-P576)))</f>
        <v/>
      </c>
      <c r="AN576" t="str">
        <f>IF(OR($B576="",NOT(ISNUMBER(Q576))),"",IF(COUNTIF(R576:$T576,Q576)&gt;0,0,IF(COUNTIF($G576:$T576,"&gt;"&amp;Q576)=0,"",SMALL($G576:$T576,COUNTIF($G576:$T576,"&lt;="&amp;Q576)+1)-Q576)))</f>
        <v/>
      </c>
      <c r="AO576" t="str">
        <f>IF(OR($B576="",NOT(ISNUMBER(R576))),"",IF(COUNTIF(S576:$T576,R576)&gt;0,0,IF(COUNTIF($G576:$T576,"&gt;"&amp;R576)=0,"",SMALL($G576:$T576,COUNTIF($G576:$T576,"&lt;="&amp;R576)+1)-R576)))</f>
        <v/>
      </c>
      <c r="AP576">
        <f t="shared" ca="1" si="139"/>
        <v>0</v>
      </c>
      <c r="AQ576" s="25" t="str">
        <f t="shared" si="140"/>
        <v/>
      </c>
      <c r="AR576" s="25" t="str">
        <f t="shared" si="141"/>
        <v/>
      </c>
      <c r="AS576" s="25" t="str">
        <f t="shared" si="142"/>
        <v/>
      </c>
      <c r="AT576" s="25" t="str">
        <f t="shared" si="143"/>
        <v/>
      </c>
      <c r="AU576" s="25" t="str">
        <f t="shared" si="144"/>
        <v/>
      </c>
      <c r="AV576" s="25" t="str">
        <f t="shared" si="145"/>
        <v/>
      </c>
      <c r="AW576" s="25" t="str">
        <f t="shared" si="146"/>
        <v/>
      </c>
      <c r="AX576" s="25" t="str">
        <f t="shared" si="147"/>
        <v/>
      </c>
      <c r="AY576" s="25" t="str">
        <f t="shared" si="148"/>
        <v/>
      </c>
      <c r="AZ576" s="25" t="str">
        <f t="shared" si="149"/>
        <v/>
      </c>
      <c r="BA576" s="25" t="str">
        <f t="shared" si="150"/>
        <v/>
      </c>
      <c r="BB576" s="25" t="str">
        <f t="shared" si="151"/>
        <v/>
      </c>
      <c r="BC576" s="25" t="str">
        <f t="shared" si="152"/>
        <v/>
      </c>
    </row>
    <row r="577" spans="1:55" x14ac:dyDescent="0.25">
      <c r="A577" s="19" t="str">
        <f t="shared" si="137"/>
        <v/>
      </c>
      <c r="B577" s="19"/>
      <c r="C577" s="20"/>
      <c r="D577" s="19" t="str">
        <f t="shared" si="153"/>
        <v/>
      </c>
      <c r="E577" s="19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19"/>
      <c r="U577" s="19"/>
      <c r="V577" s="20"/>
      <c r="W577" s="22"/>
      <c r="X577" s="21"/>
      <c r="Y577" s="21"/>
      <c r="Z577" s="23" t="str">
        <f>IF(B577="","",IF(S577&lt;&gt;"","Sevk Edildi",IF(AND(X577&lt;&gt;"",Y577=""),"Reworkte",IF(T577&lt;&gt;"","Kapandı"&amp;IF(COUNT(G577:R577)=0,""," – "&amp;LOOKUP(2,1/(G577:R577=MAX(G577:R577)),{"Tasarım","Ply Cutter","Üretim","Kalite (Üretim sonrası)","Talaşlı","Kalite (Talaşlı sonrası)","Montaj","Kalite (Montaj sonrası)","Boya","Kalite (Boya sonrası)","Yarı Mamül","KM"})),IF(COUNT(G577:R577)=0,"Başlamadı",LOOKUP(2,1/(G577:R577=MAX(G577:R577)),{"Tasarımda","Ply Cutter'da","Üretimde","Kalitede (Üretim sonrası)","Talaşlıda","Kalitede (Talaşlı sonrası)","Montajda","Kalitede (Montaj sonrası)","Boyada","Kalitede (Boya sonrası)","Yarı Mamülde","KM'de"}))))))</f>
        <v/>
      </c>
      <c r="AA577" s="24" t="str">
        <f t="shared" ca="1" si="138"/>
        <v/>
      </c>
      <c r="AB577" s="22"/>
      <c r="AD577" t="str">
        <f>IF(OR($B577="",NOT(ISNUMBER(G577))),"",IF(COUNTIF(H577:$T577,G577)&gt;0,0,IF(COUNTIF($G577:$T577,"&gt;"&amp;G577)=0,"",SMALL($G577:$T577,COUNTIF($G577:$T577,"&lt;="&amp;G577)+1)-G577)))</f>
        <v/>
      </c>
      <c r="AE577" t="str">
        <f>IF(OR($B577="",NOT(ISNUMBER(H577))),"",IF(COUNTIF(I577:$T577,H577)&gt;0,0,IF(COUNTIF($G577:$T577,"&gt;"&amp;H577)=0,"",SMALL($G577:$T577,COUNTIF($G577:$T577,"&lt;="&amp;H577)+1)-H577)))</f>
        <v/>
      </c>
      <c r="AF577" t="str">
        <f>IF(OR($B577="",NOT(ISNUMBER(I577))),"",IF(COUNTIF(J577:$T577,I577)&gt;0,0,IF(COUNTIF($G577:$T577,"&gt;"&amp;I577)=0,"",SMALL($G577:$T577,COUNTIF($G577:$T577,"&lt;="&amp;I577)+1)-I577)))</f>
        <v/>
      </c>
      <c r="AG577" t="str">
        <f>IF(OR($B577="",NOT(ISNUMBER(J577))),"",IF(COUNTIF(K577:$T577,J577)&gt;0,0,IF(COUNTIF($G577:$T577,"&gt;"&amp;J577)=0,"",SMALL($G577:$T577,COUNTIF($G577:$T577,"&lt;="&amp;J577)+1)-J577)))</f>
        <v/>
      </c>
      <c r="AH577" t="str">
        <f>IF(OR($B577="",NOT(ISNUMBER(K577))),"",IF(COUNTIF(L577:$T577,K577)&gt;0,0,IF(COUNTIF($G577:$T577,"&gt;"&amp;K577)=0,"",SMALL($G577:$T577,COUNTIF($G577:$T577,"&lt;="&amp;K577)+1)-K577)))</f>
        <v/>
      </c>
      <c r="AI577" t="str">
        <f>IF(OR($B577="",NOT(ISNUMBER(L577))),"",IF(COUNTIF(M577:$T577,L577)&gt;0,0,IF(COUNTIF($G577:$T577,"&gt;"&amp;L577)=0,"",SMALL($G577:$T577,COUNTIF($G577:$T577,"&lt;="&amp;L577)+1)-L577)))</f>
        <v/>
      </c>
      <c r="AJ577" t="str">
        <f>IF(OR($B577="",NOT(ISNUMBER(M577))),"",IF(COUNTIF(N577:$T577,M577)&gt;0,0,IF(COUNTIF($G577:$T577,"&gt;"&amp;M577)=0,"",SMALL($G577:$T577,COUNTIF($G577:$T577,"&lt;="&amp;M577)+1)-M577)))</f>
        <v/>
      </c>
      <c r="AK577" t="str">
        <f>IF(OR($B577="",NOT(ISNUMBER(N577))),"",IF(COUNTIF(O577:$T577,N577)&gt;0,0,IF(COUNTIF($G577:$T577,"&gt;"&amp;N577)=0,"",SMALL($G577:$T577,COUNTIF($G577:$T577,"&lt;="&amp;N577)+1)-N577)))</f>
        <v/>
      </c>
      <c r="AL577" t="str">
        <f>IF(OR($B577="",NOT(ISNUMBER(O577))),"",IF(COUNTIF(P577:$T577,O577)&gt;0,0,IF(COUNTIF($G577:$T577,"&gt;"&amp;O577)=0,"",SMALL($G577:$T577,COUNTIF($G577:$T577,"&lt;="&amp;O577)+1)-O577)))</f>
        <v/>
      </c>
      <c r="AM577" t="str">
        <f>IF(OR($B577="",NOT(ISNUMBER(P577))),"",IF(COUNTIF(Q577:$T577,P577)&gt;0,0,IF(COUNTIF($G577:$T577,"&gt;"&amp;P577)=0,"",SMALL($G577:$T577,COUNTIF($G577:$T577,"&lt;="&amp;P577)+1)-P577)))</f>
        <v/>
      </c>
      <c r="AN577" t="str">
        <f>IF(OR($B577="",NOT(ISNUMBER(Q577))),"",IF(COUNTIF(R577:$T577,Q577)&gt;0,0,IF(COUNTIF($G577:$T577,"&gt;"&amp;Q577)=0,"",SMALL($G577:$T577,COUNTIF($G577:$T577,"&lt;="&amp;Q577)+1)-Q577)))</f>
        <v/>
      </c>
      <c r="AO577" t="str">
        <f>IF(OR($B577="",NOT(ISNUMBER(R577))),"",IF(COUNTIF(S577:$T577,R577)&gt;0,0,IF(COUNTIF($G577:$T577,"&gt;"&amp;R577)=0,"",SMALL($G577:$T577,COUNTIF($G577:$T577,"&lt;="&amp;R577)+1)-R577)))</f>
        <v/>
      </c>
      <c r="AP577">
        <f t="shared" ca="1" si="139"/>
        <v>0</v>
      </c>
      <c r="AQ577" s="25" t="str">
        <f t="shared" si="140"/>
        <v/>
      </c>
      <c r="AR577" s="25" t="str">
        <f t="shared" si="141"/>
        <v/>
      </c>
      <c r="AS577" s="25" t="str">
        <f t="shared" si="142"/>
        <v/>
      </c>
      <c r="AT577" s="25" t="str">
        <f t="shared" si="143"/>
        <v/>
      </c>
      <c r="AU577" s="25" t="str">
        <f t="shared" si="144"/>
        <v/>
      </c>
      <c r="AV577" s="25" t="str">
        <f t="shared" si="145"/>
        <v/>
      </c>
      <c r="AW577" s="25" t="str">
        <f t="shared" si="146"/>
        <v/>
      </c>
      <c r="AX577" s="25" t="str">
        <f t="shared" si="147"/>
        <v/>
      </c>
      <c r="AY577" s="25" t="str">
        <f t="shared" si="148"/>
        <v/>
      </c>
      <c r="AZ577" s="25" t="str">
        <f t="shared" si="149"/>
        <v/>
      </c>
      <c r="BA577" s="25" t="str">
        <f t="shared" si="150"/>
        <v/>
      </c>
      <c r="BB577" s="25" t="str">
        <f t="shared" si="151"/>
        <v/>
      </c>
      <c r="BC577" s="25" t="str">
        <f t="shared" si="152"/>
        <v/>
      </c>
    </row>
    <row r="578" spans="1:55" x14ac:dyDescent="0.25">
      <c r="A578" s="19" t="str">
        <f t="shared" si="137"/>
        <v/>
      </c>
      <c r="B578" s="19"/>
      <c r="C578" s="20"/>
      <c r="D578" s="19" t="str">
        <f t="shared" si="153"/>
        <v/>
      </c>
      <c r="E578" s="19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19"/>
      <c r="U578" s="19"/>
      <c r="V578" s="20"/>
      <c r="W578" s="22"/>
      <c r="X578" s="21"/>
      <c r="Y578" s="21"/>
      <c r="Z578" s="23" t="str">
        <f>IF(B578="","",IF(S578&lt;&gt;"","Sevk Edildi",IF(AND(X578&lt;&gt;"",Y578=""),"Reworkte",IF(T578&lt;&gt;"","Kapandı"&amp;IF(COUNT(G578:R578)=0,""," – "&amp;LOOKUP(2,1/(G578:R578=MAX(G578:R578)),{"Tasarım","Ply Cutter","Üretim","Kalite (Üretim sonrası)","Talaşlı","Kalite (Talaşlı sonrası)","Montaj","Kalite (Montaj sonrası)","Boya","Kalite (Boya sonrası)","Yarı Mamül","KM"})),IF(COUNT(G578:R578)=0,"Başlamadı",LOOKUP(2,1/(G578:R578=MAX(G578:R578)),{"Tasarımda","Ply Cutter'da","Üretimde","Kalitede (Üretim sonrası)","Talaşlıda","Kalitede (Talaşlı sonrası)","Montajda","Kalitede (Montaj sonrası)","Boyada","Kalitede (Boya sonrası)","Yarı Mamülde","KM'de"}))))))</f>
        <v/>
      </c>
      <c r="AA578" s="24" t="str">
        <f t="shared" ca="1" si="138"/>
        <v/>
      </c>
      <c r="AB578" s="22"/>
      <c r="AD578" t="str">
        <f>IF(OR($B578="",NOT(ISNUMBER(G578))),"",IF(COUNTIF(H578:$T578,G578)&gt;0,0,IF(COUNTIF($G578:$T578,"&gt;"&amp;G578)=0,"",SMALL($G578:$T578,COUNTIF($G578:$T578,"&lt;="&amp;G578)+1)-G578)))</f>
        <v/>
      </c>
      <c r="AE578" t="str">
        <f>IF(OR($B578="",NOT(ISNUMBER(H578))),"",IF(COUNTIF(I578:$T578,H578)&gt;0,0,IF(COUNTIF($G578:$T578,"&gt;"&amp;H578)=0,"",SMALL($G578:$T578,COUNTIF($G578:$T578,"&lt;="&amp;H578)+1)-H578)))</f>
        <v/>
      </c>
      <c r="AF578" t="str">
        <f>IF(OR($B578="",NOT(ISNUMBER(I578))),"",IF(COUNTIF(J578:$T578,I578)&gt;0,0,IF(COUNTIF($G578:$T578,"&gt;"&amp;I578)=0,"",SMALL($G578:$T578,COUNTIF($G578:$T578,"&lt;="&amp;I578)+1)-I578)))</f>
        <v/>
      </c>
      <c r="AG578" t="str">
        <f>IF(OR($B578="",NOT(ISNUMBER(J578))),"",IF(COUNTIF(K578:$T578,J578)&gt;0,0,IF(COUNTIF($G578:$T578,"&gt;"&amp;J578)=0,"",SMALL($G578:$T578,COUNTIF($G578:$T578,"&lt;="&amp;J578)+1)-J578)))</f>
        <v/>
      </c>
      <c r="AH578" t="str">
        <f>IF(OR($B578="",NOT(ISNUMBER(K578))),"",IF(COUNTIF(L578:$T578,K578)&gt;0,0,IF(COUNTIF($G578:$T578,"&gt;"&amp;K578)=0,"",SMALL($G578:$T578,COUNTIF($G578:$T578,"&lt;="&amp;K578)+1)-K578)))</f>
        <v/>
      </c>
      <c r="AI578" t="str">
        <f>IF(OR($B578="",NOT(ISNUMBER(L578))),"",IF(COUNTIF(M578:$T578,L578)&gt;0,0,IF(COUNTIF($G578:$T578,"&gt;"&amp;L578)=0,"",SMALL($G578:$T578,COUNTIF($G578:$T578,"&lt;="&amp;L578)+1)-L578)))</f>
        <v/>
      </c>
      <c r="AJ578" t="str">
        <f>IF(OR($B578="",NOT(ISNUMBER(M578))),"",IF(COUNTIF(N578:$T578,M578)&gt;0,0,IF(COUNTIF($G578:$T578,"&gt;"&amp;M578)=0,"",SMALL($G578:$T578,COUNTIF($G578:$T578,"&lt;="&amp;M578)+1)-M578)))</f>
        <v/>
      </c>
      <c r="AK578" t="str">
        <f>IF(OR($B578="",NOT(ISNUMBER(N578))),"",IF(COUNTIF(O578:$T578,N578)&gt;0,0,IF(COUNTIF($G578:$T578,"&gt;"&amp;N578)=0,"",SMALL($G578:$T578,COUNTIF($G578:$T578,"&lt;="&amp;N578)+1)-N578)))</f>
        <v/>
      </c>
      <c r="AL578" t="str">
        <f>IF(OR($B578="",NOT(ISNUMBER(O578))),"",IF(COUNTIF(P578:$T578,O578)&gt;0,0,IF(COUNTIF($G578:$T578,"&gt;"&amp;O578)=0,"",SMALL($G578:$T578,COUNTIF($G578:$T578,"&lt;="&amp;O578)+1)-O578)))</f>
        <v/>
      </c>
      <c r="AM578" t="str">
        <f>IF(OR($B578="",NOT(ISNUMBER(P578))),"",IF(COUNTIF(Q578:$T578,P578)&gt;0,0,IF(COUNTIF($G578:$T578,"&gt;"&amp;P578)=0,"",SMALL($G578:$T578,COUNTIF($G578:$T578,"&lt;="&amp;P578)+1)-P578)))</f>
        <v/>
      </c>
      <c r="AN578" t="str">
        <f>IF(OR($B578="",NOT(ISNUMBER(Q578))),"",IF(COUNTIF(R578:$T578,Q578)&gt;0,0,IF(COUNTIF($G578:$T578,"&gt;"&amp;Q578)=0,"",SMALL($G578:$T578,COUNTIF($G578:$T578,"&lt;="&amp;Q578)+1)-Q578)))</f>
        <v/>
      </c>
      <c r="AO578" t="str">
        <f>IF(OR($B578="",NOT(ISNUMBER(R578))),"",IF(COUNTIF(S578:$T578,R578)&gt;0,0,IF(COUNTIF($G578:$T578,"&gt;"&amp;R578)=0,"",SMALL($G578:$T578,COUNTIF($G578:$T578,"&lt;="&amp;R578)+1)-R578)))</f>
        <v/>
      </c>
      <c r="AP578">
        <f t="shared" ca="1" si="139"/>
        <v>0</v>
      </c>
      <c r="AQ578" s="25" t="str">
        <f t="shared" si="140"/>
        <v/>
      </c>
      <c r="AR578" s="25" t="str">
        <f t="shared" si="141"/>
        <v/>
      </c>
      <c r="AS578" s="25" t="str">
        <f t="shared" si="142"/>
        <v/>
      </c>
      <c r="AT578" s="25" t="str">
        <f t="shared" si="143"/>
        <v/>
      </c>
      <c r="AU578" s="25" t="str">
        <f t="shared" si="144"/>
        <v/>
      </c>
      <c r="AV578" s="25" t="str">
        <f t="shared" si="145"/>
        <v/>
      </c>
      <c r="AW578" s="25" t="str">
        <f t="shared" si="146"/>
        <v/>
      </c>
      <c r="AX578" s="25" t="str">
        <f t="shared" si="147"/>
        <v/>
      </c>
      <c r="AY578" s="25" t="str">
        <f t="shared" si="148"/>
        <v/>
      </c>
      <c r="AZ578" s="25" t="str">
        <f t="shared" si="149"/>
        <v/>
      </c>
      <c r="BA578" s="25" t="str">
        <f t="shared" si="150"/>
        <v/>
      </c>
      <c r="BB578" s="25" t="str">
        <f t="shared" si="151"/>
        <v/>
      </c>
      <c r="BC578" s="25" t="str">
        <f t="shared" si="152"/>
        <v/>
      </c>
    </row>
    <row r="579" spans="1:55" x14ac:dyDescent="0.25">
      <c r="A579" s="19" t="str">
        <f t="shared" ref="A579:A642" si="154">IF(B579="","",ROW()-2)</f>
        <v/>
      </c>
      <c r="B579" s="19"/>
      <c r="C579" s="20"/>
      <c r="D579" s="19" t="str">
        <f t="shared" si="153"/>
        <v/>
      </c>
      <c r="E579" s="19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19"/>
      <c r="U579" s="19"/>
      <c r="V579" s="20"/>
      <c r="W579" s="22"/>
      <c r="X579" s="21"/>
      <c r="Y579" s="21"/>
      <c r="Z579" s="23" t="str">
        <f>IF(B579="","",IF(S579&lt;&gt;"","Sevk Edildi",IF(AND(X579&lt;&gt;"",Y579=""),"Reworkte",IF(T579&lt;&gt;"","Kapandı"&amp;IF(COUNT(G579:R579)=0,""," – "&amp;LOOKUP(2,1/(G579:R579=MAX(G579:R579)),{"Tasarım","Ply Cutter","Üretim","Kalite (Üretim sonrası)","Talaşlı","Kalite (Talaşlı sonrası)","Montaj","Kalite (Montaj sonrası)","Boya","Kalite (Boya sonrası)","Yarı Mamül","KM"})),IF(COUNT(G579:R579)=0,"Başlamadı",LOOKUP(2,1/(G579:R579=MAX(G579:R579)),{"Tasarımda","Ply Cutter'da","Üretimde","Kalitede (Üretim sonrası)","Talaşlıda","Kalitede (Talaşlı sonrası)","Montajda","Kalitede (Montaj sonrası)","Boyada","Kalitede (Boya sonrası)","Yarı Mamülde","KM'de"}))))))</f>
        <v/>
      </c>
      <c r="AA579" s="24" t="str">
        <f t="shared" ref="AA579:AA642" ca="1" si="155">IF(OR(B579="",F579=""),"",IFERROR(IF(S579&lt;&gt;"",S579-F579,IF(T579&lt;&gt;"",T579-F579,TODAY()-F579)),""))</f>
        <v/>
      </c>
      <c r="AB579" s="22"/>
      <c r="AD579" t="str">
        <f>IF(OR($B579="",NOT(ISNUMBER(G579))),"",IF(COUNTIF(H579:$T579,G579)&gt;0,0,IF(COUNTIF($G579:$T579,"&gt;"&amp;G579)=0,"",SMALL($G579:$T579,COUNTIF($G579:$T579,"&lt;="&amp;G579)+1)-G579)))</f>
        <v/>
      </c>
      <c r="AE579" t="str">
        <f>IF(OR($B579="",NOT(ISNUMBER(H579))),"",IF(COUNTIF(I579:$T579,H579)&gt;0,0,IF(COUNTIF($G579:$T579,"&gt;"&amp;H579)=0,"",SMALL($G579:$T579,COUNTIF($G579:$T579,"&lt;="&amp;H579)+1)-H579)))</f>
        <v/>
      </c>
      <c r="AF579" t="str">
        <f>IF(OR($B579="",NOT(ISNUMBER(I579))),"",IF(COUNTIF(J579:$T579,I579)&gt;0,0,IF(COUNTIF($G579:$T579,"&gt;"&amp;I579)=0,"",SMALL($G579:$T579,COUNTIF($G579:$T579,"&lt;="&amp;I579)+1)-I579)))</f>
        <v/>
      </c>
      <c r="AG579" t="str">
        <f>IF(OR($B579="",NOT(ISNUMBER(J579))),"",IF(COUNTIF(K579:$T579,J579)&gt;0,0,IF(COUNTIF($G579:$T579,"&gt;"&amp;J579)=0,"",SMALL($G579:$T579,COUNTIF($G579:$T579,"&lt;="&amp;J579)+1)-J579)))</f>
        <v/>
      </c>
      <c r="AH579" t="str">
        <f>IF(OR($B579="",NOT(ISNUMBER(K579))),"",IF(COUNTIF(L579:$T579,K579)&gt;0,0,IF(COUNTIF($G579:$T579,"&gt;"&amp;K579)=0,"",SMALL($G579:$T579,COUNTIF($G579:$T579,"&lt;="&amp;K579)+1)-K579)))</f>
        <v/>
      </c>
      <c r="AI579" t="str">
        <f>IF(OR($B579="",NOT(ISNUMBER(L579))),"",IF(COUNTIF(M579:$T579,L579)&gt;0,0,IF(COUNTIF($G579:$T579,"&gt;"&amp;L579)=0,"",SMALL($G579:$T579,COUNTIF($G579:$T579,"&lt;="&amp;L579)+1)-L579)))</f>
        <v/>
      </c>
      <c r="AJ579" t="str">
        <f>IF(OR($B579="",NOT(ISNUMBER(M579))),"",IF(COUNTIF(N579:$T579,M579)&gt;0,0,IF(COUNTIF($G579:$T579,"&gt;"&amp;M579)=0,"",SMALL($G579:$T579,COUNTIF($G579:$T579,"&lt;="&amp;M579)+1)-M579)))</f>
        <v/>
      </c>
      <c r="AK579" t="str">
        <f>IF(OR($B579="",NOT(ISNUMBER(N579))),"",IF(COUNTIF(O579:$T579,N579)&gt;0,0,IF(COUNTIF($G579:$T579,"&gt;"&amp;N579)=0,"",SMALL($G579:$T579,COUNTIF($G579:$T579,"&lt;="&amp;N579)+1)-N579)))</f>
        <v/>
      </c>
      <c r="AL579" t="str">
        <f>IF(OR($B579="",NOT(ISNUMBER(O579))),"",IF(COUNTIF(P579:$T579,O579)&gt;0,0,IF(COUNTIF($G579:$T579,"&gt;"&amp;O579)=0,"",SMALL($G579:$T579,COUNTIF($G579:$T579,"&lt;="&amp;O579)+1)-O579)))</f>
        <v/>
      </c>
      <c r="AM579" t="str">
        <f>IF(OR($B579="",NOT(ISNUMBER(P579))),"",IF(COUNTIF(Q579:$T579,P579)&gt;0,0,IF(COUNTIF($G579:$T579,"&gt;"&amp;P579)=0,"",SMALL($G579:$T579,COUNTIF($G579:$T579,"&lt;="&amp;P579)+1)-P579)))</f>
        <v/>
      </c>
      <c r="AN579" t="str">
        <f>IF(OR($B579="",NOT(ISNUMBER(Q579))),"",IF(COUNTIF(R579:$T579,Q579)&gt;0,0,IF(COUNTIF($G579:$T579,"&gt;"&amp;Q579)=0,"",SMALL($G579:$T579,COUNTIF($G579:$T579,"&lt;="&amp;Q579)+1)-Q579)))</f>
        <v/>
      </c>
      <c r="AO579" t="str">
        <f>IF(OR($B579="",NOT(ISNUMBER(R579))),"",IF(COUNTIF(S579:$T579,R579)&gt;0,0,IF(COUNTIF($G579:$T579,"&gt;"&amp;R579)=0,"",SMALL($G579:$T579,COUNTIF($G579:$T579,"&lt;="&amp;R579)+1)-R579)))</f>
        <v/>
      </c>
      <c r="AP579">
        <f t="shared" ref="AP579:AP642" ca="1" si="156">IF(OR($B579="",Z579="",Z579="Başlamadı",Z579="Sevk Edildi",Z579="Reworkte",LEFT(Z579,7)="Kapandı"),0,TODAY()-MAX($G579:$R579))</f>
        <v>0</v>
      </c>
      <c r="AQ579" s="25" t="str">
        <f t="shared" ref="AQ579:AQ642" si="157">IF(AND(ISNUMBER(G579),ISNUMBER(AD579)),G579+AD579,"")</f>
        <v/>
      </c>
      <c r="AR579" s="25" t="str">
        <f t="shared" ref="AR579:AR642" si="158">IF(AND(ISNUMBER(H579),ISNUMBER(AE579)),H579+AE579,"")</f>
        <v/>
      </c>
      <c r="AS579" s="25" t="str">
        <f t="shared" ref="AS579:AS642" si="159">IF(AND(ISNUMBER(I579),ISNUMBER(AF579)),I579+AF579,"")</f>
        <v/>
      </c>
      <c r="AT579" s="25" t="str">
        <f t="shared" ref="AT579:AT642" si="160">IF(AND(ISNUMBER(J579),ISNUMBER(AG579)),J579+AG579,"")</f>
        <v/>
      </c>
      <c r="AU579" s="25" t="str">
        <f t="shared" ref="AU579:AU642" si="161">IF(AND(ISNUMBER(K579),ISNUMBER(AH579)),K579+AH579,"")</f>
        <v/>
      </c>
      <c r="AV579" s="25" t="str">
        <f t="shared" ref="AV579:AV642" si="162">IF(AND(ISNUMBER(L579),ISNUMBER(AI579)),L579+AI579,"")</f>
        <v/>
      </c>
      <c r="AW579" s="25" t="str">
        <f t="shared" ref="AW579:AW642" si="163">IF(AND(ISNUMBER(M579),ISNUMBER(AJ579)),M579+AJ579,"")</f>
        <v/>
      </c>
      <c r="AX579" s="25" t="str">
        <f t="shared" ref="AX579:AX642" si="164">IF(AND(ISNUMBER(N579),ISNUMBER(AK579)),N579+AK579,"")</f>
        <v/>
      </c>
      <c r="AY579" s="25" t="str">
        <f t="shared" ref="AY579:AY642" si="165">IF(AND(ISNUMBER(O579),ISNUMBER(AL579)),O579+AL579,"")</f>
        <v/>
      </c>
      <c r="AZ579" s="25" t="str">
        <f t="shared" ref="AZ579:AZ642" si="166">IF(AND(ISNUMBER(P579),ISNUMBER(AM579)),P579+AM579,"")</f>
        <v/>
      </c>
      <c r="BA579" s="25" t="str">
        <f t="shared" ref="BA579:BA642" si="167">IF(AND(ISNUMBER(Q579),ISNUMBER(AN579)),Q579+AN579,"")</f>
        <v/>
      </c>
      <c r="BB579" s="25" t="str">
        <f t="shared" ref="BB579:BB642" si="168">IF(AND(ISNUMBER(R579),ISNUMBER(AO579)),R579+AO579,"")</f>
        <v/>
      </c>
      <c r="BC579" s="25" t="str">
        <f t="shared" ref="BC579:BC642" si="169">IF(AND(S579="",T579=""),"",MIN(S579,T579))</f>
        <v/>
      </c>
    </row>
    <row r="580" spans="1:55" x14ac:dyDescent="0.25">
      <c r="A580" s="19" t="str">
        <f t="shared" si="154"/>
        <v/>
      </c>
      <c r="B580" s="19"/>
      <c r="C580" s="20"/>
      <c r="D580" s="19" t="str">
        <f t="shared" si="153"/>
        <v/>
      </c>
      <c r="E580" s="19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19"/>
      <c r="U580" s="19"/>
      <c r="V580" s="20"/>
      <c r="W580" s="22"/>
      <c r="X580" s="21"/>
      <c r="Y580" s="21"/>
      <c r="Z580" s="23" t="str">
        <f>IF(B580="","",IF(S580&lt;&gt;"","Sevk Edildi",IF(AND(X580&lt;&gt;"",Y580=""),"Reworkte",IF(T580&lt;&gt;"","Kapandı"&amp;IF(COUNT(G580:R580)=0,""," – "&amp;LOOKUP(2,1/(G580:R580=MAX(G580:R580)),{"Tasarım","Ply Cutter","Üretim","Kalite (Üretim sonrası)","Talaşlı","Kalite (Talaşlı sonrası)","Montaj","Kalite (Montaj sonrası)","Boya","Kalite (Boya sonrası)","Yarı Mamül","KM"})),IF(COUNT(G580:R580)=0,"Başlamadı",LOOKUP(2,1/(G580:R580=MAX(G580:R580)),{"Tasarımda","Ply Cutter'da","Üretimde","Kalitede (Üretim sonrası)","Talaşlıda","Kalitede (Talaşlı sonrası)","Montajda","Kalitede (Montaj sonrası)","Boyada","Kalitede (Boya sonrası)","Yarı Mamülde","KM'de"}))))))</f>
        <v/>
      </c>
      <c r="AA580" s="24" t="str">
        <f t="shared" ca="1" si="155"/>
        <v/>
      </c>
      <c r="AB580" s="22"/>
      <c r="AD580" t="str">
        <f>IF(OR($B580="",NOT(ISNUMBER(G580))),"",IF(COUNTIF(H580:$T580,G580)&gt;0,0,IF(COUNTIF($G580:$T580,"&gt;"&amp;G580)=0,"",SMALL($G580:$T580,COUNTIF($G580:$T580,"&lt;="&amp;G580)+1)-G580)))</f>
        <v/>
      </c>
      <c r="AE580" t="str">
        <f>IF(OR($B580="",NOT(ISNUMBER(H580))),"",IF(COUNTIF(I580:$T580,H580)&gt;0,0,IF(COUNTIF($G580:$T580,"&gt;"&amp;H580)=0,"",SMALL($G580:$T580,COUNTIF($G580:$T580,"&lt;="&amp;H580)+1)-H580)))</f>
        <v/>
      </c>
      <c r="AF580" t="str">
        <f>IF(OR($B580="",NOT(ISNUMBER(I580))),"",IF(COUNTIF(J580:$T580,I580)&gt;0,0,IF(COUNTIF($G580:$T580,"&gt;"&amp;I580)=0,"",SMALL($G580:$T580,COUNTIF($G580:$T580,"&lt;="&amp;I580)+1)-I580)))</f>
        <v/>
      </c>
      <c r="AG580" t="str">
        <f>IF(OR($B580="",NOT(ISNUMBER(J580))),"",IF(COUNTIF(K580:$T580,J580)&gt;0,0,IF(COUNTIF($G580:$T580,"&gt;"&amp;J580)=0,"",SMALL($G580:$T580,COUNTIF($G580:$T580,"&lt;="&amp;J580)+1)-J580)))</f>
        <v/>
      </c>
      <c r="AH580" t="str">
        <f>IF(OR($B580="",NOT(ISNUMBER(K580))),"",IF(COUNTIF(L580:$T580,K580)&gt;0,0,IF(COUNTIF($G580:$T580,"&gt;"&amp;K580)=0,"",SMALL($G580:$T580,COUNTIF($G580:$T580,"&lt;="&amp;K580)+1)-K580)))</f>
        <v/>
      </c>
      <c r="AI580" t="str">
        <f>IF(OR($B580="",NOT(ISNUMBER(L580))),"",IF(COUNTIF(M580:$T580,L580)&gt;0,0,IF(COUNTIF($G580:$T580,"&gt;"&amp;L580)=0,"",SMALL($G580:$T580,COUNTIF($G580:$T580,"&lt;="&amp;L580)+1)-L580)))</f>
        <v/>
      </c>
      <c r="AJ580" t="str">
        <f>IF(OR($B580="",NOT(ISNUMBER(M580))),"",IF(COUNTIF(N580:$T580,M580)&gt;0,0,IF(COUNTIF($G580:$T580,"&gt;"&amp;M580)=0,"",SMALL($G580:$T580,COUNTIF($G580:$T580,"&lt;="&amp;M580)+1)-M580)))</f>
        <v/>
      </c>
      <c r="AK580" t="str">
        <f>IF(OR($B580="",NOT(ISNUMBER(N580))),"",IF(COUNTIF(O580:$T580,N580)&gt;0,0,IF(COUNTIF($G580:$T580,"&gt;"&amp;N580)=0,"",SMALL($G580:$T580,COUNTIF($G580:$T580,"&lt;="&amp;N580)+1)-N580)))</f>
        <v/>
      </c>
      <c r="AL580" t="str">
        <f>IF(OR($B580="",NOT(ISNUMBER(O580))),"",IF(COUNTIF(P580:$T580,O580)&gt;0,0,IF(COUNTIF($G580:$T580,"&gt;"&amp;O580)=0,"",SMALL($G580:$T580,COUNTIF($G580:$T580,"&lt;="&amp;O580)+1)-O580)))</f>
        <v/>
      </c>
      <c r="AM580" t="str">
        <f>IF(OR($B580="",NOT(ISNUMBER(P580))),"",IF(COUNTIF(Q580:$T580,P580)&gt;0,0,IF(COUNTIF($G580:$T580,"&gt;"&amp;P580)=0,"",SMALL($G580:$T580,COUNTIF($G580:$T580,"&lt;="&amp;P580)+1)-P580)))</f>
        <v/>
      </c>
      <c r="AN580" t="str">
        <f>IF(OR($B580="",NOT(ISNUMBER(Q580))),"",IF(COUNTIF(R580:$T580,Q580)&gt;0,0,IF(COUNTIF($G580:$T580,"&gt;"&amp;Q580)=0,"",SMALL($G580:$T580,COUNTIF($G580:$T580,"&lt;="&amp;Q580)+1)-Q580)))</f>
        <v/>
      </c>
      <c r="AO580" t="str">
        <f>IF(OR($B580="",NOT(ISNUMBER(R580))),"",IF(COUNTIF(S580:$T580,R580)&gt;0,0,IF(COUNTIF($G580:$T580,"&gt;"&amp;R580)=0,"",SMALL($G580:$T580,COUNTIF($G580:$T580,"&lt;="&amp;R580)+1)-R580)))</f>
        <v/>
      </c>
      <c r="AP580">
        <f t="shared" ca="1" si="156"/>
        <v>0</v>
      </c>
      <c r="AQ580" s="25" t="str">
        <f t="shared" si="157"/>
        <v/>
      </c>
      <c r="AR580" s="25" t="str">
        <f t="shared" si="158"/>
        <v/>
      </c>
      <c r="AS580" s="25" t="str">
        <f t="shared" si="159"/>
        <v/>
      </c>
      <c r="AT580" s="25" t="str">
        <f t="shared" si="160"/>
        <v/>
      </c>
      <c r="AU580" s="25" t="str">
        <f t="shared" si="161"/>
        <v/>
      </c>
      <c r="AV580" s="25" t="str">
        <f t="shared" si="162"/>
        <v/>
      </c>
      <c r="AW580" s="25" t="str">
        <f t="shared" si="163"/>
        <v/>
      </c>
      <c r="AX580" s="25" t="str">
        <f t="shared" si="164"/>
        <v/>
      </c>
      <c r="AY580" s="25" t="str">
        <f t="shared" si="165"/>
        <v/>
      </c>
      <c r="AZ580" s="25" t="str">
        <f t="shared" si="166"/>
        <v/>
      </c>
      <c r="BA580" s="25" t="str">
        <f t="shared" si="167"/>
        <v/>
      </c>
      <c r="BB580" s="25" t="str">
        <f t="shared" si="168"/>
        <v/>
      </c>
      <c r="BC580" s="25" t="str">
        <f t="shared" si="169"/>
        <v/>
      </c>
    </row>
    <row r="581" spans="1:55" x14ac:dyDescent="0.25">
      <c r="A581" s="19" t="str">
        <f t="shared" si="154"/>
        <v/>
      </c>
      <c r="B581" s="19"/>
      <c r="C581" s="20"/>
      <c r="D581" s="19" t="str">
        <f t="shared" si="153"/>
        <v/>
      </c>
      <c r="E581" s="19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19"/>
      <c r="U581" s="19"/>
      <c r="V581" s="20"/>
      <c r="W581" s="22"/>
      <c r="X581" s="21"/>
      <c r="Y581" s="21"/>
      <c r="Z581" s="23" t="str">
        <f>IF(B581="","",IF(S581&lt;&gt;"","Sevk Edildi",IF(AND(X581&lt;&gt;"",Y581=""),"Reworkte",IF(T581&lt;&gt;"","Kapandı"&amp;IF(COUNT(G581:R581)=0,""," – "&amp;LOOKUP(2,1/(G581:R581=MAX(G581:R581)),{"Tasarım","Ply Cutter","Üretim","Kalite (Üretim sonrası)","Talaşlı","Kalite (Talaşlı sonrası)","Montaj","Kalite (Montaj sonrası)","Boya","Kalite (Boya sonrası)","Yarı Mamül","KM"})),IF(COUNT(G581:R581)=0,"Başlamadı",LOOKUP(2,1/(G581:R581=MAX(G581:R581)),{"Tasarımda","Ply Cutter'da","Üretimde","Kalitede (Üretim sonrası)","Talaşlıda","Kalitede (Talaşlı sonrası)","Montajda","Kalitede (Montaj sonrası)","Boyada","Kalitede (Boya sonrası)","Yarı Mamülde","KM'de"}))))))</f>
        <v/>
      </c>
      <c r="AA581" s="24" t="str">
        <f t="shared" ca="1" si="155"/>
        <v/>
      </c>
      <c r="AB581" s="22"/>
      <c r="AD581" t="str">
        <f>IF(OR($B581="",NOT(ISNUMBER(G581))),"",IF(COUNTIF(H581:$T581,G581)&gt;0,0,IF(COUNTIF($G581:$T581,"&gt;"&amp;G581)=0,"",SMALL($G581:$T581,COUNTIF($G581:$T581,"&lt;="&amp;G581)+1)-G581)))</f>
        <v/>
      </c>
      <c r="AE581" t="str">
        <f>IF(OR($B581="",NOT(ISNUMBER(H581))),"",IF(COUNTIF(I581:$T581,H581)&gt;0,0,IF(COUNTIF($G581:$T581,"&gt;"&amp;H581)=0,"",SMALL($G581:$T581,COUNTIF($G581:$T581,"&lt;="&amp;H581)+1)-H581)))</f>
        <v/>
      </c>
      <c r="AF581" t="str">
        <f>IF(OR($B581="",NOT(ISNUMBER(I581))),"",IF(COUNTIF(J581:$T581,I581)&gt;0,0,IF(COUNTIF($G581:$T581,"&gt;"&amp;I581)=0,"",SMALL($G581:$T581,COUNTIF($G581:$T581,"&lt;="&amp;I581)+1)-I581)))</f>
        <v/>
      </c>
      <c r="AG581" t="str">
        <f>IF(OR($B581="",NOT(ISNUMBER(J581))),"",IF(COUNTIF(K581:$T581,J581)&gt;0,0,IF(COUNTIF($G581:$T581,"&gt;"&amp;J581)=0,"",SMALL($G581:$T581,COUNTIF($G581:$T581,"&lt;="&amp;J581)+1)-J581)))</f>
        <v/>
      </c>
      <c r="AH581" t="str">
        <f>IF(OR($B581="",NOT(ISNUMBER(K581))),"",IF(COUNTIF(L581:$T581,K581)&gt;0,0,IF(COUNTIF($G581:$T581,"&gt;"&amp;K581)=0,"",SMALL($G581:$T581,COUNTIF($G581:$T581,"&lt;="&amp;K581)+1)-K581)))</f>
        <v/>
      </c>
      <c r="AI581" t="str">
        <f>IF(OR($B581="",NOT(ISNUMBER(L581))),"",IF(COUNTIF(M581:$T581,L581)&gt;0,0,IF(COUNTIF($G581:$T581,"&gt;"&amp;L581)=0,"",SMALL($G581:$T581,COUNTIF($G581:$T581,"&lt;="&amp;L581)+1)-L581)))</f>
        <v/>
      </c>
      <c r="AJ581" t="str">
        <f>IF(OR($B581="",NOT(ISNUMBER(M581))),"",IF(COUNTIF(N581:$T581,M581)&gt;0,0,IF(COUNTIF($G581:$T581,"&gt;"&amp;M581)=0,"",SMALL($G581:$T581,COUNTIF($G581:$T581,"&lt;="&amp;M581)+1)-M581)))</f>
        <v/>
      </c>
      <c r="AK581" t="str">
        <f>IF(OR($B581="",NOT(ISNUMBER(N581))),"",IF(COUNTIF(O581:$T581,N581)&gt;0,0,IF(COUNTIF($G581:$T581,"&gt;"&amp;N581)=0,"",SMALL($G581:$T581,COUNTIF($G581:$T581,"&lt;="&amp;N581)+1)-N581)))</f>
        <v/>
      </c>
      <c r="AL581" t="str">
        <f>IF(OR($B581="",NOT(ISNUMBER(O581))),"",IF(COUNTIF(P581:$T581,O581)&gt;0,0,IF(COUNTIF($G581:$T581,"&gt;"&amp;O581)=0,"",SMALL($G581:$T581,COUNTIF($G581:$T581,"&lt;="&amp;O581)+1)-O581)))</f>
        <v/>
      </c>
      <c r="AM581" t="str">
        <f>IF(OR($B581="",NOT(ISNUMBER(P581))),"",IF(COUNTIF(Q581:$T581,P581)&gt;0,0,IF(COUNTIF($G581:$T581,"&gt;"&amp;P581)=0,"",SMALL($G581:$T581,COUNTIF($G581:$T581,"&lt;="&amp;P581)+1)-P581)))</f>
        <v/>
      </c>
      <c r="AN581" t="str">
        <f>IF(OR($B581="",NOT(ISNUMBER(Q581))),"",IF(COUNTIF(R581:$T581,Q581)&gt;0,0,IF(COUNTIF($G581:$T581,"&gt;"&amp;Q581)=0,"",SMALL($G581:$T581,COUNTIF($G581:$T581,"&lt;="&amp;Q581)+1)-Q581)))</f>
        <v/>
      </c>
      <c r="AO581" t="str">
        <f>IF(OR($B581="",NOT(ISNUMBER(R581))),"",IF(COUNTIF(S581:$T581,R581)&gt;0,0,IF(COUNTIF($G581:$T581,"&gt;"&amp;R581)=0,"",SMALL($G581:$T581,COUNTIF($G581:$T581,"&lt;="&amp;R581)+1)-R581)))</f>
        <v/>
      </c>
      <c r="AP581">
        <f t="shared" ca="1" si="156"/>
        <v>0</v>
      </c>
      <c r="AQ581" s="25" t="str">
        <f t="shared" si="157"/>
        <v/>
      </c>
      <c r="AR581" s="25" t="str">
        <f t="shared" si="158"/>
        <v/>
      </c>
      <c r="AS581" s="25" t="str">
        <f t="shared" si="159"/>
        <v/>
      </c>
      <c r="AT581" s="25" t="str">
        <f t="shared" si="160"/>
        <v/>
      </c>
      <c r="AU581" s="25" t="str">
        <f t="shared" si="161"/>
        <v/>
      </c>
      <c r="AV581" s="25" t="str">
        <f t="shared" si="162"/>
        <v/>
      </c>
      <c r="AW581" s="25" t="str">
        <f t="shared" si="163"/>
        <v/>
      </c>
      <c r="AX581" s="25" t="str">
        <f t="shared" si="164"/>
        <v/>
      </c>
      <c r="AY581" s="25" t="str">
        <f t="shared" si="165"/>
        <v/>
      </c>
      <c r="AZ581" s="25" t="str">
        <f t="shared" si="166"/>
        <v/>
      </c>
      <c r="BA581" s="25" t="str">
        <f t="shared" si="167"/>
        <v/>
      </c>
      <c r="BB581" s="25" t="str">
        <f t="shared" si="168"/>
        <v/>
      </c>
      <c r="BC581" s="25" t="str">
        <f t="shared" si="169"/>
        <v/>
      </c>
    </row>
    <row r="582" spans="1:55" x14ac:dyDescent="0.25">
      <c r="A582" s="19" t="str">
        <f t="shared" si="154"/>
        <v/>
      </c>
      <c r="B582" s="19"/>
      <c r="C582" s="20"/>
      <c r="D582" s="19" t="str">
        <f t="shared" si="153"/>
        <v/>
      </c>
      <c r="E582" s="19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19"/>
      <c r="U582" s="19"/>
      <c r="V582" s="20"/>
      <c r="W582" s="22"/>
      <c r="X582" s="21"/>
      <c r="Y582" s="21"/>
      <c r="Z582" s="23" t="str">
        <f>IF(B582="","",IF(S582&lt;&gt;"","Sevk Edildi",IF(AND(X582&lt;&gt;"",Y582=""),"Reworkte",IF(T582&lt;&gt;"","Kapandı"&amp;IF(COUNT(G582:R582)=0,""," – "&amp;LOOKUP(2,1/(G582:R582=MAX(G582:R582)),{"Tasarım","Ply Cutter","Üretim","Kalite (Üretim sonrası)","Talaşlı","Kalite (Talaşlı sonrası)","Montaj","Kalite (Montaj sonrası)","Boya","Kalite (Boya sonrası)","Yarı Mamül","KM"})),IF(COUNT(G582:R582)=0,"Başlamadı",LOOKUP(2,1/(G582:R582=MAX(G582:R582)),{"Tasarımda","Ply Cutter'da","Üretimde","Kalitede (Üretim sonrası)","Talaşlıda","Kalitede (Talaşlı sonrası)","Montajda","Kalitede (Montaj sonrası)","Boyada","Kalitede (Boya sonrası)","Yarı Mamülde","KM'de"}))))))</f>
        <v/>
      </c>
      <c r="AA582" s="24" t="str">
        <f t="shared" ca="1" si="155"/>
        <v/>
      </c>
      <c r="AB582" s="22"/>
      <c r="AD582" t="str">
        <f>IF(OR($B582="",NOT(ISNUMBER(G582))),"",IF(COUNTIF(H582:$T582,G582)&gt;0,0,IF(COUNTIF($G582:$T582,"&gt;"&amp;G582)=0,"",SMALL($G582:$T582,COUNTIF($G582:$T582,"&lt;="&amp;G582)+1)-G582)))</f>
        <v/>
      </c>
      <c r="AE582" t="str">
        <f>IF(OR($B582="",NOT(ISNUMBER(H582))),"",IF(COUNTIF(I582:$T582,H582)&gt;0,0,IF(COUNTIF($G582:$T582,"&gt;"&amp;H582)=0,"",SMALL($G582:$T582,COUNTIF($G582:$T582,"&lt;="&amp;H582)+1)-H582)))</f>
        <v/>
      </c>
      <c r="AF582" t="str">
        <f>IF(OR($B582="",NOT(ISNUMBER(I582))),"",IF(COUNTIF(J582:$T582,I582)&gt;0,0,IF(COUNTIF($G582:$T582,"&gt;"&amp;I582)=0,"",SMALL($G582:$T582,COUNTIF($G582:$T582,"&lt;="&amp;I582)+1)-I582)))</f>
        <v/>
      </c>
      <c r="AG582" t="str">
        <f>IF(OR($B582="",NOT(ISNUMBER(J582))),"",IF(COUNTIF(K582:$T582,J582)&gt;0,0,IF(COUNTIF($G582:$T582,"&gt;"&amp;J582)=0,"",SMALL($G582:$T582,COUNTIF($G582:$T582,"&lt;="&amp;J582)+1)-J582)))</f>
        <v/>
      </c>
      <c r="AH582" t="str">
        <f>IF(OR($B582="",NOT(ISNUMBER(K582))),"",IF(COUNTIF(L582:$T582,K582)&gt;0,0,IF(COUNTIF($G582:$T582,"&gt;"&amp;K582)=0,"",SMALL($G582:$T582,COUNTIF($G582:$T582,"&lt;="&amp;K582)+1)-K582)))</f>
        <v/>
      </c>
      <c r="AI582" t="str">
        <f>IF(OR($B582="",NOT(ISNUMBER(L582))),"",IF(COUNTIF(M582:$T582,L582)&gt;0,0,IF(COUNTIF($G582:$T582,"&gt;"&amp;L582)=0,"",SMALL($G582:$T582,COUNTIF($G582:$T582,"&lt;="&amp;L582)+1)-L582)))</f>
        <v/>
      </c>
      <c r="AJ582" t="str">
        <f>IF(OR($B582="",NOT(ISNUMBER(M582))),"",IF(COUNTIF(N582:$T582,M582)&gt;0,0,IF(COUNTIF($G582:$T582,"&gt;"&amp;M582)=0,"",SMALL($G582:$T582,COUNTIF($G582:$T582,"&lt;="&amp;M582)+1)-M582)))</f>
        <v/>
      </c>
      <c r="AK582" t="str">
        <f>IF(OR($B582="",NOT(ISNUMBER(N582))),"",IF(COUNTIF(O582:$T582,N582)&gt;0,0,IF(COUNTIF($G582:$T582,"&gt;"&amp;N582)=0,"",SMALL($G582:$T582,COUNTIF($G582:$T582,"&lt;="&amp;N582)+1)-N582)))</f>
        <v/>
      </c>
      <c r="AL582" t="str">
        <f>IF(OR($B582="",NOT(ISNUMBER(O582))),"",IF(COUNTIF(P582:$T582,O582)&gt;0,0,IF(COUNTIF($G582:$T582,"&gt;"&amp;O582)=0,"",SMALL($G582:$T582,COUNTIF($G582:$T582,"&lt;="&amp;O582)+1)-O582)))</f>
        <v/>
      </c>
      <c r="AM582" t="str">
        <f>IF(OR($B582="",NOT(ISNUMBER(P582))),"",IF(COUNTIF(Q582:$T582,P582)&gt;0,0,IF(COUNTIF($G582:$T582,"&gt;"&amp;P582)=0,"",SMALL($G582:$T582,COUNTIF($G582:$T582,"&lt;="&amp;P582)+1)-P582)))</f>
        <v/>
      </c>
      <c r="AN582" t="str">
        <f>IF(OR($B582="",NOT(ISNUMBER(Q582))),"",IF(COUNTIF(R582:$T582,Q582)&gt;0,0,IF(COUNTIF($G582:$T582,"&gt;"&amp;Q582)=0,"",SMALL($G582:$T582,COUNTIF($G582:$T582,"&lt;="&amp;Q582)+1)-Q582)))</f>
        <v/>
      </c>
      <c r="AO582" t="str">
        <f>IF(OR($B582="",NOT(ISNUMBER(R582))),"",IF(COUNTIF(S582:$T582,R582)&gt;0,0,IF(COUNTIF($G582:$T582,"&gt;"&amp;R582)=0,"",SMALL($G582:$T582,COUNTIF($G582:$T582,"&lt;="&amp;R582)+1)-R582)))</f>
        <v/>
      </c>
      <c r="AP582">
        <f t="shared" ca="1" si="156"/>
        <v>0</v>
      </c>
      <c r="AQ582" s="25" t="str">
        <f t="shared" si="157"/>
        <v/>
      </c>
      <c r="AR582" s="25" t="str">
        <f t="shared" si="158"/>
        <v/>
      </c>
      <c r="AS582" s="25" t="str">
        <f t="shared" si="159"/>
        <v/>
      </c>
      <c r="AT582" s="25" t="str">
        <f t="shared" si="160"/>
        <v/>
      </c>
      <c r="AU582" s="25" t="str">
        <f t="shared" si="161"/>
        <v/>
      </c>
      <c r="AV582" s="25" t="str">
        <f t="shared" si="162"/>
        <v/>
      </c>
      <c r="AW582" s="25" t="str">
        <f t="shared" si="163"/>
        <v/>
      </c>
      <c r="AX582" s="25" t="str">
        <f t="shared" si="164"/>
        <v/>
      </c>
      <c r="AY582" s="25" t="str">
        <f t="shared" si="165"/>
        <v/>
      </c>
      <c r="AZ582" s="25" t="str">
        <f t="shared" si="166"/>
        <v/>
      </c>
      <c r="BA582" s="25" t="str">
        <f t="shared" si="167"/>
        <v/>
      </c>
      <c r="BB582" s="25" t="str">
        <f t="shared" si="168"/>
        <v/>
      </c>
      <c r="BC582" s="25" t="str">
        <f t="shared" si="169"/>
        <v/>
      </c>
    </row>
    <row r="583" spans="1:55" x14ac:dyDescent="0.25">
      <c r="A583" s="19" t="str">
        <f t="shared" si="154"/>
        <v/>
      </c>
      <c r="B583" s="19"/>
      <c r="C583" s="20"/>
      <c r="D583" s="19" t="str">
        <f t="shared" si="153"/>
        <v/>
      </c>
      <c r="E583" s="19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19"/>
      <c r="U583" s="19"/>
      <c r="V583" s="20"/>
      <c r="W583" s="22"/>
      <c r="X583" s="21"/>
      <c r="Y583" s="21"/>
      <c r="Z583" s="23" t="str">
        <f>IF(B583="","",IF(S583&lt;&gt;"","Sevk Edildi",IF(AND(X583&lt;&gt;"",Y583=""),"Reworkte",IF(T583&lt;&gt;"","Kapandı"&amp;IF(COUNT(G583:R583)=0,""," – "&amp;LOOKUP(2,1/(G583:R583=MAX(G583:R583)),{"Tasarım","Ply Cutter","Üretim","Kalite (Üretim sonrası)","Talaşlı","Kalite (Talaşlı sonrası)","Montaj","Kalite (Montaj sonrası)","Boya","Kalite (Boya sonrası)","Yarı Mamül","KM"})),IF(COUNT(G583:R583)=0,"Başlamadı",LOOKUP(2,1/(G583:R583=MAX(G583:R583)),{"Tasarımda","Ply Cutter'da","Üretimde","Kalitede (Üretim sonrası)","Talaşlıda","Kalitede (Talaşlı sonrası)","Montajda","Kalitede (Montaj sonrası)","Boyada","Kalitede (Boya sonrası)","Yarı Mamülde","KM'de"}))))))</f>
        <v/>
      </c>
      <c r="AA583" s="24" t="str">
        <f t="shared" ca="1" si="155"/>
        <v/>
      </c>
      <c r="AB583" s="22"/>
      <c r="AD583" t="str">
        <f>IF(OR($B583="",NOT(ISNUMBER(G583))),"",IF(COUNTIF(H583:$T583,G583)&gt;0,0,IF(COUNTIF($G583:$T583,"&gt;"&amp;G583)=0,"",SMALL($G583:$T583,COUNTIF($G583:$T583,"&lt;="&amp;G583)+1)-G583)))</f>
        <v/>
      </c>
      <c r="AE583" t="str">
        <f>IF(OR($B583="",NOT(ISNUMBER(H583))),"",IF(COUNTIF(I583:$T583,H583)&gt;0,0,IF(COUNTIF($G583:$T583,"&gt;"&amp;H583)=0,"",SMALL($G583:$T583,COUNTIF($G583:$T583,"&lt;="&amp;H583)+1)-H583)))</f>
        <v/>
      </c>
      <c r="AF583" t="str">
        <f>IF(OR($B583="",NOT(ISNUMBER(I583))),"",IF(COUNTIF(J583:$T583,I583)&gt;0,0,IF(COUNTIF($G583:$T583,"&gt;"&amp;I583)=0,"",SMALL($G583:$T583,COUNTIF($G583:$T583,"&lt;="&amp;I583)+1)-I583)))</f>
        <v/>
      </c>
      <c r="AG583" t="str">
        <f>IF(OR($B583="",NOT(ISNUMBER(J583))),"",IF(COUNTIF(K583:$T583,J583)&gt;0,0,IF(COUNTIF($G583:$T583,"&gt;"&amp;J583)=0,"",SMALL($G583:$T583,COUNTIF($G583:$T583,"&lt;="&amp;J583)+1)-J583)))</f>
        <v/>
      </c>
      <c r="AH583" t="str">
        <f>IF(OR($B583="",NOT(ISNUMBER(K583))),"",IF(COUNTIF(L583:$T583,K583)&gt;0,0,IF(COUNTIF($G583:$T583,"&gt;"&amp;K583)=0,"",SMALL($G583:$T583,COUNTIF($G583:$T583,"&lt;="&amp;K583)+1)-K583)))</f>
        <v/>
      </c>
      <c r="AI583" t="str">
        <f>IF(OR($B583="",NOT(ISNUMBER(L583))),"",IF(COUNTIF(M583:$T583,L583)&gt;0,0,IF(COUNTIF($G583:$T583,"&gt;"&amp;L583)=0,"",SMALL($G583:$T583,COUNTIF($G583:$T583,"&lt;="&amp;L583)+1)-L583)))</f>
        <v/>
      </c>
      <c r="AJ583" t="str">
        <f>IF(OR($B583="",NOT(ISNUMBER(M583))),"",IF(COUNTIF(N583:$T583,M583)&gt;0,0,IF(COUNTIF($G583:$T583,"&gt;"&amp;M583)=0,"",SMALL($G583:$T583,COUNTIF($G583:$T583,"&lt;="&amp;M583)+1)-M583)))</f>
        <v/>
      </c>
      <c r="AK583" t="str">
        <f>IF(OR($B583="",NOT(ISNUMBER(N583))),"",IF(COUNTIF(O583:$T583,N583)&gt;0,0,IF(COUNTIF($G583:$T583,"&gt;"&amp;N583)=0,"",SMALL($G583:$T583,COUNTIF($G583:$T583,"&lt;="&amp;N583)+1)-N583)))</f>
        <v/>
      </c>
      <c r="AL583" t="str">
        <f>IF(OR($B583="",NOT(ISNUMBER(O583))),"",IF(COUNTIF(P583:$T583,O583)&gt;0,0,IF(COUNTIF($G583:$T583,"&gt;"&amp;O583)=0,"",SMALL($G583:$T583,COUNTIF($G583:$T583,"&lt;="&amp;O583)+1)-O583)))</f>
        <v/>
      </c>
      <c r="AM583" t="str">
        <f>IF(OR($B583="",NOT(ISNUMBER(P583))),"",IF(COUNTIF(Q583:$T583,P583)&gt;0,0,IF(COUNTIF($G583:$T583,"&gt;"&amp;P583)=0,"",SMALL($G583:$T583,COUNTIF($G583:$T583,"&lt;="&amp;P583)+1)-P583)))</f>
        <v/>
      </c>
      <c r="AN583" t="str">
        <f>IF(OR($B583="",NOT(ISNUMBER(Q583))),"",IF(COUNTIF(R583:$T583,Q583)&gt;0,0,IF(COUNTIF($G583:$T583,"&gt;"&amp;Q583)=0,"",SMALL($G583:$T583,COUNTIF($G583:$T583,"&lt;="&amp;Q583)+1)-Q583)))</f>
        <v/>
      </c>
      <c r="AO583" t="str">
        <f>IF(OR($B583="",NOT(ISNUMBER(R583))),"",IF(COUNTIF(S583:$T583,R583)&gt;0,0,IF(COUNTIF($G583:$T583,"&gt;"&amp;R583)=0,"",SMALL($G583:$T583,COUNTIF($G583:$T583,"&lt;="&amp;R583)+1)-R583)))</f>
        <v/>
      </c>
      <c r="AP583">
        <f t="shared" ca="1" si="156"/>
        <v>0</v>
      </c>
      <c r="AQ583" s="25" t="str">
        <f t="shared" si="157"/>
        <v/>
      </c>
      <c r="AR583" s="25" t="str">
        <f t="shared" si="158"/>
        <v/>
      </c>
      <c r="AS583" s="25" t="str">
        <f t="shared" si="159"/>
        <v/>
      </c>
      <c r="AT583" s="25" t="str">
        <f t="shared" si="160"/>
        <v/>
      </c>
      <c r="AU583" s="25" t="str">
        <f t="shared" si="161"/>
        <v/>
      </c>
      <c r="AV583" s="25" t="str">
        <f t="shared" si="162"/>
        <v/>
      </c>
      <c r="AW583" s="25" t="str">
        <f t="shared" si="163"/>
        <v/>
      </c>
      <c r="AX583" s="25" t="str">
        <f t="shared" si="164"/>
        <v/>
      </c>
      <c r="AY583" s="25" t="str">
        <f t="shared" si="165"/>
        <v/>
      </c>
      <c r="AZ583" s="25" t="str">
        <f t="shared" si="166"/>
        <v/>
      </c>
      <c r="BA583" s="25" t="str">
        <f t="shared" si="167"/>
        <v/>
      </c>
      <c r="BB583" s="25" t="str">
        <f t="shared" si="168"/>
        <v/>
      </c>
      <c r="BC583" s="25" t="str">
        <f t="shared" si="169"/>
        <v/>
      </c>
    </row>
    <row r="584" spans="1:55" x14ac:dyDescent="0.25">
      <c r="A584" s="19" t="str">
        <f t="shared" si="154"/>
        <v/>
      </c>
      <c r="B584" s="19"/>
      <c r="C584" s="20"/>
      <c r="D584" s="19" t="str">
        <f t="shared" si="153"/>
        <v/>
      </c>
      <c r="E584" s="19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19"/>
      <c r="U584" s="19"/>
      <c r="V584" s="20"/>
      <c r="W584" s="22"/>
      <c r="X584" s="21"/>
      <c r="Y584" s="21"/>
      <c r="Z584" s="23" t="str">
        <f>IF(B584="","",IF(S584&lt;&gt;"","Sevk Edildi",IF(AND(X584&lt;&gt;"",Y584=""),"Reworkte",IF(T584&lt;&gt;"","Kapandı"&amp;IF(COUNT(G584:R584)=0,""," – "&amp;LOOKUP(2,1/(G584:R584=MAX(G584:R584)),{"Tasarım","Ply Cutter","Üretim","Kalite (Üretim sonrası)","Talaşlı","Kalite (Talaşlı sonrası)","Montaj","Kalite (Montaj sonrası)","Boya","Kalite (Boya sonrası)","Yarı Mamül","KM"})),IF(COUNT(G584:R584)=0,"Başlamadı",LOOKUP(2,1/(G584:R584=MAX(G584:R584)),{"Tasarımda","Ply Cutter'da","Üretimde","Kalitede (Üretim sonrası)","Talaşlıda","Kalitede (Talaşlı sonrası)","Montajda","Kalitede (Montaj sonrası)","Boyada","Kalitede (Boya sonrası)","Yarı Mamülde","KM'de"}))))))</f>
        <v/>
      </c>
      <c r="AA584" s="24" t="str">
        <f t="shared" ca="1" si="155"/>
        <v/>
      </c>
      <c r="AB584" s="22"/>
      <c r="AD584" t="str">
        <f>IF(OR($B584="",NOT(ISNUMBER(G584))),"",IF(COUNTIF(H584:$T584,G584)&gt;0,0,IF(COUNTIF($G584:$T584,"&gt;"&amp;G584)=0,"",SMALL($G584:$T584,COUNTIF($G584:$T584,"&lt;="&amp;G584)+1)-G584)))</f>
        <v/>
      </c>
      <c r="AE584" t="str">
        <f>IF(OR($B584="",NOT(ISNUMBER(H584))),"",IF(COUNTIF(I584:$T584,H584)&gt;0,0,IF(COUNTIF($G584:$T584,"&gt;"&amp;H584)=0,"",SMALL($G584:$T584,COUNTIF($G584:$T584,"&lt;="&amp;H584)+1)-H584)))</f>
        <v/>
      </c>
      <c r="AF584" t="str">
        <f>IF(OR($B584="",NOT(ISNUMBER(I584))),"",IF(COUNTIF(J584:$T584,I584)&gt;0,0,IF(COUNTIF($G584:$T584,"&gt;"&amp;I584)=0,"",SMALL($G584:$T584,COUNTIF($G584:$T584,"&lt;="&amp;I584)+1)-I584)))</f>
        <v/>
      </c>
      <c r="AG584" t="str">
        <f>IF(OR($B584="",NOT(ISNUMBER(J584))),"",IF(COUNTIF(K584:$T584,J584)&gt;0,0,IF(COUNTIF($G584:$T584,"&gt;"&amp;J584)=0,"",SMALL($G584:$T584,COUNTIF($G584:$T584,"&lt;="&amp;J584)+1)-J584)))</f>
        <v/>
      </c>
      <c r="AH584" t="str">
        <f>IF(OR($B584="",NOT(ISNUMBER(K584))),"",IF(COUNTIF(L584:$T584,K584)&gt;0,0,IF(COUNTIF($G584:$T584,"&gt;"&amp;K584)=0,"",SMALL($G584:$T584,COUNTIF($G584:$T584,"&lt;="&amp;K584)+1)-K584)))</f>
        <v/>
      </c>
      <c r="AI584" t="str">
        <f>IF(OR($B584="",NOT(ISNUMBER(L584))),"",IF(COUNTIF(M584:$T584,L584)&gt;0,0,IF(COUNTIF($G584:$T584,"&gt;"&amp;L584)=0,"",SMALL($G584:$T584,COUNTIF($G584:$T584,"&lt;="&amp;L584)+1)-L584)))</f>
        <v/>
      </c>
      <c r="AJ584" t="str">
        <f>IF(OR($B584="",NOT(ISNUMBER(M584))),"",IF(COUNTIF(N584:$T584,M584)&gt;0,0,IF(COUNTIF($G584:$T584,"&gt;"&amp;M584)=0,"",SMALL($G584:$T584,COUNTIF($G584:$T584,"&lt;="&amp;M584)+1)-M584)))</f>
        <v/>
      </c>
      <c r="AK584" t="str">
        <f>IF(OR($B584="",NOT(ISNUMBER(N584))),"",IF(COUNTIF(O584:$T584,N584)&gt;0,0,IF(COUNTIF($G584:$T584,"&gt;"&amp;N584)=0,"",SMALL($G584:$T584,COUNTIF($G584:$T584,"&lt;="&amp;N584)+1)-N584)))</f>
        <v/>
      </c>
      <c r="AL584" t="str">
        <f>IF(OR($B584="",NOT(ISNUMBER(O584))),"",IF(COUNTIF(P584:$T584,O584)&gt;0,0,IF(COUNTIF($G584:$T584,"&gt;"&amp;O584)=0,"",SMALL($G584:$T584,COUNTIF($G584:$T584,"&lt;="&amp;O584)+1)-O584)))</f>
        <v/>
      </c>
      <c r="AM584" t="str">
        <f>IF(OR($B584="",NOT(ISNUMBER(P584))),"",IF(COUNTIF(Q584:$T584,P584)&gt;0,0,IF(COUNTIF($G584:$T584,"&gt;"&amp;P584)=0,"",SMALL($G584:$T584,COUNTIF($G584:$T584,"&lt;="&amp;P584)+1)-P584)))</f>
        <v/>
      </c>
      <c r="AN584" t="str">
        <f>IF(OR($B584="",NOT(ISNUMBER(Q584))),"",IF(COUNTIF(R584:$T584,Q584)&gt;0,0,IF(COUNTIF($G584:$T584,"&gt;"&amp;Q584)=0,"",SMALL($G584:$T584,COUNTIF($G584:$T584,"&lt;="&amp;Q584)+1)-Q584)))</f>
        <v/>
      </c>
      <c r="AO584" t="str">
        <f>IF(OR($B584="",NOT(ISNUMBER(R584))),"",IF(COUNTIF(S584:$T584,R584)&gt;0,0,IF(COUNTIF($G584:$T584,"&gt;"&amp;R584)=0,"",SMALL($G584:$T584,COUNTIF($G584:$T584,"&lt;="&amp;R584)+1)-R584)))</f>
        <v/>
      </c>
      <c r="AP584">
        <f t="shared" ca="1" si="156"/>
        <v>0</v>
      </c>
      <c r="AQ584" s="25" t="str">
        <f t="shared" si="157"/>
        <v/>
      </c>
      <c r="AR584" s="25" t="str">
        <f t="shared" si="158"/>
        <v/>
      </c>
      <c r="AS584" s="25" t="str">
        <f t="shared" si="159"/>
        <v/>
      </c>
      <c r="AT584" s="25" t="str">
        <f t="shared" si="160"/>
        <v/>
      </c>
      <c r="AU584" s="25" t="str">
        <f t="shared" si="161"/>
        <v/>
      </c>
      <c r="AV584" s="25" t="str">
        <f t="shared" si="162"/>
        <v/>
      </c>
      <c r="AW584" s="25" t="str">
        <f t="shared" si="163"/>
        <v/>
      </c>
      <c r="AX584" s="25" t="str">
        <f t="shared" si="164"/>
        <v/>
      </c>
      <c r="AY584" s="25" t="str">
        <f t="shared" si="165"/>
        <v/>
      </c>
      <c r="AZ584" s="25" t="str">
        <f t="shared" si="166"/>
        <v/>
      </c>
      <c r="BA584" s="25" t="str">
        <f t="shared" si="167"/>
        <v/>
      </c>
      <c r="BB584" s="25" t="str">
        <f t="shared" si="168"/>
        <v/>
      </c>
      <c r="BC584" s="25" t="str">
        <f t="shared" si="169"/>
        <v/>
      </c>
    </row>
    <row r="585" spans="1:55" x14ac:dyDescent="0.25">
      <c r="A585" s="19" t="str">
        <f t="shared" si="154"/>
        <v/>
      </c>
      <c r="B585" s="19"/>
      <c r="C585" s="20"/>
      <c r="D585" s="19" t="str">
        <f t="shared" si="153"/>
        <v/>
      </c>
      <c r="E585" s="19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19"/>
      <c r="U585" s="19"/>
      <c r="V585" s="20"/>
      <c r="W585" s="22"/>
      <c r="X585" s="21"/>
      <c r="Y585" s="21"/>
      <c r="Z585" s="23" t="str">
        <f>IF(B585="","",IF(S585&lt;&gt;"","Sevk Edildi",IF(AND(X585&lt;&gt;"",Y585=""),"Reworkte",IF(T585&lt;&gt;"","Kapandı"&amp;IF(COUNT(G585:R585)=0,""," – "&amp;LOOKUP(2,1/(G585:R585=MAX(G585:R585)),{"Tasarım","Ply Cutter","Üretim","Kalite (Üretim sonrası)","Talaşlı","Kalite (Talaşlı sonrası)","Montaj","Kalite (Montaj sonrası)","Boya","Kalite (Boya sonrası)","Yarı Mamül","KM"})),IF(COUNT(G585:R585)=0,"Başlamadı",LOOKUP(2,1/(G585:R585=MAX(G585:R585)),{"Tasarımda","Ply Cutter'da","Üretimde","Kalitede (Üretim sonrası)","Talaşlıda","Kalitede (Talaşlı sonrası)","Montajda","Kalitede (Montaj sonrası)","Boyada","Kalitede (Boya sonrası)","Yarı Mamülde","KM'de"}))))))</f>
        <v/>
      </c>
      <c r="AA585" s="24" t="str">
        <f t="shared" ca="1" si="155"/>
        <v/>
      </c>
      <c r="AB585" s="22"/>
      <c r="AD585" t="str">
        <f>IF(OR($B585="",NOT(ISNUMBER(G585))),"",IF(COUNTIF(H585:$T585,G585)&gt;0,0,IF(COUNTIF($G585:$T585,"&gt;"&amp;G585)=0,"",SMALL($G585:$T585,COUNTIF($G585:$T585,"&lt;="&amp;G585)+1)-G585)))</f>
        <v/>
      </c>
      <c r="AE585" t="str">
        <f>IF(OR($B585="",NOT(ISNUMBER(H585))),"",IF(COUNTIF(I585:$T585,H585)&gt;0,0,IF(COUNTIF($G585:$T585,"&gt;"&amp;H585)=0,"",SMALL($G585:$T585,COUNTIF($G585:$T585,"&lt;="&amp;H585)+1)-H585)))</f>
        <v/>
      </c>
      <c r="AF585" t="str">
        <f>IF(OR($B585="",NOT(ISNUMBER(I585))),"",IF(COUNTIF(J585:$T585,I585)&gt;0,0,IF(COUNTIF($G585:$T585,"&gt;"&amp;I585)=0,"",SMALL($G585:$T585,COUNTIF($G585:$T585,"&lt;="&amp;I585)+1)-I585)))</f>
        <v/>
      </c>
      <c r="AG585" t="str">
        <f>IF(OR($B585="",NOT(ISNUMBER(J585))),"",IF(COUNTIF(K585:$T585,J585)&gt;0,0,IF(COUNTIF($G585:$T585,"&gt;"&amp;J585)=0,"",SMALL($G585:$T585,COUNTIF($G585:$T585,"&lt;="&amp;J585)+1)-J585)))</f>
        <v/>
      </c>
      <c r="AH585" t="str">
        <f>IF(OR($B585="",NOT(ISNUMBER(K585))),"",IF(COUNTIF(L585:$T585,K585)&gt;0,0,IF(COUNTIF($G585:$T585,"&gt;"&amp;K585)=0,"",SMALL($G585:$T585,COUNTIF($G585:$T585,"&lt;="&amp;K585)+1)-K585)))</f>
        <v/>
      </c>
      <c r="AI585" t="str">
        <f>IF(OR($B585="",NOT(ISNUMBER(L585))),"",IF(COUNTIF(M585:$T585,L585)&gt;0,0,IF(COUNTIF($G585:$T585,"&gt;"&amp;L585)=0,"",SMALL($G585:$T585,COUNTIF($G585:$T585,"&lt;="&amp;L585)+1)-L585)))</f>
        <v/>
      </c>
      <c r="AJ585" t="str">
        <f>IF(OR($B585="",NOT(ISNUMBER(M585))),"",IF(COUNTIF(N585:$T585,M585)&gt;0,0,IF(COUNTIF($G585:$T585,"&gt;"&amp;M585)=0,"",SMALL($G585:$T585,COUNTIF($G585:$T585,"&lt;="&amp;M585)+1)-M585)))</f>
        <v/>
      </c>
      <c r="AK585" t="str">
        <f>IF(OR($B585="",NOT(ISNUMBER(N585))),"",IF(COUNTIF(O585:$T585,N585)&gt;0,0,IF(COUNTIF($G585:$T585,"&gt;"&amp;N585)=0,"",SMALL($G585:$T585,COUNTIF($G585:$T585,"&lt;="&amp;N585)+1)-N585)))</f>
        <v/>
      </c>
      <c r="AL585" t="str">
        <f>IF(OR($B585="",NOT(ISNUMBER(O585))),"",IF(COUNTIF(P585:$T585,O585)&gt;0,0,IF(COUNTIF($G585:$T585,"&gt;"&amp;O585)=0,"",SMALL($G585:$T585,COUNTIF($G585:$T585,"&lt;="&amp;O585)+1)-O585)))</f>
        <v/>
      </c>
      <c r="AM585" t="str">
        <f>IF(OR($B585="",NOT(ISNUMBER(P585))),"",IF(COUNTIF(Q585:$T585,P585)&gt;0,0,IF(COUNTIF($G585:$T585,"&gt;"&amp;P585)=0,"",SMALL($G585:$T585,COUNTIF($G585:$T585,"&lt;="&amp;P585)+1)-P585)))</f>
        <v/>
      </c>
      <c r="AN585" t="str">
        <f>IF(OR($B585="",NOT(ISNUMBER(Q585))),"",IF(COUNTIF(R585:$T585,Q585)&gt;0,0,IF(COUNTIF($G585:$T585,"&gt;"&amp;Q585)=0,"",SMALL($G585:$T585,COUNTIF($G585:$T585,"&lt;="&amp;Q585)+1)-Q585)))</f>
        <v/>
      </c>
      <c r="AO585" t="str">
        <f>IF(OR($B585="",NOT(ISNUMBER(R585))),"",IF(COUNTIF(S585:$T585,R585)&gt;0,0,IF(COUNTIF($G585:$T585,"&gt;"&amp;R585)=0,"",SMALL($G585:$T585,COUNTIF($G585:$T585,"&lt;="&amp;R585)+1)-R585)))</f>
        <v/>
      </c>
      <c r="AP585">
        <f t="shared" ca="1" si="156"/>
        <v>0</v>
      </c>
      <c r="AQ585" s="25" t="str">
        <f t="shared" si="157"/>
        <v/>
      </c>
      <c r="AR585" s="25" t="str">
        <f t="shared" si="158"/>
        <v/>
      </c>
      <c r="AS585" s="25" t="str">
        <f t="shared" si="159"/>
        <v/>
      </c>
      <c r="AT585" s="25" t="str">
        <f t="shared" si="160"/>
        <v/>
      </c>
      <c r="AU585" s="25" t="str">
        <f t="shared" si="161"/>
        <v/>
      </c>
      <c r="AV585" s="25" t="str">
        <f t="shared" si="162"/>
        <v/>
      </c>
      <c r="AW585" s="25" t="str">
        <f t="shared" si="163"/>
        <v/>
      </c>
      <c r="AX585" s="25" t="str">
        <f t="shared" si="164"/>
        <v/>
      </c>
      <c r="AY585" s="25" t="str">
        <f t="shared" si="165"/>
        <v/>
      </c>
      <c r="AZ585" s="25" t="str">
        <f t="shared" si="166"/>
        <v/>
      </c>
      <c r="BA585" s="25" t="str">
        <f t="shared" si="167"/>
        <v/>
      </c>
      <c r="BB585" s="25" t="str">
        <f t="shared" si="168"/>
        <v/>
      </c>
      <c r="BC585" s="25" t="str">
        <f t="shared" si="169"/>
        <v/>
      </c>
    </row>
    <row r="586" spans="1:55" x14ac:dyDescent="0.25">
      <c r="A586" s="19" t="str">
        <f t="shared" si="154"/>
        <v/>
      </c>
      <c r="B586" s="19"/>
      <c r="C586" s="20"/>
      <c r="D586" s="19" t="str">
        <f t="shared" si="153"/>
        <v/>
      </c>
      <c r="E586" s="19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19"/>
      <c r="U586" s="19"/>
      <c r="V586" s="20"/>
      <c r="W586" s="22"/>
      <c r="X586" s="21"/>
      <c r="Y586" s="21"/>
      <c r="Z586" s="23" t="str">
        <f>IF(B586="","",IF(S586&lt;&gt;"","Sevk Edildi",IF(AND(X586&lt;&gt;"",Y586=""),"Reworkte",IF(T586&lt;&gt;"","Kapandı"&amp;IF(COUNT(G586:R586)=0,""," – "&amp;LOOKUP(2,1/(G586:R586=MAX(G586:R586)),{"Tasarım","Ply Cutter","Üretim","Kalite (Üretim sonrası)","Talaşlı","Kalite (Talaşlı sonrası)","Montaj","Kalite (Montaj sonrası)","Boya","Kalite (Boya sonrası)","Yarı Mamül","KM"})),IF(COUNT(G586:R586)=0,"Başlamadı",LOOKUP(2,1/(G586:R586=MAX(G586:R586)),{"Tasarımda","Ply Cutter'da","Üretimde","Kalitede (Üretim sonrası)","Talaşlıda","Kalitede (Talaşlı sonrası)","Montajda","Kalitede (Montaj sonrası)","Boyada","Kalitede (Boya sonrası)","Yarı Mamülde","KM'de"}))))))</f>
        <v/>
      </c>
      <c r="AA586" s="24" t="str">
        <f t="shared" ca="1" si="155"/>
        <v/>
      </c>
      <c r="AB586" s="22"/>
      <c r="AD586" t="str">
        <f>IF(OR($B586="",NOT(ISNUMBER(G586))),"",IF(COUNTIF(H586:$T586,G586)&gt;0,0,IF(COUNTIF($G586:$T586,"&gt;"&amp;G586)=0,"",SMALL($G586:$T586,COUNTIF($G586:$T586,"&lt;="&amp;G586)+1)-G586)))</f>
        <v/>
      </c>
      <c r="AE586" t="str">
        <f>IF(OR($B586="",NOT(ISNUMBER(H586))),"",IF(COUNTIF(I586:$T586,H586)&gt;0,0,IF(COUNTIF($G586:$T586,"&gt;"&amp;H586)=0,"",SMALL($G586:$T586,COUNTIF($G586:$T586,"&lt;="&amp;H586)+1)-H586)))</f>
        <v/>
      </c>
      <c r="AF586" t="str">
        <f>IF(OR($B586="",NOT(ISNUMBER(I586))),"",IF(COUNTIF(J586:$T586,I586)&gt;0,0,IF(COUNTIF($G586:$T586,"&gt;"&amp;I586)=0,"",SMALL($G586:$T586,COUNTIF($G586:$T586,"&lt;="&amp;I586)+1)-I586)))</f>
        <v/>
      </c>
      <c r="AG586" t="str">
        <f>IF(OR($B586="",NOT(ISNUMBER(J586))),"",IF(COUNTIF(K586:$T586,J586)&gt;0,0,IF(COUNTIF($G586:$T586,"&gt;"&amp;J586)=0,"",SMALL($G586:$T586,COUNTIF($G586:$T586,"&lt;="&amp;J586)+1)-J586)))</f>
        <v/>
      </c>
      <c r="AH586" t="str">
        <f>IF(OR($B586="",NOT(ISNUMBER(K586))),"",IF(COUNTIF(L586:$T586,K586)&gt;0,0,IF(COUNTIF($G586:$T586,"&gt;"&amp;K586)=0,"",SMALL($G586:$T586,COUNTIF($G586:$T586,"&lt;="&amp;K586)+1)-K586)))</f>
        <v/>
      </c>
      <c r="AI586" t="str">
        <f>IF(OR($B586="",NOT(ISNUMBER(L586))),"",IF(COUNTIF(M586:$T586,L586)&gt;0,0,IF(COUNTIF($G586:$T586,"&gt;"&amp;L586)=0,"",SMALL($G586:$T586,COUNTIF($G586:$T586,"&lt;="&amp;L586)+1)-L586)))</f>
        <v/>
      </c>
      <c r="AJ586" t="str">
        <f>IF(OR($B586="",NOT(ISNUMBER(M586))),"",IF(COUNTIF(N586:$T586,M586)&gt;0,0,IF(COUNTIF($G586:$T586,"&gt;"&amp;M586)=0,"",SMALL($G586:$T586,COUNTIF($G586:$T586,"&lt;="&amp;M586)+1)-M586)))</f>
        <v/>
      </c>
      <c r="AK586" t="str">
        <f>IF(OR($B586="",NOT(ISNUMBER(N586))),"",IF(COUNTIF(O586:$T586,N586)&gt;0,0,IF(COUNTIF($G586:$T586,"&gt;"&amp;N586)=0,"",SMALL($G586:$T586,COUNTIF($G586:$T586,"&lt;="&amp;N586)+1)-N586)))</f>
        <v/>
      </c>
      <c r="AL586" t="str">
        <f>IF(OR($B586="",NOT(ISNUMBER(O586))),"",IF(COUNTIF(P586:$T586,O586)&gt;0,0,IF(COUNTIF($G586:$T586,"&gt;"&amp;O586)=0,"",SMALL($G586:$T586,COUNTIF($G586:$T586,"&lt;="&amp;O586)+1)-O586)))</f>
        <v/>
      </c>
      <c r="AM586" t="str">
        <f>IF(OR($B586="",NOT(ISNUMBER(P586))),"",IF(COUNTIF(Q586:$T586,P586)&gt;0,0,IF(COUNTIF($G586:$T586,"&gt;"&amp;P586)=0,"",SMALL($G586:$T586,COUNTIF($G586:$T586,"&lt;="&amp;P586)+1)-P586)))</f>
        <v/>
      </c>
      <c r="AN586" t="str">
        <f>IF(OR($B586="",NOT(ISNUMBER(Q586))),"",IF(COUNTIF(R586:$T586,Q586)&gt;0,0,IF(COUNTIF($G586:$T586,"&gt;"&amp;Q586)=0,"",SMALL($G586:$T586,COUNTIF($G586:$T586,"&lt;="&amp;Q586)+1)-Q586)))</f>
        <v/>
      </c>
      <c r="AO586" t="str">
        <f>IF(OR($B586="",NOT(ISNUMBER(R586))),"",IF(COUNTIF(S586:$T586,R586)&gt;0,0,IF(COUNTIF($G586:$T586,"&gt;"&amp;R586)=0,"",SMALL($G586:$T586,COUNTIF($G586:$T586,"&lt;="&amp;R586)+1)-R586)))</f>
        <v/>
      </c>
      <c r="AP586">
        <f t="shared" ca="1" si="156"/>
        <v>0</v>
      </c>
      <c r="AQ586" s="25" t="str">
        <f t="shared" si="157"/>
        <v/>
      </c>
      <c r="AR586" s="25" t="str">
        <f t="shared" si="158"/>
        <v/>
      </c>
      <c r="AS586" s="25" t="str">
        <f t="shared" si="159"/>
        <v/>
      </c>
      <c r="AT586" s="25" t="str">
        <f t="shared" si="160"/>
        <v/>
      </c>
      <c r="AU586" s="25" t="str">
        <f t="shared" si="161"/>
        <v/>
      </c>
      <c r="AV586" s="25" t="str">
        <f t="shared" si="162"/>
        <v/>
      </c>
      <c r="AW586" s="25" t="str">
        <f t="shared" si="163"/>
        <v/>
      </c>
      <c r="AX586" s="25" t="str">
        <f t="shared" si="164"/>
        <v/>
      </c>
      <c r="AY586" s="25" t="str">
        <f t="shared" si="165"/>
        <v/>
      </c>
      <c r="AZ586" s="25" t="str">
        <f t="shared" si="166"/>
        <v/>
      </c>
      <c r="BA586" s="25" t="str">
        <f t="shared" si="167"/>
        <v/>
      </c>
      <c r="BB586" s="25" t="str">
        <f t="shared" si="168"/>
        <v/>
      </c>
      <c r="BC586" s="25" t="str">
        <f t="shared" si="169"/>
        <v/>
      </c>
    </row>
    <row r="587" spans="1:55" x14ac:dyDescent="0.25">
      <c r="A587" s="19" t="str">
        <f t="shared" si="154"/>
        <v/>
      </c>
      <c r="B587" s="19"/>
      <c r="C587" s="20"/>
      <c r="D587" s="19" t="str">
        <f t="shared" si="153"/>
        <v/>
      </c>
      <c r="E587" s="19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19"/>
      <c r="U587" s="19"/>
      <c r="V587" s="20"/>
      <c r="W587" s="22"/>
      <c r="X587" s="21"/>
      <c r="Y587" s="21"/>
      <c r="Z587" s="23" t="str">
        <f>IF(B587="","",IF(S587&lt;&gt;"","Sevk Edildi",IF(AND(X587&lt;&gt;"",Y587=""),"Reworkte",IF(T587&lt;&gt;"","Kapandı"&amp;IF(COUNT(G587:R587)=0,""," – "&amp;LOOKUP(2,1/(G587:R587=MAX(G587:R587)),{"Tasarım","Ply Cutter","Üretim","Kalite (Üretim sonrası)","Talaşlı","Kalite (Talaşlı sonrası)","Montaj","Kalite (Montaj sonrası)","Boya","Kalite (Boya sonrası)","Yarı Mamül","KM"})),IF(COUNT(G587:R587)=0,"Başlamadı",LOOKUP(2,1/(G587:R587=MAX(G587:R587)),{"Tasarımda","Ply Cutter'da","Üretimde","Kalitede (Üretim sonrası)","Talaşlıda","Kalitede (Talaşlı sonrası)","Montajda","Kalitede (Montaj sonrası)","Boyada","Kalitede (Boya sonrası)","Yarı Mamülde","KM'de"}))))))</f>
        <v/>
      </c>
      <c r="AA587" s="24" t="str">
        <f t="shared" ca="1" si="155"/>
        <v/>
      </c>
      <c r="AB587" s="22"/>
      <c r="AD587" t="str">
        <f>IF(OR($B587="",NOT(ISNUMBER(G587))),"",IF(COUNTIF(H587:$T587,G587)&gt;0,0,IF(COUNTIF($G587:$T587,"&gt;"&amp;G587)=0,"",SMALL($G587:$T587,COUNTIF($G587:$T587,"&lt;="&amp;G587)+1)-G587)))</f>
        <v/>
      </c>
      <c r="AE587" t="str">
        <f>IF(OR($B587="",NOT(ISNUMBER(H587))),"",IF(COUNTIF(I587:$T587,H587)&gt;0,0,IF(COUNTIF($G587:$T587,"&gt;"&amp;H587)=0,"",SMALL($G587:$T587,COUNTIF($G587:$T587,"&lt;="&amp;H587)+1)-H587)))</f>
        <v/>
      </c>
      <c r="AF587" t="str">
        <f>IF(OR($B587="",NOT(ISNUMBER(I587))),"",IF(COUNTIF(J587:$T587,I587)&gt;0,0,IF(COUNTIF($G587:$T587,"&gt;"&amp;I587)=0,"",SMALL($G587:$T587,COUNTIF($G587:$T587,"&lt;="&amp;I587)+1)-I587)))</f>
        <v/>
      </c>
      <c r="AG587" t="str">
        <f>IF(OR($B587="",NOT(ISNUMBER(J587))),"",IF(COUNTIF(K587:$T587,J587)&gt;0,0,IF(COUNTIF($G587:$T587,"&gt;"&amp;J587)=0,"",SMALL($G587:$T587,COUNTIF($G587:$T587,"&lt;="&amp;J587)+1)-J587)))</f>
        <v/>
      </c>
      <c r="AH587" t="str">
        <f>IF(OR($B587="",NOT(ISNUMBER(K587))),"",IF(COUNTIF(L587:$T587,K587)&gt;0,0,IF(COUNTIF($G587:$T587,"&gt;"&amp;K587)=0,"",SMALL($G587:$T587,COUNTIF($G587:$T587,"&lt;="&amp;K587)+1)-K587)))</f>
        <v/>
      </c>
      <c r="AI587" t="str">
        <f>IF(OR($B587="",NOT(ISNUMBER(L587))),"",IF(COUNTIF(M587:$T587,L587)&gt;0,0,IF(COUNTIF($G587:$T587,"&gt;"&amp;L587)=0,"",SMALL($G587:$T587,COUNTIF($G587:$T587,"&lt;="&amp;L587)+1)-L587)))</f>
        <v/>
      </c>
      <c r="AJ587" t="str">
        <f>IF(OR($B587="",NOT(ISNUMBER(M587))),"",IF(COUNTIF(N587:$T587,M587)&gt;0,0,IF(COUNTIF($G587:$T587,"&gt;"&amp;M587)=0,"",SMALL($G587:$T587,COUNTIF($G587:$T587,"&lt;="&amp;M587)+1)-M587)))</f>
        <v/>
      </c>
      <c r="AK587" t="str">
        <f>IF(OR($B587="",NOT(ISNUMBER(N587))),"",IF(COUNTIF(O587:$T587,N587)&gt;0,0,IF(COUNTIF($G587:$T587,"&gt;"&amp;N587)=0,"",SMALL($G587:$T587,COUNTIF($G587:$T587,"&lt;="&amp;N587)+1)-N587)))</f>
        <v/>
      </c>
      <c r="AL587" t="str">
        <f>IF(OR($B587="",NOT(ISNUMBER(O587))),"",IF(COUNTIF(P587:$T587,O587)&gt;0,0,IF(COUNTIF($G587:$T587,"&gt;"&amp;O587)=0,"",SMALL($G587:$T587,COUNTIF($G587:$T587,"&lt;="&amp;O587)+1)-O587)))</f>
        <v/>
      </c>
      <c r="AM587" t="str">
        <f>IF(OR($B587="",NOT(ISNUMBER(P587))),"",IF(COUNTIF(Q587:$T587,P587)&gt;0,0,IF(COUNTIF($G587:$T587,"&gt;"&amp;P587)=0,"",SMALL($G587:$T587,COUNTIF($G587:$T587,"&lt;="&amp;P587)+1)-P587)))</f>
        <v/>
      </c>
      <c r="AN587" t="str">
        <f>IF(OR($B587="",NOT(ISNUMBER(Q587))),"",IF(COUNTIF(R587:$T587,Q587)&gt;0,0,IF(COUNTIF($G587:$T587,"&gt;"&amp;Q587)=0,"",SMALL($G587:$T587,COUNTIF($G587:$T587,"&lt;="&amp;Q587)+1)-Q587)))</f>
        <v/>
      </c>
      <c r="AO587" t="str">
        <f>IF(OR($B587="",NOT(ISNUMBER(R587))),"",IF(COUNTIF(S587:$T587,R587)&gt;0,0,IF(COUNTIF($G587:$T587,"&gt;"&amp;R587)=0,"",SMALL($G587:$T587,COUNTIF($G587:$T587,"&lt;="&amp;R587)+1)-R587)))</f>
        <v/>
      </c>
      <c r="AP587">
        <f t="shared" ca="1" si="156"/>
        <v>0</v>
      </c>
      <c r="AQ587" s="25" t="str">
        <f t="shared" si="157"/>
        <v/>
      </c>
      <c r="AR587" s="25" t="str">
        <f t="shared" si="158"/>
        <v/>
      </c>
      <c r="AS587" s="25" t="str">
        <f t="shared" si="159"/>
        <v/>
      </c>
      <c r="AT587" s="25" t="str">
        <f t="shared" si="160"/>
        <v/>
      </c>
      <c r="AU587" s="25" t="str">
        <f t="shared" si="161"/>
        <v/>
      </c>
      <c r="AV587" s="25" t="str">
        <f t="shared" si="162"/>
        <v/>
      </c>
      <c r="AW587" s="25" t="str">
        <f t="shared" si="163"/>
        <v/>
      </c>
      <c r="AX587" s="25" t="str">
        <f t="shared" si="164"/>
        <v/>
      </c>
      <c r="AY587" s="25" t="str">
        <f t="shared" si="165"/>
        <v/>
      </c>
      <c r="AZ587" s="25" t="str">
        <f t="shared" si="166"/>
        <v/>
      </c>
      <c r="BA587" s="25" t="str">
        <f t="shared" si="167"/>
        <v/>
      </c>
      <c r="BB587" s="25" t="str">
        <f t="shared" si="168"/>
        <v/>
      </c>
      <c r="BC587" s="25" t="str">
        <f t="shared" si="169"/>
        <v/>
      </c>
    </row>
    <row r="588" spans="1:55" x14ac:dyDescent="0.25">
      <c r="A588" s="19" t="str">
        <f t="shared" si="154"/>
        <v/>
      </c>
      <c r="B588" s="19"/>
      <c r="C588" s="20"/>
      <c r="D588" s="19" t="str">
        <f t="shared" si="153"/>
        <v/>
      </c>
      <c r="E588" s="19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19"/>
      <c r="U588" s="19"/>
      <c r="V588" s="20"/>
      <c r="W588" s="22"/>
      <c r="X588" s="21"/>
      <c r="Y588" s="21"/>
      <c r="Z588" s="23" t="str">
        <f>IF(B588="","",IF(S588&lt;&gt;"","Sevk Edildi",IF(AND(X588&lt;&gt;"",Y588=""),"Reworkte",IF(T588&lt;&gt;"","Kapandı"&amp;IF(COUNT(G588:R588)=0,""," – "&amp;LOOKUP(2,1/(G588:R588=MAX(G588:R588)),{"Tasarım","Ply Cutter","Üretim","Kalite (Üretim sonrası)","Talaşlı","Kalite (Talaşlı sonrası)","Montaj","Kalite (Montaj sonrası)","Boya","Kalite (Boya sonrası)","Yarı Mamül","KM"})),IF(COUNT(G588:R588)=0,"Başlamadı",LOOKUP(2,1/(G588:R588=MAX(G588:R588)),{"Tasarımda","Ply Cutter'da","Üretimde","Kalitede (Üretim sonrası)","Talaşlıda","Kalitede (Talaşlı sonrası)","Montajda","Kalitede (Montaj sonrası)","Boyada","Kalitede (Boya sonrası)","Yarı Mamülde","KM'de"}))))))</f>
        <v/>
      </c>
      <c r="AA588" s="24" t="str">
        <f t="shared" ca="1" si="155"/>
        <v/>
      </c>
      <c r="AB588" s="22"/>
      <c r="AD588" t="str">
        <f>IF(OR($B588="",NOT(ISNUMBER(G588))),"",IF(COUNTIF(H588:$T588,G588)&gt;0,0,IF(COUNTIF($G588:$T588,"&gt;"&amp;G588)=0,"",SMALL($G588:$T588,COUNTIF($G588:$T588,"&lt;="&amp;G588)+1)-G588)))</f>
        <v/>
      </c>
      <c r="AE588" t="str">
        <f>IF(OR($B588="",NOT(ISNUMBER(H588))),"",IF(COUNTIF(I588:$T588,H588)&gt;0,0,IF(COUNTIF($G588:$T588,"&gt;"&amp;H588)=0,"",SMALL($G588:$T588,COUNTIF($G588:$T588,"&lt;="&amp;H588)+1)-H588)))</f>
        <v/>
      </c>
      <c r="AF588" t="str">
        <f>IF(OR($B588="",NOT(ISNUMBER(I588))),"",IF(COUNTIF(J588:$T588,I588)&gt;0,0,IF(COUNTIF($G588:$T588,"&gt;"&amp;I588)=0,"",SMALL($G588:$T588,COUNTIF($G588:$T588,"&lt;="&amp;I588)+1)-I588)))</f>
        <v/>
      </c>
      <c r="AG588" t="str">
        <f>IF(OR($B588="",NOT(ISNUMBER(J588))),"",IF(COUNTIF(K588:$T588,J588)&gt;0,0,IF(COUNTIF($G588:$T588,"&gt;"&amp;J588)=0,"",SMALL($G588:$T588,COUNTIF($G588:$T588,"&lt;="&amp;J588)+1)-J588)))</f>
        <v/>
      </c>
      <c r="AH588" t="str">
        <f>IF(OR($B588="",NOT(ISNUMBER(K588))),"",IF(COUNTIF(L588:$T588,K588)&gt;0,0,IF(COUNTIF($G588:$T588,"&gt;"&amp;K588)=0,"",SMALL($G588:$T588,COUNTIF($G588:$T588,"&lt;="&amp;K588)+1)-K588)))</f>
        <v/>
      </c>
      <c r="AI588" t="str">
        <f>IF(OR($B588="",NOT(ISNUMBER(L588))),"",IF(COUNTIF(M588:$T588,L588)&gt;0,0,IF(COUNTIF($G588:$T588,"&gt;"&amp;L588)=0,"",SMALL($G588:$T588,COUNTIF($G588:$T588,"&lt;="&amp;L588)+1)-L588)))</f>
        <v/>
      </c>
      <c r="AJ588" t="str">
        <f>IF(OR($B588="",NOT(ISNUMBER(M588))),"",IF(COUNTIF(N588:$T588,M588)&gt;0,0,IF(COUNTIF($G588:$T588,"&gt;"&amp;M588)=0,"",SMALL($G588:$T588,COUNTIF($G588:$T588,"&lt;="&amp;M588)+1)-M588)))</f>
        <v/>
      </c>
      <c r="AK588" t="str">
        <f>IF(OR($B588="",NOT(ISNUMBER(N588))),"",IF(COUNTIF(O588:$T588,N588)&gt;0,0,IF(COUNTIF($G588:$T588,"&gt;"&amp;N588)=0,"",SMALL($G588:$T588,COUNTIF($G588:$T588,"&lt;="&amp;N588)+1)-N588)))</f>
        <v/>
      </c>
      <c r="AL588" t="str">
        <f>IF(OR($B588="",NOT(ISNUMBER(O588))),"",IF(COUNTIF(P588:$T588,O588)&gt;0,0,IF(COUNTIF($G588:$T588,"&gt;"&amp;O588)=0,"",SMALL($G588:$T588,COUNTIF($G588:$T588,"&lt;="&amp;O588)+1)-O588)))</f>
        <v/>
      </c>
      <c r="AM588" t="str">
        <f>IF(OR($B588="",NOT(ISNUMBER(P588))),"",IF(COUNTIF(Q588:$T588,P588)&gt;0,0,IF(COUNTIF($G588:$T588,"&gt;"&amp;P588)=0,"",SMALL($G588:$T588,COUNTIF($G588:$T588,"&lt;="&amp;P588)+1)-P588)))</f>
        <v/>
      </c>
      <c r="AN588" t="str">
        <f>IF(OR($B588="",NOT(ISNUMBER(Q588))),"",IF(COUNTIF(R588:$T588,Q588)&gt;0,0,IF(COUNTIF($G588:$T588,"&gt;"&amp;Q588)=0,"",SMALL($G588:$T588,COUNTIF($G588:$T588,"&lt;="&amp;Q588)+1)-Q588)))</f>
        <v/>
      </c>
      <c r="AO588" t="str">
        <f>IF(OR($B588="",NOT(ISNUMBER(R588))),"",IF(COUNTIF(S588:$T588,R588)&gt;0,0,IF(COUNTIF($G588:$T588,"&gt;"&amp;R588)=0,"",SMALL($G588:$T588,COUNTIF($G588:$T588,"&lt;="&amp;R588)+1)-R588)))</f>
        <v/>
      </c>
      <c r="AP588">
        <f t="shared" ca="1" si="156"/>
        <v>0</v>
      </c>
      <c r="AQ588" s="25" t="str">
        <f t="shared" si="157"/>
        <v/>
      </c>
      <c r="AR588" s="25" t="str">
        <f t="shared" si="158"/>
        <v/>
      </c>
      <c r="AS588" s="25" t="str">
        <f t="shared" si="159"/>
        <v/>
      </c>
      <c r="AT588" s="25" t="str">
        <f t="shared" si="160"/>
        <v/>
      </c>
      <c r="AU588" s="25" t="str">
        <f t="shared" si="161"/>
        <v/>
      </c>
      <c r="AV588" s="25" t="str">
        <f t="shared" si="162"/>
        <v/>
      </c>
      <c r="AW588" s="25" t="str">
        <f t="shared" si="163"/>
        <v/>
      </c>
      <c r="AX588" s="25" t="str">
        <f t="shared" si="164"/>
        <v/>
      </c>
      <c r="AY588" s="25" t="str">
        <f t="shared" si="165"/>
        <v/>
      </c>
      <c r="AZ588" s="25" t="str">
        <f t="shared" si="166"/>
        <v/>
      </c>
      <c r="BA588" s="25" t="str">
        <f t="shared" si="167"/>
        <v/>
      </c>
      <c r="BB588" s="25" t="str">
        <f t="shared" si="168"/>
        <v/>
      </c>
      <c r="BC588" s="25" t="str">
        <f t="shared" si="169"/>
        <v/>
      </c>
    </row>
    <row r="589" spans="1:55" x14ac:dyDescent="0.25">
      <c r="A589" s="19" t="str">
        <f t="shared" si="154"/>
        <v/>
      </c>
      <c r="B589" s="19"/>
      <c r="C589" s="20"/>
      <c r="D589" s="19" t="str">
        <f t="shared" si="153"/>
        <v/>
      </c>
      <c r="E589" s="19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19"/>
      <c r="U589" s="19"/>
      <c r="V589" s="20"/>
      <c r="W589" s="22"/>
      <c r="X589" s="21"/>
      <c r="Y589" s="21"/>
      <c r="Z589" s="23" t="str">
        <f>IF(B589="","",IF(S589&lt;&gt;"","Sevk Edildi",IF(AND(X589&lt;&gt;"",Y589=""),"Reworkte",IF(T589&lt;&gt;"","Kapandı"&amp;IF(COUNT(G589:R589)=0,""," – "&amp;LOOKUP(2,1/(G589:R589=MAX(G589:R589)),{"Tasarım","Ply Cutter","Üretim","Kalite (Üretim sonrası)","Talaşlı","Kalite (Talaşlı sonrası)","Montaj","Kalite (Montaj sonrası)","Boya","Kalite (Boya sonrası)","Yarı Mamül","KM"})),IF(COUNT(G589:R589)=0,"Başlamadı",LOOKUP(2,1/(G589:R589=MAX(G589:R589)),{"Tasarımda","Ply Cutter'da","Üretimde","Kalitede (Üretim sonrası)","Talaşlıda","Kalitede (Talaşlı sonrası)","Montajda","Kalitede (Montaj sonrası)","Boyada","Kalitede (Boya sonrası)","Yarı Mamülde","KM'de"}))))))</f>
        <v/>
      </c>
      <c r="AA589" s="24" t="str">
        <f t="shared" ca="1" si="155"/>
        <v/>
      </c>
      <c r="AB589" s="22"/>
      <c r="AD589" t="str">
        <f>IF(OR($B589="",NOT(ISNUMBER(G589))),"",IF(COUNTIF(H589:$T589,G589)&gt;0,0,IF(COUNTIF($G589:$T589,"&gt;"&amp;G589)=0,"",SMALL($G589:$T589,COUNTIF($G589:$T589,"&lt;="&amp;G589)+1)-G589)))</f>
        <v/>
      </c>
      <c r="AE589" t="str">
        <f>IF(OR($B589="",NOT(ISNUMBER(H589))),"",IF(COUNTIF(I589:$T589,H589)&gt;0,0,IF(COUNTIF($G589:$T589,"&gt;"&amp;H589)=0,"",SMALL($G589:$T589,COUNTIF($G589:$T589,"&lt;="&amp;H589)+1)-H589)))</f>
        <v/>
      </c>
      <c r="AF589" t="str">
        <f>IF(OR($B589="",NOT(ISNUMBER(I589))),"",IF(COUNTIF(J589:$T589,I589)&gt;0,0,IF(COUNTIF($G589:$T589,"&gt;"&amp;I589)=0,"",SMALL($G589:$T589,COUNTIF($G589:$T589,"&lt;="&amp;I589)+1)-I589)))</f>
        <v/>
      </c>
      <c r="AG589" t="str">
        <f>IF(OR($B589="",NOT(ISNUMBER(J589))),"",IF(COUNTIF(K589:$T589,J589)&gt;0,0,IF(COUNTIF($G589:$T589,"&gt;"&amp;J589)=0,"",SMALL($G589:$T589,COUNTIF($G589:$T589,"&lt;="&amp;J589)+1)-J589)))</f>
        <v/>
      </c>
      <c r="AH589" t="str">
        <f>IF(OR($B589="",NOT(ISNUMBER(K589))),"",IF(COUNTIF(L589:$T589,K589)&gt;0,0,IF(COUNTIF($G589:$T589,"&gt;"&amp;K589)=0,"",SMALL($G589:$T589,COUNTIF($G589:$T589,"&lt;="&amp;K589)+1)-K589)))</f>
        <v/>
      </c>
      <c r="AI589" t="str">
        <f>IF(OR($B589="",NOT(ISNUMBER(L589))),"",IF(COUNTIF(M589:$T589,L589)&gt;0,0,IF(COUNTIF($G589:$T589,"&gt;"&amp;L589)=0,"",SMALL($G589:$T589,COUNTIF($G589:$T589,"&lt;="&amp;L589)+1)-L589)))</f>
        <v/>
      </c>
      <c r="AJ589" t="str">
        <f>IF(OR($B589="",NOT(ISNUMBER(M589))),"",IF(COUNTIF(N589:$T589,M589)&gt;0,0,IF(COUNTIF($G589:$T589,"&gt;"&amp;M589)=0,"",SMALL($G589:$T589,COUNTIF($G589:$T589,"&lt;="&amp;M589)+1)-M589)))</f>
        <v/>
      </c>
      <c r="AK589" t="str">
        <f>IF(OR($B589="",NOT(ISNUMBER(N589))),"",IF(COUNTIF(O589:$T589,N589)&gt;0,0,IF(COUNTIF($G589:$T589,"&gt;"&amp;N589)=0,"",SMALL($G589:$T589,COUNTIF($G589:$T589,"&lt;="&amp;N589)+1)-N589)))</f>
        <v/>
      </c>
      <c r="AL589" t="str">
        <f>IF(OR($B589="",NOT(ISNUMBER(O589))),"",IF(COUNTIF(P589:$T589,O589)&gt;0,0,IF(COUNTIF($G589:$T589,"&gt;"&amp;O589)=0,"",SMALL($G589:$T589,COUNTIF($G589:$T589,"&lt;="&amp;O589)+1)-O589)))</f>
        <v/>
      </c>
      <c r="AM589" t="str">
        <f>IF(OR($B589="",NOT(ISNUMBER(P589))),"",IF(COUNTIF(Q589:$T589,P589)&gt;0,0,IF(COUNTIF($G589:$T589,"&gt;"&amp;P589)=0,"",SMALL($G589:$T589,COUNTIF($G589:$T589,"&lt;="&amp;P589)+1)-P589)))</f>
        <v/>
      </c>
      <c r="AN589" t="str">
        <f>IF(OR($B589="",NOT(ISNUMBER(Q589))),"",IF(COUNTIF(R589:$T589,Q589)&gt;0,0,IF(COUNTIF($G589:$T589,"&gt;"&amp;Q589)=0,"",SMALL($G589:$T589,COUNTIF($G589:$T589,"&lt;="&amp;Q589)+1)-Q589)))</f>
        <v/>
      </c>
      <c r="AO589" t="str">
        <f>IF(OR($B589="",NOT(ISNUMBER(R589))),"",IF(COUNTIF(S589:$T589,R589)&gt;0,0,IF(COUNTIF($G589:$T589,"&gt;"&amp;R589)=0,"",SMALL($G589:$T589,COUNTIF($G589:$T589,"&lt;="&amp;R589)+1)-R589)))</f>
        <v/>
      </c>
      <c r="AP589">
        <f t="shared" ca="1" si="156"/>
        <v>0</v>
      </c>
      <c r="AQ589" s="25" t="str">
        <f t="shared" si="157"/>
        <v/>
      </c>
      <c r="AR589" s="25" t="str">
        <f t="shared" si="158"/>
        <v/>
      </c>
      <c r="AS589" s="25" t="str">
        <f t="shared" si="159"/>
        <v/>
      </c>
      <c r="AT589" s="25" t="str">
        <f t="shared" si="160"/>
        <v/>
      </c>
      <c r="AU589" s="25" t="str">
        <f t="shared" si="161"/>
        <v/>
      </c>
      <c r="AV589" s="25" t="str">
        <f t="shared" si="162"/>
        <v/>
      </c>
      <c r="AW589" s="25" t="str">
        <f t="shared" si="163"/>
        <v/>
      </c>
      <c r="AX589" s="25" t="str">
        <f t="shared" si="164"/>
        <v/>
      </c>
      <c r="AY589" s="25" t="str">
        <f t="shared" si="165"/>
        <v/>
      </c>
      <c r="AZ589" s="25" t="str">
        <f t="shared" si="166"/>
        <v/>
      </c>
      <c r="BA589" s="25" t="str">
        <f t="shared" si="167"/>
        <v/>
      </c>
      <c r="BB589" s="25" t="str">
        <f t="shared" si="168"/>
        <v/>
      </c>
      <c r="BC589" s="25" t="str">
        <f t="shared" si="169"/>
        <v/>
      </c>
    </row>
    <row r="590" spans="1:55" x14ac:dyDescent="0.25">
      <c r="A590" s="19" t="str">
        <f t="shared" si="154"/>
        <v/>
      </c>
      <c r="B590" s="19"/>
      <c r="C590" s="20"/>
      <c r="D590" s="19" t="str">
        <f t="shared" si="153"/>
        <v/>
      </c>
      <c r="E590" s="19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19"/>
      <c r="U590" s="19"/>
      <c r="V590" s="20"/>
      <c r="W590" s="22"/>
      <c r="X590" s="21"/>
      <c r="Y590" s="21"/>
      <c r="Z590" s="23" t="str">
        <f>IF(B590="","",IF(S590&lt;&gt;"","Sevk Edildi",IF(AND(X590&lt;&gt;"",Y590=""),"Reworkte",IF(T590&lt;&gt;"","Kapandı"&amp;IF(COUNT(G590:R590)=0,""," – "&amp;LOOKUP(2,1/(G590:R590=MAX(G590:R590)),{"Tasarım","Ply Cutter","Üretim","Kalite (Üretim sonrası)","Talaşlı","Kalite (Talaşlı sonrası)","Montaj","Kalite (Montaj sonrası)","Boya","Kalite (Boya sonrası)","Yarı Mamül","KM"})),IF(COUNT(G590:R590)=0,"Başlamadı",LOOKUP(2,1/(G590:R590=MAX(G590:R590)),{"Tasarımda","Ply Cutter'da","Üretimde","Kalitede (Üretim sonrası)","Talaşlıda","Kalitede (Talaşlı sonrası)","Montajda","Kalitede (Montaj sonrası)","Boyada","Kalitede (Boya sonrası)","Yarı Mamülde","KM'de"}))))))</f>
        <v/>
      </c>
      <c r="AA590" s="24" t="str">
        <f t="shared" ca="1" si="155"/>
        <v/>
      </c>
      <c r="AB590" s="22"/>
      <c r="AD590" t="str">
        <f>IF(OR($B590="",NOT(ISNUMBER(G590))),"",IF(COUNTIF(H590:$T590,G590)&gt;0,0,IF(COUNTIF($G590:$T590,"&gt;"&amp;G590)=0,"",SMALL($G590:$T590,COUNTIF($G590:$T590,"&lt;="&amp;G590)+1)-G590)))</f>
        <v/>
      </c>
      <c r="AE590" t="str">
        <f>IF(OR($B590="",NOT(ISNUMBER(H590))),"",IF(COUNTIF(I590:$T590,H590)&gt;0,0,IF(COUNTIF($G590:$T590,"&gt;"&amp;H590)=0,"",SMALL($G590:$T590,COUNTIF($G590:$T590,"&lt;="&amp;H590)+1)-H590)))</f>
        <v/>
      </c>
      <c r="AF590" t="str">
        <f>IF(OR($B590="",NOT(ISNUMBER(I590))),"",IF(COUNTIF(J590:$T590,I590)&gt;0,0,IF(COUNTIF($G590:$T590,"&gt;"&amp;I590)=0,"",SMALL($G590:$T590,COUNTIF($G590:$T590,"&lt;="&amp;I590)+1)-I590)))</f>
        <v/>
      </c>
      <c r="AG590" t="str">
        <f>IF(OR($B590="",NOT(ISNUMBER(J590))),"",IF(COUNTIF(K590:$T590,J590)&gt;0,0,IF(COUNTIF($G590:$T590,"&gt;"&amp;J590)=0,"",SMALL($G590:$T590,COUNTIF($G590:$T590,"&lt;="&amp;J590)+1)-J590)))</f>
        <v/>
      </c>
      <c r="AH590" t="str">
        <f>IF(OR($B590="",NOT(ISNUMBER(K590))),"",IF(COUNTIF(L590:$T590,K590)&gt;0,0,IF(COUNTIF($G590:$T590,"&gt;"&amp;K590)=0,"",SMALL($G590:$T590,COUNTIF($G590:$T590,"&lt;="&amp;K590)+1)-K590)))</f>
        <v/>
      </c>
      <c r="AI590" t="str">
        <f>IF(OR($B590="",NOT(ISNUMBER(L590))),"",IF(COUNTIF(M590:$T590,L590)&gt;0,0,IF(COUNTIF($G590:$T590,"&gt;"&amp;L590)=0,"",SMALL($G590:$T590,COUNTIF($G590:$T590,"&lt;="&amp;L590)+1)-L590)))</f>
        <v/>
      </c>
      <c r="AJ590" t="str">
        <f>IF(OR($B590="",NOT(ISNUMBER(M590))),"",IF(COUNTIF(N590:$T590,M590)&gt;0,0,IF(COUNTIF($G590:$T590,"&gt;"&amp;M590)=0,"",SMALL($G590:$T590,COUNTIF($G590:$T590,"&lt;="&amp;M590)+1)-M590)))</f>
        <v/>
      </c>
      <c r="AK590" t="str">
        <f>IF(OR($B590="",NOT(ISNUMBER(N590))),"",IF(COUNTIF(O590:$T590,N590)&gt;0,0,IF(COUNTIF($G590:$T590,"&gt;"&amp;N590)=0,"",SMALL($G590:$T590,COUNTIF($G590:$T590,"&lt;="&amp;N590)+1)-N590)))</f>
        <v/>
      </c>
      <c r="AL590" t="str">
        <f>IF(OR($B590="",NOT(ISNUMBER(O590))),"",IF(COUNTIF(P590:$T590,O590)&gt;0,0,IF(COUNTIF($G590:$T590,"&gt;"&amp;O590)=0,"",SMALL($G590:$T590,COUNTIF($G590:$T590,"&lt;="&amp;O590)+1)-O590)))</f>
        <v/>
      </c>
      <c r="AM590" t="str">
        <f>IF(OR($B590="",NOT(ISNUMBER(P590))),"",IF(COUNTIF(Q590:$T590,P590)&gt;0,0,IF(COUNTIF($G590:$T590,"&gt;"&amp;P590)=0,"",SMALL($G590:$T590,COUNTIF($G590:$T590,"&lt;="&amp;P590)+1)-P590)))</f>
        <v/>
      </c>
      <c r="AN590" t="str">
        <f>IF(OR($B590="",NOT(ISNUMBER(Q590))),"",IF(COUNTIF(R590:$T590,Q590)&gt;0,0,IF(COUNTIF($G590:$T590,"&gt;"&amp;Q590)=0,"",SMALL($G590:$T590,COUNTIF($G590:$T590,"&lt;="&amp;Q590)+1)-Q590)))</f>
        <v/>
      </c>
      <c r="AO590" t="str">
        <f>IF(OR($B590="",NOT(ISNUMBER(R590))),"",IF(COUNTIF(S590:$T590,R590)&gt;0,0,IF(COUNTIF($G590:$T590,"&gt;"&amp;R590)=0,"",SMALL($G590:$T590,COUNTIF($G590:$T590,"&lt;="&amp;R590)+1)-R590)))</f>
        <v/>
      </c>
      <c r="AP590">
        <f t="shared" ca="1" si="156"/>
        <v>0</v>
      </c>
      <c r="AQ590" s="25" t="str">
        <f t="shared" si="157"/>
        <v/>
      </c>
      <c r="AR590" s="25" t="str">
        <f t="shared" si="158"/>
        <v/>
      </c>
      <c r="AS590" s="25" t="str">
        <f t="shared" si="159"/>
        <v/>
      </c>
      <c r="AT590" s="25" t="str">
        <f t="shared" si="160"/>
        <v/>
      </c>
      <c r="AU590" s="25" t="str">
        <f t="shared" si="161"/>
        <v/>
      </c>
      <c r="AV590" s="25" t="str">
        <f t="shared" si="162"/>
        <v/>
      </c>
      <c r="AW590" s="25" t="str">
        <f t="shared" si="163"/>
        <v/>
      </c>
      <c r="AX590" s="25" t="str">
        <f t="shared" si="164"/>
        <v/>
      </c>
      <c r="AY590" s="25" t="str">
        <f t="shared" si="165"/>
        <v/>
      </c>
      <c r="AZ590" s="25" t="str">
        <f t="shared" si="166"/>
        <v/>
      </c>
      <c r="BA590" s="25" t="str">
        <f t="shared" si="167"/>
        <v/>
      </c>
      <c r="BB590" s="25" t="str">
        <f t="shared" si="168"/>
        <v/>
      </c>
      <c r="BC590" s="25" t="str">
        <f t="shared" si="169"/>
        <v/>
      </c>
    </row>
    <row r="591" spans="1:55" x14ac:dyDescent="0.25">
      <c r="A591" s="19" t="str">
        <f t="shared" si="154"/>
        <v/>
      </c>
      <c r="B591" s="19"/>
      <c r="C591" s="20"/>
      <c r="D591" s="19" t="str">
        <f t="shared" si="153"/>
        <v/>
      </c>
      <c r="E591" s="19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19"/>
      <c r="U591" s="19"/>
      <c r="V591" s="20"/>
      <c r="W591" s="22"/>
      <c r="X591" s="21"/>
      <c r="Y591" s="21"/>
      <c r="Z591" s="23" t="str">
        <f>IF(B591="","",IF(S591&lt;&gt;"","Sevk Edildi",IF(AND(X591&lt;&gt;"",Y591=""),"Reworkte",IF(T591&lt;&gt;"","Kapandı"&amp;IF(COUNT(G591:R591)=0,""," – "&amp;LOOKUP(2,1/(G591:R591=MAX(G591:R591)),{"Tasarım","Ply Cutter","Üretim","Kalite (Üretim sonrası)","Talaşlı","Kalite (Talaşlı sonrası)","Montaj","Kalite (Montaj sonrası)","Boya","Kalite (Boya sonrası)","Yarı Mamül","KM"})),IF(COUNT(G591:R591)=0,"Başlamadı",LOOKUP(2,1/(G591:R591=MAX(G591:R591)),{"Tasarımda","Ply Cutter'da","Üretimde","Kalitede (Üretim sonrası)","Talaşlıda","Kalitede (Talaşlı sonrası)","Montajda","Kalitede (Montaj sonrası)","Boyada","Kalitede (Boya sonrası)","Yarı Mamülde","KM'de"}))))))</f>
        <v/>
      </c>
      <c r="AA591" s="24" t="str">
        <f t="shared" ca="1" si="155"/>
        <v/>
      </c>
      <c r="AB591" s="22"/>
      <c r="AD591" t="str">
        <f>IF(OR($B591="",NOT(ISNUMBER(G591))),"",IF(COUNTIF(H591:$T591,G591)&gt;0,0,IF(COUNTIF($G591:$T591,"&gt;"&amp;G591)=0,"",SMALL($G591:$T591,COUNTIF($G591:$T591,"&lt;="&amp;G591)+1)-G591)))</f>
        <v/>
      </c>
      <c r="AE591" t="str">
        <f>IF(OR($B591="",NOT(ISNUMBER(H591))),"",IF(COUNTIF(I591:$T591,H591)&gt;0,0,IF(COUNTIF($G591:$T591,"&gt;"&amp;H591)=0,"",SMALL($G591:$T591,COUNTIF($G591:$T591,"&lt;="&amp;H591)+1)-H591)))</f>
        <v/>
      </c>
      <c r="AF591" t="str">
        <f>IF(OR($B591="",NOT(ISNUMBER(I591))),"",IF(COUNTIF(J591:$T591,I591)&gt;0,0,IF(COUNTIF($G591:$T591,"&gt;"&amp;I591)=0,"",SMALL($G591:$T591,COUNTIF($G591:$T591,"&lt;="&amp;I591)+1)-I591)))</f>
        <v/>
      </c>
      <c r="AG591" t="str">
        <f>IF(OR($B591="",NOT(ISNUMBER(J591))),"",IF(COUNTIF(K591:$T591,J591)&gt;0,0,IF(COUNTIF($G591:$T591,"&gt;"&amp;J591)=0,"",SMALL($G591:$T591,COUNTIF($G591:$T591,"&lt;="&amp;J591)+1)-J591)))</f>
        <v/>
      </c>
      <c r="AH591" t="str">
        <f>IF(OR($B591="",NOT(ISNUMBER(K591))),"",IF(COUNTIF(L591:$T591,K591)&gt;0,0,IF(COUNTIF($G591:$T591,"&gt;"&amp;K591)=0,"",SMALL($G591:$T591,COUNTIF($G591:$T591,"&lt;="&amp;K591)+1)-K591)))</f>
        <v/>
      </c>
      <c r="AI591" t="str">
        <f>IF(OR($B591="",NOT(ISNUMBER(L591))),"",IF(COUNTIF(M591:$T591,L591)&gt;0,0,IF(COUNTIF($G591:$T591,"&gt;"&amp;L591)=0,"",SMALL($G591:$T591,COUNTIF($G591:$T591,"&lt;="&amp;L591)+1)-L591)))</f>
        <v/>
      </c>
      <c r="AJ591" t="str">
        <f>IF(OR($B591="",NOT(ISNUMBER(M591))),"",IF(COUNTIF(N591:$T591,M591)&gt;0,0,IF(COUNTIF($G591:$T591,"&gt;"&amp;M591)=0,"",SMALL($G591:$T591,COUNTIF($G591:$T591,"&lt;="&amp;M591)+1)-M591)))</f>
        <v/>
      </c>
      <c r="AK591" t="str">
        <f>IF(OR($B591="",NOT(ISNUMBER(N591))),"",IF(COUNTIF(O591:$T591,N591)&gt;0,0,IF(COUNTIF($G591:$T591,"&gt;"&amp;N591)=0,"",SMALL($G591:$T591,COUNTIF($G591:$T591,"&lt;="&amp;N591)+1)-N591)))</f>
        <v/>
      </c>
      <c r="AL591" t="str">
        <f>IF(OR($B591="",NOT(ISNUMBER(O591))),"",IF(COUNTIF(P591:$T591,O591)&gt;0,0,IF(COUNTIF($G591:$T591,"&gt;"&amp;O591)=0,"",SMALL($G591:$T591,COUNTIF($G591:$T591,"&lt;="&amp;O591)+1)-O591)))</f>
        <v/>
      </c>
      <c r="AM591" t="str">
        <f>IF(OR($B591="",NOT(ISNUMBER(P591))),"",IF(COUNTIF(Q591:$T591,P591)&gt;0,0,IF(COUNTIF($G591:$T591,"&gt;"&amp;P591)=0,"",SMALL($G591:$T591,COUNTIF($G591:$T591,"&lt;="&amp;P591)+1)-P591)))</f>
        <v/>
      </c>
      <c r="AN591" t="str">
        <f>IF(OR($B591="",NOT(ISNUMBER(Q591))),"",IF(COUNTIF(R591:$T591,Q591)&gt;0,0,IF(COUNTIF($G591:$T591,"&gt;"&amp;Q591)=0,"",SMALL($G591:$T591,COUNTIF($G591:$T591,"&lt;="&amp;Q591)+1)-Q591)))</f>
        <v/>
      </c>
      <c r="AO591" t="str">
        <f>IF(OR($B591="",NOT(ISNUMBER(R591))),"",IF(COUNTIF(S591:$T591,R591)&gt;0,0,IF(COUNTIF($G591:$T591,"&gt;"&amp;R591)=0,"",SMALL($G591:$T591,COUNTIF($G591:$T591,"&lt;="&amp;R591)+1)-R591)))</f>
        <v/>
      </c>
      <c r="AP591">
        <f t="shared" ca="1" si="156"/>
        <v>0</v>
      </c>
      <c r="AQ591" s="25" t="str">
        <f t="shared" si="157"/>
        <v/>
      </c>
      <c r="AR591" s="25" t="str">
        <f t="shared" si="158"/>
        <v/>
      </c>
      <c r="AS591" s="25" t="str">
        <f t="shared" si="159"/>
        <v/>
      </c>
      <c r="AT591" s="25" t="str">
        <f t="shared" si="160"/>
        <v/>
      </c>
      <c r="AU591" s="25" t="str">
        <f t="shared" si="161"/>
        <v/>
      </c>
      <c r="AV591" s="25" t="str">
        <f t="shared" si="162"/>
        <v/>
      </c>
      <c r="AW591" s="25" t="str">
        <f t="shared" si="163"/>
        <v/>
      </c>
      <c r="AX591" s="25" t="str">
        <f t="shared" si="164"/>
        <v/>
      </c>
      <c r="AY591" s="25" t="str">
        <f t="shared" si="165"/>
        <v/>
      </c>
      <c r="AZ591" s="25" t="str">
        <f t="shared" si="166"/>
        <v/>
      </c>
      <c r="BA591" s="25" t="str">
        <f t="shared" si="167"/>
        <v/>
      </c>
      <c r="BB591" s="25" t="str">
        <f t="shared" si="168"/>
        <v/>
      </c>
      <c r="BC591" s="25" t="str">
        <f t="shared" si="169"/>
        <v/>
      </c>
    </row>
    <row r="592" spans="1:55" x14ac:dyDescent="0.25">
      <c r="A592" s="19" t="str">
        <f t="shared" si="154"/>
        <v/>
      </c>
      <c r="B592" s="19"/>
      <c r="C592" s="20"/>
      <c r="D592" s="19" t="str">
        <f t="shared" si="153"/>
        <v/>
      </c>
      <c r="E592" s="19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19"/>
      <c r="U592" s="19"/>
      <c r="V592" s="20"/>
      <c r="W592" s="22"/>
      <c r="X592" s="21"/>
      <c r="Y592" s="21"/>
      <c r="Z592" s="23" t="str">
        <f>IF(B592="","",IF(S592&lt;&gt;"","Sevk Edildi",IF(AND(X592&lt;&gt;"",Y592=""),"Reworkte",IF(T592&lt;&gt;"","Kapandı"&amp;IF(COUNT(G592:R592)=0,""," – "&amp;LOOKUP(2,1/(G592:R592=MAX(G592:R592)),{"Tasarım","Ply Cutter","Üretim","Kalite (Üretim sonrası)","Talaşlı","Kalite (Talaşlı sonrası)","Montaj","Kalite (Montaj sonrası)","Boya","Kalite (Boya sonrası)","Yarı Mamül","KM"})),IF(COUNT(G592:R592)=0,"Başlamadı",LOOKUP(2,1/(G592:R592=MAX(G592:R592)),{"Tasarımda","Ply Cutter'da","Üretimde","Kalitede (Üretim sonrası)","Talaşlıda","Kalitede (Talaşlı sonrası)","Montajda","Kalitede (Montaj sonrası)","Boyada","Kalitede (Boya sonrası)","Yarı Mamülde","KM'de"}))))))</f>
        <v/>
      </c>
      <c r="AA592" s="24" t="str">
        <f t="shared" ca="1" si="155"/>
        <v/>
      </c>
      <c r="AB592" s="22"/>
      <c r="AD592" t="str">
        <f>IF(OR($B592="",NOT(ISNUMBER(G592))),"",IF(COUNTIF(H592:$T592,G592)&gt;0,0,IF(COUNTIF($G592:$T592,"&gt;"&amp;G592)=0,"",SMALL($G592:$T592,COUNTIF($G592:$T592,"&lt;="&amp;G592)+1)-G592)))</f>
        <v/>
      </c>
      <c r="AE592" t="str">
        <f>IF(OR($B592="",NOT(ISNUMBER(H592))),"",IF(COUNTIF(I592:$T592,H592)&gt;0,0,IF(COUNTIF($G592:$T592,"&gt;"&amp;H592)=0,"",SMALL($G592:$T592,COUNTIF($G592:$T592,"&lt;="&amp;H592)+1)-H592)))</f>
        <v/>
      </c>
      <c r="AF592" t="str">
        <f>IF(OR($B592="",NOT(ISNUMBER(I592))),"",IF(COUNTIF(J592:$T592,I592)&gt;0,0,IF(COUNTIF($G592:$T592,"&gt;"&amp;I592)=0,"",SMALL($G592:$T592,COUNTIF($G592:$T592,"&lt;="&amp;I592)+1)-I592)))</f>
        <v/>
      </c>
      <c r="AG592" t="str">
        <f>IF(OR($B592="",NOT(ISNUMBER(J592))),"",IF(COUNTIF(K592:$T592,J592)&gt;0,0,IF(COUNTIF($G592:$T592,"&gt;"&amp;J592)=0,"",SMALL($G592:$T592,COUNTIF($G592:$T592,"&lt;="&amp;J592)+1)-J592)))</f>
        <v/>
      </c>
      <c r="AH592" t="str">
        <f>IF(OR($B592="",NOT(ISNUMBER(K592))),"",IF(COUNTIF(L592:$T592,K592)&gt;0,0,IF(COUNTIF($G592:$T592,"&gt;"&amp;K592)=0,"",SMALL($G592:$T592,COUNTIF($G592:$T592,"&lt;="&amp;K592)+1)-K592)))</f>
        <v/>
      </c>
      <c r="AI592" t="str">
        <f>IF(OR($B592="",NOT(ISNUMBER(L592))),"",IF(COUNTIF(M592:$T592,L592)&gt;0,0,IF(COUNTIF($G592:$T592,"&gt;"&amp;L592)=0,"",SMALL($G592:$T592,COUNTIF($G592:$T592,"&lt;="&amp;L592)+1)-L592)))</f>
        <v/>
      </c>
      <c r="AJ592" t="str">
        <f>IF(OR($B592="",NOT(ISNUMBER(M592))),"",IF(COUNTIF(N592:$T592,M592)&gt;0,0,IF(COUNTIF($G592:$T592,"&gt;"&amp;M592)=0,"",SMALL($G592:$T592,COUNTIF($G592:$T592,"&lt;="&amp;M592)+1)-M592)))</f>
        <v/>
      </c>
      <c r="AK592" t="str">
        <f>IF(OR($B592="",NOT(ISNUMBER(N592))),"",IF(COUNTIF(O592:$T592,N592)&gt;0,0,IF(COUNTIF($G592:$T592,"&gt;"&amp;N592)=0,"",SMALL($G592:$T592,COUNTIF($G592:$T592,"&lt;="&amp;N592)+1)-N592)))</f>
        <v/>
      </c>
      <c r="AL592" t="str">
        <f>IF(OR($B592="",NOT(ISNUMBER(O592))),"",IF(COUNTIF(P592:$T592,O592)&gt;0,0,IF(COUNTIF($G592:$T592,"&gt;"&amp;O592)=0,"",SMALL($G592:$T592,COUNTIF($G592:$T592,"&lt;="&amp;O592)+1)-O592)))</f>
        <v/>
      </c>
      <c r="AM592" t="str">
        <f>IF(OR($B592="",NOT(ISNUMBER(P592))),"",IF(COUNTIF(Q592:$T592,P592)&gt;0,0,IF(COUNTIF($G592:$T592,"&gt;"&amp;P592)=0,"",SMALL($G592:$T592,COUNTIF($G592:$T592,"&lt;="&amp;P592)+1)-P592)))</f>
        <v/>
      </c>
      <c r="AN592" t="str">
        <f>IF(OR($B592="",NOT(ISNUMBER(Q592))),"",IF(COUNTIF(R592:$T592,Q592)&gt;0,0,IF(COUNTIF($G592:$T592,"&gt;"&amp;Q592)=0,"",SMALL($G592:$T592,COUNTIF($G592:$T592,"&lt;="&amp;Q592)+1)-Q592)))</f>
        <v/>
      </c>
      <c r="AO592" t="str">
        <f>IF(OR($B592="",NOT(ISNUMBER(R592))),"",IF(COUNTIF(S592:$T592,R592)&gt;0,0,IF(COUNTIF($G592:$T592,"&gt;"&amp;R592)=0,"",SMALL($G592:$T592,COUNTIF($G592:$T592,"&lt;="&amp;R592)+1)-R592)))</f>
        <v/>
      </c>
      <c r="AP592">
        <f t="shared" ca="1" si="156"/>
        <v>0</v>
      </c>
      <c r="AQ592" s="25" t="str">
        <f t="shared" si="157"/>
        <v/>
      </c>
      <c r="AR592" s="25" t="str">
        <f t="shared" si="158"/>
        <v/>
      </c>
      <c r="AS592" s="25" t="str">
        <f t="shared" si="159"/>
        <v/>
      </c>
      <c r="AT592" s="25" t="str">
        <f t="shared" si="160"/>
        <v/>
      </c>
      <c r="AU592" s="25" t="str">
        <f t="shared" si="161"/>
        <v/>
      </c>
      <c r="AV592" s="25" t="str">
        <f t="shared" si="162"/>
        <v/>
      </c>
      <c r="AW592" s="25" t="str">
        <f t="shared" si="163"/>
        <v/>
      </c>
      <c r="AX592" s="25" t="str">
        <f t="shared" si="164"/>
        <v/>
      </c>
      <c r="AY592" s="25" t="str">
        <f t="shared" si="165"/>
        <v/>
      </c>
      <c r="AZ592" s="25" t="str">
        <f t="shared" si="166"/>
        <v/>
      </c>
      <c r="BA592" s="25" t="str">
        <f t="shared" si="167"/>
        <v/>
      </c>
      <c r="BB592" s="25" t="str">
        <f t="shared" si="168"/>
        <v/>
      </c>
      <c r="BC592" s="25" t="str">
        <f t="shared" si="169"/>
        <v/>
      </c>
    </row>
    <row r="593" spans="1:55" x14ac:dyDescent="0.25">
      <c r="A593" s="19" t="str">
        <f t="shared" si="154"/>
        <v/>
      </c>
      <c r="B593" s="19"/>
      <c r="C593" s="20"/>
      <c r="D593" s="19" t="str">
        <f t="shared" si="153"/>
        <v/>
      </c>
      <c r="E593" s="19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19"/>
      <c r="U593" s="19"/>
      <c r="V593" s="20"/>
      <c r="W593" s="22"/>
      <c r="X593" s="21"/>
      <c r="Y593" s="21"/>
      <c r="Z593" s="23" t="str">
        <f>IF(B593="","",IF(S593&lt;&gt;"","Sevk Edildi",IF(AND(X593&lt;&gt;"",Y593=""),"Reworkte",IF(T593&lt;&gt;"","Kapandı"&amp;IF(COUNT(G593:R593)=0,""," – "&amp;LOOKUP(2,1/(G593:R593=MAX(G593:R593)),{"Tasarım","Ply Cutter","Üretim","Kalite (Üretim sonrası)","Talaşlı","Kalite (Talaşlı sonrası)","Montaj","Kalite (Montaj sonrası)","Boya","Kalite (Boya sonrası)","Yarı Mamül","KM"})),IF(COUNT(G593:R593)=0,"Başlamadı",LOOKUP(2,1/(G593:R593=MAX(G593:R593)),{"Tasarımda","Ply Cutter'da","Üretimde","Kalitede (Üretim sonrası)","Talaşlıda","Kalitede (Talaşlı sonrası)","Montajda","Kalitede (Montaj sonrası)","Boyada","Kalitede (Boya sonrası)","Yarı Mamülde","KM'de"}))))))</f>
        <v/>
      </c>
      <c r="AA593" s="24" t="str">
        <f t="shared" ca="1" si="155"/>
        <v/>
      </c>
      <c r="AB593" s="22"/>
      <c r="AD593" t="str">
        <f>IF(OR($B593="",NOT(ISNUMBER(G593))),"",IF(COUNTIF(H593:$T593,G593)&gt;0,0,IF(COUNTIF($G593:$T593,"&gt;"&amp;G593)=0,"",SMALL($G593:$T593,COUNTIF($G593:$T593,"&lt;="&amp;G593)+1)-G593)))</f>
        <v/>
      </c>
      <c r="AE593" t="str">
        <f>IF(OR($B593="",NOT(ISNUMBER(H593))),"",IF(COUNTIF(I593:$T593,H593)&gt;0,0,IF(COUNTIF($G593:$T593,"&gt;"&amp;H593)=0,"",SMALL($G593:$T593,COUNTIF($G593:$T593,"&lt;="&amp;H593)+1)-H593)))</f>
        <v/>
      </c>
      <c r="AF593" t="str">
        <f>IF(OR($B593="",NOT(ISNUMBER(I593))),"",IF(COUNTIF(J593:$T593,I593)&gt;0,0,IF(COUNTIF($G593:$T593,"&gt;"&amp;I593)=0,"",SMALL($G593:$T593,COUNTIF($G593:$T593,"&lt;="&amp;I593)+1)-I593)))</f>
        <v/>
      </c>
      <c r="AG593" t="str">
        <f>IF(OR($B593="",NOT(ISNUMBER(J593))),"",IF(COUNTIF(K593:$T593,J593)&gt;0,0,IF(COUNTIF($G593:$T593,"&gt;"&amp;J593)=0,"",SMALL($G593:$T593,COUNTIF($G593:$T593,"&lt;="&amp;J593)+1)-J593)))</f>
        <v/>
      </c>
      <c r="AH593" t="str">
        <f>IF(OR($B593="",NOT(ISNUMBER(K593))),"",IF(COUNTIF(L593:$T593,K593)&gt;0,0,IF(COUNTIF($G593:$T593,"&gt;"&amp;K593)=0,"",SMALL($G593:$T593,COUNTIF($G593:$T593,"&lt;="&amp;K593)+1)-K593)))</f>
        <v/>
      </c>
      <c r="AI593" t="str">
        <f>IF(OR($B593="",NOT(ISNUMBER(L593))),"",IF(COUNTIF(M593:$T593,L593)&gt;0,0,IF(COUNTIF($G593:$T593,"&gt;"&amp;L593)=0,"",SMALL($G593:$T593,COUNTIF($G593:$T593,"&lt;="&amp;L593)+1)-L593)))</f>
        <v/>
      </c>
      <c r="AJ593" t="str">
        <f>IF(OR($B593="",NOT(ISNUMBER(M593))),"",IF(COUNTIF(N593:$T593,M593)&gt;0,0,IF(COUNTIF($G593:$T593,"&gt;"&amp;M593)=0,"",SMALL($G593:$T593,COUNTIF($G593:$T593,"&lt;="&amp;M593)+1)-M593)))</f>
        <v/>
      </c>
      <c r="AK593" t="str">
        <f>IF(OR($B593="",NOT(ISNUMBER(N593))),"",IF(COUNTIF(O593:$T593,N593)&gt;0,0,IF(COUNTIF($G593:$T593,"&gt;"&amp;N593)=0,"",SMALL($G593:$T593,COUNTIF($G593:$T593,"&lt;="&amp;N593)+1)-N593)))</f>
        <v/>
      </c>
      <c r="AL593" t="str">
        <f>IF(OR($B593="",NOT(ISNUMBER(O593))),"",IF(COUNTIF(P593:$T593,O593)&gt;0,0,IF(COUNTIF($G593:$T593,"&gt;"&amp;O593)=0,"",SMALL($G593:$T593,COUNTIF($G593:$T593,"&lt;="&amp;O593)+1)-O593)))</f>
        <v/>
      </c>
      <c r="AM593" t="str">
        <f>IF(OR($B593="",NOT(ISNUMBER(P593))),"",IF(COUNTIF(Q593:$T593,P593)&gt;0,0,IF(COUNTIF($G593:$T593,"&gt;"&amp;P593)=0,"",SMALL($G593:$T593,COUNTIF($G593:$T593,"&lt;="&amp;P593)+1)-P593)))</f>
        <v/>
      </c>
      <c r="AN593" t="str">
        <f>IF(OR($B593="",NOT(ISNUMBER(Q593))),"",IF(COUNTIF(R593:$T593,Q593)&gt;0,0,IF(COUNTIF($G593:$T593,"&gt;"&amp;Q593)=0,"",SMALL($G593:$T593,COUNTIF($G593:$T593,"&lt;="&amp;Q593)+1)-Q593)))</f>
        <v/>
      </c>
      <c r="AO593" t="str">
        <f>IF(OR($B593="",NOT(ISNUMBER(R593))),"",IF(COUNTIF(S593:$T593,R593)&gt;0,0,IF(COUNTIF($G593:$T593,"&gt;"&amp;R593)=0,"",SMALL($G593:$T593,COUNTIF($G593:$T593,"&lt;="&amp;R593)+1)-R593)))</f>
        <v/>
      </c>
      <c r="AP593">
        <f t="shared" ca="1" si="156"/>
        <v>0</v>
      </c>
      <c r="AQ593" s="25" t="str">
        <f t="shared" si="157"/>
        <v/>
      </c>
      <c r="AR593" s="25" t="str">
        <f t="shared" si="158"/>
        <v/>
      </c>
      <c r="AS593" s="25" t="str">
        <f t="shared" si="159"/>
        <v/>
      </c>
      <c r="AT593" s="25" t="str">
        <f t="shared" si="160"/>
        <v/>
      </c>
      <c r="AU593" s="25" t="str">
        <f t="shared" si="161"/>
        <v/>
      </c>
      <c r="AV593" s="25" t="str">
        <f t="shared" si="162"/>
        <v/>
      </c>
      <c r="AW593" s="25" t="str">
        <f t="shared" si="163"/>
        <v/>
      </c>
      <c r="AX593" s="25" t="str">
        <f t="shared" si="164"/>
        <v/>
      </c>
      <c r="AY593" s="25" t="str">
        <f t="shared" si="165"/>
        <v/>
      </c>
      <c r="AZ593" s="25" t="str">
        <f t="shared" si="166"/>
        <v/>
      </c>
      <c r="BA593" s="25" t="str">
        <f t="shared" si="167"/>
        <v/>
      </c>
      <c r="BB593" s="25" t="str">
        <f t="shared" si="168"/>
        <v/>
      </c>
      <c r="BC593" s="25" t="str">
        <f t="shared" si="169"/>
        <v/>
      </c>
    </row>
    <row r="594" spans="1:55" x14ac:dyDescent="0.25">
      <c r="A594" s="19" t="str">
        <f t="shared" si="154"/>
        <v/>
      </c>
      <c r="B594" s="19"/>
      <c r="C594" s="20"/>
      <c r="D594" s="19" t="str">
        <f t="shared" si="153"/>
        <v/>
      </c>
      <c r="E594" s="19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19"/>
      <c r="U594" s="19"/>
      <c r="V594" s="20"/>
      <c r="W594" s="22"/>
      <c r="X594" s="21"/>
      <c r="Y594" s="21"/>
      <c r="Z594" s="23" t="str">
        <f>IF(B594="","",IF(S594&lt;&gt;"","Sevk Edildi",IF(AND(X594&lt;&gt;"",Y594=""),"Reworkte",IF(T594&lt;&gt;"","Kapandı"&amp;IF(COUNT(G594:R594)=0,""," – "&amp;LOOKUP(2,1/(G594:R594=MAX(G594:R594)),{"Tasarım","Ply Cutter","Üretim","Kalite (Üretim sonrası)","Talaşlı","Kalite (Talaşlı sonrası)","Montaj","Kalite (Montaj sonrası)","Boya","Kalite (Boya sonrası)","Yarı Mamül","KM"})),IF(COUNT(G594:R594)=0,"Başlamadı",LOOKUP(2,1/(G594:R594=MAX(G594:R594)),{"Tasarımda","Ply Cutter'da","Üretimde","Kalitede (Üretim sonrası)","Talaşlıda","Kalitede (Talaşlı sonrası)","Montajda","Kalitede (Montaj sonrası)","Boyada","Kalitede (Boya sonrası)","Yarı Mamülde","KM'de"}))))))</f>
        <v/>
      </c>
      <c r="AA594" s="24" t="str">
        <f t="shared" ca="1" si="155"/>
        <v/>
      </c>
      <c r="AB594" s="22"/>
      <c r="AD594" t="str">
        <f>IF(OR($B594="",NOT(ISNUMBER(G594))),"",IF(COUNTIF(H594:$T594,G594)&gt;0,0,IF(COUNTIF($G594:$T594,"&gt;"&amp;G594)=0,"",SMALL($G594:$T594,COUNTIF($G594:$T594,"&lt;="&amp;G594)+1)-G594)))</f>
        <v/>
      </c>
      <c r="AE594" t="str">
        <f>IF(OR($B594="",NOT(ISNUMBER(H594))),"",IF(COUNTIF(I594:$T594,H594)&gt;0,0,IF(COUNTIF($G594:$T594,"&gt;"&amp;H594)=0,"",SMALL($G594:$T594,COUNTIF($G594:$T594,"&lt;="&amp;H594)+1)-H594)))</f>
        <v/>
      </c>
      <c r="AF594" t="str">
        <f>IF(OR($B594="",NOT(ISNUMBER(I594))),"",IF(COUNTIF(J594:$T594,I594)&gt;0,0,IF(COUNTIF($G594:$T594,"&gt;"&amp;I594)=0,"",SMALL($G594:$T594,COUNTIF($G594:$T594,"&lt;="&amp;I594)+1)-I594)))</f>
        <v/>
      </c>
      <c r="AG594" t="str">
        <f>IF(OR($B594="",NOT(ISNUMBER(J594))),"",IF(COUNTIF(K594:$T594,J594)&gt;0,0,IF(COUNTIF($G594:$T594,"&gt;"&amp;J594)=0,"",SMALL($G594:$T594,COUNTIF($G594:$T594,"&lt;="&amp;J594)+1)-J594)))</f>
        <v/>
      </c>
      <c r="AH594" t="str">
        <f>IF(OR($B594="",NOT(ISNUMBER(K594))),"",IF(COUNTIF(L594:$T594,K594)&gt;0,0,IF(COUNTIF($G594:$T594,"&gt;"&amp;K594)=0,"",SMALL($G594:$T594,COUNTIF($G594:$T594,"&lt;="&amp;K594)+1)-K594)))</f>
        <v/>
      </c>
      <c r="AI594" t="str">
        <f>IF(OR($B594="",NOT(ISNUMBER(L594))),"",IF(COUNTIF(M594:$T594,L594)&gt;0,0,IF(COUNTIF($G594:$T594,"&gt;"&amp;L594)=0,"",SMALL($G594:$T594,COUNTIF($G594:$T594,"&lt;="&amp;L594)+1)-L594)))</f>
        <v/>
      </c>
      <c r="AJ594" t="str">
        <f>IF(OR($B594="",NOT(ISNUMBER(M594))),"",IF(COUNTIF(N594:$T594,M594)&gt;0,0,IF(COUNTIF($G594:$T594,"&gt;"&amp;M594)=0,"",SMALL($G594:$T594,COUNTIF($G594:$T594,"&lt;="&amp;M594)+1)-M594)))</f>
        <v/>
      </c>
      <c r="AK594" t="str">
        <f>IF(OR($B594="",NOT(ISNUMBER(N594))),"",IF(COUNTIF(O594:$T594,N594)&gt;0,0,IF(COUNTIF($G594:$T594,"&gt;"&amp;N594)=0,"",SMALL($G594:$T594,COUNTIF($G594:$T594,"&lt;="&amp;N594)+1)-N594)))</f>
        <v/>
      </c>
      <c r="AL594" t="str">
        <f>IF(OR($B594="",NOT(ISNUMBER(O594))),"",IF(COUNTIF(P594:$T594,O594)&gt;0,0,IF(COUNTIF($G594:$T594,"&gt;"&amp;O594)=0,"",SMALL($G594:$T594,COUNTIF($G594:$T594,"&lt;="&amp;O594)+1)-O594)))</f>
        <v/>
      </c>
      <c r="AM594" t="str">
        <f>IF(OR($B594="",NOT(ISNUMBER(P594))),"",IF(COUNTIF(Q594:$T594,P594)&gt;0,0,IF(COUNTIF($G594:$T594,"&gt;"&amp;P594)=0,"",SMALL($G594:$T594,COUNTIF($G594:$T594,"&lt;="&amp;P594)+1)-P594)))</f>
        <v/>
      </c>
      <c r="AN594" t="str">
        <f>IF(OR($B594="",NOT(ISNUMBER(Q594))),"",IF(COUNTIF(R594:$T594,Q594)&gt;0,0,IF(COUNTIF($G594:$T594,"&gt;"&amp;Q594)=0,"",SMALL($G594:$T594,COUNTIF($G594:$T594,"&lt;="&amp;Q594)+1)-Q594)))</f>
        <v/>
      </c>
      <c r="AO594" t="str">
        <f>IF(OR($B594="",NOT(ISNUMBER(R594))),"",IF(COUNTIF(S594:$T594,R594)&gt;0,0,IF(COUNTIF($G594:$T594,"&gt;"&amp;R594)=0,"",SMALL($G594:$T594,COUNTIF($G594:$T594,"&lt;="&amp;R594)+1)-R594)))</f>
        <v/>
      </c>
      <c r="AP594">
        <f t="shared" ca="1" si="156"/>
        <v>0</v>
      </c>
      <c r="AQ594" s="25" t="str">
        <f t="shared" si="157"/>
        <v/>
      </c>
      <c r="AR594" s="25" t="str">
        <f t="shared" si="158"/>
        <v/>
      </c>
      <c r="AS594" s="25" t="str">
        <f t="shared" si="159"/>
        <v/>
      </c>
      <c r="AT594" s="25" t="str">
        <f t="shared" si="160"/>
        <v/>
      </c>
      <c r="AU594" s="25" t="str">
        <f t="shared" si="161"/>
        <v/>
      </c>
      <c r="AV594" s="25" t="str">
        <f t="shared" si="162"/>
        <v/>
      </c>
      <c r="AW594" s="25" t="str">
        <f t="shared" si="163"/>
        <v/>
      </c>
      <c r="AX594" s="25" t="str">
        <f t="shared" si="164"/>
        <v/>
      </c>
      <c r="AY594" s="25" t="str">
        <f t="shared" si="165"/>
        <v/>
      </c>
      <c r="AZ594" s="25" t="str">
        <f t="shared" si="166"/>
        <v/>
      </c>
      <c r="BA594" s="25" t="str">
        <f t="shared" si="167"/>
        <v/>
      </c>
      <c r="BB594" s="25" t="str">
        <f t="shared" si="168"/>
        <v/>
      </c>
      <c r="BC594" s="25" t="str">
        <f t="shared" si="169"/>
        <v/>
      </c>
    </row>
    <row r="595" spans="1:55" x14ac:dyDescent="0.25">
      <c r="A595" s="19" t="str">
        <f t="shared" si="154"/>
        <v/>
      </c>
      <c r="B595" s="19"/>
      <c r="C595" s="20"/>
      <c r="D595" s="19" t="str">
        <f t="shared" si="153"/>
        <v/>
      </c>
      <c r="E595" s="19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19"/>
      <c r="U595" s="19"/>
      <c r="V595" s="20"/>
      <c r="W595" s="22"/>
      <c r="X595" s="21"/>
      <c r="Y595" s="21"/>
      <c r="Z595" s="23" t="str">
        <f>IF(B595="","",IF(S595&lt;&gt;"","Sevk Edildi",IF(AND(X595&lt;&gt;"",Y595=""),"Reworkte",IF(T595&lt;&gt;"","Kapandı"&amp;IF(COUNT(G595:R595)=0,""," – "&amp;LOOKUP(2,1/(G595:R595=MAX(G595:R595)),{"Tasarım","Ply Cutter","Üretim","Kalite (Üretim sonrası)","Talaşlı","Kalite (Talaşlı sonrası)","Montaj","Kalite (Montaj sonrası)","Boya","Kalite (Boya sonrası)","Yarı Mamül","KM"})),IF(COUNT(G595:R595)=0,"Başlamadı",LOOKUP(2,1/(G595:R595=MAX(G595:R595)),{"Tasarımda","Ply Cutter'da","Üretimde","Kalitede (Üretim sonrası)","Talaşlıda","Kalitede (Talaşlı sonrası)","Montajda","Kalitede (Montaj sonrası)","Boyada","Kalitede (Boya sonrası)","Yarı Mamülde","KM'de"}))))))</f>
        <v/>
      </c>
      <c r="AA595" s="24" t="str">
        <f t="shared" ca="1" si="155"/>
        <v/>
      </c>
      <c r="AB595" s="22"/>
      <c r="AD595" t="str">
        <f>IF(OR($B595="",NOT(ISNUMBER(G595))),"",IF(COUNTIF(H595:$T595,G595)&gt;0,0,IF(COUNTIF($G595:$T595,"&gt;"&amp;G595)=0,"",SMALL($G595:$T595,COUNTIF($G595:$T595,"&lt;="&amp;G595)+1)-G595)))</f>
        <v/>
      </c>
      <c r="AE595" t="str">
        <f>IF(OR($B595="",NOT(ISNUMBER(H595))),"",IF(COUNTIF(I595:$T595,H595)&gt;0,0,IF(COUNTIF($G595:$T595,"&gt;"&amp;H595)=0,"",SMALL($G595:$T595,COUNTIF($G595:$T595,"&lt;="&amp;H595)+1)-H595)))</f>
        <v/>
      </c>
      <c r="AF595" t="str">
        <f>IF(OR($B595="",NOT(ISNUMBER(I595))),"",IF(COUNTIF(J595:$T595,I595)&gt;0,0,IF(COUNTIF($G595:$T595,"&gt;"&amp;I595)=0,"",SMALL($G595:$T595,COUNTIF($G595:$T595,"&lt;="&amp;I595)+1)-I595)))</f>
        <v/>
      </c>
      <c r="AG595" t="str">
        <f>IF(OR($B595="",NOT(ISNUMBER(J595))),"",IF(COUNTIF(K595:$T595,J595)&gt;0,0,IF(COUNTIF($G595:$T595,"&gt;"&amp;J595)=0,"",SMALL($G595:$T595,COUNTIF($G595:$T595,"&lt;="&amp;J595)+1)-J595)))</f>
        <v/>
      </c>
      <c r="AH595" t="str">
        <f>IF(OR($B595="",NOT(ISNUMBER(K595))),"",IF(COUNTIF(L595:$T595,K595)&gt;0,0,IF(COUNTIF($G595:$T595,"&gt;"&amp;K595)=0,"",SMALL($G595:$T595,COUNTIF($G595:$T595,"&lt;="&amp;K595)+1)-K595)))</f>
        <v/>
      </c>
      <c r="AI595" t="str">
        <f>IF(OR($B595="",NOT(ISNUMBER(L595))),"",IF(COUNTIF(M595:$T595,L595)&gt;0,0,IF(COUNTIF($G595:$T595,"&gt;"&amp;L595)=0,"",SMALL($G595:$T595,COUNTIF($G595:$T595,"&lt;="&amp;L595)+1)-L595)))</f>
        <v/>
      </c>
      <c r="AJ595" t="str">
        <f>IF(OR($B595="",NOT(ISNUMBER(M595))),"",IF(COUNTIF(N595:$T595,M595)&gt;0,0,IF(COUNTIF($G595:$T595,"&gt;"&amp;M595)=0,"",SMALL($G595:$T595,COUNTIF($G595:$T595,"&lt;="&amp;M595)+1)-M595)))</f>
        <v/>
      </c>
      <c r="AK595" t="str">
        <f>IF(OR($B595="",NOT(ISNUMBER(N595))),"",IF(COUNTIF(O595:$T595,N595)&gt;0,0,IF(COUNTIF($G595:$T595,"&gt;"&amp;N595)=0,"",SMALL($G595:$T595,COUNTIF($G595:$T595,"&lt;="&amp;N595)+1)-N595)))</f>
        <v/>
      </c>
      <c r="AL595" t="str">
        <f>IF(OR($B595="",NOT(ISNUMBER(O595))),"",IF(COUNTIF(P595:$T595,O595)&gt;0,0,IF(COUNTIF($G595:$T595,"&gt;"&amp;O595)=0,"",SMALL($G595:$T595,COUNTIF($G595:$T595,"&lt;="&amp;O595)+1)-O595)))</f>
        <v/>
      </c>
      <c r="AM595" t="str">
        <f>IF(OR($B595="",NOT(ISNUMBER(P595))),"",IF(COUNTIF(Q595:$T595,P595)&gt;0,0,IF(COUNTIF($G595:$T595,"&gt;"&amp;P595)=0,"",SMALL($G595:$T595,COUNTIF($G595:$T595,"&lt;="&amp;P595)+1)-P595)))</f>
        <v/>
      </c>
      <c r="AN595" t="str">
        <f>IF(OR($B595="",NOT(ISNUMBER(Q595))),"",IF(COUNTIF(R595:$T595,Q595)&gt;0,0,IF(COUNTIF($G595:$T595,"&gt;"&amp;Q595)=0,"",SMALL($G595:$T595,COUNTIF($G595:$T595,"&lt;="&amp;Q595)+1)-Q595)))</f>
        <v/>
      </c>
      <c r="AO595" t="str">
        <f>IF(OR($B595="",NOT(ISNUMBER(R595))),"",IF(COUNTIF(S595:$T595,R595)&gt;0,0,IF(COUNTIF($G595:$T595,"&gt;"&amp;R595)=0,"",SMALL($G595:$T595,COUNTIF($G595:$T595,"&lt;="&amp;R595)+1)-R595)))</f>
        <v/>
      </c>
      <c r="AP595">
        <f t="shared" ca="1" si="156"/>
        <v>0</v>
      </c>
      <c r="AQ595" s="25" t="str">
        <f t="shared" si="157"/>
        <v/>
      </c>
      <c r="AR595" s="25" t="str">
        <f t="shared" si="158"/>
        <v/>
      </c>
      <c r="AS595" s="25" t="str">
        <f t="shared" si="159"/>
        <v/>
      </c>
      <c r="AT595" s="25" t="str">
        <f t="shared" si="160"/>
        <v/>
      </c>
      <c r="AU595" s="25" t="str">
        <f t="shared" si="161"/>
        <v/>
      </c>
      <c r="AV595" s="25" t="str">
        <f t="shared" si="162"/>
        <v/>
      </c>
      <c r="AW595" s="25" t="str">
        <f t="shared" si="163"/>
        <v/>
      </c>
      <c r="AX595" s="25" t="str">
        <f t="shared" si="164"/>
        <v/>
      </c>
      <c r="AY595" s="25" t="str">
        <f t="shared" si="165"/>
        <v/>
      </c>
      <c r="AZ595" s="25" t="str">
        <f t="shared" si="166"/>
        <v/>
      </c>
      <c r="BA595" s="25" t="str">
        <f t="shared" si="167"/>
        <v/>
      </c>
      <c r="BB595" s="25" t="str">
        <f t="shared" si="168"/>
        <v/>
      </c>
      <c r="BC595" s="25" t="str">
        <f t="shared" si="169"/>
        <v/>
      </c>
    </row>
    <row r="596" spans="1:55" x14ac:dyDescent="0.25">
      <c r="A596" s="19" t="str">
        <f t="shared" si="154"/>
        <v/>
      </c>
      <c r="B596" s="19"/>
      <c r="C596" s="20"/>
      <c r="D596" s="19" t="str">
        <f t="shared" si="153"/>
        <v/>
      </c>
      <c r="E596" s="19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19"/>
      <c r="U596" s="19"/>
      <c r="V596" s="20"/>
      <c r="W596" s="22"/>
      <c r="X596" s="21"/>
      <c r="Y596" s="21"/>
      <c r="Z596" s="23" t="str">
        <f>IF(B596="","",IF(S596&lt;&gt;"","Sevk Edildi",IF(AND(X596&lt;&gt;"",Y596=""),"Reworkte",IF(T596&lt;&gt;"","Kapandı"&amp;IF(COUNT(G596:R596)=0,""," – "&amp;LOOKUP(2,1/(G596:R596=MAX(G596:R596)),{"Tasarım","Ply Cutter","Üretim","Kalite (Üretim sonrası)","Talaşlı","Kalite (Talaşlı sonrası)","Montaj","Kalite (Montaj sonrası)","Boya","Kalite (Boya sonrası)","Yarı Mamül","KM"})),IF(COUNT(G596:R596)=0,"Başlamadı",LOOKUP(2,1/(G596:R596=MAX(G596:R596)),{"Tasarımda","Ply Cutter'da","Üretimde","Kalitede (Üretim sonrası)","Talaşlıda","Kalitede (Talaşlı sonrası)","Montajda","Kalitede (Montaj sonrası)","Boyada","Kalitede (Boya sonrası)","Yarı Mamülde","KM'de"}))))))</f>
        <v/>
      </c>
      <c r="AA596" s="24" t="str">
        <f t="shared" ca="1" si="155"/>
        <v/>
      </c>
      <c r="AB596" s="22"/>
      <c r="AD596" t="str">
        <f>IF(OR($B596="",NOT(ISNUMBER(G596))),"",IF(COUNTIF(H596:$T596,G596)&gt;0,0,IF(COUNTIF($G596:$T596,"&gt;"&amp;G596)=0,"",SMALL($G596:$T596,COUNTIF($G596:$T596,"&lt;="&amp;G596)+1)-G596)))</f>
        <v/>
      </c>
      <c r="AE596" t="str">
        <f>IF(OR($B596="",NOT(ISNUMBER(H596))),"",IF(COUNTIF(I596:$T596,H596)&gt;0,0,IF(COUNTIF($G596:$T596,"&gt;"&amp;H596)=0,"",SMALL($G596:$T596,COUNTIF($G596:$T596,"&lt;="&amp;H596)+1)-H596)))</f>
        <v/>
      </c>
      <c r="AF596" t="str">
        <f>IF(OR($B596="",NOT(ISNUMBER(I596))),"",IF(COUNTIF(J596:$T596,I596)&gt;0,0,IF(COUNTIF($G596:$T596,"&gt;"&amp;I596)=0,"",SMALL($G596:$T596,COUNTIF($G596:$T596,"&lt;="&amp;I596)+1)-I596)))</f>
        <v/>
      </c>
      <c r="AG596" t="str">
        <f>IF(OR($B596="",NOT(ISNUMBER(J596))),"",IF(COUNTIF(K596:$T596,J596)&gt;0,0,IF(COUNTIF($G596:$T596,"&gt;"&amp;J596)=0,"",SMALL($G596:$T596,COUNTIF($G596:$T596,"&lt;="&amp;J596)+1)-J596)))</f>
        <v/>
      </c>
      <c r="AH596" t="str">
        <f>IF(OR($B596="",NOT(ISNUMBER(K596))),"",IF(COUNTIF(L596:$T596,K596)&gt;0,0,IF(COUNTIF($G596:$T596,"&gt;"&amp;K596)=0,"",SMALL($G596:$T596,COUNTIF($G596:$T596,"&lt;="&amp;K596)+1)-K596)))</f>
        <v/>
      </c>
      <c r="AI596" t="str">
        <f>IF(OR($B596="",NOT(ISNUMBER(L596))),"",IF(COUNTIF(M596:$T596,L596)&gt;0,0,IF(COUNTIF($G596:$T596,"&gt;"&amp;L596)=0,"",SMALL($G596:$T596,COUNTIF($G596:$T596,"&lt;="&amp;L596)+1)-L596)))</f>
        <v/>
      </c>
      <c r="AJ596" t="str">
        <f>IF(OR($B596="",NOT(ISNUMBER(M596))),"",IF(COUNTIF(N596:$T596,M596)&gt;0,0,IF(COUNTIF($G596:$T596,"&gt;"&amp;M596)=0,"",SMALL($G596:$T596,COUNTIF($G596:$T596,"&lt;="&amp;M596)+1)-M596)))</f>
        <v/>
      </c>
      <c r="AK596" t="str">
        <f>IF(OR($B596="",NOT(ISNUMBER(N596))),"",IF(COUNTIF(O596:$T596,N596)&gt;0,0,IF(COUNTIF($G596:$T596,"&gt;"&amp;N596)=0,"",SMALL($G596:$T596,COUNTIF($G596:$T596,"&lt;="&amp;N596)+1)-N596)))</f>
        <v/>
      </c>
      <c r="AL596" t="str">
        <f>IF(OR($B596="",NOT(ISNUMBER(O596))),"",IF(COUNTIF(P596:$T596,O596)&gt;0,0,IF(COUNTIF($G596:$T596,"&gt;"&amp;O596)=0,"",SMALL($G596:$T596,COUNTIF($G596:$T596,"&lt;="&amp;O596)+1)-O596)))</f>
        <v/>
      </c>
      <c r="AM596" t="str">
        <f>IF(OR($B596="",NOT(ISNUMBER(P596))),"",IF(COUNTIF(Q596:$T596,P596)&gt;0,0,IF(COUNTIF($G596:$T596,"&gt;"&amp;P596)=0,"",SMALL($G596:$T596,COUNTIF($G596:$T596,"&lt;="&amp;P596)+1)-P596)))</f>
        <v/>
      </c>
      <c r="AN596" t="str">
        <f>IF(OR($B596="",NOT(ISNUMBER(Q596))),"",IF(COUNTIF(R596:$T596,Q596)&gt;0,0,IF(COUNTIF($G596:$T596,"&gt;"&amp;Q596)=0,"",SMALL($G596:$T596,COUNTIF($G596:$T596,"&lt;="&amp;Q596)+1)-Q596)))</f>
        <v/>
      </c>
      <c r="AO596" t="str">
        <f>IF(OR($B596="",NOT(ISNUMBER(R596))),"",IF(COUNTIF(S596:$T596,R596)&gt;0,0,IF(COUNTIF($G596:$T596,"&gt;"&amp;R596)=0,"",SMALL($G596:$T596,COUNTIF($G596:$T596,"&lt;="&amp;R596)+1)-R596)))</f>
        <v/>
      </c>
      <c r="AP596">
        <f t="shared" ca="1" si="156"/>
        <v>0</v>
      </c>
      <c r="AQ596" s="25" t="str">
        <f t="shared" si="157"/>
        <v/>
      </c>
      <c r="AR596" s="25" t="str">
        <f t="shared" si="158"/>
        <v/>
      </c>
      <c r="AS596" s="25" t="str">
        <f t="shared" si="159"/>
        <v/>
      </c>
      <c r="AT596" s="25" t="str">
        <f t="shared" si="160"/>
        <v/>
      </c>
      <c r="AU596" s="25" t="str">
        <f t="shared" si="161"/>
        <v/>
      </c>
      <c r="AV596" s="25" t="str">
        <f t="shared" si="162"/>
        <v/>
      </c>
      <c r="AW596" s="25" t="str">
        <f t="shared" si="163"/>
        <v/>
      </c>
      <c r="AX596" s="25" t="str">
        <f t="shared" si="164"/>
        <v/>
      </c>
      <c r="AY596" s="25" t="str">
        <f t="shared" si="165"/>
        <v/>
      </c>
      <c r="AZ596" s="25" t="str">
        <f t="shared" si="166"/>
        <v/>
      </c>
      <c r="BA596" s="25" t="str">
        <f t="shared" si="167"/>
        <v/>
      </c>
      <c r="BB596" s="25" t="str">
        <f t="shared" si="168"/>
        <v/>
      </c>
      <c r="BC596" s="25" t="str">
        <f t="shared" si="169"/>
        <v/>
      </c>
    </row>
    <row r="597" spans="1:55" x14ac:dyDescent="0.25">
      <c r="A597" s="19" t="str">
        <f t="shared" si="154"/>
        <v/>
      </c>
      <c r="B597" s="19"/>
      <c r="C597" s="20"/>
      <c r="D597" s="19" t="str">
        <f t="shared" si="153"/>
        <v/>
      </c>
      <c r="E597" s="19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19"/>
      <c r="U597" s="19"/>
      <c r="V597" s="20"/>
      <c r="W597" s="22"/>
      <c r="X597" s="21"/>
      <c r="Y597" s="21"/>
      <c r="Z597" s="23" t="str">
        <f>IF(B597="","",IF(S597&lt;&gt;"","Sevk Edildi",IF(AND(X597&lt;&gt;"",Y597=""),"Reworkte",IF(T597&lt;&gt;"","Kapandı"&amp;IF(COUNT(G597:R597)=0,""," – "&amp;LOOKUP(2,1/(G597:R597=MAX(G597:R597)),{"Tasarım","Ply Cutter","Üretim","Kalite (Üretim sonrası)","Talaşlı","Kalite (Talaşlı sonrası)","Montaj","Kalite (Montaj sonrası)","Boya","Kalite (Boya sonrası)","Yarı Mamül","KM"})),IF(COUNT(G597:R597)=0,"Başlamadı",LOOKUP(2,1/(G597:R597=MAX(G597:R597)),{"Tasarımda","Ply Cutter'da","Üretimde","Kalitede (Üretim sonrası)","Talaşlıda","Kalitede (Talaşlı sonrası)","Montajda","Kalitede (Montaj sonrası)","Boyada","Kalitede (Boya sonrası)","Yarı Mamülde","KM'de"}))))))</f>
        <v/>
      </c>
      <c r="AA597" s="24" t="str">
        <f t="shared" ca="1" si="155"/>
        <v/>
      </c>
      <c r="AB597" s="22"/>
      <c r="AD597" t="str">
        <f>IF(OR($B597="",NOT(ISNUMBER(G597))),"",IF(COUNTIF(H597:$T597,G597)&gt;0,0,IF(COUNTIF($G597:$T597,"&gt;"&amp;G597)=0,"",SMALL($G597:$T597,COUNTIF($G597:$T597,"&lt;="&amp;G597)+1)-G597)))</f>
        <v/>
      </c>
      <c r="AE597" t="str">
        <f>IF(OR($B597="",NOT(ISNUMBER(H597))),"",IF(COUNTIF(I597:$T597,H597)&gt;0,0,IF(COUNTIF($G597:$T597,"&gt;"&amp;H597)=0,"",SMALL($G597:$T597,COUNTIF($G597:$T597,"&lt;="&amp;H597)+1)-H597)))</f>
        <v/>
      </c>
      <c r="AF597" t="str">
        <f>IF(OR($B597="",NOT(ISNUMBER(I597))),"",IF(COUNTIF(J597:$T597,I597)&gt;0,0,IF(COUNTIF($G597:$T597,"&gt;"&amp;I597)=0,"",SMALL($G597:$T597,COUNTIF($G597:$T597,"&lt;="&amp;I597)+1)-I597)))</f>
        <v/>
      </c>
      <c r="AG597" t="str">
        <f>IF(OR($B597="",NOT(ISNUMBER(J597))),"",IF(COUNTIF(K597:$T597,J597)&gt;0,0,IF(COUNTIF($G597:$T597,"&gt;"&amp;J597)=0,"",SMALL($G597:$T597,COUNTIF($G597:$T597,"&lt;="&amp;J597)+1)-J597)))</f>
        <v/>
      </c>
      <c r="AH597" t="str">
        <f>IF(OR($B597="",NOT(ISNUMBER(K597))),"",IF(COUNTIF(L597:$T597,K597)&gt;0,0,IF(COUNTIF($G597:$T597,"&gt;"&amp;K597)=0,"",SMALL($G597:$T597,COUNTIF($G597:$T597,"&lt;="&amp;K597)+1)-K597)))</f>
        <v/>
      </c>
      <c r="AI597" t="str">
        <f>IF(OR($B597="",NOT(ISNUMBER(L597))),"",IF(COUNTIF(M597:$T597,L597)&gt;0,0,IF(COUNTIF($G597:$T597,"&gt;"&amp;L597)=0,"",SMALL($G597:$T597,COUNTIF($G597:$T597,"&lt;="&amp;L597)+1)-L597)))</f>
        <v/>
      </c>
      <c r="AJ597" t="str">
        <f>IF(OR($B597="",NOT(ISNUMBER(M597))),"",IF(COUNTIF(N597:$T597,M597)&gt;0,0,IF(COUNTIF($G597:$T597,"&gt;"&amp;M597)=0,"",SMALL($G597:$T597,COUNTIF($G597:$T597,"&lt;="&amp;M597)+1)-M597)))</f>
        <v/>
      </c>
      <c r="AK597" t="str">
        <f>IF(OR($B597="",NOT(ISNUMBER(N597))),"",IF(COUNTIF(O597:$T597,N597)&gt;0,0,IF(COUNTIF($G597:$T597,"&gt;"&amp;N597)=0,"",SMALL($G597:$T597,COUNTIF($G597:$T597,"&lt;="&amp;N597)+1)-N597)))</f>
        <v/>
      </c>
      <c r="AL597" t="str">
        <f>IF(OR($B597="",NOT(ISNUMBER(O597))),"",IF(COUNTIF(P597:$T597,O597)&gt;0,0,IF(COUNTIF($G597:$T597,"&gt;"&amp;O597)=0,"",SMALL($G597:$T597,COUNTIF($G597:$T597,"&lt;="&amp;O597)+1)-O597)))</f>
        <v/>
      </c>
      <c r="AM597" t="str">
        <f>IF(OR($B597="",NOT(ISNUMBER(P597))),"",IF(COUNTIF(Q597:$T597,P597)&gt;0,0,IF(COUNTIF($G597:$T597,"&gt;"&amp;P597)=0,"",SMALL($G597:$T597,COUNTIF($G597:$T597,"&lt;="&amp;P597)+1)-P597)))</f>
        <v/>
      </c>
      <c r="AN597" t="str">
        <f>IF(OR($B597="",NOT(ISNUMBER(Q597))),"",IF(COUNTIF(R597:$T597,Q597)&gt;0,0,IF(COUNTIF($G597:$T597,"&gt;"&amp;Q597)=0,"",SMALL($G597:$T597,COUNTIF($G597:$T597,"&lt;="&amp;Q597)+1)-Q597)))</f>
        <v/>
      </c>
      <c r="AO597" t="str">
        <f>IF(OR($B597="",NOT(ISNUMBER(R597))),"",IF(COUNTIF(S597:$T597,R597)&gt;0,0,IF(COUNTIF($G597:$T597,"&gt;"&amp;R597)=0,"",SMALL($G597:$T597,COUNTIF($G597:$T597,"&lt;="&amp;R597)+1)-R597)))</f>
        <v/>
      </c>
      <c r="AP597">
        <f t="shared" ca="1" si="156"/>
        <v>0</v>
      </c>
      <c r="AQ597" s="25" t="str">
        <f t="shared" si="157"/>
        <v/>
      </c>
      <c r="AR597" s="25" t="str">
        <f t="shared" si="158"/>
        <v/>
      </c>
      <c r="AS597" s="25" t="str">
        <f t="shared" si="159"/>
        <v/>
      </c>
      <c r="AT597" s="25" t="str">
        <f t="shared" si="160"/>
        <v/>
      </c>
      <c r="AU597" s="25" t="str">
        <f t="shared" si="161"/>
        <v/>
      </c>
      <c r="AV597" s="25" t="str">
        <f t="shared" si="162"/>
        <v/>
      </c>
      <c r="AW597" s="25" t="str">
        <f t="shared" si="163"/>
        <v/>
      </c>
      <c r="AX597" s="25" t="str">
        <f t="shared" si="164"/>
        <v/>
      </c>
      <c r="AY597" s="25" t="str">
        <f t="shared" si="165"/>
        <v/>
      </c>
      <c r="AZ597" s="25" t="str">
        <f t="shared" si="166"/>
        <v/>
      </c>
      <c r="BA597" s="25" t="str">
        <f t="shared" si="167"/>
        <v/>
      </c>
      <c r="BB597" s="25" t="str">
        <f t="shared" si="168"/>
        <v/>
      </c>
      <c r="BC597" s="25" t="str">
        <f t="shared" si="169"/>
        <v/>
      </c>
    </row>
    <row r="598" spans="1:55" x14ac:dyDescent="0.25">
      <c r="A598" s="19" t="str">
        <f t="shared" si="154"/>
        <v/>
      </c>
      <c r="B598" s="19"/>
      <c r="C598" s="20"/>
      <c r="D598" s="19" t="str">
        <f t="shared" si="153"/>
        <v/>
      </c>
      <c r="E598" s="19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19"/>
      <c r="U598" s="19"/>
      <c r="V598" s="20"/>
      <c r="W598" s="22"/>
      <c r="X598" s="21"/>
      <c r="Y598" s="21"/>
      <c r="Z598" s="23" t="str">
        <f>IF(B598="","",IF(S598&lt;&gt;"","Sevk Edildi",IF(AND(X598&lt;&gt;"",Y598=""),"Reworkte",IF(T598&lt;&gt;"","Kapandı"&amp;IF(COUNT(G598:R598)=0,""," – "&amp;LOOKUP(2,1/(G598:R598=MAX(G598:R598)),{"Tasarım","Ply Cutter","Üretim","Kalite (Üretim sonrası)","Talaşlı","Kalite (Talaşlı sonrası)","Montaj","Kalite (Montaj sonrası)","Boya","Kalite (Boya sonrası)","Yarı Mamül","KM"})),IF(COUNT(G598:R598)=0,"Başlamadı",LOOKUP(2,1/(G598:R598=MAX(G598:R598)),{"Tasarımda","Ply Cutter'da","Üretimde","Kalitede (Üretim sonrası)","Talaşlıda","Kalitede (Talaşlı sonrası)","Montajda","Kalitede (Montaj sonrası)","Boyada","Kalitede (Boya sonrası)","Yarı Mamülde","KM'de"}))))))</f>
        <v/>
      </c>
      <c r="AA598" s="24" t="str">
        <f t="shared" ca="1" si="155"/>
        <v/>
      </c>
      <c r="AB598" s="22"/>
      <c r="AD598" t="str">
        <f>IF(OR($B598="",NOT(ISNUMBER(G598))),"",IF(COUNTIF(H598:$T598,G598)&gt;0,0,IF(COUNTIF($G598:$T598,"&gt;"&amp;G598)=0,"",SMALL($G598:$T598,COUNTIF($G598:$T598,"&lt;="&amp;G598)+1)-G598)))</f>
        <v/>
      </c>
      <c r="AE598" t="str">
        <f>IF(OR($B598="",NOT(ISNUMBER(H598))),"",IF(COUNTIF(I598:$T598,H598)&gt;0,0,IF(COUNTIF($G598:$T598,"&gt;"&amp;H598)=0,"",SMALL($G598:$T598,COUNTIF($G598:$T598,"&lt;="&amp;H598)+1)-H598)))</f>
        <v/>
      </c>
      <c r="AF598" t="str">
        <f>IF(OR($B598="",NOT(ISNUMBER(I598))),"",IF(COUNTIF(J598:$T598,I598)&gt;0,0,IF(COUNTIF($G598:$T598,"&gt;"&amp;I598)=0,"",SMALL($G598:$T598,COUNTIF($G598:$T598,"&lt;="&amp;I598)+1)-I598)))</f>
        <v/>
      </c>
      <c r="AG598" t="str">
        <f>IF(OR($B598="",NOT(ISNUMBER(J598))),"",IF(COUNTIF(K598:$T598,J598)&gt;0,0,IF(COUNTIF($G598:$T598,"&gt;"&amp;J598)=0,"",SMALL($G598:$T598,COUNTIF($G598:$T598,"&lt;="&amp;J598)+1)-J598)))</f>
        <v/>
      </c>
      <c r="AH598" t="str">
        <f>IF(OR($B598="",NOT(ISNUMBER(K598))),"",IF(COUNTIF(L598:$T598,K598)&gt;0,0,IF(COUNTIF($G598:$T598,"&gt;"&amp;K598)=0,"",SMALL($G598:$T598,COUNTIF($G598:$T598,"&lt;="&amp;K598)+1)-K598)))</f>
        <v/>
      </c>
      <c r="AI598" t="str">
        <f>IF(OR($B598="",NOT(ISNUMBER(L598))),"",IF(COUNTIF(M598:$T598,L598)&gt;0,0,IF(COUNTIF($G598:$T598,"&gt;"&amp;L598)=0,"",SMALL($G598:$T598,COUNTIF($G598:$T598,"&lt;="&amp;L598)+1)-L598)))</f>
        <v/>
      </c>
      <c r="AJ598" t="str">
        <f>IF(OR($B598="",NOT(ISNUMBER(M598))),"",IF(COUNTIF(N598:$T598,M598)&gt;0,0,IF(COUNTIF($G598:$T598,"&gt;"&amp;M598)=0,"",SMALL($G598:$T598,COUNTIF($G598:$T598,"&lt;="&amp;M598)+1)-M598)))</f>
        <v/>
      </c>
      <c r="AK598" t="str">
        <f>IF(OR($B598="",NOT(ISNUMBER(N598))),"",IF(COUNTIF(O598:$T598,N598)&gt;0,0,IF(COUNTIF($G598:$T598,"&gt;"&amp;N598)=0,"",SMALL($G598:$T598,COUNTIF($G598:$T598,"&lt;="&amp;N598)+1)-N598)))</f>
        <v/>
      </c>
      <c r="AL598" t="str">
        <f>IF(OR($B598="",NOT(ISNUMBER(O598))),"",IF(COUNTIF(P598:$T598,O598)&gt;0,0,IF(COUNTIF($G598:$T598,"&gt;"&amp;O598)=0,"",SMALL($G598:$T598,COUNTIF($G598:$T598,"&lt;="&amp;O598)+1)-O598)))</f>
        <v/>
      </c>
      <c r="AM598" t="str">
        <f>IF(OR($B598="",NOT(ISNUMBER(P598))),"",IF(COUNTIF(Q598:$T598,P598)&gt;0,0,IF(COUNTIF($G598:$T598,"&gt;"&amp;P598)=0,"",SMALL($G598:$T598,COUNTIF($G598:$T598,"&lt;="&amp;P598)+1)-P598)))</f>
        <v/>
      </c>
      <c r="AN598" t="str">
        <f>IF(OR($B598="",NOT(ISNUMBER(Q598))),"",IF(COUNTIF(R598:$T598,Q598)&gt;0,0,IF(COUNTIF($G598:$T598,"&gt;"&amp;Q598)=0,"",SMALL($G598:$T598,COUNTIF($G598:$T598,"&lt;="&amp;Q598)+1)-Q598)))</f>
        <v/>
      </c>
      <c r="AO598" t="str">
        <f>IF(OR($B598="",NOT(ISNUMBER(R598))),"",IF(COUNTIF(S598:$T598,R598)&gt;0,0,IF(COUNTIF($G598:$T598,"&gt;"&amp;R598)=0,"",SMALL($G598:$T598,COUNTIF($G598:$T598,"&lt;="&amp;R598)+1)-R598)))</f>
        <v/>
      </c>
      <c r="AP598">
        <f t="shared" ca="1" si="156"/>
        <v>0</v>
      </c>
      <c r="AQ598" s="25" t="str">
        <f t="shared" si="157"/>
        <v/>
      </c>
      <c r="AR598" s="25" t="str">
        <f t="shared" si="158"/>
        <v/>
      </c>
      <c r="AS598" s="25" t="str">
        <f t="shared" si="159"/>
        <v/>
      </c>
      <c r="AT598" s="25" t="str">
        <f t="shared" si="160"/>
        <v/>
      </c>
      <c r="AU598" s="25" t="str">
        <f t="shared" si="161"/>
        <v/>
      </c>
      <c r="AV598" s="25" t="str">
        <f t="shared" si="162"/>
        <v/>
      </c>
      <c r="AW598" s="25" t="str">
        <f t="shared" si="163"/>
        <v/>
      </c>
      <c r="AX598" s="25" t="str">
        <f t="shared" si="164"/>
        <v/>
      </c>
      <c r="AY598" s="25" t="str">
        <f t="shared" si="165"/>
        <v/>
      </c>
      <c r="AZ598" s="25" t="str">
        <f t="shared" si="166"/>
        <v/>
      </c>
      <c r="BA598" s="25" t="str">
        <f t="shared" si="167"/>
        <v/>
      </c>
      <c r="BB598" s="25" t="str">
        <f t="shared" si="168"/>
        <v/>
      </c>
      <c r="BC598" s="25" t="str">
        <f t="shared" si="169"/>
        <v/>
      </c>
    </row>
    <row r="599" spans="1:55" x14ac:dyDescent="0.25">
      <c r="A599" s="19" t="str">
        <f t="shared" si="154"/>
        <v/>
      </c>
      <c r="B599" s="19"/>
      <c r="C599" s="20"/>
      <c r="D599" s="19" t="str">
        <f t="shared" si="153"/>
        <v/>
      </c>
      <c r="E599" s="19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19"/>
      <c r="U599" s="19"/>
      <c r="V599" s="20"/>
      <c r="W599" s="22"/>
      <c r="X599" s="21"/>
      <c r="Y599" s="21"/>
      <c r="Z599" s="23" t="str">
        <f>IF(B599="","",IF(S599&lt;&gt;"","Sevk Edildi",IF(AND(X599&lt;&gt;"",Y599=""),"Reworkte",IF(T599&lt;&gt;"","Kapandı"&amp;IF(COUNT(G599:R599)=0,""," – "&amp;LOOKUP(2,1/(G599:R599=MAX(G599:R599)),{"Tasarım","Ply Cutter","Üretim","Kalite (Üretim sonrası)","Talaşlı","Kalite (Talaşlı sonrası)","Montaj","Kalite (Montaj sonrası)","Boya","Kalite (Boya sonrası)","Yarı Mamül","KM"})),IF(COUNT(G599:R599)=0,"Başlamadı",LOOKUP(2,1/(G599:R599=MAX(G599:R599)),{"Tasarımda","Ply Cutter'da","Üretimde","Kalitede (Üretim sonrası)","Talaşlıda","Kalitede (Talaşlı sonrası)","Montajda","Kalitede (Montaj sonrası)","Boyada","Kalitede (Boya sonrası)","Yarı Mamülde","KM'de"}))))))</f>
        <v/>
      </c>
      <c r="AA599" s="24" t="str">
        <f t="shared" ca="1" si="155"/>
        <v/>
      </c>
      <c r="AB599" s="22"/>
      <c r="AD599" t="str">
        <f>IF(OR($B599="",NOT(ISNUMBER(G599))),"",IF(COUNTIF(H599:$T599,G599)&gt;0,0,IF(COUNTIF($G599:$T599,"&gt;"&amp;G599)=0,"",SMALL($G599:$T599,COUNTIF($G599:$T599,"&lt;="&amp;G599)+1)-G599)))</f>
        <v/>
      </c>
      <c r="AE599" t="str">
        <f>IF(OR($B599="",NOT(ISNUMBER(H599))),"",IF(COUNTIF(I599:$T599,H599)&gt;0,0,IF(COUNTIF($G599:$T599,"&gt;"&amp;H599)=0,"",SMALL($G599:$T599,COUNTIF($G599:$T599,"&lt;="&amp;H599)+1)-H599)))</f>
        <v/>
      </c>
      <c r="AF599" t="str">
        <f>IF(OR($B599="",NOT(ISNUMBER(I599))),"",IF(COUNTIF(J599:$T599,I599)&gt;0,0,IF(COUNTIF($G599:$T599,"&gt;"&amp;I599)=0,"",SMALL($G599:$T599,COUNTIF($G599:$T599,"&lt;="&amp;I599)+1)-I599)))</f>
        <v/>
      </c>
      <c r="AG599" t="str">
        <f>IF(OR($B599="",NOT(ISNUMBER(J599))),"",IF(COUNTIF(K599:$T599,J599)&gt;0,0,IF(COUNTIF($G599:$T599,"&gt;"&amp;J599)=0,"",SMALL($G599:$T599,COUNTIF($G599:$T599,"&lt;="&amp;J599)+1)-J599)))</f>
        <v/>
      </c>
      <c r="AH599" t="str">
        <f>IF(OR($B599="",NOT(ISNUMBER(K599))),"",IF(COUNTIF(L599:$T599,K599)&gt;0,0,IF(COUNTIF($G599:$T599,"&gt;"&amp;K599)=0,"",SMALL($G599:$T599,COUNTIF($G599:$T599,"&lt;="&amp;K599)+1)-K599)))</f>
        <v/>
      </c>
      <c r="AI599" t="str">
        <f>IF(OR($B599="",NOT(ISNUMBER(L599))),"",IF(COUNTIF(M599:$T599,L599)&gt;0,0,IF(COUNTIF($G599:$T599,"&gt;"&amp;L599)=0,"",SMALL($G599:$T599,COUNTIF($G599:$T599,"&lt;="&amp;L599)+1)-L599)))</f>
        <v/>
      </c>
      <c r="AJ599" t="str">
        <f>IF(OR($B599="",NOT(ISNUMBER(M599))),"",IF(COUNTIF(N599:$T599,M599)&gt;0,0,IF(COUNTIF($G599:$T599,"&gt;"&amp;M599)=0,"",SMALL($G599:$T599,COUNTIF($G599:$T599,"&lt;="&amp;M599)+1)-M599)))</f>
        <v/>
      </c>
      <c r="AK599" t="str">
        <f>IF(OR($B599="",NOT(ISNUMBER(N599))),"",IF(COUNTIF(O599:$T599,N599)&gt;0,0,IF(COUNTIF($G599:$T599,"&gt;"&amp;N599)=0,"",SMALL($G599:$T599,COUNTIF($G599:$T599,"&lt;="&amp;N599)+1)-N599)))</f>
        <v/>
      </c>
      <c r="AL599" t="str">
        <f>IF(OR($B599="",NOT(ISNUMBER(O599))),"",IF(COUNTIF(P599:$T599,O599)&gt;0,0,IF(COUNTIF($G599:$T599,"&gt;"&amp;O599)=0,"",SMALL($G599:$T599,COUNTIF($G599:$T599,"&lt;="&amp;O599)+1)-O599)))</f>
        <v/>
      </c>
      <c r="AM599" t="str">
        <f>IF(OR($B599="",NOT(ISNUMBER(P599))),"",IF(COUNTIF(Q599:$T599,P599)&gt;0,0,IF(COUNTIF($G599:$T599,"&gt;"&amp;P599)=0,"",SMALL($G599:$T599,COUNTIF($G599:$T599,"&lt;="&amp;P599)+1)-P599)))</f>
        <v/>
      </c>
      <c r="AN599" t="str">
        <f>IF(OR($B599="",NOT(ISNUMBER(Q599))),"",IF(COUNTIF(R599:$T599,Q599)&gt;0,0,IF(COUNTIF($G599:$T599,"&gt;"&amp;Q599)=0,"",SMALL($G599:$T599,COUNTIF($G599:$T599,"&lt;="&amp;Q599)+1)-Q599)))</f>
        <v/>
      </c>
      <c r="AO599" t="str">
        <f>IF(OR($B599="",NOT(ISNUMBER(R599))),"",IF(COUNTIF(S599:$T599,R599)&gt;0,0,IF(COUNTIF($G599:$T599,"&gt;"&amp;R599)=0,"",SMALL($G599:$T599,COUNTIF($G599:$T599,"&lt;="&amp;R599)+1)-R599)))</f>
        <v/>
      </c>
      <c r="AP599">
        <f t="shared" ca="1" si="156"/>
        <v>0</v>
      </c>
      <c r="AQ599" s="25" t="str">
        <f t="shared" si="157"/>
        <v/>
      </c>
      <c r="AR599" s="25" t="str">
        <f t="shared" si="158"/>
        <v/>
      </c>
      <c r="AS599" s="25" t="str">
        <f t="shared" si="159"/>
        <v/>
      </c>
      <c r="AT599" s="25" t="str">
        <f t="shared" si="160"/>
        <v/>
      </c>
      <c r="AU599" s="25" t="str">
        <f t="shared" si="161"/>
        <v/>
      </c>
      <c r="AV599" s="25" t="str">
        <f t="shared" si="162"/>
        <v/>
      </c>
      <c r="AW599" s="25" t="str">
        <f t="shared" si="163"/>
        <v/>
      </c>
      <c r="AX599" s="25" t="str">
        <f t="shared" si="164"/>
        <v/>
      </c>
      <c r="AY599" s="25" t="str">
        <f t="shared" si="165"/>
        <v/>
      </c>
      <c r="AZ599" s="25" t="str">
        <f t="shared" si="166"/>
        <v/>
      </c>
      <c r="BA599" s="25" t="str">
        <f t="shared" si="167"/>
        <v/>
      </c>
      <c r="BB599" s="25" t="str">
        <f t="shared" si="168"/>
        <v/>
      </c>
      <c r="BC599" s="25" t="str">
        <f t="shared" si="169"/>
        <v/>
      </c>
    </row>
    <row r="600" spans="1:55" x14ac:dyDescent="0.25">
      <c r="A600" s="19" t="str">
        <f t="shared" si="154"/>
        <v/>
      </c>
      <c r="B600" s="19"/>
      <c r="C600" s="20"/>
      <c r="D600" s="19" t="str">
        <f t="shared" si="153"/>
        <v/>
      </c>
      <c r="E600" s="19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19"/>
      <c r="U600" s="19"/>
      <c r="V600" s="20"/>
      <c r="W600" s="22"/>
      <c r="X600" s="21"/>
      <c r="Y600" s="21"/>
      <c r="Z600" s="23" t="str">
        <f>IF(B600="","",IF(S600&lt;&gt;"","Sevk Edildi",IF(AND(X600&lt;&gt;"",Y600=""),"Reworkte",IF(T600&lt;&gt;"","Kapandı"&amp;IF(COUNT(G600:R600)=0,""," – "&amp;LOOKUP(2,1/(G600:R600=MAX(G600:R600)),{"Tasarım","Ply Cutter","Üretim","Kalite (Üretim sonrası)","Talaşlı","Kalite (Talaşlı sonrası)","Montaj","Kalite (Montaj sonrası)","Boya","Kalite (Boya sonrası)","Yarı Mamül","KM"})),IF(COUNT(G600:R600)=0,"Başlamadı",LOOKUP(2,1/(G600:R600=MAX(G600:R600)),{"Tasarımda","Ply Cutter'da","Üretimde","Kalitede (Üretim sonrası)","Talaşlıda","Kalitede (Talaşlı sonrası)","Montajda","Kalitede (Montaj sonrası)","Boyada","Kalitede (Boya sonrası)","Yarı Mamülde","KM'de"}))))))</f>
        <v/>
      </c>
      <c r="AA600" s="24" t="str">
        <f t="shared" ca="1" si="155"/>
        <v/>
      </c>
      <c r="AB600" s="22"/>
      <c r="AD600" t="str">
        <f>IF(OR($B600="",NOT(ISNUMBER(G600))),"",IF(COUNTIF(H600:$T600,G600)&gt;0,0,IF(COUNTIF($G600:$T600,"&gt;"&amp;G600)=0,"",SMALL($G600:$T600,COUNTIF($G600:$T600,"&lt;="&amp;G600)+1)-G600)))</f>
        <v/>
      </c>
      <c r="AE600" t="str">
        <f>IF(OR($B600="",NOT(ISNUMBER(H600))),"",IF(COUNTIF(I600:$T600,H600)&gt;0,0,IF(COUNTIF($G600:$T600,"&gt;"&amp;H600)=0,"",SMALL($G600:$T600,COUNTIF($G600:$T600,"&lt;="&amp;H600)+1)-H600)))</f>
        <v/>
      </c>
      <c r="AF600" t="str">
        <f>IF(OR($B600="",NOT(ISNUMBER(I600))),"",IF(COUNTIF(J600:$T600,I600)&gt;0,0,IF(COUNTIF($G600:$T600,"&gt;"&amp;I600)=0,"",SMALL($G600:$T600,COUNTIF($G600:$T600,"&lt;="&amp;I600)+1)-I600)))</f>
        <v/>
      </c>
      <c r="AG600" t="str">
        <f>IF(OR($B600="",NOT(ISNUMBER(J600))),"",IF(COUNTIF(K600:$T600,J600)&gt;0,0,IF(COUNTIF($G600:$T600,"&gt;"&amp;J600)=0,"",SMALL($G600:$T600,COUNTIF($G600:$T600,"&lt;="&amp;J600)+1)-J600)))</f>
        <v/>
      </c>
      <c r="AH600" t="str">
        <f>IF(OR($B600="",NOT(ISNUMBER(K600))),"",IF(COUNTIF(L600:$T600,K600)&gt;0,0,IF(COUNTIF($G600:$T600,"&gt;"&amp;K600)=0,"",SMALL($G600:$T600,COUNTIF($G600:$T600,"&lt;="&amp;K600)+1)-K600)))</f>
        <v/>
      </c>
      <c r="AI600" t="str">
        <f>IF(OR($B600="",NOT(ISNUMBER(L600))),"",IF(COUNTIF(M600:$T600,L600)&gt;0,0,IF(COUNTIF($G600:$T600,"&gt;"&amp;L600)=0,"",SMALL($G600:$T600,COUNTIF($G600:$T600,"&lt;="&amp;L600)+1)-L600)))</f>
        <v/>
      </c>
      <c r="AJ600" t="str">
        <f>IF(OR($B600="",NOT(ISNUMBER(M600))),"",IF(COUNTIF(N600:$T600,M600)&gt;0,0,IF(COUNTIF($G600:$T600,"&gt;"&amp;M600)=0,"",SMALL($G600:$T600,COUNTIF($G600:$T600,"&lt;="&amp;M600)+1)-M600)))</f>
        <v/>
      </c>
      <c r="AK600" t="str">
        <f>IF(OR($B600="",NOT(ISNUMBER(N600))),"",IF(COUNTIF(O600:$T600,N600)&gt;0,0,IF(COUNTIF($G600:$T600,"&gt;"&amp;N600)=0,"",SMALL($G600:$T600,COUNTIF($G600:$T600,"&lt;="&amp;N600)+1)-N600)))</f>
        <v/>
      </c>
      <c r="AL600" t="str">
        <f>IF(OR($B600="",NOT(ISNUMBER(O600))),"",IF(COUNTIF(P600:$T600,O600)&gt;0,0,IF(COUNTIF($G600:$T600,"&gt;"&amp;O600)=0,"",SMALL($G600:$T600,COUNTIF($G600:$T600,"&lt;="&amp;O600)+1)-O600)))</f>
        <v/>
      </c>
      <c r="AM600" t="str">
        <f>IF(OR($B600="",NOT(ISNUMBER(P600))),"",IF(COUNTIF(Q600:$T600,P600)&gt;0,0,IF(COUNTIF($G600:$T600,"&gt;"&amp;P600)=0,"",SMALL($G600:$T600,COUNTIF($G600:$T600,"&lt;="&amp;P600)+1)-P600)))</f>
        <v/>
      </c>
      <c r="AN600" t="str">
        <f>IF(OR($B600="",NOT(ISNUMBER(Q600))),"",IF(COUNTIF(R600:$T600,Q600)&gt;0,0,IF(COUNTIF($G600:$T600,"&gt;"&amp;Q600)=0,"",SMALL($G600:$T600,COUNTIF($G600:$T600,"&lt;="&amp;Q600)+1)-Q600)))</f>
        <v/>
      </c>
      <c r="AO600" t="str">
        <f>IF(OR($B600="",NOT(ISNUMBER(R600))),"",IF(COUNTIF(S600:$T600,R600)&gt;0,0,IF(COUNTIF($G600:$T600,"&gt;"&amp;R600)=0,"",SMALL($G600:$T600,COUNTIF($G600:$T600,"&lt;="&amp;R600)+1)-R600)))</f>
        <v/>
      </c>
      <c r="AP600">
        <f t="shared" ca="1" si="156"/>
        <v>0</v>
      </c>
      <c r="AQ600" s="25" t="str">
        <f t="shared" si="157"/>
        <v/>
      </c>
      <c r="AR600" s="25" t="str">
        <f t="shared" si="158"/>
        <v/>
      </c>
      <c r="AS600" s="25" t="str">
        <f t="shared" si="159"/>
        <v/>
      </c>
      <c r="AT600" s="25" t="str">
        <f t="shared" si="160"/>
        <v/>
      </c>
      <c r="AU600" s="25" t="str">
        <f t="shared" si="161"/>
        <v/>
      </c>
      <c r="AV600" s="25" t="str">
        <f t="shared" si="162"/>
        <v/>
      </c>
      <c r="AW600" s="25" t="str">
        <f t="shared" si="163"/>
        <v/>
      </c>
      <c r="AX600" s="25" t="str">
        <f t="shared" si="164"/>
        <v/>
      </c>
      <c r="AY600" s="25" t="str">
        <f t="shared" si="165"/>
        <v/>
      </c>
      <c r="AZ600" s="25" t="str">
        <f t="shared" si="166"/>
        <v/>
      </c>
      <c r="BA600" s="25" t="str">
        <f t="shared" si="167"/>
        <v/>
      </c>
      <c r="BB600" s="25" t="str">
        <f t="shared" si="168"/>
        <v/>
      </c>
      <c r="BC600" s="25" t="str">
        <f t="shared" si="169"/>
        <v/>
      </c>
    </row>
    <row r="601" spans="1:55" x14ac:dyDescent="0.25">
      <c r="A601" s="19" t="str">
        <f t="shared" si="154"/>
        <v/>
      </c>
      <c r="B601" s="19"/>
      <c r="C601" s="20"/>
      <c r="D601" s="19" t="str">
        <f t="shared" si="153"/>
        <v/>
      </c>
      <c r="E601" s="19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19"/>
      <c r="U601" s="19"/>
      <c r="V601" s="20"/>
      <c r="W601" s="22"/>
      <c r="X601" s="21"/>
      <c r="Y601" s="21"/>
      <c r="Z601" s="23" t="str">
        <f>IF(B601="","",IF(S601&lt;&gt;"","Sevk Edildi",IF(AND(X601&lt;&gt;"",Y601=""),"Reworkte",IF(T601&lt;&gt;"","Kapandı"&amp;IF(COUNT(G601:R601)=0,""," – "&amp;LOOKUP(2,1/(G601:R601=MAX(G601:R601)),{"Tasarım","Ply Cutter","Üretim","Kalite (Üretim sonrası)","Talaşlı","Kalite (Talaşlı sonrası)","Montaj","Kalite (Montaj sonrası)","Boya","Kalite (Boya sonrası)","Yarı Mamül","KM"})),IF(COUNT(G601:R601)=0,"Başlamadı",LOOKUP(2,1/(G601:R601=MAX(G601:R601)),{"Tasarımda","Ply Cutter'da","Üretimde","Kalitede (Üretim sonrası)","Talaşlıda","Kalitede (Talaşlı sonrası)","Montajda","Kalitede (Montaj sonrası)","Boyada","Kalitede (Boya sonrası)","Yarı Mamülde","KM'de"}))))))</f>
        <v/>
      </c>
      <c r="AA601" s="24" t="str">
        <f t="shared" ca="1" si="155"/>
        <v/>
      </c>
      <c r="AB601" s="22"/>
      <c r="AD601" t="str">
        <f>IF(OR($B601="",NOT(ISNUMBER(G601))),"",IF(COUNTIF(H601:$T601,G601)&gt;0,0,IF(COUNTIF($G601:$T601,"&gt;"&amp;G601)=0,"",SMALL($G601:$T601,COUNTIF($G601:$T601,"&lt;="&amp;G601)+1)-G601)))</f>
        <v/>
      </c>
      <c r="AE601" t="str">
        <f>IF(OR($B601="",NOT(ISNUMBER(H601))),"",IF(COUNTIF(I601:$T601,H601)&gt;0,0,IF(COUNTIF($G601:$T601,"&gt;"&amp;H601)=0,"",SMALL($G601:$T601,COUNTIF($G601:$T601,"&lt;="&amp;H601)+1)-H601)))</f>
        <v/>
      </c>
      <c r="AF601" t="str">
        <f>IF(OR($B601="",NOT(ISNUMBER(I601))),"",IF(COUNTIF(J601:$T601,I601)&gt;0,0,IF(COUNTIF($G601:$T601,"&gt;"&amp;I601)=0,"",SMALL($G601:$T601,COUNTIF($G601:$T601,"&lt;="&amp;I601)+1)-I601)))</f>
        <v/>
      </c>
      <c r="AG601" t="str">
        <f>IF(OR($B601="",NOT(ISNUMBER(J601))),"",IF(COUNTIF(K601:$T601,J601)&gt;0,0,IF(COUNTIF($G601:$T601,"&gt;"&amp;J601)=0,"",SMALL($G601:$T601,COUNTIF($G601:$T601,"&lt;="&amp;J601)+1)-J601)))</f>
        <v/>
      </c>
      <c r="AH601" t="str">
        <f>IF(OR($B601="",NOT(ISNUMBER(K601))),"",IF(COUNTIF(L601:$T601,K601)&gt;0,0,IF(COUNTIF($G601:$T601,"&gt;"&amp;K601)=0,"",SMALL($G601:$T601,COUNTIF($G601:$T601,"&lt;="&amp;K601)+1)-K601)))</f>
        <v/>
      </c>
      <c r="AI601" t="str">
        <f>IF(OR($B601="",NOT(ISNUMBER(L601))),"",IF(COUNTIF(M601:$T601,L601)&gt;0,0,IF(COUNTIF($G601:$T601,"&gt;"&amp;L601)=0,"",SMALL($G601:$T601,COUNTIF($G601:$T601,"&lt;="&amp;L601)+1)-L601)))</f>
        <v/>
      </c>
      <c r="AJ601" t="str">
        <f>IF(OR($B601="",NOT(ISNUMBER(M601))),"",IF(COUNTIF(N601:$T601,M601)&gt;0,0,IF(COUNTIF($G601:$T601,"&gt;"&amp;M601)=0,"",SMALL($G601:$T601,COUNTIF($G601:$T601,"&lt;="&amp;M601)+1)-M601)))</f>
        <v/>
      </c>
      <c r="AK601" t="str">
        <f>IF(OR($B601="",NOT(ISNUMBER(N601))),"",IF(COUNTIF(O601:$T601,N601)&gt;0,0,IF(COUNTIF($G601:$T601,"&gt;"&amp;N601)=0,"",SMALL($G601:$T601,COUNTIF($G601:$T601,"&lt;="&amp;N601)+1)-N601)))</f>
        <v/>
      </c>
      <c r="AL601" t="str">
        <f>IF(OR($B601="",NOT(ISNUMBER(O601))),"",IF(COUNTIF(P601:$T601,O601)&gt;0,0,IF(COUNTIF($G601:$T601,"&gt;"&amp;O601)=0,"",SMALL($G601:$T601,COUNTIF($G601:$T601,"&lt;="&amp;O601)+1)-O601)))</f>
        <v/>
      </c>
      <c r="AM601" t="str">
        <f>IF(OR($B601="",NOT(ISNUMBER(P601))),"",IF(COUNTIF(Q601:$T601,P601)&gt;0,0,IF(COUNTIF($G601:$T601,"&gt;"&amp;P601)=0,"",SMALL($G601:$T601,COUNTIF($G601:$T601,"&lt;="&amp;P601)+1)-P601)))</f>
        <v/>
      </c>
      <c r="AN601" t="str">
        <f>IF(OR($B601="",NOT(ISNUMBER(Q601))),"",IF(COUNTIF(R601:$T601,Q601)&gt;0,0,IF(COUNTIF($G601:$T601,"&gt;"&amp;Q601)=0,"",SMALL($G601:$T601,COUNTIF($G601:$T601,"&lt;="&amp;Q601)+1)-Q601)))</f>
        <v/>
      </c>
      <c r="AO601" t="str">
        <f>IF(OR($B601="",NOT(ISNUMBER(R601))),"",IF(COUNTIF(S601:$T601,R601)&gt;0,0,IF(COUNTIF($G601:$T601,"&gt;"&amp;R601)=0,"",SMALL($G601:$T601,COUNTIF($G601:$T601,"&lt;="&amp;R601)+1)-R601)))</f>
        <v/>
      </c>
      <c r="AP601">
        <f t="shared" ca="1" si="156"/>
        <v>0</v>
      </c>
      <c r="AQ601" s="25" t="str">
        <f t="shared" si="157"/>
        <v/>
      </c>
      <c r="AR601" s="25" t="str">
        <f t="shared" si="158"/>
        <v/>
      </c>
      <c r="AS601" s="25" t="str">
        <f t="shared" si="159"/>
        <v/>
      </c>
      <c r="AT601" s="25" t="str">
        <f t="shared" si="160"/>
        <v/>
      </c>
      <c r="AU601" s="25" t="str">
        <f t="shared" si="161"/>
        <v/>
      </c>
      <c r="AV601" s="25" t="str">
        <f t="shared" si="162"/>
        <v/>
      </c>
      <c r="AW601" s="25" t="str">
        <f t="shared" si="163"/>
        <v/>
      </c>
      <c r="AX601" s="25" t="str">
        <f t="shared" si="164"/>
        <v/>
      </c>
      <c r="AY601" s="25" t="str">
        <f t="shared" si="165"/>
        <v/>
      </c>
      <c r="AZ601" s="25" t="str">
        <f t="shared" si="166"/>
        <v/>
      </c>
      <c r="BA601" s="25" t="str">
        <f t="shared" si="167"/>
        <v/>
      </c>
      <c r="BB601" s="25" t="str">
        <f t="shared" si="168"/>
        <v/>
      </c>
      <c r="BC601" s="25" t="str">
        <f t="shared" si="169"/>
        <v/>
      </c>
    </row>
    <row r="602" spans="1:55" x14ac:dyDescent="0.25">
      <c r="A602" s="19" t="str">
        <f t="shared" si="154"/>
        <v/>
      </c>
      <c r="B602" s="19"/>
      <c r="C602" s="20"/>
      <c r="D602" s="19" t="str">
        <f t="shared" si="153"/>
        <v/>
      </c>
      <c r="E602" s="19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19"/>
      <c r="U602" s="19"/>
      <c r="V602" s="20"/>
      <c r="W602" s="22"/>
      <c r="X602" s="21"/>
      <c r="Y602" s="21"/>
      <c r="Z602" s="23" t="str">
        <f>IF(B602="","",IF(S602&lt;&gt;"","Sevk Edildi",IF(AND(X602&lt;&gt;"",Y602=""),"Reworkte",IF(T602&lt;&gt;"","Kapandı"&amp;IF(COUNT(G602:R602)=0,""," – "&amp;LOOKUP(2,1/(G602:R602=MAX(G602:R602)),{"Tasarım","Ply Cutter","Üretim","Kalite (Üretim sonrası)","Talaşlı","Kalite (Talaşlı sonrası)","Montaj","Kalite (Montaj sonrası)","Boya","Kalite (Boya sonrası)","Yarı Mamül","KM"})),IF(COUNT(G602:R602)=0,"Başlamadı",LOOKUP(2,1/(G602:R602=MAX(G602:R602)),{"Tasarımda","Ply Cutter'da","Üretimde","Kalitede (Üretim sonrası)","Talaşlıda","Kalitede (Talaşlı sonrası)","Montajda","Kalitede (Montaj sonrası)","Boyada","Kalitede (Boya sonrası)","Yarı Mamülde","KM'de"}))))))</f>
        <v/>
      </c>
      <c r="AA602" s="24" t="str">
        <f t="shared" ca="1" si="155"/>
        <v/>
      </c>
      <c r="AB602" s="22"/>
      <c r="AD602" t="str">
        <f>IF(OR($B602="",NOT(ISNUMBER(G602))),"",IF(COUNTIF(H602:$T602,G602)&gt;0,0,IF(COUNTIF($G602:$T602,"&gt;"&amp;G602)=0,"",SMALL($G602:$T602,COUNTIF($G602:$T602,"&lt;="&amp;G602)+1)-G602)))</f>
        <v/>
      </c>
      <c r="AE602" t="str">
        <f>IF(OR($B602="",NOT(ISNUMBER(H602))),"",IF(COUNTIF(I602:$T602,H602)&gt;0,0,IF(COUNTIF($G602:$T602,"&gt;"&amp;H602)=0,"",SMALL($G602:$T602,COUNTIF($G602:$T602,"&lt;="&amp;H602)+1)-H602)))</f>
        <v/>
      </c>
      <c r="AF602" t="str">
        <f>IF(OR($B602="",NOT(ISNUMBER(I602))),"",IF(COUNTIF(J602:$T602,I602)&gt;0,0,IF(COUNTIF($G602:$T602,"&gt;"&amp;I602)=0,"",SMALL($G602:$T602,COUNTIF($G602:$T602,"&lt;="&amp;I602)+1)-I602)))</f>
        <v/>
      </c>
      <c r="AG602" t="str">
        <f>IF(OR($B602="",NOT(ISNUMBER(J602))),"",IF(COUNTIF(K602:$T602,J602)&gt;0,0,IF(COUNTIF($G602:$T602,"&gt;"&amp;J602)=0,"",SMALL($G602:$T602,COUNTIF($G602:$T602,"&lt;="&amp;J602)+1)-J602)))</f>
        <v/>
      </c>
      <c r="AH602" t="str">
        <f>IF(OR($B602="",NOT(ISNUMBER(K602))),"",IF(COUNTIF(L602:$T602,K602)&gt;0,0,IF(COUNTIF($G602:$T602,"&gt;"&amp;K602)=0,"",SMALL($G602:$T602,COUNTIF($G602:$T602,"&lt;="&amp;K602)+1)-K602)))</f>
        <v/>
      </c>
      <c r="AI602" t="str">
        <f>IF(OR($B602="",NOT(ISNUMBER(L602))),"",IF(COUNTIF(M602:$T602,L602)&gt;0,0,IF(COUNTIF($G602:$T602,"&gt;"&amp;L602)=0,"",SMALL($G602:$T602,COUNTIF($G602:$T602,"&lt;="&amp;L602)+1)-L602)))</f>
        <v/>
      </c>
      <c r="AJ602" t="str">
        <f>IF(OR($B602="",NOT(ISNUMBER(M602))),"",IF(COUNTIF(N602:$T602,M602)&gt;0,0,IF(COUNTIF($G602:$T602,"&gt;"&amp;M602)=0,"",SMALL($G602:$T602,COUNTIF($G602:$T602,"&lt;="&amp;M602)+1)-M602)))</f>
        <v/>
      </c>
      <c r="AK602" t="str">
        <f>IF(OR($B602="",NOT(ISNUMBER(N602))),"",IF(COUNTIF(O602:$T602,N602)&gt;0,0,IF(COUNTIF($G602:$T602,"&gt;"&amp;N602)=0,"",SMALL($G602:$T602,COUNTIF($G602:$T602,"&lt;="&amp;N602)+1)-N602)))</f>
        <v/>
      </c>
      <c r="AL602" t="str">
        <f>IF(OR($B602="",NOT(ISNUMBER(O602))),"",IF(COUNTIF(P602:$T602,O602)&gt;0,0,IF(COUNTIF($G602:$T602,"&gt;"&amp;O602)=0,"",SMALL($G602:$T602,COUNTIF($G602:$T602,"&lt;="&amp;O602)+1)-O602)))</f>
        <v/>
      </c>
      <c r="AM602" t="str">
        <f>IF(OR($B602="",NOT(ISNUMBER(P602))),"",IF(COUNTIF(Q602:$T602,P602)&gt;0,0,IF(COUNTIF($G602:$T602,"&gt;"&amp;P602)=0,"",SMALL($G602:$T602,COUNTIF($G602:$T602,"&lt;="&amp;P602)+1)-P602)))</f>
        <v/>
      </c>
      <c r="AN602" t="str">
        <f>IF(OR($B602="",NOT(ISNUMBER(Q602))),"",IF(COUNTIF(R602:$T602,Q602)&gt;0,0,IF(COUNTIF($G602:$T602,"&gt;"&amp;Q602)=0,"",SMALL($G602:$T602,COUNTIF($G602:$T602,"&lt;="&amp;Q602)+1)-Q602)))</f>
        <v/>
      </c>
      <c r="AO602" t="str">
        <f>IF(OR($B602="",NOT(ISNUMBER(R602))),"",IF(COUNTIF(S602:$T602,R602)&gt;0,0,IF(COUNTIF($G602:$T602,"&gt;"&amp;R602)=0,"",SMALL($G602:$T602,COUNTIF($G602:$T602,"&lt;="&amp;R602)+1)-R602)))</f>
        <v/>
      </c>
      <c r="AP602">
        <f t="shared" ca="1" si="156"/>
        <v>0</v>
      </c>
      <c r="AQ602" s="25" t="str">
        <f t="shared" si="157"/>
        <v/>
      </c>
      <c r="AR602" s="25" t="str">
        <f t="shared" si="158"/>
        <v/>
      </c>
      <c r="AS602" s="25" t="str">
        <f t="shared" si="159"/>
        <v/>
      </c>
      <c r="AT602" s="25" t="str">
        <f t="shared" si="160"/>
        <v/>
      </c>
      <c r="AU602" s="25" t="str">
        <f t="shared" si="161"/>
        <v/>
      </c>
      <c r="AV602" s="25" t="str">
        <f t="shared" si="162"/>
        <v/>
      </c>
      <c r="AW602" s="25" t="str">
        <f t="shared" si="163"/>
        <v/>
      </c>
      <c r="AX602" s="25" t="str">
        <f t="shared" si="164"/>
        <v/>
      </c>
      <c r="AY602" s="25" t="str">
        <f t="shared" si="165"/>
        <v/>
      </c>
      <c r="AZ602" s="25" t="str">
        <f t="shared" si="166"/>
        <v/>
      </c>
      <c r="BA602" s="25" t="str">
        <f t="shared" si="167"/>
        <v/>
      </c>
      <c r="BB602" s="25" t="str">
        <f t="shared" si="168"/>
        <v/>
      </c>
      <c r="BC602" s="25" t="str">
        <f t="shared" si="169"/>
        <v/>
      </c>
    </row>
    <row r="603" spans="1:55" x14ac:dyDescent="0.25">
      <c r="A603" s="19" t="str">
        <f t="shared" si="154"/>
        <v/>
      </c>
      <c r="B603" s="19"/>
      <c r="C603" s="20"/>
      <c r="D603" s="19" t="str">
        <f t="shared" si="153"/>
        <v/>
      </c>
      <c r="E603" s="19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19"/>
      <c r="U603" s="19"/>
      <c r="V603" s="20"/>
      <c r="W603" s="22"/>
      <c r="X603" s="21"/>
      <c r="Y603" s="21"/>
      <c r="Z603" s="23" t="str">
        <f>IF(B603="","",IF(S603&lt;&gt;"","Sevk Edildi",IF(AND(X603&lt;&gt;"",Y603=""),"Reworkte",IF(T603&lt;&gt;"","Kapandı"&amp;IF(COUNT(G603:R603)=0,""," – "&amp;LOOKUP(2,1/(G603:R603=MAX(G603:R603)),{"Tasarım","Ply Cutter","Üretim","Kalite (Üretim sonrası)","Talaşlı","Kalite (Talaşlı sonrası)","Montaj","Kalite (Montaj sonrası)","Boya","Kalite (Boya sonrası)","Yarı Mamül","KM"})),IF(COUNT(G603:R603)=0,"Başlamadı",LOOKUP(2,1/(G603:R603=MAX(G603:R603)),{"Tasarımda","Ply Cutter'da","Üretimde","Kalitede (Üretim sonrası)","Talaşlıda","Kalitede (Talaşlı sonrası)","Montajda","Kalitede (Montaj sonrası)","Boyada","Kalitede (Boya sonrası)","Yarı Mamülde","KM'de"}))))))</f>
        <v/>
      </c>
      <c r="AA603" s="24" t="str">
        <f t="shared" ca="1" si="155"/>
        <v/>
      </c>
      <c r="AB603" s="22"/>
      <c r="AD603" t="str">
        <f>IF(OR($B603="",NOT(ISNUMBER(G603))),"",IF(COUNTIF(H603:$T603,G603)&gt;0,0,IF(COUNTIF($G603:$T603,"&gt;"&amp;G603)=0,"",SMALL($G603:$T603,COUNTIF($G603:$T603,"&lt;="&amp;G603)+1)-G603)))</f>
        <v/>
      </c>
      <c r="AE603" t="str">
        <f>IF(OR($B603="",NOT(ISNUMBER(H603))),"",IF(COUNTIF(I603:$T603,H603)&gt;0,0,IF(COUNTIF($G603:$T603,"&gt;"&amp;H603)=0,"",SMALL($G603:$T603,COUNTIF($G603:$T603,"&lt;="&amp;H603)+1)-H603)))</f>
        <v/>
      </c>
      <c r="AF603" t="str">
        <f>IF(OR($B603="",NOT(ISNUMBER(I603))),"",IF(COUNTIF(J603:$T603,I603)&gt;0,0,IF(COUNTIF($G603:$T603,"&gt;"&amp;I603)=0,"",SMALL($G603:$T603,COUNTIF($G603:$T603,"&lt;="&amp;I603)+1)-I603)))</f>
        <v/>
      </c>
      <c r="AG603" t="str">
        <f>IF(OR($B603="",NOT(ISNUMBER(J603))),"",IF(COUNTIF(K603:$T603,J603)&gt;0,0,IF(COUNTIF($G603:$T603,"&gt;"&amp;J603)=0,"",SMALL($G603:$T603,COUNTIF($G603:$T603,"&lt;="&amp;J603)+1)-J603)))</f>
        <v/>
      </c>
      <c r="AH603" t="str">
        <f>IF(OR($B603="",NOT(ISNUMBER(K603))),"",IF(COUNTIF(L603:$T603,K603)&gt;0,0,IF(COUNTIF($G603:$T603,"&gt;"&amp;K603)=0,"",SMALL($G603:$T603,COUNTIF($G603:$T603,"&lt;="&amp;K603)+1)-K603)))</f>
        <v/>
      </c>
      <c r="AI603" t="str">
        <f>IF(OR($B603="",NOT(ISNUMBER(L603))),"",IF(COUNTIF(M603:$T603,L603)&gt;0,0,IF(COUNTIF($G603:$T603,"&gt;"&amp;L603)=0,"",SMALL($G603:$T603,COUNTIF($G603:$T603,"&lt;="&amp;L603)+1)-L603)))</f>
        <v/>
      </c>
      <c r="AJ603" t="str">
        <f>IF(OR($B603="",NOT(ISNUMBER(M603))),"",IF(COUNTIF(N603:$T603,M603)&gt;0,0,IF(COUNTIF($G603:$T603,"&gt;"&amp;M603)=0,"",SMALL($G603:$T603,COUNTIF($G603:$T603,"&lt;="&amp;M603)+1)-M603)))</f>
        <v/>
      </c>
      <c r="AK603" t="str">
        <f>IF(OR($B603="",NOT(ISNUMBER(N603))),"",IF(COUNTIF(O603:$T603,N603)&gt;0,0,IF(COUNTIF($G603:$T603,"&gt;"&amp;N603)=0,"",SMALL($G603:$T603,COUNTIF($G603:$T603,"&lt;="&amp;N603)+1)-N603)))</f>
        <v/>
      </c>
      <c r="AL603" t="str">
        <f>IF(OR($B603="",NOT(ISNUMBER(O603))),"",IF(COUNTIF(P603:$T603,O603)&gt;0,0,IF(COUNTIF($G603:$T603,"&gt;"&amp;O603)=0,"",SMALL($G603:$T603,COUNTIF($G603:$T603,"&lt;="&amp;O603)+1)-O603)))</f>
        <v/>
      </c>
      <c r="AM603" t="str">
        <f>IF(OR($B603="",NOT(ISNUMBER(P603))),"",IF(COUNTIF(Q603:$T603,P603)&gt;0,0,IF(COUNTIF($G603:$T603,"&gt;"&amp;P603)=0,"",SMALL($G603:$T603,COUNTIF($G603:$T603,"&lt;="&amp;P603)+1)-P603)))</f>
        <v/>
      </c>
      <c r="AN603" t="str">
        <f>IF(OR($B603="",NOT(ISNUMBER(Q603))),"",IF(COUNTIF(R603:$T603,Q603)&gt;0,0,IF(COUNTIF($G603:$T603,"&gt;"&amp;Q603)=0,"",SMALL($G603:$T603,COUNTIF($G603:$T603,"&lt;="&amp;Q603)+1)-Q603)))</f>
        <v/>
      </c>
      <c r="AO603" t="str">
        <f>IF(OR($B603="",NOT(ISNUMBER(R603))),"",IF(COUNTIF(S603:$T603,R603)&gt;0,0,IF(COUNTIF($G603:$T603,"&gt;"&amp;R603)=0,"",SMALL($G603:$T603,COUNTIF($G603:$T603,"&lt;="&amp;R603)+1)-R603)))</f>
        <v/>
      </c>
      <c r="AP603">
        <f t="shared" ca="1" si="156"/>
        <v>0</v>
      </c>
      <c r="AQ603" s="25" t="str">
        <f t="shared" si="157"/>
        <v/>
      </c>
      <c r="AR603" s="25" t="str">
        <f t="shared" si="158"/>
        <v/>
      </c>
      <c r="AS603" s="25" t="str">
        <f t="shared" si="159"/>
        <v/>
      </c>
      <c r="AT603" s="25" t="str">
        <f t="shared" si="160"/>
        <v/>
      </c>
      <c r="AU603" s="25" t="str">
        <f t="shared" si="161"/>
        <v/>
      </c>
      <c r="AV603" s="25" t="str">
        <f t="shared" si="162"/>
        <v/>
      </c>
      <c r="AW603" s="25" t="str">
        <f t="shared" si="163"/>
        <v/>
      </c>
      <c r="AX603" s="25" t="str">
        <f t="shared" si="164"/>
        <v/>
      </c>
      <c r="AY603" s="25" t="str">
        <f t="shared" si="165"/>
        <v/>
      </c>
      <c r="AZ603" s="25" t="str">
        <f t="shared" si="166"/>
        <v/>
      </c>
      <c r="BA603" s="25" t="str">
        <f t="shared" si="167"/>
        <v/>
      </c>
      <c r="BB603" s="25" t="str">
        <f t="shared" si="168"/>
        <v/>
      </c>
      <c r="BC603" s="25" t="str">
        <f t="shared" si="169"/>
        <v/>
      </c>
    </row>
    <row r="604" spans="1:55" x14ac:dyDescent="0.25">
      <c r="A604" s="19" t="str">
        <f t="shared" si="154"/>
        <v/>
      </c>
      <c r="B604" s="19"/>
      <c r="C604" s="20"/>
      <c r="D604" s="19" t="str">
        <f t="shared" si="153"/>
        <v/>
      </c>
      <c r="E604" s="19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19"/>
      <c r="U604" s="19"/>
      <c r="V604" s="20"/>
      <c r="W604" s="22"/>
      <c r="X604" s="21"/>
      <c r="Y604" s="21"/>
      <c r="Z604" s="23" t="str">
        <f>IF(B604="","",IF(S604&lt;&gt;"","Sevk Edildi",IF(AND(X604&lt;&gt;"",Y604=""),"Reworkte",IF(T604&lt;&gt;"","Kapandı"&amp;IF(COUNT(G604:R604)=0,""," – "&amp;LOOKUP(2,1/(G604:R604=MAX(G604:R604)),{"Tasarım","Ply Cutter","Üretim","Kalite (Üretim sonrası)","Talaşlı","Kalite (Talaşlı sonrası)","Montaj","Kalite (Montaj sonrası)","Boya","Kalite (Boya sonrası)","Yarı Mamül","KM"})),IF(COUNT(G604:R604)=0,"Başlamadı",LOOKUP(2,1/(G604:R604=MAX(G604:R604)),{"Tasarımda","Ply Cutter'da","Üretimde","Kalitede (Üretim sonrası)","Talaşlıda","Kalitede (Talaşlı sonrası)","Montajda","Kalitede (Montaj sonrası)","Boyada","Kalitede (Boya sonrası)","Yarı Mamülde","KM'de"}))))))</f>
        <v/>
      </c>
      <c r="AA604" s="24" t="str">
        <f t="shared" ca="1" si="155"/>
        <v/>
      </c>
      <c r="AB604" s="22"/>
      <c r="AD604" t="str">
        <f>IF(OR($B604="",NOT(ISNUMBER(G604))),"",IF(COUNTIF(H604:$T604,G604)&gt;0,0,IF(COUNTIF($G604:$T604,"&gt;"&amp;G604)=0,"",SMALL($G604:$T604,COUNTIF($G604:$T604,"&lt;="&amp;G604)+1)-G604)))</f>
        <v/>
      </c>
      <c r="AE604" t="str">
        <f>IF(OR($B604="",NOT(ISNUMBER(H604))),"",IF(COUNTIF(I604:$T604,H604)&gt;0,0,IF(COUNTIF($G604:$T604,"&gt;"&amp;H604)=0,"",SMALL($G604:$T604,COUNTIF($G604:$T604,"&lt;="&amp;H604)+1)-H604)))</f>
        <v/>
      </c>
      <c r="AF604" t="str">
        <f>IF(OR($B604="",NOT(ISNUMBER(I604))),"",IF(COUNTIF(J604:$T604,I604)&gt;0,0,IF(COUNTIF($G604:$T604,"&gt;"&amp;I604)=0,"",SMALL($G604:$T604,COUNTIF($G604:$T604,"&lt;="&amp;I604)+1)-I604)))</f>
        <v/>
      </c>
      <c r="AG604" t="str">
        <f>IF(OR($B604="",NOT(ISNUMBER(J604))),"",IF(COUNTIF(K604:$T604,J604)&gt;0,0,IF(COUNTIF($G604:$T604,"&gt;"&amp;J604)=0,"",SMALL($G604:$T604,COUNTIF($G604:$T604,"&lt;="&amp;J604)+1)-J604)))</f>
        <v/>
      </c>
      <c r="AH604" t="str">
        <f>IF(OR($B604="",NOT(ISNUMBER(K604))),"",IF(COUNTIF(L604:$T604,K604)&gt;0,0,IF(COUNTIF($G604:$T604,"&gt;"&amp;K604)=0,"",SMALL($G604:$T604,COUNTIF($G604:$T604,"&lt;="&amp;K604)+1)-K604)))</f>
        <v/>
      </c>
      <c r="AI604" t="str">
        <f>IF(OR($B604="",NOT(ISNUMBER(L604))),"",IF(COUNTIF(M604:$T604,L604)&gt;0,0,IF(COUNTIF($G604:$T604,"&gt;"&amp;L604)=0,"",SMALL($G604:$T604,COUNTIF($G604:$T604,"&lt;="&amp;L604)+1)-L604)))</f>
        <v/>
      </c>
      <c r="AJ604" t="str">
        <f>IF(OR($B604="",NOT(ISNUMBER(M604))),"",IF(COUNTIF(N604:$T604,M604)&gt;0,0,IF(COUNTIF($G604:$T604,"&gt;"&amp;M604)=0,"",SMALL($G604:$T604,COUNTIF($G604:$T604,"&lt;="&amp;M604)+1)-M604)))</f>
        <v/>
      </c>
      <c r="AK604" t="str">
        <f>IF(OR($B604="",NOT(ISNUMBER(N604))),"",IF(COUNTIF(O604:$T604,N604)&gt;0,0,IF(COUNTIF($G604:$T604,"&gt;"&amp;N604)=0,"",SMALL($G604:$T604,COUNTIF($G604:$T604,"&lt;="&amp;N604)+1)-N604)))</f>
        <v/>
      </c>
      <c r="AL604" t="str">
        <f>IF(OR($B604="",NOT(ISNUMBER(O604))),"",IF(COUNTIF(P604:$T604,O604)&gt;0,0,IF(COUNTIF($G604:$T604,"&gt;"&amp;O604)=0,"",SMALL($G604:$T604,COUNTIF($G604:$T604,"&lt;="&amp;O604)+1)-O604)))</f>
        <v/>
      </c>
      <c r="AM604" t="str">
        <f>IF(OR($B604="",NOT(ISNUMBER(P604))),"",IF(COUNTIF(Q604:$T604,P604)&gt;0,0,IF(COUNTIF($G604:$T604,"&gt;"&amp;P604)=0,"",SMALL($G604:$T604,COUNTIF($G604:$T604,"&lt;="&amp;P604)+1)-P604)))</f>
        <v/>
      </c>
      <c r="AN604" t="str">
        <f>IF(OR($B604="",NOT(ISNUMBER(Q604))),"",IF(COUNTIF(R604:$T604,Q604)&gt;0,0,IF(COUNTIF($G604:$T604,"&gt;"&amp;Q604)=0,"",SMALL($G604:$T604,COUNTIF($G604:$T604,"&lt;="&amp;Q604)+1)-Q604)))</f>
        <v/>
      </c>
      <c r="AO604" t="str">
        <f>IF(OR($B604="",NOT(ISNUMBER(R604))),"",IF(COUNTIF(S604:$T604,R604)&gt;0,0,IF(COUNTIF($G604:$T604,"&gt;"&amp;R604)=0,"",SMALL($G604:$T604,COUNTIF($G604:$T604,"&lt;="&amp;R604)+1)-R604)))</f>
        <v/>
      </c>
      <c r="AP604">
        <f t="shared" ca="1" si="156"/>
        <v>0</v>
      </c>
      <c r="AQ604" s="25" t="str">
        <f t="shared" si="157"/>
        <v/>
      </c>
      <c r="AR604" s="25" t="str">
        <f t="shared" si="158"/>
        <v/>
      </c>
      <c r="AS604" s="25" t="str">
        <f t="shared" si="159"/>
        <v/>
      </c>
      <c r="AT604" s="25" t="str">
        <f t="shared" si="160"/>
        <v/>
      </c>
      <c r="AU604" s="25" t="str">
        <f t="shared" si="161"/>
        <v/>
      </c>
      <c r="AV604" s="25" t="str">
        <f t="shared" si="162"/>
        <v/>
      </c>
      <c r="AW604" s="25" t="str">
        <f t="shared" si="163"/>
        <v/>
      </c>
      <c r="AX604" s="25" t="str">
        <f t="shared" si="164"/>
        <v/>
      </c>
      <c r="AY604" s="25" t="str">
        <f t="shared" si="165"/>
        <v/>
      </c>
      <c r="AZ604" s="25" t="str">
        <f t="shared" si="166"/>
        <v/>
      </c>
      <c r="BA604" s="25" t="str">
        <f t="shared" si="167"/>
        <v/>
      </c>
      <c r="BB604" s="25" t="str">
        <f t="shared" si="168"/>
        <v/>
      </c>
      <c r="BC604" s="25" t="str">
        <f t="shared" si="169"/>
        <v/>
      </c>
    </row>
    <row r="605" spans="1:55" x14ac:dyDescent="0.25">
      <c r="A605" s="19" t="str">
        <f t="shared" si="154"/>
        <v/>
      </c>
      <c r="B605" s="19"/>
      <c r="C605" s="20"/>
      <c r="D605" s="19" t="str">
        <f t="shared" si="153"/>
        <v/>
      </c>
      <c r="E605" s="19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19"/>
      <c r="U605" s="19"/>
      <c r="V605" s="20"/>
      <c r="W605" s="22"/>
      <c r="X605" s="21"/>
      <c r="Y605" s="21"/>
      <c r="Z605" s="23" t="str">
        <f>IF(B605="","",IF(S605&lt;&gt;"","Sevk Edildi",IF(AND(X605&lt;&gt;"",Y605=""),"Reworkte",IF(T605&lt;&gt;"","Kapandı"&amp;IF(COUNT(G605:R605)=0,""," – "&amp;LOOKUP(2,1/(G605:R605=MAX(G605:R605)),{"Tasarım","Ply Cutter","Üretim","Kalite (Üretim sonrası)","Talaşlı","Kalite (Talaşlı sonrası)","Montaj","Kalite (Montaj sonrası)","Boya","Kalite (Boya sonrası)","Yarı Mamül","KM"})),IF(COUNT(G605:R605)=0,"Başlamadı",LOOKUP(2,1/(G605:R605=MAX(G605:R605)),{"Tasarımda","Ply Cutter'da","Üretimde","Kalitede (Üretim sonrası)","Talaşlıda","Kalitede (Talaşlı sonrası)","Montajda","Kalitede (Montaj sonrası)","Boyada","Kalitede (Boya sonrası)","Yarı Mamülde","KM'de"}))))))</f>
        <v/>
      </c>
      <c r="AA605" s="24" t="str">
        <f t="shared" ca="1" si="155"/>
        <v/>
      </c>
      <c r="AB605" s="22"/>
      <c r="AD605" t="str">
        <f>IF(OR($B605="",NOT(ISNUMBER(G605))),"",IF(COUNTIF(H605:$T605,G605)&gt;0,0,IF(COUNTIF($G605:$T605,"&gt;"&amp;G605)=0,"",SMALL($G605:$T605,COUNTIF($G605:$T605,"&lt;="&amp;G605)+1)-G605)))</f>
        <v/>
      </c>
      <c r="AE605" t="str">
        <f>IF(OR($B605="",NOT(ISNUMBER(H605))),"",IF(COUNTIF(I605:$T605,H605)&gt;0,0,IF(COUNTIF($G605:$T605,"&gt;"&amp;H605)=0,"",SMALL($G605:$T605,COUNTIF($G605:$T605,"&lt;="&amp;H605)+1)-H605)))</f>
        <v/>
      </c>
      <c r="AF605" t="str">
        <f>IF(OR($B605="",NOT(ISNUMBER(I605))),"",IF(COUNTIF(J605:$T605,I605)&gt;0,0,IF(COUNTIF($G605:$T605,"&gt;"&amp;I605)=0,"",SMALL($G605:$T605,COUNTIF($G605:$T605,"&lt;="&amp;I605)+1)-I605)))</f>
        <v/>
      </c>
      <c r="AG605" t="str">
        <f>IF(OR($B605="",NOT(ISNUMBER(J605))),"",IF(COUNTIF(K605:$T605,J605)&gt;0,0,IF(COUNTIF($G605:$T605,"&gt;"&amp;J605)=0,"",SMALL($G605:$T605,COUNTIF($G605:$T605,"&lt;="&amp;J605)+1)-J605)))</f>
        <v/>
      </c>
      <c r="AH605" t="str">
        <f>IF(OR($B605="",NOT(ISNUMBER(K605))),"",IF(COUNTIF(L605:$T605,K605)&gt;0,0,IF(COUNTIF($G605:$T605,"&gt;"&amp;K605)=0,"",SMALL($G605:$T605,COUNTIF($G605:$T605,"&lt;="&amp;K605)+1)-K605)))</f>
        <v/>
      </c>
      <c r="AI605" t="str">
        <f>IF(OR($B605="",NOT(ISNUMBER(L605))),"",IF(COUNTIF(M605:$T605,L605)&gt;0,0,IF(COUNTIF($G605:$T605,"&gt;"&amp;L605)=0,"",SMALL($G605:$T605,COUNTIF($G605:$T605,"&lt;="&amp;L605)+1)-L605)))</f>
        <v/>
      </c>
      <c r="AJ605" t="str">
        <f>IF(OR($B605="",NOT(ISNUMBER(M605))),"",IF(COUNTIF(N605:$T605,M605)&gt;0,0,IF(COUNTIF($G605:$T605,"&gt;"&amp;M605)=0,"",SMALL($G605:$T605,COUNTIF($G605:$T605,"&lt;="&amp;M605)+1)-M605)))</f>
        <v/>
      </c>
      <c r="AK605" t="str">
        <f>IF(OR($B605="",NOT(ISNUMBER(N605))),"",IF(COUNTIF(O605:$T605,N605)&gt;0,0,IF(COUNTIF($G605:$T605,"&gt;"&amp;N605)=0,"",SMALL($G605:$T605,COUNTIF($G605:$T605,"&lt;="&amp;N605)+1)-N605)))</f>
        <v/>
      </c>
      <c r="AL605" t="str">
        <f>IF(OR($B605="",NOT(ISNUMBER(O605))),"",IF(COUNTIF(P605:$T605,O605)&gt;0,0,IF(COUNTIF($G605:$T605,"&gt;"&amp;O605)=0,"",SMALL($G605:$T605,COUNTIF($G605:$T605,"&lt;="&amp;O605)+1)-O605)))</f>
        <v/>
      </c>
      <c r="AM605" t="str">
        <f>IF(OR($B605="",NOT(ISNUMBER(P605))),"",IF(COUNTIF(Q605:$T605,P605)&gt;0,0,IF(COUNTIF($G605:$T605,"&gt;"&amp;P605)=0,"",SMALL($G605:$T605,COUNTIF($G605:$T605,"&lt;="&amp;P605)+1)-P605)))</f>
        <v/>
      </c>
      <c r="AN605" t="str">
        <f>IF(OR($B605="",NOT(ISNUMBER(Q605))),"",IF(COUNTIF(R605:$T605,Q605)&gt;0,0,IF(COUNTIF($G605:$T605,"&gt;"&amp;Q605)=0,"",SMALL($G605:$T605,COUNTIF($G605:$T605,"&lt;="&amp;Q605)+1)-Q605)))</f>
        <v/>
      </c>
      <c r="AO605" t="str">
        <f>IF(OR($B605="",NOT(ISNUMBER(R605))),"",IF(COUNTIF(S605:$T605,R605)&gt;0,0,IF(COUNTIF($G605:$T605,"&gt;"&amp;R605)=0,"",SMALL($G605:$T605,COUNTIF($G605:$T605,"&lt;="&amp;R605)+1)-R605)))</f>
        <v/>
      </c>
      <c r="AP605">
        <f t="shared" ca="1" si="156"/>
        <v>0</v>
      </c>
      <c r="AQ605" s="25" t="str">
        <f t="shared" si="157"/>
        <v/>
      </c>
      <c r="AR605" s="25" t="str">
        <f t="shared" si="158"/>
        <v/>
      </c>
      <c r="AS605" s="25" t="str">
        <f t="shared" si="159"/>
        <v/>
      </c>
      <c r="AT605" s="25" t="str">
        <f t="shared" si="160"/>
        <v/>
      </c>
      <c r="AU605" s="25" t="str">
        <f t="shared" si="161"/>
        <v/>
      </c>
      <c r="AV605" s="25" t="str">
        <f t="shared" si="162"/>
        <v/>
      </c>
      <c r="AW605" s="25" t="str">
        <f t="shared" si="163"/>
        <v/>
      </c>
      <c r="AX605" s="25" t="str">
        <f t="shared" si="164"/>
        <v/>
      </c>
      <c r="AY605" s="25" t="str">
        <f t="shared" si="165"/>
        <v/>
      </c>
      <c r="AZ605" s="25" t="str">
        <f t="shared" si="166"/>
        <v/>
      </c>
      <c r="BA605" s="25" t="str">
        <f t="shared" si="167"/>
        <v/>
      </c>
      <c r="BB605" s="25" t="str">
        <f t="shared" si="168"/>
        <v/>
      </c>
      <c r="BC605" s="25" t="str">
        <f t="shared" si="169"/>
        <v/>
      </c>
    </row>
    <row r="606" spans="1:55" x14ac:dyDescent="0.25">
      <c r="A606" s="19" t="str">
        <f t="shared" si="154"/>
        <v/>
      </c>
      <c r="B606" s="19"/>
      <c r="C606" s="20"/>
      <c r="D606" s="19" t="str">
        <f t="shared" si="153"/>
        <v/>
      </c>
      <c r="E606" s="19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19"/>
      <c r="U606" s="19"/>
      <c r="V606" s="20"/>
      <c r="W606" s="22"/>
      <c r="X606" s="21"/>
      <c r="Y606" s="21"/>
      <c r="Z606" s="23" t="str">
        <f>IF(B606="","",IF(S606&lt;&gt;"","Sevk Edildi",IF(AND(X606&lt;&gt;"",Y606=""),"Reworkte",IF(T606&lt;&gt;"","Kapandı"&amp;IF(COUNT(G606:R606)=0,""," – "&amp;LOOKUP(2,1/(G606:R606=MAX(G606:R606)),{"Tasarım","Ply Cutter","Üretim","Kalite (Üretim sonrası)","Talaşlı","Kalite (Talaşlı sonrası)","Montaj","Kalite (Montaj sonrası)","Boya","Kalite (Boya sonrası)","Yarı Mamül","KM"})),IF(COUNT(G606:R606)=0,"Başlamadı",LOOKUP(2,1/(G606:R606=MAX(G606:R606)),{"Tasarımda","Ply Cutter'da","Üretimde","Kalitede (Üretim sonrası)","Talaşlıda","Kalitede (Talaşlı sonrası)","Montajda","Kalitede (Montaj sonrası)","Boyada","Kalitede (Boya sonrası)","Yarı Mamülde","KM'de"}))))))</f>
        <v/>
      </c>
      <c r="AA606" s="24" t="str">
        <f t="shared" ca="1" si="155"/>
        <v/>
      </c>
      <c r="AB606" s="22"/>
      <c r="AD606" t="str">
        <f>IF(OR($B606="",NOT(ISNUMBER(G606))),"",IF(COUNTIF(H606:$T606,G606)&gt;0,0,IF(COUNTIF($G606:$T606,"&gt;"&amp;G606)=0,"",SMALL($G606:$T606,COUNTIF($G606:$T606,"&lt;="&amp;G606)+1)-G606)))</f>
        <v/>
      </c>
      <c r="AE606" t="str">
        <f>IF(OR($B606="",NOT(ISNUMBER(H606))),"",IF(COUNTIF(I606:$T606,H606)&gt;0,0,IF(COUNTIF($G606:$T606,"&gt;"&amp;H606)=0,"",SMALL($G606:$T606,COUNTIF($G606:$T606,"&lt;="&amp;H606)+1)-H606)))</f>
        <v/>
      </c>
      <c r="AF606" t="str">
        <f>IF(OR($B606="",NOT(ISNUMBER(I606))),"",IF(COUNTIF(J606:$T606,I606)&gt;0,0,IF(COUNTIF($G606:$T606,"&gt;"&amp;I606)=0,"",SMALL($G606:$T606,COUNTIF($G606:$T606,"&lt;="&amp;I606)+1)-I606)))</f>
        <v/>
      </c>
      <c r="AG606" t="str">
        <f>IF(OR($B606="",NOT(ISNUMBER(J606))),"",IF(COUNTIF(K606:$T606,J606)&gt;0,0,IF(COUNTIF($G606:$T606,"&gt;"&amp;J606)=0,"",SMALL($G606:$T606,COUNTIF($G606:$T606,"&lt;="&amp;J606)+1)-J606)))</f>
        <v/>
      </c>
      <c r="AH606" t="str">
        <f>IF(OR($B606="",NOT(ISNUMBER(K606))),"",IF(COUNTIF(L606:$T606,K606)&gt;0,0,IF(COUNTIF($G606:$T606,"&gt;"&amp;K606)=0,"",SMALL($G606:$T606,COUNTIF($G606:$T606,"&lt;="&amp;K606)+1)-K606)))</f>
        <v/>
      </c>
      <c r="AI606" t="str">
        <f>IF(OR($B606="",NOT(ISNUMBER(L606))),"",IF(COUNTIF(M606:$T606,L606)&gt;0,0,IF(COUNTIF($G606:$T606,"&gt;"&amp;L606)=0,"",SMALL($G606:$T606,COUNTIF($G606:$T606,"&lt;="&amp;L606)+1)-L606)))</f>
        <v/>
      </c>
      <c r="AJ606" t="str">
        <f>IF(OR($B606="",NOT(ISNUMBER(M606))),"",IF(COUNTIF(N606:$T606,M606)&gt;0,0,IF(COUNTIF($G606:$T606,"&gt;"&amp;M606)=0,"",SMALL($G606:$T606,COUNTIF($G606:$T606,"&lt;="&amp;M606)+1)-M606)))</f>
        <v/>
      </c>
      <c r="AK606" t="str">
        <f>IF(OR($B606="",NOT(ISNUMBER(N606))),"",IF(COUNTIF(O606:$T606,N606)&gt;0,0,IF(COUNTIF($G606:$T606,"&gt;"&amp;N606)=0,"",SMALL($G606:$T606,COUNTIF($G606:$T606,"&lt;="&amp;N606)+1)-N606)))</f>
        <v/>
      </c>
      <c r="AL606" t="str">
        <f>IF(OR($B606="",NOT(ISNUMBER(O606))),"",IF(COUNTIF(P606:$T606,O606)&gt;0,0,IF(COUNTIF($G606:$T606,"&gt;"&amp;O606)=0,"",SMALL($G606:$T606,COUNTIF($G606:$T606,"&lt;="&amp;O606)+1)-O606)))</f>
        <v/>
      </c>
      <c r="AM606" t="str">
        <f>IF(OR($B606="",NOT(ISNUMBER(P606))),"",IF(COUNTIF(Q606:$T606,P606)&gt;0,0,IF(COUNTIF($G606:$T606,"&gt;"&amp;P606)=0,"",SMALL($G606:$T606,COUNTIF($G606:$T606,"&lt;="&amp;P606)+1)-P606)))</f>
        <v/>
      </c>
      <c r="AN606" t="str">
        <f>IF(OR($B606="",NOT(ISNUMBER(Q606))),"",IF(COUNTIF(R606:$T606,Q606)&gt;0,0,IF(COUNTIF($G606:$T606,"&gt;"&amp;Q606)=0,"",SMALL($G606:$T606,COUNTIF($G606:$T606,"&lt;="&amp;Q606)+1)-Q606)))</f>
        <v/>
      </c>
      <c r="AO606" t="str">
        <f>IF(OR($B606="",NOT(ISNUMBER(R606))),"",IF(COUNTIF(S606:$T606,R606)&gt;0,0,IF(COUNTIF($G606:$T606,"&gt;"&amp;R606)=0,"",SMALL($G606:$T606,COUNTIF($G606:$T606,"&lt;="&amp;R606)+1)-R606)))</f>
        <v/>
      </c>
      <c r="AP606">
        <f t="shared" ca="1" si="156"/>
        <v>0</v>
      </c>
      <c r="AQ606" s="25" t="str">
        <f t="shared" si="157"/>
        <v/>
      </c>
      <c r="AR606" s="25" t="str">
        <f t="shared" si="158"/>
        <v/>
      </c>
      <c r="AS606" s="25" t="str">
        <f t="shared" si="159"/>
        <v/>
      </c>
      <c r="AT606" s="25" t="str">
        <f t="shared" si="160"/>
        <v/>
      </c>
      <c r="AU606" s="25" t="str">
        <f t="shared" si="161"/>
        <v/>
      </c>
      <c r="AV606" s="25" t="str">
        <f t="shared" si="162"/>
        <v/>
      </c>
      <c r="AW606" s="25" t="str">
        <f t="shared" si="163"/>
        <v/>
      </c>
      <c r="AX606" s="25" t="str">
        <f t="shared" si="164"/>
        <v/>
      </c>
      <c r="AY606" s="25" t="str">
        <f t="shared" si="165"/>
        <v/>
      </c>
      <c r="AZ606" s="25" t="str">
        <f t="shared" si="166"/>
        <v/>
      </c>
      <c r="BA606" s="25" t="str">
        <f t="shared" si="167"/>
        <v/>
      </c>
      <c r="BB606" s="25" t="str">
        <f t="shared" si="168"/>
        <v/>
      </c>
      <c r="BC606" s="25" t="str">
        <f t="shared" si="169"/>
        <v/>
      </c>
    </row>
    <row r="607" spans="1:55" x14ac:dyDescent="0.25">
      <c r="A607" s="19" t="str">
        <f t="shared" si="154"/>
        <v/>
      </c>
      <c r="B607" s="19"/>
      <c r="C607" s="20"/>
      <c r="D607" s="19" t="str">
        <f t="shared" si="153"/>
        <v/>
      </c>
      <c r="E607" s="19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19"/>
      <c r="U607" s="19"/>
      <c r="V607" s="20"/>
      <c r="W607" s="22"/>
      <c r="X607" s="21"/>
      <c r="Y607" s="21"/>
      <c r="Z607" s="23" t="str">
        <f>IF(B607="","",IF(S607&lt;&gt;"","Sevk Edildi",IF(AND(X607&lt;&gt;"",Y607=""),"Reworkte",IF(T607&lt;&gt;"","Kapandı"&amp;IF(COUNT(G607:R607)=0,""," – "&amp;LOOKUP(2,1/(G607:R607=MAX(G607:R607)),{"Tasarım","Ply Cutter","Üretim","Kalite (Üretim sonrası)","Talaşlı","Kalite (Talaşlı sonrası)","Montaj","Kalite (Montaj sonrası)","Boya","Kalite (Boya sonrası)","Yarı Mamül","KM"})),IF(COUNT(G607:R607)=0,"Başlamadı",LOOKUP(2,1/(G607:R607=MAX(G607:R607)),{"Tasarımda","Ply Cutter'da","Üretimde","Kalitede (Üretim sonrası)","Talaşlıda","Kalitede (Talaşlı sonrası)","Montajda","Kalitede (Montaj sonrası)","Boyada","Kalitede (Boya sonrası)","Yarı Mamülde","KM'de"}))))))</f>
        <v/>
      </c>
      <c r="AA607" s="24" t="str">
        <f t="shared" ca="1" si="155"/>
        <v/>
      </c>
      <c r="AB607" s="22"/>
      <c r="AD607" t="str">
        <f>IF(OR($B607="",NOT(ISNUMBER(G607))),"",IF(COUNTIF(H607:$T607,G607)&gt;0,0,IF(COUNTIF($G607:$T607,"&gt;"&amp;G607)=0,"",SMALL($G607:$T607,COUNTIF($G607:$T607,"&lt;="&amp;G607)+1)-G607)))</f>
        <v/>
      </c>
      <c r="AE607" t="str">
        <f>IF(OR($B607="",NOT(ISNUMBER(H607))),"",IF(COUNTIF(I607:$T607,H607)&gt;0,0,IF(COUNTIF($G607:$T607,"&gt;"&amp;H607)=0,"",SMALL($G607:$T607,COUNTIF($G607:$T607,"&lt;="&amp;H607)+1)-H607)))</f>
        <v/>
      </c>
      <c r="AF607" t="str">
        <f>IF(OR($B607="",NOT(ISNUMBER(I607))),"",IF(COUNTIF(J607:$T607,I607)&gt;0,0,IF(COUNTIF($G607:$T607,"&gt;"&amp;I607)=0,"",SMALL($G607:$T607,COUNTIF($G607:$T607,"&lt;="&amp;I607)+1)-I607)))</f>
        <v/>
      </c>
      <c r="AG607" t="str">
        <f>IF(OR($B607="",NOT(ISNUMBER(J607))),"",IF(COUNTIF(K607:$T607,J607)&gt;0,0,IF(COUNTIF($G607:$T607,"&gt;"&amp;J607)=0,"",SMALL($G607:$T607,COUNTIF($G607:$T607,"&lt;="&amp;J607)+1)-J607)))</f>
        <v/>
      </c>
      <c r="AH607" t="str">
        <f>IF(OR($B607="",NOT(ISNUMBER(K607))),"",IF(COUNTIF(L607:$T607,K607)&gt;0,0,IF(COUNTIF($G607:$T607,"&gt;"&amp;K607)=0,"",SMALL($G607:$T607,COUNTIF($G607:$T607,"&lt;="&amp;K607)+1)-K607)))</f>
        <v/>
      </c>
      <c r="AI607" t="str">
        <f>IF(OR($B607="",NOT(ISNUMBER(L607))),"",IF(COUNTIF(M607:$T607,L607)&gt;0,0,IF(COUNTIF($G607:$T607,"&gt;"&amp;L607)=0,"",SMALL($G607:$T607,COUNTIF($G607:$T607,"&lt;="&amp;L607)+1)-L607)))</f>
        <v/>
      </c>
      <c r="AJ607" t="str">
        <f>IF(OR($B607="",NOT(ISNUMBER(M607))),"",IF(COUNTIF(N607:$T607,M607)&gt;0,0,IF(COUNTIF($G607:$T607,"&gt;"&amp;M607)=0,"",SMALL($G607:$T607,COUNTIF($G607:$T607,"&lt;="&amp;M607)+1)-M607)))</f>
        <v/>
      </c>
      <c r="AK607" t="str">
        <f>IF(OR($B607="",NOT(ISNUMBER(N607))),"",IF(COUNTIF(O607:$T607,N607)&gt;0,0,IF(COUNTIF($G607:$T607,"&gt;"&amp;N607)=0,"",SMALL($G607:$T607,COUNTIF($G607:$T607,"&lt;="&amp;N607)+1)-N607)))</f>
        <v/>
      </c>
      <c r="AL607" t="str">
        <f>IF(OR($B607="",NOT(ISNUMBER(O607))),"",IF(COUNTIF(P607:$T607,O607)&gt;0,0,IF(COUNTIF($G607:$T607,"&gt;"&amp;O607)=0,"",SMALL($G607:$T607,COUNTIF($G607:$T607,"&lt;="&amp;O607)+1)-O607)))</f>
        <v/>
      </c>
      <c r="AM607" t="str">
        <f>IF(OR($B607="",NOT(ISNUMBER(P607))),"",IF(COUNTIF(Q607:$T607,P607)&gt;0,0,IF(COUNTIF($G607:$T607,"&gt;"&amp;P607)=0,"",SMALL($G607:$T607,COUNTIF($G607:$T607,"&lt;="&amp;P607)+1)-P607)))</f>
        <v/>
      </c>
      <c r="AN607" t="str">
        <f>IF(OR($B607="",NOT(ISNUMBER(Q607))),"",IF(COUNTIF(R607:$T607,Q607)&gt;0,0,IF(COUNTIF($G607:$T607,"&gt;"&amp;Q607)=0,"",SMALL($G607:$T607,COUNTIF($G607:$T607,"&lt;="&amp;Q607)+1)-Q607)))</f>
        <v/>
      </c>
      <c r="AO607" t="str">
        <f>IF(OR($B607="",NOT(ISNUMBER(R607))),"",IF(COUNTIF(S607:$T607,R607)&gt;0,0,IF(COUNTIF($G607:$T607,"&gt;"&amp;R607)=0,"",SMALL($G607:$T607,COUNTIF($G607:$T607,"&lt;="&amp;R607)+1)-R607)))</f>
        <v/>
      </c>
      <c r="AP607">
        <f t="shared" ca="1" si="156"/>
        <v>0</v>
      </c>
      <c r="AQ607" s="25" t="str">
        <f t="shared" si="157"/>
        <v/>
      </c>
      <c r="AR607" s="25" t="str">
        <f t="shared" si="158"/>
        <v/>
      </c>
      <c r="AS607" s="25" t="str">
        <f t="shared" si="159"/>
        <v/>
      </c>
      <c r="AT607" s="25" t="str">
        <f t="shared" si="160"/>
        <v/>
      </c>
      <c r="AU607" s="25" t="str">
        <f t="shared" si="161"/>
        <v/>
      </c>
      <c r="AV607" s="25" t="str">
        <f t="shared" si="162"/>
        <v/>
      </c>
      <c r="AW607" s="25" t="str">
        <f t="shared" si="163"/>
        <v/>
      </c>
      <c r="AX607" s="25" t="str">
        <f t="shared" si="164"/>
        <v/>
      </c>
      <c r="AY607" s="25" t="str">
        <f t="shared" si="165"/>
        <v/>
      </c>
      <c r="AZ607" s="25" t="str">
        <f t="shared" si="166"/>
        <v/>
      </c>
      <c r="BA607" s="25" t="str">
        <f t="shared" si="167"/>
        <v/>
      </c>
      <c r="BB607" s="25" t="str">
        <f t="shared" si="168"/>
        <v/>
      </c>
      <c r="BC607" s="25" t="str">
        <f t="shared" si="169"/>
        <v/>
      </c>
    </row>
    <row r="608" spans="1:55" x14ac:dyDescent="0.25">
      <c r="A608" s="19" t="str">
        <f t="shared" si="154"/>
        <v/>
      </c>
      <c r="B608" s="19"/>
      <c r="C608" s="20"/>
      <c r="D608" s="19" t="str">
        <f t="shared" si="153"/>
        <v/>
      </c>
      <c r="E608" s="19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19"/>
      <c r="U608" s="19"/>
      <c r="V608" s="20"/>
      <c r="W608" s="22"/>
      <c r="X608" s="21"/>
      <c r="Y608" s="21"/>
      <c r="Z608" s="23" t="str">
        <f>IF(B608="","",IF(S608&lt;&gt;"","Sevk Edildi",IF(AND(X608&lt;&gt;"",Y608=""),"Reworkte",IF(T608&lt;&gt;"","Kapandı"&amp;IF(COUNT(G608:R608)=0,""," – "&amp;LOOKUP(2,1/(G608:R608=MAX(G608:R608)),{"Tasarım","Ply Cutter","Üretim","Kalite (Üretim sonrası)","Talaşlı","Kalite (Talaşlı sonrası)","Montaj","Kalite (Montaj sonrası)","Boya","Kalite (Boya sonrası)","Yarı Mamül","KM"})),IF(COUNT(G608:R608)=0,"Başlamadı",LOOKUP(2,1/(G608:R608=MAX(G608:R608)),{"Tasarımda","Ply Cutter'da","Üretimde","Kalitede (Üretim sonrası)","Talaşlıda","Kalitede (Talaşlı sonrası)","Montajda","Kalitede (Montaj sonrası)","Boyada","Kalitede (Boya sonrası)","Yarı Mamülde","KM'de"}))))))</f>
        <v/>
      </c>
      <c r="AA608" s="24" t="str">
        <f t="shared" ca="1" si="155"/>
        <v/>
      </c>
      <c r="AB608" s="22"/>
      <c r="AD608" t="str">
        <f>IF(OR($B608="",NOT(ISNUMBER(G608))),"",IF(COUNTIF(H608:$T608,G608)&gt;0,0,IF(COUNTIF($G608:$T608,"&gt;"&amp;G608)=0,"",SMALL($G608:$T608,COUNTIF($G608:$T608,"&lt;="&amp;G608)+1)-G608)))</f>
        <v/>
      </c>
      <c r="AE608" t="str">
        <f>IF(OR($B608="",NOT(ISNUMBER(H608))),"",IF(COUNTIF(I608:$T608,H608)&gt;0,0,IF(COUNTIF($G608:$T608,"&gt;"&amp;H608)=0,"",SMALL($G608:$T608,COUNTIF($G608:$T608,"&lt;="&amp;H608)+1)-H608)))</f>
        <v/>
      </c>
      <c r="AF608" t="str">
        <f>IF(OR($B608="",NOT(ISNUMBER(I608))),"",IF(COUNTIF(J608:$T608,I608)&gt;0,0,IF(COUNTIF($G608:$T608,"&gt;"&amp;I608)=0,"",SMALL($G608:$T608,COUNTIF($G608:$T608,"&lt;="&amp;I608)+1)-I608)))</f>
        <v/>
      </c>
      <c r="AG608" t="str">
        <f>IF(OR($B608="",NOT(ISNUMBER(J608))),"",IF(COUNTIF(K608:$T608,J608)&gt;0,0,IF(COUNTIF($G608:$T608,"&gt;"&amp;J608)=0,"",SMALL($G608:$T608,COUNTIF($G608:$T608,"&lt;="&amp;J608)+1)-J608)))</f>
        <v/>
      </c>
      <c r="AH608" t="str">
        <f>IF(OR($B608="",NOT(ISNUMBER(K608))),"",IF(COUNTIF(L608:$T608,K608)&gt;0,0,IF(COUNTIF($G608:$T608,"&gt;"&amp;K608)=0,"",SMALL($G608:$T608,COUNTIF($G608:$T608,"&lt;="&amp;K608)+1)-K608)))</f>
        <v/>
      </c>
      <c r="AI608" t="str">
        <f>IF(OR($B608="",NOT(ISNUMBER(L608))),"",IF(COUNTIF(M608:$T608,L608)&gt;0,0,IF(COUNTIF($G608:$T608,"&gt;"&amp;L608)=0,"",SMALL($G608:$T608,COUNTIF($G608:$T608,"&lt;="&amp;L608)+1)-L608)))</f>
        <v/>
      </c>
      <c r="AJ608" t="str">
        <f>IF(OR($B608="",NOT(ISNUMBER(M608))),"",IF(COUNTIF(N608:$T608,M608)&gt;0,0,IF(COUNTIF($G608:$T608,"&gt;"&amp;M608)=0,"",SMALL($G608:$T608,COUNTIF($G608:$T608,"&lt;="&amp;M608)+1)-M608)))</f>
        <v/>
      </c>
      <c r="AK608" t="str">
        <f>IF(OR($B608="",NOT(ISNUMBER(N608))),"",IF(COUNTIF(O608:$T608,N608)&gt;0,0,IF(COUNTIF($G608:$T608,"&gt;"&amp;N608)=0,"",SMALL($G608:$T608,COUNTIF($G608:$T608,"&lt;="&amp;N608)+1)-N608)))</f>
        <v/>
      </c>
      <c r="AL608" t="str">
        <f>IF(OR($B608="",NOT(ISNUMBER(O608))),"",IF(COUNTIF(P608:$T608,O608)&gt;0,0,IF(COUNTIF($G608:$T608,"&gt;"&amp;O608)=0,"",SMALL($G608:$T608,COUNTIF($G608:$T608,"&lt;="&amp;O608)+1)-O608)))</f>
        <v/>
      </c>
      <c r="AM608" t="str">
        <f>IF(OR($B608="",NOT(ISNUMBER(P608))),"",IF(COUNTIF(Q608:$T608,P608)&gt;0,0,IF(COUNTIF($G608:$T608,"&gt;"&amp;P608)=0,"",SMALL($G608:$T608,COUNTIF($G608:$T608,"&lt;="&amp;P608)+1)-P608)))</f>
        <v/>
      </c>
      <c r="AN608" t="str">
        <f>IF(OR($B608="",NOT(ISNUMBER(Q608))),"",IF(COUNTIF(R608:$T608,Q608)&gt;0,0,IF(COUNTIF($G608:$T608,"&gt;"&amp;Q608)=0,"",SMALL($G608:$T608,COUNTIF($G608:$T608,"&lt;="&amp;Q608)+1)-Q608)))</f>
        <v/>
      </c>
      <c r="AO608" t="str">
        <f>IF(OR($B608="",NOT(ISNUMBER(R608))),"",IF(COUNTIF(S608:$T608,R608)&gt;0,0,IF(COUNTIF($G608:$T608,"&gt;"&amp;R608)=0,"",SMALL($G608:$T608,COUNTIF($G608:$T608,"&lt;="&amp;R608)+1)-R608)))</f>
        <v/>
      </c>
      <c r="AP608">
        <f t="shared" ca="1" si="156"/>
        <v>0</v>
      </c>
      <c r="AQ608" s="25" t="str">
        <f t="shared" si="157"/>
        <v/>
      </c>
      <c r="AR608" s="25" t="str">
        <f t="shared" si="158"/>
        <v/>
      </c>
      <c r="AS608" s="25" t="str">
        <f t="shared" si="159"/>
        <v/>
      </c>
      <c r="AT608" s="25" t="str">
        <f t="shared" si="160"/>
        <v/>
      </c>
      <c r="AU608" s="25" t="str">
        <f t="shared" si="161"/>
        <v/>
      </c>
      <c r="AV608" s="25" t="str">
        <f t="shared" si="162"/>
        <v/>
      </c>
      <c r="AW608" s="25" t="str">
        <f t="shared" si="163"/>
        <v/>
      </c>
      <c r="AX608" s="25" t="str">
        <f t="shared" si="164"/>
        <v/>
      </c>
      <c r="AY608" s="25" t="str">
        <f t="shared" si="165"/>
        <v/>
      </c>
      <c r="AZ608" s="25" t="str">
        <f t="shared" si="166"/>
        <v/>
      </c>
      <c r="BA608" s="25" t="str">
        <f t="shared" si="167"/>
        <v/>
      </c>
      <c r="BB608" s="25" t="str">
        <f t="shared" si="168"/>
        <v/>
      </c>
      <c r="BC608" s="25" t="str">
        <f t="shared" si="169"/>
        <v/>
      </c>
    </row>
    <row r="609" spans="1:55" x14ac:dyDescent="0.25">
      <c r="A609" s="19" t="str">
        <f t="shared" si="154"/>
        <v/>
      </c>
      <c r="B609" s="19"/>
      <c r="C609" s="20"/>
      <c r="D609" s="19" t="str">
        <f t="shared" si="153"/>
        <v/>
      </c>
      <c r="E609" s="19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19"/>
      <c r="U609" s="19"/>
      <c r="V609" s="20"/>
      <c r="W609" s="22"/>
      <c r="X609" s="21"/>
      <c r="Y609" s="21"/>
      <c r="Z609" s="23" t="str">
        <f>IF(B609="","",IF(S609&lt;&gt;"","Sevk Edildi",IF(AND(X609&lt;&gt;"",Y609=""),"Reworkte",IF(T609&lt;&gt;"","Kapandı"&amp;IF(COUNT(G609:R609)=0,""," – "&amp;LOOKUP(2,1/(G609:R609=MAX(G609:R609)),{"Tasarım","Ply Cutter","Üretim","Kalite (Üretim sonrası)","Talaşlı","Kalite (Talaşlı sonrası)","Montaj","Kalite (Montaj sonrası)","Boya","Kalite (Boya sonrası)","Yarı Mamül","KM"})),IF(COUNT(G609:R609)=0,"Başlamadı",LOOKUP(2,1/(G609:R609=MAX(G609:R609)),{"Tasarımda","Ply Cutter'da","Üretimde","Kalitede (Üretim sonrası)","Talaşlıda","Kalitede (Talaşlı sonrası)","Montajda","Kalitede (Montaj sonrası)","Boyada","Kalitede (Boya sonrası)","Yarı Mamülde","KM'de"}))))))</f>
        <v/>
      </c>
      <c r="AA609" s="24" t="str">
        <f t="shared" ca="1" si="155"/>
        <v/>
      </c>
      <c r="AB609" s="22"/>
      <c r="AD609" t="str">
        <f>IF(OR($B609="",NOT(ISNUMBER(G609))),"",IF(COUNTIF(H609:$T609,G609)&gt;0,0,IF(COUNTIF($G609:$T609,"&gt;"&amp;G609)=0,"",SMALL($G609:$T609,COUNTIF($G609:$T609,"&lt;="&amp;G609)+1)-G609)))</f>
        <v/>
      </c>
      <c r="AE609" t="str">
        <f>IF(OR($B609="",NOT(ISNUMBER(H609))),"",IF(COUNTIF(I609:$T609,H609)&gt;0,0,IF(COUNTIF($G609:$T609,"&gt;"&amp;H609)=0,"",SMALL($G609:$T609,COUNTIF($G609:$T609,"&lt;="&amp;H609)+1)-H609)))</f>
        <v/>
      </c>
      <c r="AF609" t="str">
        <f>IF(OR($B609="",NOT(ISNUMBER(I609))),"",IF(COUNTIF(J609:$T609,I609)&gt;0,0,IF(COUNTIF($G609:$T609,"&gt;"&amp;I609)=0,"",SMALL($G609:$T609,COUNTIF($G609:$T609,"&lt;="&amp;I609)+1)-I609)))</f>
        <v/>
      </c>
      <c r="AG609" t="str">
        <f>IF(OR($B609="",NOT(ISNUMBER(J609))),"",IF(COUNTIF(K609:$T609,J609)&gt;0,0,IF(COUNTIF($G609:$T609,"&gt;"&amp;J609)=0,"",SMALL($G609:$T609,COUNTIF($G609:$T609,"&lt;="&amp;J609)+1)-J609)))</f>
        <v/>
      </c>
      <c r="AH609" t="str">
        <f>IF(OR($B609="",NOT(ISNUMBER(K609))),"",IF(COUNTIF(L609:$T609,K609)&gt;0,0,IF(COUNTIF($G609:$T609,"&gt;"&amp;K609)=0,"",SMALL($G609:$T609,COUNTIF($G609:$T609,"&lt;="&amp;K609)+1)-K609)))</f>
        <v/>
      </c>
      <c r="AI609" t="str">
        <f>IF(OR($B609="",NOT(ISNUMBER(L609))),"",IF(COUNTIF(M609:$T609,L609)&gt;0,0,IF(COUNTIF($G609:$T609,"&gt;"&amp;L609)=0,"",SMALL($G609:$T609,COUNTIF($G609:$T609,"&lt;="&amp;L609)+1)-L609)))</f>
        <v/>
      </c>
      <c r="AJ609" t="str">
        <f>IF(OR($B609="",NOT(ISNUMBER(M609))),"",IF(COUNTIF(N609:$T609,M609)&gt;0,0,IF(COUNTIF($G609:$T609,"&gt;"&amp;M609)=0,"",SMALL($G609:$T609,COUNTIF($G609:$T609,"&lt;="&amp;M609)+1)-M609)))</f>
        <v/>
      </c>
      <c r="AK609" t="str">
        <f>IF(OR($B609="",NOT(ISNUMBER(N609))),"",IF(COUNTIF(O609:$T609,N609)&gt;0,0,IF(COUNTIF($G609:$T609,"&gt;"&amp;N609)=0,"",SMALL($G609:$T609,COUNTIF($G609:$T609,"&lt;="&amp;N609)+1)-N609)))</f>
        <v/>
      </c>
      <c r="AL609" t="str">
        <f>IF(OR($B609="",NOT(ISNUMBER(O609))),"",IF(COUNTIF(P609:$T609,O609)&gt;0,0,IF(COUNTIF($G609:$T609,"&gt;"&amp;O609)=0,"",SMALL($G609:$T609,COUNTIF($G609:$T609,"&lt;="&amp;O609)+1)-O609)))</f>
        <v/>
      </c>
      <c r="AM609" t="str">
        <f>IF(OR($B609="",NOT(ISNUMBER(P609))),"",IF(COUNTIF(Q609:$T609,P609)&gt;0,0,IF(COUNTIF($G609:$T609,"&gt;"&amp;P609)=0,"",SMALL($G609:$T609,COUNTIF($G609:$T609,"&lt;="&amp;P609)+1)-P609)))</f>
        <v/>
      </c>
      <c r="AN609" t="str">
        <f>IF(OR($B609="",NOT(ISNUMBER(Q609))),"",IF(COUNTIF(R609:$T609,Q609)&gt;0,0,IF(COUNTIF($G609:$T609,"&gt;"&amp;Q609)=0,"",SMALL($G609:$T609,COUNTIF($G609:$T609,"&lt;="&amp;Q609)+1)-Q609)))</f>
        <v/>
      </c>
      <c r="AO609" t="str">
        <f>IF(OR($B609="",NOT(ISNUMBER(R609))),"",IF(COUNTIF(S609:$T609,R609)&gt;0,0,IF(COUNTIF($G609:$T609,"&gt;"&amp;R609)=0,"",SMALL($G609:$T609,COUNTIF($G609:$T609,"&lt;="&amp;R609)+1)-R609)))</f>
        <v/>
      </c>
      <c r="AP609">
        <f t="shared" ca="1" si="156"/>
        <v>0</v>
      </c>
      <c r="AQ609" s="25" t="str">
        <f t="shared" si="157"/>
        <v/>
      </c>
      <c r="AR609" s="25" t="str">
        <f t="shared" si="158"/>
        <v/>
      </c>
      <c r="AS609" s="25" t="str">
        <f t="shared" si="159"/>
        <v/>
      </c>
      <c r="AT609" s="25" t="str">
        <f t="shared" si="160"/>
        <v/>
      </c>
      <c r="AU609" s="25" t="str">
        <f t="shared" si="161"/>
        <v/>
      </c>
      <c r="AV609" s="25" t="str">
        <f t="shared" si="162"/>
        <v/>
      </c>
      <c r="AW609" s="25" t="str">
        <f t="shared" si="163"/>
        <v/>
      </c>
      <c r="AX609" s="25" t="str">
        <f t="shared" si="164"/>
        <v/>
      </c>
      <c r="AY609" s="25" t="str">
        <f t="shared" si="165"/>
        <v/>
      </c>
      <c r="AZ609" s="25" t="str">
        <f t="shared" si="166"/>
        <v/>
      </c>
      <c r="BA609" s="25" t="str">
        <f t="shared" si="167"/>
        <v/>
      </c>
      <c r="BB609" s="25" t="str">
        <f t="shared" si="168"/>
        <v/>
      </c>
      <c r="BC609" s="25" t="str">
        <f t="shared" si="169"/>
        <v/>
      </c>
    </row>
    <row r="610" spans="1:55" x14ac:dyDescent="0.25">
      <c r="A610" s="19" t="str">
        <f t="shared" si="154"/>
        <v/>
      </c>
      <c r="B610" s="19"/>
      <c r="C610" s="20"/>
      <c r="D610" s="19" t="str">
        <f t="shared" si="153"/>
        <v/>
      </c>
      <c r="E610" s="19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19"/>
      <c r="U610" s="19"/>
      <c r="V610" s="20"/>
      <c r="W610" s="22"/>
      <c r="X610" s="21"/>
      <c r="Y610" s="21"/>
      <c r="Z610" s="23" t="str">
        <f>IF(B610="","",IF(S610&lt;&gt;"","Sevk Edildi",IF(AND(X610&lt;&gt;"",Y610=""),"Reworkte",IF(T610&lt;&gt;"","Kapandı"&amp;IF(COUNT(G610:R610)=0,""," – "&amp;LOOKUP(2,1/(G610:R610=MAX(G610:R610)),{"Tasarım","Ply Cutter","Üretim","Kalite (Üretim sonrası)","Talaşlı","Kalite (Talaşlı sonrası)","Montaj","Kalite (Montaj sonrası)","Boya","Kalite (Boya sonrası)","Yarı Mamül","KM"})),IF(COUNT(G610:R610)=0,"Başlamadı",LOOKUP(2,1/(G610:R610=MAX(G610:R610)),{"Tasarımda","Ply Cutter'da","Üretimde","Kalitede (Üretim sonrası)","Talaşlıda","Kalitede (Talaşlı sonrası)","Montajda","Kalitede (Montaj sonrası)","Boyada","Kalitede (Boya sonrası)","Yarı Mamülde","KM'de"}))))))</f>
        <v/>
      </c>
      <c r="AA610" s="24" t="str">
        <f t="shared" ca="1" si="155"/>
        <v/>
      </c>
      <c r="AB610" s="22"/>
      <c r="AD610" t="str">
        <f>IF(OR($B610="",NOT(ISNUMBER(G610))),"",IF(COUNTIF(H610:$T610,G610)&gt;0,0,IF(COUNTIF($G610:$T610,"&gt;"&amp;G610)=0,"",SMALL($G610:$T610,COUNTIF($G610:$T610,"&lt;="&amp;G610)+1)-G610)))</f>
        <v/>
      </c>
      <c r="AE610" t="str">
        <f>IF(OR($B610="",NOT(ISNUMBER(H610))),"",IF(COUNTIF(I610:$T610,H610)&gt;0,0,IF(COUNTIF($G610:$T610,"&gt;"&amp;H610)=0,"",SMALL($G610:$T610,COUNTIF($G610:$T610,"&lt;="&amp;H610)+1)-H610)))</f>
        <v/>
      </c>
      <c r="AF610" t="str">
        <f>IF(OR($B610="",NOT(ISNUMBER(I610))),"",IF(COUNTIF(J610:$T610,I610)&gt;0,0,IF(COUNTIF($G610:$T610,"&gt;"&amp;I610)=0,"",SMALL($G610:$T610,COUNTIF($G610:$T610,"&lt;="&amp;I610)+1)-I610)))</f>
        <v/>
      </c>
      <c r="AG610" t="str">
        <f>IF(OR($B610="",NOT(ISNUMBER(J610))),"",IF(COUNTIF(K610:$T610,J610)&gt;0,0,IF(COUNTIF($G610:$T610,"&gt;"&amp;J610)=0,"",SMALL($G610:$T610,COUNTIF($G610:$T610,"&lt;="&amp;J610)+1)-J610)))</f>
        <v/>
      </c>
      <c r="AH610" t="str">
        <f>IF(OR($B610="",NOT(ISNUMBER(K610))),"",IF(COUNTIF(L610:$T610,K610)&gt;0,0,IF(COUNTIF($G610:$T610,"&gt;"&amp;K610)=0,"",SMALL($G610:$T610,COUNTIF($G610:$T610,"&lt;="&amp;K610)+1)-K610)))</f>
        <v/>
      </c>
      <c r="AI610" t="str">
        <f>IF(OR($B610="",NOT(ISNUMBER(L610))),"",IF(COUNTIF(M610:$T610,L610)&gt;0,0,IF(COUNTIF($G610:$T610,"&gt;"&amp;L610)=0,"",SMALL($G610:$T610,COUNTIF($G610:$T610,"&lt;="&amp;L610)+1)-L610)))</f>
        <v/>
      </c>
      <c r="AJ610" t="str">
        <f>IF(OR($B610="",NOT(ISNUMBER(M610))),"",IF(COUNTIF(N610:$T610,M610)&gt;0,0,IF(COUNTIF($G610:$T610,"&gt;"&amp;M610)=0,"",SMALL($G610:$T610,COUNTIF($G610:$T610,"&lt;="&amp;M610)+1)-M610)))</f>
        <v/>
      </c>
      <c r="AK610" t="str">
        <f>IF(OR($B610="",NOT(ISNUMBER(N610))),"",IF(COUNTIF(O610:$T610,N610)&gt;0,0,IF(COUNTIF($G610:$T610,"&gt;"&amp;N610)=0,"",SMALL($G610:$T610,COUNTIF($G610:$T610,"&lt;="&amp;N610)+1)-N610)))</f>
        <v/>
      </c>
      <c r="AL610" t="str">
        <f>IF(OR($B610="",NOT(ISNUMBER(O610))),"",IF(COUNTIF(P610:$T610,O610)&gt;0,0,IF(COUNTIF($G610:$T610,"&gt;"&amp;O610)=0,"",SMALL($G610:$T610,COUNTIF($G610:$T610,"&lt;="&amp;O610)+1)-O610)))</f>
        <v/>
      </c>
      <c r="AM610" t="str">
        <f>IF(OR($B610="",NOT(ISNUMBER(P610))),"",IF(COUNTIF(Q610:$T610,P610)&gt;0,0,IF(COUNTIF($G610:$T610,"&gt;"&amp;P610)=0,"",SMALL($G610:$T610,COUNTIF($G610:$T610,"&lt;="&amp;P610)+1)-P610)))</f>
        <v/>
      </c>
      <c r="AN610" t="str">
        <f>IF(OR($B610="",NOT(ISNUMBER(Q610))),"",IF(COUNTIF(R610:$T610,Q610)&gt;0,0,IF(COUNTIF($G610:$T610,"&gt;"&amp;Q610)=0,"",SMALL($G610:$T610,COUNTIF($G610:$T610,"&lt;="&amp;Q610)+1)-Q610)))</f>
        <v/>
      </c>
      <c r="AO610" t="str">
        <f>IF(OR($B610="",NOT(ISNUMBER(R610))),"",IF(COUNTIF(S610:$T610,R610)&gt;0,0,IF(COUNTIF($G610:$T610,"&gt;"&amp;R610)=0,"",SMALL($G610:$T610,COUNTIF($G610:$T610,"&lt;="&amp;R610)+1)-R610)))</f>
        <v/>
      </c>
      <c r="AP610">
        <f t="shared" ca="1" si="156"/>
        <v>0</v>
      </c>
      <c r="AQ610" s="25" t="str">
        <f t="shared" si="157"/>
        <v/>
      </c>
      <c r="AR610" s="25" t="str">
        <f t="shared" si="158"/>
        <v/>
      </c>
      <c r="AS610" s="25" t="str">
        <f t="shared" si="159"/>
        <v/>
      </c>
      <c r="AT610" s="25" t="str">
        <f t="shared" si="160"/>
        <v/>
      </c>
      <c r="AU610" s="25" t="str">
        <f t="shared" si="161"/>
        <v/>
      </c>
      <c r="AV610" s="25" t="str">
        <f t="shared" si="162"/>
        <v/>
      </c>
      <c r="AW610" s="25" t="str">
        <f t="shared" si="163"/>
        <v/>
      </c>
      <c r="AX610" s="25" t="str">
        <f t="shared" si="164"/>
        <v/>
      </c>
      <c r="AY610" s="25" t="str">
        <f t="shared" si="165"/>
        <v/>
      </c>
      <c r="AZ610" s="25" t="str">
        <f t="shared" si="166"/>
        <v/>
      </c>
      <c r="BA610" s="25" t="str">
        <f t="shared" si="167"/>
        <v/>
      </c>
      <c r="BB610" s="25" t="str">
        <f t="shared" si="168"/>
        <v/>
      </c>
      <c r="BC610" s="25" t="str">
        <f t="shared" si="169"/>
        <v/>
      </c>
    </row>
    <row r="611" spans="1:55" x14ac:dyDescent="0.25">
      <c r="A611" s="19" t="str">
        <f t="shared" si="154"/>
        <v/>
      </c>
      <c r="B611" s="19"/>
      <c r="C611" s="20"/>
      <c r="D611" s="19" t="str">
        <f t="shared" si="153"/>
        <v/>
      </c>
      <c r="E611" s="19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19"/>
      <c r="U611" s="19"/>
      <c r="V611" s="20"/>
      <c r="W611" s="22"/>
      <c r="X611" s="21"/>
      <c r="Y611" s="21"/>
      <c r="Z611" s="23" t="str">
        <f>IF(B611="","",IF(S611&lt;&gt;"","Sevk Edildi",IF(AND(X611&lt;&gt;"",Y611=""),"Reworkte",IF(T611&lt;&gt;"","Kapandı"&amp;IF(COUNT(G611:R611)=0,""," – "&amp;LOOKUP(2,1/(G611:R611=MAX(G611:R611)),{"Tasarım","Ply Cutter","Üretim","Kalite (Üretim sonrası)","Talaşlı","Kalite (Talaşlı sonrası)","Montaj","Kalite (Montaj sonrası)","Boya","Kalite (Boya sonrası)","Yarı Mamül","KM"})),IF(COUNT(G611:R611)=0,"Başlamadı",LOOKUP(2,1/(G611:R611=MAX(G611:R611)),{"Tasarımda","Ply Cutter'da","Üretimde","Kalitede (Üretim sonrası)","Talaşlıda","Kalitede (Talaşlı sonrası)","Montajda","Kalitede (Montaj sonrası)","Boyada","Kalitede (Boya sonrası)","Yarı Mamülde","KM'de"}))))))</f>
        <v/>
      </c>
      <c r="AA611" s="24" t="str">
        <f t="shared" ca="1" si="155"/>
        <v/>
      </c>
      <c r="AB611" s="22"/>
      <c r="AD611" t="str">
        <f>IF(OR($B611="",NOT(ISNUMBER(G611))),"",IF(COUNTIF(H611:$T611,G611)&gt;0,0,IF(COUNTIF($G611:$T611,"&gt;"&amp;G611)=0,"",SMALL($G611:$T611,COUNTIF($G611:$T611,"&lt;="&amp;G611)+1)-G611)))</f>
        <v/>
      </c>
      <c r="AE611" t="str">
        <f>IF(OR($B611="",NOT(ISNUMBER(H611))),"",IF(COUNTIF(I611:$T611,H611)&gt;0,0,IF(COUNTIF($G611:$T611,"&gt;"&amp;H611)=0,"",SMALL($G611:$T611,COUNTIF($G611:$T611,"&lt;="&amp;H611)+1)-H611)))</f>
        <v/>
      </c>
      <c r="AF611" t="str">
        <f>IF(OR($B611="",NOT(ISNUMBER(I611))),"",IF(COUNTIF(J611:$T611,I611)&gt;0,0,IF(COUNTIF($G611:$T611,"&gt;"&amp;I611)=0,"",SMALL($G611:$T611,COUNTIF($G611:$T611,"&lt;="&amp;I611)+1)-I611)))</f>
        <v/>
      </c>
      <c r="AG611" t="str">
        <f>IF(OR($B611="",NOT(ISNUMBER(J611))),"",IF(COUNTIF(K611:$T611,J611)&gt;0,0,IF(COUNTIF($G611:$T611,"&gt;"&amp;J611)=0,"",SMALL($G611:$T611,COUNTIF($G611:$T611,"&lt;="&amp;J611)+1)-J611)))</f>
        <v/>
      </c>
      <c r="AH611" t="str">
        <f>IF(OR($B611="",NOT(ISNUMBER(K611))),"",IF(COUNTIF(L611:$T611,K611)&gt;0,0,IF(COUNTIF($G611:$T611,"&gt;"&amp;K611)=0,"",SMALL($G611:$T611,COUNTIF($G611:$T611,"&lt;="&amp;K611)+1)-K611)))</f>
        <v/>
      </c>
      <c r="AI611" t="str">
        <f>IF(OR($B611="",NOT(ISNUMBER(L611))),"",IF(COUNTIF(M611:$T611,L611)&gt;0,0,IF(COUNTIF($G611:$T611,"&gt;"&amp;L611)=0,"",SMALL($G611:$T611,COUNTIF($G611:$T611,"&lt;="&amp;L611)+1)-L611)))</f>
        <v/>
      </c>
      <c r="AJ611" t="str">
        <f>IF(OR($B611="",NOT(ISNUMBER(M611))),"",IF(COUNTIF(N611:$T611,M611)&gt;0,0,IF(COUNTIF($G611:$T611,"&gt;"&amp;M611)=0,"",SMALL($G611:$T611,COUNTIF($G611:$T611,"&lt;="&amp;M611)+1)-M611)))</f>
        <v/>
      </c>
      <c r="AK611" t="str">
        <f>IF(OR($B611="",NOT(ISNUMBER(N611))),"",IF(COUNTIF(O611:$T611,N611)&gt;0,0,IF(COUNTIF($G611:$T611,"&gt;"&amp;N611)=0,"",SMALL($G611:$T611,COUNTIF($G611:$T611,"&lt;="&amp;N611)+1)-N611)))</f>
        <v/>
      </c>
      <c r="AL611" t="str">
        <f>IF(OR($B611="",NOT(ISNUMBER(O611))),"",IF(COUNTIF(P611:$T611,O611)&gt;0,0,IF(COUNTIF($G611:$T611,"&gt;"&amp;O611)=0,"",SMALL($G611:$T611,COUNTIF($G611:$T611,"&lt;="&amp;O611)+1)-O611)))</f>
        <v/>
      </c>
      <c r="AM611" t="str">
        <f>IF(OR($B611="",NOT(ISNUMBER(P611))),"",IF(COUNTIF(Q611:$T611,P611)&gt;0,0,IF(COUNTIF($G611:$T611,"&gt;"&amp;P611)=0,"",SMALL($G611:$T611,COUNTIF($G611:$T611,"&lt;="&amp;P611)+1)-P611)))</f>
        <v/>
      </c>
      <c r="AN611" t="str">
        <f>IF(OR($B611="",NOT(ISNUMBER(Q611))),"",IF(COUNTIF(R611:$T611,Q611)&gt;0,0,IF(COUNTIF($G611:$T611,"&gt;"&amp;Q611)=0,"",SMALL($G611:$T611,COUNTIF($G611:$T611,"&lt;="&amp;Q611)+1)-Q611)))</f>
        <v/>
      </c>
      <c r="AO611" t="str">
        <f>IF(OR($B611="",NOT(ISNUMBER(R611))),"",IF(COUNTIF(S611:$T611,R611)&gt;0,0,IF(COUNTIF($G611:$T611,"&gt;"&amp;R611)=0,"",SMALL($G611:$T611,COUNTIF($G611:$T611,"&lt;="&amp;R611)+1)-R611)))</f>
        <v/>
      </c>
      <c r="AP611">
        <f t="shared" ca="1" si="156"/>
        <v>0</v>
      </c>
      <c r="AQ611" s="25" t="str">
        <f t="shared" si="157"/>
        <v/>
      </c>
      <c r="AR611" s="25" t="str">
        <f t="shared" si="158"/>
        <v/>
      </c>
      <c r="AS611" s="25" t="str">
        <f t="shared" si="159"/>
        <v/>
      </c>
      <c r="AT611" s="25" t="str">
        <f t="shared" si="160"/>
        <v/>
      </c>
      <c r="AU611" s="25" t="str">
        <f t="shared" si="161"/>
        <v/>
      </c>
      <c r="AV611" s="25" t="str">
        <f t="shared" si="162"/>
        <v/>
      </c>
      <c r="AW611" s="25" t="str">
        <f t="shared" si="163"/>
        <v/>
      </c>
      <c r="AX611" s="25" t="str">
        <f t="shared" si="164"/>
        <v/>
      </c>
      <c r="AY611" s="25" t="str">
        <f t="shared" si="165"/>
        <v/>
      </c>
      <c r="AZ611" s="25" t="str">
        <f t="shared" si="166"/>
        <v/>
      </c>
      <c r="BA611" s="25" t="str">
        <f t="shared" si="167"/>
        <v/>
      </c>
      <c r="BB611" s="25" t="str">
        <f t="shared" si="168"/>
        <v/>
      </c>
      <c r="BC611" s="25" t="str">
        <f t="shared" si="169"/>
        <v/>
      </c>
    </row>
    <row r="612" spans="1:55" x14ac:dyDescent="0.25">
      <c r="A612" s="19" t="str">
        <f t="shared" si="154"/>
        <v/>
      </c>
      <c r="B612" s="19"/>
      <c r="C612" s="20"/>
      <c r="D612" s="19" t="str">
        <f t="shared" si="153"/>
        <v/>
      </c>
      <c r="E612" s="19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19"/>
      <c r="U612" s="19"/>
      <c r="V612" s="20"/>
      <c r="W612" s="22"/>
      <c r="X612" s="21"/>
      <c r="Y612" s="21"/>
      <c r="Z612" s="23" t="str">
        <f>IF(B612="","",IF(S612&lt;&gt;"","Sevk Edildi",IF(AND(X612&lt;&gt;"",Y612=""),"Reworkte",IF(T612&lt;&gt;"","Kapandı"&amp;IF(COUNT(G612:R612)=0,""," – "&amp;LOOKUP(2,1/(G612:R612=MAX(G612:R612)),{"Tasarım","Ply Cutter","Üretim","Kalite (Üretim sonrası)","Talaşlı","Kalite (Talaşlı sonrası)","Montaj","Kalite (Montaj sonrası)","Boya","Kalite (Boya sonrası)","Yarı Mamül","KM"})),IF(COUNT(G612:R612)=0,"Başlamadı",LOOKUP(2,1/(G612:R612=MAX(G612:R612)),{"Tasarımda","Ply Cutter'da","Üretimde","Kalitede (Üretim sonrası)","Talaşlıda","Kalitede (Talaşlı sonrası)","Montajda","Kalitede (Montaj sonrası)","Boyada","Kalitede (Boya sonrası)","Yarı Mamülde","KM'de"}))))))</f>
        <v/>
      </c>
      <c r="AA612" s="24" t="str">
        <f t="shared" ca="1" si="155"/>
        <v/>
      </c>
      <c r="AB612" s="22"/>
      <c r="AD612" t="str">
        <f>IF(OR($B612="",NOT(ISNUMBER(G612))),"",IF(COUNTIF(H612:$T612,G612)&gt;0,0,IF(COUNTIF($G612:$T612,"&gt;"&amp;G612)=0,"",SMALL($G612:$T612,COUNTIF($G612:$T612,"&lt;="&amp;G612)+1)-G612)))</f>
        <v/>
      </c>
      <c r="AE612" t="str">
        <f>IF(OR($B612="",NOT(ISNUMBER(H612))),"",IF(COUNTIF(I612:$T612,H612)&gt;0,0,IF(COUNTIF($G612:$T612,"&gt;"&amp;H612)=0,"",SMALL($G612:$T612,COUNTIF($G612:$T612,"&lt;="&amp;H612)+1)-H612)))</f>
        <v/>
      </c>
      <c r="AF612" t="str">
        <f>IF(OR($B612="",NOT(ISNUMBER(I612))),"",IF(COUNTIF(J612:$T612,I612)&gt;0,0,IF(COUNTIF($G612:$T612,"&gt;"&amp;I612)=0,"",SMALL($G612:$T612,COUNTIF($G612:$T612,"&lt;="&amp;I612)+1)-I612)))</f>
        <v/>
      </c>
      <c r="AG612" t="str">
        <f>IF(OR($B612="",NOT(ISNUMBER(J612))),"",IF(COUNTIF(K612:$T612,J612)&gt;0,0,IF(COUNTIF($G612:$T612,"&gt;"&amp;J612)=0,"",SMALL($G612:$T612,COUNTIF($G612:$T612,"&lt;="&amp;J612)+1)-J612)))</f>
        <v/>
      </c>
      <c r="AH612" t="str">
        <f>IF(OR($B612="",NOT(ISNUMBER(K612))),"",IF(COUNTIF(L612:$T612,K612)&gt;0,0,IF(COUNTIF($G612:$T612,"&gt;"&amp;K612)=0,"",SMALL($G612:$T612,COUNTIF($G612:$T612,"&lt;="&amp;K612)+1)-K612)))</f>
        <v/>
      </c>
      <c r="AI612" t="str">
        <f>IF(OR($B612="",NOT(ISNUMBER(L612))),"",IF(COUNTIF(M612:$T612,L612)&gt;0,0,IF(COUNTIF($G612:$T612,"&gt;"&amp;L612)=0,"",SMALL($G612:$T612,COUNTIF($G612:$T612,"&lt;="&amp;L612)+1)-L612)))</f>
        <v/>
      </c>
      <c r="AJ612" t="str">
        <f>IF(OR($B612="",NOT(ISNUMBER(M612))),"",IF(COUNTIF(N612:$T612,M612)&gt;0,0,IF(COUNTIF($G612:$T612,"&gt;"&amp;M612)=0,"",SMALL($G612:$T612,COUNTIF($G612:$T612,"&lt;="&amp;M612)+1)-M612)))</f>
        <v/>
      </c>
      <c r="AK612" t="str">
        <f>IF(OR($B612="",NOT(ISNUMBER(N612))),"",IF(COUNTIF(O612:$T612,N612)&gt;0,0,IF(COUNTIF($G612:$T612,"&gt;"&amp;N612)=0,"",SMALL($G612:$T612,COUNTIF($G612:$T612,"&lt;="&amp;N612)+1)-N612)))</f>
        <v/>
      </c>
      <c r="AL612" t="str">
        <f>IF(OR($B612="",NOT(ISNUMBER(O612))),"",IF(COUNTIF(P612:$T612,O612)&gt;0,0,IF(COUNTIF($G612:$T612,"&gt;"&amp;O612)=0,"",SMALL($G612:$T612,COUNTIF($G612:$T612,"&lt;="&amp;O612)+1)-O612)))</f>
        <v/>
      </c>
      <c r="AM612" t="str">
        <f>IF(OR($B612="",NOT(ISNUMBER(P612))),"",IF(COUNTIF(Q612:$T612,P612)&gt;0,0,IF(COUNTIF($G612:$T612,"&gt;"&amp;P612)=0,"",SMALL($G612:$T612,COUNTIF($G612:$T612,"&lt;="&amp;P612)+1)-P612)))</f>
        <v/>
      </c>
      <c r="AN612" t="str">
        <f>IF(OR($B612="",NOT(ISNUMBER(Q612))),"",IF(COUNTIF(R612:$T612,Q612)&gt;0,0,IF(COUNTIF($G612:$T612,"&gt;"&amp;Q612)=0,"",SMALL($G612:$T612,COUNTIF($G612:$T612,"&lt;="&amp;Q612)+1)-Q612)))</f>
        <v/>
      </c>
      <c r="AO612" t="str">
        <f>IF(OR($B612="",NOT(ISNUMBER(R612))),"",IF(COUNTIF(S612:$T612,R612)&gt;0,0,IF(COUNTIF($G612:$T612,"&gt;"&amp;R612)=0,"",SMALL($G612:$T612,COUNTIF($G612:$T612,"&lt;="&amp;R612)+1)-R612)))</f>
        <v/>
      </c>
      <c r="AP612">
        <f t="shared" ca="1" si="156"/>
        <v>0</v>
      </c>
      <c r="AQ612" s="25" t="str">
        <f t="shared" si="157"/>
        <v/>
      </c>
      <c r="AR612" s="25" t="str">
        <f t="shared" si="158"/>
        <v/>
      </c>
      <c r="AS612" s="25" t="str">
        <f t="shared" si="159"/>
        <v/>
      </c>
      <c r="AT612" s="25" t="str">
        <f t="shared" si="160"/>
        <v/>
      </c>
      <c r="AU612" s="25" t="str">
        <f t="shared" si="161"/>
        <v/>
      </c>
      <c r="AV612" s="25" t="str">
        <f t="shared" si="162"/>
        <v/>
      </c>
      <c r="AW612" s="25" t="str">
        <f t="shared" si="163"/>
        <v/>
      </c>
      <c r="AX612" s="25" t="str">
        <f t="shared" si="164"/>
        <v/>
      </c>
      <c r="AY612" s="25" t="str">
        <f t="shared" si="165"/>
        <v/>
      </c>
      <c r="AZ612" s="25" t="str">
        <f t="shared" si="166"/>
        <v/>
      </c>
      <c r="BA612" s="25" t="str">
        <f t="shared" si="167"/>
        <v/>
      </c>
      <c r="BB612" s="25" t="str">
        <f t="shared" si="168"/>
        <v/>
      </c>
      <c r="BC612" s="25" t="str">
        <f t="shared" si="169"/>
        <v/>
      </c>
    </row>
    <row r="613" spans="1:55" x14ac:dyDescent="0.25">
      <c r="A613" s="19" t="str">
        <f t="shared" si="154"/>
        <v/>
      </c>
      <c r="B613" s="19"/>
      <c r="C613" s="20"/>
      <c r="D613" s="19" t="str">
        <f t="shared" si="153"/>
        <v/>
      </c>
      <c r="E613" s="19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19"/>
      <c r="U613" s="19"/>
      <c r="V613" s="20"/>
      <c r="W613" s="22"/>
      <c r="X613" s="21"/>
      <c r="Y613" s="21"/>
      <c r="Z613" s="23" t="str">
        <f>IF(B613="","",IF(S613&lt;&gt;"","Sevk Edildi",IF(AND(X613&lt;&gt;"",Y613=""),"Reworkte",IF(T613&lt;&gt;"","Kapandı"&amp;IF(COUNT(G613:R613)=0,""," – "&amp;LOOKUP(2,1/(G613:R613=MAX(G613:R613)),{"Tasarım","Ply Cutter","Üretim","Kalite (Üretim sonrası)","Talaşlı","Kalite (Talaşlı sonrası)","Montaj","Kalite (Montaj sonrası)","Boya","Kalite (Boya sonrası)","Yarı Mamül","KM"})),IF(COUNT(G613:R613)=0,"Başlamadı",LOOKUP(2,1/(G613:R613=MAX(G613:R613)),{"Tasarımda","Ply Cutter'da","Üretimde","Kalitede (Üretim sonrası)","Talaşlıda","Kalitede (Talaşlı sonrası)","Montajda","Kalitede (Montaj sonrası)","Boyada","Kalitede (Boya sonrası)","Yarı Mamülde","KM'de"}))))))</f>
        <v/>
      </c>
      <c r="AA613" s="24" t="str">
        <f t="shared" ca="1" si="155"/>
        <v/>
      </c>
      <c r="AB613" s="22"/>
      <c r="AD613" t="str">
        <f>IF(OR($B613="",NOT(ISNUMBER(G613))),"",IF(COUNTIF(H613:$T613,G613)&gt;0,0,IF(COUNTIF($G613:$T613,"&gt;"&amp;G613)=0,"",SMALL($G613:$T613,COUNTIF($G613:$T613,"&lt;="&amp;G613)+1)-G613)))</f>
        <v/>
      </c>
      <c r="AE613" t="str">
        <f>IF(OR($B613="",NOT(ISNUMBER(H613))),"",IF(COUNTIF(I613:$T613,H613)&gt;0,0,IF(COUNTIF($G613:$T613,"&gt;"&amp;H613)=0,"",SMALL($G613:$T613,COUNTIF($G613:$T613,"&lt;="&amp;H613)+1)-H613)))</f>
        <v/>
      </c>
      <c r="AF613" t="str">
        <f>IF(OR($B613="",NOT(ISNUMBER(I613))),"",IF(COUNTIF(J613:$T613,I613)&gt;0,0,IF(COUNTIF($G613:$T613,"&gt;"&amp;I613)=0,"",SMALL($G613:$T613,COUNTIF($G613:$T613,"&lt;="&amp;I613)+1)-I613)))</f>
        <v/>
      </c>
      <c r="AG613" t="str">
        <f>IF(OR($B613="",NOT(ISNUMBER(J613))),"",IF(COUNTIF(K613:$T613,J613)&gt;0,0,IF(COUNTIF($G613:$T613,"&gt;"&amp;J613)=0,"",SMALL($G613:$T613,COUNTIF($G613:$T613,"&lt;="&amp;J613)+1)-J613)))</f>
        <v/>
      </c>
      <c r="AH613" t="str">
        <f>IF(OR($B613="",NOT(ISNUMBER(K613))),"",IF(COUNTIF(L613:$T613,K613)&gt;0,0,IF(COUNTIF($G613:$T613,"&gt;"&amp;K613)=0,"",SMALL($G613:$T613,COUNTIF($G613:$T613,"&lt;="&amp;K613)+1)-K613)))</f>
        <v/>
      </c>
      <c r="AI613" t="str">
        <f>IF(OR($B613="",NOT(ISNUMBER(L613))),"",IF(COUNTIF(M613:$T613,L613)&gt;0,0,IF(COUNTIF($G613:$T613,"&gt;"&amp;L613)=0,"",SMALL($G613:$T613,COUNTIF($G613:$T613,"&lt;="&amp;L613)+1)-L613)))</f>
        <v/>
      </c>
      <c r="AJ613" t="str">
        <f>IF(OR($B613="",NOT(ISNUMBER(M613))),"",IF(COUNTIF(N613:$T613,M613)&gt;0,0,IF(COUNTIF($G613:$T613,"&gt;"&amp;M613)=0,"",SMALL($G613:$T613,COUNTIF($G613:$T613,"&lt;="&amp;M613)+1)-M613)))</f>
        <v/>
      </c>
      <c r="AK613" t="str">
        <f>IF(OR($B613="",NOT(ISNUMBER(N613))),"",IF(COUNTIF(O613:$T613,N613)&gt;0,0,IF(COUNTIF($G613:$T613,"&gt;"&amp;N613)=0,"",SMALL($G613:$T613,COUNTIF($G613:$T613,"&lt;="&amp;N613)+1)-N613)))</f>
        <v/>
      </c>
      <c r="AL613" t="str">
        <f>IF(OR($B613="",NOT(ISNUMBER(O613))),"",IF(COUNTIF(P613:$T613,O613)&gt;0,0,IF(COUNTIF($G613:$T613,"&gt;"&amp;O613)=0,"",SMALL($G613:$T613,COUNTIF($G613:$T613,"&lt;="&amp;O613)+1)-O613)))</f>
        <v/>
      </c>
      <c r="AM613" t="str">
        <f>IF(OR($B613="",NOT(ISNUMBER(P613))),"",IF(COUNTIF(Q613:$T613,P613)&gt;0,0,IF(COUNTIF($G613:$T613,"&gt;"&amp;P613)=0,"",SMALL($G613:$T613,COUNTIF($G613:$T613,"&lt;="&amp;P613)+1)-P613)))</f>
        <v/>
      </c>
      <c r="AN613" t="str">
        <f>IF(OR($B613="",NOT(ISNUMBER(Q613))),"",IF(COUNTIF(R613:$T613,Q613)&gt;0,0,IF(COUNTIF($G613:$T613,"&gt;"&amp;Q613)=0,"",SMALL($G613:$T613,COUNTIF($G613:$T613,"&lt;="&amp;Q613)+1)-Q613)))</f>
        <v/>
      </c>
      <c r="AO613" t="str">
        <f>IF(OR($B613="",NOT(ISNUMBER(R613))),"",IF(COUNTIF(S613:$T613,R613)&gt;0,0,IF(COUNTIF($G613:$T613,"&gt;"&amp;R613)=0,"",SMALL($G613:$T613,COUNTIF($G613:$T613,"&lt;="&amp;R613)+1)-R613)))</f>
        <v/>
      </c>
      <c r="AP613">
        <f t="shared" ca="1" si="156"/>
        <v>0</v>
      </c>
      <c r="AQ613" s="25" t="str">
        <f t="shared" si="157"/>
        <v/>
      </c>
      <c r="AR613" s="25" t="str">
        <f t="shared" si="158"/>
        <v/>
      </c>
      <c r="AS613" s="25" t="str">
        <f t="shared" si="159"/>
        <v/>
      </c>
      <c r="AT613" s="25" t="str">
        <f t="shared" si="160"/>
        <v/>
      </c>
      <c r="AU613" s="25" t="str">
        <f t="shared" si="161"/>
        <v/>
      </c>
      <c r="AV613" s="25" t="str">
        <f t="shared" si="162"/>
        <v/>
      </c>
      <c r="AW613" s="25" t="str">
        <f t="shared" si="163"/>
        <v/>
      </c>
      <c r="AX613" s="25" t="str">
        <f t="shared" si="164"/>
        <v/>
      </c>
      <c r="AY613" s="25" t="str">
        <f t="shared" si="165"/>
        <v/>
      </c>
      <c r="AZ613" s="25" t="str">
        <f t="shared" si="166"/>
        <v/>
      </c>
      <c r="BA613" s="25" t="str">
        <f t="shared" si="167"/>
        <v/>
      </c>
      <c r="BB613" s="25" t="str">
        <f t="shared" si="168"/>
        <v/>
      </c>
      <c r="BC613" s="25" t="str">
        <f t="shared" si="169"/>
        <v/>
      </c>
    </row>
    <row r="614" spans="1:55" x14ac:dyDescent="0.25">
      <c r="A614" s="19" t="str">
        <f t="shared" si="154"/>
        <v/>
      </c>
      <c r="B614" s="19"/>
      <c r="C614" s="20"/>
      <c r="D614" s="19" t="str">
        <f t="shared" si="153"/>
        <v/>
      </c>
      <c r="E614" s="19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19"/>
      <c r="U614" s="19"/>
      <c r="V614" s="20"/>
      <c r="W614" s="22"/>
      <c r="X614" s="21"/>
      <c r="Y614" s="21"/>
      <c r="Z614" s="23" t="str">
        <f>IF(B614="","",IF(S614&lt;&gt;"","Sevk Edildi",IF(AND(X614&lt;&gt;"",Y614=""),"Reworkte",IF(T614&lt;&gt;"","Kapandı"&amp;IF(COUNT(G614:R614)=0,""," – "&amp;LOOKUP(2,1/(G614:R614=MAX(G614:R614)),{"Tasarım","Ply Cutter","Üretim","Kalite (Üretim sonrası)","Talaşlı","Kalite (Talaşlı sonrası)","Montaj","Kalite (Montaj sonrası)","Boya","Kalite (Boya sonrası)","Yarı Mamül","KM"})),IF(COUNT(G614:R614)=0,"Başlamadı",LOOKUP(2,1/(G614:R614=MAX(G614:R614)),{"Tasarımda","Ply Cutter'da","Üretimde","Kalitede (Üretim sonrası)","Talaşlıda","Kalitede (Talaşlı sonrası)","Montajda","Kalitede (Montaj sonrası)","Boyada","Kalitede (Boya sonrası)","Yarı Mamülde","KM'de"}))))))</f>
        <v/>
      </c>
      <c r="AA614" s="24" t="str">
        <f t="shared" ca="1" si="155"/>
        <v/>
      </c>
      <c r="AB614" s="22"/>
      <c r="AD614" t="str">
        <f>IF(OR($B614="",NOT(ISNUMBER(G614))),"",IF(COUNTIF(H614:$T614,G614)&gt;0,0,IF(COUNTIF($G614:$T614,"&gt;"&amp;G614)=0,"",SMALL($G614:$T614,COUNTIF($G614:$T614,"&lt;="&amp;G614)+1)-G614)))</f>
        <v/>
      </c>
      <c r="AE614" t="str">
        <f>IF(OR($B614="",NOT(ISNUMBER(H614))),"",IF(COUNTIF(I614:$T614,H614)&gt;0,0,IF(COUNTIF($G614:$T614,"&gt;"&amp;H614)=0,"",SMALL($G614:$T614,COUNTIF($G614:$T614,"&lt;="&amp;H614)+1)-H614)))</f>
        <v/>
      </c>
      <c r="AF614" t="str">
        <f>IF(OR($B614="",NOT(ISNUMBER(I614))),"",IF(COUNTIF(J614:$T614,I614)&gt;0,0,IF(COUNTIF($G614:$T614,"&gt;"&amp;I614)=0,"",SMALL($G614:$T614,COUNTIF($G614:$T614,"&lt;="&amp;I614)+1)-I614)))</f>
        <v/>
      </c>
      <c r="AG614" t="str">
        <f>IF(OR($B614="",NOT(ISNUMBER(J614))),"",IF(COUNTIF(K614:$T614,J614)&gt;0,0,IF(COUNTIF($G614:$T614,"&gt;"&amp;J614)=0,"",SMALL($G614:$T614,COUNTIF($G614:$T614,"&lt;="&amp;J614)+1)-J614)))</f>
        <v/>
      </c>
      <c r="AH614" t="str">
        <f>IF(OR($B614="",NOT(ISNUMBER(K614))),"",IF(COUNTIF(L614:$T614,K614)&gt;0,0,IF(COUNTIF($G614:$T614,"&gt;"&amp;K614)=0,"",SMALL($G614:$T614,COUNTIF($G614:$T614,"&lt;="&amp;K614)+1)-K614)))</f>
        <v/>
      </c>
      <c r="AI614" t="str">
        <f>IF(OR($B614="",NOT(ISNUMBER(L614))),"",IF(COUNTIF(M614:$T614,L614)&gt;0,0,IF(COUNTIF($G614:$T614,"&gt;"&amp;L614)=0,"",SMALL($G614:$T614,COUNTIF($G614:$T614,"&lt;="&amp;L614)+1)-L614)))</f>
        <v/>
      </c>
      <c r="AJ614" t="str">
        <f>IF(OR($B614="",NOT(ISNUMBER(M614))),"",IF(COUNTIF(N614:$T614,M614)&gt;0,0,IF(COUNTIF($G614:$T614,"&gt;"&amp;M614)=0,"",SMALL($G614:$T614,COUNTIF($G614:$T614,"&lt;="&amp;M614)+1)-M614)))</f>
        <v/>
      </c>
      <c r="AK614" t="str">
        <f>IF(OR($B614="",NOT(ISNUMBER(N614))),"",IF(COUNTIF(O614:$T614,N614)&gt;0,0,IF(COUNTIF($G614:$T614,"&gt;"&amp;N614)=0,"",SMALL($G614:$T614,COUNTIF($G614:$T614,"&lt;="&amp;N614)+1)-N614)))</f>
        <v/>
      </c>
      <c r="AL614" t="str">
        <f>IF(OR($B614="",NOT(ISNUMBER(O614))),"",IF(COUNTIF(P614:$T614,O614)&gt;0,0,IF(COUNTIF($G614:$T614,"&gt;"&amp;O614)=0,"",SMALL($G614:$T614,COUNTIF($G614:$T614,"&lt;="&amp;O614)+1)-O614)))</f>
        <v/>
      </c>
      <c r="AM614" t="str">
        <f>IF(OR($B614="",NOT(ISNUMBER(P614))),"",IF(COUNTIF(Q614:$T614,P614)&gt;0,0,IF(COUNTIF($G614:$T614,"&gt;"&amp;P614)=0,"",SMALL($G614:$T614,COUNTIF($G614:$T614,"&lt;="&amp;P614)+1)-P614)))</f>
        <v/>
      </c>
      <c r="AN614" t="str">
        <f>IF(OR($B614="",NOT(ISNUMBER(Q614))),"",IF(COUNTIF(R614:$T614,Q614)&gt;0,0,IF(COUNTIF($G614:$T614,"&gt;"&amp;Q614)=0,"",SMALL($G614:$T614,COUNTIF($G614:$T614,"&lt;="&amp;Q614)+1)-Q614)))</f>
        <v/>
      </c>
      <c r="AO614" t="str">
        <f>IF(OR($B614="",NOT(ISNUMBER(R614))),"",IF(COUNTIF(S614:$T614,R614)&gt;0,0,IF(COUNTIF($G614:$T614,"&gt;"&amp;R614)=0,"",SMALL($G614:$T614,COUNTIF($G614:$T614,"&lt;="&amp;R614)+1)-R614)))</f>
        <v/>
      </c>
      <c r="AP614">
        <f t="shared" ca="1" si="156"/>
        <v>0</v>
      </c>
      <c r="AQ614" s="25" t="str">
        <f t="shared" si="157"/>
        <v/>
      </c>
      <c r="AR614" s="25" t="str">
        <f t="shared" si="158"/>
        <v/>
      </c>
      <c r="AS614" s="25" t="str">
        <f t="shared" si="159"/>
        <v/>
      </c>
      <c r="AT614" s="25" t="str">
        <f t="shared" si="160"/>
        <v/>
      </c>
      <c r="AU614" s="25" t="str">
        <f t="shared" si="161"/>
        <v/>
      </c>
      <c r="AV614" s="25" t="str">
        <f t="shared" si="162"/>
        <v/>
      </c>
      <c r="AW614" s="25" t="str">
        <f t="shared" si="163"/>
        <v/>
      </c>
      <c r="AX614" s="25" t="str">
        <f t="shared" si="164"/>
        <v/>
      </c>
      <c r="AY614" s="25" t="str">
        <f t="shared" si="165"/>
        <v/>
      </c>
      <c r="AZ614" s="25" t="str">
        <f t="shared" si="166"/>
        <v/>
      </c>
      <c r="BA614" s="25" t="str">
        <f t="shared" si="167"/>
        <v/>
      </c>
      <c r="BB614" s="25" t="str">
        <f t="shared" si="168"/>
        <v/>
      </c>
      <c r="BC614" s="25" t="str">
        <f t="shared" si="169"/>
        <v/>
      </c>
    </row>
    <row r="615" spans="1:55" x14ac:dyDescent="0.25">
      <c r="A615" s="19" t="str">
        <f t="shared" si="154"/>
        <v/>
      </c>
      <c r="B615" s="19"/>
      <c r="C615" s="20"/>
      <c r="D615" s="19" t="str">
        <f t="shared" si="153"/>
        <v/>
      </c>
      <c r="E615" s="19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19"/>
      <c r="U615" s="19"/>
      <c r="V615" s="20"/>
      <c r="W615" s="22"/>
      <c r="X615" s="21"/>
      <c r="Y615" s="21"/>
      <c r="Z615" s="23" t="str">
        <f>IF(B615="","",IF(S615&lt;&gt;"","Sevk Edildi",IF(AND(X615&lt;&gt;"",Y615=""),"Reworkte",IF(T615&lt;&gt;"","Kapandı"&amp;IF(COUNT(G615:R615)=0,""," – "&amp;LOOKUP(2,1/(G615:R615=MAX(G615:R615)),{"Tasarım","Ply Cutter","Üretim","Kalite (Üretim sonrası)","Talaşlı","Kalite (Talaşlı sonrası)","Montaj","Kalite (Montaj sonrası)","Boya","Kalite (Boya sonrası)","Yarı Mamül","KM"})),IF(COUNT(G615:R615)=0,"Başlamadı",LOOKUP(2,1/(G615:R615=MAX(G615:R615)),{"Tasarımda","Ply Cutter'da","Üretimde","Kalitede (Üretim sonrası)","Talaşlıda","Kalitede (Talaşlı sonrası)","Montajda","Kalitede (Montaj sonrası)","Boyada","Kalitede (Boya sonrası)","Yarı Mamülde","KM'de"}))))))</f>
        <v/>
      </c>
      <c r="AA615" s="24" t="str">
        <f t="shared" ca="1" si="155"/>
        <v/>
      </c>
      <c r="AB615" s="22"/>
      <c r="AD615" t="str">
        <f>IF(OR($B615="",NOT(ISNUMBER(G615))),"",IF(COUNTIF(H615:$T615,G615)&gt;0,0,IF(COUNTIF($G615:$T615,"&gt;"&amp;G615)=0,"",SMALL($G615:$T615,COUNTIF($G615:$T615,"&lt;="&amp;G615)+1)-G615)))</f>
        <v/>
      </c>
      <c r="AE615" t="str">
        <f>IF(OR($B615="",NOT(ISNUMBER(H615))),"",IF(COUNTIF(I615:$T615,H615)&gt;0,0,IF(COUNTIF($G615:$T615,"&gt;"&amp;H615)=0,"",SMALL($G615:$T615,COUNTIF($G615:$T615,"&lt;="&amp;H615)+1)-H615)))</f>
        <v/>
      </c>
      <c r="AF615" t="str">
        <f>IF(OR($B615="",NOT(ISNUMBER(I615))),"",IF(COUNTIF(J615:$T615,I615)&gt;0,0,IF(COUNTIF($G615:$T615,"&gt;"&amp;I615)=0,"",SMALL($G615:$T615,COUNTIF($G615:$T615,"&lt;="&amp;I615)+1)-I615)))</f>
        <v/>
      </c>
      <c r="AG615" t="str">
        <f>IF(OR($B615="",NOT(ISNUMBER(J615))),"",IF(COUNTIF(K615:$T615,J615)&gt;0,0,IF(COUNTIF($G615:$T615,"&gt;"&amp;J615)=0,"",SMALL($G615:$T615,COUNTIF($G615:$T615,"&lt;="&amp;J615)+1)-J615)))</f>
        <v/>
      </c>
      <c r="AH615" t="str">
        <f>IF(OR($B615="",NOT(ISNUMBER(K615))),"",IF(COUNTIF(L615:$T615,K615)&gt;0,0,IF(COUNTIF($G615:$T615,"&gt;"&amp;K615)=0,"",SMALL($G615:$T615,COUNTIF($G615:$T615,"&lt;="&amp;K615)+1)-K615)))</f>
        <v/>
      </c>
      <c r="AI615" t="str">
        <f>IF(OR($B615="",NOT(ISNUMBER(L615))),"",IF(COUNTIF(M615:$T615,L615)&gt;0,0,IF(COUNTIF($G615:$T615,"&gt;"&amp;L615)=0,"",SMALL($G615:$T615,COUNTIF($G615:$T615,"&lt;="&amp;L615)+1)-L615)))</f>
        <v/>
      </c>
      <c r="AJ615" t="str">
        <f>IF(OR($B615="",NOT(ISNUMBER(M615))),"",IF(COUNTIF(N615:$T615,M615)&gt;0,0,IF(COUNTIF($G615:$T615,"&gt;"&amp;M615)=0,"",SMALL($G615:$T615,COUNTIF($G615:$T615,"&lt;="&amp;M615)+1)-M615)))</f>
        <v/>
      </c>
      <c r="AK615" t="str">
        <f>IF(OR($B615="",NOT(ISNUMBER(N615))),"",IF(COUNTIF(O615:$T615,N615)&gt;0,0,IF(COUNTIF($G615:$T615,"&gt;"&amp;N615)=0,"",SMALL($G615:$T615,COUNTIF($G615:$T615,"&lt;="&amp;N615)+1)-N615)))</f>
        <v/>
      </c>
      <c r="AL615" t="str">
        <f>IF(OR($B615="",NOT(ISNUMBER(O615))),"",IF(COUNTIF(P615:$T615,O615)&gt;0,0,IF(COUNTIF($G615:$T615,"&gt;"&amp;O615)=0,"",SMALL($G615:$T615,COUNTIF($G615:$T615,"&lt;="&amp;O615)+1)-O615)))</f>
        <v/>
      </c>
      <c r="AM615" t="str">
        <f>IF(OR($B615="",NOT(ISNUMBER(P615))),"",IF(COUNTIF(Q615:$T615,P615)&gt;0,0,IF(COUNTIF($G615:$T615,"&gt;"&amp;P615)=0,"",SMALL($G615:$T615,COUNTIF($G615:$T615,"&lt;="&amp;P615)+1)-P615)))</f>
        <v/>
      </c>
      <c r="AN615" t="str">
        <f>IF(OR($B615="",NOT(ISNUMBER(Q615))),"",IF(COUNTIF(R615:$T615,Q615)&gt;0,0,IF(COUNTIF($G615:$T615,"&gt;"&amp;Q615)=0,"",SMALL($G615:$T615,COUNTIF($G615:$T615,"&lt;="&amp;Q615)+1)-Q615)))</f>
        <v/>
      </c>
      <c r="AO615" t="str">
        <f>IF(OR($B615="",NOT(ISNUMBER(R615))),"",IF(COUNTIF(S615:$T615,R615)&gt;0,0,IF(COUNTIF($G615:$T615,"&gt;"&amp;R615)=0,"",SMALL($G615:$T615,COUNTIF($G615:$T615,"&lt;="&amp;R615)+1)-R615)))</f>
        <v/>
      </c>
      <c r="AP615">
        <f t="shared" ca="1" si="156"/>
        <v>0</v>
      </c>
      <c r="AQ615" s="25" t="str">
        <f t="shared" si="157"/>
        <v/>
      </c>
      <c r="AR615" s="25" t="str">
        <f t="shared" si="158"/>
        <v/>
      </c>
      <c r="AS615" s="25" t="str">
        <f t="shared" si="159"/>
        <v/>
      </c>
      <c r="AT615" s="25" t="str">
        <f t="shared" si="160"/>
        <v/>
      </c>
      <c r="AU615" s="25" t="str">
        <f t="shared" si="161"/>
        <v/>
      </c>
      <c r="AV615" s="25" t="str">
        <f t="shared" si="162"/>
        <v/>
      </c>
      <c r="AW615" s="25" t="str">
        <f t="shared" si="163"/>
        <v/>
      </c>
      <c r="AX615" s="25" t="str">
        <f t="shared" si="164"/>
        <v/>
      </c>
      <c r="AY615" s="25" t="str">
        <f t="shared" si="165"/>
        <v/>
      </c>
      <c r="AZ615" s="25" t="str">
        <f t="shared" si="166"/>
        <v/>
      </c>
      <c r="BA615" s="25" t="str">
        <f t="shared" si="167"/>
        <v/>
      </c>
      <c r="BB615" s="25" t="str">
        <f t="shared" si="168"/>
        <v/>
      </c>
      <c r="BC615" s="25" t="str">
        <f t="shared" si="169"/>
        <v/>
      </c>
    </row>
    <row r="616" spans="1:55" x14ac:dyDescent="0.25">
      <c r="A616" s="19" t="str">
        <f t="shared" si="154"/>
        <v/>
      </c>
      <c r="B616" s="19"/>
      <c r="C616" s="20"/>
      <c r="D616" s="19" t="str">
        <f t="shared" si="153"/>
        <v/>
      </c>
      <c r="E616" s="19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19"/>
      <c r="U616" s="19"/>
      <c r="V616" s="20"/>
      <c r="W616" s="22"/>
      <c r="X616" s="21"/>
      <c r="Y616" s="21"/>
      <c r="Z616" s="23" t="str">
        <f>IF(B616="","",IF(S616&lt;&gt;"","Sevk Edildi",IF(AND(X616&lt;&gt;"",Y616=""),"Reworkte",IF(T616&lt;&gt;"","Kapandı"&amp;IF(COUNT(G616:R616)=0,""," – "&amp;LOOKUP(2,1/(G616:R616=MAX(G616:R616)),{"Tasarım","Ply Cutter","Üretim","Kalite (Üretim sonrası)","Talaşlı","Kalite (Talaşlı sonrası)","Montaj","Kalite (Montaj sonrası)","Boya","Kalite (Boya sonrası)","Yarı Mamül","KM"})),IF(COUNT(G616:R616)=0,"Başlamadı",LOOKUP(2,1/(G616:R616=MAX(G616:R616)),{"Tasarımda","Ply Cutter'da","Üretimde","Kalitede (Üretim sonrası)","Talaşlıda","Kalitede (Talaşlı sonrası)","Montajda","Kalitede (Montaj sonrası)","Boyada","Kalitede (Boya sonrası)","Yarı Mamülde","KM'de"}))))))</f>
        <v/>
      </c>
      <c r="AA616" s="24" t="str">
        <f t="shared" ca="1" si="155"/>
        <v/>
      </c>
      <c r="AB616" s="22"/>
      <c r="AD616" t="str">
        <f>IF(OR($B616="",NOT(ISNUMBER(G616))),"",IF(COUNTIF(H616:$T616,G616)&gt;0,0,IF(COUNTIF($G616:$T616,"&gt;"&amp;G616)=0,"",SMALL($G616:$T616,COUNTIF($G616:$T616,"&lt;="&amp;G616)+1)-G616)))</f>
        <v/>
      </c>
      <c r="AE616" t="str">
        <f>IF(OR($B616="",NOT(ISNUMBER(H616))),"",IF(COUNTIF(I616:$T616,H616)&gt;0,0,IF(COUNTIF($G616:$T616,"&gt;"&amp;H616)=0,"",SMALL($G616:$T616,COUNTIF($G616:$T616,"&lt;="&amp;H616)+1)-H616)))</f>
        <v/>
      </c>
      <c r="AF616" t="str">
        <f>IF(OR($B616="",NOT(ISNUMBER(I616))),"",IF(COUNTIF(J616:$T616,I616)&gt;0,0,IF(COUNTIF($G616:$T616,"&gt;"&amp;I616)=0,"",SMALL($G616:$T616,COUNTIF($G616:$T616,"&lt;="&amp;I616)+1)-I616)))</f>
        <v/>
      </c>
      <c r="AG616" t="str">
        <f>IF(OR($B616="",NOT(ISNUMBER(J616))),"",IF(COUNTIF(K616:$T616,J616)&gt;0,0,IF(COUNTIF($G616:$T616,"&gt;"&amp;J616)=0,"",SMALL($G616:$T616,COUNTIF($G616:$T616,"&lt;="&amp;J616)+1)-J616)))</f>
        <v/>
      </c>
      <c r="AH616" t="str">
        <f>IF(OR($B616="",NOT(ISNUMBER(K616))),"",IF(COUNTIF(L616:$T616,K616)&gt;0,0,IF(COUNTIF($G616:$T616,"&gt;"&amp;K616)=0,"",SMALL($G616:$T616,COUNTIF($G616:$T616,"&lt;="&amp;K616)+1)-K616)))</f>
        <v/>
      </c>
      <c r="AI616" t="str">
        <f>IF(OR($B616="",NOT(ISNUMBER(L616))),"",IF(COUNTIF(M616:$T616,L616)&gt;0,0,IF(COUNTIF($G616:$T616,"&gt;"&amp;L616)=0,"",SMALL($G616:$T616,COUNTIF($G616:$T616,"&lt;="&amp;L616)+1)-L616)))</f>
        <v/>
      </c>
      <c r="AJ616" t="str">
        <f>IF(OR($B616="",NOT(ISNUMBER(M616))),"",IF(COUNTIF(N616:$T616,M616)&gt;0,0,IF(COUNTIF($G616:$T616,"&gt;"&amp;M616)=0,"",SMALL($G616:$T616,COUNTIF($G616:$T616,"&lt;="&amp;M616)+1)-M616)))</f>
        <v/>
      </c>
      <c r="AK616" t="str">
        <f>IF(OR($B616="",NOT(ISNUMBER(N616))),"",IF(COUNTIF(O616:$T616,N616)&gt;0,0,IF(COUNTIF($G616:$T616,"&gt;"&amp;N616)=0,"",SMALL($G616:$T616,COUNTIF($G616:$T616,"&lt;="&amp;N616)+1)-N616)))</f>
        <v/>
      </c>
      <c r="AL616" t="str">
        <f>IF(OR($B616="",NOT(ISNUMBER(O616))),"",IF(COUNTIF(P616:$T616,O616)&gt;0,0,IF(COUNTIF($G616:$T616,"&gt;"&amp;O616)=0,"",SMALL($G616:$T616,COUNTIF($G616:$T616,"&lt;="&amp;O616)+1)-O616)))</f>
        <v/>
      </c>
      <c r="AM616" t="str">
        <f>IF(OR($B616="",NOT(ISNUMBER(P616))),"",IF(COUNTIF(Q616:$T616,P616)&gt;0,0,IF(COUNTIF($G616:$T616,"&gt;"&amp;P616)=0,"",SMALL($G616:$T616,COUNTIF($G616:$T616,"&lt;="&amp;P616)+1)-P616)))</f>
        <v/>
      </c>
      <c r="AN616" t="str">
        <f>IF(OR($B616="",NOT(ISNUMBER(Q616))),"",IF(COUNTIF(R616:$T616,Q616)&gt;0,0,IF(COUNTIF($G616:$T616,"&gt;"&amp;Q616)=0,"",SMALL($G616:$T616,COUNTIF($G616:$T616,"&lt;="&amp;Q616)+1)-Q616)))</f>
        <v/>
      </c>
      <c r="AO616" t="str">
        <f>IF(OR($B616="",NOT(ISNUMBER(R616))),"",IF(COUNTIF(S616:$T616,R616)&gt;0,0,IF(COUNTIF($G616:$T616,"&gt;"&amp;R616)=0,"",SMALL($G616:$T616,COUNTIF($G616:$T616,"&lt;="&amp;R616)+1)-R616)))</f>
        <v/>
      </c>
      <c r="AP616">
        <f t="shared" ca="1" si="156"/>
        <v>0</v>
      </c>
      <c r="AQ616" s="25" t="str">
        <f t="shared" si="157"/>
        <v/>
      </c>
      <c r="AR616" s="25" t="str">
        <f t="shared" si="158"/>
        <v/>
      </c>
      <c r="AS616" s="25" t="str">
        <f t="shared" si="159"/>
        <v/>
      </c>
      <c r="AT616" s="25" t="str">
        <f t="shared" si="160"/>
        <v/>
      </c>
      <c r="AU616" s="25" t="str">
        <f t="shared" si="161"/>
        <v/>
      </c>
      <c r="AV616" s="25" t="str">
        <f t="shared" si="162"/>
        <v/>
      </c>
      <c r="AW616" s="25" t="str">
        <f t="shared" si="163"/>
        <v/>
      </c>
      <c r="AX616" s="25" t="str">
        <f t="shared" si="164"/>
        <v/>
      </c>
      <c r="AY616" s="25" t="str">
        <f t="shared" si="165"/>
        <v/>
      </c>
      <c r="AZ616" s="25" t="str">
        <f t="shared" si="166"/>
        <v/>
      </c>
      <c r="BA616" s="25" t="str">
        <f t="shared" si="167"/>
        <v/>
      </c>
      <c r="BB616" s="25" t="str">
        <f t="shared" si="168"/>
        <v/>
      </c>
      <c r="BC616" s="25" t="str">
        <f t="shared" si="169"/>
        <v/>
      </c>
    </row>
    <row r="617" spans="1:55" x14ac:dyDescent="0.25">
      <c r="A617" s="19" t="str">
        <f t="shared" si="154"/>
        <v/>
      </c>
      <c r="B617" s="19"/>
      <c r="C617" s="20"/>
      <c r="D617" s="19" t="str">
        <f t="shared" si="153"/>
        <v/>
      </c>
      <c r="E617" s="19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19"/>
      <c r="U617" s="19"/>
      <c r="V617" s="20"/>
      <c r="W617" s="22"/>
      <c r="X617" s="21"/>
      <c r="Y617" s="21"/>
      <c r="Z617" s="23" t="str">
        <f>IF(B617="","",IF(S617&lt;&gt;"","Sevk Edildi",IF(AND(X617&lt;&gt;"",Y617=""),"Reworkte",IF(T617&lt;&gt;"","Kapandı"&amp;IF(COUNT(G617:R617)=0,""," – "&amp;LOOKUP(2,1/(G617:R617=MAX(G617:R617)),{"Tasarım","Ply Cutter","Üretim","Kalite (Üretim sonrası)","Talaşlı","Kalite (Talaşlı sonrası)","Montaj","Kalite (Montaj sonrası)","Boya","Kalite (Boya sonrası)","Yarı Mamül","KM"})),IF(COUNT(G617:R617)=0,"Başlamadı",LOOKUP(2,1/(G617:R617=MAX(G617:R617)),{"Tasarımda","Ply Cutter'da","Üretimde","Kalitede (Üretim sonrası)","Talaşlıda","Kalitede (Talaşlı sonrası)","Montajda","Kalitede (Montaj sonrası)","Boyada","Kalitede (Boya sonrası)","Yarı Mamülde","KM'de"}))))))</f>
        <v/>
      </c>
      <c r="AA617" s="24" t="str">
        <f t="shared" ca="1" si="155"/>
        <v/>
      </c>
      <c r="AB617" s="22"/>
      <c r="AD617" t="str">
        <f>IF(OR($B617="",NOT(ISNUMBER(G617))),"",IF(COUNTIF(H617:$T617,G617)&gt;0,0,IF(COUNTIF($G617:$T617,"&gt;"&amp;G617)=0,"",SMALL($G617:$T617,COUNTIF($G617:$T617,"&lt;="&amp;G617)+1)-G617)))</f>
        <v/>
      </c>
      <c r="AE617" t="str">
        <f>IF(OR($B617="",NOT(ISNUMBER(H617))),"",IF(COUNTIF(I617:$T617,H617)&gt;0,0,IF(COUNTIF($G617:$T617,"&gt;"&amp;H617)=0,"",SMALL($G617:$T617,COUNTIF($G617:$T617,"&lt;="&amp;H617)+1)-H617)))</f>
        <v/>
      </c>
      <c r="AF617" t="str">
        <f>IF(OR($B617="",NOT(ISNUMBER(I617))),"",IF(COUNTIF(J617:$T617,I617)&gt;0,0,IF(COUNTIF($G617:$T617,"&gt;"&amp;I617)=0,"",SMALL($G617:$T617,COUNTIF($G617:$T617,"&lt;="&amp;I617)+1)-I617)))</f>
        <v/>
      </c>
      <c r="AG617" t="str">
        <f>IF(OR($B617="",NOT(ISNUMBER(J617))),"",IF(COUNTIF(K617:$T617,J617)&gt;0,0,IF(COUNTIF($G617:$T617,"&gt;"&amp;J617)=0,"",SMALL($G617:$T617,COUNTIF($G617:$T617,"&lt;="&amp;J617)+1)-J617)))</f>
        <v/>
      </c>
      <c r="AH617" t="str">
        <f>IF(OR($B617="",NOT(ISNUMBER(K617))),"",IF(COUNTIF(L617:$T617,K617)&gt;0,0,IF(COUNTIF($G617:$T617,"&gt;"&amp;K617)=0,"",SMALL($G617:$T617,COUNTIF($G617:$T617,"&lt;="&amp;K617)+1)-K617)))</f>
        <v/>
      </c>
      <c r="AI617" t="str">
        <f>IF(OR($B617="",NOT(ISNUMBER(L617))),"",IF(COUNTIF(M617:$T617,L617)&gt;0,0,IF(COUNTIF($G617:$T617,"&gt;"&amp;L617)=0,"",SMALL($G617:$T617,COUNTIF($G617:$T617,"&lt;="&amp;L617)+1)-L617)))</f>
        <v/>
      </c>
      <c r="AJ617" t="str">
        <f>IF(OR($B617="",NOT(ISNUMBER(M617))),"",IF(COUNTIF(N617:$T617,M617)&gt;0,0,IF(COUNTIF($G617:$T617,"&gt;"&amp;M617)=0,"",SMALL($G617:$T617,COUNTIF($G617:$T617,"&lt;="&amp;M617)+1)-M617)))</f>
        <v/>
      </c>
      <c r="AK617" t="str">
        <f>IF(OR($B617="",NOT(ISNUMBER(N617))),"",IF(COUNTIF(O617:$T617,N617)&gt;0,0,IF(COUNTIF($G617:$T617,"&gt;"&amp;N617)=0,"",SMALL($G617:$T617,COUNTIF($G617:$T617,"&lt;="&amp;N617)+1)-N617)))</f>
        <v/>
      </c>
      <c r="AL617" t="str">
        <f>IF(OR($B617="",NOT(ISNUMBER(O617))),"",IF(COUNTIF(P617:$T617,O617)&gt;0,0,IF(COUNTIF($G617:$T617,"&gt;"&amp;O617)=0,"",SMALL($G617:$T617,COUNTIF($G617:$T617,"&lt;="&amp;O617)+1)-O617)))</f>
        <v/>
      </c>
      <c r="AM617" t="str">
        <f>IF(OR($B617="",NOT(ISNUMBER(P617))),"",IF(COUNTIF(Q617:$T617,P617)&gt;0,0,IF(COUNTIF($G617:$T617,"&gt;"&amp;P617)=0,"",SMALL($G617:$T617,COUNTIF($G617:$T617,"&lt;="&amp;P617)+1)-P617)))</f>
        <v/>
      </c>
      <c r="AN617" t="str">
        <f>IF(OR($B617="",NOT(ISNUMBER(Q617))),"",IF(COUNTIF(R617:$T617,Q617)&gt;0,0,IF(COUNTIF($G617:$T617,"&gt;"&amp;Q617)=0,"",SMALL($G617:$T617,COUNTIF($G617:$T617,"&lt;="&amp;Q617)+1)-Q617)))</f>
        <v/>
      </c>
      <c r="AO617" t="str">
        <f>IF(OR($B617="",NOT(ISNUMBER(R617))),"",IF(COUNTIF(S617:$T617,R617)&gt;0,0,IF(COUNTIF($G617:$T617,"&gt;"&amp;R617)=0,"",SMALL($G617:$T617,COUNTIF($G617:$T617,"&lt;="&amp;R617)+1)-R617)))</f>
        <v/>
      </c>
      <c r="AP617">
        <f t="shared" ca="1" si="156"/>
        <v>0</v>
      </c>
      <c r="AQ617" s="25" t="str">
        <f t="shared" si="157"/>
        <v/>
      </c>
      <c r="AR617" s="25" t="str">
        <f t="shared" si="158"/>
        <v/>
      </c>
      <c r="AS617" s="25" t="str">
        <f t="shared" si="159"/>
        <v/>
      </c>
      <c r="AT617" s="25" t="str">
        <f t="shared" si="160"/>
        <v/>
      </c>
      <c r="AU617" s="25" t="str">
        <f t="shared" si="161"/>
        <v/>
      </c>
      <c r="AV617" s="25" t="str">
        <f t="shared" si="162"/>
        <v/>
      </c>
      <c r="AW617" s="25" t="str">
        <f t="shared" si="163"/>
        <v/>
      </c>
      <c r="AX617" s="25" t="str">
        <f t="shared" si="164"/>
        <v/>
      </c>
      <c r="AY617" s="25" t="str">
        <f t="shared" si="165"/>
        <v/>
      </c>
      <c r="AZ617" s="25" t="str">
        <f t="shared" si="166"/>
        <v/>
      </c>
      <c r="BA617" s="25" t="str">
        <f t="shared" si="167"/>
        <v/>
      </c>
      <c r="BB617" s="25" t="str">
        <f t="shared" si="168"/>
        <v/>
      </c>
      <c r="BC617" s="25" t="str">
        <f t="shared" si="169"/>
        <v/>
      </c>
    </row>
    <row r="618" spans="1:55" x14ac:dyDescent="0.25">
      <c r="A618" s="19" t="str">
        <f t="shared" si="154"/>
        <v/>
      </c>
      <c r="B618" s="19"/>
      <c r="C618" s="20"/>
      <c r="D618" s="19" t="str">
        <f t="shared" si="153"/>
        <v/>
      </c>
      <c r="E618" s="19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19"/>
      <c r="U618" s="19"/>
      <c r="V618" s="20"/>
      <c r="W618" s="22"/>
      <c r="X618" s="21"/>
      <c r="Y618" s="21"/>
      <c r="Z618" s="23" t="str">
        <f>IF(B618="","",IF(S618&lt;&gt;"","Sevk Edildi",IF(AND(X618&lt;&gt;"",Y618=""),"Reworkte",IF(T618&lt;&gt;"","Kapandı"&amp;IF(COUNT(G618:R618)=0,""," – "&amp;LOOKUP(2,1/(G618:R618=MAX(G618:R618)),{"Tasarım","Ply Cutter","Üretim","Kalite (Üretim sonrası)","Talaşlı","Kalite (Talaşlı sonrası)","Montaj","Kalite (Montaj sonrası)","Boya","Kalite (Boya sonrası)","Yarı Mamül","KM"})),IF(COUNT(G618:R618)=0,"Başlamadı",LOOKUP(2,1/(G618:R618=MAX(G618:R618)),{"Tasarımda","Ply Cutter'da","Üretimde","Kalitede (Üretim sonrası)","Talaşlıda","Kalitede (Talaşlı sonrası)","Montajda","Kalitede (Montaj sonrası)","Boyada","Kalitede (Boya sonrası)","Yarı Mamülde","KM'de"}))))))</f>
        <v/>
      </c>
      <c r="AA618" s="24" t="str">
        <f t="shared" ca="1" si="155"/>
        <v/>
      </c>
      <c r="AB618" s="22"/>
      <c r="AD618" t="str">
        <f>IF(OR($B618="",NOT(ISNUMBER(G618))),"",IF(COUNTIF(H618:$T618,G618)&gt;0,0,IF(COUNTIF($G618:$T618,"&gt;"&amp;G618)=0,"",SMALL($G618:$T618,COUNTIF($G618:$T618,"&lt;="&amp;G618)+1)-G618)))</f>
        <v/>
      </c>
      <c r="AE618" t="str">
        <f>IF(OR($B618="",NOT(ISNUMBER(H618))),"",IF(COUNTIF(I618:$T618,H618)&gt;0,0,IF(COUNTIF($G618:$T618,"&gt;"&amp;H618)=0,"",SMALL($G618:$T618,COUNTIF($G618:$T618,"&lt;="&amp;H618)+1)-H618)))</f>
        <v/>
      </c>
      <c r="AF618" t="str">
        <f>IF(OR($B618="",NOT(ISNUMBER(I618))),"",IF(COUNTIF(J618:$T618,I618)&gt;0,0,IF(COUNTIF($G618:$T618,"&gt;"&amp;I618)=0,"",SMALL($G618:$T618,COUNTIF($G618:$T618,"&lt;="&amp;I618)+1)-I618)))</f>
        <v/>
      </c>
      <c r="AG618" t="str">
        <f>IF(OR($B618="",NOT(ISNUMBER(J618))),"",IF(COUNTIF(K618:$T618,J618)&gt;0,0,IF(COUNTIF($G618:$T618,"&gt;"&amp;J618)=0,"",SMALL($G618:$T618,COUNTIF($G618:$T618,"&lt;="&amp;J618)+1)-J618)))</f>
        <v/>
      </c>
      <c r="AH618" t="str">
        <f>IF(OR($B618="",NOT(ISNUMBER(K618))),"",IF(COUNTIF(L618:$T618,K618)&gt;0,0,IF(COUNTIF($G618:$T618,"&gt;"&amp;K618)=0,"",SMALL($G618:$T618,COUNTIF($G618:$T618,"&lt;="&amp;K618)+1)-K618)))</f>
        <v/>
      </c>
      <c r="AI618" t="str">
        <f>IF(OR($B618="",NOT(ISNUMBER(L618))),"",IF(COUNTIF(M618:$T618,L618)&gt;0,0,IF(COUNTIF($G618:$T618,"&gt;"&amp;L618)=0,"",SMALL($G618:$T618,COUNTIF($G618:$T618,"&lt;="&amp;L618)+1)-L618)))</f>
        <v/>
      </c>
      <c r="AJ618" t="str">
        <f>IF(OR($B618="",NOT(ISNUMBER(M618))),"",IF(COUNTIF(N618:$T618,M618)&gt;0,0,IF(COUNTIF($G618:$T618,"&gt;"&amp;M618)=0,"",SMALL($G618:$T618,COUNTIF($G618:$T618,"&lt;="&amp;M618)+1)-M618)))</f>
        <v/>
      </c>
      <c r="AK618" t="str">
        <f>IF(OR($B618="",NOT(ISNUMBER(N618))),"",IF(COUNTIF(O618:$T618,N618)&gt;0,0,IF(COUNTIF($G618:$T618,"&gt;"&amp;N618)=0,"",SMALL($G618:$T618,COUNTIF($G618:$T618,"&lt;="&amp;N618)+1)-N618)))</f>
        <v/>
      </c>
      <c r="AL618" t="str">
        <f>IF(OR($B618="",NOT(ISNUMBER(O618))),"",IF(COUNTIF(P618:$T618,O618)&gt;0,0,IF(COUNTIF($G618:$T618,"&gt;"&amp;O618)=0,"",SMALL($G618:$T618,COUNTIF($G618:$T618,"&lt;="&amp;O618)+1)-O618)))</f>
        <v/>
      </c>
      <c r="AM618" t="str">
        <f>IF(OR($B618="",NOT(ISNUMBER(P618))),"",IF(COUNTIF(Q618:$T618,P618)&gt;0,0,IF(COUNTIF($G618:$T618,"&gt;"&amp;P618)=0,"",SMALL($G618:$T618,COUNTIF($G618:$T618,"&lt;="&amp;P618)+1)-P618)))</f>
        <v/>
      </c>
      <c r="AN618" t="str">
        <f>IF(OR($B618="",NOT(ISNUMBER(Q618))),"",IF(COUNTIF(R618:$T618,Q618)&gt;0,0,IF(COUNTIF($G618:$T618,"&gt;"&amp;Q618)=0,"",SMALL($G618:$T618,COUNTIF($G618:$T618,"&lt;="&amp;Q618)+1)-Q618)))</f>
        <v/>
      </c>
      <c r="AO618" t="str">
        <f>IF(OR($B618="",NOT(ISNUMBER(R618))),"",IF(COUNTIF(S618:$T618,R618)&gt;0,0,IF(COUNTIF($G618:$T618,"&gt;"&amp;R618)=0,"",SMALL($G618:$T618,COUNTIF($G618:$T618,"&lt;="&amp;R618)+1)-R618)))</f>
        <v/>
      </c>
      <c r="AP618">
        <f t="shared" ca="1" si="156"/>
        <v>0</v>
      </c>
      <c r="AQ618" s="25" t="str">
        <f t="shared" si="157"/>
        <v/>
      </c>
      <c r="AR618" s="25" t="str">
        <f t="shared" si="158"/>
        <v/>
      </c>
      <c r="AS618" s="25" t="str">
        <f t="shared" si="159"/>
        <v/>
      </c>
      <c r="AT618" s="25" t="str">
        <f t="shared" si="160"/>
        <v/>
      </c>
      <c r="AU618" s="25" t="str">
        <f t="shared" si="161"/>
        <v/>
      </c>
      <c r="AV618" s="25" t="str">
        <f t="shared" si="162"/>
        <v/>
      </c>
      <c r="AW618" s="25" t="str">
        <f t="shared" si="163"/>
        <v/>
      </c>
      <c r="AX618" s="25" t="str">
        <f t="shared" si="164"/>
        <v/>
      </c>
      <c r="AY618" s="25" t="str">
        <f t="shared" si="165"/>
        <v/>
      </c>
      <c r="AZ618" s="25" t="str">
        <f t="shared" si="166"/>
        <v/>
      </c>
      <c r="BA618" s="25" t="str">
        <f t="shared" si="167"/>
        <v/>
      </c>
      <c r="BB618" s="25" t="str">
        <f t="shared" si="168"/>
        <v/>
      </c>
      <c r="BC618" s="25" t="str">
        <f t="shared" si="169"/>
        <v/>
      </c>
    </row>
    <row r="619" spans="1:55" x14ac:dyDescent="0.25">
      <c r="A619" s="19" t="str">
        <f t="shared" si="154"/>
        <v/>
      </c>
      <c r="B619" s="19"/>
      <c r="C619" s="20"/>
      <c r="D619" s="19" t="str">
        <f t="shared" si="153"/>
        <v/>
      </c>
      <c r="E619" s="19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19"/>
      <c r="U619" s="19"/>
      <c r="V619" s="20"/>
      <c r="W619" s="22"/>
      <c r="X619" s="21"/>
      <c r="Y619" s="21"/>
      <c r="Z619" s="23" t="str">
        <f>IF(B619="","",IF(S619&lt;&gt;"","Sevk Edildi",IF(AND(X619&lt;&gt;"",Y619=""),"Reworkte",IF(T619&lt;&gt;"","Kapandı"&amp;IF(COUNT(G619:R619)=0,""," – "&amp;LOOKUP(2,1/(G619:R619=MAX(G619:R619)),{"Tasarım","Ply Cutter","Üretim","Kalite (Üretim sonrası)","Talaşlı","Kalite (Talaşlı sonrası)","Montaj","Kalite (Montaj sonrası)","Boya","Kalite (Boya sonrası)","Yarı Mamül","KM"})),IF(COUNT(G619:R619)=0,"Başlamadı",LOOKUP(2,1/(G619:R619=MAX(G619:R619)),{"Tasarımda","Ply Cutter'da","Üretimde","Kalitede (Üretim sonrası)","Talaşlıda","Kalitede (Talaşlı sonrası)","Montajda","Kalitede (Montaj sonrası)","Boyada","Kalitede (Boya sonrası)","Yarı Mamülde","KM'de"}))))))</f>
        <v/>
      </c>
      <c r="AA619" s="24" t="str">
        <f t="shared" ca="1" si="155"/>
        <v/>
      </c>
      <c r="AB619" s="22"/>
      <c r="AD619" t="str">
        <f>IF(OR($B619="",NOT(ISNUMBER(G619))),"",IF(COUNTIF(H619:$T619,G619)&gt;0,0,IF(COUNTIF($G619:$T619,"&gt;"&amp;G619)=0,"",SMALL($G619:$T619,COUNTIF($G619:$T619,"&lt;="&amp;G619)+1)-G619)))</f>
        <v/>
      </c>
      <c r="AE619" t="str">
        <f>IF(OR($B619="",NOT(ISNUMBER(H619))),"",IF(COUNTIF(I619:$T619,H619)&gt;0,0,IF(COUNTIF($G619:$T619,"&gt;"&amp;H619)=0,"",SMALL($G619:$T619,COUNTIF($G619:$T619,"&lt;="&amp;H619)+1)-H619)))</f>
        <v/>
      </c>
      <c r="AF619" t="str">
        <f>IF(OR($B619="",NOT(ISNUMBER(I619))),"",IF(COUNTIF(J619:$T619,I619)&gt;0,0,IF(COUNTIF($G619:$T619,"&gt;"&amp;I619)=0,"",SMALL($G619:$T619,COUNTIF($G619:$T619,"&lt;="&amp;I619)+1)-I619)))</f>
        <v/>
      </c>
      <c r="AG619" t="str">
        <f>IF(OR($B619="",NOT(ISNUMBER(J619))),"",IF(COUNTIF(K619:$T619,J619)&gt;0,0,IF(COUNTIF($G619:$T619,"&gt;"&amp;J619)=0,"",SMALL($G619:$T619,COUNTIF($G619:$T619,"&lt;="&amp;J619)+1)-J619)))</f>
        <v/>
      </c>
      <c r="AH619" t="str">
        <f>IF(OR($B619="",NOT(ISNUMBER(K619))),"",IF(COUNTIF(L619:$T619,K619)&gt;0,0,IF(COUNTIF($G619:$T619,"&gt;"&amp;K619)=0,"",SMALL($G619:$T619,COUNTIF($G619:$T619,"&lt;="&amp;K619)+1)-K619)))</f>
        <v/>
      </c>
      <c r="AI619" t="str">
        <f>IF(OR($B619="",NOT(ISNUMBER(L619))),"",IF(COUNTIF(M619:$T619,L619)&gt;0,0,IF(COUNTIF($G619:$T619,"&gt;"&amp;L619)=0,"",SMALL($G619:$T619,COUNTIF($G619:$T619,"&lt;="&amp;L619)+1)-L619)))</f>
        <v/>
      </c>
      <c r="AJ619" t="str">
        <f>IF(OR($B619="",NOT(ISNUMBER(M619))),"",IF(COUNTIF(N619:$T619,M619)&gt;0,0,IF(COUNTIF($G619:$T619,"&gt;"&amp;M619)=0,"",SMALL($G619:$T619,COUNTIF($G619:$T619,"&lt;="&amp;M619)+1)-M619)))</f>
        <v/>
      </c>
      <c r="AK619" t="str">
        <f>IF(OR($B619="",NOT(ISNUMBER(N619))),"",IF(COUNTIF(O619:$T619,N619)&gt;0,0,IF(COUNTIF($G619:$T619,"&gt;"&amp;N619)=0,"",SMALL($G619:$T619,COUNTIF($G619:$T619,"&lt;="&amp;N619)+1)-N619)))</f>
        <v/>
      </c>
      <c r="AL619" t="str">
        <f>IF(OR($B619="",NOT(ISNUMBER(O619))),"",IF(COUNTIF(P619:$T619,O619)&gt;0,0,IF(COUNTIF($G619:$T619,"&gt;"&amp;O619)=0,"",SMALL($G619:$T619,COUNTIF($G619:$T619,"&lt;="&amp;O619)+1)-O619)))</f>
        <v/>
      </c>
      <c r="AM619" t="str">
        <f>IF(OR($B619="",NOT(ISNUMBER(P619))),"",IF(COUNTIF(Q619:$T619,P619)&gt;0,0,IF(COUNTIF($G619:$T619,"&gt;"&amp;P619)=0,"",SMALL($G619:$T619,COUNTIF($G619:$T619,"&lt;="&amp;P619)+1)-P619)))</f>
        <v/>
      </c>
      <c r="AN619" t="str">
        <f>IF(OR($B619="",NOT(ISNUMBER(Q619))),"",IF(COUNTIF(R619:$T619,Q619)&gt;0,0,IF(COUNTIF($G619:$T619,"&gt;"&amp;Q619)=0,"",SMALL($G619:$T619,COUNTIF($G619:$T619,"&lt;="&amp;Q619)+1)-Q619)))</f>
        <v/>
      </c>
      <c r="AO619" t="str">
        <f>IF(OR($B619="",NOT(ISNUMBER(R619))),"",IF(COUNTIF(S619:$T619,R619)&gt;0,0,IF(COUNTIF($G619:$T619,"&gt;"&amp;R619)=0,"",SMALL($G619:$T619,COUNTIF($G619:$T619,"&lt;="&amp;R619)+1)-R619)))</f>
        <v/>
      </c>
      <c r="AP619">
        <f t="shared" ca="1" si="156"/>
        <v>0</v>
      </c>
      <c r="AQ619" s="25" t="str">
        <f t="shared" si="157"/>
        <v/>
      </c>
      <c r="AR619" s="25" t="str">
        <f t="shared" si="158"/>
        <v/>
      </c>
      <c r="AS619" s="25" t="str">
        <f t="shared" si="159"/>
        <v/>
      </c>
      <c r="AT619" s="25" t="str">
        <f t="shared" si="160"/>
        <v/>
      </c>
      <c r="AU619" s="25" t="str">
        <f t="shared" si="161"/>
        <v/>
      </c>
      <c r="AV619" s="25" t="str">
        <f t="shared" si="162"/>
        <v/>
      </c>
      <c r="AW619" s="25" t="str">
        <f t="shared" si="163"/>
        <v/>
      </c>
      <c r="AX619" s="25" t="str">
        <f t="shared" si="164"/>
        <v/>
      </c>
      <c r="AY619" s="25" t="str">
        <f t="shared" si="165"/>
        <v/>
      </c>
      <c r="AZ619" s="25" t="str">
        <f t="shared" si="166"/>
        <v/>
      </c>
      <c r="BA619" s="25" t="str">
        <f t="shared" si="167"/>
        <v/>
      </c>
      <c r="BB619" s="25" t="str">
        <f t="shared" si="168"/>
        <v/>
      </c>
      <c r="BC619" s="25" t="str">
        <f t="shared" si="169"/>
        <v/>
      </c>
    </row>
    <row r="620" spans="1:55" x14ac:dyDescent="0.25">
      <c r="A620" s="19" t="str">
        <f t="shared" si="154"/>
        <v/>
      </c>
      <c r="B620" s="19"/>
      <c r="C620" s="20"/>
      <c r="D620" s="19" t="str">
        <f t="shared" si="153"/>
        <v/>
      </c>
      <c r="E620" s="19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19"/>
      <c r="U620" s="19"/>
      <c r="V620" s="20"/>
      <c r="W620" s="22"/>
      <c r="X620" s="21"/>
      <c r="Y620" s="21"/>
      <c r="Z620" s="23" t="str">
        <f>IF(B620="","",IF(S620&lt;&gt;"","Sevk Edildi",IF(AND(X620&lt;&gt;"",Y620=""),"Reworkte",IF(T620&lt;&gt;"","Kapandı"&amp;IF(COUNT(G620:R620)=0,""," – "&amp;LOOKUP(2,1/(G620:R620=MAX(G620:R620)),{"Tasarım","Ply Cutter","Üretim","Kalite (Üretim sonrası)","Talaşlı","Kalite (Talaşlı sonrası)","Montaj","Kalite (Montaj sonrası)","Boya","Kalite (Boya sonrası)","Yarı Mamül","KM"})),IF(COUNT(G620:R620)=0,"Başlamadı",LOOKUP(2,1/(G620:R620=MAX(G620:R620)),{"Tasarımda","Ply Cutter'da","Üretimde","Kalitede (Üretim sonrası)","Talaşlıda","Kalitede (Talaşlı sonrası)","Montajda","Kalitede (Montaj sonrası)","Boyada","Kalitede (Boya sonrası)","Yarı Mamülde","KM'de"}))))))</f>
        <v/>
      </c>
      <c r="AA620" s="24" t="str">
        <f t="shared" ca="1" si="155"/>
        <v/>
      </c>
      <c r="AB620" s="22"/>
      <c r="AD620" t="str">
        <f>IF(OR($B620="",NOT(ISNUMBER(G620))),"",IF(COUNTIF(H620:$T620,G620)&gt;0,0,IF(COUNTIF($G620:$T620,"&gt;"&amp;G620)=0,"",SMALL($G620:$T620,COUNTIF($G620:$T620,"&lt;="&amp;G620)+1)-G620)))</f>
        <v/>
      </c>
      <c r="AE620" t="str">
        <f>IF(OR($B620="",NOT(ISNUMBER(H620))),"",IF(COUNTIF(I620:$T620,H620)&gt;0,0,IF(COUNTIF($G620:$T620,"&gt;"&amp;H620)=0,"",SMALL($G620:$T620,COUNTIF($G620:$T620,"&lt;="&amp;H620)+1)-H620)))</f>
        <v/>
      </c>
      <c r="AF620" t="str">
        <f>IF(OR($B620="",NOT(ISNUMBER(I620))),"",IF(COUNTIF(J620:$T620,I620)&gt;0,0,IF(COUNTIF($G620:$T620,"&gt;"&amp;I620)=0,"",SMALL($G620:$T620,COUNTIF($G620:$T620,"&lt;="&amp;I620)+1)-I620)))</f>
        <v/>
      </c>
      <c r="AG620" t="str">
        <f>IF(OR($B620="",NOT(ISNUMBER(J620))),"",IF(COUNTIF(K620:$T620,J620)&gt;0,0,IF(COUNTIF($G620:$T620,"&gt;"&amp;J620)=0,"",SMALL($G620:$T620,COUNTIF($G620:$T620,"&lt;="&amp;J620)+1)-J620)))</f>
        <v/>
      </c>
      <c r="AH620" t="str">
        <f>IF(OR($B620="",NOT(ISNUMBER(K620))),"",IF(COUNTIF(L620:$T620,K620)&gt;0,0,IF(COUNTIF($G620:$T620,"&gt;"&amp;K620)=0,"",SMALL($G620:$T620,COUNTIF($G620:$T620,"&lt;="&amp;K620)+1)-K620)))</f>
        <v/>
      </c>
      <c r="AI620" t="str">
        <f>IF(OR($B620="",NOT(ISNUMBER(L620))),"",IF(COUNTIF(M620:$T620,L620)&gt;0,0,IF(COUNTIF($G620:$T620,"&gt;"&amp;L620)=0,"",SMALL($G620:$T620,COUNTIF($G620:$T620,"&lt;="&amp;L620)+1)-L620)))</f>
        <v/>
      </c>
      <c r="AJ620" t="str">
        <f>IF(OR($B620="",NOT(ISNUMBER(M620))),"",IF(COUNTIF(N620:$T620,M620)&gt;0,0,IF(COUNTIF($G620:$T620,"&gt;"&amp;M620)=0,"",SMALL($G620:$T620,COUNTIF($G620:$T620,"&lt;="&amp;M620)+1)-M620)))</f>
        <v/>
      </c>
      <c r="AK620" t="str">
        <f>IF(OR($B620="",NOT(ISNUMBER(N620))),"",IF(COUNTIF(O620:$T620,N620)&gt;0,0,IF(COUNTIF($G620:$T620,"&gt;"&amp;N620)=0,"",SMALL($G620:$T620,COUNTIF($G620:$T620,"&lt;="&amp;N620)+1)-N620)))</f>
        <v/>
      </c>
      <c r="AL620" t="str">
        <f>IF(OR($B620="",NOT(ISNUMBER(O620))),"",IF(COUNTIF(P620:$T620,O620)&gt;0,0,IF(COUNTIF($G620:$T620,"&gt;"&amp;O620)=0,"",SMALL($G620:$T620,COUNTIF($G620:$T620,"&lt;="&amp;O620)+1)-O620)))</f>
        <v/>
      </c>
      <c r="AM620" t="str">
        <f>IF(OR($B620="",NOT(ISNUMBER(P620))),"",IF(COUNTIF(Q620:$T620,P620)&gt;0,0,IF(COUNTIF($G620:$T620,"&gt;"&amp;P620)=0,"",SMALL($G620:$T620,COUNTIF($G620:$T620,"&lt;="&amp;P620)+1)-P620)))</f>
        <v/>
      </c>
      <c r="AN620" t="str">
        <f>IF(OR($B620="",NOT(ISNUMBER(Q620))),"",IF(COUNTIF(R620:$T620,Q620)&gt;0,0,IF(COUNTIF($G620:$T620,"&gt;"&amp;Q620)=0,"",SMALL($G620:$T620,COUNTIF($G620:$T620,"&lt;="&amp;Q620)+1)-Q620)))</f>
        <v/>
      </c>
      <c r="AO620" t="str">
        <f>IF(OR($B620="",NOT(ISNUMBER(R620))),"",IF(COUNTIF(S620:$T620,R620)&gt;0,0,IF(COUNTIF($G620:$T620,"&gt;"&amp;R620)=0,"",SMALL($G620:$T620,COUNTIF($G620:$T620,"&lt;="&amp;R620)+1)-R620)))</f>
        <v/>
      </c>
      <c r="AP620">
        <f t="shared" ca="1" si="156"/>
        <v>0</v>
      </c>
      <c r="AQ620" s="25" t="str">
        <f t="shared" si="157"/>
        <v/>
      </c>
      <c r="AR620" s="25" t="str">
        <f t="shared" si="158"/>
        <v/>
      </c>
      <c r="AS620" s="25" t="str">
        <f t="shared" si="159"/>
        <v/>
      </c>
      <c r="AT620" s="25" t="str">
        <f t="shared" si="160"/>
        <v/>
      </c>
      <c r="AU620" s="25" t="str">
        <f t="shared" si="161"/>
        <v/>
      </c>
      <c r="AV620" s="25" t="str">
        <f t="shared" si="162"/>
        <v/>
      </c>
      <c r="AW620" s="25" t="str">
        <f t="shared" si="163"/>
        <v/>
      </c>
      <c r="AX620" s="25" t="str">
        <f t="shared" si="164"/>
        <v/>
      </c>
      <c r="AY620" s="25" t="str">
        <f t="shared" si="165"/>
        <v/>
      </c>
      <c r="AZ620" s="25" t="str">
        <f t="shared" si="166"/>
        <v/>
      </c>
      <c r="BA620" s="25" t="str">
        <f t="shared" si="167"/>
        <v/>
      </c>
      <c r="BB620" s="25" t="str">
        <f t="shared" si="168"/>
        <v/>
      </c>
      <c r="BC620" s="25" t="str">
        <f t="shared" si="169"/>
        <v/>
      </c>
    </row>
    <row r="621" spans="1:55" x14ac:dyDescent="0.25">
      <c r="A621" s="19" t="str">
        <f t="shared" si="154"/>
        <v/>
      </c>
      <c r="B621" s="19"/>
      <c r="C621" s="20"/>
      <c r="D621" s="19" t="str">
        <f t="shared" si="153"/>
        <v/>
      </c>
      <c r="E621" s="19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19"/>
      <c r="U621" s="19"/>
      <c r="V621" s="20"/>
      <c r="W621" s="22"/>
      <c r="X621" s="21"/>
      <c r="Y621" s="21"/>
      <c r="Z621" s="23" t="str">
        <f>IF(B621="","",IF(S621&lt;&gt;"","Sevk Edildi",IF(AND(X621&lt;&gt;"",Y621=""),"Reworkte",IF(T621&lt;&gt;"","Kapandı"&amp;IF(COUNT(G621:R621)=0,""," – "&amp;LOOKUP(2,1/(G621:R621=MAX(G621:R621)),{"Tasarım","Ply Cutter","Üretim","Kalite (Üretim sonrası)","Talaşlı","Kalite (Talaşlı sonrası)","Montaj","Kalite (Montaj sonrası)","Boya","Kalite (Boya sonrası)","Yarı Mamül","KM"})),IF(COUNT(G621:R621)=0,"Başlamadı",LOOKUP(2,1/(G621:R621=MAX(G621:R621)),{"Tasarımda","Ply Cutter'da","Üretimde","Kalitede (Üretim sonrası)","Talaşlıda","Kalitede (Talaşlı sonrası)","Montajda","Kalitede (Montaj sonrası)","Boyada","Kalitede (Boya sonrası)","Yarı Mamülde","KM'de"}))))))</f>
        <v/>
      </c>
      <c r="AA621" s="24" t="str">
        <f t="shared" ca="1" si="155"/>
        <v/>
      </c>
      <c r="AB621" s="22"/>
      <c r="AD621" t="str">
        <f>IF(OR($B621="",NOT(ISNUMBER(G621))),"",IF(COUNTIF(H621:$T621,G621)&gt;0,0,IF(COUNTIF($G621:$T621,"&gt;"&amp;G621)=0,"",SMALL($G621:$T621,COUNTIF($G621:$T621,"&lt;="&amp;G621)+1)-G621)))</f>
        <v/>
      </c>
      <c r="AE621" t="str">
        <f>IF(OR($B621="",NOT(ISNUMBER(H621))),"",IF(COUNTIF(I621:$T621,H621)&gt;0,0,IF(COUNTIF($G621:$T621,"&gt;"&amp;H621)=0,"",SMALL($G621:$T621,COUNTIF($G621:$T621,"&lt;="&amp;H621)+1)-H621)))</f>
        <v/>
      </c>
      <c r="AF621" t="str">
        <f>IF(OR($B621="",NOT(ISNUMBER(I621))),"",IF(COUNTIF(J621:$T621,I621)&gt;0,0,IF(COUNTIF($G621:$T621,"&gt;"&amp;I621)=0,"",SMALL($G621:$T621,COUNTIF($G621:$T621,"&lt;="&amp;I621)+1)-I621)))</f>
        <v/>
      </c>
      <c r="AG621" t="str">
        <f>IF(OR($B621="",NOT(ISNUMBER(J621))),"",IF(COUNTIF(K621:$T621,J621)&gt;0,0,IF(COUNTIF($G621:$T621,"&gt;"&amp;J621)=0,"",SMALL($G621:$T621,COUNTIF($G621:$T621,"&lt;="&amp;J621)+1)-J621)))</f>
        <v/>
      </c>
      <c r="AH621" t="str">
        <f>IF(OR($B621="",NOT(ISNUMBER(K621))),"",IF(COUNTIF(L621:$T621,K621)&gt;0,0,IF(COUNTIF($G621:$T621,"&gt;"&amp;K621)=0,"",SMALL($G621:$T621,COUNTIF($G621:$T621,"&lt;="&amp;K621)+1)-K621)))</f>
        <v/>
      </c>
      <c r="AI621" t="str">
        <f>IF(OR($B621="",NOT(ISNUMBER(L621))),"",IF(COUNTIF(M621:$T621,L621)&gt;0,0,IF(COUNTIF($G621:$T621,"&gt;"&amp;L621)=0,"",SMALL($G621:$T621,COUNTIF($G621:$T621,"&lt;="&amp;L621)+1)-L621)))</f>
        <v/>
      </c>
      <c r="AJ621" t="str">
        <f>IF(OR($B621="",NOT(ISNUMBER(M621))),"",IF(COUNTIF(N621:$T621,M621)&gt;0,0,IF(COUNTIF($G621:$T621,"&gt;"&amp;M621)=0,"",SMALL($G621:$T621,COUNTIF($G621:$T621,"&lt;="&amp;M621)+1)-M621)))</f>
        <v/>
      </c>
      <c r="AK621" t="str">
        <f>IF(OR($B621="",NOT(ISNUMBER(N621))),"",IF(COUNTIF(O621:$T621,N621)&gt;0,0,IF(COUNTIF($G621:$T621,"&gt;"&amp;N621)=0,"",SMALL($G621:$T621,COUNTIF($G621:$T621,"&lt;="&amp;N621)+1)-N621)))</f>
        <v/>
      </c>
      <c r="AL621" t="str">
        <f>IF(OR($B621="",NOT(ISNUMBER(O621))),"",IF(COUNTIF(P621:$T621,O621)&gt;0,0,IF(COUNTIF($G621:$T621,"&gt;"&amp;O621)=0,"",SMALL($G621:$T621,COUNTIF($G621:$T621,"&lt;="&amp;O621)+1)-O621)))</f>
        <v/>
      </c>
      <c r="AM621" t="str">
        <f>IF(OR($B621="",NOT(ISNUMBER(P621))),"",IF(COUNTIF(Q621:$T621,P621)&gt;0,0,IF(COUNTIF($G621:$T621,"&gt;"&amp;P621)=0,"",SMALL($G621:$T621,COUNTIF($G621:$T621,"&lt;="&amp;P621)+1)-P621)))</f>
        <v/>
      </c>
      <c r="AN621" t="str">
        <f>IF(OR($B621="",NOT(ISNUMBER(Q621))),"",IF(COUNTIF(R621:$T621,Q621)&gt;0,0,IF(COUNTIF($G621:$T621,"&gt;"&amp;Q621)=0,"",SMALL($G621:$T621,COUNTIF($G621:$T621,"&lt;="&amp;Q621)+1)-Q621)))</f>
        <v/>
      </c>
      <c r="AO621" t="str">
        <f>IF(OR($B621="",NOT(ISNUMBER(R621))),"",IF(COUNTIF(S621:$T621,R621)&gt;0,0,IF(COUNTIF($G621:$T621,"&gt;"&amp;R621)=0,"",SMALL($G621:$T621,COUNTIF($G621:$T621,"&lt;="&amp;R621)+1)-R621)))</f>
        <v/>
      </c>
      <c r="AP621">
        <f t="shared" ca="1" si="156"/>
        <v>0</v>
      </c>
      <c r="AQ621" s="25" t="str">
        <f t="shared" si="157"/>
        <v/>
      </c>
      <c r="AR621" s="25" t="str">
        <f t="shared" si="158"/>
        <v/>
      </c>
      <c r="AS621" s="25" t="str">
        <f t="shared" si="159"/>
        <v/>
      </c>
      <c r="AT621" s="25" t="str">
        <f t="shared" si="160"/>
        <v/>
      </c>
      <c r="AU621" s="25" t="str">
        <f t="shared" si="161"/>
        <v/>
      </c>
      <c r="AV621" s="25" t="str">
        <f t="shared" si="162"/>
        <v/>
      </c>
      <c r="AW621" s="25" t="str">
        <f t="shared" si="163"/>
        <v/>
      </c>
      <c r="AX621" s="25" t="str">
        <f t="shared" si="164"/>
        <v/>
      </c>
      <c r="AY621" s="25" t="str">
        <f t="shared" si="165"/>
        <v/>
      </c>
      <c r="AZ621" s="25" t="str">
        <f t="shared" si="166"/>
        <v/>
      </c>
      <c r="BA621" s="25" t="str">
        <f t="shared" si="167"/>
        <v/>
      </c>
      <c r="BB621" s="25" t="str">
        <f t="shared" si="168"/>
        <v/>
      </c>
      <c r="BC621" s="25" t="str">
        <f t="shared" si="169"/>
        <v/>
      </c>
    </row>
    <row r="622" spans="1:55" x14ac:dyDescent="0.25">
      <c r="A622" s="19" t="str">
        <f t="shared" si="154"/>
        <v/>
      </c>
      <c r="B622" s="19"/>
      <c r="C622" s="20"/>
      <c r="D622" s="19" t="str">
        <f t="shared" si="153"/>
        <v/>
      </c>
      <c r="E622" s="19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19"/>
      <c r="U622" s="19"/>
      <c r="V622" s="20"/>
      <c r="W622" s="22"/>
      <c r="X622" s="21"/>
      <c r="Y622" s="21"/>
      <c r="Z622" s="23" t="str">
        <f>IF(B622="","",IF(S622&lt;&gt;"","Sevk Edildi",IF(AND(X622&lt;&gt;"",Y622=""),"Reworkte",IF(T622&lt;&gt;"","Kapandı"&amp;IF(COUNT(G622:R622)=0,""," – "&amp;LOOKUP(2,1/(G622:R622=MAX(G622:R622)),{"Tasarım","Ply Cutter","Üretim","Kalite (Üretim sonrası)","Talaşlı","Kalite (Talaşlı sonrası)","Montaj","Kalite (Montaj sonrası)","Boya","Kalite (Boya sonrası)","Yarı Mamül","KM"})),IF(COUNT(G622:R622)=0,"Başlamadı",LOOKUP(2,1/(G622:R622=MAX(G622:R622)),{"Tasarımda","Ply Cutter'da","Üretimde","Kalitede (Üretim sonrası)","Talaşlıda","Kalitede (Talaşlı sonrası)","Montajda","Kalitede (Montaj sonrası)","Boyada","Kalitede (Boya sonrası)","Yarı Mamülde","KM'de"}))))))</f>
        <v/>
      </c>
      <c r="AA622" s="24" t="str">
        <f t="shared" ca="1" si="155"/>
        <v/>
      </c>
      <c r="AB622" s="22"/>
      <c r="AD622" t="str">
        <f>IF(OR($B622="",NOT(ISNUMBER(G622))),"",IF(COUNTIF(H622:$T622,G622)&gt;0,0,IF(COUNTIF($G622:$T622,"&gt;"&amp;G622)=0,"",SMALL($G622:$T622,COUNTIF($G622:$T622,"&lt;="&amp;G622)+1)-G622)))</f>
        <v/>
      </c>
      <c r="AE622" t="str">
        <f>IF(OR($B622="",NOT(ISNUMBER(H622))),"",IF(COUNTIF(I622:$T622,H622)&gt;0,0,IF(COUNTIF($G622:$T622,"&gt;"&amp;H622)=0,"",SMALL($G622:$T622,COUNTIF($G622:$T622,"&lt;="&amp;H622)+1)-H622)))</f>
        <v/>
      </c>
      <c r="AF622" t="str">
        <f>IF(OR($B622="",NOT(ISNUMBER(I622))),"",IF(COUNTIF(J622:$T622,I622)&gt;0,0,IF(COUNTIF($G622:$T622,"&gt;"&amp;I622)=0,"",SMALL($G622:$T622,COUNTIF($G622:$T622,"&lt;="&amp;I622)+1)-I622)))</f>
        <v/>
      </c>
      <c r="AG622" t="str">
        <f>IF(OR($B622="",NOT(ISNUMBER(J622))),"",IF(COUNTIF(K622:$T622,J622)&gt;0,0,IF(COUNTIF($G622:$T622,"&gt;"&amp;J622)=0,"",SMALL($G622:$T622,COUNTIF($G622:$T622,"&lt;="&amp;J622)+1)-J622)))</f>
        <v/>
      </c>
      <c r="AH622" t="str">
        <f>IF(OR($B622="",NOT(ISNUMBER(K622))),"",IF(COUNTIF(L622:$T622,K622)&gt;0,0,IF(COUNTIF($G622:$T622,"&gt;"&amp;K622)=0,"",SMALL($G622:$T622,COUNTIF($G622:$T622,"&lt;="&amp;K622)+1)-K622)))</f>
        <v/>
      </c>
      <c r="AI622" t="str">
        <f>IF(OR($B622="",NOT(ISNUMBER(L622))),"",IF(COUNTIF(M622:$T622,L622)&gt;0,0,IF(COUNTIF($G622:$T622,"&gt;"&amp;L622)=0,"",SMALL($G622:$T622,COUNTIF($G622:$T622,"&lt;="&amp;L622)+1)-L622)))</f>
        <v/>
      </c>
      <c r="AJ622" t="str">
        <f>IF(OR($B622="",NOT(ISNUMBER(M622))),"",IF(COUNTIF(N622:$T622,M622)&gt;0,0,IF(COUNTIF($G622:$T622,"&gt;"&amp;M622)=0,"",SMALL($G622:$T622,COUNTIF($G622:$T622,"&lt;="&amp;M622)+1)-M622)))</f>
        <v/>
      </c>
      <c r="AK622" t="str">
        <f>IF(OR($B622="",NOT(ISNUMBER(N622))),"",IF(COUNTIF(O622:$T622,N622)&gt;0,0,IF(COUNTIF($G622:$T622,"&gt;"&amp;N622)=0,"",SMALL($G622:$T622,COUNTIF($G622:$T622,"&lt;="&amp;N622)+1)-N622)))</f>
        <v/>
      </c>
      <c r="AL622" t="str">
        <f>IF(OR($B622="",NOT(ISNUMBER(O622))),"",IF(COUNTIF(P622:$T622,O622)&gt;0,0,IF(COUNTIF($G622:$T622,"&gt;"&amp;O622)=0,"",SMALL($G622:$T622,COUNTIF($G622:$T622,"&lt;="&amp;O622)+1)-O622)))</f>
        <v/>
      </c>
      <c r="AM622" t="str">
        <f>IF(OR($B622="",NOT(ISNUMBER(P622))),"",IF(COUNTIF(Q622:$T622,P622)&gt;0,0,IF(COUNTIF($G622:$T622,"&gt;"&amp;P622)=0,"",SMALL($G622:$T622,COUNTIF($G622:$T622,"&lt;="&amp;P622)+1)-P622)))</f>
        <v/>
      </c>
      <c r="AN622" t="str">
        <f>IF(OR($B622="",NOT(ISNUMBER(Q622))),"",IF(COUNTIF(R622:$T622,Q622)&gt;0,0,IF(COUNTIF($G622:$T622,"&gt;"&amp;Q622)=0,"",SMALL($G622:$T622,COUNTIF($G622:$T622,"&lt;="&amp;Q622)+1)-Q622)))</f>
        <v/>
      </c>
      <c r="AO622" t="str">
        <f>IF(OR($B622="",NOT(ISNUMBER(R622))),"",IF(COUNTIF(S622:$T622,R622)&gt;0,0,IF(COUNTIF($G622:$T622,"&gt;"&amp;R622)=0,"",SMALL($G622:$T622,COUNTIF($G622:$T622,"&lt;="&amp;R622)+1)-R622)))</f>
        <v/>
      </c>
      <c r="AP622">
        <f t="shared" ca="1" si="156"/>
        <v>0</v>
      </c>
      <c r="AQ622" s="25" t="str">
        <f t="shared" si="157"/>
        <v/>
      </c>
      <c r="AR622" s="25" t="str">
        <f t="shared" si="158"/>
        <v/>
      </c>
      <c r="AS622" s="25" t="str">
        <f t="shared" si="159"/>
        <v/>
      </c>
      <c r="AT622" s="25" t="str">
        <f t="shared" si="160"/>
        <v/>
      </c>
      <c r="AU622" s="25" t="str">
        <f t="shared" si="161"/>
        <v/>
      </c>
      <c r="AV622" s="25" t="str">
        <f t="shared" si="162"/>
        <v/>
      </c>
      <c r="AW622" s="25" t="str">
        <f t="shared" si="163"/>
        <v/>
      </c>
      <c r="AX622" s="25" t="str">
        <f t="shared" si="164"/>
        <v/>
      </c>
      <c r="AY622" s="25" t="str">
        <f t="shared" si="165"/>
        <v/>
      </c>
      <c r="AZ622" s="25" t="str">
        <f t="shared" si="166"/>
        <v/>
      </c>
      <c r="BA622" s="25" t="str">
        <f t="shared" si="167"/>
        <v/>
      </c>
      <c r="BB622" s="25" t="str">
        <f t="shared" si="168"/>
        <v/>
      </c>
      <c r="BC622" s="25" t="str">
        <f t="shared" si="169"/>
        <v/>
      </c>
    </row>
    <row r="623" spans="1:55" x14ac:dyDescent="0.25">
      <c r="A623" s="19" t="str">
        <f t="shared" si="154"/>
        <v/>
      </c>
      <c r="B623" s="19"/>
      <c r="C623" s="20"/>
      <c r="D623" s="19" t="str">
        <f t="shared" si="153"/>
        <v/>
      </c>
      <c r="E623" s="19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19"/>
      <c r="U623" s="19"/>
      <c r="V623" s="20"/>
      <c r="W623" s="22"/>
      <c r="X623" s="21"/>
      <c r="Y623" s="21"/>
      <c r="Z623" s="23" t="str">
        <f>IF(B623="","",IF(S623&lt;&gt;"","Sevk Edildi",IF(AND(X623&lt;&gt;"",Y623=""),"Reworkte",IF(T623&lt;&gt;"","Kapandı"&amp;IF(COUNT(G623:R623)=0,""," – "&amp;LOOKUP(2,1/(G623:R623=MAX(G623:R623)),{"Tasarım","Ply Cutter","Üretim","Kalite (Üretim sonrası)","Talaşlı","Kalite (Talaşlı sonrası)","Montaj","Kalite (Montaj sonrası)","Boya","Kalite (Boya sonrası)","Yarı Mamül","KM"})),IF(COUNT(G623:R623)=0,"Başlamadı",LOOKUP(2,1/(G623:R623=MAX(G623:R623)),{"Tasarımda","Ply Cutter'da","Üretimde","Kalitede (Üretim sonrası)","Talaşlıda","Kalitede (Talaşlı sonrası)","Montajda","Kalitede (Montaj sonrası)","Boyada","Kalitede (Boya sonrası)","Yarı Mamülde","KM'de"}))))))</f>
        <v/>
      </c>
      <c r="AA623" s="24" t="str">
        <f t="shared" ca="1" si="155"/>
        <v/>
      </c>
      <c r="AB623" s="22"/>
      <c r="AD623" t="str">
        <f>IF(OR($B623="",NOT(ISNUMBER(G623))),"",IF(COUNTIF(H623:$T623,G623)&gt;0,0,IF(COUNTIF($G623:$T623,"&gt;"&amp;G623)=0,"",SMALL($G623:$T623,COUNTIF($G623:$T623,"&lt;="&amp;G623)+1)-G623)))</f>
        <v/>
      </c>
      <c r="AE623" t="str">
        <f>IF(OR($B623="",NOT(ISNUMBER(H623))),"",IF(COUNTIF(I623:$T623,H623)&gt;0,0,IF(COUNTIF($G623:$T623,"&gt;"&amp;H623)=0,"",SMALL($G623:$T623,COUNTIF($G623:$T623,"&lt;="&amp;H623)+1)-H623)))</f>
        <v/>
      </c>
      <c r="AF623" t="str">
        <f>IF(OR($B623="",NOT(ISNUMBER(I623))),"",IF(COUNTIF(J623:$T623,I623)&gt;0,0,IF(COUNTIF($G623:$T623,"&gt;"&amp;I623)=0,"",SMALL($G623:$T623,COUNTIF($G623:$T623,"&lt;="&amp;I623)+1)-I623)))</f>
        <v/>
      </c>
      <c r="AG623" t="str">
        <f>IF(OR($B623="",NOT(ISNUMBER(J623))),"",IF(COUNTIF(K623:$T623,J623)&gt;0,0,IF(COUNTIF($G623:$T623,"&gt;"&amp;J623)=0,"",SMALL($G623:$T623,COUNTIF($G623:$T623,"&lt;="&amp;J623)+1)-J623)))</f>
        <v/>
      </c>
      <c r="AH623" t="str">
        <f>IF(OR($B623="",NOT(ISNUMBER(K623))),"",IF(COUNTIF(L623:$T623,K623)&gt;0,0,IF(COUNTIF($G623:$T623,"&gt;"&amp;K623)=0,"",SMALL($G623:$T623,COUNTIF($G623:$T623,"&lt;="&amp;K623)+1)-K623)))</f>
        <v/>
      </c>
      <c r="AI623" t="str">
        <f>IF(OR($B623="",NOT(ISNUMBER(L623))),"",IF(COUNTIF(M623:$T623,L623)&gt;0,0,IF(COUNTIF($G623:$T623,"&gt;"&amp;L623)=0,"",SMALL($G623:$T623,COUNTIF($G623:$T623,"&lt;="&amp;L623)+1)-L623)))</f>
        <v/>
      </c>
      <c r="AJ623" t="str">
        <f>IF(OR($B623="",NOT(ISNUMBER(M623))),"",IF(COUNTIF(N623:$T623,M623)&gt;0,0,IF(COUNTIF($G623:$T623,"&gt;"&amp;M623)=0,"",SMALL($G623:$T623,COUNTIF($G623:$T623,"&lt;="&amp;M623)+1)-M623)))</f>
        <v/>
      </c>
      <c r="AK623" t="str">
        <f>IF(OR($B623="",NOT(ISNUMBER(N623))),"",IF(COUNTIF(O623:$T623,N623)&gt;0,0,IF(COUNTIF($G623:$T623,"&gt;"&amp;N623)=0,"",SMALL($G623:$T623,COUNTIF($G623:$T623,"&lt;="&amp;N623)+1)-N623)))</f>
        <v/>
      </c>
      <c r="AL623" t="str">
        <f>IF(OR($B623="",NOT(ISNUMBER(O623))),"",IF(COUNTIF(P623:$T623,O623)&gt;0,0,IF(COUNTIF($G623:$T623,"&gt;"&amp;O623)=0,"",SMALL($G623:$T623,COUNTIF($G623:$T623,"&lt;="&amp;O623)+1)-O623)))</f>
        <v/>
      </c>
      <c r="AM623" t="str">
        <f>IF(OR($B623="",NOT(ISNUMBER(P623))),"",IF(COUNTIF(Q623:$T623,P623)&gt;0,0,IF(COUNTIF($G623:$T623,"&gt;"&amp;P623)=0,"",SMALL($G623:$T623,COUNTIF($G623:$T623,"&lt;="&amp;P623)+1)-P623)))</f>
        <v/>
      </c>
      <c r="AN623" t="str">
        <f>IF(OR($B623="",NOT(ISNUMBER(Q623))),"",IF(COUNTIF(R623:$T623,Q623)&gt;0,0,IF(COUNTIF($G623:$T623,"&gt;"&amp;Q623)=0,"",SMALL($G623:$T623,COUNTIF($G623:$T623,"&lt;="&amp;Q623)+1)-Q623)))</f>
        <v/>
      </c>
      <c r="AO623" t="str">
        <f>IF(OR($B623="",NOT(ISNUMBER(R623))),"",IF(COUNTIF(S623:$T623,R623)&gt;0,0,IF(COUNTIF($G623:$T623,"&gt;"&amp;R623)=0,"",SMALL($G623:$T623,COUNTIF($G623:$T623,"&lt;="&amp;R623)+1)-R623)))</f>
        <v/>
      </c>
      <c r="AP623">
        <f t="shared" ca="1" si="156"/>
        <v>0</v>
      </c>
      <c r="AQ623" s="25" t="str">
        <f t="shared" si="157"/>
        <v/>
      </c>
      <c r="AR623" s="25" t="str">
        <f t="shared" si="158"/>
        <v/>
      </c>
      <c r="AS623" s="25" t="str">
        <f t="shared" si="159"/>
        <v/>
      </c>
      <c r="AT623" s="25" t="str">
        <f t="shared" si="160"/>
        <v/>
      </c>
      <c r="AU623" s="25" t="str">
        <f t="shared" si="161"/>
        <v/>
      </c>
      <c r="AV623" s="25" t="str">
        <f t="shared" si="162"/>
        <v/>
      </c>
      <c r="AW623" s="25" t="str">
        <f t="shared" si="163"/>
        <v/>
      </c>
      <c r="AX623" s="25" t="str">
        <f t="shared" si="164"/>
        <v/>
      </c>
      <c r="AY623" s="25" t="str">
        <f t="shared" si="165"/>
        <v/>
      </c>
      <c r="AZ623" s="25" t="str">
        <f t="shared" si="166"/>
        <v/>
      </c>
      <c r="BA623" s="25" t="str">
        <f t="shared" si="167"/>
        <v/>
      </c>
      <c r="BB623" s="25" t="str">
        <f t="shared" si="168"/>
        <v/>
      </c>
      <c r="BC623" s="25" t="str">
        <f t="shared" si="169"/>
        <v/>
      </c>
    </row>
    <row r="624" spans="1:55" x14ac:dyDescent="0.25">
      <c r="A624" s="19" t="str">
        <f t="shared" si="154"/>
        <v/>
      </c>
      <c r="B624" s="19"/>
      <c r="C624" s="20"/>
      <c r="D624" s="19" t="str">
        <f t="shared" si="153"/>
        <v/>
      </c>
      <c r="E624" s="19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19"/>
      <c r="U624" s="19"/>
      <c r="V624" s="20"/>
      <c r="W624" s="22"/>
      <c r="X624" s="21"/>
      <c r="Y624" s="21"/>
      <c r="Z624" s="23" t="str">
        <f>IF(B624="","",IF(S624&lt;&gt;"","Sevk Edildi",IF(AND(X624&lt;&gt;"",Y624=""),"Reworkte",IF(T624&lt;&gt;"","Kapandı"&amp;IF(COUNT(G624:R624)=0,""," – "&amp;LOOKUP(2,1/(G624:R624=MAX(G624:R624)),{"Tasarım","Ply Cutter","Üretim","Kalite (Üretim sonrası)","Talaşlı","Kalite (Talaşlı sonrası)","Montaj","Kalite (Montaj sonrası)","Boya","Kalite (Boya sonrası)","Yarı Mamül","KM"})),IF(COUNT(G624:R624)=0,"Başlamadı",LOOKUP(2,1/(G624:R624=MAX(G624:R624)),{"Tasarımda","Ply Cutter'da","Üretimde","Kalitede (Üretim sonrası)","Talaşlıda","Kalitede (Talaşlı sonrası)","Montajda","Kalitede (Montaj sonrası)","Boyada","Kalitede (Boya sonrası)","Yarı Mamülde","KM'de"}))))))</f>
        <v/>
      </c>
      <c r="AA624" s="24" t="str">
        <f t="shared" ca="1" si="155"/>
        <v/>
      </c>
      <c r="AB624" s="22"/>
      <c r="AD624" t="str">
        <f>IF(OR($B624="",NOT(ISNUMBER(G624))),"",IF(COUNTIF(H624:$T624,G624)&gt;0,0,IF(COUNTIF($G624:$T624,"&gt;"&amp;G624)=0,"",SMALL($G624:$T624,COUNTIF($G624:$T624,"&lt;="&amp;G624)+1)-G624)))</f>
        <v/>
      </c>
      <c r="AE624" t="str">
        <f>IF(OR($B624="",NOT(ISNUMBER(H624))),"",IF(COUNTIF(I624:$T624,H624)&gt;0,0,IF(COUNTIF($G624:$T624,"&gt;"&amp;H624)=0,"",SMALL($G624:$T624,COUNTIF($G624:$T624,"&lt;="&amp;H624)+1)-H624)))</f>
        <v/>
      </c>
      <c r="AF624" t="str">
        <f>IF(OR($B624="",NOT(ISNUMBER(I624))),"",IF(COUNTIF(J624:$T624,I624)&gt;0,0,IF(COUNTIF($G624:$T624,"&gt;"&amp;I624)=0,"",SMALL($G624:$T624,COUNTIF($G624:$T624,"&lt;="&amp;I624)+1)-I624)))</f>
        <v/>
      </c>
      <c r="AG624" t="str">
        <f>IF(OR($B624="",NOT(ISNUMBER(J624))),"",IF(COUNTIF(K624:$T624,J624)&gt;0,0,IF(COUNTIF($G624:$T624,"&gt;"&amp;J624)=0,"",SMALL($G624:$T624,COUNTIF($G624:$T624,"&lt;="&amp;J624)+1)-J624)))</f>
        <v/>
      </c>
      <c r="AH624" t="str">
        <f>IF(OR($B624="",NOT(ISNUMBER(K624))),"",IF(COUNTIF(L624:$T624,K624)&gt;0,0,IF(COUNTIF($G624:$T624,"&gt;"&amp;K624)=0,"",SMALL($G624:$T624,COUNTIF($G624:$T624,"&lt;="&amp;K624)+1)-K624)))</f>
        <v/>
      </c>
      <c r="AI624" t="str">
        <f>IF(OR($B624="",NOT(ISNUMBER(L624))),"",IF(COUNTIF(M624:$T624,L624)&gt;0,0,IF(COUNTIF($G624:$T624,"&gt;"&amp;L624)=0,"",SMALL($G624:$T624,COUNTIF($G624:$T624,"&lt;="&amp;L624)+1)-L624)))</f>
        <v/>
      </c>
      <c r="AJ624" t="str">
        <f>IF(OR($B624="",NOT(ISNUMBER(M624))),"",IF(COUNTIF(N624:$T624,M624)&gt;0,0,IF(COUNTIF($G624:$T624,"&gt;"&amp;M624)=0,"",SMALL($G624:$T624,COUNTIF($G624:$T624,"&lt;="&amp;M624)+1)-M624)))</f>
        <v/>
      </c>
      <c r="AK624" t="str">
        <f>IF(OR($B624="",NOT(ISNUMBER(N624))),"",IF(COUNTIF(O624:$T624,N624)&gt;0,0,IF(COUNTIF($G624:$T624,"&gt;"&amp;N624)=0,"",SMALL($G624:$T624,COUNTIF($G624:$T624,"&lt;="&amp;N624)+1)-N624)))</f>
        <v/>
      </c>
      <c r="AL624" t="str">
        <f>IF(OR($B624="",NOT(ISNUMBER(O624))),"",IF(COUNTIF(P624:$T624,O624)&gt;0,0,IF(COUNTIF($G624:$T624,"&gt;"&amp;O624)=0,"",SMALL($G624:$T624,COUNTIF($G624:$T624,"&lt;="&amp;O624)+1)-O624)))</f>
        <v/>
      </c>
      <c r="AM624" t="str">
        <f>IF(OR($B624="",NOT(ISNUMBER(P624))),"",IF(COUNTIF(Q624:$T624,P624)&gt;0,0,IF(COUNTIF($G624:$T624,"&gt;"&amp;P624)=0,"",SMALL($G624:$T624,COUNTIF($G624:$T624,"&lt;="&amp;P624)+1)-P624)))</f>
        <v/>
      </c>
      <c r="AN624" t="str">
        <f>IF(OR($B624="",NOT(ISNUMBER(Q624))),"",IF(COUNTIF(R624:$T624,Q624)&gt;0,0,IF(COUNTIF($G624:$T624,"&gt;"&amp;Q624)=0,"",SMALL($G624:$T624,COUNTIF($G624:$T624,"&lt;="&amp;Q624)+1)-Q624)))</f>
        <v/>
      </c>
      <c r="AO624" t="str">
        <f>IF(OR($B624="",NOT(ISNUMBER(R624))),"",IF(COUNTIF(S624:$T624,R624)&gt;0,0,IF(COUNTIF($G624:$T624,"&gt;"&amp;R624)=0,"",SMALL($G624:$T624,COUNTIF($G624:$T624,"&lt;="&amp;R624)+1)-R624)))</f>
        <v/>
      </c>
      <c r="AP624">
        <f t="shared" ca="1" si="156"/>
        <v>0</v>
      </c>
      <c r="AQ624" s="25" t="str">
        <f t="shared" si="157"/>
        <v/>
      </c>
      <c r="AR624" s="25" t="str">
        <f t="shared" si="158"/>
        <v/>
      </c>
      <c r="AS624" s="25" t="str">
        <f t="shared" si="159"/>
        <v/>
      </c>
      <c r="AT624" s="25" t="str">
        <f t="shared" si="160"/>
        <v/>
      </c>
      <c r="AU624" s="25" t="str">
        <f t="shared" si="161"/>
        <v/>
      </c>
      <c r="AV624" s="25" t="str">
        <f t="shared" si="162"/>
        <v/>
      </c>
      <c r="AW624" s="25" t="str">
        <f t="shared" si="163"/>
        <v/>
      </c>
      <c r="AX624" s="25" t="str">
        <f t="shared" si="164"/>
        <v/>
      </c>
      <c r="AY624" s="25" t="str">
        <f t="shared" si="165"/>
        <v/>
      </c>
      <c r="AZ624" s="25" t="str">
        <f t="shared" si="166"/>
        <v/>
      </c>
      <c r="BA624" s="25" t="str">
        <f t="shared" si="167"/>
        <v/>
      </c>
      <c r="BB624" s="25" t="str">
        <f t="shared" si="168"/>
        <v/>
      </c>
      <c r="BC624" s="25" t="str">
        <f t="shared" si="169"/>
        <v/>
      </c>
    </row>
    <row r="625" spans="1:55" x14ac:dyDescent="0.25">
      <c r="A625" s="19" t="str">
        <f t="shared" si="154"/>
        <v/>
      </c>
      <c r="B625" s="19"/>
      <c r="C625" s="20"/>
      <c r="D625" s="19" t="str">
        <f t="shared" si="153"/>
        <v/>
      </c>
      <c r="E625" s="19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19"/>
      <c r="U625" s="19"/>
      <c r="V625" s="20"/>
      <c r="W625" s="22"/>
      <c r="X625" s="21"/>
      <c r="Y625" s="21"/>
      <c r="Z625" s="23" t="str">
        <f>IF(B625="","",IF(S625&lt;&gt;"","Sevk Edildi",IF(AND(X625&lt;&gt;"",Y625=""),"Reworkte",IF(T625&lt;&gt;"","Kapandı"&amp;IF(COUNT(G625:R625)=0,""," – "&amp;LOOKUP(2,1/(G625:R625=MAX(G625:R625)),{"Tasarım","Ply Cutter","Üretim","Kalite (Üretim sonrası)","Talaşlı","Kalite (Talaşlı sonrası)","Montaj","Kalite (Montaj sonrası)","Boya","Kalite (Boya sonrası)","Yarı Mamül","KM"})),IF(COUNT(G625:R625)=0,"Başlamadı",LOOKUP(2,1/(G625:R625=MAX(G625:R625)),{"Tasarımda","Ply Cutter'da","Üretimde","Kalitede (Üretim sonrası)","Talaşlıda","Kalitede (Talaşlı sonrası)","Montajda","Kalitede (Montaj sonrası)","Boyada","Kalitede (Boya sonrası)","Yarı Mamülde","KM'de"}))))))</f>
        <v/>
      </c>
      <c r="AA625" s="24" t="str">
        <f t="shared" ca="1" si="155"/>
        <v/>
      </c>
      <c r="AB625" s="22"/>
      <c r="AD625" t="str">
        <f>IF(OR($B625="",NOT(ISNUMBER(G625))),"",IF(COUNTIF(H625:$T625,G625)&gt;0,0,IF(COUNTIF($G625:$T625,"&gt;"&amp;G625)=0,"",SMALL($G625:$T625,COUNTIF($G625:$T625,"&lt;="&amp;G625)+1)-G625)))</f>
        <v/>
      </c>
      <c r="AE625" t="str">
        <f>IF(OR($B625="",NOT(ISNUMBER(H625))),"",IF(COUNTIF(I625:$T625,H625)&gt;0,0,IF(COUNTIF($G625:$T625,"&gt;"&amp;H625)=0,"",SMALL($G625:$T625,COUNTIF($G625:$T625,"&lt;="&amp;H625)+1)-H625)))</f>
        <v/>
      </c>
      <c r="AF625" t="str">
        <f>IF(OR($B625="",NOT(ISNUMBER(I625))),"",IF(COUNTIF(J625:$T625,I625)&gt;0,0,IF(COUNTIF($G625:$T625,"&gt;"&amp;I625)=0,"",SMALL($G625:$T625,COUNTIF($G625:$T625,"&lt;="&amp;I625)+1)-I625)))</f>
        <v/>
      </c>
      <c r="AG625" t="str">
        <f>IF(OR($B625="",NOT(ISNUMBER(J625))),"",IF(COUNTIF(K625:$T625,J625)&gt;0,0,IF(COUNTIF($G625:$T625,"&gt;"&amp;J625)=0,"",SMALL($G625:$T625,COUNTIF($G625:$T625,"&lt;="&amp;J625)+1)-J625)))</f>
        <v/>
      </c>
      <c r="AH625" t="str">
        <f>IF(OR($B625="",NOT(ISNUMBER(K625))),"",IF(COUNTIF(L625:$T625,K625)&gt;0,0,IF(COUNTIF($G625:$T625,"&gt;"&amp;K625)=0,"",SMALL($G625:$T625,COUNTIF($G625:$T625,"&lt;="&amp;K625)+1)-K625)))</f>
        <v/>
      </c>
      <c r="AI625" t="str">
        <f>IF(OR($B625="",NOT(ISNUMBER(L625))),"",IF(COUNTIF(M625:$T625,L625)&gt;0,0,IF(COUNTIF($G625:$T625,"&gt;"&amp;L625)=0,"",SMALL($G625:$T625,COUNTIF($G625:$T625,"&lt;="&amp;L625)+1)-L625)))</f>
        <v/>
      </c>
      <c r="AJ625" t="str">
        <f>IF(OR($B625="",NOT(ISNUMBER(M625))),"",IF(COUNTIF(N625:$T625,M625)&gt;0,0,IF(COUNTIF($G625:$T625,"&gt;"&amp;M625)=0,"",SMALL($G625:$T625,COUNTIF($G625:$T625,"&lt;="&amp;M625)+1)-M625)))</f>
        <v/>
      </c>
      <c r="AK625" t="str">
        <f>IF(OR($B625="",NOT(ISNUMBER(N625))),"",IF(COUNTIF(O625:$T625,N625)&gt;0,0,IF(COUNTIF($G625:$T625,"&gt;"&amp;N625)=0,"",SMALL($G625:$T625,COUNTIF($G625:$T625,"&lt;="&amp;N625)+1)-N625)))</f>
        <v/>
      </c>
      <c r="AL625" t="str">
        <f>IF(OR($B625="",NOT(ISNUMBER(O625))),"",IF(COUNTIF(P625:$T625,O625)&gt;0,0,IF(COUNTIF($G625:$T625,"&gt;"&amp;O625)=0,"",SMALL($G625:$T625,COUNTIF($G625:$T625,"&lt;="&amp;O625)+1)-O625)))</f>
        <v/>
      </c>
      <c r="AM625" t="str">
        <f>IF(OR($B625="",NOT(ISNUMBER(P625))),"",IF(COUNTIF(Q625:$T625,P625)&gt;0,0,IF(COUNTIF($G625:$T625,"&gt;"&amp;P625)=0,"",SMALL($G625:$T625,COUNTIF($G625:$T625,"&lt;="&amp;P625)+1)-P625)))</f>
        <v/>
      </c>
      <c r="AN625" t="str">
        <f>IF(OR($B625="",NOT(ISNUMBER(Q625))),"",IF(COUNTIF(R625:$T625,Q625)&gt;0,0,IF(COUNTIF($G625:$T625,"&gt;"&amp;Q625)=0,"",SMALL($G625:$T625,COUNTIF($G625:$T625,"&lt;="&amp;Q625)+1)-Q625)))</f>
        <v/>
      </c>
      <c r="AO625" t="str">
        <f>IF(OR($B625="",NOT(ISNUMBER(R625))),"",IF(COUNTIF(S625:$T625,R625)&gt;0,0,IF(COUNTIF($G625:$T625,"&gt;"&amp;R625)=0,"",SMALL($G625:$T625,COUNTIF($G625:$T625,"&lt;="&amp;R625)+1)-R625)))</f>
        <v/>
      </c>
      <c r="AP625">
        <f t="shared" ca="1" si="156"/>
        <v>0</v>
      </c>
      <c r="AQ625" s="25" t="str">
        <f t="shared" si="157"/>
        <v/>
      </c>
      <c r="AR625" s="25" t="str">
        <f t="shared" si="158"/>
        <v/>
      </c>
      <c r="AS625" s="25" t="str">
        <f t="shared" si="159"/>
        <v/>
      </c>
      <c r="AT625" s="25" t="str">
        <f t="shared" si="160"/>
        <v/>
      </c>
      <c r="AU625" s="25" t="str">
        <f t="shared" si="161"/>
        <v/>
      </c>
      <c r="AV625" s="25" t="str">
        <f t="shared" si="162"/>
        <v/>
      </c>
      <c r="AW625" s="25" t="str">
        <f t="shared" si="163"/>
        <v/>
      </c>
      <c r="AX625" s="25" t="str">
        <f t="shared" si="164"/>
        <v/>
      </c>
      <c r="AY625" s="25" t="str">
        <f t="shared" si="165"/>
        <v/>
      </c>
      <c r="AZ625" s="25" t="str">
        <f t="shared" si="166"/>
        <v/>
      </c>
      <c r="BA625" s="25" t="str">
        <f t="shared" si="167"/>
        <v/>
      </c>
      <c r="BB625" s="25" t="str">
        <f t="shared" si="168"/>
        <v/>
      </c>
      <c r="BC625" s="25" t="str">
        <f t="shared" si="169"/>
        <v/>
      </c>
    </row>
    <row r="626" spans="1:55" x14ac:dyDescent="0.25">
      <c r="A626" s="19" t="str">
        <f t="shared" si="154"/>
        <v/>
      </c>
      <c r="B626" s="19"/>
      <c r="C626" s="20"/>
      <c r="D626" s="19" t="str">
        <f t="shared" si="153"/>
        <v/>
      </c>
      <c r="E626" s="19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19"/>
      <c r="U626" s="19"/>
      <c r="V626" s="20"/>
      <c r="W626" s="22"/>
      <c r="X626" s="21"/>
      <c r="Y626" s="21"/>
      <c r="Z626" s="23" t="str">
        <f>IF(B626="","",IF(S626&lt;&gt;"","Sevk Edildi",IF(AND(X626&lt;&gt;"",Y626=""),"Reworkte",IF(T626&lt;&gt;"","Kapandı"&amp;IF(COUNT(G626:R626)=0,""," – "&amp;LOOKUP(2,1/(G626:R626=MAX(G626:R626)),{"Tasarım","Ply Cutter","Üretim","Kalite (Üretim sonrası)","Talaşlı","Kalite (Talaşlı sonrası)","Montaj","Kalite (Montaj sonrası)","Boya","Kalite (Boya sonrası)","Yarı Mamül","KM"})),IF(COUNT(G626:R626)=0,"Başlamadı",LOOKUP(2,1/(G626:R626=MAX(G626:R626)),{"Tasarımda","Ply Cutter'da","Üretimde","Kalitede (Üretim sonrası)","Talaşlıda","Kalitede (Talaşlı sonrası)","Montajda","Kalitede (Montaj sonrası)","Boyada","Kalitede (Boya sonrası)","Yarı Mamülde","KM'de"}))))))</f>
        <v/>
      </c>
      <c r="AA626" s="24" t="str">
        <f t="shared" ca="1" si="155"/>
        <v/>
      </c>
      <c r="AB626" s="22"/>
      <c r="AD626" t="str">
        <f>IF(OR($B626="",NOT(ISNUMBER(G626))),"",IF(COUNTIF(H626:$T626,G626)&gt;0,0,IF(COUNTIF($G626:$T626,"&gt;"&amp;G626)=0,"",SMALL($G626:$T626,COUNTIF($G626:$T626,"&lt;="&amp;G626)+1)-G626)))</f>
        <v/>
      </c>
      <c r="AE626" t="str">
        <f>IF(OR($B626="",NOT(ISNUMBER(H626))),"",IF(COUNTIF(I626:$T626,H626)&gt;0,0,IF(COUNTIF($G626:$T626,"&gt;"&amp;H626)=0,"",SMALL($G626:$T626,COUNTIF($G626:$T626,"&lt;="&amp;H626)+1)-H626)))</f>
        <v/>
      </c>
      <c r="AF626" t="str">
        <f>IF(OR($B626="",NOT(ISNUMBER(I626))),"",IF(COUNTIF(J626:$T626,I626)&gt;0,0,IF(COUNTIF($G626:$T626,"&gt;"&amp;I626)=0,"",SMALL($G626:$T626,COUNTIF($G626:$T626,"&lt;="&amp;I626)+1)-I626)))</f>
        <v/>
      </c>
      <c r="AG626" t="str">
        <f>IF(OR($B626="",NOT(ISNUMBER(J626))),"",IF(COUNTIF(K626:$T626,J626)&gt;0,0,IF(COUNTIF($G626:$T626,"&gt;"&amp;J626)=0,"",SMALL($G626:$T626,COUNTIF($G626:$T626,"&lt;="&amp;J626)+1)-J626)))</f>
        <v/>
      </c>
      <c r="AH626" t="str">
        <f>IF(OR($B626="",NOT(ISNUMBER(K626))),"",IF(COUNTIF(L626:$T626,K626)&gt;0,0,IF(COUNTIF($G626:$T626,"&gt;"&amp;K626)=0,"",SMALL($G626:$T626,COUNTIF($G626:$T626,"&lt;="&amp;K626)+1)-K626)))</f>
        <v/>
      </c>
      <c r="AI626" t="str">
        <f>IF(OR($B626="",NOT(ISNUMBER(L626))),"",IF(COUNTIF(M626:$T626,L626)&gt;0,0,IF(COUNTIF($G626:$T626,"&gt;"&amp;L626)=0,"",SMALL($G626:$T626,COUNTIF($G626:$T626,"&lt;="&amp;L626)+1)-L626)))</f>
        <v/>
      </c>
      <c r="AJ626" t="str">
        <f>IF(OR($B626="",NOT(ISNUMBER(M626))),"",IF(COUNTIF(N626:$T626,M626)&gt;0,0,IF(COUNTIF($G626:$T626,"&gt;"&amp;M626)=0,"",SMALL($G626:$T626,COUNTIF($G626:$T626,"&lt;="&amp;M626)+1)-M626)))</f>
        <v/>
      </c>
      <c r="AK626" t="str">
        <f>IF(OR($B626="",NOT(ISNUMBER(N626))),"",IF(COUNTIF(O626:$T626,N626)&gt;0,0,IF(COUNTIF($G626:$T626,"&gt;"&amp;N626)=0,"",SMALL($G626:$T626,COUNTIF($G626:$T626,"&lt;="&amp;N626)+1)-N626)))</f>
        <v/>
      </c>
      <c r="AL626" t="str">
        <f>IF(OR($B626="",NOT(ISNUMBER(O626))),"",IF(COUNTIF(P626:$T626,O626)&gt;0,0,IF(COUNTIF($G626:$T626,"&gt;"&amp;O626)=0,"",SMALL($G626:$T626,COUNTIF($G626:$T626,"&lt;="&amp;O626)+1)-O626)))</f>
        <v/>
      </c>
      <c r="AM626" t="str">
        <f>IF(OR($B626="",NOT(ISNUMBER(P626))),"",IF(COUNTIF(Q626:$T626,P626)&gt;0,0,IF(COUNTIF($G626:$T626,"&gt;"&amp;P626)=0,"",SMALL($G626:$T626,COUNTIF($G626:$T626,"&lt;="&amp;P626)+1)-P626)))</f>
        <v/>
      </c>
      <c r="AN626" t="str">
        <f>IF(OR($B626="",NOT(ISNUMBER(Q626))),"",IF(COUNTIF(R626:$T626,Q626)&gt;0,0,IF(COUNTIF($G626:$T626,"&gt;"&amp;Q626)=0,"",SMALL($G626:$T626,COUNTIF($G626:$T626,"&lt;="&amp;Q626)+1)-Q626)))</f>
        <v/>
      </c>
      <c r="AO626" t="str">
        <f>IF(OR($B626="",NOT(ISNUMBER(R626))),"",IF(COUNTIF(S626:$T626,R626)&gt;0,0,IF(COUNTIF($G626:$T626,"&gt;"&amp;R626)=0,"",SMALL($G626:$T626,COUNTIF($G626:$T626,"&lt;="&amp;R626)+1)-R626)))</f>
        <v/>
      </c>
      <c r="AP626">
        <f t="shared" ca="1" si="156"/>
        <v>0</v>
      </c>
      <c r="AQ626" s="25" t="str">
        <f t="shared" si="157"/>
        <v/>
      </c>
      <c r="AR626" s="25" t="str">
        <f t="shared" si="158"/>
        <v/>
      </c>
      <c r="AS626" s="25" t="str">
        <f t="shared" si="159"/>
        <v/>
      </c>
      <c r="AT626" s="25" t="str">
        <f t="shared" si="160"/>
        <v/>
      </c>
      <c r="AU626" s="25" t="str">
        <f t="shared" si="161"/>
        <v/>
      </c>
      <c r="AV626" s="25" t="str">
        <f t="shared" si="162"/>
        <v/>
      </c>
      <c r="AW626" s="25" t="str">
        <f t="shared" si="163"/>
        <v/>
      </c>
      <c r="AX626" s="25" t="str">
        <f t="shared" si="164"/>
        <v/>
      </c>
      <c r="AY626" s="25" t="str">
        <f t="shared" si="165"/>
        <v/>
      </c>
      <c r="AZ626" s="25" t="str">
        <f t="shared" si="166"/>
        <v/>
      </c>
      <c r="BA626" s="25" t="str">
        <f t="shared" si="167"/>
        <v/>
      </c>
      <c r="BB626" s="25" t="str">
        <f t="shared" si="168"/>
        <v/>
      </c>
      <c r="BC626" s="25" t="str">
        <f t="shared" si="169"/>
        <v/>
      </c>
    </row>
    <row r="627" spans="1:55" x14ac:dyDescent="0.25">
      <c r="A627" s="19" t="str">
        <f t="shared" si="154"/>
        <v/>
      </c>
      <c r="B627" s="19"/>
      <c r="C627" s="20"/>
      <c r="D627" s="19" t="str">
        <f t="shared" si="153"/>
        <v/>
      </c>
      <c r="E627" s="19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19"/>
      <c r="U627" s="19"/>
      <c r="V627" s="20"/>
      <c r="W627" s="22"/>
      <c r="X627" s="21"/>
      <c r="Y627" s="21"/>
      <c r="Z627" s="23" t="str">
        <f>IF(B627="","",IF(S627&lt;&gt;"","Sevk Edildi",IF(AND(X627&lt;&gt;"",Y627=""),"Reworkte",IF(T627&lt;&gt;"","Kapandı"&amp;IF(COUNT(G627:R627)=0,""," – "&amp;LOOKUP(2,1/(G627:R627=MAX(G627:R627)),{"Tasarım","Ply Cutter","Üretim","Kalite (Üretim sonrası)","Talaşlı","Kalite (Talaşlı sonrası)","Montaj","Kalite (Montaj sonrası)","Boya","Kalite (Boya sonrası)","Yarı Mamül","KM"})),IF(COUNT(G627:R627)=0,"Başlamadı",LOOKUP(2,1/(G627:R627=MAX(G627:R627)),{"Tasarımda","Ply Cutter'da","Üretimde","Kalitede (Üretim sonrası)","Talaşlıda","Kalitede (Talaşlı sonrası)","Montajda","Kalitede (Montaj sonrası)","Boyada","Kalitede (Boya sonrası)","Yarı Mamülde","KM'de"}))))))</f>
        <v/>
      </c>
      <c r="AA627" s="24" t="str">
        <f t="shared" ca="1" si="155"/>
        <v/>
      </c>
      <c r="AB627" s="22"/>
      <c r="AD627" t="str">
        <f>IF(OR($B627="",NOT(ISNUMBER(G627))),"",IF(COUNTIF(H627:$T627,G627)&gt;0,0,IF(COUNTIF($G627:$T627,"&gt;"&amp;G627)=0,"",SMALL($G627:$T627,COUNTIF($G627:$T627,"&lt;="&amp;G627)+1)-G627)))</f>
        <v/>
      </c>
      <c r="AE627" t="str">
        <f>IF(OR($B627="",NOT(ISNUMBER(H627))),"",IF(COUNTIF(I627:$T627,H627)&gt;0,0,IF(COUNTIF($G627:$T627,"&gt;"&amp;H627)=0,"",SMALL($G627:$T627,COUNTIF($G627:$T627,"&lt;="&amp;H627)+1)-H627)))</f>
        <v/>
      </c>
      <c r="AF627" t="str">
        <f>IF(OR($B627="",NOT(ISNUMBER(I627))),"",IF(COUNTIF(J627:$T627,I627)&gt;0,0,IF(COUNTIF($G627:$T627,"&gt;"&amp;I627)=0,"",SMALL($G627:$T627,COUNTIF($G627:$T627,"&lt;="&amp;I627)+1)-I627)))</f>
        <v/>
      </c>
      <c r="AG627" t="str">
        <f>IF(OR($B627="",NOT(ISNUMBER(J627))),"",IF(COUNTIF(K627:$T627,J627)&gt;0,0,IF(COUNTIF($G627:$T627,"&gt;"&amp;J627)=0,"",SMALL($G627:$T627,COUNTIF($G627:$T627,"&lt;="&amp;J627)+1)-J627)))</f>
        <v/>
      </c>
      <c r="AH627" t="str">
        <f>IF(OR($B627="",NOT(ISNUMBER(K627))),"",IF(COUNTIF(L627:$T627,K627)&gt;0,0,IF(COUNTIF($G627:$T627,"&gt;"&amp;K627)=0,"",SMALL($G627:$T627,COUNTIF($G627:$T627,"&lt;="&amp;K627)+1)-K627)))</f>
        <v/>
      </c>
      <c r="AI627" t="str">
        <f>IF(OR($B627="",NOT(ISNUMBER(L627))),"",IF(COUNTIF(M627:$T627,L627)&gt;0,0,IF(COUNTIF($G627:$T627,"&gt;"&amp;L627)=0,"",SMALL($G627:$T627,COUNTIF($G627:$T627,"&lt;="&amp;L627)+1)-L627)))</f>
        <v/>
      </c>
      <c r="AJ627" t="str">
        <f>IF(OR($B627="",NOT(ISNUMBER(M627))),"",IF(COUNTIF(N627:$T627,M627)&gt;0,0,IF(COUNTIF($G627:$T627,"&gt;"&amp;M627)=0,"",SMALL($G627:$T627,COUNTIF($G627:$T627,"&lt;="&amp;M627)+1)-M627)))</f>
        <v/>
      </c>
      <c r="AK627" t="str">
        <f>IF(OR($B627="",NOT(ISNUMBER(N627))),"",IF(COUNTIF(O627:$T627,N627)&gt;0,0,IF(COUNTIF($G627:$T627,"&gt;"&amp;N627)=0,"",SMALL($G627:$T627,COUNTIF($G627:$T627,"&lt;="&amp;N627)+1)-N627)))</f>
        <v/>
      </c>
      <c r="AL627" t="str">
        <f>IF(OR($B627="",NOT(ISNUMBER(O627))),"",IF(COUNTIF(P627:$T627,O627)&gt;0,0,IF(COUNTIF($G627:$T627,"&gt;"&amp;O627)=0,"",SMALL($G627:$T627,COUNTIF($G627:$T627,"&lt;="&amp;O627)+1)-O627)))</f>
        <v/>
      </c>
      <c r="AM627" t="str">
        <f>IF(OR($B627="",NOT(ISNUMBER(P627))),"",IF(COUNTIF(Q627:$T627,P627)&gt;0,0,IF(COUNTIF($G627:$T627,"&gt;"&amp;P627)=0,"",SMALL($G627:$T627,COUNTIF($G627:$T627,"&lt;="&amp;P627)+1)-P627)))</f>
        <v/>
      </c>
      <c r="AN627" t="str">
        <f>IF(OR($B627="",NOT(ISNUMBER(Q627))),"",IF(COUNTIF(R627:$T627,Q627)&gt;0,0,IF(COUNTIF($G627:$T627,"&gt;"&amp;Q627)=0,"",SMALL($G627:$T627,COUNTIF($G627:$T627,"&lt;="&amp;Q627)+1)-Q627)))</f>
        <v/>
      </c>
      <c r="AO627" t="str">
        <f>IF(OR($B627="",NOT(ISNUMBER(R627))),"",IF(COUNTIF(S627:$T627,R627)&gt;0,0,IF(COUNTIF($G627:$T627,"&gt;"&amp;R627)=0,"",SMALL($G627:$T627,COUNTIF($G627:$T627,"&lt;="&amp;R627)+1)-R627)))</f>
        <v/>
      </c>
      <c r="AP627">
        <f t="shared" ca="1" si="156"/>
        <v>0</v>
      </c>
      <c r="AQ627" s="25" t="str">
        <f t="shared" si="157"/>
        <v/>
      </c>
      <c r="AR627" s="25" t="str">
        <f t="shared" si="158"/>
        <v/>
      </c>
      <c r="AS627" s="25" t="str">
        <f t="shared" si="159"/>
        <v/>
      </c>
      <c r="AT627" s="25" t="str">
        <f t="shared" si="160"/>
        <v/>
      </c>
      <c r="AU627" s="25" t="str">
        <f t="shared" si="161"/>
        <v/>
      </c>
      <c r="AV627" s="25" t="str">
        <f t="shared" si="162"/>
        <v/>
      </c>
      <c r="AW627" s="25" t="str">
        <f t="shared" si="163"/>
        <v/>
      </c>
      <c r="AX627" s="25" t="str">
        <f t="shared" si="164"/>
        <v/>
      </c>
      <c r="AY627" s="25" t="str">
        <f t="shared" si="165"/>
        <v/>
      </c>
      <c r="AZ627" s="25" t="str">
        <f t="shared" si="166"/>
        <v/>
      </c>
      <c r="BA627" s="25" t="str">
        <f t="shared" si="167"/>
        <v/>
      </c>
      <c r="BB627" s="25" t="str">
        <f t="shared" si="168"/>
        <v/>
      </c>
      <c r="BC627" s="25" t="str">
        <f t="shared" si="169"/>
        <v/>
      </c>
    </row>
    <row r="628" spans="1:55" x14ac:dyDescent="0.25">
      <c r="A628" s="19" t="str">
        <f t="shared" si="154"/>
        <v/>
      </c>
      <c r="B628" s="19"/>
      <c r="C628" s="20"/>
      <c r="D628" s="19" t="str">
        <f t="shared" si="153"/>
        <v/>
      </c>
      <c r="E628" s="19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19"/>
      <c r="U628" s="19"/>
      <c r="V628" s="20"/>
      <c r="W628" s="22"/>
      <c r="X628" s="21"/>
      <c r="Y628" s="21"/>
      <c r="Z628" s="23" t="str">
        <f>IF(B628="","",IF(S628&lt;&gt;"","Sevk Edildi",IF(AND(X628&lt;&gt;"",Y628=""),"Reworkte",IF(T628&lt;&gt;"","Kapandı"&amp;IF(COUNT(G628:R628)=0,""," – "&amp;LOOKUP(2,1/(G628:R628=MAX(G628:R628)),{"Tasarım","Ply Cutter","Üretim","Kalite (Üretim sonrası)","Talaşlı","Kalite (Talaşlı sonrası)","Montaj","Kalite (Montaj sonrası)","Boya","Kalite (Boya sonrası)","Yarı Mamül","KM"})),IF(COUNT(G628:R628)=0,"Başlamadı",LOOKUP(2,1/(G628:R628=MAX(G628:R628)),{"Tasarımda","Ply Cutter'da","Üretimde","Kalitede (Üretim sonrası)","Talaşlıda","Kalitede (Talaşlı sonrası)","Montajda","Kalitede (Montaj sonrası)","Boyada","Kalitede (Boya sonrası)","Yarı Mamülde","KM'de"}))))))</f>
        <v/>
      </c>
      <c r="AA628" s="24" t="str">
        <f t="shared" ca="1" si="155"/>
        <v/>
      </c>
      <c r="AB628" s="22"/>
      <c r="AD628" t="str">
        <f>IF(OR($B628="",NOT(ISNUMBER(G628))),"",IF(COUNTIF(H628:$T628,G628)&gt;0,0,IF(COUNTIF($G628:$T628,"&gt;"&amp;G628)=0,"",SMALL($G628:$T628,COUNTIF($G628:$T628,"&lt;="&amp;G628)+1)-G628)))</f>
        <v/>
      </c>
      <c r="AE628" t="str">
        <f>IF(OR($B628="",NOT(ISNUMBER(H628))),"",IF(COUNTIF(I628:$T628,H628)&gt;0,0,IF(COUNTIF($G628:$T628,"&gt;"&amp;H628)=0,"",SMALL($G628:$T628,COUNTIF($G628:$T628,"&lt;="&amp;H628)+1)-H628)))</f>
        <v/>
      </c>
      <c r="AF628" t="str">
        <f>IF(OR($B628="",NOT(ISNUMBER(I628))),"",IF(COUNTIF(J628:$T628,I628)&gt;0,0,IF(COUNTIF($G628:$T628,"&gt;"&amp;I628)=0,"",SMALL($G628:$T628,COUNTIF($G628:$T628,"&lt;="&amp;I628)+1)-I628)))</f>
        <v/>
      </c>
      <c r="AG628" t="str">
        <f>IF(OR($B628="",NOT(ISNUMBER(J628))),"",IF(COUNTIF(K628:$T628,J628)&gt;0,0,IF(COUNTIF($G628:$T628,"&gt;"&amp;J628)=0,"",SMALL($G628:$T628,COUNTIF($G628:$T628,"&lt;="&amp;J628)+1)-J628)))</f>
        <v/>
      </c>
      <c r="AH628" t="str">
        <f>IF(OR($B628="",NOT(ISNUMBER(K628))),"",IF(COUNTIF(L628:$T628,K628)&gt;0,0,IF(COUNTIF($G628:$T628,"&gt;"&amp;K628)=0,"",SMALL($G628:$T628,COUNTIF($G628:$T628,"&lt;="&amp;K628)+1)-K628)))</f>
        <v/>
      </c>
      <c r="AI628" t="str">
        <f>IF(OR($B628="",NOT(ISNUMBER(L628))),"",IF(COUNTIF(M628:$T628,L628)&gt;0,0,IF(COUNTIF($G628:$T628,"&gt;"&amp;L628)=0,"",SMALL($G628:$T628,COUNTIF($G628:$T628,"&lt;="&amp;L628)+1)-L628)))</f>
        <v/>
      </c>
      <c r="AJ628" t="str">
        <f>IF(OR($B628="",NOT(ISNUMBER(M628))),"",IF(COUNTIF(N628:$T628,M628)&gt;0,0,IF(COUNTIF($G628:$T628,"&gt;"&amp;M628)=0,"",SMALL($G628:$T628,COUNTIF($G628:$T628,"&lt;="&amp;M628)+1)-M628)))</f>
        <v/>
      </c>
      <c r="AK628" t="str">
        <f>IF(OR($B628="",NOT(ISNUMBER(N628))),"",IF(COUNTIF(O628:$T628,N628)&gt;0,0,IF(COUNTIF($G628:$T628,"&gt;"&amp;N628)=0,"",SMALL($G628:$T628,COUNTIF($G628:$T628,"&lt;="&amp;N628)+1)-N628)))</f>
        <v/>
      </c>
      <c r="AL628" t="str">
        <f>IF(OR($B628="",NOT(ISNUMBER(O628))),"",IF(COUNTIF(P628:$T628,O628)&gt;0,0,IF(COUNTIF($G628:$T628,"&gt;"&amp;O628)=0,"",SMALL($G628:$T628,COUNTIF($G628:$T628,"&lt;="&amp;O628)+1)-O628)))</f>
        <v/>
      </c>
      <c r="AM628" t="str">
        <f>IF(OR($B628="",NOT(ISNUMBER(P628))),"",IF(COUNTIF(Q628:$T628,P628)&gt;0,0,IF(COUNTIF($G628:$T628,"&gt;"&amp;P628)=0,"",SMALL($G628:$T628,COUNTIF($G628:$T628,"&lt;="&amp;P628)+1)-P628)))</f>
        <v/>
      </c>
      <c r="AN628" t="str">
        <f>IF(OR($B628="",NOT(ISNUMBER(Q628))),"",IF(COUNTIF(R628:$T628,Q628)&gt;0,0,IF(COUNTIF($G628:$T628,"&gt;"&amp;Q628)=0,"",SMALL($G628:$T628,COUNTIF($G628:$T628,"&lt;="&amp;Q628)+1)-Q628)))</f>
        <v/>
      </c>
      <c r="AO628" t="str">
        <f>IF(OR($B628="",NOT(ISNUMBER(R628))),"",IF(COUNTIF(S628:$T628,R628)&gt;0,0,IF(COUNTIF($G628:$T628,"&gt;"&amp;R628)=0,"",SMALL($G628:$T628,COUNTIF($G628:$T628,"&lt;="&amp;R628)+1)-R628)))</f>
        <v/>
      </c>
      <c r="AP628">
        <f t="shared" ca="1" si="156"/>
        <v>0</v>
      </c>
      <c r="AQ628" s="25" t="str">
        <f t="shared" si="157"/>
        <v/>
      </c>
      <c r="AR628" s="25" t="str">
        <f t="shared" si="158"/>
        <v/>
      </c>
      <c r="AS628" s="25" t="str">
        <f t="shared" si="159"/>
        <v/>
      </c>
      <c r="AT628" s="25" t="str">
        <f t="shared" si="160"/>
        <v/>
      </c>
      <c r="AU628" s="25" t="str">
        <f t="shared" si="161"/>
        <v/>
      </c>
      <c r="AV628" s="25" t="str">
        <f t="shared" si="162"/>
        <v/>
      </c>
      <c r="AW628" s="25" t="str">
        <f t="shared" si="163"/>
        <v/>
      </c>
      <c r="AX628" s="25" t="str">
        <f t="shared" si="164"/>
        <v/>
      </c>
      <c r="AY628" s="25" t="str">
        <f t="shared" si="165"/>
        <v/>
      </c>
      <c r="AZ628" s="25" t="str">
        <f t="shared" si="166"/>
        <v/>
      </c>
      <c r="BA628" s="25" t="str">
        <f t="shared" si="167"/>
        <v/>
      </c>
      <c r="BB628" s="25" t="str">
        <f t="shared" si="168"/>
        <v/>
      </c>
      <c r="BC628" s="25" t="str">
        <f t="shared" si="169"/>
        <v/>
      </c>
    </row>
    <row r="629" spans="1:55" x14ac:dyDescent="0.25">
      <c r="A629" s="19" t="str">
        <f t="shared" si="154"/>
        <v/>
      </c>
      <c r="B629" s="19"/>
      <c r="C629" s="20"/>
      <c r="D629" s="19" t="str">
        <f t="shared" si="153"/>
        <v/>
      </c>
      <c r="E629" s="19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19"/>
      <c r="U629" s="19"/>
      <c r="V629" s="20"/>
      <c r="W629" s="22"/>
      <c r="X629" s="21"/>
      <c r="Y629" s="21"/>
      <c r="Z629" s="23" t="str">
        <f>IF(B629="","",IF(S629&lt;&gt;"","Sevk Edildi",IF(AND(X629&lt;&gt;"",Y629=""),"Reworkte",IF(T629&lt;&gt;"","Kapandı"&amp;IF(COUNT(G629:R629)=0,""," – "&amp;LOOKUP(2,1/(G629:R629=MAX(G629:R629)),{"Tasarım","Ply Cutter","Üretim","Kalite (Üretim sonrası)","Talaşlı","Kalite (Talaşlı sonrası)","Montaj","Kalite (Montaj sonrası)","Boya","Kalite (Boya sonrası)","Yarı Mamül","KM"})),IF(COUNT(G629:R629)=0,"Başlamadı",LOOKUP(2,1/(G629:R629=MAX(G629:R629)),{"Tasarımda","Ply Cutter'da","Üretimde","Kalitede (Üretim sonrası)","Talaşlıda","Kalitede (Talaşlı sonrası)","Montajda","Kalitede (Montaj sonrası)","Boyada","Kalitede (Boya sonrası)","Yarı Mamülde","KM'de"}))))))</f>
        <v/>
      </c>
      <c r="AA629" s="24" t="str">
        <f t="shared" ca="1" si="155"/>
        <v/>
      </c>
      <c r="AB629" s="22"/>
      <c r="AD629" t="str">
        <f>IF(OR($B629="",NOT(ISNUMBER(G629))),"",IF(COUNTIF(H629:$T629,G629)&gt;0,0,IF(COUNTIF($G629:$T629,"&gt;"&amp;G629)=0,"",SMALL($G629:$T629,COUNTIF($G629:$T629,"&lt;="&amp;G629)+1)-G629)))</f>
        <v/>
      </c>
      <c r="AE629" t="str">
        <f>IF(OR($B629="",NOT(ISNUMBER(H629))),"",IF(COUNTIF(I629:$T629,H629)&gt;0,0,IF(COUNTIF($G629:$T629,"&gt;"&amp;H629)=0,"",SMALL($G629:$T629,COUNTIF($G629:$T629,"&lt;="&amp;H629)+1)-H629)))</f>
        <v/>
      </c>
      <c r="AF629" t="str">
        <f>IF(OR($B629="",NOT(ISNUMBER(I629))),"",IF(COUNTIF(J629:$T629,I629)&gt;0,0,IF(COUNTIF($G629:$T629,"&gt;"&amp;I629)=0,"",SMALL($G629:$T629,COUNTIF($G629:$T629,"&lt;="&amp;I629)+1)-I629)))</f>
        <v/>
      </c>
      <c r="AG629" t="str">
        <f>IF(OR($B629="",NOT(ISNUMBER(J629))),"",IF(COUNTIF(K629:$T629,J629)&gt;0,0,IF(COUNTIF($G629:$T629,"&gt;"&amp;J629)=0,"",SMALL($G629:$T629,COUNTIF($G629:$T629,"&lt;="&amp;J629)+1)-J629)))</f>
        <v/>
      </c>
      <c r="AH629" t="str">
        <f>IF(OR($B629="",NOT(ISNUMBER(K629))),"",IF(COUNTIF(L629:$T629,K629)&gt;0,0,IF(COUNTIF($G629:$T629,"&gt;"&amp;K629)=0,"",SMALL($G629:$T629,COUNTIF($G629:$T629,"&lt;="&amp;K629)+1)-K629)))</f>
        <v/>
      </c>
      <c r="AI629" t="str">
        <f>IF(OR($B629="",NOT(ISNUMBER(L629))),"",IF(COUNTIF(M629:$T629,L629)&gt;0,0,IF(COUNTIF($G629:$T629,"&gt;"&amp;L629)=0,"",SMALL($G629:$T629,COUNTIF($G629:$T629,"&lt;="&amp;L629)+1)-L629)))</f>
        <v/>
      </c>
      <c r="AJ629" t="str">
        <f>IF(OR($B629="",NOT(ISNUMBER(M629))),"",IF(COUNTIF(N629:$T629,M629)&gt;0,0,IF(COUNTIF($G629:$T629,"&gt;"&amp;M629)=0,"",SMALL($G629:$T629,COUNTIF($G629:$T629,"&lt;="&amp;M629)+1)-M629)))</f>
        <v/>
      </c>
      <c r="AK629" t="str">
        <f>IF(OR($B629="",NOT(ISNUMBER(N629))),"",IF(COUNTIF(O629:$T629,N629)&gt;0,0,IF(COUNTIF($G629:$T629,"&gt;"&amp;N629)=0,"",SMALL($G629:$T629,COUNTIF($G629:$T629,"&lt;="&amp;N629)+1)-N629)))</f>
        <v/>
      </c>
      <c r="AL629" t="str">
        <f>IF(OR($B629="",NOT(ISNUMBER(O629))),"",IF(COUNTIF(P629:$T629,O629)&gt;0,0,IF(COUNTIF($G629:$T629,"&gt;"&amp;O629)=0,"",SMALL($G629:$T629,COUNTIF($G629:$T629,"&lt;="&amp;O629)+1)-O629)))</f>
        <v/>
      </c>
      <c r="AM629" t="str">
        <f>IF(OR($B629="",NOT(ISNUMBER(P629))),"",IF(COUNTIF(Q629:$T629,P629)&gt;0,0,IF(COUNTIF($G629:$T629,"&gt;"&amp;P629)=0,"",SMALL($G629:$T629,COUNTIF($G629:$T629,"&lt;="&amp;P629)+1)-P629)))</f>
        <v/>
      </c>
      <c r="AN629" t="str">
        <f>IF(OR($B629="",NOT(ISNUMBER(Q629))),"",IF(COUNTIF(R629:$T629,Q629)&gt;0,0,IF(COUNTIF($G629:$T629,"&gt;"&amp;Q629)=0,"",SMALL($G629:$T629,COUNTIF($G629:$T629,"&lt;="&amp;Q629)+1)-Q629)))</f>
        <v/>
      </c>
      <c r="AO629" t="str">
        <f>IF(OR($B629="",NOT(ISNUMBER(R629))),"",IF(COUNTIF(S629:$T629,R629)&gt;0,0,IF(COUNTIF($G629:$T629,"&gt;"&amp;R629)=0,"",SMALL($G629:$T629,COUNTIF($G629:$T629,"&lt;="&amp;R629)+1)-R629)))</f>
        <v/>
      </c>
      <c r="AP629">
        <f t="shared" ca="1" si="156"/>
        <v>0</v>
      </c>
      <c r="AQ629" s="25" t="str">
        <f t="shared" si="157"/>
        <v/>
      </c>
      <c r="AR629" s="25" t="str">
        <f t="shared" si="158"/>
        <v/>
      </c>
      <c r="AS629" s="25" t="str">
        <f t="shared" si="159"/>
        <v/>
      </c>
      <c r="AT629" s="25" t="str">
        <f t="shared" si="160"/>
        <v/>
      </c>
      <c r="AU629" s="25" t="str">
        <f t="shared" si="161"/>
        <v/>
      </c>
      <c r="AV629" s="25" t="str">
        <f t="shared" si="162"/>
        <v/>
      </c>
      <c r="AW629" s="25" t="str">
        <f t="shared" si="163"/>
        <v/>
      </c>
      <c r="AX629" s="25" t="str">
        <f t="shared" si="164"/>
        <v/>
      </c>
      <c r="AY629" s="25" t="str">
        <f t="shared" si="165"/>
        <v/>
      </c>
      <c r="AZ629" s="25" t="str">
        <f t="shared" si="166"/>
        <v/>
      </c>
      <c r="BA629" s="25" t="str">
        <f t="shared" si="167"/>
        <v/>
      </c>
      <c r="BB629" s="25" t="str">
        <f t="shared" si="168"/>
        <v/>
      </c>
      <c r="BC629" s="25" t="str">
        <f t="shared" si="169"/>
        <v/>
      </c>
    </row>
    <row r="630" spans="1:55" x14ac:dyDescent="0.25">
      <c r="A630" s="19" t="str">
        <f t="shared" si="154"/>
        <v/>
      </c>
      <c r="B630" s="19"/>
      <c r="C630" s="20"/>
      <c r="D630" s="19" t="str">
        <f t="shared" si="153"/>
        <v/>
      </c>
      <c r="E630" s="19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19"/>
      <c r="U630" s="19"/>
      <c r="V630" s="20"/>
      <c r="W630" s="22"/>
      <c r="X630" s="21"/>
      <c r="Y630" s="21"/>
      <c r="Z630" s="23" t="str">
        <f>IF(B630="","",IF(S630&lt;&gt;"","Sevk Edildi",IF(AND(X630&lt;&gt;"",Y630=""),"Reworkte",IF(T630&lt;&gt;"","Kapandı"&amp;IF(COUNT(G630:R630)=0,""," – "&amp;LOOKUP(2,1/(G630:R630=MAX(G630:R630)),{"Tasarım","Ply Cutter","Üretim","Kalite (Üretim sonrası)","Talaşlı","Kalite (Talaşlı sonrası)","Montaj","Kalite (Montaj sonrası)","Boya","Kalite (Boya sonrası)","Yarı Mamül","KM"})),IF(COUNT(G630:R630)=0,"Başlamadı",LOOKUP(2,1/(G630:R630=MAX(G630:R630)),{"Tasarımda","Ply Cutter'da","Üretimde","Kalitede (Üretim sonrası)","Talaşlıda","Kalitede (Talaşlı sonrası)","Montajda","Kalitede (Montaj sonrası)","Boyada","Kalitede (Boya sonrası)","Yarı Mamülde","KM'de"}))))))</f>
        <v/>
      </c>
      <c r="AA630" s="24" t="str">
        <f t="shared" ca="1" si="155"/>
        <v/>
      </c>
      <c r="AB630" s="22"/>
      <c r="AD630" t="str">
        <f>IF(OR($B630="",NOT(ISNUMBER(G630))),"",IF(COUNTIF(H630:$T630,G630)&gt;0,0,IF(COUNTIF($G630:$T630,"&gt;"&amp;G630)=0,"",SMALL($G630:$T630,COUNTIF($G630:$T630,"&lt;="&amp;G630)+1)-G630)))</f>
        <v/>
      </c>
      <c r="AE630" t="str">
        <f>IF(OR($B630="",NOT(ISNUMBER(H630))),"",IF(COUNTIF(I630:$T630,H630)&gt;0,0,IF(COUNTIF($G630:$T630,"&gt;"&amp;H630)=0,"",SMALL($G630:$T630,COUNTIF($G630:$T630,"&lt;="&amp;H630)+1)-H630)))</f>
        <v/>
      </c>
      <c r="AF630" t="str">
        <f>IF(OR($B630="",NOT(ISNUMBER(I630))),"",IF(COUNTIF(J630:$T630,I630)&gt;0,0,IF(COUNTIF($G630:$T630,"&gt;"&amp;I630)=0,"",SMALL($G630:$T630,COUNTIF($G630:$T630,"&lt;="&amp;I630)+1)-I630)))</f>
        <v/>
      </c>
      <c r="AG630" t="str">
        <f>IF(OR($B630="",NOT(ISNUMBER(J630))),"",IF(COUNTIF(K630:$T630,J630)&gt;0,0,IF(COUNTIF($G630:$T630,"&gt;"&amp;J630)=0,"",SMALL($G630:$T630,COUNTIF($G630:$T630,"&lt;="&amp;J630)+1)-J630)))</f>
        <v/>
      </c>
      <c r="AH630" t="str">
        <f>IF(OR($B630="",NOT(ISNUMBER(K630))),"",IF(COUNTIF(L630:$T630,K630)&gt;0,0,IF(COUNTIF($G630:$T630,"&gt;"&amp;K630)=0,"",SMALL($G630:$T630,COUNTIF($G630:$T630,"&lt;="&amp;K630)+1)-K630)))</f>
        <v/>
      </c>
      <c r="AI630" t="str">
        <f>IF(OR($B630="",NOT(ISNUMBER(L630))),"",IF(COUNTIF(M630:$T630,L630)&gt;0,0,IF(COUNTIF($G630:$T630,"&gt;"&amp;L630)=0,"",SMALL($G630:$T630,COUNTIF($G630:$T630,"&lt;="&amp;L630)+1)-L630)))</f>
        <v/>
      </c>
      <c r="AJ630" t="str">
        <f>IF(OR($B630="",NOT(ISNUMBER(M630))),"",IF(COUNTIF(N630:$T630,M630)&gt;0,0,IF(COUNTIF($G630:$T630,"&gt;"&amp;M630)=0,"",SMALL($G630:$T630,COUNTIF($G630:$T630,"&lt;="&amp;M630)+1)-M630)))</f>
        <v/>
      </c>
      <c r="AK630" t="str">
        <f>IF(OR($B630="",NOT(ISNUMBER(N630))),"",IF(COUNTIF(O630:$T630,N630)&gt;0,0,IF(COUNTIF($G630:$T630,"&gt;"&amp;N630)=0,"",SMALL($G630:$T630,COUNTIF($G630:$T630,"&lt;="&amp;N630)+1)-N630)))</f>
        <v/>
      </c>
      <c r="AL630" t="str">
        <f>IF(OR($B630="",NOT(ISNUMBER(O630))),"",IF(COUNTIF(P630:$T630,O630)&gt;0,0,IF(COUNTIF($G630:$T630,"&gt;"&amp;O630)=0,"",SMALL($G630:$T630,COUNTIF($G630:$T630,"&lt;="&amp;O630)+1)-O630)))</f>
        <v/>
      </c>
      <c r="AM630" t="str">
        <f>IF(OR($B630="",NOT(ISNUMBER(P630))),"",IF(COUNTIF(Q630:$T630,P630)&gt;0,0,IF(COUNTIF($G630:$T630,"&gt;"&amp;P630)=0,"",SMALL($G630:$T630,COUNTIF($G630:$T630,"&lt;="&amp;P630)+1)-P630)))</f>
        <v/>
      </c>
      <c r="AN630" t="str">
        <f>IF(OR($B630="",NOT(ISNUMBER(Q630))),"",IF(COUNTIF(R630:$T630,Q630)&gt;0,0,IF(COUNTIF($G630:$T630,"&gt;"&amp;Q630)=0,"",SMALL($G630:$T630,COUNTIF($G630:$T630,"&lt;="&amp;Q630)+1)-Q630)))</f>
        <v/>
      </c>
      <c r="AO630" t="str">
        <f>IF(OR($B630="",NOT(ISNUMBER(R630))),"",IF(COUNTIF(S630:$T630,R630)&gt;0,0,IF(COUNTIF($G630:$T630,"&gt;"&amp;R630)=0,"",SMALL($G630:$T630,COUNTIF($G630:$T630,"&lt;="&amp;R630)+1)-R630)))</f>
        <v/>
      </c>
      <c r="AP630">
        <f t="shared" ca="1" si="156"/>
        <v>0</v>
      </c>
      <c r="AQ630" s="25" t="str">
        <f t="shared" si="157"/>
        <v/>
      </c>
      <c r="AR630" s="25" t="str">
        <f t="shared" si="158"/>
        <v/>
      </c>
      <c r="AS630" s="25" t="str">
        <f t="shared" si="159"/>
        <v/>
      </c>
      <c r="AT630" s="25" t="str">
        <f t="shared" si="160"/>
        <v/>
      </c>
      <c r="AU630" s="25" t="str">
        <f t="shared" si="161"/>
        <v/>
      </c>
      <c r="AV630" s="25" t="str">
        <f t="shared" si="162"/>
        <v/>
      </c>
      <c r="AW630" s="25" t="str">
        <f t="shared" si="163"/>
        <v/>
      </c>
      <c r="AX630" s="25" t="str">
        <f t="shared" si="164"/>
        <v/>
      </c>
      <c r="AY630" s="25" t="str">
        <f t="shared" si="165"/>
        <v/>
      </c>
      <c r="AZ630" s="25" t="str">
        <f t="shared" si="166"/>
        <v/>
      </c>
      <c r="BA630" s="25" t="str">
        <f t="shared" si="167"/>
        <v/>
      </c>
      <c r="BB630" s="25" t="str">
        <f t="shared" si="168"/>
        <v/>
      </c>
      <c r="BC630" s="25" t="str">
        <f t="shared" si="169"/>
        <v/>
      </c>
    </row>
    <row r="631" spans="1:55" x14ac:dyDescent="0.25">
      <c r="A631" s="19" t="str">
        <f t="shared" si="154"/>
        <v/>
      </c>
      <c r="B631" s="19"/>
      <c r="C631" s="20"/>
      <c r="D631" s="19" t="str">
        <f t="shared" si="153"/>
        <v/>
      </c>
      <c r="E631" s="19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19"/>
      <c r="U631" s="19"/>
      <c r="V631" s="20"/>
      <c r="W631" s="22"/>
      <c r="X631" s="21"/>
      <c r="Y631" s="21"/>
      <c r="Z631" s="23" t="str">
        <f>IF(B631="","",IF(S631&lt;&gt;"","Sevk Edildi",IF(AND(X631&lt;&gt;"",Y631=""),"Reworkte",IF(T631&lt;&gt;"","Kapandı"&amp;IF(COUNT(G631:R631)=0,""," – "&amp;LOOKUP(2,1/(G631:R631=MAX(G631:R631)),{"Tasarım","Ply Cutter","Üretim","Kalite (Üretim sonrası)","Talaşlı","Kalite (Talaşlı sonrası)","Montaj","Kalite (Montaj sonrası)","Boya","Kalite (Boya sonrası)","Yarı Mamül","KM"})),IF(COUNT(G631:R631)=0,"Başlamadı",LOOKUP(2,1/(G631:R631=MAX(G631:R631)),{"Tasarımda","Ply Cutter'da","Üretimde","Kalitede (Üretim sonrası)","Talaşlıda","Kalitede (Talaşlı sonrası)","Montajda","Kalitede (Montaj sonrası)","Boyada","Kalitede (Boya sonrası)","Yarı Mamülde","KM'de"}))))))</f>
        <v/>
      </c>
      <c r="AA631" s="24" t="str">
        <f t="shared" ca="1" si="155"/>
        <v/>
      </c>
      <c r="AB631" s="22"/>
      <c r="AD631" t="str">
        <f>IF(OR($B631="",NOT(ISNUMBER(G631))),"",IF(COUNTIF(H631:$T631,G631)&gt;0,0,IF(COUNTIF($G631:$T631,"&gt;"&amp;G631)=0,"",SMALL($G631:$T631,COUNTIF($G631:$T631,"&lt;="&amp;G631)+1)-G631)))</f>
        <v/>
      </c>
      <c r="AE631" t="str">
        <f>IF(OR($B631="",NOT(ISNUMBER(H631))),"",IF(COUNTIF(I631:$T631,H631)&gt;0,0,IF(COUNTIF($G631:$T631,"&gt;"&amp;H631)=0,"",SMALL($G631:$T631,COUNTIF($G631:$T631,"&lt;="&amp;H631)+1)-H631)))</f>
        <v/>
      </c>
      <c r="AF631" t="str">
        <f>IF(OR($B631="",NOT(ISNUMBER(I631))),"",IF(COUNTIF(J631:$T631,I631)&gt;0,0,IF(COUNTIF($G631:$T631,"&gt;"&amp;I631)=0,"",SMALL($G631:$T631,COUNTIF($G631:$T631,"&lt;="&amp;I631)+1)-I631)))</f>
        <v/>
      </c>
      <c r="AG631" t="str">
        <f>IF(OR($B631="",NOT(ISNUMBER(J631))),"",IF(COUNTIF(K631:$T631,J631)&gt;0,0,IF(COUNTIF($G631:$T631,"&gt;"&amp;J631)=0,"",SMALL($G631:$T631,COUNTIF($G631:$T631,"&lt;="&amp;J631)+1)-J631)))</f>
        <v/>
      </c>
      <c r="AH631" t="str">
        <f>IF(OR($B631="",NOT(ISNUMBER(K631))),"",IF(COUNTIF(L631:$T631,K631)&gt;0,0,IF(COUNTIF($G631:$T631,"&gt;"&amp;K631)=0,"",SMALL($G631:$T631,COUNTIF($G631:$T631,"&lt;="&amp;K631)+1)-K631)))</f>
        <v/>
      </c>
      <c r="AI631" t="str">
        <f>IF(OR($B631="",NOT(ISNUMBER(L631))),"",IF(COUNTIF(M631:$T631,L631)&gt;0,0,IF(COUNTIF($G631:$T631,"&gt;"&amp;L631)=0,"",SMALL($G631:$T631,COUNTIF($G631:$T631,"&lt;="&amp;L631)+1)-L631)))</f>
        <v/>
      </c>
      <c r="AJ631" t="str">
        <f>IF(OR($B631="",NOT(ISNUMBER(M631))),"",IF(COUNTIF(N631:$T631,M631)&gt;0,0,IF(COUNTIF($G631:$T631,"&gt;"&amp;M631)=0,"",SMALL($G631:$T631,COUNTIF($G631:$T631,"&lt;="&amp;M631)+1)-M631)))</f>
        <v/>
      </c>
      <c r="AK631" t="str">
        <f>IF(OR($B631="",NOT(ISNUMBER(N631))),"",IF(COUNTIF(O631:$T631,N631)&gt;0,0,IF(COUNTIF($G631:$T631,"&gt;"&amp;N631)=0,"",SMALL($G631:$T631,COUNTIF($G631:$T631,"&lt;="&amp;N631)+1)-N631)))</f>
        <v/>
      </c>
      <c r="AL631" t="str">
        <f>IF(OR($B631="",NOT(ISNUMBER(O631))),"",IF(COUNTIF(P631:$T631,O631)&gt;0,0,IF(COUNTIF($G631:$T631,"&gt;"&amp;O631)=0,"",SMALL($G631:$T631,COUNTIF($G631:$T631,"&lt;="&amp;O631)+1)-O631)))</f>
        <v/>
      </c>
      <c r="AM631" t="str">
        <f>IF(OR($B631="",NOT(ISNUMBER(P631))),"",IF(COUNTIF(Q631:$T631,P631)&gt;0,0,IF(COUNTIF($G631:$T631,"&gt;"&amp;P631)=0,"",SMALL($G631:$T631,COUNTIF($G631:$T631,"&lt;="&amp;P631)+1)-P631)))</f>
        <v/>
      </c>
      <c r="AN631" t="str">
        <f>IF(OR($B631="",NOT(ISNUMBER(Q631))),"",IF(COUNTIF(R631:$T631,Q631)&gt;0,0,IF(COUNTIF($G631:$T631,"&gt;"&amp;Q631)=0,"",SMALL($G631:$T631,COUNTIF($G631:$T631,"&lt;="&amp;Q631)+1)-Q631)))</f>
        <v/>
      </c>
      <c r="AO631" t="str">
        <f>IF(OR($B631="",NOT(ISNUMBER(R631))),"",IF(COUNTIF(S631:$T631,R631)&gt;0,0,IF(COUNTIF($G631:$T631,"&gt;"&amp;R631)=0,"",SMALL($G631:$T631,COUNTIF($G631:$T631,"&lt;="&amp;R631)+1)-R631)))</f>
        <v/>
      </c>
      <c r="AP631">
        <f t="shared" ca="1" si="156"/>
        <v>0</v>
      </c>
      <c r="AQ631" s="25" t="str">
        <f t="shared" si="157"/>
        <v/>
      </c>
      <c r="AR631" s="25" t="str">
        <f t="shared" si="158"/>
        <v/>
      </c>
      <c r="AS631" s="25" t="str">
        <f t="shared" si="159"/>
        <v/>
      </c>
      <c r="AT631" s="25" t="str">
        <f t="shared" si="160"/>
        <v/>
      </c>
      <c r="AU631" s="25" t="str">
        <f t="shared" si="161"/>
        <v/>
      </c>
      <c r="AV631" s="25" t="str">
        <f t="shared" si="162"/>
        <v/>
      </c>
      <c r="AW631" s="25" t="str">
        <f t="shared" si="163"/>
        <v/>
      </c>
      <c r="AX631" s="25" t="str">
        <f t="shared" si="164"/>
        <v/>
      </c>
      <c r="AY631" s="25" t="str">
        <f t="shared" si="165"/>
        <v/>
      </c>
      <c r="AZ631" s="25" t="str">
        <f t="shared" si="166"/>
        <v/>
      </c>
      <c r="BA631" s="25" t="str">
        <f t="shared" si="167"/>
        <v/>
      </c>
      <c r="BB631" s="25" t="str">
        <f t="shared" si="168"/>
        <v/>
      </c>
      <c r="BC631" s="25" t="str">
        <f t="shared" si="169"/>
        <v/>
      </c>
    </row>
    <row r="632" spans="1:55" x14ac:dyDescent="0.25">
      <c r="A632" s="19" t="str">
        <f t="shared" si="154"/>
        <v/>
      </c>
      <c r="B632" s="19"/>
      <c r="C632" s="20"/>
      <c r="D632" s="19" t="str">
        <f t="shared" si="153"/>
        <v/>
      </c>
      <c r="E632" s="19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19"/>
      <c r="U632" s="19"/>
      <c r="V632" s="20"/>
      <c r="W632" s="22"/>
      <c r="X632" s="21"/>
      <c r="Y632" s="21"/>
      <c r="Z632" s="23" t="str">
        <f>IF(B632="","",IF(S632&lt;&gt;"","Sevk Edildi",IF(AND(X632&lt;&gt;"",Y632=""),"Reworkte",IF(T632&lt;&gt;"","Kapandı"&amp;IF(COUNT(G632:R632)=0,""," – "&amp;LOOKUP(2,1/(G632:R632=MAX(G632:R632)),{"Tasarım","Ply Cutter","Üretim","Kalite (Üretim sonrası)","Talaşlı","Kalite (Talaşlı sonrası)","Montaj","Kalite (Montaj sonrası)","Boya","Kalite (Boya sonrası)","Yarı Mamül","KM"})),IF(COUNT(G632:R632)=0,"Başlamadı",LOOKUP(2,1/(G632:R632=MAX(G632:R632)),{"Tasarımda","Ply Cutter'da","Üretimde","Kalitede (Üretim sonrası)","Talaşlıda","Kalitede (Talaşlı sonrası)","Montajda","Kalitede (Montaj sonrası)","Boyada","Kalitede (Boya sonrası)","Yarı Mamülde","KM'de"}))))))</f>
        <v/>
      </c>
      <c r="AA632" s="24" t="str">
        <f t="shared" ca="1" si="155"/>
        <v/>
      </c>
      <c r="AB632" s="22"/>
      <c r="AD632" t="str">
        <f>IF(OR($B632="",NOT(ISNUMBER(G632))),"",IF(COUNTIF(H632:$T632,G632)&gt;0,0,IF(COUNTIF($G632:$T632,"&gt;"&amp;G632)=0,"",SMALL($G632:$T632,COUNTIF($G632:$T632,"&lt;="&amp;G632)+1)-G632)))</f>
        <v/>
      </c>
      <c r="AE632" t="str">
        <f>IF(OR($B632="",NOT(ISNUMBER(H632))),"",IF(COUNTIF(I632:$T632,H632)&gt;0,0,IF(COUNTIF($G632:$T632,"&gt;"&amp;H632)=0,"",SMALL($G632:$T632,COUNTIF($G632:$T632,"&lt;="&amp;H632)+1)-H632)))</f>
        <v/>
      </c>
      <c r="AF632" t="str">
        <f>IF(OR($B632="",NOT(ISNUMBER(I632))),"",IF(COUNTIF(J632:$T632,I632)&gt;0,0,IF(COUNTIF($G632:$T632,"&gt;"&amp;I632)=0,"",SMALL($G632:$T632,COUNTIF($G632:$T632,"&lt;="&amp;I632)+1)-I632)))</f>
        <v/>
      </c>
      <c r="AG632" t="str">
        <f>IF(OR($B632="",NOT(ISNUMBER(J632))),"",IF(COUNTIF(K632:$T632,J632)&gt;0,0,IF(COUNTIF($G632:$T632,"&gt;"&amp;J632)=0,"",SMALL($G632:$T632,COUNTIF($G632:$T632,"&lt;="&amp;J632)+1)-J632)))</f>
        <v/>
      </c>
      <c r="AH632" t="str">
        <f>IF(OR($B632="",NOT(ISNUMBER(K632))),"",IF(COUNTIF(L632:$T632,K632)&gt;0,0,IF(COUNTIF($G632:$T632,"&gt;"&amp;K632)=0,"",SMALL($G632:$T632,COUNTIF($G632:$T632,"&lt;="&amp;K632)+1)-K632)))</f>
        <v/>
      </c>
      <c r="AI632" t="str">
        <f>IF(OR($B632="",NOT(ISNUMBER(L632))),"",IF(COUNTIF(M632:$T632,L632)&gt;0,0,IF(COUNTIF($G632:$T632,"&gt;"&amp;L632)=0,"",SMALL($G632:$T632,COUNTIF($G632:$T632,"&lt;="&amp;L632)+1)-L632)))</f>
        <v/>
      </c>
      <c r="AJ632" t="str">
        <f>IF(OR($B632="",NOT(ISNUMBER(M632))),"",IF(COUNTIF(N632:$T632,M632)&gt;0,0,IF(COUNTIF($G632:$T632,"&gt;"&amp;M632)=0,"",SMALL($G632:$T632,COUNTIF($G632:$T632,"&lt;="&amp;M632)+1)-M632)))</f>
        <v/>
      </c>
      <c r="AK632" t="str">
        <f>IF(OR($B632="",NOT(ISNUMBER(N632))),"",IF(COUNTIF(O632:$T632,N632)&gt;0,0,IF(COUNTIF($G632:$T632,"&gt;"&amp;N632)=0,"",SMALL($G632:$T632,COUNTIF($G632:$T632,"&lt;="&amp;N632)+1)-N632)))</f>
        <v/>
      </c>
      <c r="AL632" t="str">
        <f>IF(OR($B632="",NOT(ISNUMBER(O632))),"",IF(COUNTIF(P632:$T632,O632)&gt;0,0,IF(COUNTIF($G632:$T632,"&gt;"&amp;O632)=0,"",SMALL($G632:$T632,COUNTIF($G632:$T632,"&lt;="&amp;O632)+1)-O632)))</f>
        <v/>
      </c>
      <c r="AM632" t="str">
        <f>IF(OR($B632="",NOT(ISNUMBER(P632))),"",IF(COUNTIF(Q632:$T632,P632)&gt;0,0,IF(COUNTIF($G632:$T632,"&gt;"&amp;P632)=0,"",SMALL($G632:$T632,COUNTIF($G632:$T632,"&lt;="&amp;P632)+1)-P632)))</f>
        <v/>
      </c>
      <c r="AN632" t="str">
        <f>IF(OR($B632="",NOT(ISNUMBER(Q632))),"",IF(COUNTIF(R632:$T632,Q632)&gt;0,0,IF(COUNTIF($G632:$T632,"&gt;"&amp;Q632)=0,"",SMALL($G632:$T632,COUNTIF($G632:$T632,"&lt;="&amp;Q632)+1)-Q632)))</f>
        <v/>
      </c>
      <c r="AO632" t="str">
        <f>IF(OR($B632="",NOT(ISNUMBER(R632))),"",IF(COUNTIF(S632:$T632,R632)&gt;0,0,IF(COUNTIF($G632:$T632,"&gt;"&amp;R632)=0,"",SMALL($G632:$T632,COUNTIF($G632:$T632,"&lt;="&amp;R632)+1)-R632)))</f>
        <v/>
      </c>
      <c r="AP632">
        <f t="shared" ca="1" si="156"/>
        <v>0</v>
      </c>
      <c r="AQ632" s="25" t="str">
        <f t="shared" si="157"/>
        <v/>
      </c>
      <c r="AR632" s="25" t="str">
        <f t="shared" si="158"/>
        <v/>
      </c>
      <c r="AS632" s="25" t="str">
        <f t="shared" si="159"/>
        <v/>
      </c>
      <c r="AT632" s="25" t="str">
        <f t="shared" si="160"/>
        <v/>
      </c>
      <c r="AU632" s="25" t="str">
        <f t="shared" si="161"/>
        <v/>
      </c>
      <c r="AV632" s="25" t="str">
        <f t="shared" si="162"/>
        <v/>
      </c>
      <c r="AW632" s="25" t="str">
        <f t="shared" si="163"/>
        <v/>
      </c>
      <c r="AX632" s="25" t="str">
        <f t="shared" si="164"/>
        <v/>
      </c>
      <c r="AY632" s="25" t="str">
        <f t="shared" si="165"/>
        <v/>
      </c>
      <c r="AZ632" s="25" t="str">
        <f t="shared" si="166"/>
        <v/>
      </c>
      <c r="BA632" s="25" t="str">
        <f t="shared" si="167"/>
        <v/>
      </c>
      <c r="BB632" s="25" t="str">
        <f t="shared" si="168"/>
        <v/>
      </c>
      <c r="BC632" s="25" t="str">
        <f t="shared" si="169"/>
        <v/>
      </c>
    </row>
    <row r="633" spans="1:55" x14ac:dyDescent="0.25">
      <c r="A633" s="19" t="str">
        <f t="shared" si="154"/>
        <v/>
      </c>
      <c r="B633" s="19"/>
      <c r="C633" s="20"/>
      <c r="D633" s="19" t="str">
        <f t="shared" si="153"/>
        <v/>
      </c>
      <c r="E633" s="19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19"/>
      <c r="U633" s="19"/>
      <c r="V633" s="20"/>
      <c r="W633" s="22"/>
      <c r="X633" s="21"/>
      <c r="Y633" s="21"/>
      <c r="Z633" s="23" t="str">
        <f>IF(B633="","",IF(S633&lt;&gt;"","Sevk Edildi",IF(AND(X633&lt;&gt;"",Y633=""),"Reworkte",IF(T633&lt;&gt;"","Kapandı"&amp;IF(COUNT(G633:R633)=0,""," – "&amp;LOOKUP(2,1/(G633:R633=MAX(G633:R633)),{"Tasarım","Ply Cutter","Üretim","Kalite (Üretim sonrası)","Talaşlı","Kalite (Talaşlı sonrası)","Montaj","Kalite (Montaj sonrası)","Boya","Kalite (Boya sonrası)","Yarı Mamül","KM"})),IF(COUNT(G633:R633)=0,"Başlamadı",LOOKUP(2,1/(G633:R633=MAX(G633:R633)),{"Tasarımda","Ply Cutter'da","Üretimde","Kalitede (Üretim sonrası)","Talaşlıda","Kalitede (Talaşlı sonrası)","Montajda","Kalitede (Montaj sonrası)","Boyada","Kalitede (Boya sonrası)","Yarı Mamülde","KM'de"}))))))</f>
        <v/>
      </c>
      <c r="AA633" s="24" t="str">
        <f t="shared" ca="1" si="155"/>
        <v/>
      </c>
      <c r="AB633" s="22"/>
      <c r="AD633" t="str">
        <f>IF(OR($B633="",NOT(ISNUMBER(G633))),"",IF(COUNTIF(H633:$T633,G633)&gt;0,0,IF(COUNTIF($G633:$T633,"&gt;"&amp;G633)=0,"",SMALL($G633:$T633,COUNTIF($G633:$T633,"&lt;="&amp;G633)+1)-G633)))</f>
        <v/>
      </c>
      <c r="AE633" t="str">
        <f>IF(OR($B633="",NOT(ISNUMBER(H633))),"",IF(COUNTIF(I633:$T633,H633)&gt;0,0,IF(COUNTIF($G633:$T633,"&gt;"&amp;H633)=0,"",SMALL($G633:$T633,COUNTIF($G633:$T633,"&lt;="&amp;H633)+1)-H633)))</f>
        <v/>
      </c>
      <c r="AF633" t="str">
        <f>IF(OR($B633="",NOT(ISNUMBER(I633))),"",IF(COUNTIF(J633:$T633,I633)&gt;0,0,IF(COUNTIF($G633:$T633,"&gt;"&amp;I633)=0,"",SMALL($G633:$T633,COUNTIF($G633:$T633,"&lt;="&amp;I633)+1)-I633)))</f>
        <v/>
      </c>
      <c r="AG633" t="str">
        <f>IF(OR($B633="",NOT(ISNUMBER(J633))),"",IF(COUNTIF(K633:$T633,J633)&gt;0,0,IF(COUNTIF($G633:$T633,"&gt;"&amp;J633)=0,"",SMALL($G633:$T633,COUNTIF($G633:$T633,"&lt;="&amp;J633)+1)-J633)))</f>
        <v/>
      </c>
      <c r="AH633" t="str">
        <f>IF(OR($B633="",NOT(ISNUMBER(K633))),"",IF(COUNTIF(L633:$T633,K633)&gt;0,0,IF(COUNTIF($G633:$T633,"&gt;"&amp;K633)=0,"",SMALL($G633:$T633,COUNTIF($G633:$T633,"&lt;="&amp;K633)+1)-K633)))</f>
        <v/>
      </c>
      <c r="AI633" t="str">
        <f>IF(OR($B633="",NOT(ISNUMBER(L633))),"",IF(COUNTIF(M633:$T633,L633)&gt;0,0,IF(COUNTIF($G633:$T633,"&gt;"&amp;L633)=0,"",SMALL($G633:$T633,COUNTIF($G633:$T633,"&lt;="&amp;L633)+1)-L633)))</f>
        <v/>
      </c>
      <c r="AJ633" t="str">
        <f>IF(OR($B633="",NOT(ISNUMBER(M633))),"",IF(COUNTIF(N633:$T633,M633)&gt;0,0,IF(COUNTIF($G633:$T633,"&gt;"&amp;M633)=0,"",SMALL($G633:$T633,COUNTIF($G633:$T633,"&lt;="&amp;M633)+1)-M633)))</f>
        <v/>
      </c>
      <c r="AK633" t="str">
        <f>IF(OR($B633="",NOT(ISNUMBER(N633))),"",IF(COUNTIF(O633:$T633,N633)&gt;0,0,IF(COUNTIF($G633:$T633,"&gt;"&amp;N633)=0,"",SMALL($G633:$T633,COUNTIF($G633:$T633,"&lt;="&amp;N633)+1)-N633)))</f>
        <v/>
      </c>
      <c r="AL633" t="str">
        <f>IF(OR($B633="",NOT(ISNUMBER(O633))),"",IF(COUNTIF(P633:$T633,O633)&gt;0,0,IF(COUNTIF($G633:$T633,"&gt;"&amp;O633)=0,"",SMALL($G633:$T633,COUNTIF($G633:$T633,"&lt;="&amp;O633)+1)-O633)))</f>
        <v/>
      </c>
      <c r="AM633" t="str">
        <f>IF(OR($B633="",NOT(ISNUMBER(P633))),"",IF(COUNTIF(Q633:$T633,P633)&gt;0,0,IF(COUNTIF($G633:$T633,"&gt;"&amp;P633)=0,"",SMALL($G633:$T633,COUNTIF($G633:$T633,"&lt;="&amp;P633)+1)-P633)))</f>
        <v/>
      </c>
      <c r="AN633" t="str">
        <f>IF(OR($B633="",NOT(ISNUMBER(Q633))),"",IF(COUNTIF(R633:$T633,Q633)&gt;0,0,IF(COUNTIF($G633:$T633,"&gt;"&amp;Q633)=0,"",SMALL($G633:$T633,COUNTIF($G633:$T633,"&lt;="&amp;Q633)+1)-Q633)))</f>
        <v/>
      </c>
      <c r="AO633" t="str">
        <f>IF(OR($B633="",NOT(ISNUMBER(R633))),"",IF(COUNTIF(S633:$T633,R633)&gt;0,0,IF(COUNTIF($G633:$T633,"&gt;"&amp;R633)=0,"",SMALL($G633:$T633,COUNTIF($G633:$T633,"&lt;="&amp;R633)+1)-R633)))</f>
        <v/>
      </c>
      <c r="AP633">
        <f t="shared" ca="1" si="156"/>
        <v>0</v>
      </c>
      <c r="AQ633" s="25" t="str">
        <f t="shared" si="157"/>
        <v/>
      </c>
      <c r="AR633" s="25" t="str">
        <f t="shared" si="158"/>
        <v/>
      </c>
      <c r="AS633" s="25" t="str">
        <f t="shared" si="159"/>
        <v/>
      </c>
      <c r="AT633" s="25" t="str">
        <f t="shared" si="160"/>
        <v/>
      </c>
      <c r="AU633" s="25" t="str">
        <f t="shared" si="161"/>
        <v/>
      </c>
      <c r="AV633" s="25" t="str">
        <f t="shared" si="162"/>
        <v/>
      </c>
      <c r="AW633" s="25" t="str">
        <f t="shared" si="163"/>
        <v/>
      </c>
      <c r="AX633" s="25" t="str">
        <f t="shared" si="164"/>
        <v/>
      </c>
      <c r="AY633" s="25" t="str">
        <f t="shared" si="165"/>
        <v/>
      </c>
      <c r="AZ633" s="25" t="str">
        <f t="shared" si="166"/>
        <v/>
      </c>
      <c r="BA633" s="25" t="str">
        <f t="shared" si="167"/>
        <v/>
      </c>
      <c r="BB633" s="25" t="str">
        <f t="shared" si="168"/>
        <v/>
      </c>
      <c r="BC633" s="25" t="str">
        <f t="shared" si="169"/>
        <v/>
      </c>
    </row>
    <row r="634" spans="1:55" x14ac:dyDescent="0.25">
      <c r="A634" s="19" t="str">
        <f t="shared" si="154"/>
        <v/>
      </c>
      <c r="B634" s="19"/>
      <c r="C634" s="20"/>
      <c r="D634" s="19" t="str">
        <f t="shared" si="153"/>
        <v/>
      </c>
      <c r="E634" s="19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19"/>
      <c r="U634" s="19"/>
      <c r="V634" s="20"/>
      <c r="W634" s="22"/>
      <c r="X634" s="21"/>
      <c r="Y634" s="21"/>
      <c r="Z634" s="23" t="str">
        <f>IF(B634="","",IF(S634&lt;&gt;"","Sevk Edildi",IF(AND(X634&lt;&gt;"",Y634=""),"Reworkte",IF(T634&lt;&gt;"","Kapandı"&amp;IF(COUNT(G634:R634)=0,""," – "&amp;LOOKUP(2,1/(G634:R634=MAX(G634:R634)),{"Tasarım","Ply Cutter","Üretim","Kalite (Üretim sonrası)","Talaşlı","Kalite (Talaşlı sonrası)","Montaj","Kalite (Montaj sonrası)","Boya","Kalite (Boya sonrası)","Yarı Mamül","KM"})),IF(COUNT(G634:R634)=0,"Başlamadı",LOOKUP(2,1/(G634:R634=MAX(G634:R634)),{"Tasarımda","Ply Cutter'da","Üretimde","Kalitede (Üretim sonrası)","Talaşlıda","Kalitede (Talaşlı sonrası)","Montajda","Kalitede (Montaj sonrası)","Boyada","Kalitede (Boya sonrası)","Yarı Mamülde","KM'de"}))))))</f>
        <v/>
      </c>
      <c r="AA634" s="24" t="str">
        <f t="shared" ca="1" si="155"/>
        <v/>
      </c>
      <c r="AB634" s="22"/>
      <c r="AD634" t="str">
        <f>IF(OR($B634="",NOT(ISNUMBER(G634))),"",IF(COUNTIF(H634:$T634,G634)&gt;0,0,IF(COUNTIF($G634:$T634,"&gt;"&amp;G634)=0,"",SMALL($G634:$T634,COUNTIF($G634:$T634,"&lt;="&amp;G634)+1)-G634)))</f>
        <v/>
      </c>
      <c r="AE634" t="str">
        <f>IF(OR($B634="",NOT(ISNUMBER(H634))),"",IF(COUNTIF(I634:$T634,H634)&gt;0,0,IF(COUNTIF($G634:$T634,"&gt;"&amp;H634)=0,"",SMALL($G634:$T634,COUNTIF($G634:$T634,"&lt;="&amp;H634)+1)-H634)))</f>
        <v/>
      </c>
      <c r="AF634" t="str">
        <f>IF(OR($B634="",NOT(ISNUMBER(I634))),"",IF(COUNTIF(J634:$T634,I634)&gt;0,0,IF(COUNTIF($G634:$T634,"&gt;"&amp;I634)=0,"",SMALL($G634:$T634,COUNTIF($G634:$T634,"&lt;="&amp;I634)+1)-I634)))</f>
        <v/>
      </c>
      <c r="AG634" t="str">
        <f>IF(OR($B634="",NOT(ISNUMBER(J634))),"",IF(COUNTIF(K634:$T634,J634)&gt;0,0,IF(COUNTIF($G634:$T634,"&gt;"&amp;J634)=0,"",SMALL($G634:$T634,COUNTIF($G634:$T634,"&lt;="&amp;J634)+1)-J634)))</f>
        <v/>
      </c>
      <c r="AH634" t="str">
        <f>IF(OR($B634="",NOT(ISNUMBER(K634))),"",IF(COUNTIF(L634:$T634,K634)&gt;0,0,IF(COUNTIF($G634:$T634,"&gt;"&amp;K634)=0,"",SMALL($G634:$T634,COUNTIF($G634:$T634,"&lt;="&amp;K634)+1)-K634)))</f>
        <v/>
      </c>
      <c r="AI634" t="str">
        <f>IF(OR($B634="",NOT(ISNUMBER(L634))),"",IF(COUNTIF(M634:$T634,L634)&gt;0,0,IF(COUNTIF($G634:$T634,"&gt;"&amp;L634)=0,"",SMALL($G634:$T634,COUNTIF($G634:$T634,"&lt;="&amp;L634)+1)-L634)))</f>
        <v/>
      </c>
      <c r="AJ634" t="str">
        <f>IF(OR($B634="",NOT(ISNUMBER(M634))),"",IF(COUNTIF(N634:$T634,M634)&gt;0,0,IF(COUNTIF($G634:$T634,"&gt;"&amp;M634)=0,"",SMALL($G634:$T634,COUNTIF($G634:$T634,"&lt;="&amp;M634)+1)-M634)))</f>
        <v/>
      </c>
      <c r="AK634" t="str">
        <f>IF(OR($B634="",NOT(ISNUMBER(N634))),"",IF(COUNTIF(O634:$T634,N634)&gt;0,0,IF(COUNTIF($G634:$T634,"&gt;"&amp;N634)=0,"",SMALL($G634:$T634,COUNTIF($G634:$T634,"&lt;="&amp;N634)+1)-N634)))</f>
        <v/>
      </c>
      <c r="AL634" t="str">
        <f>IF(OR($B634="",NOT(ISNUMBER(O634))),"",IF(COUNTIF(P634:$T634,O634)&gt;0,0,IF(COUNTIF($G634:$T634,"&gt;"&amp;O634)=0,"",SMALL($G634:$T634,COUNTIF($G634:$T634,"&lt;="&amp;O634)+1)-O634)))</f>
        <v/>
      </c>
      <c r="AM634" t="str">
        <f>IF(OR($B634="",NOT(ISNUMBER(P634))),"",IF(COUNTIF(Q634:$T634,P634)&gt;0,0,IF(COUNTIF($G634:$T634,"&gt;"&amp;P634)=0,"",SMALL($G634:$T634,COUNTIF($G634:$T634,"&lt;="&amp;P634)+1)-P634)))</f>
        <v/>
      </c>
      <c r="AN634" t="str">
        <f>IF(OR($B634="",NOT(ISNUMBER(Q634))),"",IF(COUNTIF(R634:$T634,Q634)&gt;0,0,IF(COUNTIF($G634:$T634,"&gt;"&amp;Q634)=0,"",SMALL($G634:$T634,COUNTIF($G634:$T634,"&lt;="&amp;Q634)+1)-Q634)))</f>
        <v/>
      </c>
      <c r="AO634" t="str">
        <f>IF(OR($B634="",NOT(ISNUMBER(R634))),"",IF(COUNTIF(S634:$T634,R634)&gt;0,0,IF(COUNTIF($G634:$T634,"&gt;"&amp;R634)=0,"",SMALL($G634:$T634,COUNTIF($G634:$T634,"&lt;="&amp;R634)+1)-R634)))</f>
        <v/>
      </c>
      <c r="AP634">
        <f t="shared" ca="1" si="156"/>
        <v>0</v>
      </c>
      <c r="AQ634" s="25" t="str">
        <f t="shared" si="157"/>
        <v/>
      </c>
      <c r="AR634" s="25" t="str">
        <f t="shared" si="158"/>
        <v/>
      </c>
      <c r="AS634" s="25" t="str">
        <f t="shared" si="159"/>
        <v/>
      </c>
      <c r="AT634" s="25" t="str">
        <f t="shared" si="160"/>
        <v/>
      </c>
      <c r="AU634" s="25" t="str">
        <f t="shared" si="161"/>
        <v/>
      </c>
      <c r="AV634" s="25" t="str">
        <f t="shared" si="162"/>
        <v/>
      </c>
      <c r="AW634" s="25" t="str">
        <f t="shared" si="163"/>
        <v/>
      </c>
      <c r="AX634" s="25" t="str">
        <f t="shared" si="164"/>
        <v/>
      </c>
      <c r="AY634" s="25" t="str">
        <f t="shared" si="165"/>
        <v/>
      </c>
      <c r="AZ634" s="25" t="str">
        <f t="shared" si="166"/>
        <v/>
      </c>
      <c r="BA634" s="25" t="str">
        <f t="shared" si="167"/>
        <v/>
      </c>
      <c r="BB634" s="25" t="str">
        <f t="shared" si="168"/>
        <v/>
      </c>
      <c r="BC634" s="25" t="str">
        <f t="shared" si="169"/>
        <v/>
      </c>
    </row>
    <row r="635" spans="1:55" x14ac:dyDescent="0.25">
      <c r="A635" s="19" t="str">
        <f t="shared" si="154"/>
        <v/>
      </c>
      <c r="B635" s="19"/>
      <c r="C635" s="20"/>
      <c r="D635" s="19" t="str">
        <f t="shared" si="153"/>
        <v/>
      </c>
      <c r="E635" s="19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19"/>
      <c r="U635" s="19"/>
      <c r="V635" s="20"/>
      <c r="W635" s="22"/>
      <c r="X635" s="21"/>
      <c r="Y635" s="21"/>
      <c r="Z635" s="23" t="str">
        <f>IF(B635="","",IF(S635&lt;&gt;"","Sevk Edildi",IF(AND(X635&lt;&gt;"",Y635=""),"Reworkte",IF(T635&lt;&gt;"","Kapandı"&amp;IF(COUNT(G635:R635)=0,""," – "&amp;LOOKUP(2,1/(G635:R635=MAX(G635:R635)),{"Tasarım","Ply Cutter","Üretim","Kalite (Üretim sonrası)","Talaşlı","Kalite (Talaşlı sonrası)","Montaj","Kalite (Montaj sonrası)","Boya","Kalite (Boya sonrası)","Yarı Mamül","KM"})),IF(COUNT(G635:R635)=0,"Başlamadı",LOOKUP(2,1/(G635:R635=MAX(G635:R635)),{"Tasarımda","Ply Cutter'da","Üretimde","Kalitede (Üretim sonrası)","Talaşlıda","Kalitede (Talaşlı sonrası)","Montajda","Kalitede (Montaj sonrası)","Boyada","Kalitede (Boya sonrası)","Yarı Mamülde","KM'de"}))))))</f>
        <v/>
      </c>
      <c r="AA635" s="24" t="str">
        <f t="shared" ca="1" si="155"/>
        <v/>
      </c>
      <c r="AB635" s="22"/>
      <c r="AD635" t="str">
        <f>IF(OR($B635="",NOT(ISNUMBER(G635))),"",IF(COUNTIF(H635:$T635,G635)&gt;0,0,IF(COUNTIF($G635:$T635,"&gt;"&amp;G635)=0,"",SMALL($G635:$T635,COUNTIF($G635:$T635,"&lt;="&amp;G635)+1)-G635)))</f>
        <v/>
      </c>
      <c r="AE635" t="str">
        <f>IF(OR($B635="",NOT(ISNUMBER(H635))),"",IF(COUNTIF(I635:$T635,H635)&gt;0,0,IF(COUNTIF($G635:$T635,"&gt;"&amp;H635)=0,"",SMALL($G635:$T635,COUNTIF($G635:$T635,"&lt;="&amp;H635)+1)-H635)))</f>
        <v/>
      </c>
      <c r="AF635" t="str">
        <f>IF(OR($B635="",NOT(ISNUMBER(I635))),"",IF(COUNTIF(J635:$T635,I635)&gt;0,0,IF(COUNTIF($G635:$T635,"&gt;"&amp;I635)=0,"",SMALL($G635:$T635,COUNTIF($G635:$T635,"&lt;="&amp;I635)+1)-I635)))</f>
        <v/>
      </c>
      <c r="AG635" t="str">
        <f>IF(OR($B635="",NOT(ISNUMBER(J635))),"",IF(COUNTIF(K635:$T635,J635)&gt;0,0,IF(COUNTIF($G635:$T635,"&gt;"&amp;J635)=0,"",SMALL($G635:$T635,COUNTIF($G635:$T635,"&lt;="&amp;J635)+1)-J635)))</f>
        <v/>
      </c>
      <c r="AH635" t="str">
        <f>IF(OR($B635="",NOT(ISNUMBER(K635))),"",IF(COUNTIF(L635:$T635,K635)&gt;0,0,IF(COUNTIF($G635:$T635,"&gt;"&amp;K635)=0,"",SMALL($G635:$T635,COUNTIF($G635:$T635,"&lt;="&amp;K635)+1)-K635)))</f>
        <v/>
      </c>
      <c r="AI635" t="str">
        <f>IF(OR($B635="",NOT(ISNUMBER(L635))),"",IF(COUNTIF(M635:$T635,L635)&gt;0,0,IF(COUNTIF($G635:$T635,"&gt;"&amp;L635)=0,"",SMALL($G635:$T635,COUNTIF($G635:$T635,"&lt;="&amp;L635)+1)-L635)))</f>
        <v/>
      </c>
      <c r="AJ635" t="str">
        <f>IF(OR($B635="",NOT(ISNUMBER(M635))),"",IF(COUNTIF(N635:$T635,M635)&gt;0,0,IF(COUNTIF($G635:$T635,"&gt;"&amp;M635)=0,"",SMALL($G635:$T635,COUNTIF($G635:$T635,"&lt;="&amp;M635)+1)-M635)))</f>
        <v/>
      </c>
      <c r="AK635" t="str">
        <f>IF(OR($B635="",NOT(ISNUMBER(N635))),"",IF(COUNTIF(O635:$T635,N635)&gt;0,0,IF(COUNTIF($G635:$T635,"&gt;"&amp;N635)=0,"",SMALL($G635:$T635,COUNTIF($G635:$T635,"&lt;="&amp;N635)+1)-N635)))</f>
        <v/>
      </c>
      <c r="AL635" t="str">
        <f>IF(OR($B635="",NOT(ISNUMBER(O635))),"",IF(COUNTIF(P635:$T635,O635)&gt;0,0,IF(COUNTIF($G635:$T635,"&gt;"&amp;O635)=0,"",SMALL($G635:$T635,COUNTIF($G635:$T635,"&lt;="&amp;O635)+1)-O635)))</f>
        <v/>
      </c>
      <c r="AM635" t="str">
        <f>IF(OR($B635="",NOT(ISNUMBER(P635))),"",IF(COUNTIF(Q635:$T635,P635)&gt;0,0,IF(COUNTIF($G635:$T635,"&gt;"&amp;P635)=0,"",SMALL($G635:$T635,COUNTIF($G635:$T635,"&lt;="&amp;P635)+1)-P635)))</f>
        <v/>
      </c>
      <c r="AN635" t="str">
        <f>IF(OR($B635="",NOT(ISNUMBER(Q635))),"",IF(COUNTIF(R635:$T635,Q635)&gt;0,0,IF(COUNTIF($G635:$T635,"&gt;"&amp;Q635)=0,"",SMALL($G635:$T635,COUNTIF($G635:$T635,"&lt;="&amp;Q635)+1)-Q635)))</f>
        <v/>
      </c>
      <c r="AO635" t="str">
        <f>IF(OR($B635="",NOT(ISNUMBER(R635))),"",IF(COUNTIF(S635:$T635,R635)&gt;0,0,IF(COUNTIF($G635:$T635,"&gt;"&amp;R635)=0,"",SMALL($G635:$T635,COUNTIF($G635:$T635,"&lt;="&amp;R635)+1)-R635)))</f>
        <v/>
      </c>
      <c r="AP635">
        <f t="shared" ca="1" si="156"/>
        <v>0</v>
      </c>
      <c r="AQ635" s="25" t="str">
        <f t="shared" si="157"/>
        <v/>
      </c>
      <c r="AR635" s="25" t="str">
        <f t="shared" si="158"/>
        <v/>
      </c>
      <c r="AS635" s="25" t="str">
        <f t="shared" si="159"/>
        <v/>
      </c>
      <c r="AT635" s="25" t="str">
        <f t="shared" si="160"/>
        <v/>
      </c>
      <c r="AU635" s="25" t="str">
        <f t="shared" si="161"/>
        <v/>
      </c>
      <c r="AV635" s="25" t="str">
        <f t="shared" si="162"/>
        <v/>
      </c>
      <c r="AW635" s="25" t="str">
        <f t="shared" si="163"/>
        <v/>
      </c>
      <c r="AX635" s="25" t="str">
        <f t="shared" si="164"/>
        <v/>
      </c>
      <c r="AY635" s="25" t="str">
        <f t="shared" si="165"/>
        <v/>
      </c>
      <c r="AZ635" s="25" t="str">
        <f t="shared" si="166"/>
        <v/>
      </c>
      <c r="BA635" s="25" t="str">
        <f t="shared" si="167"/>
        <v/>
      </c>
      <c r="BB635" s="25" t="str">
        <f t="shared" si="168"/>
        <v/>
      </c>
      <c r="BC635" s="25" t="str">
        <f t="shared" si="169"/>
        <v/>
      </c>
    </row>
    <row r="636" spans="1:55" x14ac:dyDescent="0.25">
      <c r="A636" s="19" t="str">
        <f t="shared" si="154"/>
        <v/>
      </c>
      <c r="B636" s="19"/>
      <c r="C636" s="20"/>
      <c r="D636" s="19" t="str">
        <f t="shared" si="153"/>
        <v/>
      </c>
      <c r="E636" s="19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19"/>
      <c r="U636" s="19"/>
      <c r="V636" s="20"/>
      <c r="W636" s="22"/>
      <c r="X636" s="21"/>
      <c r="Y636" s="21"/>
      <c r="Z636" s="23" t="str">
        <f>IF(B636="","",IF(S636&lt;&gt;"","Sevk Edildi",IF(AND(X636&lt;&gt;"",Y636=""),"Reworkte",IF(T636&lt;&gt;"","Kapandı"&amp;IF(COUNT(G636:R636)=0,""," – "&amp;LOOKUP(2,1/(G636:R636=MAX(G636:R636)),{"Tasarım","Ply Cutter","Üretim","Kalite (Üretim sonrası)","Talaşlı","Kalite (Talaşlı sonrası)","Montaj","Kalite (Montaj sonrası)","Boya","Kalite (Boya sonrası)","Yarı Mamül","KM"})),IF(COUNT(G636:R636)=0,"Başlamadı",LOOKUP(2,1/(G636:R636=MAX(G636:R636)),{"Tasarımda","Ply Cutter'da","Üretimde","Kalitede (Üretim sonrası)","Talaşlıda","Kalitede (Talaşlı sonrası)","Montajda","Kalitede (Montaj sonrası)","Boyada","Kalitede (Boya sonrası)","Yarı Mamülde","KM'de"}))))))</f>
        <v/>
      </c>
      <c r="AA636" s="24" t="str">
        <f t="shared" ca="1" si="155"/>
        <v/>
      </c>
      <c r="AB636" s="22"/>
      <c r="AD636" t="str">
        <f>IF(OR($B636="",NOT(ISNUMBER(G636))),"",IF(COUNTIF(H636:$T636,G636)&gt;0,0,IF(COUNTIF($G636:$T636,"&gt;"&amp;G636)=0,"",SMALL($G636:$T636,COUNTIF($G636:$T636,"&lt;="&amp;G636)+1)-G636)))</f>
        <v/>
      </c>
      <c r="AE636" t="str">
        <f>IF(OR($B636="",NOT(ISNUMBER(H636))),"",IF(COUNTIF(I636:$T636,H636)&gt;0,0,IF(COUNTIF($G636:$T636,"&gt;"&amp;H636)=0,"",SMALL($G636:$T636,COUNTIF($G636:$T636,"&lt;="&amp;H636)+1)-H636)))</f>
        <v/>
      </c>
      <c r="AF636" t="str">
        <f>IF(OR($B636="",NOT(ISNUMBER(I636))),"",IF(COUNTIF(J636:$T636,I636)&gt;0,0,IF(COUNTIF($G636:$T636,"&gt;"&amp;I636)=0,"",SMALL($G636:$T636,COUNTIF($G636:$T636,"&lt;="&amp;I636)+1)-I636)))</f>
        <v/>
      </c>
      <c r="AG636" t="str">
        <f>IF(OR($B636="",NOT(ISNUMBER(J636))),"",IF(COUNTIF(K636:$T636,J636)&gt;0,0,IF(COUNTIF($G636:$T636,"&gt;"&amp;J636)=0,"",SMALL($G636:$T636,COUNTIF($G636:$T636,"&lt;="&amp;J636)+1)-J636)))</f>
        <v/>
      </c>
      <c r="AH636" t="str">
        <f>IF(OR($B636="",NOT(ISNUMBER(K636))),"",IF(COUNTIF(L636:$T636,K636)&gt;0,0,IF(COUNTIF($G636:$T636,"&gt;"&amp;K636)=0,"",SMALL($G636:$T636,COUNTIF($G636:$T636,"&lt;="&amp;K636)+1)-K636)))</f>
        <v/>
      </c>
      <c r="AI636" t="str">
        <f>IF(OR($B636="",NOT(ISNUMBER(L636))),"",IF(COUNTIF(M636:$T636,L636)&gt;0,0,IF(COUNTIF($G636:$T636,"&gt;"&amp;L636)=0,"",SMALL($G636:$T636,COUNTIF($G636:$T636,"&lt;="&amp;L636)+1)-L636)))</f>
        <v/>
      </c>
      <c r="AJ636" t="str">
        <f>IF(OR($B636="",NOT(ISNUMBER(M636))),"",IF(COUNTIF(N636:$T636,M636)&gt;0,0,IF(COUNTIF($G636:$T636,"&gt;"&amp;M636)=0,"",SMALL($G636:$T636,COUNTIF($G636:$T636,"&lt;="&amp;M636)+1)-M636)))</f>
        <v/>
      </c>
      <c r="AK636" t="str">
        <f>IF(OR($B636="",NOT(ISNUMBER(N636))),"",IF(COUNTIF(O636:$T636,N636)&gt;0,0,IF(COUNTIF($G636:$T636,"&gt;"&amp;N636)=0,"",SMALL($G636:$T636,COUNTIF($G636:$T636,"&lt;="&amp;N636)+1)-N636)))</f>
        <v/>
      </c>
      <c r="AL636" t="str">
        <f>IF(OR($B636="",NOT(ISNUMBER(O636))),"",IF(COUNTIF(P636:$T636,O636)&gt;0,0,IF(COUNTIF($G636:$T636,"&gt;"&amp;O636)=0,"",SMALL($G636:$T636,COUNTIF($G636:$T636,"&lt;="&amp;O636)+1)-O636)))</f>
        <v/>
      </c>
      <c r="AM636" t="str">
        <f>IF(OR($B636="",NOT(ISNUMBER(P636))),"",IF(COUNTIF(Q636:$T636,P636)&gt;0,0,IF(COUNTIF($G636:$T636,"&gt;"&amp;P636)=0,"",SMALL($G636:$T636,COUNTIF($G636:$T636,"&lt;="&amp;P636)+1)-P636)))</f>
        <v/>
      </c>
      <c r="AN636" t="str">
        <f>IF(OR($B636="",NOT(ISNUMBER(Q636))),"",IF(COUNTIF(R636:$T636,Q636)&gt;0,0,IF(COUNTIF($G636:$T636,"&gt;"&amp;Q636)=0,"",SMALL($G636:$T636,COUNTIF($G636:$T636,"&lt;="&amp;Q636)+1)-Q636)))</f>
        <v/>
      </c>
      <c r="AO636" t="str">
        <f>IF(OR($B636="",NOT(ISNUMBER(R636))),"",IF(COUNTIF(S636:$T636,R636)&gt;0,0,IF(COUNTIF($G636:$T636,"&gt;"&amp;R636)=0,"",SMALL($G636:$T636,COUNTIF($G636:$T636,"&lt;="&amp;R636)+1)-R636)))</f>
        <v/>
      </c>
      <c r="AP636">
        <f t="shared" ca="1" si="156"/>
        <v>0</v>
      </c>
      <c r="AQ636" s="25" t="str">
        <f t="shared" si="157"/>
        <v/>
      </c>
      <c r="AR636" s="25" t="str">
        <f t="shared" si="158"/>
        <v/>
      </c>
      <c r="AS636" s="25" t="str">
        <f t="shared" si="159"/>
        <v/>
      </c>
      <c r="AT636" s="25" t="str">
        <f t="shared" si="160"/>
        <v/>
      </c>
      <c r="AU636" s="25" t="str">
        <f t="shared" si="161"/>
        <v/>
      </c>
      <c r="AV636" s="25" t="str">
        <f t="shared" si="162"/>
        <v/>
      </c>
      <c r="AW636" s="25" t="str">
        <f t="shared" si="163"/>
        <v/>
      </c>
      <c r="AX636" s="25" t="str">
        <f t="shared" si="164"/>
        <v/>
      </c>
      <c r="AY636" s="25" t="str">
        <f t="shared" si="165"/>
        <v/>
      </c>
      <c r="AZ636" s="25" t="str">
        <f t="shared" si="166"/>
        <v/>
      </c>
      <c r="BA636" s="25" t="str">
        <f t="shared" si="167"/>
        <v/>
      </c>
      <c r="BB636" s="25" t="str">
        <f t="shared" si="168"/>
        <v/>
      </c>
      <c r="BC636" s="25" t="str">
        <f t="shared" si="169"/>
        <v/>
      </c>
    </row>
    <row r="637" spans="1:55" x14ac:dyDescent="0.25">
      <c r="A637" s="19" t="str">
        <f t="shared" si="154"/>
        <v/>
      </c>
      <c r="B637" s="19"/>
      <c r="C637" s="20"/>
      <c r="D637" s="19" t="str">
        <f t="shared" si="153"/>
        <v/>
      </c>
      <c r="E637" s="19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19"/>
      <c r="U637" s="19"/>
      <c r="V637" s="20"/>
      <c r="W637" s="22"/>
      <c r="X637" s="21"/>
      <c r="Y637" s="21"/>
      <c r="Z637" s="23" t="str">
        <f>IF(B637="","",IF(S637&lt;&gt;"","Sevk Edildi",IF(AND(X637&lt;&gt;"",Y637=""),"Reworkte",IF(T637&lt;&gt;"","Kapandı"&amp;IF(COUNT(G637:R637)=0,""," – "&amp;LOOKUP(2,1/(G637:R637=MAX(G637:R637)),{"Tasarım","Ply Cutter","Üretim","Kalite (Üretim sonrası)","Talaşlı","Kalite (Talaşlı sonrası)","Montaj","Kalite (Montaj sonrası)","Boya","Kalite (Boya sonrası)","Yarı Mamül","KM"})),IF(COUNT(G637:R637)=0,"Başlamadı",LOOKUP(2,1/(G637:R637=MAX(G637:R637)),{"Tasarımda","Ply Cutter'da","Üretimde","Kalitede (Üretim sonrası)","Talaşlıda","Kalitede (Talaşlı sonrası)","Montajda","Kalitede (Montaj sonrası)","Boyada","Kalitede (Boya sonrası)","Yarı Mamülde","KM'de"}))))))</f>
        <v/>
      </c>
      <c r="AA637" s="24" t="str">
        <f t="shared" ca="1" si="155"/>
        <v/>
      </c>
      <c r="AB637" s="22"/>
      <c r="AD637" t="str">
        <f>IF(OR($B637="",NOT(ISNUMBER(G637))),"",IF(COUNTIF(H637:$T637,G637)&gt;0,0,IF(COUNTIF($G637:$T637,"&gt;"&amp;G637)=0,"",SMALL($G637:$T637,COUNTIF($G637:$T637,"&lt;="&amp;G637)+1)-G637)))</f>
        <v/>
      </c>
      <c r="AE637" t="str">
        <f>IF(OR($B637="",NOT(ISNUMBER(H637))),"",IF(COUNTIF(I637:$T637,H637)&gt;0,0,IF(COUNTIF($G637:$T637,"&gt;"&amp;H637)=0,"",SMALL($G637:$T637,COUNTIF($G637:$T637,"&lt;="&amp;H637)+1)-H637)))</f>
        <v/>
      </c>
      <c r="AF637" t="str">
        <f>IF(OR($B637="",NOT(ISNUMBER(I637))),"",IF(COUNTIF(J637:$T637,I637)&gt;0,0,IF(COUNTIF($G637:$T637,"&gt;"&amp;I637)=0,"",SMALL($G637:$T637,COUNTIF($G637:$T637,"&lt;="&amp;I637)+1)-I637)))</f>
        <v/>
      </c>
      <c r="AG637" t="str">
        <f>IF(OR($B637="",NOT(ISNUMBER(J637))),"",IF(COUNTIF(K637:$T637,J637)&gt;0,0,IF(COUNTIF($G637:$T637,"&gt;"&amp;J637)=0,"",SMALL($G637:$T637,COUNTIF($G637:$T637,"&lt;="&amp;J637)+1)-J637)))</f>
        <v/>
      </c>
      <c r="AH637" t="str">
        <f>IF(OR($B637="",NOT(ISNUMBER(K637))),"",IF(COUNTIF(L637:$T637,K637)&gt;0,0,IF(COUNTIF($G637:$T637,"&gt;"&amp;K637)=0,"",SMALL($G637:$T637,COUNTIF($G637:$T637,"&lt;="&amp;K637)+1)-K637)))</f>
        <v/>
      </c>
      <c r="AI637" t="str">
        <f>IF(OR($B637="",NOT(ISNUMBER(L637))),"",IF(COUNTIF(M637:$T637,L637)&gt;0,0,IF(COUNTIF($G637:$T637,"&gt;"&amp;L637)=0,"",SMALL($G637:$T637,COUNTIF($G637:$T637,"&lt;="&amp;L637)+1)-L637)))</f>
        <v/>
      </c>
      <c r="AJ637" t="str">
        <f>IF(OR($B637="",NOT(ISNUMBER(M637))),"",IF(COUNTIF(N637:$T637,M637)&gt;0,0,IF(COUNTIF($G637:$T637,"&gt;"&amp;M637)=0,"",SMALL($G637:$T637,COUNTIF($G637:$T637,"&lt;="&amp;M637)+1)-M637)))</f>
        <v/>
      </c>
      <c r="AK637" t="str">
        <f>IF(OR($B637="",NOT(ISNUMBER(N637))),"",IF(COUNTIF(O637:$T637,N637)&gt;0,0,IF(COUNTIF($G637:$T637,"&gt;"&amp;N637)=0,"",SMALL($G637:$T637,COUNTIF($G637:$T637,"&lt;="&amp;N637)+1)-N637)))</f>
        <v/>
      </c>
      <c r="AL637" t="str">
        <f>IF(OR($B637="",NOT(ISNUMBER(O637))),"",IF(COUNTIF(P637:$T637,O637)&gt;0,0,IF(COUNTIF($G637:$T637,"&gt;"&amp;O637)=0,"",SMALL($G637:$T637,COUNTIF($G637:$T637,"&lt;="&amp;O637)+1)-O637)))</f>
        <v/>
      </c>
      <c r="AM637" t="str">
        <f>IF(OR($B637="",NOT(ISNUMBER(P637))),"",IF(COUNTIF(Q637:$T637,P637)&gt;0,0,IF(COUNTIF($G637:$T637,"&gt;"&amp;P637)=0,"",SMALL($G637:$T637,COUNTIF($G637:$T637,"&lt;="&amp;P637)+1)-P637)))</f>
        <v/>
      </c>
      <c r="AN637" t="str">
        <f>IF(OR($B637="",NOT(ISNUMBER(Q637))),"",IF(COUNTIF(R637:$T637,Q637)&gt;0,0,IF(COUNTIF($G637:$T637,"&gt;"&amp;Q637)=0,"",SMALL($G637:$T637,COUNTIF($G637:$T637,"&lt;="&amp;Q637)+1)-Q637)))</f>
        <v/>
      </c>
      <c r="AO637" t="str">
        <f>IF(OR($B637="",NOT(ISNUMBER(R637))),"",IF(COUNTIF(S637:$T637,R637)&gt;0,0,IF(COUNTIF($G637:$T637,"&gt;"&amp;R637)=0,"",SMALL($G637:$T637,COUNTIF($G637:$T637,"&lt;="&amp;R637)+1)-R637)))</f>
        <v/>
      </c>
      <c r="AP637">
        <f t="shared" ca="1" si="156"/>
        <v>0</v>
      </c>
      <c r="AQ637" s="25" t="str">
        <f t="shared" si="157"/>
        <v/>
      </c>
      <c r="AR637" s="25" t="str">
        <f t="shared" si="158"/>
        <v/>
      </c>
      <c r="AS637" s="25" t="str">
        <f t="shared" si="159"/>
        <v/>
      </c>
      <c r="AT637" s="25" t="str">
        <f t="shared" si="160"/>
        <v/>
      </c>
      <c r="AU637" s="25" t="str">
        <f t="shared" si="161"/>
        <v/>
      </c>
      <c r="AV637" s="25" t="str">
        <f t="shared" si="162"/>
        <v/>
      </c>
      <c r="AW637" s="25" t="str">
        <f t="shared" si="163"/>
        <v/>
      </c>
      <c r="AX637" s="25" t="str">
        <f t="shared" si="164"/>
        <v/>
      </c>
      <c r="AY637" s="25" t="str">
        <f t="shared" si="165"/>
        <v/>
      </c>
      <c r="AZ637" s="25" t="str">
        <f t="shared" si="166"/>
        <v/>
      </c>
      <c r="BA637" s="25" t="str">
        <f t="shared" si="167"/>
        <v/>
      </c>
      <c r="BB637" s="25" t="str">
        <f t="shared" si="168"/>
        <v/>
      </c>
      <c r="BC637" s="25" t="str">
        <f t="shared" si="169"/>
        <v/>
      </c>
    </row>
    <row r="638" spans="1:55" x14ac:dyDescent="0.25">
      <c r="A638" s="19" t="str">
        <f t="shared" si="154"/>
        <v/>
      </c>
      <c r="B638" s="19"/>
      <c r="C638" s="20"/>
      <c r="D638" s="19" t="str">
        <f t="shared" si="153"/>
        <v/>
      </c>
      <c r="E638" s="19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19"/>
      <c r="U638" s="19"/>
      <c r="V638" s="20"/>
      <c r="W638" s="22"/>
      <c r="X638" s="21"/>
      <c r="Y638" s="21"/>
      <c r="Z638" s="23" t="str">
        <f>IF(B638="","",IF(S638&lt;&gt;"","Sevk Edildi",IF(AND(X638&lt;&gt;"",Y638=""),"Reworkte",IF(T638&lt;&gt;"","Kapandı"&amp;IF(COUNT(G638:R638)=0,""," – "&amp;LOOKUP(2,1/(G638:R638=MAX(G638:R638)),{"Tasarım","Ply Cutter","Üretim","Kalite (Üretim sonrası)","Talaşlı","Kalite (Talaşlı sonrası)","Montaj","Kalite (Montaj sonrası)","Boya","Kalite (Boya sonrası)","Yarı Mamül","KM"})),IF(COUNT(G638:R638)=0,"Başlamadı",LOOKUP(2,1/(G638:R638=MAX(G638:R638)),{"Tasarımda","Ply Cutter'da","Üretimde","Kalitede (Üretim sonrası)","Talaşlıda","Kalitede (Talaşlı sonrası)","Montajda","Kalitede (Montaj sonrası)","Boyada","Kalitede (Boya sonrası)","Yarı Mamülde","KM'de"}))))))</f>
        <v/>
      </c>
      <c r="AA638" s="24" t="str">
        <f t="shared" ca="1" si="155"/>
        <v/>
      </c>
      <c r="AB638" s="22"/>
      <c r="AD638" t="str">
        <f>IF(OR($B638="",NOT(ISNUMBER(G638))),"",IF(COUNTIF(H638:$T638,G638)&gt;0,0,IF(COUNTIF($G638:$T638,"&gt;"&amp;G638)=0,"",SMALL($G638:$T638,COUNTIF($G638:$T638,"&lt;="&amp;G638)+1)-G638)))</f>
        <v/>
      </c>
      <c r="AE638" t="str">
        <f>IF(OR($B638="",NOT(ISNUMBER(H638))),"",IF(COUNTIF(I638:$T638,H638)&gt;0,0,IF(COUNTIF($G638:$T638,"&gt;"&amp;H638)=0,"",SMALL($G638:$T638,COUNTIF($G638:$T638,"&lt;="&amp;H638)+1)-H638)))</f>
        <v/>
      </c>
      <c r="AF638" t="str">
        <f>IF(OR($B638="",NOT(ISNUMBER(I638))),"",IF(COUNTIF(J638:$T638,I638)&gt;0,0,IF(COUNTIF($G638:$T638,"&gt;"&amp;I638)=0,"",SMALL($G638:$T638,COUNTIF($G638:$T638,"&lt;="&amp;I638)+1)-I638)))</f>
        <v/>
      </c>
      <c r="AG638" t="str">
        <f>IF(OR($B638="",NOT(ISNUMBER(J638))),"",IF(COUNTIF(K638:$T638,J638)&gt;0,0,IF(COUNTIF($G638:$T638,"&gt;"&amp;J638)=0,"",SMALL($G638:$T638,COUNTIF($G638:$T638,"&lt;="&amp;J638)+1)-J638)))</f>
        <v/>
      </c>
      <c r="AH638" t="str">
        <f>IF(OR($B638="",NOT(ISNUMBER(K638))),"",IF(COUNTIF(L638:$T638,K638)&gt;0,0,IF(COUNTIF($G638:$T638,"&gt;"&amp;K638)=0,"",SMALL($G638:$T638,COUNTIF($G638:$T638,"&lt;="&amp;K638)+1)-K638)))</f>
        <v/>
      </c>
      <c r="AI638" t="str">
        <f>IF(OR($B638="",NOT(ISNUMBER(L638))),"",IF(COUNTIF(M638:$T638,L638)&gt;0,0,IF(COUNTIF($G638:$T638,"&gt;"&amp;L638)=0,"",SMALL($G638:$T638,COUNTIF($G638:$T638,"&lt;="&amp;L638)+1)-L638)))</f>
        <v/>
      </c>
      <c r="AJ638" t="str">
        <f>IF(OR($B638="",NOT(ISNUMBER(M638))),"",IF(COUNTIF(N638:$T638,M638)&gt;0,0,IF(COUNTIF($G638:$T638,"&gt;"&amp;M638)=0,"",SMALL($G638:$T638,COUNTIF($G638:$T638,"&lt;="&amp;M638)+1)-M638)))</f>
        <v/>
      </c>
      <c r="AK638" t="str">
        <f>IF(OR($B638="",NOT(ISNUMBER(N638))),"",IF(COUNTIF(O638:$T638,N638)&gt;0,0,IF(COUNTIF($G638:$T638,"&gt;"&amp;N638)=0,"",SMALL($G638:$T638,COUNTIF($G638:$T638,"&lt;="&amp;N638)+1)-N638)))</f>
        <v/>
      </c>
      <c r="AL638" t="str">
        <f>IF(OR($B638="",NOT(ISNUMBER(O638))),"",IF(COUNTIF(P638:$T638,O638)&gt;0,0,IF(COUNTIF($G638:$T638,"&gt;"&amp;O638)=0,"",SMALL($G638:$T638,COUNTIF($G638:$T638,"&lt;="&amp;O638)+1)-O638)))</f>
        <v/>
      </c>
      <c r="AM638" t="str">
        <f>IF(OR($B638="",NOT(ISNUMBER(P638))),"",IF(COUNTIF(Q638:$T638,P638)&gt;0,0,IF(COUNTIF($G638:$T638,"&gt;"&amp;P638)=0,"",SMALL($G638:$T638,COUNTIF($G638:$T638,"&lt;="&amp;P638)+1)-P638)))</f>
        <v/>
      </c>
      <c r="AN638" t="str">
        <f>IF(OR($B638="",NOT(ISNUMBER(Q638))),"",IF(COUNTIF(R638:$T638,Q638)&gt;0,0,IF(COUNTIF($G638:$T638,"&gt;"&amp;Q638)=0,"",SMALL($G638:$T638,COUNTIF($G638:$T638,"&lt;="&amp;Q638)+1)-Q638)))</f>
        <v/>
      </c>
      <c r="AO638" t="str">
        <f>IF(OR($B638="",NOT(ISNUMBER(R638))),"",IF(COUNTIF(S638:$T638,R638)&gt;0,0,IF(COUNTIF($G638:$T638,"&gt;"&amp;R638)=0,"",SMALL($G638:$T638,COUNTIF($G638:$T638,"&lt;="&amp;R638)+1)-R638)))</f>
        <v/>
      </c>
      <c r="AP638">
        <f t="shared" ca="1" si="156"/>
        <v>0</v>
      </c>
      <c r="AQ638" s="25" t="str">
        <f t="shared" si="157"/>
        <v/>
      </c>
      <c r="AR638" s="25" t="str">
        <f t="shared" si="158"/>
        <v/>
      </c>
      <c r="AS638" s="25" t="str">
        <f t="shared" si="159"/>
        <v/>
      </c>
      <c r="AT638" s="25" t="str">
        <f t="shared" si="160"/>
        <v/>
      </c>
      <c r="AU638" s="25" t="str">
        <f t="shared" si="161"/>
        <v/>
      </c>
      <c r="AV638" s="25" t="str">
        <f t="shared" si="162"/>
        <v/>
      </c>
      <c r="AW638" s="25" t="str">
        <f t="shared" si="163"/>
        <v/>
      </c>
      <c r="AX638" s="25" t="str">
        <f t="shared" si="164"/>
        <v/>
      </c>
      <c r="AY638" s="25" t="str">
        <f t="shared" si="165"/>
        <v/>
      </c>
      <c r="AZ638" s="25" t="str">
        <f t="shared" si="166"/>
        <v/>
      </c>
      <c r="BA638" s="25" t="str">
        <f t="shared" si="167"/>
        <v/>
      </c>
      <c r="BB638" s="25" t="str">
        <f t="shared" si="168"/>
        <v/>
      </c>
      <c r="BC638" s="25" t="str">
        <f t="shared" si="169"/>
        <v/>
      </c>
    </row>
    <row r="639" spans="1:55" x14ac:dyDescent="0.25">
      <c r="A639" s="19" t="str">
        <f t="shared" si="154"/>
        <v/>
      </c>
      <c r="B639" s="19"/>
      <c r="C639" s="20"/>
      <c r="D639" s="19" t="str">
        <f t="shared" ref="D639:D702" si="170">IFERROR(VALUE(TRIM(MID(C639,FIND(" - ",C639)+3,FIND(" - ",C639,FIND(" - ",C639)+3)-FIND(" - ",C639)-3))),"")</f>
        <v/>
      </c>
      <c r="E639" s="19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19"/>
      <c r="U639" s="19"/>
      <c r="V639" s="20"/>
      <c r="W639" s="22"/>
      <c r="X639" s="21"/>
      <c r="Y639" s="21"/>
      <c r="Z639" s="23" t="str">
        <f>IF(B639="","",IF(S639&lt;&gt;"","Sevk Edildi",IF(AND(X639&lt;&gt;"",Y639=""),"Reworkte",IF(T639&lt;&gt;"","Kapandı"&amp;IF(COUNT(G639:R639)=0,""," – "&amp;LOOKUP(2,1/(G639:R639=MAX(G639:R639)),{"Tasarım","Ply Cutter","Üretim","Kalite (Üretim sonrası)","Talaşlı","Kalite (Talaşlı sonrası)","Montaj","Kalite (Montaj sonrası)","Boya","Kalite (Boya sonrası)","Yarı Mamül","KM"})),IF(COUNT(G639:R639)=0,"Başlamadı",LOOKUP(2,1/(G639:R639=MAX(G639:R639)),{"Tasarımda","Ply Cutter'da","Üretimde","Kalitede (Üretim sonrası)","Talaşlıda","Kalitede (Talaşlı sonrası)","Montajda","Kalitede (Montaj sonrası)","Boyada","Kalitede (Boya sonrası)","Yarı Mamülde","KM'de"}))))))</f>
        <v/>
      </c>
      <c r="AA639" s="24" t="str">
        <f t="shared" ca="1" si="155"/>
        <v/>
      </c>
      <c r="AB639" s="22"/>
      <c r="AD639" t="str">
        <f>IF(OR($B639="",NOT(ISNUMBER(G639))),"",IF(COUNTIF(H639:$T639,G639)&gt;0,0,IF(COUNTIF($G639:$T639,"&gt;"&amp;G639)=0,"",SMALL($G639:$T639,COUNTIF($G639:$T639,"&lt;="&amp;G639)+1)-G639)))</f>
        <v/>
      </c>
      <c r="AE639" t="str">
        <f>IF(OR($B639="",NOT(ISNUMBER(H639))),"",IF(COUNTIF(I639:$T639,H639)&gt;0,0,IF(COUNTIF($G639:$T639,"&gt;"&amp;H639)=0,"",SMALL($G639:$T639,COUNTIF($G639:$T639,"&lt;="&amp;H639)+1)-H639)))</f>
        <v/>
      </c>
      <c r="AF639" t="str">
        <f>IF(OR($B639="",NOT(ISNUMBER(I639))),"",IF(COUNTIF(J639:$T639,I639)&gt;0,0,IF(COUNTIF($G639:$T639,"&gt;"&amp;I639)=0,"",SMALL($G639:$T639,COUNTIF($G639:$T639,"&lt;="&amp;I639)+1)-I639)))</f>
        <v/>
      </c>
      <c r="AG639" t="str">
        <f>IF(OR($B639="",NOT(ISNUMBER(J639))),"",IF(COUNTIF(K639:$T639,J639)&gt;0,0,IF(COUNTIF($G639:$T639,"&gt;"&amp;J639)=0,"",SMALL($G639:$T639,COUNTIF($G639:$T639,"&lt;="&amp;J639)+1)-J639)))</f>
        <v/>
      </c>
      <c r="AH639" t="str">
        <f>IF(OR($B639="",NOT(ISNUMBER(K639))),"",IF(COUNTIF(L639:$T639,K639)&gt;0,0,IF(COUNTIF($G639:$T639,"&gt;"&amp;K639)=0,"",SMALL($G639:$T639,COUNTIF($G639:$T639,"&lt;="&amp;K639)+1)-K639)))</f>
        <v/>
      </c>
      <c r="AI639" t="str">
        <f>IF(OR($B639="",NOT(ISNUMBER(L639))),"",IF(COUNTIF(M639:$T639,L639)&gt;0,0,IF(COUNTIF($G639:$T639,"&gt;"&amp;L639)=0,"",SMALL($G639:$T639,COUNTIF($G639:$T639,"&lt;="&amp;L639)+1)-L639)))</f>
        <v/>
      </c>
      <c r="AJ639" t="str">
        <f>IF(OR($B639="",NOT(ISNUMBER(M639))),"",IF(COUNTIF(N639:$T639,M639)&gt;0,0,IF(COUNTIF($G639:$T639,"&gt;"&amp;M639)=0,"",SMALL($G639:$T639,COUNTIF($G639:$T639,"&lt;="&amp;M639)+1)-M639)))</f>
        <v/>
      </c>
      <c r="AK639" t="str">
        <f>IF(OR($B639="",NOT(ISNUMBER(N639))),"",IF(COUNTIF(O639:$T639,N639)&gt;0,0,IF(COUNTIF($G639:$T639,"&gt;"&amp;N639)=0,"",SMALL($G639:$T639,COUNTIF($G639:$T639,"&lt;="&amp;N639)+1)-N639)))</f>
        <v/>
      </c>
      <c r="AL639" t="str">
        <f>IF(OR($B639="",NOT(ISNUMBER(O639))),"",IF(COUNTIF(P639:$T639,O639)&gt;0,0,IF(COUNTIF($G639:$T639,"&gt;"&amp;O639)=0,"",SMALL($G639:$T639,COUNTIF($G639:$T639,"&lt;="&amp;O639)+1)-O639)))</f>
        <v/>
      </c>
      <c r="AM639" t="str">
        <f>IF(OR($B639="",NOT(ISNUMBER(P639))),"",IF(COUNTIF(Q639:$T639,P639)&gt;0,0,IF(COUNTIF($G639:$T639,"&gt;"&amp;P639)=0,"",SMALL($G639:$T639,COUNTIF($G639:$T639,"&lt;="&amp;P639)+1)-P639)))</f>
        <v/>
      </c>
      <c r="AN639" t="str">
        <f>IF(OR($B639="",NOT(ISNUMBER(Q639))),"",IF(COUNTIF(R639:$T639,Q639)&gt;0,0,IF(COUNTIF($G639:$T639,"&gt;"&amp;Q639)=0,"",SMALL($G639:$T639,COUNTIF($G639:$T639,"&lt;="&amp;Q639)+1)-Q639)))</f>
        <v/>
      </c>
      <c r="AO639" t="str">
        <f>IF(OR($B639="",NOT(ISNUMBER(R639))),"",IF(COUNTIF(S639:$T639,R639)&gt;0,0,IF(COUNTIF($G639:$T639,"&gt;"&amp;R639)=0,"",SMALL($G639:$T639,COUNTIF($G639:$T639,"&lt;="&amp;R639)+1)-R639)))</f>
        <v/>
      </c>
      <c r="AP639">
        <f t="shared" ca="1" si="156"/>
        <v>0</v>
      </c>
      <c r="AQ639" s="25" t="str">
        <f t="shared" si="157"/>
        <v/>
      </c>
      <c r="AR639" s="25" t="str">
        <f t="shared" si="158"/>
        <v/>
      </c>
      <c r="AS639" s="25" t="str">
        <f t="shared" si="159"/>
        <v/>
      </c>
      <c r="AT639" s="25" t="str">
        <f t="shared" si="160"/>
        <v/>
      </c>
      <c r="AU639" s="25" t="str">
        <f t="shared" si="161"/>
        <v/>
      </c>
      <c r="AV639" s="25" t="str">
        <f t="shared" si="162"/>
        <v/>
      </c>
      <c r="AW639" s="25" t="str">
        <f t="shared" si="163"/>
        <v/>
      </c>
      <c r="AX639" s="25" t="str">
        <f t="shared" si="164"/>
        <v/>
      </c>
      <c r="AY639" s="25" t="str">
        <f t="shared" si="165"/>
        <v/>
      </c>
      <c r="AZ639" s="25" t="str">
        <f t="shared" si="166"/>
        <v/>
      </c>
      <c r="BA639" s="25" t="str">
        <f t="shared" si="167"/>
        <v/>
      </c>
      <c r="BB639" s="25" t="str">
        <f t="shared" si="168"/>
        <v/>
      </c>
      <c r="BC639" s="25" t="str">
        <f t="shared" si="169"/>
        <v/>
      </c>
    </row>
    <row r="640" spans="1:55" x14ac:dyDescent="0.25">
      <c r="A640" s="19" t="str">
        <f t="shared" si="154"/>
        <v/>
      </c>
      <c r="B640" s="19"/>
      <c r="C640" s="20"/>
      <c r="D640" s="19" t="str">
        <f t="shared" si="170"/>
        <v/>
      </c>
      <c r="E640" s="19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19"/>
      <c r="U640" s="19"/>
      <c r="V640" s="20"/>
      <c r="W640" s="22"/>
      <c r="X640" s="21"/>
      <c r="Y640" s="21"/>
      <c r="Z640" s="23" t="str">
        <f>IF(B640="","",IF(S640&lt;&gt;"","Sevk Edildi",IF(AND(X640&lt;&gt;"",Y640=""),"Reworkte",IF(T640&lt;&gt;"","Kapandı"&amp;IF(COUNT(G640:R640)=0,""," – "&amp;LOOKUP(2,1/(G640:R640=MAX(G640:R640)),{"Tasarım","Ply Cutter","Üretim","Kalite (Üretim sonrası)","Talaşlı","Kalite (Talaşlı sonrası)","Montaj","Kalite (Montaj sonrası)","Boya","Kalite (Boya sonrası)","Yarı Mamül","KM"})),IF(COUNT(G640:R640)=0,"Başlamadı",LOOKUP(2,1/(G640:R640=MAX(G640:R640)),{"Tasarımda","Ply Cutter'da","Üretimde","Kalitede (Üretim sonrası)","Talaşlıda","Kalitede (Talaşlı sonrası)","Montajda","Kalitede (Montaj sonrası)","Boyada","Kalitede (Boya sonrası)","Yarı Mamülde","KM'de"}))))))</f>
        <v/>
      </c>
      <c r="AA640" s="24" t="str">
        <f t="shared" ca="1" si="155"/>
        <v/>
      </c>
      <c r="AB640" s="22"/>
      <c r="AD640" t="str">
        <f>IF(OR($B640="",NOT(ISNUMBER(G640))),"",IF(COUNTIF(H640:$T640,G640)&gt;0,0,IF(COUNTIF($G640:$T640,"&gt;"&amp;G640)=0,"",SMALL($G640:$T640,COUNTIF($G640:$T640,"&lt;="&amp;G640)+1)-G640)))</f>
        <v/>
      </c>
      <c r="AE640" t="str">
        <f>IF(OR($B640="",NOT(ISNUMBER(H640))),"",IF(COUNTIF(I640:$T640,H640)&gt;0,0,IF(COUNTIF($G640:$T640,"&gt;"&amp;H640)=0,"",SMALL($G640:$T640,COUNTIF($G640:$T640,"&lt;="&amp;H640)+1)-H640)))</f>
        <v/>
      </c>
      <c r="AF640" t="str">
        <f>IF(OR($B640="",NOT(ISNUMBER(I640))),"",IF(COUNTIF(J640:$T640,I640)&gt;0,0,IF(COUNTIF($G640:$T640,"&gt;"&amp;I640)=0,"",SMALL($G640:$T640,COUNTIF($G640:$T640,"&lt;="&amp;I640)+1)-I640)))</f>
        <v/>
      </c>
      <c r="AG640" t="str">
        <f>IF(OR($B640="",NOT(ISNUMBER(J640))),"",IF(COUNTIF(K640:$T640,J640)&gt;0,0,IF(COUNTIF($G640:$T640,"&gt;"&amp;J640)=0,"",SMALL($G640:$T640,COUNTIF($G640:$T640,"&lt;="&amp;J640)+1)-J640)))</f>
        <v/>
      </c>
      <c r="AH640" t="str">
        <f>IF(OR($B640="",NOT(ISNUMBER(K640))),"",IF(COUNTIF(L640:$T640,K640)&gt;0,0,IF(COUNTIF($G640:$T640,"&gt;"&amp;K640)=0,"",SMALL($G640:$T640,COUNTIF($G640:$T640,"&lt;="&amp;K640)+1)-K640)))</f>
        <v/>
      </c>
      <c r="AI640" t="str">
        <f>IF(OR($B640="",NOT(ISNUMBER(L640))),"",IF(COUNTIF(M640:$T640,L640)&gt;0,0,IF(COUNTIF($G640:$T640,"&gt;"&amp;L640)=0,"",SMALL($G640:$T640,COUNTIF($G640:$T640,"&lt;="&amp;L640)+1)-L640)))</f>
        <v/>
      </c>
      <c r="AJ640" t="str">
        <f>IF(OR($B640="",NOT(ISNUMBER(M640))),"",IF(COUNTIF(N640:$T640,M640)&gt;0,0,IF(COUNTIF($G640:$T640,"&gt;"&amp;M640)=0,"",SMALL($G640:$T640,COUNTIF($G640:$T640,"&lt;="&amp;M640)+1)-M640)))</f>
        <v/>
      </c>
      <c r="AK640" t="str">
        <f>IF(OR($B640="",NOT(ISNUMBER(N640))),"",IF(COUNTIF(O640:$T640,N640)&gt;0,0,IF(COUNTIF($G640:$T640,"&gt;"&amp;N640)=0,"",SMALL($G640:$T640,COUNTIF($G640:$T640,"&lt;="&amp;N640)+1)-N640)))</f>
        <v/>
      </c>
      <c r="AL640" t="str">
        <f>IF(OR($B640="",NOT(ISNUMBER(O640))),"",IF(COUNTIF(P640:$T640,O640)&gt;0,0,IF(COUNTIF($G640:$T640,"&gt;"&amp;O640)=0,"",SMALL($G640:$T640,COUNTIF($G640:$T640,"&lt;="&amp;O640)+1)-O640)))</f>
        <v/>
      </c>
      <c r="AM640" t="str">
        <f>IF(OR($B640="",NOT(ISNUMBER(P640))),"",IF(COUNTIF(Q640:$T640,P640)&gt;0,0,IF(COUNTIF($G640:$T640,"&gt;"&amp;P640)=0,"",SMALL($G640:$T640,COUNTIF($G640:$T640,"&lt;="&amp;P640)+1)-P640)))</f>
        <v/>
      </c>
      <c r="AN640" t="str">
        <f>IF(OR($B640="",NOT(ISNUMBER(Q640))),"",IF(COUNTIF(R640:$T640,Q640)&gt;0,0,IF(COUNTIF($G640:$T640,"&gt;"&amp;Q640)=0,"",SMALL($G640:$T640,COUNTIF($G640:$T640,"&lt;="&amp;Q640)+1)-Q640)))</f>
        <v/>
      </c>
      <c r="AO640" t="str">
        <f>IF(OR($B640="",NOT(ISNUMBER(R640))),"",IF(COUNTIF(S640:$T640,R640)&gt;0,0,IF(COUNTIF($G640:$T640,"&gt;"&amp;R640)=0,"",SMALL($G640:$T640,COUNTIF($G640:$T640,"&lt;="&amp;R640)+1)-R640)))</f>
        <v/>
      </c>
      <c r="AP640">
        <f t="shared" ca="1" si="156"/>
        <v>0</v>
      </c>
      <c r="AQ640" s="25" t="str">
        <f t="shared" si="157"/>
        <v/>
      </c>
      <c r="AR640" s="25" t="str">
        <f t="shared" si="158"/>
        <v/>
      </c>
      <c r="AS640" s="25" t="str">
        <f t="shared" si="159"/>
        <v/>
      </c>
      <c r="AT640" s="25" t="str">
        <f t="shared" si="160"/>
        <v/>
      </c>
      <c r="AU640" s="25" t="str">
        <f t="shared" si="161"/>
        <v/>
      </c>
      <c r="AV640" s="25" t="str">
        <f t="shared" si="162"/>
        <v/>
      </c>
      <c r="AW640" s="25" t="str">
        <f t="shared" si="163"/>
        <v/>
      </c>
      <c r="AX640" s="25" t="str">
        <f t="shared" si="164"/>
        <v/>
      </c>
      <c r="AY640" s="25" t="str">
        <f t="shared" si="165"/>
        <v/>
      </c>
      <c r="AZ640" s="25" t="str">
        <f t="shared" si="166"/>
        <v/>
      </c>
      <c r="BA640" s="25" t="str">
        <f t="shared" si="167"/>
        <v/>
      </c>
      <c r="BB640" s="25" t="str">
        <f t="shared" si="168"/>
        <v/>
      </c>
      <c r="BC640" s="25" t="str">
        <f t="shared" si="169"/>
        <v/>
      </c>
    </row>
    <row r="641" spans="1:55" x14ac:dyDescent="0.25">
      <c r="A641" s="19" t="str">
        <f t="shared" si="154"/>
        <v/>
      </c>
      <c r="B641" s="19"/>
      <c r="C641" s="20"/>
      <c r="D641" s="19" t="str">
        <f t="shared" si="170"/>
        <v/>
      </c>
      <c r="E641" s="19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19"/>
      <c r="U641" s="19"/>
      <c r="V641" s="20"/>
      <c r="W641" s="22"/>
      <c r="X641" s="21"/>
      <c r="Y641" s="21"/>
      <c r="Z641" s="23" t="str">
        <f>IF(B641="","",IF(S641&lt;&gt;"","Sevk Edildi",IF(AND(X641&lt;&gt;"",Y641=""),"Reworkte",IF(T641&lt;&gt;"","Kapandı"&amp;IF(COUNT(G641:R641)=0,""," – "&amp;LOOKUP(2,1/(G641:R641=MAX(G641:R641)),{"Tasarım","Ply Cutter","Üretim","Kalite (Üretim sonrası)","Talaşlı","Kalite (Talaşlı sonrası)","Montaj","Kalite (Montaj sonrası)","Boya","Kalite (Boya sonrası)","Yarı Mamül","KM"})),IF(COUNT(G641:R641)=0,"Başlamadı",LOOKUP(2,1/(G641:R641=MAX(G641:R641)),{"Tasarımda","Ply Cutter'da","Üretimde","Kalitede (Üretim sonrası)","Talaşlıda","Kalitede (Talaşlı sonrası)","Montajda","Kalitede (Montaj sonrası)","Boyada","Kalitede (Boya sonrası)","Yarı Mamülde","KM'de"}))))))</f>
        <v/>
      </c>
      <c r="AA641" s="24" t="str">
        <f t="shared" ca="1" si="155"/>
        <v/>
      </c>
      <c r="AB641" s="22"/>
      <c r="AD641" t="str">
        <f>IF(OR($B641="",NOT(ISNUMBER(G641))),"",IF(COUNTIF(H641:$T641,G641)&gt;0,0,IF(COUNTIF($G641:$T641,"&gt;"&amp;G641)=0,"",SMALL($G641:$T641,COUNTIF($G641:$T641,"&lt;="&amp;G641)+1)-G641)))</f>
        <v/>
      </c>
      <c r="AE641" t="str">
        <f>IF(OR($B641="",NOT(ISNUMBER(H641))),"",IF(COUNTIF(I641:$T641,H641)&gt;0,0,IF(COUNTIF($G641:$T641,"&gt;"&amp;H641)=0,"",SMALL($G641:$T641,COUNTIF($G641:$T641,"&lt;="&amp;H641)+1)-H641)))</f>
        <v/>
      </c>
      <c r="AF641" t="str">
        <f>IF(OR($B641="",NOT(ISNUMBER(I641))),"",IF(COUNTIF(J641:$T641,I641)&gt;0,0,IF(COUNTIF($G641:$T641,"&gt;"&amp;I641)=0,"",SMALL($G641:$T641,COUNTIF($G641:$T641,"&lt;="&amp;I641)+1)-I641)))</f>
        <v/>
      </c>
      <c r="AG641" t="str">
        <f>IF(OR($B641="",NOT(ISNUMBER(J641))),"",IF(COUNTIF(K641:$T641,J641)&gt;0,0,IF(COUNTIF($G641:$T641,"&gt;"&amp;J641)=0,"",SMALL($G641:$T641,COUNTIF($G641:$T641,"&lt;="&amp;J641)+1)-J641)))</f>
        <v/>
      </c>
      <c r="AH641" t="str">
        <f>IF(OR($B641="",NOT(ISNUMBER(K641))),"",IF(COUNTIF(L641:$T641,K641)&gt;0,0,IF(COUNTIF($G641:$T641,"&gt;"&amp;K641)=0,"",SMALL($G641:$T641,COUNTIF($G641:$T641,"&lt;="&amp;K641)+1)-K641)))</f>
        <v/>
      </c>
      <c r="AI641" t="str">
        <f>IF(OR($B641="",NOT(ISNUMBER(L641))),"",IF(COUNTIF(M641:$T641,L641)&gt;0,0,IF(COUNTIF($G641:$T641,"&gt;"&amp;L641)=0,"",SMALL($G641:$T641,COUNTIF($G641:$T641,"&lt;="&amp;L641)+1)-L641)))</f>
        <v/>
      </c>
      <c r="AJ641" t="str">
        <f>IF(OR($B641="",NOT(ISNUMBER(M641))),"",IF(COUNTIF(N641:$T641,M641)&gt;0,0,IF(COUNTIF($G641:$T641,"&gt;"&amp;M641)=0,"",SMALL($G641:$T641,COUNTIF($G641:$T641,"&lt;="&amp;M641)+1)-M641)))</f>
        <v/>
      </c>
      <c r="AK641" t="str">
        <f>IF(OR($B641="",NOT(ISNUMBER(N641))),"",IF(COUNTIF(O641:$T641,N641)&gt;0,0,IF(COUNTIF($G641:$T641,"&gt;"&amp;N641)=0,"",SMALL($G641:$T641,COUNTIF($G641:$T641,"&lt;="&amp;N641)+1)-N641)))</f>
        <v/>
      </c>
      <c r="AL641" t="str">
        <f>IF(OR($B641="",NOT(ISNUMBER(O641))),"",IF(COUNTIF(P641:$T641,O641)&gt;0,0,IF(COUNTIF($G641:$T641,"&gt;"&amp;O641)=0,"",SMALL($G641:$T641,COUNTIF($G641:$T641,"&lt;="&amp;O641)+1)-O641)))</f>
        <v/>
      </c>
      <c r="AM641" t="str">
        <f>IF(OR($B641="",NOT(ISNUMBER(P641))),"",IF(COUNTIF(Q641:$T641,P641)&gt;0,0,IF(COUNTIF($G641:$T641,"&gt;"&amp;P641)=0,"",SMALL($G641:$T641,COUNTIF($G641:$T641,"&lt;="&amp;P641)+1)-P641)))</f>
        <v/>
      </c>
      <c r="AN641" t="str">
        <f>IF(OR($B641="",NOT(ISNUMBER(Q641))),"",IF(COUNTIF(R641:$T641,Q641)&gt;0,0,IF(COUNTIF($G641:$T641,"&gt;"&amp;Q641)=0,"",SMALL($G641:$T641,COUNTIF($G641:$T641,"&lt;="&amp;Q641)+1)-Q641)))</f>
        <v/>
      </c>
      <c r="AO641" t="str">
        <f>IF(OR($B641="",NOT(ISNUMBER(R641))),"",IF(COUNTIF(S641:$T641,R641)&gt;0,0,IF(COUNTIF($G641:$T641,"&gt;"&amp;R641)=0,"",SMALL($G641:$T641,COUNTIF($G641:$T641,"&lt;="&amp;R641)+1)-R641)))</f>
        <v/>
      </c>
      <c r="AP641">
        <f t="shared" ca="1" si="156"/>
        <v>0</v>
      </c>
      <c r="AQ641" s="25" t="str">
        <f t="shared" si="157"/>
        <v/>
      </c>
      <c r="AR641" s="25" t="str">
        <f t="shared" si="158"/>
        <v/>
      </c>
      <c r="AS641" s="25" t="str">
        <f t="shared" si="159"/>
        <v/>
      </c>
      <c r="AT641" s="25" t="str">
        <f t="shared" si="160"/>
        <v/>
      </c>
      <c r="AU641" s="25" t="str">
        <f t="shared" si="161"/>
        <v/>
      </c>
      <c r="AV641" s="25" t="str">
        <f t="shared" si="162"/>
        <v/>
      </c>
      <c r="AW641" s="25" t="str">
        <f t="shared" si="163"/>
        <v/>
      </c>
      <c r="AX641" s="25" t="str">
        <f t="shared" si="164"/>
        <v/>
      </c>
      <c r="AY641" s="25" t="str">
        <f t="shared" si="165"/>
        <v/>
      </c>
      <c r="AZ641" s="25" t="str">
        <f t="shared" si="166"/>
        <v/>
      </c>
      <c r="BA641" s="25" t="str">
        <f t="shared" si="167"/>
        <v/>
      </c>
      <c r="BB641" s="25" t="str">
        <f t="shared" si="168"/>
        <v/>
      </c>
      <c r="BC641" s="25" t="str">
        <f t="shared" si="169"/>
        <v/>
      </c>
    </row>
    <row r="642" spans="1:55" x14ac:dyDescent="0.25">
      <c r="A642" s="19" t="str">
        <f t="shared" si="154"/>
        <v/>
      </c>
      <c r="B642" s="19"/>
      <c r="C642" s="20"/>
      <c r="D642" s="19" t="str">
        <f t="shared" si="170"/>
        <v/>
      </c>
      <c r="E642" s="19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19"/>
      <c r="U642" s="19"/>
      <c r="V642" s="20"/>
      <c r="W642" s="22"/>
      <c r="X642" s="21"/>
      <c r="Y642" s="21"/>
      <c r="Z642" s="23" t="str">
        <f>IF(B642="","",IF(S642&lt;&gt;"","Sevk Edildi",IF(AND(X642&lt;&gt;"",Y642=""),"Reworkte",IF(T642&lt;&gt;"","Kapandı"&amp;IF(COUNT(G642:R642)=0,""," – "&amp;LOOKUP(2,1/(G642:R642=MAX(G642:R642)),{"Tasarım","Ply Cutter","Üretim","Kalite (Üretim sonrası)","Talaşlı","Kalite (Talaşlı sonrası)","Montaj","Kalite (Montaj sonrası)","Boya","Kalite (Boya sonrası)","Yarı Mamül","KM"})),IF(COUNT(G642:R642)=0,"Başlamadı",LOOKUP(2,1/(G642:R642=MAX(G642:R642)),{"Tasarımda","Ply Cutter'da","Üretimde","Kalitede (Üretim sonrası)","Talaşlıda","Kalitede (Talaşlı sonrası)","Montajda","Kalitede (Montaj sonrası)","Boyada","Kalitede (Boya sonrası)","Yarı Mamülde","KM'de"}))))))</f>
        <v/>
      </c>
      <c r="AA642" s="24" t="str">
        <f t="shared" ca="1" si="155"/>
        <v/>
      </c>
      <c r="AB642" s="22"/>
      <c r="AD642" t="str">
        <f>IF(OR($B642="",NOT(ISNUMBER(G642))),"",IF(COUNTIF(H642:$T642,G642)&gt;0,0,IF(COUNTIF($G642:$T642,"&gt;"&amp;G642)=0,"",SMALL($G642:$T642,COUNTIF($G642:$T642,"&lt;="&amp;G642)+1)-G642)))</f>
        <v/>
      </c>
      <c r="AE642" t="str">
        <f>IF(OR($B642="",NOT(ISNUMBER(H642))),"",IF(COUNTIF(I642:$T642,H642)&gt;0,0,IF(COUNTIF($G642:$T642,"&gt;"&amp;H642)=0,"",SMALL($G642:$T642,COUNTIF($G642:$T642,"&lt;="&amp;H642)+1)-H642)))</f>
        <v/>
      </c>
      <c r="AF642" t="str">
        <f>IF(OR($B642="",NOT(ISNUMBER(I642))),"",IF(COUNTIF(J642:$T642,I642)&gt;0,0,IF(COUNTIF($G642:$T642,"&gt;"&amp;I642)=0,"",SMALL($G642:$T642,COUNTIF($G642:$T642,"&lt;="&amp;I642)+1)-I642)))</f>
        <v/>
      </c>
      <c r="AG642" t="str">
        <f>IF(OR($B642="",NOT(ISNUMBER(J642))),"",IF(COUNTIF(K642:$T642,J642)&gt;0,0,IF(COUNTIF($G642:$T642,"&gt;"&amp;J642)=0,"",SMALL($G642:$T642,COUNTIF($G642:$T642,"&lt;="&amp;J642)+1)-J642)))</f>
        <v/>
      </c>
      <c r="AH642" t="str">
        <f>IF(OR($B642="",NOT(ISNUMBER(K642))),"",IF(COUNTIF(L642:$T642,K642)&gt;0,0,IF(COUNTIF($G642:$T642,"&gt;"&amp;K642)=0,"",SMALL($G642:$T642,COUNTIF($G642:$T642,"&lt;="&amp;K642)+1)-K642)))</f>
        <v/>
      </c>
      <c r="AI642" t="str">
        <f>IF(OR($B642="",NOT(ISNUMBER(L642))),"",IF(COUNTIF(M642:$T642,L642)&gt;0,0,IF(COUNTIF($G642:$T642,"&gt;"&amp;L642)=0,"",SMALL($G642:$T642,COUNTIF($G642:$T642,"&lt;="&amp;L642)+1)-L642)))</f>
        <v/>
      </c>
      <c r="AJ642" t="str">
        <f>IF(OR($B642="",NOT(ISNUMBER(M642))),"",IF(COUNTIF(N642:$T642,M642)&gt;0,0,IF(COUNTIF($G642:$T642,"&gt;"&amp;M642)=0,"",SMALL($G642:$T642,COUNTIF($G642:$T642,"&lt;="&amp;M642)+1)-M642)))</f>
        <v/>
      </c>
      <c r="AK642" t="str">
        <f>IF(OR($B642="",NOT(ISNUMBER(N642))),"",IF(COUNTIF(O642:$T642,N642)&gt;0,0,IF(COUNTIF($G642:$T642,"&gt;"&amp;N642)=0,"",SMALL($G642:$T642,COUNTIF($G642:$T642,"&lt;="&amp;N642)+1)-N642)))</f>
        <v/>
      </c>
      <c r="AL642" t="str">
        <f>IF(OR($B642="",NOT(ISNUMBER(O642))),"",IF(COUNTIF(P642:$T642,O642)&gt;0,0,IF(COUNTIF($G642:$T642,"&gt;"&amp;O642)=0,"",SMALL($G642:$T642,COUNTIF($G642:$T642,"&lt;="&amp;O642)+1)-O642)))</f>
        <v/>
      </c>
      <c r="AM642" t="str">
        <f>IF(OR($B642="",NOT(ISNUMBER(P642))),"",IF(COUNTIF(Q642:$T642,P642)&gt;0,0,IF(COUNTIF($G642:$T642,"&gt;"&amp;P642)=0,"",SMALL($G642:$T642,COUNTIF($G642:$T642,"&lt;="&amp;P642)+1)-P642)))</f>
        <v/>
      </c>
      <c r="AN642" t="str">
        <f>IF(OR($B642="",NOT(ISNUMBER(Q642))),"",IF(COUNTIF(R642:$T642,Q642)&gt;0,0,IF(COUNTIF($G642:$T642,"&gt;"&amp;Q642)=0,"",SMALL($G642:$T642,COUNTIF($G642:$T642,"&lt;="&amp;Q642)+1)-Q642)))</f>
        <v/>
      </c>
      <c r="AO642" t="str">
        <f>IF(OR($B642="",NOT(ISNUMBER(R642))),"",IF(COUNTIF(S642:$T642,R642)&gt;0,0,IF(COUNTIF($G642:$T642,"&gt;"&amp;R642)=0,"",SMALL($G642:$T642,COUNTIF($G642:$T642,"&lt;="&amp;R642)+1)-R642)))</f>
        <v/>
      </c>
      <c r="AP642">
        <f t="shared" ca="1" si="156"/>
        <v>0</v>
      </c>
      <c r="AQ642" s="25" t="str">
        <f t="shared" si="157"/>
        <v/>
      </c>
      <c r="AR642" s="25" t="str">
        <f t="shared" si="158"/>
        <v/>
      </c>
      <c r="AS642" s="25" t="str">
        <f t="shared" si="159"/>
        <v/>
      </c>
      <c r="AT642" s="25" t="str">
        <f t="shared" si="160"/>
        <v/>
      </c>
      <c r="AU642" s="25" t="str">
        <f t="shared" si="161"/>
        <v/>
      </c>
      <c r="AV642" s="25" t="str">
        <f t="shared" si="162"/>
        <v/>
      </c>
      <c r="AW642" s="25" t="str">
        <f t="shared" si="163"/>
        <v/>
      </c>
      <c r="AX642" s="25" t="str">
        <f t="shared" si="164"/>
        <v/>
      </c>
      <c r="AY642" s="25" t="str">
        <f t="shared" si="165"/>
        <v/>
      </c>
      <c r="AZ642" s="25" t="str">
        <f t="shared" si="166"/>
        <v/>
      </c>
      <c r="BA642" s="25" t="str">
        <f t="shared" si="167"/>
        <v/>
      </c>
      <c r="BB642" s="25" t="str">
        <f t="shared" si="168"/>
        <v/>
      </c>
      <c r="BC642" s="25" t="str">
        <f t="shared" si="169"/>
        <v/>
      </c>
    </row>
    <row r="643" spans="1:55" x14ac:dyDescent="0.25">
      <c r="A643" s="19" t="str">
        <f t="shared" ref="A643:A706" si="171">IF(B643="","",ROW()-2)</f>
        <v/>
      </c>
      <c r="B643" s="19"/>
      <c r="C643" s="20"/>
      <c r="D643" s="19" t="str">
        <f t="shared" si="170"/>
        <v/>
      </c>
      <c r="E643" s="19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19"/>
      <c r="U643" s="19"/>
      <c r="V643" s="20"/>
      <c r="W643" s="22"/>
      <c r="X643" s="21"/>
      <c r="Y643" s="21"/>
      <c r="Z643" s="23" t="str">
        <f>IF(B643="","",IF(S643&lt;&gt;"","Sevk Edildi",IF(AND(X643&lt;&gt;"",Y643=""),"Reworkte",IF(T643&lt;&gt;"","Kapandı"&amp;IF(COUNT(G643:R643)=0,""," – "&amp;LOOKUP(2,1/(G643:R643=MAX(G643:R643)),{"Tasarım","Ply Cutter","Üretim","Kalite (Üretim sonrası)","Talaşlı","Kalite (Talaşlı sonrası)","Montaj","Kalite (Montaj sonrası)","Boya","Kalite (Boya sonrası)","Yarı Mamül","KM"})),IF(COUNT(G643:R643)=0,"Başlamadı",LOOKUP(2,1/(G643:R643=MAX(G643:R643)),{"Tasarımda","Ply Cutter'da","Üretimde","Kalitede (Üretim sonrası)","Talaşlıda","Kalitede (Talaşlı sonrası)","Montajda","Kalitede (Montaj sonrası)","Boyada","Kalitede (Boya sonrası)","Yarı Mamülde","KM'de"}))))))</f>
        <v/>
      </c>
      <c r="AA643" s="24" t="str">
        <f t="shared" ref="AA643:AA706" ca="1" si="172">IF(OR(B643="",F643=""),"",IFERROR(IF(S643&lt;&gt;"",S643-F643,IF(T643&lt;&gt;"",T643-F643,TODAY()-F643)),""))</f>
        <v/>
      </c>
      <c r="AB643" s="22"/>
      <c r="AD643" t="str">
        <f>IF(OR($B643="",NOT(ISNUMBER(G643))),"",IF(COUNTIF(H643:$T643,G643)&gt;0,0,IF(COUNTIF($G643:$T643,"&gt;"&amp;G643)=0,"",SMALL($G643:$T643,COUNTIF($G643:$T643,"&lt;="&amp;G643)+1)-G643)))</f>
        <v/>
      </c>
      <c r="AE643" t="str">
        <f>IF(OR($B643="",NOT(ISNUMBER(H643))),"",IF(COUNTIF(I643:$T643,H643)&gt;0,0,IF(COUNTIF($G643:$T643,"&gt;"&amp;H643)=0,"",SMALL($G643:$T643,COUNTIF($G643:$T643,"&lt;="&amp;H643)+1)-H643)))</f>
        <v/>
      </c>
      <c r="AF643" t="str">
        <f>IF(OR($B643="",NOT(ISNUMBER(I643))),"",IF(COUNTIF(J643:$T643,I643)&gt;0,0,IF(COUNTIF($G643:$T643,"&gt;"&amp;I643)=0,"",SMALL($G643:$T643,COUNTIF($G643:$T643,"&lt;="&amp;I643)+1)-I643)))</f>
        <v/>
      </c>
      <c r="AG643" t="str">
        <f>IF(OR($B643="",NOT(ISNUMBER(J643))),"",IF(COUNTIF(K643:$T643,J643)&gt;0,0,IF(COUNTIF($G643:$T643,"&gt;"&amp;J643)=0,"",SMALL($G643:$T643,COUNTIF($G643:$T643,"&lt;="&amp;J643)+1)-J643)))</f>
        <v/>
      </c>
      <c r="AH643" t="str">
        <f>IF(OR($B643="",NOT(ISNUMBER(K643))),"",IF(COUNTIF(L643:$T643,K643)&gt;0,0,IF(COUNTIF($G643:$T643,"&gt;"&amp;K643)=0,"",SMALL($G643:$T643,COUNTIF($G643:$T643,"&lt;="&amp;K643)+1)-K643)))</f>
        <v/>
      </c>
      <c r="AI643" t="str">
        <f>IF(OR($B643="",NOT(ISNUMBER(L643))),"",IF(COUNTIF(M643:$T643,L643)&gt;0,0,IF(COUNTIF($G643:$T643,"&gt;"&amp;L643)=0,"",SMALL($G643:$T643,COUNTIF($G643:$T643,"&lt;="&amp;L643)+1)-L643)))</f>
        <v/>
      </c>
      <c r="AJ643" t="str">
        <f>IF(OR($B643="",NOT(ISNUMBER(M643))),"",IF(COUNTIF(N643:$T643,M643)&gt;0,0,IF(COUNTIF($G643:$T643,"&gt;"&amp;M643)=0,"",SMALL($G643:$T643,COUNTIF($G643:$T643,"&lt;="&amp;M643)+1)-M643)))</f>
        <v/>
      </c>
      <c r="AK643" t="str">
        <f>IF(OR($B643="",NOT(ISNUMBER(N643))),"",IF(COUNTIF(O643:$T643,N643)&gt;0,0,IF(COUNTIF($G643:$T643,"&gt;"&amp;N643)=0,"",SMALL($G643:$T643,COUNTIF($G643:$T643,"&lt;="&amp;N643)+1)-N643)))</f>
        <v/>
      </c>
      <c r="AL643" t="str">
        <f>IF(OR($B643="",NOT(ISNUMBER(O643))),"",IF(COUNTIF(P643:$T643,O643)&gt;0,0,IF(COUNTIF($G643:$T643,"&gt;"&amp;O643)=0,"",SMALL($G643:$T643,COUNTIF($G643:$T643,"&lt;="&amp;O643)+1)-O643)))</f>
        <v/>
      </c>
      <c r="AM643" t="str">
        <f>IF(OR($B643="",NOT(ISNUMBER(P643))),"",IF(COUNTIF(Q643:$T643,P643)&gt;0,0,IF(COUNTIF($G643:$T643,"&gt;"&amp;P643)=0,"",SMALL($G643:$T643,COUNTIF($G643:$T643,"&lt;="&amp;P643)+1)-P643)))</f>
        <v/>
      </c>
      <c r="AN643" t="str">
        <f>IF(OR($B643="",NOT(ISNUMBER(Q643))),"",IF(COUNTIF(R643:$T643,Q643)&gt;0,0,IF(COUNTIF($G643:$T643,"&gt;"&amp;Q643)=0,"",SMALL($G643:$T643,COUNTIF($G643:$T643,"&lt;="&amp;Q643)+1)-Q643)))</f>
        <v/>
      </c>
      <c r="AO643" t="str">
        <f>IF(OR($B643="",NOT(ISNUMBER(R643))),"",IF(COUNTIF(S643:$T643,R643)&gt;0,0,IF(COUNTIF($G643:$T643,"&gt;"&amp;R643)=0,"",SMALL($G643:$T643,COUNTIF($G643:$T643,"&lt;="&amp;R643)+1)-R643)))</f>
        <v/>
      </c>
      <c r="AP643">
        <f t="shared" ref="AP643:AP706" ca="1" si="173">IF(OR($B643="",Z643="",Z643="Başlamadı",Z643="Sevk Edildi",Z643="Reworkte",LEFT(Z643,7)="Kapandı"),0,TODAY()-MAX($G643:$R643))</f>
        <v>0</v>
      </c>
      <c r="AQ643" s="25" t="str">
        <f t="shared" ref="AQ643:AQ706" si="174">IF(AND(ISNUMBER(G643),ISNUMBER(AD643)),G643+AD643,"")</f>
        <v/>
      </c>
      <c r="AR643" s="25" t="str">
        <f t="shared" ref="AR643:AR706" si="175">IF(AND(ISNUMBER(H643),ISNUMBER(AE643)),H643+AE643,"")</f>
        <v/>
      </c>
      <c r="AS643" s="25" t="str">
        <f t="shared" ref="AS643:AS706" si="176">IF(AND(ISNUMBER(I643),ISNUMBER(AF643)),I643+AF643,"")</f>
        <v/>
      </c>
      <c r="AT643" s="25" t="str">
        <f t="shared" ref="AT643:AT706" si="177">IF(AND(ISNUMBER(J643),ISNUMBER(AG643)),J643+AG643,"")</f>
        <v/>
      </c>
      <c r="AU643" s="25" t="str">
        <f t="shared" ref="AU643:AU706" si="178">IF(AND(ISNUMBER(K643),ISNUMBER(AH643)),K643+AH643,"")</f>
        <v/>
      </c>
      <c r="AV643" s="25" t="str">
        <f t="shared" ref="AV643:AV706" si="179">IF(AND(ISNUMBER(L643),ISNUMBER(AI643)),L643+AI643,"")</f>
        <v/>
      </c>
      <c r="AW643" s="25" t="str">
        <f t="shared" ref="AW643:AW706" si="180">IF(AND(ISNUMBER(M643),ISNUMBER(AJ643)),M643+AJ643,"")</f>
        <v/>
      </c>
      <c r="AX643" s="25" t="str">
        <f t="shared" ref="AX643:AX706" si="181">IF(AND(ISNUMBER(N643),ISNUMBER(AK643)),N643+AK643,"")</f>
        <v/>
      </c>
      <c r="AY643" s="25" t="str">
        <f t="shared" ref="AY643:AY706" si="182">IF(AND(ISNUMBER(O643),ISNUMBER(AL643)),O643+AL643,"")</f>
        <v/>
      </c>
      <c r="AZ643" s="25" t="str">
        <f t="shared" ref="AZ643:AZ706" si="183">IF(AND(ISNUMBER(P643),ISNUMBER(AM643)),P643+AM643,"")</f>
        <v/>
      </c>
      <c r="BA643" s="25" t="str">
        <f t="shared" ref="BA643:BA706" si="184">IF(AND(ISNUMBER(Q643),ISNUMBER(AN643)),Q643+AN643,"")</f>
        <v/>
      </c>
      <c r="BB643" s="25" t="str">
        <f t="shared" ref="BB643:BB706" si="185">IF(AND(ISNUMBER(R643),ISNUMBER(AO643)),R643+AO643,"")</f>
        <v/>
      </c>
      <c r="BC643" s="25" t="str">
        <f t="shared" ref="BC643:BC706" si="186">IF(AND(S643="",T643=""),"",MIN(S643,T643))</f>
        <v/>
      </c>
    </row>
    <row r="644" spans="1:55" x14ac:dyDescent="0.25">
      <c r="A644" s="19" t="str">
        <f t="shared" si="171"/>
        <v/>
      </c>
      <c r="B644" s="19"/>
      <c r="C644" s="20"/>
      <c r="D644" s="19" t="str">
        <f t="shared" si="170"/>
        <v/>
      </c>
      <c r="E644" s="19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19"/>
      <c r="U644" s="19"/>
      <c r="V644" s="20"/>
      <c r="W644" s="22"/>
      <c r="X644" s="21"/>
      <c r="Y644" s="21"/>
      <c r="Z644" s="23" t="str">
        <f>IF(B644="","",IF(S644&lt;&gt;"","Sevk Edildi",IF(AND(X644&lt;&gt;"",Y644=""),"Reworkte",IF(T644&lt;&gt;"","Kapandı"&amp;IF(COUNT(G644:R644)=0,""," – "&amp;LOOKUP(2,1/(G644:R644=MAX(G644:R644)),{"Tasarım","Ply Cutter","Üretim","Kalite (Üretim sonrası)","Talaşlı","Kalite (Talaşlı sonrası)","Montaj","Kalite (Montaj sonrası)","Boya","Kalite (Boya sonrası)","Yarı Mamül","KM"})),IF(COUNT(G644:R644)=0,"Başlamadı",LOOKUP(2,1/(G644:R644=MAX(G644:R644)),{"Tasarımda","Ply Cutter'da","Üretimde","Kalitede (Üretim sonrası)","Talaşlıda","Kalitede (Talaşlı sonrası)","Montajda","Kalitede (Montaj sonrası)","Boyada","Kalitede (Boya sonrası)","Yarı Mamülde","KM'de"}))))))</f>
        <v/>
      </c>
      <c r="AA644" s="24" t="str">
        <f t="shared" ca="1" si="172"/>
        <v/>
      </c>
      <c r="AB644" s="22"/>
      <c r="AD644" t="str">
        <f>IF(OR($B644="",NOT(ISNUMBER(G644))),"",IF(COUNTIF(H644:$T644,G644)&gt;0,0,IF(COUNTIF($G644:$T644,"&gt;"&amp;G644)=0,"",SMALL($G644:$T644,COUNTIF($G644:$T644,"&lt;="&amp;G644)+1)-G644)))</f>
        <v/>
      </c>
      <c r="AE644" t="str">
        <f>IF(OR($B644="",NOT(ISNUMBER(H644))),"",IF(COUNTIF(I644:$T644,H644)&gt;0,0,IF(COUNTIF($G644:$T644,"&gt;"&amp;H644)=0,"",SMALL($G644:$T644,COUNTIF($G644:$T644,"&lt;="&amp;H644)+1)-H644)))</f>
        <v/>
      </c>
      <c r="AF644" t="str">
        <f>IF(OR($B644="",NOT(ISNUMBER(I644))),"",IF(COUNTIF(J644:$T644,I644)&gt;0,0,IF(COUNTIF($G644:$T644,"&gt;"&amp;I644)=0,"",SMALL($G644:$T644,COUNTIF($G644:$T644,"&lt;="&amp;I644)+1)-I644)))</f>
        <v/>
      </c>
      <c r="AG644" t="str">
        <f>IF(OR($B644="",NOT(ISNUMBER(J644))),"",IF(COUNTIF(K644:$T644,J644)&gt;0,0,IF(COUNTIF($G644:$T644,"&gt;"&amp;J644)=0,"",SMALL($G644:$T644,COUNTIF($G644:$T644,"&lt;="&amp;J644)+1)-J644)))</f>
        <v/>
      </c>
      <c r="AH644" t="str">
        <f>IF(OR($B644="",NOT(ISNUMBER(K644))),"",IF(COUNTIF(L644:$T644,K644)&gt;0,0,IF(COUNTIF($G644:$T644,"&gt;"&amp;K644)=0,"",SMALL($G644:$T644,COUNTIF($G644:$T644,"&lt;="&amp;K644)+1)-K644)))</f>
        <v/>
      </c>
      <c r="AI644" t="str">
        <f>IF(OR($B644="",NOT(ISNUMBER(L644))),"",IF(COUNTIF(M644:$T644,L644)&gt;0,0,IF(COUNTIF($G644:$T644,"&gt;"&amp;L644)=0,"",SMALL($G644:$T644,COUNTIF($G644:$T644,"&lt;="&amp;L644)+1)-L644)))</f>
        <v/>
      </c>
      <c r="AJ644" t="str">
        <f>IF(OR($B644="",NOT(ISNUMBER(M644))),"",IF(COUNTIF(N644:$T644,M644)&gt;0,0,IF(COUNTIF($G644:$T644,"&gt;"&amp;M644)=0,"",SMALL($G644:$T644,COUNTIF($G644:$T644,"&lt;="&amp;M644)+1)-M644)))</f>
        <v/>
      </c>
      <c r="AK644" t="str">
        <f>IF(OR($B644="",NOT(ISNUMBER(N644))),"",IF(COUNTIF(O644:$T644,N644)&gt;0,0,IF(COUNTIF($G644:$T644,"&gt;"&amp;N644)=0,"",SMALL($G644:$T644,COUNTIF($G644:$T644,"&lt;="&amp;N644)+1)-N644)))</f>
        <v/>
      </c>
      <c r="AL644" t="str">
        <f>IF(OR($B644="",NOT(ISNUMBER(O644))),"",IF(COUNTIF(P644:$T644,O644)&gt;0,0,IF(COUNTIF($G644:$T644,"&gt;"&amp;O644)=0,"",SMALL($G644:$T644,COUNTIF($G644:$T644,"&lt;="&amp;O644)+1)-O644)))</f>
        <v/>
      </c>
      <c r="AM644" t="str">
        <f>IF(OR($B644="",NOT(ISNUMBER(P644))),"",IF(COUNTIF(Q644:$T644,P644)&gt;0,0,IF(COUNTIF($G644:$T644,"&gt;"&amp;P644)=0,"",SMALL($G644:$T644,COUNTIF($G644:$T644,"&lt;="&amp;P644)+1)-P644)))</f>
        <v/>
      </c>
      <c r="AN644" t="str">
        <f>IF(OR($B644="",NOT(ISNUMBER(Q644))),"",IF(COUNTIF(R644:$T644,Q644)&gt;0,0,IF(COUNTIF($G644:$T644,"&gt;"&amp;Q644)=0,"",SMALL($G644:$T644,COUNTIF($G644:$T644,"&lt;="&amp;Q644)+1)-Q644)))</f>
        <v/>
      </c>
      <c r="AO644" t="str">
        <f>IF(OR($B644="",NOT(ISNUMBER(R644))),"",IF(COUNTIF(S644:$T644,R644)&gt;0,0,IF(COUNTIF($G644:$T644,"&gt;"&amp;R644)=0,"",SMALL($G644:$T644,COUNTIF($G644:$T644,"&lt;="&amp;R644)+1)-R644)))</f>
        <v/>
      </c>
      <c r="AP644">
        <f t="shared" ca="1" si="173"/>
        <v>0</v>
      </c>
      <c r="AQ644" s="25" t="str">
        <f t="shared" si="174"/>
        <v/>
      </c>
      <c r="AR644" s="25" t="str">
        <f t="shared" si="175"/>
        <v/>
      </c>
      <c r="AS644" s="25" t="str">
        <f t="shared" si="176"/>
        <v/>
      </c>
      <c r="AT644" s="25" t="str">
        <f t="shared" si="177"/>
        <v/>
      </c>
      <c r="AU644" s="25" t="str">
        <f t="shared" si="178"/>
        <v/>
      </c>
      <c r="AV644" s="25" t="str">
        <f t="shared" si="179"/>
        <v/>
      </c>
      <c r="AW644" s="25" t="str">
        <f t="shared" si="180"/>
        <v/>
      </c>
      <c r="AX644" s="25" t="str">
        <f t="shared" si="181"/>
        <v/>
      </c>
      <c r="AY644" s="25" t="str">
        <f t="shared" si="182"/>
        <v/>
      </c>
      <c r="AZ644" s="25" t="str">
        <f t="shared" si="183"/>
        <v/>
      </c>
      <c r="BA644" s="25" t="str">
        <f t="shared" si="184"/>
        <v/>
      </c>
      <c r="BB644" s="25" t="str">
        <f t="shared" si="185"/>
        <v/>
      </c>
      <c r="BC644" s="25" t="str">
        <f t="shared" si="186"/>
        <v/>
      </c>
    </row>
    <row r="645" spans="1:55" x14ac:dyDescent="0.25">
      <c r="A645" s="19" t="str">
        <f t="shared" si="171"/>
        <v/>
      </c>
      <c r="B645" s="19"/>
      <c r="C645" s="20"/>
      <c r="D645" s="19" t="str">
        <f t="shared" si="170"/>
        <v/>
      </c>
      <c r="E645" s="19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19"/>
      <c r="U645" s="19"/>
      <c r="V645" s="20"/>
      <c r="W645" s="22"/>
      <c r="X645" s="21"/>
      <c r="Y645" s="21"/>
      <c r="Z645" s="23" t="str">
        <f>IF(B645="","",IF(S645&lt;&gt;"","Sevk Edildi",IF(AND(X645&lt;&gt;"",Y645=""),"Reworkte",IF(T645&lt;&gt;"","Kapandı"&amp;IF(COUNT(G645:R645)=0,""," – "&amp;LOOKUP(2,1/(G645:R645=MAX(G645:R645)),{"Tasarım","Ply Cutter","Üretim","Kalite (Üretim sonrası)","Talaşlı","Kalite (Talaşlı sonrası)","Montaj","Kalite (Montaj sonrası)","Boya","Kalite (Boya sonrası)","Yarı Mamül","KM"})),IF(COUNT(G645:R645)=0,"Başlamadı",LOOKUP(2,1/(G645:R645=MAX(G645:R645)),{"Tasarımda","Ply Cutter'da","Üretimde","Kalitede (Üretim sonrası)","Talaşlıda","Kalitede (Talaşlı sonrası)","Montajda","Kalitede (Montaj sonrası)","Boyada","Kalitede (Boya sonrası)","Yarı Mamülde","KM'de"}))))))</f>
        <v/>
      </c>
      <c r="AA645" s="24" t="str">
        <f t="shared" ca="1" si="172"/>
        <v/>
      </c>
      <c r="AB645" s="22"/>
      <c r="AD645" t="str">
        <f>IF(OR($B645="",NOT(ISNUMBER(G645))),"",IF(COUNTIF(H645:$T645,G645)&gt;0,0,IF(COUNTIF($G645:$T645,"&gt;"&amp;G645)=0,"",SMALL($G645:$T645,COUNTIF($G645:$T645,"&lt;="&amp;G645)+1)-G645)))</f>
        <v/>
      </c>
      <c r="AE645" t="str">
        <f>IF(OR($B645="",NOT(ISNUMBER(H645))),"",IF(COUNTIF(I645:$T645,H645)&gt;0,0,IF(COUNTIF($G645:$T645,"&gt;"&amp;H645)=0,"",SMALL($G645:$T645,COUNTIF($G645:$T645,"&lt;="&amp;H645)+1)-H645)))</f>
        <v/>
      </c>
      <c r="AF645" t="str">
        <f>IF(OR($B645="",NOT(ISNUMBER(I645))),"",IF(COUNTIF(J645:$T645,I645)&gt;0,0,IF(COUNTIF($G645:$T645,"&gt;"&amp;I645)=0,"",SMALL($G645:$T645,COUNTIF($G645:$T645,"&lt;="&amp;I645)+1)-I645)))</f>
        <v/>
      </c>
      <c r="AG645" t="str">
        <f>IF(OR($B645="",NOT(ISNUMBER(J645))),"",IF(COUNTIF(K645:$T645,J645)&gt;0,0,IF(COUNTIF($G645:$T645,"&gt;"&amp;J645)=0,"",SMALL($G645:$T645,COUNTIF($G645:$T645,"&lt;="&amp;J645)+1)-J645)))</f>
        <v/>
      </c>
      <c r="AH645" t="str">
        <f>IF(OR($B645="",NOT(ISNUMBER(K645))),"",IF(COUNTIF(L645:$T645,K645)&gt;0,0,IF(COUNTIF($G645:$T645,"&gt;"&amp;K645)=0,"",SMALL($G645:$T645,COUNTIF($G645:$T645,"&lt;="&amp;K645)+1)-K645)))</f>
        <v/>
      </c>
      <c r="AI645" t="str">
        <f>IF(OR($B645="",NOT(ISNUMBER(L645))),"",IF(COUNTIF(M645:$T645,L645)&gt;0,0,IF(COUNTIF($G645:$T645,"&gt;"&amp;L645)=0,"",SMALL($G645:$T645,COUNTIF($G645:$T645,"&lt;="&amp;L645)+1)-L645)))</f>
        <v/>
      </c>
      <c r="AJ645" t="str">
        <f>IF(OR($B645="",NOT(ISNUMBER(M645))),"",IF(COUNTIF(N645:$T645,M645)&gt;0,0,IF(COUNTIF($G645:$T645,"&gt;"&amp;M645)=0,"",SMALL($G645:$T645,COUNTIF($G645:$T645,"&lt;="&amp;M645)+1)-M645)))</f>
        <v/>
      </c>
      <c r="AK645" t="str">
        <f>IF(OR($B645="",NOT(ISNUMBER(N645))),"",IF(COUNTIF(O645:$T645,N645)&gt;0,0,IF(COUNTIF($G645:$T645,"&gt;"&amp;N645)=0,"",SMALL($G645:$T645,COUNTIF($G645:$T645,"&lt;="&amp;N645)+1)-N645)))</f>
        <v/>
      </c>
      <c r="AL645" t="str">
        <f>IF(OR($B645="",NOT(ISNUMBER(O645))),"",IF(COUNTIF(P645:$T645,O645)&gt;0,0,IF(COUNTIF($G645:$T645,"&gt;"&amp;O645)=0,"",SMALL($G645:$T645,COUNTIF($G645:$T645,"&lt;="&amp;O645)+1)-O645)))</f>
        <v/>
      </c>
      <c r="AM645" t="str">
        <f>IF(OR($B645="",NOT(ISNUMBER(P645))),"",IF(COUNTIF(Q645:$T645,P645)&gt;0,0,IF(COUNTIF($G645:$T645,"&gt;"&amp;P645)=0,"",SMALL($G645:$T645,COUNTIF($G645:$T645,"&lt;="&amp;P645)+1)-P645)))</f>
        <v/>
      </c>
      <c r="AN645" t="str">
        <f>IF(OR($B645="",NOT(ISNUMBER(Q645))),"",IF(COUNTIF(R645:$T645,Q645)&gt;0,0,IF(COUNTIF($G645:$T645,"&gt;"&amp;Q645)=0,"",SMALL($G645:$T645,COUNTIF($G645:$T645,"&lt;="&amp;Q645)+1)-Q645)))</f>
        <v/>
      </c>
      <c r="AO645" t="str">
        <f>IF(OR($B645="",NOT(ISNUMBER(R645))),"",IF(COUNTIF(S645:$T645,R645)&gt;0,0,IF(COUNTIF($G645:$T645,"&gt;"&amp;R645)=0,"",SMALL($G645:$T645,COUNTIF($G645:$T645,"&lt;="&amp;R645)+1)-R645)))</f>
        <v/>
      </c>
      <c r="AP645">
        <f t="shared" ca="1" si="173"/>
        <v>0</v>
      </c>
      <c r="AQ645" s="25" t="str">
        <f t="shared" si="174"/>
        <v/>
      </c>
      <c r="AR645" s="25" t="str">
        <f t="shared" si="175"/>
        <v/>
      </c>
      <c r="AS645" s="25" t="str">
        <f t="shared" si="176"/>
        <v/>
      </c>
      <c r="AT645" s="25" t="str">
        <f t="shared" si="177"/>
        <v/>
      </c>
      <c r="AU645" s="25" t="str">
        <f t="shared" si="178"/>
        <v/>
      </c>
      <c r="AV645" s="25" t="str">
        <f t="shared" si="179"/>
        <v/>
      </c>
      <c r="AW645" s="25" t="str">
        <f t="shared" si="180"/>
        <v/>
      </c>
      <c r="AX645" s="25" t="str">
        <f t="shared" si="181"/>
        <v/>
      </c>
      <c r="AY645" s="25" t="str">
        <f t="shared" si="182"/>
        <v/>
      </c>
      <c r="AZ645" s="25" t="str">
        <f t="shared" si="183"/>
        <v/>
      </c>
      <c r="BA645" s="25" t="str">
        <f t="shared" si="184"/>
        <v/>
      </c>
      <c r="BB645" s="25" t="str">
        <f t="shared" si="185"/>
        <v/>
      </c>
      <c r="BC645" s="25" t="str">
        <f t="shared" si="186"/>
        <v/>
      </c>
    </row>
    <row r="646" spans="1:55" x14ac:dyDescent="0.25">
      <c r="A646" s="19" t="str">
        <f t="shared" si="171"/>
        <v/>
      </c>
      <c r="B646" s="19"/>
      <c r="C646" s="20"/>
      <c r="D646" s="19" t="str">
        <f t="shared" si="170"/>
        <v/>
      </c>
      <c r="E646" s="19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19"/>
      <c r="U646" s="19"/>
      <c r="V646" s="20"/>
      <c r="W646" s="22"/>
      <c r="X646" s="21"/>
      <c r="Y646" s="21"/>
      <c r="Z646" s="23" t="str">
        <f>IF(B646="","",IF(S646&lt;&gt;"","Sevk Edildi",IF(AND(X646&lt;&gt;"",Y646=""),"Reworkte",IF(T646&lt;&gt;"","Kapandı"&amp;IF(COUNT(G646:R646)=0,""," – "&amp;LOOKUP(2,1/(G646:R646=MAX(G646:R646)),{"Tasarım","Ply Cutter","Üretim","Kalite (Üretim sonrası)","Talaşlı","Kalite (Talaşlı sonrası)","Montaj","Kalite (Montaj sonrası)","Boya","Kalite (Boya sonrası)","Yarı Mamül","KM"})),IF(COUNT(G646:R646)=0,"Başlamadı",LOOKUP(2,1/(G646:R646=MAX(G646:R646)),{"Tasarımda","Ply Cutter'da","Üretimde","Kalitede (Üretim sonrası)","Talaşlıda","Kalitede (Talaşlı sonrası)","Montajda","Kalitede (Montaj sonrası)","Boyada","Kalitede (Boya sonrası)","Yarı Mamülde","KM'de"}))))))</f>
        <v/>
      </c>
      <c r="AA646" s="24" t="str">
        <f t="shared" ca="1" si="172"/>
        <v/>
      </c>
      <c r="AB646" s="22"/>
      <c r="AD646" t="str">
        <f>IF(OR($B646="",NOT(ISNUMBER(G646))),"",IF(COUNTIF(H646:$T646,G646)&gt;0,0,IF(COUNTIF($G646:$T646,"&gt;"&amp;G646)=0,"",SMALL($G646:$T646,COUNTIF($G646:$T646,"&lt;="&amp;G646)+1)-G646)))</f>
        <v/>
      </c>
      <c r="AE646" t="str">
        <f>IF(OR($B646="",NOT(ISNUMBER(H646))),"",IF(COUNTIF(I646:$T646,H646)&gt;0,0,IF(COUNTIF($G646:$T646,"&gt;"&amp;H646)=0,"",SMALL($G646:$T646,COUNTIF($G646:$T646,"&lt;="&amp;H646)+1)-H646)))</f>
        <v/>
      </c>
      <c r="AF646" t="str">
        <f>IF(OR($B646="",NOT(ISNUMBER(I646))),"",IF(COUNTIF(J646:$T646,I646)&gt;0,0,IF(COUNTIF($G646:$T646,"&gt;"&amp;I646)=0,"",SMALL($G646:$T646,COUNTIF($G646:$T646,"&lt;="&amp;I646)+1)-I646)))</f>
        <v/>
      </c>
      <c r="AG646" t="str">
        <f>IF(OR($B646="",NOT(ISNUMBER(J646))),"",IF(COUNTIF(K646:$T646,J646)&gt;0,0,IF(COUNTIF($G646:$T646,"&gt;"&amp;J646)=0,"",SMALL($G646:$T646,COUNTIF($G646:$T646,"&lt;="&amp;J646)+1)-J646)))</f>
        <v/>
      </c>
      <c r="AH646" t="str">
        <f>IF(OR($B646="",NOT(ISNUMBER(K646))),"",IF(COUNTIF(L646:$T646,K646)&gt;0,0,IF(COUNTIF($G646:$T646,"&gt;"&amp;K646)=0,"",SMALL($G646:$T646,COUNTIF($G646:$T646,"&lt;="&amp;K646)+1)-K646)))</f>
        <v/>
      </c>
      <c r="AI646" t="str">
        <f>IF(OR($B646="",NOT(ISNUMBER(L646))),"",IF(COUNTIF(M646:$T646,L646)&gt;0,0,IF(COUNTIF($G646:$T646,"&gt;"&amp;L646)=0,"",SMALL($G646:$T646,COUNTIF($G646:$T646,"&lt;="&amp;L646)+1)-L646)))</f>
        <v/>
      </c>
      <c r="AJ646" t="str">
        <f>IF(OR($B646="",NOT(ISNUMBER(M646))),"",IF(COUNTIF(N646:$T646,M646)&gt;0,0,IF(COUNTIF($G646:$T646,"&gt;"&amp;M646)=0,"",SMALL($G646:$T646,COUNTIF($G646:$T646,"&lt;="&amp;M646)+1)-M646)))</f>
        <v/>
      </c>
      <c r="AK646" t="str">
        <f>IF(OR($B646="",NOT(ISNUMBER(N646))),"",IF(COUNTIF(O646:$T646,N646)&gt;0,0,IF(COUNTIF($G646:$T646,"&gt;"&amp;N646)=0,"",SMALL($G646:$T646,COUNTIF($G646:$T646,"&lt;="&amp;N646)+1)-N646)))</f>
        <v/>
      </c>
      <c r="AL646" t="str">
        <f>IF(OR($B646="",NOT(ISNUMBER(O646))),"",IF(COUNTIF(P646:$T646,O646)&gt;0,0,IF(COUNTIF($G646:$T646,"&gt;"&amp;O646)=0,"",SMALL($G646:$T646,COUNTIF($G646:$T646,"&lt;="&amp;O646)+1)-O646)))</f>
        <v/>
      </c>
      <c r="AM646" t="str">
        <f>IF(OR($B646="",NOT(ISNUMBER(P646))),"",IF(COUNTIF(Q646:$T646,P646)&gt;0,0,IF(COUNTIF($G646:$T646,"&gt;"&amp;P646)=0,"",SMALL($G646:$T646,COUNTIF($G646:$T646,"&lt;="&amp;P646)+1)-P646)))</f>
        <v/>
      </c>
      <c r="AN646" t="str">
        <f>IF(OR($B646="",NOT(ISNUMBER(Q646))),"",IF(COUNTIF(R646:$T646,Q646)&gt;0,0,IF(COUNTIF($G646:$T646,"&gt;"&amp;Q646)=0,"",SMALL($G646:$T646,COUNTIF($G646:$T646,"&lt;="&amp;Q646)+1)-Q646)))</f>
        <v/>
      </c>
      <c r="AO646" t="str">
        <f>IF(OR($B646="",NOT(ISNUMBER(R646))),"",IF(COUNTIF(S646:$T646,R646)&gt;0,0,IF(COUNTIF($G646:$T646,"&gt;"&amp;R646)=0,"",SMALL($G646:$T646,COUNTIF($G646:$T646,"&lt;="&amp;R646)+1)-R646)))</f>
        <v/>
      </c>
      <c r="AP646">
        <f t="shared" ca="1" si="173"/>
        <v>0</v>
      </c>
      <c r="AQ646" s="25" t="str">
        <f t="shared" si="174"/>
        <v/>
      </c>
      <c r="AR646" s="25" t="str">
        <f t="shared" si="175"/>
        <v/>
      </c>
      <c r="AS646" s="25" t="str">
        <f t="shared" si="176"/>
        <v/>
      </c>
      <c r="AT646" s="25" t="str">
        <f t="shared" si="177"/>
        <v/>
      </c>
      <c r="AU646" s="25" t="str">
        <f t="shared" si="178"/>
        <v/>
      </c>
      <c r="AV646" s="25" t="str">
        <f t="shared" si="179"/>
        <v/>
      </c>
      <c r="AW646" s="25" t="str">
        <f t="shared" si="180"/>
        <v/>
      </c>
      <c r="AX646" s="25" t="str">
        <f t="shared" si="181"/>
        <v/>
      </c>
      <c r="AY646" s="25" t="str">
        <f t="shared" si="182"/>
        <v/>
      </c>
      <c r="AZ646" s="25" t="str">
        <f t="shared" si="183"/>
        <v/>
      </c>
      <c r="BA646" s="25" t="str">
        <f t="shared" si="184"/>
        <v/>
      </c>
      <c r="BB646" s="25" t="str">
        <f t="shared" si="185"/>
        <v/>
      </c>
      <c r="BC646" s="25" t="str">
        <f t="shared" si="186"/>
        <v/>
      </c>
    </row>
    <row r="647" spans="1:55" x14ac:dyDescent="0.25">
      <c r="A647" s="19" t="str">
        <f t="shared" si="171"/>
        <v/>
      </c>
      <c r="B647" s="19"/>
      <c r="C647" s="20"/>
      <c r="D647" s="19" t="str">
        <f t="shared" si="170"/>
        <v/>
      </c>
      <c r="E647" s="19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19"/>
      <c r="U647" s="19"/>
      <c r="V647" s="20"/>
      <c r="W647" s="22"/>
      <c r="X647" s="21"/>
      <c r="Y647" s="21"/>
      <c r="Z647" s="23" t="str">
        <f>IF(B647="","",IF(S647&lt;&gt;"","Sevk Edildi",IF(AND(X647&lt;&gt;"",Y647=""),"Reworkte",IF(T647&lt;&gt;"","Kapandı"&amp;IF(COUNT(G647:R647)=0,""," – "&amp;LOOKUP(2,1/(G647:R647=MAX(G647:R647)),{"Tasarım","Ply Cutter","Üretim","Kalite (Üretim sonrası)","Talaşlı","Kalite (Talaşlı sonrası)","Montaj","Kalite (Montaj sonrası)","Boya","Kalite (Boya sonrası)","Yarı Mamül","KM"})),IF(COUNT(G647:R647)=0,"Başlamadı",LOOKUP(2,1/(G647:R647=MAX(G647:R647)),{"Tasarımda","Ply Cutter'da","Üretimde","Kalitede (Üretim sonrası)","Talaşlıda","Kalitede (Talaşlı sonrası)","Montajda","Kalitede (Montaj sonrası)","Boyada","Kalitede (Boya sonrası)","Yarı Mamülde","KM'de"}))))))</f>
        <v/>
      </c>
      <c r="AA647" s="24" t="str">
        <f t="shared" ca="1" si="172"/>
        <v/>
      </c>
      <c r="AB647" s="22"/>
      <c r="AD647" t="str">
        <f>IF(OR($B647="",NOT(ISNUMBER(G647))),"",IF(COUNTIF(H647:$T647,G647)&gt;0,0,IF(COUNTIF($G647:$T647,"&gt;"&amp;G647)=0,"",SMALL($G647:$T647,COUNTIF($G647:$T647,"&lt;="&amp;G647)+1)-G647)))</f>
        <v/>
      </c>
      <c r="AE647" t="str">
        <f>IF(OR($B647="",NOT(ISNUMBER(H647))),"",IF(COUNTIF(I647:$T647,H647)&gt;0,0,IF(COUNTIF($G647:$T647,"&gt;"&amp;H647)=0,"",SMALL($G647:$T647,COUNTIF($G647:$T647,"&lt;="&amp;H647)+1)-H647)))</f>
        <v/>
      </c>
      <c r="AF647" t="str">
        <f>IF(OR($B647="",NOT(ISNUMBER(I647))),"",IF(COUNTIF(J647:$T647,I647)&gt;0,0,IF(COUNTIF($G647:$T647,"&gt;"&amp;I647)=0,"",SMALL($G647:$T647,COUNTIF($G647:$T647,"&lt;="&amp;I647)+1)-I647)))</f>
        <v/>
      </c>
      <c r="AG647" t="str">
        <f>IF(OR($B647="",NOT(ISNUMBER(J647))),"",IF(COUNTIF(K647:$T647,J647)&gt;0,0,IF(COUNTIF($G647:$T647,"&gt;"&amp;J647)=0,"",SMALL($G647:$T647,COUNTIF($G647:$T647,"&lt;="&amp;J647)+1)-J647)))</f>
        <v/>
      </c>
      <c r="AH647" t="str">
        <f>IF(OR($B647="",NOT(ISNUMBER(K647))),"",IF(COUNTIF(L647:$T647,K647)&gt;0,0,IF(COUNTIF($G647:$T647,"&gt;"&amp;K647)=0,"",SMALL($G647:$T647,COUNTIF($G647:$T647,"&lt;="&amp;K647)+1)-K647)))</f>
        <v/>
      </c>
      <c r="AI647" t="str">
        <f>IF(OR($B647="",NOT(ISNUMBER(L647))),"",IF(COUNTIF(M647:$T647,L647)&gt;0,0,IF(COUNTIF($G647:$T647,"&gt;"&amp;L647)=0,"",SMALL($G647:$T647,COUNTIF($G647:$T647,"&lt;="&amp;L647)+1)-L647)))</f>
        <v/>
      </c>
      <c r="AJ647" t="str">
        <f>IF(OR($B647="",NOT(ISNUMBER(M647))),"",IF(COUNTIF(N647:$T647,M647)&gt;0,0,IF(COUNTIF($G647:$T647,"&gt;"&amp;M647)=0,"",SMALL($G647:$T647,COUNTIF($G647:$T647,"&lt;="&amp;M647)+1)-M647)))</f>
        <v/>
      </c>
      <c r="AK647" t="str">
        <f>IF(OR($B647="",NOT(ISNUMBER(N647))),"",IF(COUNTIF(O647:$T647,N647)&gt;0,0,IF(COUNTIF($G647:$T647,"&gt;"&amp;N647)=0,"",SMALL($G647:$T647,COUNTIF($G647:$T647,"&lt;="&amp;N647)+1)-N647)))</f>
        <v/>
      </c>
      <c r="AL647" t="str">
        <f>IF(OR($B647="",NOT(ISNUMBER(O647))),"",IF(COUNTIF(P647:$T647,O647)&gt;0,0,IF(COUNTIF($G647:$T647,"&gt;"&amp;O647)=0,"",SMALL($G647:$T647,COUNTIF($G647:$T647,"&lt;="&amp;O647)+1)-O647)))</f>
        <v/>
      </c>
      <c r="AM647" t="str">
        <f>IF(OR($B647="",NOT(ISNUMBER(P647))),"",IF(COUNTIF(Q647:$T647,P647)&gt;0,0,IF(COUNTIF($G647:$T647,"&gt;"&amp;P647)=0,"",SMALL($G647:$T647,COUNTIF($G647:$T647,"&lt;="&amp;P647)+1)-P647)))</f>
        <v/>
      </c>
      <c r="AN647" t="str">
        <f>IF(OR($B647="",NOT(ISNUMBER(Q647))),"",IF(COUNTIF(R647:$T647,Q647)&gt;0,0,IF(COUNTIF($G647:$T647,"&gt;"&amp;Q647)=0,"",SMALL($G647:$T647,COUNTIF($G647:$T647,"&lt;="&amp;Q647)+1)-Q647)))</f>
        <v/>
      </c>
      <c r="AO647" t="str">
        <f>IF(OR($B647="",NOT(ISNUMBER(R647))),"",IF(COUNTIF(S647:$T647,R647)&gt;0,0,IF(COUNTIF($G647:$T647,"&gt;"&amp;R647)=0,"",SMALL($G647:$T647,COUNTIF($G647:$T647,"&lt;="&amp;R647)+1)-R647)))</f>
        <v/>
      </c>
      <c r="AP647">
        <f t="shared" ca="1" si="173"/>
        <v>0</v>
      </c>
      <c r="AQ647" s="25" t="str">
        <f t="shared" si="174"/>
        <v/>
      </c>
      <c r="AR647" s="25" t="str">
        <f t="shared" si="175"/>
        <v/>
      </c>
      <c r="AS647" s="25" t="str">
        <f t="shared" si="176"/>
        <v/>
      </c>
      <c r="AT647" s="25" t="str">
        <f t="shared" si="177"/>
        <v/>
      </c>
      <c r="AU647" s="25" t="str">
        <f t="shared" si="178"/>
        <v/>
      </c>
      <c r="AV647" s="25" t="str">
        <f t="shared" si="179"/>
        <v/>
      </c>
      <c r="AW647" s="25" t="str">
        <f t="shared" si="180"/>
        <v/>
      </c>
      <c r="AX647" s="25" t="str">
        <f t="shared" si="181"/>
        <v/>
      </c>
      <c r="AY647" s="25" t="str">
        <f t="shared" si="182"/>
        <v/>
      </c>
      <c r="AZ647" s="25" t="str">
        <f t="shared" si="183"/>
        <v/>
      </c>
      <c r="BA647" s="25" t="str">
        <f t="shared" si="184"/>
        <v/>
      </c>
      <c r="BB647" s="25" t="str">
        <f t="shared" si="185"/>
        <v/>
      </c>
      <c r="BC647" s="25" t="str">
        <f t="shared" si="186"/>
        <v/>
      </c>
    </row>
    <row r="648" spans="1:55" x14ac:dyDescent="0.25">
      <c r="A648" s="19" t="str">
        <f t="shared" si="171"/>
        <v/>
      </c>
      <c r="B648" s="19"/>
      <c r="C648" s="20"/>
      <c r="D648" s="19" t="str">
        <f t="shared" si="170"/>
        <v/>
      </c>
      <c r="E648" s="19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19"/>
      <c r="U648" s="19"/>
      <c r="V648" s="20"/>
      <c r="W648" s="22"/>
      <c r="X648" s="21"/>
      <c r="Y648" s="21"/>
      <c r="Z648" s="23" t="str">
        <f>IF(B648="","",IF(S648&lt;&gt;"","Sevk Edildi",IF(AND(X648&lt;&gt;"",Y648=""),"Reworkte",IF(T648&lt;&gt;"","Kapandı"&amp;IF(COUNT(G648:R648)=0,""," – "&amp;LOOKUP(2,1/(G648:R648=MAX(G648:R648)),{"Tasarım","Ply Cutter","Üretim","Kalite (Üretim sonrası)","Talaşlı","Kalite (Talaşlı sonrası)","Montaj","Kalite (Montaj sonrası)","Boya","Kalite (Boya sonrası)","Yarı Mamül","KM"})),IF(COUNT(G648:R648)=0,"Başlamadı",LOOKUP(2,1/(G648:R648=MAX(G648:R648)),{"Tasarımda","Ply Cutter'da","Üretimde","Kalitede (Üretim sonrası)","Talaşlıda","Kalitede (Talaşlı sonrası)","Montajda","Kalitede (Montaj sonrası)","Boyada","Kalitede (Boya sonrası)","Yarı Mamülde","KM'de"}))))))</f>
        <v/>
      </c>
      <c r="AA648" s="24" t="str">
        <f t="shared" ca="1" si="172"/>
        <v/>
      </c>
      <c r="AB648" s="22"/>
      <c r="AD648" t="str">
        <f>IF(OR($B648="",NOT(ISNUMBER(G648))),"",IF(COUNTIF(H648:$T648,G648)&gt;0,0,IF(COUNTIF($G648:$T648,"&gt;"&amp;G648)=0,"",SMALL($G648:$T648,COUNTIF($G648:$T648,"&lt;="&amp;G648)+1)-G648)))</f>
        <v/>
      </c>
      <c r="AE648" t="str">
        <f>IF(OR($B648="",NOT(ISNUMBER(H648))),"",IF(COUNTIF(I648:$T648,H648)&gt;0,0,IF(COUNTIF($G648:$T648,"&gt;"&amp;H648)=0,"",SMALL($G648:$T648,COUNTIF($G648:$T648,"&lt;="&amp;H648)+1)-H648)))</f>
        <v/>
      </c>
      <c r="AF648" t="str">
        <f>IF(OR($B648="",NOT(ISNUMBER(I648))),"",IF(COUNTIF(J648:$T648,I648)&gt;0,0,IF(COUNTIF($G648:$T648,"&gt;"&amp;I648)=0,"",SMALL($G648:$T648,COUNTIF($G648:$T648,"&lt;="&amp;I648)+1)-I648)))</f>
        <v/>
      </c>
      <c r="AG648" t="str">
        <f>IF(OR($B648="",NOT(ISNUMBER(J648))),"",IF(COUNTIF(K648:$T648,J648)&gt;0,0,IF(COUNTIF($G648:$T648,"&gt;"&amp;J648)=0,"",SMALL($G648:$T648,COUNTIF($G648:$T648,"&lt;="&amp;J648)+1)-J648)))</f>
        <v/>
      </c>
      <c r="AH648" t="str">
        <f>IF(OR($B648="",NOT(ISNUMBER(K648))),"",IF(COUNTIF(L648:$T648,K648)&gt;0,0,IF(COUNTIF($G648:$T648,"&gt;"&amp;K648)=0,"",SMALL($G648:$T648,COUNTIF($G648:$T648,"&lt;="&amp;K648)+1)-K648)))</f>
        <v/>
      </c>
      <c r="AI648" t="str">
        <f>IF(OR($B648="",NOT(ISNUMBER(L648))),"",IF(COUNTIF(M648:$T648,L648)&gt;0,0,IF(COUNTIF($G648:$T648,"&gt;"&amp;L648)=0,"",SMALL($G648:$T648,COUNTIF($G648:$T648,"&lt;="&amp;L648)+1)-L648)))</f>
        <v/>
      </c>
      <c r="AJ648" t="str">
        <f>IF(OR($B648="",NOT(ISNUMBER(M648))),"",IF(COUNTIF(N648:$T648,M648)&gt;0,0,IF(COUNTIF($G648:$T648,"&gt;"&amp;M648)=0,"",SMALL($G648:$T648,COUNTIF($G648:$T648,"&lt;="&amp;M648)+1)-M648)))</f>
        <v/>
      </c>
      <c r="AK648" t="str">
        <f>IF(OR($B648="",NOT(ISNUMBER(N648))),"",IF(COUNTIF(O648:$T648,N648)&gt;0,0,IF(COUNTIF($G648:$T648,"&gt;"&amp;N648)=0,"",SMALL($G648:$T648,COUNTIF($G648:$T648,"&lt;="&amp;N648)+1)-N648)))</f>
        <v/>
      </c>
      <c r="AL648" t="str">
        <f>IF(OR($B648="",NOT(ISNUMBER(O648))),"",IF(COUNTIF(P648:$T648,O648)&gt;0,0,IF(COUNTIF($G648:$T648,"&gt;"&amp;O648)=0,"",SMALL($G648:$T648,COUNTIF($G648:$T648,"&lt;="&amp;O648)+1)-O648)))</f>
        <v/>
      </c>
      <c r="AM648" t="str">
        <f>IF(OR($B648="",NOT(ISNUMBER(P648))),"",IF(COUNTIF(Q648:$T648,P648)&gt;0,0,IF(COUNTIF($G648:$T648,"&gt;"&amp;P648)=0,"",SMALL($G648:$T648,COUNTIF($G648:$T648,"&lt;="&amp;P648)+1)-P648)))</f>
        <v/>
      </c>
      <c r="AN648" t="str">
        <f>IF(OR($B648="",NOT(ISNUMBER(Q648))),"",IF(COUNTIF(R648:$T648,Q648)&gt;0,0,IF(COUNTIF($G648:$T648,"&gt;"&amp;Q648)=0,"",SMALL($G648:$T648,COUNTIF($G648:$T648,"&lt;="&amp;Q648)+1)-Q648)))</f>
        <v/>
      </c>
      <c r="AO648" t="str">
        <f>IF(OR($B648="",NOT(ISNUMBER(R648))),"",IF(COUNTIF(S648:$T648,R648)&gt;0,0,IF(COUNTIF($G648:$T648,"&gt;"&amp;R648)=0,"",SMALL($G648:$T648,COUNTIF($G648:$T648,"&lt;="&amp;R648)+1)-R648)))</f>
        <v/>
      </c>
      <c r="AP648">
        <f t="shared" ca="1" si="173"/>
        <v>0</v>
      </c>
      <c r="AQ648" s="25" t="str">
        <f t="shared" si="174"/>
        <v/>
      </c>
      <c r="AR648" s="25" t="str">
        <f t="shared" si="175"/>
        <v/>
      </c>
      <c r="AS648" s="25" t="str">
        <f t="shared" si="176"/>
        <v/>
      </c>
      <c r="AT648" s="25" t="str">
        <f t="shared" si="177"/>
        <v/>
      </c>
      <c r="AU648" s="25" t="str">
        <f t="shared" si="178"/>
        <v/>
      </c>
      <c r="AV648" s="25" t="str">
        <f t="shared" si="179"/>
        <v/>
      </c>
      <c r="AW648" s="25" t="str">
        <f t="shared" si="180"/>
        <v/>
      </c>
      <c r="AX648" s="25" t="str">
        <f t="shared" si="181"/>
        <v/>
      </c>
      <c r="AY648" s="25" t="str">
        <f t="shared" si="182"/>
        <v/>
      </c>
      <c r="AZ648" s="25" t="str">
        <f t="shared" si="183"/>
        <v/>
      </c>
      <c r="BA648" s="25" t="str">
        <f t="shared" si="184"/>
        <v/>
      </c>
      <c r="BB648" s="25" t="str">
        <f t="shared" si="185"/>
        <v/>
      </c>
      <c r="BC648" s="25" t="str">
        <f t="shared" si="186"/>
        <v/>
      </c>
    </row>
    <row r="649" spans="1:55" x14ac:dyDescent="0.25">
      <c r="A649" s="19" t="str">
        <f t="shared" si="171"/>
        <v/>
      </c>
      <c r="B649" s="19"/>
      <c r="C649" s="20"/>
      <c r="D649" s="19" t="str">
        <f t="shared" si="170"/>
        <v/>
      </c>
      <c r="E649" s="19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19"/>
      <c r="U649" s="19"/>
      <c r="V649" s="20"/>
      <c r="W649" s="22"/>
      <c r="X649" s="21"/>
      <c r="Y649" s="21"/>
      <c r="Z649" s="23" t="str">
        <f>IF(B649="","",IF(S649&lt;&gt;"","Sevk Edildi",IF(AND(X649&lt;&gt;"",Y649=""),"Reworkte",IF(T649&lt;&gt;"","Kapandı"&amp;IF(COUNT(G649:R649)=0,""," – "&amp;LOOKUP(2,1/(G649:R649=MAX(G649:R649)),{"Tasarım","Ply Cutter","Üretim","Kalite (Üretim sonrası)","Talaşlı","Kalite (Talaşlı sonrası)","Montaj","Kalite (Montaj sonrası)","Boya","Kalite (Boya sonrası)","Yarı Mamül","KM"})),IF(COUNT(G649:R649)=0,"Başlamadı",LOOKUP(2,1/(G649:R649=MAX(G649:R649)),{"Tasarımda","Ply Cutter'da","Üretimde","Kalitede (Üretim sonrası)","Talaşlıda","Kalitede (Talaşlı sonrası)","Montajda","Kalitede (Montaj sonrası)","Boyada","Kalitede (Boya sonrası)","Yarı Mamülde","KM'de"}))))))</f>
        <v/>
      </c>
      <c r="AA649" s="24" t="str">
        <f t="shared" ca="1" si="172"/>
        <v/>
      </c>
      <c r="AB649" s="22"/>
      <c r="AD649" t="str">
        <f>IF(OR($B649="",NOT(ISNUMBER(G649))),"",IF(COUNTIF(H649:$T649,G649)&gt;0,0,IF(COUNTIF($G649:$T649,"&gt;"&amp;G649)=0,"",SMALL($G649:$T649,COUNTIF($G649:$T649,"&lt;="&amp;G649)+1)-G649)))</f>
        <v/>
      </c>
      <c r="AE649" t="str">
        <f>IF(OR($B649="",NOT(ISNUMBER(H649))),"",IF(COUNTIF(I649:$T649,H649)&gt;0,0,IF(COUNTIF($G649:$T649,"&gt;"&amp;H649)=0,"",SMALL($G649:$T649,COUNTIF($G649:$T649,"&lt;="&amp;H649)+1)-H649)))</f>
        <v/>
      </c>
      <c r="AF649" t="str">
        <f>IF(OR($B649="",NOT(ISNUMBER(I649))),"",IF(COUNTIF(J649:$T649,I649)&gt;0,0,IF(COUNTIF($G649:$T649,"&gt;"&amp;I649)=0,"",SMALL($G649:$T649,COUNTIF($G649:$T649,"&lt;="&amp;I649)+1)-I649)))</f>
        <v/>
      </c>
      <c r="AG649" t="str">
        <f>IF(OR($B649="",NOT(ISNUMBER(J649))),"",IF(COUNTIF(K649:$T649,J649)&gt;0,0,IF(COUNTIF($G649:$T649,"&gt;"&amp;J649)=0,"",SMALL($G649:$T649,COUNTIF($G649:$T649,"&lt;="&amp;J649)+1)-J649)))</f>
        <v/>
      </c>
      <c r="AH649" t="str">
        <f>IF(OR($B649="",NOT(ISNUMBER(K649))),"",IF(COUNTIF(L649:$T649,K649)&gt;0,0,IF(COUNTIF($G649:$T649,"&gt;"&amp;K649)=0,"",SMALL($G649:$T649,COUNTIF($G649:$T649,"&lt;="&amp;K649)+1)-K649)))</f>
        <v/>
      </c>
      <c r="AI649" t="str">
        <f>IF(OR($B649="",NOT(ISNUMBER(L649))),"",IF(COUNTIF(M649:$T649,L649)&gt;0,0,IF(COUNTIF($G649:$T649,"&gt;"&amp;L649)=0,"",SMALL($G649:$T649,COUNTIF($G649:$T649,"&lt;="&amp;L649)+1)-L649)))</f>
        <v/>
      </c>
      <c r="AJ649" t="str">
        <f>IF(OR($B649="",NOT(ISNUMBER(M649))),"",IF(COUNTIF(N649:$T649,M649)&gt;0,0,IF(COUNTIF($G649:$T649,"&gt;"&amp;M649)=0,"",SMALL($G649:$T649,COUNTIF($G649:$T649,"&lt;="&amp;M649)+1)-M649)))</f>
        <v/>
      </c>
      <c r="AK649" t="str">
        <f>IF(OR($B649="",NOT(ISNUMBER(N649))),"",IF(COUNTIF(O649:$T649,N649)&gt;0,0,IF(COUNTIF($G649:$T649,"&gt;"&amp;N649)=0,"",SMALL($G649:$T649,COUNTIF($G649:$T649,"&lt;="&amp;N649)+1)-N649)))</f>
        <v/>
      </c>
      <c r="AL649" t="str">
        <f>IF(OR($B649="",NOT(ISNUMBER(O649))),"",IF(COUNTIF(P649:$T649,O649)&gt;0,0,IF(COUNTIF($G649:$T649,"&gt;"&amp;O649)=0,"",SMALL($G649:$T649,COUNTIF($G649:$T649,"&lt;="&amp;O649)+1)-O649)))</f>
        <v/>
      </c>
      <c r="AM649" t="str">
        <f>IF(OR($B649="",NOT(ISNUMBER(P649))),"",IF(COUNTIF(Q649:$T649,P649)&gt;0,0,IF(COUNTIF($G649:$T649,"&gt;"&amp;P649)=0,"",SMALL($G649:$T649,COUNTIF($G649:$T649,"&lt;="&amp;P649)+1)-P649)))</f>
        <v/>
      </c>
      <c r="AN649" t="str">
        <f>IF(OR($B649="",NOT(ISNUMBER(Q649))),"",IF(COUNTIF(R649:$T649,Q649)&gt;0,0,IF(COUNTIF($G649:$T649,"&gt;"&amp;Q649)=0,"",SMALL($G649:$T649,COUNTIF($G649:$T649,"&lt;="&amp;Q649)+1)-Q649)))</f>
        <v/>
      </c>
      <c r="AO649" t="str">
        <f>IF(OR($B649="",NOT(ISNUMBER(R649))),"",IF(COUNTIF(S649:$T649,R649)&gt;0,0,IF(COUNTIF($G649:$T649,"&gt;"&amp;R649)=0,"",SMALL($G649:$T649,COUNTIF($G649:$T649,"&lt;="&amp;R649)+1)-R649)))</f>
        <v/>
      </c>
      <c r="AP649">
        <f t="shared" ca="1" si="173"/>
        <v>0</v>
      </c>
      <c r="AQ649" s="25" t="str">
        <f t="shared" si="174"/>
        <v/>
      </c>
      <c r="AR649" s="25" t="str">
        <f t="shared" si="175"/>
        <v/>
      </c>
      <c r="AS649" s="25" t="str">
        <f t="shared" si="176"/>
        <v/>
      </c>
      <c r="AT649" s="25" t="str">
        <f t="shared" si="177"/>
        <v/>
      </c>
      <c r="AU649" s="25" t="str">
        <f t="shared" si="178"/>
        <v/>
      </c>
      <c r="AV649" s="25" t="str">
        <f t="shared" si="179"/>
        <v/>
      </c>
      <c r="AW649" s="25" t="str">
        <f t="shared" si="180"/>
        <v/>
      </c>
      <c r="AX649" s="25" t="str">
        <f t="shared" si="181"/>
        <v/>
      </c>
      <c r="AY649" s="25" t="str">
        <f t="shared" si="182"/>
        <v/>
      </c>
      <c r="AZ649" s="25" t="str">
        <f t="shared" si="183"/>
        <v/>
      </c>
      <c r="BA649" s="25" t="str">
        <f t="shared" si="184"/>
        <v/>
      </c>
      <c r="BB649" s="25" t="str">
        <f t="shared" si="185"/>
        <v/>
      </c>
      <c r="BC649" s="25" t="str">
        <f t="shared" si="186"/>
        <v/>
      </c>
    </row>
    <row r="650" spans="1:55" x14ac:dyDescent="0.25">
      <c r="A650" s="19" t="str">
        <f t="shared" si="171"/>
        <v/>
      </c>
      <c r="B650" s="19"/>
      <c r="C650" s="20"/>
      <c r="D650" s="19" t="str">
        <f t="shared" si="170"/>
        <v/>
      </c>
      <c r="E650" s="19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19"/>
      <c r="U650" s="19"/>
      <c r="V650" s="20"/>
      <c r="W650" s="22"/>
      <c r="X650" s="21"/>
      <c r="Y650" s="21"/>
      <c r="Z650" s="23" t="str">
        <f>IF(B650="","",IF(S650&lt;&gt;"","Sevk Edildi",IF(AND(X650&lt;&gt;"",Y650=""),"Reworkte",IF(T650&lt;&gt;"","Kapandı"&amp;IF(COUNT(G650:R650)=0,""," – "&amp;LOOKUP(2,1/(G650:R650=MAX(G650:R650)),{"Tasarım","Ply Cutter","Üretim","Kalite (Üretim sonrası)","Talaşlı","Kalite (Talaşlı sonrası)","Montaj","Kalite (Montaj sonrası)","Boya","Kalite (Boya sonrası)","Yarı Mamül","KM"})),IF(COUNT(G650:R650)=0,"Başlamadı",LOOKUP(2,1/(G650:R650=MAX(G650:R650)),{"Tasarımda","Ply Cutter'da","Üretimde","Kalitede (Üretim sonrası)","Talaşlıda","Kalitede (Talaşlı sonrası)","Montajda","Kalitede (Montaj sonrası)","Boyada","Kalitede (Boya sonrası)","Yarı Mamülde","KM'de"}))))))</f>
        <v/>
      </c>
      <c r="AA650" s="24" t="str">
        <f t="shared" ca="1" si="172"/>
        <v/>
      </c>
      <c r="AB650" s="22"/>
      <c r="AD650" t="str">
        <f>IF(OR($B650="",NOT(ISNUMBER(G650))),"",IF(COUNTIF(H650:$T650,G650)&gt;0,0,IF(COUNTIF($G650:$T650,"&gt;"&amp;G650)=0,"",SMALL($G650:$T650,COUNTIF($G650:$T650,"&lt;="&amp;G650)+1)-G650)))</f>
        <v/>
      </c>
      <c r="AE650" t="str">
        <f>IF(OR($B650="",NOT(ISNUMBER(H650))),"",IF(COUNTIF(I650:$T650,H650)&gt;0,0,IF(COUNTIF($G650:$T650,"&gt;"&amp;H650)=0,"",SMALL($G650:$T650,COUNTIF($G650:$T650,"&lt;="&amp;H650)+1)-H650)))</f>
        <v/>
      </c>
      <c r="AF650" t="str">
        <f>IF(OR($B650="",NOT(ISNUMBER(I650))),"",IF(COUNTIF(J650:$T650,I650)&gt;0,0,IF(COUNTIF($G650:$T650,"&gt;"&amp;I650)=0,"",SMALL($G650:$T650,COUNTIF($G650:$T650,"&lt;="&amp;I650)+1)-I650)))</f>
        <v/>
      </c>
      <c r="AG650" t="str">
        <f>IF(OR($B650="",NOT(ISNUMBER(J650))),"",IF(COUNTIF(K650:$T650,J650)&gt;0,0,IF(COUNTIF($G650:$T650,"&gt;"&amp;J650)=0,"",SMALL($G650:$T650,COUNTIF($G650:$T650,"&lt;="&amp;J650)+1)-J650)))</f>
        <v/>
      </c>
      <c r="AH650" t="str">
        <f>IF(OR($B650="",NOT(ISNUMBER(K650))),"",IF(COUNTIF(L650:$T650,K650)&gt;0,0,IF(COUNTIF($G650:$T650,"&gt;"&amp;K650)=0,"",SMALL($G650:$T650,COUNTIF($G650:$T650,"&lt;="&amp;K650)+1)-K650)))</f>
        <v/>
      </c>
      <c r="AI650" t="str">
        <f>IF(OR($B650="",NOT(ISNUMBER(L650))),"",IF(COUNTIF(M650:$T650,L650)&gt;0,0,IF(COUNTIF($G650:$T650,"&gt;"&amp;L650)=0,"",SMALL($G650:$T650,COUNTIF($G650:$T650,"&lt;="&amp;L650)+1)-L650)))</f>
        <v/>
      </c>
      <c r="AJ650" t="str">
        <f>IF(OR($B650="",NOT(ISNUMBER(M650))),"",IF(COUNTIF(N650:$T650,M650)&gt;0,0,IF(COUNTIF($G650:$T650,"&gt;"&amp;M650)=0,"",SMALL($G650:$T650,COUNTIF($G650:$T650,"&lt;="&amp;M650)+1)-M650)))</f>
        <v/>
      </c>
      <c r="AK650" t="str">
        <f>IF(OR($B650="",NOT(ISNUMBER(N650))),"",IF(COUNTIF(O650:$T650,N650)&gt;0,0,IF(COUNTIF($G650:$T650,"&gt;"&amp;N650)=0,"",SMALL($G650:$T650,COUNTIF($G650:$T650,"&lt;="&amp;N650)+1)-N650)))</f>
        <v/>
      </c>
      <c r="AL650" t="str">
        <f>IF(OR($B650="",NOT(ISNUMBER(O650))),"",IF(COUNTIF(P650:$T650,O650)&gt;0,0,IF(COUNTIF($G650:$T650,"&gt;"&amp;O650)=0,"",SMALL($G650:$T650,COUNTIF($G650:$T650,"&lt;="&amp;O650)+1)-O650)))</f>
        <v/>
      </c>
      <c r="AM650" t="str">
        <f>IF(OR($B650="",NOT(ISNUMBER(P650))),"",IF(COUNTIF(Q650:$T650,P650)&gt;0,0,IF(COUNTIF($G650:$T650,"&gt;"&amp;P650)=0,"",SMALL($G650:$T650,COUNTIF($G650:$T650,"&lt;="&amp;P650)+1)-P650)))</f>
        <v/>
      </c>
      <c r="AN650" t="str">
        <f>IF(OR($B650="",NOT(ISNUMBER(Q650))),"",IF(COUNTIF(R650:$T650,Q650)&gt;0,0,IF(COUNTIF($G650:$T650,"&gt;"&amp;Q650)=0,"",SMALL($G650:$T650,COUNTIF($G650:$T650,"&lt;="&amp;Q650)+1)-Q650)))</f>
        <v/>
      </c>
      <c r="AO650" t="str">
        <f>IF(OR($B650="",NOT(ISNUMBER(R650))),"",IF(COUNTIF(S650:$T650,R650)&gt;0,0,IF(COUNTIF($G650:$T650,"&gt;"&amp;R650)=0,"",SMALL($G650:$T650,COUNTIF($G650:$T650,"&lt;="&amp;R650)+1)-R650)))</f>
        <v/>
      </c>
      <c r="AP650">
        <f t="shared" ca="1" si="173"/>
        <v>0</v>
      </c>
      <c r="AQ650" s="25" t="str">
        <f t="shared" si="174"/>
        <v/>
      </c>
      <c r="AR650" s="25" t="str">
        <f t="shared" si="175"/>
        <v/>
      </c>
      <c r="AS650" s="25" t="str">
        <f t="shared" si="176"/>
        <v/>
      </c>
      <c r="AT650" s="25" t="str">
        <f t="shared" si="177"/>
        <v/>
      </c>
      <c r="AU650" s="25" t="str">
        <f t="shared" si="178"/>
        <v/>
      </c>
      <c r="AV650" s="25" t="str">
        <f t="shared" si="179"/>
        <v/>
      </c>
      <c r="AW650" s="25" t="str">
        <f t="shared" si="180"/>
        <v/>
      </c>
      <c r="AX650" s="25" t="str">
        <f t="shared" si="181"/>
        <v/>
      </c>
      <c r="AY650" s="25" t="str">
        <f t="shared" si="182"/>
        <v/>
      </c>
      <c r="AZ650" s="25" t="str">
        <f t="shared" si="183"/>
        <v/>
      </c>
      <c r="BA650" s="25" t="str">
        <f t="shared" si="184"/>
        <v/>
      </c>
      <c r="BB650" s="25" t="str">
        <f t="shared" si="185"/>
        <v/>
      </c>
      <c r="BC650" s="25" t="str">
        <f t="shared" si="186"/>
        <v/>
      </c>
    </row>
    <row r="651" spans="1:55" x14ac:dyDescent="0.25">
      <c r="A651" s="19" t="str">
        <f t="shared" si="171"/>
        <v/>
      </c>
      <c r="B651" s="19"/>
      <c r="C651" s="20"/>
      <c r="D651" s="19" t="str">
        <f t="shared" si="170"/>
        <v/>
      </c>
      <c r="E651" s="19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19"/>
      <c r="U651" s="19"/>
      <c r="V651" s="20"/>
      <c r="W651" s="22"/>
      <c r="X651" s="21"/>
      <c r="Y651" s="21"/>
      <c r="Z651" s="23" t="str">
        <f>IF(B651="","",IF(S651&lt;&gt;"","Sevk Edildi",IF(AND(X651&lt;&gt;"",Y651=""),"Reworkte",IF(T651&lt;&gt;"","Kapandı"&amp;IF(COUNT(G651:R651)=0,""," – "&amp;LOOKUP(2,1/(G651:R651=MAX(G651:R651)),{"Tasarım","Ply Cutter","Üretim","Kalite (Üretim sonrası)","Talaşlı","Kalite (Talaşlı sonrası)","Montaj","Kalite (Montaj sonrası)","Boya","Kalite (Boya sonrası)","Yarı Mamül","KM"})),IF(COUNT(G651:R651)=0,"Başlamadı",LOOKUP(2,1/(G651:R651=MAX(G651:R651)),{"Tasarımda","Ply Cutter'da","Üretimde","Kalitede (Üretim sonrası)","Talaşlıda","Kalitede (Talaşlı sonrası)","Montajda","Kalitede (Montaj sonrası)","Boyada","Kalitede (Boya sonrası)","Yarı Mamülde","KM'de"}))))))</f>
        <v/>
      </c>
      <c r="AA651" s="24" t="str">
        <f t="shared" ca="1" si="172"/>
        <v/>
      </c>
      <c r="AB651" s="22"/>
      <c r="AD651" t="str">
        <f>IF(OR($B651="",NOT(ISNUMBER(G651))),"",IF(COUNTIF(H651:$T651,G651)&gt;0,0,IF(COUNTIF($G651:$T651,"&gt;"&amp;G651)=0,"",SMALL($G651:$T651,COUNTIF($G651:$T651,"&lt;="&amp;G651)+1)-G651)))</f>
        <v/>
      </c>
      <c r="AE651" t="str">
        <f>IF(OR($B651="",NOT(ISNUMBER(H651))),"",IF(COUNTIF(I651:$T651,H651)&gt;0,0,IF(COUNTIF($G651:$T651,"&gt;"&amp;H651)=0,"",SMALL($G651:$T651,COUNTIF($G651:$T651,"&lt;="&amp;H651)+1)-H651)))</f>
        <v/>
      </c>
      <c r="AF651" t="str">
        <f>IF(OR($B651="",NOT(ISNUMBER(I651))),"",IF(COUNTIF(J651:$T651,I651)&gt;0,0,IF(COUNTIF($G651:$T651,"&gt;"&amp;I651)=0,"",SMALL($G651:$T651,COUNTIF($G651:$T651,"&lt;="&amp;I651)+1)-I651)))</f>
        <v/>
      </c>
      <c r="AG651" t="str">
        <f>IF(OR($B651="",NOT(ISNUMBER(J651))),"",IF(COUNTIF(K651:$T651,J651)&gt;0,0,IF(COUNTIF($G651:$T651,"&gt;"&amp;J651)=0,"",SMALL($G651:$T651,COUNTIF($G651:$T651,"&lt;="&amp;J651)+1)-J651)))</f>
        <v/>
      </c>
      <c r="AH651" t="str">
        <f>IF(OR($B651="",NOT(ISNUMBER(K651))),"",IF(COUNTIF(L651:$T651,K651)&gt;0,0,IF(COUNTIF($G651:$T651,"&gt;"&amp;K651)=0,"",SMALL($G651:$T651,COUNTIF($G651:$T651,"&lt;="&amp;K651)+1)-K651)))</f>
        <v/>
      </c>
      <c r="AI651" t="str">
        <f>IF(OR($B651="",NOT(ISNUMBER(L651))),"",IF(COUNTIF(M651:$T651,L651)&gt;0,0,IF(COUNTIF($G651:$T651,"&gt;"&amp;L651)=0,"",SMALL($G651:$T651,COUNTIF($G651:$T651,"&lt;="&amp;L651)+1)-L651)))</f>
        <v/>
      </c>
      <c r="AJ651" t="str">
        <f>IF(OR($B651="",NOT(ISNUMBER(M651))),"",IF(COUNTIF(N651:$T651,M651)&gt;0,0,IF(COUNTIF($G651:$T651,"&gt;"&amp;M651)=0,"",SMALL($G651:$T651,COUNTIF($G651:$T651,"&lt;="&amp;M651)+1)-M651)))</f>
        <v/>
      </c>
      <c r="AK651" t="str">
        <f>IF(OR($B651="",NOT(ISNUMBER(N651))),"",IF(COUNTIF(O651:$T651,N651)&gt;0,0,IF(COUNTIF($G651:$T651,"&gt;"&amp;N651)=0,"",SMALL($G651:$T651,COUNTIF($G651:$T651,"&lt;="&amp;N651)+1)-N651)))</f>
        <v/>
      </c>
      <c r="AL651" t="str">
        <f>IF(OR($B651="",NOT(ISNUMBER(O651))),"",IF(COUNTIF(P651:$T651,O651)&gt;0,0,IF(COUNTIF($G651:$T651,"&gt;"&amp;O651)=0,"",SMALL($G651:$T651,COUNTIF($G651:$T651,"&lt;="&amp;O651)+1)-O651)))</f>
        <v/>
      </c>
      <c r="AM651" t="str">
        <f>IF(OR($B651="",NOT(ISNUMBER(P651))),"",IF(COUNTIF(Q651:$T651,P651)&gt;0,0,IF(COUNTIF($G651:$T651,"&gt;"&amp;P651)=0,"",SMALL($G651:$T651,COUNTIF($G651:$T651,"&lt;="&amp;P651)+1)-P651)))</f>
        <v/>
      </c>
      <c r="AN651" t="str">
        <f>IF(OR($B651="",NOT(ISNUMBER(Q651))),"",IF(COUNTIF(R651:$T651,Q651)&gt;0,0,IF(COUNTIF($G651:$T651,"&gt;"&amp;Q651)=0,"",SMALL($G651:$T651,COUNTIF($G651:$T651,"&lt;="&amp;Q651)+1)-Q651)))</f>
        <v/>
      </c>
      <c r="AO651" t="str">
        <f>IF(OR($B651="",NOT(ISNUMBER(R651))),"",IF(COUNTIF(S651:$T651,R651)&gt;0,0,IF(COUNTIF($G651:$T651,"&gt;"&amp;R651)=0,"",SMALL($G651:$T651,COUNTIF($G651:$T651,"&lt;="&amp;R651)+1)-R651)))</f>
        <v/>
      </c>
      <c r="AP651">
        <f t="shared" ca="1" si="173"/>
        <v>0</v>
      </c>
      <c r="AQ651" s="25" t="str">
        <f t="shared" si="174"/>
        <v/>
      </c>
      <c r="AR651" s="25" t="str">
        <f t="shared" si="175"/>
        <v/>
      </c>
      <c r="AS651" s="25" t="str">
        <f t="shared" si="176"/>
        <v/>
      </c>
      <c r="AT651" s="25" t="str">
        <f t="shared" si="177"/>
        <v/>
      </c>
      <c r="AU651" s="25" t="str">
        <f t="shared" si="178"/>
        <v/>
      </c>
      <c r="AV651" s="25" t="str">
        <f t="shared" si="179"/>
        <v/>
      </c>
      <c r="AW651" s="25" t="str">
        <f t="shared" si="180"/>
        <v/>
      </c>
      <c r="AX651" s="25" t="str">
        <f t="shared" si="181"/>
        <v/>
      </c>
      <c r="AY651" s="25" t="str">
        <f t="shared" si="182"/>
        <v/>
      </c>
      <c r="AZ651" s="25" t="str">
        <f t="shared" si="183"/>
        <v/>
      </c>
      <c r="BA651" s="25" t="str">
        <f t="shared" si="184"/>
        <v/>
      </c>
      <c r="BB651" s="25" t="str">
        <f t="shared" si="185"/>
        <v/>
      </c>
      <c r="BC651" s="25" t="str">
        <f t="shared" si="186"/>
        <v/>
      </c>
    </row>
    <row r="652" spans="1:55" x14ac:dyDescent="0.25">
      <c r="A652" s="19" t="str">
        <f t="shared" si="171"/>
        <v/>
      </c>
      <c r="B652" s="19"/>
      <c r="C652" s="20"/>
      <c r="D652" s="19" t="str">
        <f t="shared" si="170"/>
        <v/>
      </c>
      <c r="E652" s="19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19"/>
      <c r="U652" s="19"/>
      <c r="V652" s="20"/>
      <c r="W652" s="22"/>
      <c r="X652" s="21"/>
      <c r="Y652" s="21"/>
      <c r="Z652" s="23" t="str">
        <f>IF(B652="","",IF(S652&lt;&gt;"","Sevk Edildi",IF(AND(X652&lt;&gt;"",Y652=""),"Reworkte",IF(T652&lt;&gt;"","Kapandı"&amp;IF(COUNT(G652:R652)=0,""," – "&amp;LOOKUP(2,1/(G652:R652=MAX(G652:R652)),{"Tasarım","Ply Cutter","Üretim","Kalite (Üretim sonrası)","Talaşlı","Kalite (Talaşlı sonrası)","Montaj","Kalite (Montaj sonrası)","Boya","Kalite (Boya sonrası)","Yarı Mamül","KM"})),IF(COUNT(G652:R652)=0,"Başlamadı",LOOKUP(2,1/(G652:R652=MAX(G652:R652)),{"Tasarımda","Ply Cutter'da","Üretimde","Kalitede (Üretim sonrası)","Talaşlıda","Kalitede (Talaşlı sonrası)","Montajda","Kalitede (Montaj sonrası)","Boyada","Kalitede (Boya sonrası)","Yarı Mamülde","KM'de"}))))))</f>
        <v/>
      </c>
      <c r="AA652" s="24" t="str">
        <f t="shared" ca="1" si="172"/>
        <v/>
      </c>
      <c r="AB652" s="22"/>
      <c r="AD652" t="str">
        <f>IF(OR($B652="",NOT(ISNUMBER(G652))),"",IF(COUNTIF(H652:$T652,G652)&gt;0,0,IF(COUNTIF($G652:$T652,"&gt;"&amp;G652)=0,"",SMALL($G652:$T652,COUNTIF($G652:$T652,"&lt;="&amp;G652)+1)-G652)))</f>
        <v/>
      </c>
      <c r="AE652" t="str">
        <f>IF(OR($B652="",NOT(ISNUMBER(H652))),"",IF(COUNTIF(I652:$T652,H652)&gt;0,0,IF(COUNTIF($G652:$T652,"&gt;"&amp;H652)=0,"",SMALL($G652:$T652,COUNTIF($G652:$T652,"&lt;="&amp;H652)+1)-H652)))</f>
        <v/>
      </c>
      <c r="AF652" t="str">
        <f>IF(OR($B652="",NOT(ISNUMBER(I652))),"",IF(COUNTIF(J652:$T652,I652)&gt;0,0,IF(COUNTIF($G652:$T652,"&gt;"&amp;I652)=0,"",SMALL($G652:$T652,COUNTIF($G652:$T652,"&lt;="&amp;I652)+1)-I652)))</f>
        <v/>
      </c>
      <c r="AG652" t="str">
        <f>IF(OR($B652="",NOT(ISNUMBER(J652))),"",IF(COUNTIF(K652:$T652,J652)&gt;0,0,IF(COUNTIF($G652:$T652,"&gt;"&amp;J652)=0,"",SMALL($G652:$T652,COUNTIF($G652:$T652,"&lt;="&amp;J652)+1)-J652)))</f>
        <v/>
      </c>
      <c r="AH652" t="str">
        <f>IF(OR($B652="",NOT(ISNUMBER(K652))),"",IF(COUNTIF(L652:$T652,K652)&gt;0,0,IF(COUNTIF($G652:$T652,"&gt;"&amp;K652)=0,"",SMALL($G652:$T652,COUNTIF($G652:$T652,"&lt;="&amp;K652)+1)-K652)))</f>
        <v/>
      </c>
      <c r="AI652" t="str">
        <f>IF(OR($B652="",NOT(ISNUMBER(L652))),"",IF(COUNTIF(M652:$T652,L652)&gt;0,0,IF(COUNTIF($G652:$T652,"&gt;"&amp;L652)=0,"",SMALL($G652:$T652,COUNTIF($G652:$T652,"&lt;="&amp;L652)+1)-L652)))</f>
        <v/>
      </c>
      <c r="AJ652" t="str">
        <f>IF(OR($B652="",NOT(ISNUMBER(M652))),"",IF(COUNTIF(N652:$T652,M652)&gt;0,0,IF(COUNTIF($G652:$T652,"&gt;"&amp;M652)=0,"",SMALL($G652:$T652,COUNTIF($G652:$T652,"&lt;="&amp;M652)+1)-M652)))</f>
        <v/>
      </c>
      <c r="AK652" t="str">
        <f>IF(OR($B652="",NOT(ISNUMBER(N652))),"",IF(COUNTIF(O652:$T652,N652)&gt;0,0,IF(COUNTIF($G652:$T652,"&gt;"&amp;N652)=0,"",SMALL($G652:$T652,COUNTIF($G652:$T652,"&lt;="&amp;N652)+1)-N652)))</f>
        <v/>
      </c>
      <c r="AL652" t="str">
        <f>IF(OR($B652="",NOT(ISNUMBER(O652))),"",IF(COUNTIF(P652:$T652,O652)&gt;0,0,IF(COUNTIF($G652:$T652,"&gt;"&amp;O652)=0,"",SMALL($G652:$T652,COUNTIF($G652:$T652,"&lt;="&amp;O652)+1)-O652)))</f>
        <v/>
      </c>
      <c r="AM652" t="str">
        <f>IF(OR($B652="",NOT(ISNUMBER(P652))),"",IF(COUNTIF(Q652:$T652,P652)&gt;0,0,IF(COUNTIF($G652:$T652,"&gt;"&amp;P652)=0,"",SMALL($G652:$T652,COUNTIF($G652:$T652,"&lt;="&amp;P652)+1)-P652)))</f>
        <v/>
      </c>
      <c r="AN652" t="str">
        <f>IF(OR($B652="",NOT(ISNUMBER(Q652))),"",IF(COUNTIF(R652:$T652,Q652)&gt;0,0,IF(COUNTIF($G652:$T652,"&gt;"&amp;Q652)=0,"",SMALL($G652:$T652,COUNTIF($G652:$T652,"&lt;="&amp;Q652)+1)-Q652)))</f>
        <v/>
      </c>
      <c r="AO652" t="str">
        <f>IF(OR($B652="",NOT(ISNUMBER(R652))),"",IF(COUNTIF(S652:$T652,R652)&gt;0,0,IF(COUNTIF($G652:$T652,"&gt;"&amp;R652)=0,"",SMALL($G652:$T652,COUNTIF($G652:$T652,"&lt;="&amp;R652)+1)-R652)))</f>
        <v/>
      </c>
      <c r="AP652">
        <f t="shared" ca="1" si="173"/>
        <v>0</v>
      </c>
      <c r="AQ652" s="25" t="str">
        <f t="shared" si="174"/>
        <v/>
      </c>
      <c r="AR652" s="25" t="str">
        <f t="shared" si="175"/>
        <v/>
      </c>
      <c r="AS652" s="25" t="str">
        <f t="shared" si="176"/>
        <v/>
      </c>
      <c r="AT652" s="25" t="str">
        <f t="shared" si="177"/>
        <v/>
      </c>
      <c r="AU652" s="25" t="str">
        <f t="shared" si="178"/>
        <v/>
      </c>
      <c r="AV652" s="25" t="str">
        <f t="shared" si="179"/>
        <v/>
      </c>
      <c r="AW652" s="25" t="str">
        <f t="shared" si="180"/>
        <v/>
      </c>
      <c r="AX652" s="25" t="str">
        <f t="shared" si="181"/>
        <v/>
      </c>
      <c r="AY652" s="25" t="str">
        <f t="shared" si="182"/>
        <v/>
      </c>
      <c r="AZ652" s="25" t="str">
        <f t="shared" si="183"/>
        <v/>
      </c>
      <c r="BA652" s="25" t="str">
        <f t="shared" si="184"/>
        <v/>
      </c>
      <c r="BB652" s="25" t="str">
        <f t="shared" si="185"/>
        <v/>
      </c>
      <c r="BC652" s="25" t="str">
        <f t="shared" si="186"/>
        <v/>
      </c>
    </row>
    <row r="653" spans="1:55" x14ac:dyDescent="0.25">
      <c r="A653" s="19" t="str">
        <f t="shared" si="171"/>
        <v/>
      </c>
      <c r="B653" s="19"/>
      <c r="C653" s="20"/>
      <c r="D653" s="19" t="str">
        <f t="shared" si="170"/>
        <v/>
      </c>
      <c r="E653" s="19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19"/>
      <c r="U653" s="19"/>
      <c r="V653" s="20"/>
      <c r="W653" s="22"/>
      <c r="X653" s="21"/>
      <c r="Y653" s="21"/>
      <c r="Z653" s="23" t="str">
        <f>IF(B653="","",IF(S653&lt;&gt;"","Sevk Edildi",IF(AND(X653&lt;&gt;"",Y653=""),"Reworkte",IF(T653&lt;&gt;"","Kapandı"&amp;IF(COUNT(G653:R653)=0,""," – "&amp;LOOKUP(2,1/(G653:R653=MAX(G653:R653)),{"Tasarım","Ply Cutter","Üretim","Kalite (Üretim sonrası)","Talaşlı","Kalite (Talaşlı sonrası)","Montaj","Kalite (Montaj sonrası)","Boya","Kalite (Boya sonrası)","Yarı Mamül","KM"})),IF(COUNT(G653:R653)=0,"Başlamadı",LOOKUP(2,1/(G653:R653=MAX(G653:R653)),{"Tasarımda","Ply Cutter'da","Üretimde","Kalitede (Üretim sonrası)","Talaşlıda","Kalitede (Talaşlı sonrası)","Montajda","Kalitede (Montaj sonrası)","Boyada","Kalitede (Boya sonrası)","Yarı Mamülde","KM'de"}))))))</f>
        <v/>
      </c>
      <c r="AA653" s="24" t="str">
        <f t="shared" ca="1" si="172"/>
        <v/>
      </c>
      <c r="AB653" s="22"/>
      <c r="AD653" t="str">
        <f>IF(OR($B653="",NOT(ISNUMBER(G653))),"",IF(COUNTIF(H653:$T653,G653)&gt;0,0,IF(COUNTIF($G653:$T653,"&gt;"&amp;G653)=0,"",SMALL($G653:$T653,COUNTIF($G653:$T653,"&lt;="&amp;G653)+1)-G653)))</f>
        <v/>
      </c>
      <c r="AE653" t="str">
        <f>IF(OR($B653="",NOT(ISNUMBER(H653))),"",IF(COUNTIF(I653:$T653,H653)&gt;0,0,IF(COUNTIF($G653:$T653,"&gt;"&amp;H653)=0,"",SMALL($G653:$T653,COUNTIF($G653:$T653,"&lt;="&amp;H653)+1)-H653)))</f>
        <v/>
      </c>
      <c r="AF653" t="str">
        <f>IF(OR($B653="",NOT(ISNUMBER(I653))),"",IF(COUNTIF(J653:$T653,I653)&gt;0,0,IF(COUNTIF($G653:$T653,"&gt;"&amp;I653)=0,"",SMALL($G653:$T653,COUNTIF($G653:$T653,"&lt;="&amp;I653)+1)-I653)))</f>
        <v/>
      </c>
      <c r="AG653" t="str">
        <f>IF(OR($B653="",NOT(ISNUMBER(J653))),"",IF(COUNTIF(K653:$T653,J653)&gt;0,0,IF(COUNTIF($G653:$T653,"&gt;"&amp;J653)=0,"",SMALL($G653:$T653,COUNTIF($G653:$T653,"&lt;="&amp;J653)+1)-J653)))</f>
        <v/>
      </c>
      <c r="AH653" t="str">
        <f>IF(OR($B653="",NOT(ISNUMBER(K653))),"",IF(COUNTIF(L653:$T653,K653)&gt;0,0,IF(COUNTIF($G653:$T653,"&gt;"&amp;K653)=0,"",SMALL($G653:$T653,COUNTIF($G653:$T653,"&lt;="&amp;K653)+1)-K653)))</f>
        <v/>
      </c>
      <c r="AI653" t="str">
        <f>IF(OR($B653="",NOT(ISNUMBER(L653))),"",IF(COUNTIF(M653:$T653,L653)&gt;0,0,IF(COUNTIF($G653:$T653,"&gt;"&amp;L653)=0,"",SMALL($G653:$T653,COUNTIF($G653:$T653,"&lt;="&amp;L653)+1)-L653)))</f>
        <v/>
      </c>
      <c r="AJ653" t="str">
        <f>IF(OR($B653="",NOT(ISNUMBER(M653))),"",IF(COUNTIF(N653:$T653,M653)&gt;0,0,IF(COUNTIF($G653:$T653,"&gt;"&amp;M653)=0,"",SMALL($G653:$T653,COUNTIF($G653:$T653,"&lt;="&amp;M653)+1)-M653)))</f>
        <v/>
      </c>
      <c r="AK653" t="str">
        <f>IF(OR($B653="",NOT(ISNUMBER(N653))),"",IF(COUNTIF(O653:$T653,N653)&gt;0,0,IF(COUNTIF($G653:$T653,"&gt;"&amp;N653)=0,"",SMALL($G653:$T653,COUNTIF($G653:$T653,"&lt;="&amp;N653)+1)-N653)))</f>
        <v/>
      </c>
      <c r="AL653" t="str">
        <f>IF(OR($B653="",NOT(ISNUMBER(O653))),"",IF(COUNTIF(P653:$T653,O653)&gt;0,0,IF(COUNTIF($G653:$T653,"&gt;"&amp;O653)=0,"",SMALL($G653:$T653,COUNTIF($G653:$T653,"&lt;="&amp;O653)+1)-O653)))</f>
        <v/>
      </c>
      <c r="AM653" t="str">
        <f>IF(OR($B653="",NOT(ISNUMBER(P653))),"",IF(COUNTIF(Q653:$T653,P653)&gt;0,0,IF(COUNTIF($G653:$T653,"&gt;"&amp;P653)=0,"",SMALL($G653:$T653,COUNTIF($G653:$T653,"&lt;="&amp;P653)+1)-P653)))</f>
        <v/>
      </c>
      <c r="AN653" t="str">
        <f>IF(OR($B653="",NOT(ISNUMBER(Q653))),"",IF(COUNTIF(R653:$T653,Q653)&gt;0,0,IF(COUNTIF($G653:$T653,"&gt;"&amp;Q653)=0,"",SMALL($G653:$T653,COUNTIF($G653:$T653,"&lt;="&amp;Q653)+1)-Q653)))</f>
        <v/>
      </c>
      <c r="AO653" t="str">
        <f>IF(OR($B653="",NOT(ISNUMBER(R653))),"",IF(COUNTIF(S653:$T653,R653)&gt;0,0,IF(COUNTIF($G653:$T653,"&gt;"&amp;R653)=0,"",SMALL($G653:$T653,COUNTIF($G653:$T653,"&lt;="&amp;R653)+1)-R653)))</f>
        <v/>
      </c>
      <c r="AP653">
        <f t="shared" ca="1" si="173"/>
        <v>0</v>
      </c>
      <c r="AQ653" s="25" t="str">
        <f t="shared" si="174"/>
        <v/>
      </c>
      <c r="AR653" s="25" t="str">
        <f t="shared" si="175"/>
        <v/>
      </c>
      <c r="AS653" s="25" t="str">
        <f t="shared" si="176"/>
        <v/>
      </c>
      <c r="AT653" s="25" t="str">
        <f t="shared" si="177"/>
        <v/>
      </c>
      <c r="AU653" s="25" t="str">
        <f t="shared" si="178"/>
        <v/>
      </c>
      <c r="AV653" s="25" t="str">
        <f t="shared" si="179"/>
        <v/>
      </c>
      <c r="AW653" s="25" t="str">
        <f t="shared" si="180"/>
        <v/>
      </c>
      <c r="AX653" s="25" t="str">
        <f t="shared" si="181"/>
        <v/>
      </c>
      <c r="AY653" s="25" t="str">
        <f t="shared" si="182"/>
        <v/>
      </c>
      <c r="AZ653" s="25" t="str">
        <f t="shared" si="183"/>
        <v/>
      </c>
      <c r="BA653" s="25" t="str">
        <f t="shared" si="184"/>
        <v/>
      </c>
      <c r="BB653" s="25" t="str">
        <f t="shared" si="185"/>
        <v/>
      </c>
      <c r="BC653" s="25" t="str">
        <f t="shared" si="186"/>
        <v/>
      </c>
    </row>
    <row r="654" spans="1:55" x14ac:dyDescent="0.25">
      <c r="A654" s="19" t="str">
        <f t="shared" si="171"/>
        <v/>
      </c>
      <c r="B654" s="19"/>
      <c r="C654" s="20"/>
      <c r="D654" s="19" t="str">
        <f t="shared" si="170"/>
        <v/>
      </c>
      <c r="E654" s="19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19"/>
      <c r="U654" s="19"/>
      <c r="V654" s="20"/>
      <c r="W654" s="22"/>
      <c r="X654" s="21"/>
      <c r="Y654" s="21"/>
      <c r="Z654" s="23" t="str">
        <f>IF(B654="","",IF(S654&lt;&gt;"","Sevk Edildi",IF(AND(X654&lt;&gt;"",Y654=""),"Reworkte",IF(T654&lt;&gt;"","Kapandı"&amp;IF(COUNT(G654:R654)=0,""," – "&amp;LOOKUP(2,1/(G654:R654=MAX(G654:R654)),{"Tasarım","Ply Cutter","Üretim","Kalite (Üretim sonrası)","Talaşlı","Kalite (Talaşlı sonrası)","Montaj","Kalite (Montaj sonrası)","Boya","Kalite (Boya sonrası)","Yarı Mamül","KM"})),IF(COUNT(G654:R654)=0,"Başlamadı",LOOKUP(2,1/(G654:R654=MAX(G654:R654)),{"Tasarımda","Ply Cutter'da","Üretimde","Kalitede (Üretim sonrası)","Talaşlıda","Kalitede (Talaşlı sonrası)","Montajda","Kalitede (Montaj sonrası)","Boyada","Kalitede (Boya sonrası)","Yarı Mamülde","KM'de"}))))))</f>
        <v/>
      </c>
      <c r="AA654" s="24" t="str">
        <f t="shared" ca="1" si="172"/>
        <v/>
      </c>
      <c r="AB654" s="22"/>
      <c r="AD654" t="str">
        <f>IF(OR($B654="",NOT(ISNUMBER(G654))),"",IF(COUNTIF(H654:$T654,G654)&gt;0,0,IF(COUNTIF($G654:$T654,"&gt;"&amp;G654)=0,"",SMALL($G654:$T654,COUNTIF($G654:$T654,"&lt;="&amp;G654)+1)-G654)))</f>
        <v/>
      </c>
      <c r="AE654" t="str">
        <f>IF(OR($B654="",NOT(ISNUMBER(H654))),"",IF(COUNTIF(I654:$T654,H654)&gt;0,0,IF(COUNTIF($G654:$T654,"&gt;"&amp;H654)=0,"",SMALL($G654:$T654,COUNTIF($G654:$T654,"&lt;="&amp;H654)+1)-H654)))</f>
        <v/>
      </c>
      <c r="AF654" t="str">
        <f>IF(OR($B654="",NOT(ISNUMBER(I654))),"",IF(COUNTIF(J654:$T654,I654)&gt;0,0,IF(COUNTIF($G654:$T654,"&gt;"&amp;I654)=0,"",SMALL($G654:$T654,COUNTIF($G654:$T654,"&lt;="&amp;I654)+1)-I654)))</f>
        <v/>
      </c>
      <c r="AG654" t="str">
        <f>IF(OR($B654="",NOT(ISNUMBER(J654))),"",IF(COUNTIF(K654:$T654,J654)&gt;0,0,IF(COUNTIF($G654:$T654,"&gt;"&amp;J654)=0,"",SMALL($G654:$T654,COUNTIF($G654:$T654,"&lt;="&amp;J654)+1)-J654)))</f>
        <v/>
      </c>
      <c r="AH654" t="str">
        <f>IF(OR($B654="",NOT(ISNUMBER(K654))),"",IF(COUNTIF(L654:$T654,K654)&gt;0,0,IF(COUNTIF($G654:$T654,"&gt;"&amp;K654)=0,"",SMALL($G654:$T654,COUNTIF($G654:$T654,"&lt;="&amp;K654)+1)-K654)))</f>
        <v/>
      </c>
      <c r="AI654" t="str">
        <f>IF(OR($B654="",NOT(ISNUMBER(L654))),"",IF(COUNTIF(M654:$T654,L654)&gt;0,0,IF(COUNTIF($G654:$T654,"&gt;"&amp;L654)=0,"",SMALL($G654:$T654,COUNTIF($G654:$T654,"&lt;="&amp;L654)+1)-L654)))</f>
        <v/>
      </c>
      <c r="AJ654" t="str">
        <f>IF(OR($B654="",NOT(ISNUMBER(M654))),"",IF(COUNTIF(N654:$T654,M654)&gt;0,0,IF(COUNTIF($G654:$T654,"&gt;"&amp;M654)=0,"",SMALL($G654:$T654,COUNTIF($G654:$T654,"&lt;="&amp;M654)+1)-M654)))</f>
        <v/>
      </c>
      <c r="AK654" t="str">
        <f>IF(OR($B654="",NOT(ISNUMBER(N654))),"",IF(COUNTIF(O654:$T654,N654)&gt;0,0,IF(COUNTIF($G654:$T654,"&gt;"&amp;N654)=0,"",SMALL($G654:$T654,COUNTIF($G654:$T654,"&lt;="&amp;N654)+1)-N654)))</f>
        <v/>
      </c>
      <c r="AL654" t="str">
        <f>IF(OR($B654="",NOT(ISNUMBER(O654))),"",IF(COUNTIF(P654:$T654,O654)&gt;0,0,IF(COUNTIF($G654:$T654,"&gt;"&amp;O654)=0,"",SMALL($G654:$T654,COUNTIF($G654:$T654,"&lt;="&amp;O654)+1)-O654)))</f>
        <v/>
      </c>
      <c r="AM654" t="str">
        <f>IF(OR($B654="",NOT(ISNUMBER(P654))),"",IF(COUNTIF(Q654:$T654,P654)&gt;0,0,IF(COUNTIF($G654:$T654,"&gt;"&amp;P654)=0,"",SMALL($G654:$T654,COUNTIF($G654:$T654,"&lt;="&amp;P654)+1)-P654)))</f>
        <v/>
      </c>
      <c r="AN654" t="str">
        <f>IF(OR($B654="",NOT(ISNUMBER(Q654))),"",IF(COUNTIF(R654:$T654,Q654)&gt;0,0,IF(COUNTIF($G654:$T654,"&gt;"&amp;Q654)=0,"",SMALL($G654:$T654,COUNTIF($G654:$T654,"&lt;="&amp;Q654)+1)-Q654)))</f>
        <v/>
      </c>
      <c r="AO654" t="str">
        <f>IF(OR($B654="",NOT(ISNUMBER(R654))),"",IF(COUNTIF(S654:$T654,R654)&gt;0,0,IF(COUNTIF($G654:$T654,"&gt;"&amp;R654)=0,"",SMALL($G654:$T654,COUNTIF($G654:$T654,"&lt;="&amp;R654)+1)-R654)))</f>
        <v/>
      </c>
      <c r="AP654">
        <f t="shared" ca="1" si="173"/>
        <v>0</v>
      </c>
      <c r="AQ654" s="25" t="str">
        <f t="shared" si="174"/>
        <v/>
      </c>
      <c r="AR654" s="25" t="str">
        <f t="shared" si="175"/>
        <v/>
      </c>
      <c r="AS654" s="25" t="str">
        <f t="shared" si="176"/>
        <v/>
      </c>
      <c r="AT654" s="25" t="str">
        <f t="shared" si="177"/>
        <v/>
      </c>
      <c r="AU654" s="25" t="str">
        <f t="shared" si="178"/>
        <v/>
      </c>
      <c r="AV654" s="25" t="str">
        <f t="shared" si="179"/>
        <v/>
      </c>
      <c r="AW654" s="25" t="str">
        <f t="shared" si="180"/>
        <v/>
      </c>
      <c r="AX654" s="25" t="str">
        <f t="shared" si="181"/>
        <v/>
      </c>
      <c r="AY654" s="25" t="str">
        <f t="shared" si="182"/>
        <v/>
      </c>
      <c r="AZ654" s="25" t="str">
        <f t="shared" si="183"/>
        <v/>
      </c>
      <c r="BA654" s="25" t="str">
        <f t="shared" si="184"/>
        <v/>
      </c>
      <c r="BB654" s="25" t="str">
        <f t="shared" si="185"/>
        <v/>
      </c>
      <c r="BC654" s="25" t="str">
        <f t="shared" si="186"/>
        <v/>
      </c>
    </row>
    <row r="655" spans="1:55" x14ac:dyDescent="0.25">
      <c r="A655" s="19" t="str">
        <f t="shared" si="171"/>
        <v/>
      </c>
      <c r="B655" s="19"/>
      <c r="C655" s="20"/>
      <c r="D655" s="19" t="str">
        <f t="shared" si="170"/>
        <v/>
      </c>
      <c r="E655" s="19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19"/>
      <c r="U655" s="19"/>
      <c r="V655" s="20"/>
      <c r="W655" s="22"/>
      <c r="X655" s="21"/>
      <c r="Y655" s="21"/>
      <c r="Z655" s="23" t="str">
        <f>IF(B655="","",IF(S655&lt;&gt;"","Sevk Edildi",IF(AND(X655&lt;&gt;"",Y655=""),"Reworkte",IF(T655&lt;&gt;"","Kapandı"&amp;IF(COUNT(G655:R655)=0,""," – "&amp;LOOKUP(2,1/(G655:R655=MAX(G655:R655)),{"Tasarım","Ply Cutter","Üretim","Kalite (Üretim sonrası)","Talaşlı","Kalite (Talaşlı sonrası)","Montaj","Kalite (Montaj sonrası)","Boya","Kalite (Boya sonrası)","Yarı Mamül","KM"})),IF(COUNT(G655:R655)=0,"Başlamadı",LOOKUP(2,1/(G655:R655=MAX(G655:R655)),{"Tasarımda","Ply Cutter'da","Üretimde","Kalitede (Üretim sonrası)","Talaşlıda","Kalitede (Talaşlı sonrası)","Montajda","Kalitede (Montaj sonrası)","Boyada","Kalitede (Boya sonrası)","Yarı Mamülde","KM'de"}))))))</f>
        <v/>
      </c>
      <c r="AA655" s="24" t="str">
        <f t="shared" ca="1" si="172"/>
        <v/>
      </c>
      <c r="AB655" s="22"/>
      <c r="AD655" t="str">
        <f>IF(OR($B655="",NOT(ISNUMBER(G655))),"",IF(COUNTIF(H655:$T655,G655)&gt;0,0,IF(COUNTIF($G655:$T655,"&gt;"&amp;G655)=0,"",SMALL($G655:$T655,COUNTIF($G655:$T655,"&lt;="&amp;G655)+1)-G655)))</f>
        <v/>
      </c>
      <c r="AE655" t="str">
        <f>IF(OR($B655="",NOT(ISNUMBER(H655))),"",IF(COUNTIF(I655:$T655,H655)&gt;0,0,IF(COUNTIF($G655:$T655,"&gt;"&amp;H655)=0,"",SMALL($G655:$T655,COUNTIF($G655:$T655,"&lt;="&amp;H655)+1)-H655)))</f>
        <v/>
      </c>
      <c r="AF655" t="str">
        <f>IF(OR($B655="",NOT(ISNUMBER(I655))),"",IF(COUNTIF(J655:$T655,I655)&gt;0,0,IF(COUNTIF($G655:$T655,"&gt;"&amp;I655)=0,"",SMALL($G655:$T655,COUNTIF($G655:$T655,"&lt;="&amp;I655)+1)-I655)))</f>
        <v/>
      </c>
      <c r="AG655" t="str">
        <f>IF(OR($B655="",NOT(ISNUMBER(J655))),"",IF(COUNTIF(K655:$T655,J655)&gt;0,0,IF(COUNTIF($G655:$T655,"&gt;"&amp;J655)=0,"",SMALL($G655:$T655,COUNTIF($G655:$T655,"&lt;="&amp;J655)+1)-J655)))</f>
        <v/>
      </c>
      <c r="AH655" t="str">
        <f>IF(OR($B655="",NOT(ISNUMBER(K655))),"",IF(COUNTIF(L655:$T655,K655)&gt;0,0,IF(COUNTIF($G655:$T655,"&gt;"&amp;K655)=0,"",SMALL($G655:$T655,COUNTIF($G655:$T655,"&lt;="&amp;K655)+1)-K655)))</f>
        <v/>
      </c>
      <c r="AI655" t="str">
        <f>IF(OR($B655="",NOT(ISNUMBER(L655))),"",IF(COUNTIF(M655:$T655,L655)&gt;0,0,IF(COUNTIF($G655:$T655,"&gt;"&amp;L655)=0,"",SMALL($G655:$T655,COUNTIF($G655:$T655,"&lt;="&amp;L655)+1)-L655)))</f>
        <v/>
      </c>
      <c r="AJ655" t="str">
        <f>IF(OR($B655="",NOT(ISNUMBER(M655))),"",IF(COUNTIF(N655:$T655,M655)&gt;0,0,IF(COUNTIF($G655:$T655,"&gt;"&amp;M655)=0,"",SMALL($G655:$T655,COUNTIF($G655:$T655,"&lt;="&amp;M655)+1)-M655)))</f>
        <v/>
      </c>
      <c r="AK655" t="str">
        <f>IF(OR($B655="",NOT(ISNUMBER(N655))),"",IF(COUNTIF(O655:$T655,N655)&gt;0,0,IF(COUNTIF($G655:$T655,"&gt;"&amp;N655)=0,"",SMALL($G655:$T655,COUNTIF($G655:$T655,"&lt;="&amp;N655)+1)-N655)))</f>
        <v/>
      </c>
      <c r="AL655" t="str">
        <f>IF(OR($B655="",NOT(ISNUMBER(O655))),"",IF(COUNTIF(P655:$T655,O655)&gt;0,0,IF(COUNTIF($G655:$T655,"&gt;"&amp;O655)=0,"",SMALL($G655:$T655,COUNTIF($G655:$T655,"&lt;="&amp;O655)+1)-O655)))</f>
        <v/>
      </c>
      <c r="AM655" t="str">
        <f>IF(OR($B655="",NOT(ISNUMBER(P655))),"",IF(COUNTIF(Q655:$T655,P655)&gt;0,0,IF(COUNTIF($G655:$T655,"&gt;"&amp;P655)=0,"",SMALL($G655:$T655,COUNTIF($G655:$T655,"&lt;="&amp;P655)+1)-P655)))</f>
        <v/>
      </c>
      <c r="AN655" t="str">
        <f>IF(OR($B655="",NOT(ISNUMBER(Q655))),"",IF(COUNTIF(R655:$T655,Q655)&gt;0,0,IF(COUNTIF($G655:$T655,"&gt;"&amp;Q655)=0,"",SMALL($G655:$T655,COUNTIF($G655:$T655,"&lt;="&amp;Q655)+1)-Q655)))</f>
        <v/>
      </c>
      <c r="AO655" t="str">
        <f>IF(OR($B655="",NOT(ISNUMBER(R655))),"",IF(COUNTIF(S655:$T655,R655)&gt;0,0,IF(COUNTIF($G655:$T655,"&gt;"&amp;R655)=0,"",SMALL($G655:$T655,COUNTIF($G655:$T655,"&lt;="&amp;R655)+1)-R655)))</f>
        <v/>
      </c>
      <c r="AP655">
        <f t="shared" ca="1" si="173"/>
        <v>0</v>
      </c>
      <c r="AQ655" s="25" t="str">
        <f t="shared" si="174"/>
        <v/>
      </c>
      <c r="AR655" s="25" t="str">
        <f t="shared" si="175"/>
        <v/>
      </c>
      <c r="AS655" s="25" t="str">
        <f t="shared" si="176"/>
        <v/>
      </c>
      <c r="AT655" s="25" t="str">
        <f t="shared" si="177"/>
        <v/>
      </c>
      <c r="AU655" s="25" t="str">
        <f t="shared" si="178"/>
        <v/>
      </c>
      <c r="AV655" s="25" t="str">
        <f t="shared" si="179"/>
        <v/>
      </c>
      <c r="AW655" s="25" t="str">
        <f t="shared" si="180"/>
        <v/>
      </c>
      <c r="AX655" s="25" t="str">
        <f t="shared" si="181"/>
        <v/>
      </c>
      <c r="AY655" s="25" t="str">
        <f t="shared" si="182"/>
        <v/>
      </c>
      <c r="AZ655" s="25" t="str">
        <f t="shared" si="183"/>
        <v/>
      </c>
      <c r="BA655" s="25" t="str">
        <f t="shared" si="184"/>
        <v/>
      </c>
      <c r="BB655" s="25" t="str">
        <f t="shared" si="185"/>
        <v/>
      </c>
      <c r="BC655" s="25" t="str">
        <f t="shared" si="186"/>
        <v/>
      </c>
    </row>
    <row r="656" spans="1:55" x14ac:dyDescent="0.25">
      <c r="A656" s="19" t="str">
        <f t="shared" si="171"/>
        <v/>
      </c>
      <c r="B656" s="19"/>
      <c r="C656" s="20"/>
      <c r="D656" s="19" t="str">
        <f t="shared" si="170"/>
        <v/>
      </c>
      <c r="E656" s="19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19"/>
      <c r="U656" s="19"/>
      <c r="V656" s="20"/>
      <c r="W656" s="22"/>
      <c r="X656" s="21"/>
      <c r="Y656" s="21"/>
      <c r="Z656" s="23" t="str">
        <f>IF(B656="","",IF(S656&lt;&gt;"","Sevk Edildi",IF(AND(X656&lt;&gt;"",Y656=""),"Reworkte",IF(T656&lt;&gt;"","Kapandı"&amp;IF(COUNT(G656:R656)=0,""," – "&amp;LOOKUP(2,1/(G656:R656=MAX(G656:R656)),{"Tasarım","Ply Cutter","Üretim","Kalite (Üretim sonrası)","Talaşlı","Kalite (Talaşlı sonrası)","Montaj","Kalite (Montaj sonrası)","Boya","Kalite (Boya sonrası)","Yarı Mamül","KM"})),IF(COUNT(G656:R656)=0,"Başlamadı",LOOKUP(2,1/(G656:R656=MAX(G656:R656)),{"Tasarımda","Ply Cutter'da","Üretimde","Kalitede (Üretim sonrası)","Talaşlıda","Kalitede (Talaşlı sonrası)","Montajda","Kalitede (Montaj sonrası)","Boyada","Kalitede (Boya sonrası)","Yarı Mamülde","KM'de"}))))))</f>
        <v/>
      </c>
      <c r="AA656" s="24" t="str">
        <f t="shared" ca="1" si="172"/>
        <v/>
      </c>
      <c r="AB656" s="22"/>
      <c r="AD656" t="str">
        <f>IF(OR($B656="",NOT(ISNUMBER(G656))),"",IF(COUNTIF(H656:$T656,G656)&gt;0,0,IF(COUNTIF($G656:$T656,"&gt;"&amp;G656)=0,"",SMALL($G656:$T656,COUNTIF($G656:$T656,"&lt;="&amp;G656)+1)-G656)))</f>
        <v/>
      </c>
      <c r="AE656" t="str">
        <f>IF(OR($B656="",NOT(ISNUMBER(H656))),"",IF(COUNTIF(I656:$T656,H656)&gt;0,0,IF(COUNTIF($G656:$T656,"&gt;"&amp;H656)=0,"",SMALL($G656:$T656,COUNTIF($G656:$T656,"&lt;="&amp;H656)+1)-H656)))</f>
        <v/>
      </c>
      <c r="AF656" t="str">
        <f>IF(OR($B656="",NOT(ISNUMBER(I656))),"",IF(COUNTIF(J656:$T656,I656)&gt;0,0,IF(COUNTIF($G656:$T656,"&gt;"&amp;I656)=0,"",SMALL($G656:$T656,COUNTIF($G656:$T656,"&lt;="&amp;I656)+1)-I656)))</f>
        <v/>
      </c>
      <c r="AG656" t="str">
        <f>IF(OR($B656="",NOT(ISNUMBER(J656))),"",IF(COUNTIF(K656:$T656,J656)&gt;0,0,IF(COUNTIF($G656:$T656,"&gt;"&amp;J656)=0,"",SMALL($G656:$T656,COUNTIF($G656:$T656,"&lt;="&amp;J656)+1)-J656)))</f>
        <v/>
      </c>
      <c r="AH656" t="str">
        <f>IF(OR($B656="",NOT(ISNUMBER(K656))),"",IF(COUNTIF(L656:$T656,K656)&gt;0,0,IF(COUNTIF($G656:$T656,"&gt;"&amp;K656)=0,"",SMALL($G656:$T656,COUNTIF($G656:$T656,"&lt;="&amp;K656)+1)-K656)))</f>
        <v/>
      </c>
      <c r="AI656" t="str">
        <f>IF(OR($B656="",NOT(ISNUMBER(L656))),"",IF(COUNTIF(M656:$T656,L656)&gt;0,0,IF(COUNTIF($G656:$T656,"&gt;"&amp;L656)=0,"",SMALL($G656:$T656,COUNTIF($G656:$T656,"&lt;="&amp;L656)+1)-L656)))</f>
        <v/>
      </c>
      <c r="AJ656" t="str">
        <f>IF(OR($B656="",NOT(ISNUMBER(M656))),"",IF(COUNTIF(N656:$T656,M656)&gt;0,0,IF(COUNTIF($G656:$T656,"&gt;"&amp;M656)=0,"",SMALL($G656:$T656,COUNTIF($G656:$T656,"&lt;="&amp;M656)+1)-M656)))</f>
        <v/>
      </c>
      <c r="AK656" t="str">
        <f>IF(OR($B656="",NOT(ISNUMBER(N656))),"",IF(COUNTIF(O656:$T656,N656)&gt;0,0,IF(COUNTIF($G656:$T656,"&gt;"&amp;N656)=0,"",SMALL($G656:$T656,COUNTIF($G656:$T656,"&lt;="&amp;N656)+1)-N656)))</f>
        <v/>
      </c>
      <c r="AL656" t="str">
        <f>IF(OR($B656="",NOT(ISNUMBER(O656))),"",IF(COUNTIF(P656:$T656,O656)&gt;0,0,IF(COUNTIF($G656:$T656,"&gt;"&amp;O656)=0,"",SMALL($G656:$T656,COUNTIF($G656:$T656,"&lt;="&amp;O656)+1)-O656)))</f>
        <v/>
      </c>
      <c r="AM656" t="str">
        <f>IF(OR($B656="",NOT(ISNUMBER(P656))),"",IF(COUNTIF(Q656:$T656,P656)&gt;0,0,IF(COUNTIF($G656:$T656,"&gt;"&amp;P656)=0,"",SMALL($G656:$T656,COUNTIF($G656:$T656,"&lt;="&amp;P656)+1)-P656)))</f>
        <v/>
      </c>
      <c r="AN656" t="str">
        <f>IF(OR($B656="",NOT(ISNUMBER(Q656))),"",IF(COUNTIF(R656:$T656,Q656)&gt;0,0,IF(COUNTIF($G656:$T656,"&gt;"&amp;Q656)=0,"",SMALL($G656:$T656,COUNTIF($G656:$T656,"&lt;="&amp;Q656)+1)-Q656)))</f>
        <v/>
      </c>
      <c r="AO656" t="str">
        <f>IF(OR($B656="",NOT(ISNUMBER(R656))),"",IF(COUNTIF(S656:$T656,R656)&gt;0,0,IF(COUNTIF($G656:$T656,"&gt;"&amp;R656)=0,"",SMALL($G656:$T656,COUNTIF($G656:$T656,"&lt;="&amp;R656)+1)-R656)))</f>
        <v/>
      </c>
      <c r="AP656">
        <f t="shared" ca="1" si="173"/>
        <v>0</v>
      </c>
      <c r="AQ656" s="25" t="str">
        <f t="shared" si="174"/>
        <v/>
      </c>
      <c r="AR656" s="25" t="str">
        <f t="shared" si="175"/>
        <v/>
      </c>
      <c r="AS656" s="25" t="str">
        <f t="shared" si="176"/>
        <v/>
      </c>
      <c r="AT656" s="25" t="str">
        <f t="shared" si="177"/>
        <v/>
      </c>
      <c r="AU656" s="25" t="str">
        <f t="shared" si="178"/>
        <v/>
      </c>
      <c r="AV656" s="25" t="str">
        <f t="shared" si="179"/>
        <v/>
      </c>
      <c r="AW656" s="25" t="str">
        <f t="shared" si="180"/>
        <v/>
      </c>
      <c r="AX656" s="25" t="str">
        <f t="shared" si="181"/>
        <v/>
      </c>
      <c r="AY656" s="25" t="str">
        <f t="shared" si="182"/>
        <v/>
      </c>
      <c r="AZ656" s="25" t="str">
        <f t="shared" si="183"/>
        <v/>
      </c>
      <c r="BA656" s="25" t="str">
        <f t="shared" si="184"/>
        <v/>
      </c>
      <c r="BB656" s="25" t="str">
        <f t="shared" si="185"/>
        <v/>
      </c>
      <c r="BC656" s="25" t="str">
        <f t="shared" si="186"/>
        <v/>
      </c>
    </row>
    <row r="657" spans="1:55" x14ac:dyDescent="0.25">
      <c r="A657" s="19" t="str">
        <f t="shared" si="171"/>
        <v/>
      </c>
      <c r="B657" s="19"/>
      <c r="C657" s="20"/>
      <c r="D657" s="19" t="str">
        <f t="shared" si="170"/>
        <v/>
      </c>
      <c r="E657" s="19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19"/>
      <c r="U657" s="19"/>
      <c r="V657" s="20"/>
      <c r="W657" s="22"/>
      <c r="X657" s="21"/>
      <c r="Y657" s="21"/>
      <c r="Z657" s="23" t="str">
        <f>IF(B657="","",IF(S657&lt;&gt;"","Sevk Edildi",IF(AND(X657&lt;&gt;"",Y657=""),"Reworkte",IF(T657&lt;&gt;"","Kapandı"&amp;IF(COUNT(G657:R657)=0,""," – "&amp;LOOKUP(2,1/(G657:R657=MAX(G657:R657)),{"Tasarım","Ply Cutter","Üretim","Kalite (Üretim sonrası)","Talaşlı","Kalite (Talaşlı sonrası)","Montaj","Kalite (Montaj sonrası)","Boya","Kalite (Boya sonrası)","Yarı Mamül","KM"})),IF(COUNT(G657:R657)=0,"Başlamadı",LOOKUP(2,1/(G657:R657=MAX(G657:R657)),{"Tasarımda","Ply Cutter'da","Üretimde","Kalitede (Üretim sonrası)","Talaşlıda","Kalitede (Talaşlı sonrası)","Montajda","Kalitede (Montaj sonrası)","Boyada","Kalitede (Boya sonrası)","Yarı Mamülde","KM'de"}))))))</f>
        <v/>
      </c>
      <c r="AA657" s="24" t="str">
        <f t="shared" ca="1" si="172"/>
        <v/>
      </c>
      <c r="AB657" s="22"/>
      <c r="AD657" t="str">
        <f>IF(OR($B657="",NOT(ISNUMBER(G657))),"",IF(COUNTIF(H657:$T657,G657)&gt;0,0,IF(COUNTIF($G657:$T657,"&gt;"&amp;G657)=0,"",SMALL($G657:$T657,COUNTIF($G657:$T657,"&lt;="&amp;G657)+1)-G657)))</f>
        <v/>
      </c>
      <c r="AE657" t="str">
        <f>IF(OR($B657="",NOT(ISNUMBER(H657))),"",IF(COUNTIF(I657:$T657,H657)&gt;0,0,IF(COUNTIF($G657:$T657,"&gt;"&amp;H657)=0,"",SMALL($G657:$T657,COUNTIF($G657:$T657,"&lt;="&amp;H657)+1)-H657)))</f>
        <v/>
      </c>
      <c r="AF657" t="str">
        <f>IF(OR($B657="",NOT(ISNUMBER(I657))),"",IF(COUNTIF(J657:$T657,I657)&gt;0,0,IF(COUNTIF($G657:$T657,"&gt;"&amp;I657)=0,"",SMALL($G657:$T657,COUNTIF($G657:$T657,"&lt;="&amp;I657)+1)-I657)))</f>
        <v/>
      </c>
      <c r="AG657" t="str">
        <f>IF(OR($B657="",NOT(ISNUMBER(J657))),"",IF(COUNTIF(K657:$T657,J657)&gt;0,0,IF(COUNTIF($G657:$T657,"&gt;"&amp;J657)=0,"",SMALL($G657:$T657,COUNTIF($G657:$T657,"&lt;="&amp;J657)+1)-J657)))</f>
        <v/>
      </c>
      <c r="AH657" t="str">
        <f>IF(OR($B657="",NOT(ISNUMBER(K657))),"",IF(COUNTIF(L657:$T657,K657)&gt;0,0,IF(COUNTIF($G657:$T657,"&gt;"&amp;K657)=0,"",SMALL($G657:$T657,COUNTIF($G657:$T657,"&lt;="&amp;K657)+1)-K657)))</f>
        <v/>
      </c>
      <c r="AI657" t="str">
        <f>IF(OR($B657="",NOT(ISNUMBER(L657))),"",IF(COUNTIF(M657:$T657,L657)&gt;0,0,IF(COUNTIF($G657:$T657,"&gt;"&amp;L657)=0,"",SMALL($G657:$T657,COUNTIF($G657:$T657,"&lt;="&amp;L657)+1)-L657)))</f>
        <v/>
      </c>
      <c r="AJ657" t="str">
        <f>IF(OR($B657="",NOT(ISNUMBER(M657))),"",IF(COUNTIF(N657:$T657,M657)&gt;0,0,IF(COUNTIF($G657:$T657,"&gt;"&amp;M657)=0,"",SMALL($G657:$T657,COUNTIF($G657:$T657,"&lt;="&amp;M657)+1)-M657)))</f>
        <v/>
      </c>
      <c r="AK657" t="str">
        <f>IF(OR($B657="",NOT(ISNUMBER(N657))),"",IF(COUNTIF(O657:$T657,N657)&gt;0,0,IF(COUNTIF($G657:$T657,"&gt;"&amp;N657)=0,"",SMALL($G657:$T657,COUNTIF($G657:$T657,"&lt;="&amp;N657)+1)-N657)))</f>
        <v/>
      </c>
      <c r="AL657" t="str">
        <f>IF(OR($B657="",NOT(ISNUMBER(O657))),"",IF(COUNTIF(P657:$T657,O657)&gt;0,0,IF(COUNTIF($G657:$T657,"&gt;"&amp;O657)=0,"",SMALL($G657:$T657,COUNTIF($G657:$T657,"&lt;="&amp;O657)+1)-O657)))</f>
        <v/>
      </c>
      <c r="AM657" t="str">
        <f>IF(OR($B657="",NOT(ISNUMBER(P657))),"",IF(COUNTIF(Q657:$T657,P657)&gt;0,0,IF(COUNTIF($G657:$T657,"&gt;"&amp;P657)=0,"",SMALL($G657:$T657,COUNTIF($G657:$T657,"&lt;="&amp;P657)+1)-P657)))</f>
        <v/>
      </c>
      <c r="AN657" t="str">
        <f>IF(OR($B657="",NOT(ISNUMBER(Q657))),"",IF(COUNTIF(R657:$T657,Q657)&gt;0,0,IF(COUNTIF($G657:$T657,"&gt;"&amp;Q657)=0,"",SMALL($G657:$T657,COUNTIF($G657:$T657,"&lt;="&amp;Q657)+1)-Q657)))</f>
        <v/>
      </c>
      <c r="AO657" t="str">
        <f>IF(OR($B657="",NOT(ISNUMBER(R657))),"",IF(COUNTIF(S657:$T657,R657)&gt;0,0,IF(COUNTIF($G657:$T657,"&gt;"&amp;R657)=0,"",SMALL($G657:$T657,COUNTIF($G657:$T657,"&lt;="&amp;R657)+1)-R657)))</f>
        <v/>
      </c>
      <c r="AP657">
        <f t="shared" ca="1" si="173"/>
        <v>0</v>
      </c>
      <c r="AQ657" s="25" t="str">
        <f t="shared" si="174"/>
        <v/>
      </c>
      <c r="AR657" s="25" t="str">
        <f t="shared" si="175"/>
        <v/>
      </c>
      <c r="AS657" s="25" t="str">
        <f t="shared" si="176"/>
        <v/>
      </c>
      <c r="AT657" s="25" t="str">
        <f t="shared" si="177"/>
        <v/>
      </c>
      <c r="AU657" s="25" t="str">
        <f t="shared" si="178"/>
        <v/>
      </c>
      <c r="AV657" s="25" t="str">
        <f t="shared" si="179"/>
        <v/>
      </c>
      <c r="AW657" s="25" t="str">
        <f t="shared" si="180"/>
        <v/>
      </c>
      <c r="AX657" s="25" t="str">
        <f t="shared" si="181"/>
        <v/>
      </c>
      <c r="AY657" s="25" t="str">
        <f t="shared" si="182"/>
        <v/>
      </c>
      <c r="AZ657" s="25" t="str">
        <f t="shared" si="183"/>
        <v/>
      </c>
      <c r="BA657" s="25" t="str">
        <f t="shared" si="184"/>
        <v/>
      </c>
      <c r="BB657" s="25" t="str">
        <f t="shared" si="185"/>
        <v/>
      </c>
      <c r="BC657" s="25" t="str">
        <f t="shared" si="186"/>
        <v/>
      </c>
    </row>
    <row r="658" spans="1:55" x14ac:dyDescent="0.25">
      <c r="A658" s="19" t="str">
        <f t="shared" si="171"/>
        <v/>
      </c>
      <c r="B658" s="19"/>
      <c r="C658" s="20"/>
      <c r="D658" s="19" t="str">
        <f t="shared" si="170"/>
        <v/>
      </c>
      <c r="E658" s="19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19"/>
      <c r="U658" s="19"/>
      <c r="V658" s="20"/>
      <c r="W658" s="22"/>
      <c r="X658" s="21"/>
      <c r="Y658" s="21"/>
      <c r="Z658" s="23" t="str">
        <f>IF(B658="","",IF(S658&lt;&gt;"","Sevk Edildi",IF(AND(X658&lt;&gt;"",Y658=""),"Reworkte",IF(T658&lt;&gt;"","Kapandı"&amp;IF(COUNT(G658:R658)=0,""," – "&amp;LOOKUP(2,1/(G658:R658=MAX(G658:R658)),{"Tasarım","Ply Cutter","Üretim","Kalite (Üretim sonrası)","Talaşlı","Kalite (Talaşlı sonrası)","Montaj","Kalite (Montaj sonrası)","Boya","Kalite (Boya sonrası)","Yarı Mamül","KM"})),IF(COUNT(G658:R658)=0,"Başlamadı",LOOKUP(2,1/(G658:R658=MAX(G658:R658)),{"Tasarımda","Ply Cutter'da","Üretimde","Kalitede (Üretim sonrası)","Talaşlıda","Kalitede (Talaşlı sonrası)","Montajda","Kalitede (Montaj sonrası)","Boyada","Kalitede (Boya sonrası)","Yarı Mamülde","KM'de"}))))))</f>
        <v/>
      </c>
      <c r="AA658" s="24" t="str">
        <f t="shared" ca="1" si="172"/>
        <v/>
      </c>
      <c r="AB658" s="22"/>
      <c r="AD658" t="str">
        <f>IF(OR($B658="",NOT(ISNUMBER(G658))),"",IF(COUNTIF(H658:$T658,G658)&gt;0,0,IF(COUNTIF($G658:$T658,"&gt;"&amp;G658)=0,"",SMALL($G658:$T658,COUNTIF($G658:$T658,"&lt;="&amp;G658)+1)-G658)))</f>
        <v/>
      </c>
      <c r="AE658" t="str">
        <f>IF(OR($B658="",NOT(ISNUMBER(H658))),"",IF(COUNTIF(I658:$T658,H658)&gt;0,0,IF(COUNTIF($G658:$T658,"&gt;"&amp;H658)=0,"",SMALL($G658:$T658,COUNTIF($G658:$T658,"&lt;="&amp;H658)+1)-H658)))</f>
        <v/>
      </c>
      <c r="AF658" t="str">
        <f>IF(OR($B658="",NOT(ISNUMBER(I658))),"",IF(COUNTIF(J658:$T658,I658)&gt;0,0,IF(COUNTIF($G658:$T658,"&gt;"&amp;I658)=0,"",SMALL($G658:$T658,COUNTIF($G658:$T658,"&lt;="&amp;I658)+1)-I658)))</f>
        <v/>
      </c>
      <c r="AG658" t="str">
        <f>IF(OR($B658="",NOT(ISNUMBER(J658))),"",IF(COUNTIF(K658:$T658,J658)&gt;0,0,IF(COUNTIF($G658:$T658,"&gt;"&amp;J658)=0,"",SMALL($G658:$T658,COUNTIF($G658:$T658,"&lt;="&amp;J658)+1)-J658)))</f>
        <v/>
      </c>
      <c r="AH658" t="str">
        <f>IF(OR($B658="",NOT(ISNUMBER(K658))),"",IF(COUNTIF(L658:$T658,K658)&gt;0,0,IF(COUNTIF($G658:$T658,"&gt;"&amp;K658)=0,"",SMALL($G658:$T658,COUNTIF($G658:$T658,"&lt;="&amp;K658)+1)-K658)))</f>
        <v/>
      </c>
      <c r="AI658" t="str">
        <f>IF(OR($B658="",NOT(ISNUMBER(L658))),"",IF(COUNTIF(M658:$T658,L658)&gt;0,0,IF(COUNTIF($G658:$T658,"&gt;"&amp;L658)=0,"",SMALL($G658:$T658,COUNTIF($G658:$T658,"&lt;="&amp;L658)+1)-L658)))</f>
        <v/>
      </c>
      <c r="AJ658" t="str">
        <f>IF(OR($B658="",NOT(ISNUMBER(M658))),"",IF(COUNTIF(N658:$T658,M658)&gt;0,0,IF(COUNTIF($G658:$T658,"&gt;"&amp;M658)=0,"",SMALL($G658:$T658,COUNTIF($G658:$T658,"&lt;="&amp;M658)+1)-M658)))</f>
        <v/>
      </c>
      <c r="AK658" t="str">
        <f>IF(OR($B658="",NOT(ISNUMBER(N658))),"",IF(COUNTIF(O658:$T658,N658)&gt;0,0,IF(COUNTIF($G658:$T658,"&gt;"&amp;N658)=0,"",SMALL($G658:$T658,COUNTIF($G658:$T658,"&lt;="&amp;N658)+1)-N658)))</f>
        <v/>
      </c>
      <c r="AL658" t="str">
        <f>IF(OR($B658="",NOT(ISNUMBER(O658))),"",IF(COUNTIF(P658:$T658,O658)&gt;0,0,IF(COUNTIF($G658:$T658,"&gt;"&amp;O658)=0,"",SMALL($G658:$T658,COUNTIF($G658:$T658,"&lt;="&amp;O658)+1)-O658)))</f>
        <v/>
      </c>
      <c r="AM658" t="str">
        <f>IF(OR($B658="",NOT(ISNUMBER(P658))),"",IF(COUNTIF(Q658:$T658,P658)&gt;0,0,IF(COUNTIF($G658:$T658,"&gt;"&amp;P658)=0,"",SMALL($G658:$T658,COUNTIF($G658:$T658,"&lt;="&amp;P658)+1)-P658)))</f>
        <v/>
      </c>
      <c r="AN658" t="str">
        <f>IF(OR($B658="",NOT(ISNUMBER(Q658))),"",IF(COUNTIF(R658:$T658,Q658)&gt;0,0,IF(COUNTIF($G658:$T658,"&gt;"&amp;Q658)=0,"",SMALL($G658:$T658,COUNTIF($G658:$T658,"&lt;="&amp;Q658)+1)-Q658)))</f>
        <v/>
      </c>
      <c r="AO658" t="str">
        <f>IF(OR($B658="",NOT(ISNUMBER(R658))),"",IF(COUNTIF(S658:$T658,R658)&gt;0,0,IF(COUNTIF($G658:$T658,"&gt;"&amp;R658)=0,"",SMALL($G658:$T658,COUNTIF($G658:$T658,"&lt;="&amp;R658)+1)-R658)))</f>
        <v/>
      </c>
      <c r="AP658">
        <f t="shared" ca="1" si="173"/>
        <v>0</v>
      </c>
      <c r="AQ658" s="25" t="str">
        <f t="shared" si="174"/>
        <v/>
      </c>
      <c r="AR658" s="25" t="str">
        <f t="shared" si="175"/>
        <v/>
      </c>
      <c r="AS658" s="25" t="str">
        <f t="shared" si="176"/>
        <v/>
      </c>
      <c r="AT658" s="25" t="str">
        <f t="shared" si="177"/>
        <v/>
      </c>
      <c r="AU658" s="25" t="str">
        <f t="shared" si="178"/>
        <v/>
      </c>
      <c r="AV658" s="25" t="str">
        <f t="shared" si="179"/>
        <v/>
      </c>
      <c r="AW658" s="25" t="str">
        <f t="shared" si="180"/>
        <v/>
      </c>
      <c r="AX658" s="25" t="str">
        <f t="shared" si="181"/>
        <v/>
      </c>
      <c r="AY658" s="25" t="str">
        <f t="shared" si="182"/>
        <v/>
      </c>
      <c r="AZ658" s="25" t="str">
        <f t="shared" si="183"/>
        <v/>
      </c>
      <c r="BA658" s="25" t="str">
        <f t="shared" si="184"/>
        <v/>
      </c>
      <c r="BB658" s="25" t="str">
        <f t="shared" si="185"/>
        <v/>
      </c>
      <c r="BC658" s="25" t="str">
        <f t="shared" si="186"/>
        <v/>
      </c>
    </row>
    <row r="659" spans="1:55" x14ac:dyDescent="0.25">
      <c r="A659" s="19" t="str">
        <f t="shared" si="171"/>
        <v/>
      </c>
      <c r="B659" s="19"/>
      <c r="C659" s="20"/>
      <c r="D659" s="19" t="str">
        <f t="shared" si="170"/>
        <v/>
      </c>
      <c r="E659" s="19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19"/>
      <c r="U659" s="19"/>
      <c r="V659" s="20"/>
      <c r="W659" s="22"/>
      <c r="X659" s="21"/>
      <c r="Y659" s="21"/>
      <c r="Z659" s="23" t="str">
        <f>IF(B659="","",IF(S659&lt;&gt;"","Sevk Edildi",IF(AND(X659&lt;&gt;"",Y659=""),"Reworkte",IF(T659&lt;&gt;"","Kapandı"&amp;IF(COUNT(G659:R659)=0,""," – "&amp;LOOKUP(2,1/(G659:R659=MAX(G659:R659)),{"Tasarım","Ply Cutter","Üretim","Kalite (Üretim sonrası)","Talaşlı","Kalite (Talaşlı sonrası)","Montaj","Kalite (Montaj sonrası)","Boya","Kalite (Boya sonrası)","Yarı Mamül","KM"})),IF(COUNT(G659:R659)=0,"Başlamadı",LOOKUP(2,1/(G659:R659=MAX(G659:R659)),{"Tasarımda","Ply Cutter'da","Üretimde","Kalitede (Üretim sonrası)","Talaşlıda","Kalitede (Talaşlı sonrası)","Montajda","Kalitede (Montaj sonrası)","Boyada","Kalitede (Boya sonrası)","Yarı Mamülde","KM'de"}))))))</f>
        <v/>
      </c>
      <c r="AA659" s="24" t="str">
        <f t="shared" ca="1" si="172"/>
        <v/>
      </c>
      <c r="AB659" s="22"/>
      <c r="AD659" t="str">
        <f>IF(OR($B659="",NOT(ISNUMBER(G659))),"",IF(COUNTIF(H659:$T659,G659)&gt;0,0,IF(COUNTIF($G659:$T659,"&gt;"&amp;G659)=0,"",SMALL($G659:$T659,COUNTIF($G659:$T659,"&lt;="&amp;G659)+1)-G659)))</f>
        <v/>
      </c>
      <c r="AE659" t="str">
        <f>IF(OR($B659="",NOT(ISNUMBER(H659))),"",IF(COUNTIF(I659:$T659,H659)&gt;0,0,IF(COUNTIF($G659:$T659,"&gt;"&amp;H659)=0,"",SMALL($G659:$T659,COUNTIF($G659:$T659,"&lt;="&amp;H659)+1)-H659)))</f>
        <v/>
      </c>
      <c r="AF659" t="str">
        <f>IF(OR($B659="",NOT(ISNUMBER(I659))),"",IF(COUNTIF(J659:$T659,I659)&gt;0,0,IF(COUNTIF($G659:$T659,"&gt;"&amp;I659)=0,"",SMALL($G659:$T659,COUNTIF($G659:$T659,"&lt;="&amp;I659)+1)-I659)))</f>
        <v/>
      </c>
      <c r="AG659" t="str">
        <f>IF(OR($B659="",NOT(ISNUMBER(J659))),"",IF(COUNTIF(K659:$T659,J659)&gt;0,0,IF(COUNTIF($G659:$T659,"&gt;"&amp;J659)=0,"",SMALL($G659:$T659,COUNTIF($G659:$T659,"&lt;="&amp;J659)+1)-J659)))</f>
        <v/>
      </c>
      <c r="AH659" t="str">
        <f>IF(OR($B659="",NOT(ISNUMBER(K659))),"",IF(COUNTIF(L659:$T659,K659)&gt;0,0,IF(COUNTIF($G659:$T659,"&gt;"&amp;K659)=0,"",SMALL($G659:$T659,COUNTIF($G659:$T659,"&lt;="&amp;K659)+1)-K659)))</f>
        <v/>
      </c>
      <c r="AI659" t="str">
        <f>IF(OR($B659="",NOT(ISNUMBER(L659))),"",IF(COUNTIF(M659:$T659,L659)&gt;0,0,IF(COUNTIF($G659:$T659,"&gt;"&amp;L659)=0,"",SMALL($G659:$T659,COUNTIF($G659:$T659,"&lt;="&amp;L659)+1)-L659)))</f>
        <v/>
      </c>
      <c r="AJ659" t="str">
        <f>IF(OR($B659="",NOT(ISNUMBER(M659))),"",IF(COUNTIF(N659:$T659,M659)&gt;0,0,IF(COUNTIF($G659:$T659,"&gt;"&amp;M659)=0,"",SMALL($G659:$T659,COUNTIF($G659:$T659,"&lt;="&amp;M659)+1)-M659)))</f>
        <v/>
      </c>
      <c r="AK659" t="str">
        <f>IF(OR($B659="",NOT(ISNUMBER(N659))),"",IF(COUNTIF(O659:$T659,N659)&gt;0,0,IF(COUNTIF($G659:$T659,"&gt;"&amp;N659)=0,"",SMALL($G659:$T659,COUNTIF($G659:$T659,"&lt;="&amp;N659)+1)-N659)))</f>
        <v/>
      </c>
      <c r="AL659" t="str">
        <f>IF(OR($B659="",NOT(ISNUMBER(O659))),"",IF(COUNTIF(P659:$T659,O659)&gt;0,0,IF(COUNTIF($G659:$T659,"&gt;"&amp;O659)=0,"",SMALL($G659:$T659,COUNTIF($G659:$T659,"&lt;="&amp;O659)+1)-O659)))</f>
        <v/>
      </c>
      <c r="AM659" t="str">
        <f>IF(OR($B659="",NOT(ISNUMBER(P659))),"",IF(COUNTIF(Q659:$T659,P659)&gt;0,0,IF(COUNTIF($G659:$T659,"&gt;"&amp;P659)=0,"",SMALL($G659:$T659,COUNTIF($G659:$T659,"&lt;="&amp;P659)+1)-P659)))</f>
        <v/>
      </c>
      <c r="AN659" t="str">
        <f>IF(OR($B659="",NOT(ISNUMBER(Q659))),"",IF(COUNTIF(R659:$T659,Q659)&gt;0,0,IF(COUNTIF($G659:$T659,"&gt;"&amp;Q659)=0,"",SMALL($G659:$T659,COUNTIF($G659:$T659,"&lt;="&amp;Q659)+1)-Q659)))</f>
        <v/>
      </c>
      <c r="AO659" t="str">
        <f>IF(OR($B659="",NOT(ISNUMBER(R659))),"",IF(COUNTIF(S659:$T659,R659)&gt;0,0,IF(COUNTIF($G659:$T659,"&gt;"&amp;R659)=0,"",SMALL($G659:$T659,COUNTIF($G659:$T659,"&lt;="&amp;R659)+1)-R659)))</f>
        <v/>
      </c>
      <c r="AP659">
        <f t="shared" ca="1" si="173"/>
        <v>0</v>
      </c>
      <c r="AQ659" s="25" t="str">
        <f t="shared" si="174"/>
        <v/>
      </c>
      <c r="AR659" s="25" t="str">
        <f t="shared" si="175"/>
        <v/>
      </c>
      <c r="AS659" s="25" t="str">
        <f t="shared" si="176"/>
        <v/>
      </c>
      <c r="AT659" s="25" t="str">
        <f t="shared" si="177"/>
        <v/>
      </c>
      <c r="AU659" s="25" t="str">
        <f t="shared" si="178"/>
        <v/>
      </c>
      <c r="AV659" s="25" t="str">
        <f t="shared" si="179"/>
        <v/>
      </c>
      <c r="AW659" s="25" t="str">
        <f t="shared" si="180"/>
        <v/>
      </c>
      <c r="AX659" s="25" t="str">
        <f t="shared" si="181"/>
        <v/>
      </c>
      <c r="AY659" s="25" t="str">
        <f t="shared" si="182"/>
        <v/>
      </c>
      <c r="AZ659" s="25" t="str">
        <f t="shared" si="183"/>
        <v/>
      </c>
      <c r="BA659" s="25" t="str">
        <f t="shared" si="184"/>
        <v/>
      </c>
      <c r="BB659" s="25" t="str">
        <f t="shared" si="185"/>
        <v/>
      </c>
      <c r="BC659" s="25" t="str">
        <f t="shared" si="186"/>
        <v/>
      </c>
    </row>
    <row r="660" spans="1:55" x14ac:dyDescent="0.25">
      <c r="A660" s="19" t="str">
        <f t="shared" si="171"/>
        <v/>
      </c>
      <c r="B660" s="19"/>
      <c r="C660" s="20"/>
      <c r="D660" s="19" t="str">
        <f t="shared" si="170"/>
        <v/>
      </c>
      <c r="E660" s="19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19"/>
      <c r="U660" s="19"/>
      <c r="V660" s="20"/>
      <c r="W660" s="22"/>
      <c r="X660" s="21"/>
      <c r="Y660" s="21"/>
      <c r="Z660" s="23" t="str">
        <f>IF(B660="","",IF(S660&lt;&gt;"","Sevk Edildi",IF(AND(X660&lt;&gt;"",Y660=""),"Reworkte",IF(T660&lt;&gt;"","Kapandı"&amp;IF(COUNT(G660:R660)=0,""," – "&amp;LOOKUP(2,1/(G660:R660=MAX(G660:R660)),{"Tasarım","Ply Cutter","Üretim","Kalite (Üretim sonrası)","Talaşlı","Kalite (Talaşlı sonrası)","Montaj","Kalite (Montaj sonrası)","Boya","Kalite (Boya sonrası)","Yarı Mamül","KM"})),IF(COUNT(G660:R660)=0,"Başlamadı",LOOKUP(2,1/(G660:R660=MAX(G660:R660)),{"Tasarımda","Ply Cutter'da","Üretimde","Kalitede (Üretim sonrası)","Talaşlıda","Kalitede (Talaşlı sonrası)","Montajda","Kalitede (Montaj sonrası)","Boyada","Kalitede (Boya sonrası)","Yarı Mamülde","KM'de"}))))))</f>
        <v/>
      </c>
      <c r="AA660" s="24" t="str">
        <f t="shared" ca="1" si="172"/>
        <v/>
      </c>
      <c r="AB660" s="22"/>
      <c r="AD660" t="str">
        <f>IF(OR($B660="",NOT(ISNUMBER(G660))),"",IF(COUNTIF(H660:$T660,G660)&gt;0,0,IF(COUNTIF($G660:$T660,"&gt;"&amp;G660)=0,"",SMALL($G660:$T660,COUNTIF($G660:$T660,"&lt;="&amp;G660)+1)-G660)))</f>
        <v/>
      </c>
      <c r="AE660" t="str">
        <f>IF(OR($B660="",NOT(ISNUMBER(H660))),"",IF(COUNTIF(I660:$T660,H660)&gt;0,0,IF(COUNTIF($G660:$T660,"&gt;"&amp;H660)=0,"",SMALL($G660:$T660,COUNTIF($G660:$T660,"&lt;="&amp;H660)+1)-H660)))</f>
        <v/>
      </c>
      <c r="AF660" t="str">
        <f>IF(OR($B660="",NOT(ISNUMBER(I660))),"",IF(COUNTIF(J660:$T660,I660)&gt;0,0,IF(COUNTIF($G660:$T660,"&gt;"&amp;I660)=0,"",SMALL($G660:$T660,COUNTIF($G660:$T660,"&lt;="&amp;I660)+1)-I660)))</f>
        <v/>
      </c>
      <c r="AG660" t="str">
        <f>IF(OR($B660="",NOT(ISNUMBER(J660))),"",IF(COUNTIF(K660:$T660,J660)&gt;0,0,IF(COUNTIF($G660:$T660,"&gt;"&amp;J660)=0,"",SMALL($G660:$T660,COUNTIF($G660:$T660,"&lt;="&amp;J660)+1)-J660)))</f>
        <v/>
      </c>
      <c r="AH660" t="str">
        <f>IF(OR($B660="",NOT(ISNUMBER(K660))),"",IF(COUNTIF(L660:$T660,K660)&gt;0,0,IF(COUNTIF($G660:$T660,"&gt;"&amp;K660)=0,"",SMALL($G660:$T660,COUNTIF($G660:$T660,"&lt;="&amp;K660)+1)-K660)))</f>
        <v/>
      </c>
      <c r="AI660" t="str">
        <f>IF(OR($B660="",NOT(ISNUMBER(L660))),"",IF(COUNTIF(M660:$T660,L660)&gt;0,0,IF(COUNTIF($G660:$T660,"&gt;"&amp;L660)=0,"",SMALL($G660:$T660,COUNTIF($G660:$T660,"&lt;="&amp;L660)+1)-L660)))</f>
        <v/>
      </c>
      <c r="AJ660" t="str">
        <f>IF(OR($B660="",NOT(ISNUMBER(M660))),"",IF(COUNTIF(N660:$T660,M660)&gt;0,0,IF(COUNTIF($G660:$T660,"&gt;"&amp;M660)=0,"",SMALL($G660:$T660,COUNTIF($G660:$T660,"&lt;="&amp;M660)+1)-M660)))</f>
        <v/>
      </c>
      <c r="AK660" t="str">
        <f>IF(OR($B660="",NOT(ISNUMBER(N660))),"",IF(COUNTIF(O660:$T660,N660)&gt;0,0,IF(COUNTIF($G660:$T660,"&gt;"&amp;N660)=0,"",SMALL($G660:$T660,COUNTIF($G660:$T660,"&lt;="&amp;N660)+1)-N660)))</f>
        <v/>
      </c>
      <c r="AL660" t="str">
        <f>IF(OR($B660="",NOT(ISNUMBER(O660))),"",IF(COUNTIF(P660:$T660,O660)&gt;0,0,IF(COUNTIF($G660:$T660,"&gt;"&amp;O660)=0,"",SMALL($G660:$T660,COUNTIF($G660:$T660,"&lt;="&amp;O660)+1)-O660)))</f>
        <v/>
      </c>
      <c r="AM660" t="str">
        <f>IF(OR($B660="",NOT(ISNUMBER(P660))),"",IF(COUNTIF(Q660:$T660,P660)&gt;0,0,IF(COUNTIF($G660:$T660,"&gt;"&amp;P660)=0,"",SMALL($G660:$T660,COUNTIF($G660:$T660,"&lt;="&amp;P660)+1)-P660)))</f>
        <v/>
      </c>
      <c r="AN660" t="str">
        <f>IF(OR($B660="",NOT(ISNUMBER(Q660))),"",IF(COUNTIF(R660:$T660,Q660)&gt;0,0,IF(COUNTIF($G660:$T660,"&gt;"&amp;Q660)=0,"",SMALL($G660:$T660,COUNTIF($G660:$T660,"&lt;="&amp;Q660)+1)-Q660)))</f>
        <v/>
      </c>
      <c r="AO660" t="str">
        <f>IF(OR($B660="",NOT(ISNUMBER(R660))),"",IF(COUNTIF(S660:$T660,R660)&gt;0,0,IF(COUNTIF($G660:$T660,"&gt;"&amp;R660)=0,"",SMALL($G660:$T660,COUNTIF($G660:$T660,"&lt;="&amp;R660)+1)-R660)))</f>
        <v/>
      </c>
      <c r="AP660">
        <f t="shared" ca="1" si="173"/>
        <v>0</v>
      </c>
      <c r="AQ660" s="25" t="str">
        <f t="shared" si="174"/>
        <v/>
      </c>
      <c r="AR660" s="25" t="str">
        <f t="shared" si="175"/>
        <v/>
      </c>
      <c r="AS660" s="25" t="str">
        <f t="shared" si="176"/>
        <v/>
      </c>
      <c r="AT660" s="25" t="str">
        <f t="shared" si="177"/>
        <v/>
      </c>
      <c r="AU660" s="25" t="str">
        <f t="shared" si="178"/>
        <v/>
      </c>
      <c r="AV660" s="25" t="str">
        <f t="shared" si="179"/>
        <v/>
      </c>
      <c r="AW660" s="25" t="str">
        <f t="shared" si="180"/>
        <v/>
      </c>
      <c r="AX660" s="25" t="str">
        <f t="shared" si="181"/>
        <v/>
      </c>
      <c r="AY660" s="25" t="str">
        <f t="shared" si="182"/>
        <v/>
      </c>
      <c r="AZ660" s="25" t="str">
        <f t="shared" si="183"/>
        <v/>
      </c>
      <c r="BA660" s="25" t="str">
        <f t="shared" si="184"/>
        <v/>
      </c>
      <c r="BB660" s="25" t="str">
        <f t="shared" si="185"/>
        <v/>
      </c>
      <c r="BC660" s="25" t="str">
        <f t="shared" si="186"/>
        <v/>
      </c>
    </row>
    <row r="661" spans="1:55" x14ac:dyDescent="0.25">
      <c r="A661" s="19" t="str">
        <f t="shared" si="171"/>
        <v/>
      </c>
      <c r="B661" s="19"/>
      <c r="C661" s="20"/>
      <c r="D661" s="19" t="str">
        <f t="shared" si="170"/>
        <v/>
      </c>
      <c r="E661" s="19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19"/>
      <c r="U661" s="19"/>
      <c r="V661" s="20"/>
      <c r="W661" s="22"/>
      <c r="X661" s="21"/>
      <c r="Y661" s="21"/>
      <c r="Z661" s="23" t="str">
        <f>IF(B661="","",IF(S661&lt;&gt;"","Sevk Edildi",IF(AND(X661&lt;&gt;"",Y661=""),"Reworkte",IF(T661&lt;&gt;"","Kapandı"&amp;IF(COUNT(G661:R661)=0,""," – "&amp;LOOKUP(2,1/(G661:R661=MAX(G661:R661)),{"Tasarım","Ply Cutter","Üretim","Kalite (Üretim sonrası)","Talaşlı","Kalite (Talaşlı sonrası)","Montaj","Kalite (Montaj sonrası)","Boya","Kalite (Boya sonrası)","Yarı Mamül","KM"})),IF(COUNT(G661:R661)=0,"Başlamadı",LOOKUP(2,1/(G661:R661=MAX(G661:R661)),{"Tasarımda","Ply Cutter'da","Üretimde","Kalitede (Üretim sonrası)","Talaşlıda","Kalitede (Talaşlı sonrası)","Montajda","Kalitede (Montaj sonrası)","Boyada","Kalitede (Boya sonrası)","Yarı Mamülde","KM'de"}))))))</f>
        <v/>
      </c>
      <c r="AA661" s="24" t="str">
        <f t="shared" ca="1" si="172"/>
        <v/>
      </c>
      <c r="AB661" s="22"/>
      <c r="AD661" t="str">
        <f>IF(OR($B661="",NOT(ISNUMBER(G661))),"",IF(COUNTIF(H661:$T661,G661)&gt;0,0,IF(COUNTIF($G661:$T661,"&gt;"&amp;G661)=0,"",SMALL($G661:$T661,COUNTIF($G661:$T661,"&lt;="&amp;G661)+1)-G661)))</f>
        <v/>
      </c>
      <c r="AE661" t="str">
        <f>IF(OR($B661="",NOT(ISNUMBER(H661))),"",IF(COUNTIF(I661:$T661,H661)&gt;0,0,IF(COUNTIF($G661:$T661,"&gt;"&amp;H661)=0,"",SMALL($G661:$T661,COUNTIF($G661:$T661,"&lt;="&amp;H661)+1)-H661)))</f>
        <v/>
      </c>
      <c r="AF661" t="str">
        <f>IF(OR($B661="",NOT(ISNUMBER(I661))),"",IF(COUNTIF(J661:$T661,I661)&gt;0,0,IF(COUNTIF($G661:$T661,"&gt;"&amp;I661)=0,"",SMALL($G661:$T661,COUNTIF($G661:$T661,"&lt;="&amp;I661)+1)-I661)))</f>
        <v/>
      </c>
      <c r="AG661" t="str">
        <f>IF(OR($B661="",NOT(ISNUMBER(J661))),"",IF(COUNTIF(K661:$T661,J661)&gt;0,0,IF(COUNTIF($G661:$T661,"&gt;"&amp;J661)=0,"",SMALL($G661:$T661,COUNTIF($G661:$T661,"&lt;="&amp;J661)+1)-J661)))</f>
        <v/>
      </c>
      <c r="AH661" t="str">
        <f>IF(OR($B661="",NOT(ISNUMBER(K661))),"",IF(COUNTIF(L661:$T661,K661)&gt;0,0,IF(COUNTIF($G661:$T661,"&gt;"&amp;K661)=0,"",SMALL($G661:$T661,COUNTIF($G661:$T661,"&lt;="&amp;K661)+1)-K661)))</f>
        <v/>
      </c>
      <c r="AI661" t="str">
        <f>IF(OR($B661="",NOT(ISNUMBER(L661))),"",IF(COUNTIF(M661:$T661,L661)&gt;0,0,IF(COUNTIF($G661:$T661,"&gt;"&amp;L661)=0,"",SMALL($G661:$T661,COUNTIF($G661:$T661,"&lt;="&amp;L661)+1)-L661)))</f>
        <v/>
      </c>
      <c r="AJ661" t="str">
        <f>IF(OR($B661="",NOT(ISNUMBER(M661))),"",IF(COUNTIF(N661:$T661,M661)&gt;0,0,IF(COUNTIF($G661:$T661,"&gt;"&amp;M661)=0,"",SMALL($G661:$T661,COUNTIF($G661:$T661,"&lt;="&amp;M661)+1)-M661)))</f>
        <v/>
      </c>
      <c r="AK661" t="str">
        <f>IF(OR($B661="",NOT(ISNUMBER(N661))),"",IF(COUNTIF(O661:$T661,N661)&gt;0,0,IF(COUNTIF($G661:$T661,"&gt;"&amp;N661)=0,"",SMALL($G661:$T661,COUNTIF($G661:$T661,"&lt;="&amp;N661)+1)-N661)))</f>
        <v/>
      </c>
      <c r="AL661" t="str">
        <f>IF(OR($B661="",NOT(ISNUMBER(O661))),"",IF(COUNTIF(P661:$T661,O661)&gt;0,0,IF(COUNTIF($G661:$T661,"&gt;"&amp;O661)=0,"",SMALL($G661:$T661,COUNTIF($G661:$T661,"&lt;="&amp;O661)+1)-O661)))</f>
        <v/>
      </c>
      <c r="AM661" t="str">
        <f>IF(OR($B661="",NOT(ISNUMBER(P661))),"",IF(COUNTIF(Q661:$T661,P661)&gt;0,0,IF(COUNTIF($G661:$T661,"&gt;"&amp;P661)=0,"",SMALL($G661:$T661,COUNTIF($G661:$T661,"&lt;="&amp;P661)+1)-P661)))</f>
        <v/>
      </c>
      <c r="AN661" t="str">
        <f>IF(OR($B661="",NOT(ISNUMBER(Q661))),"",IF(COUNTIF(R661:$T661,Q661)&gt;0,0,IF(COUNTIF($G661:$T661,"&gt;"&amp;Q661)=0,"",SMALL($G661:$T661,COUNTIF($G661:$T661,"&lt;="&amp;Q661)+1)-Q661)))</f>
        <v/>
      </c>
      <c r="AO661" t="str">
        <f>IF(OR($B661="",NOT(ISNUMBER(R661))),"",IF(COUNTIF(S661:$T661,R661)&gt;0,0,IF(COUNTIF($G661:$T661,"&gt;"&amp;R661)=0,"",SMALL($G661:$T661,COUNTIF($G661:$T661,"&lt;="&amp;R661)+1)-R661)))</f>
        <v/>
      </c>
      <c r="AP661">
        <f t="shared" ca="1" si="173"/>
        <v>0</v>
      </c>
      <c r="AQ661" s="25" t="str">
        <f t="shared" si="174"/>
        <v/>
      </c>
      <c r="AR661" s="25" t="str">
        <f t="shared" si="175"/>
        <v/>
      </c>
      <c r="AS661" s="25" t="str">
        <f t="shared" si="176"/>
        <v/>
      </c>
      <c r="AT661" s="25" t="str">
        <f t="shared" si="177"/>
        <v/>
      </c>
      <c r="AU661" s="25" t="str">
        <f t="shared" si="178"/>
        <v/>
      </c>
      <c r="AV661" s="25" t="str">
        <f t="shared" si="179"/>
        <v/>
      </c>
      <c r="AW661" s="25" t="str">
        <f t="shared" si="180"/>
        <v/>
      </c>
      <c r="AX661" s="25" t="str">
        <f t="shared" si="181"/>
        <v/>
      </c>
      <c r="AY661" s="25" t="str">
        <f t="shared" si="182"/>
        <v/>
      </c>
      <c r="AZ661" s="25" t="str">
        <f t="shared" si="183"/>
        <v/>
      </c>
      <c r="BA661" s="25" t="str">
        <f t="shared" si="184"/>
        <v/>
      </c>
      <c r="BB661" s="25" t="str">
        <f t="shared" si="185"/>
        <v/>
      </c>
      <c r="BC661" s="25" t="str">
        <f t="shared" si="186"/>
        <v/>
      </c>
    </row>
    <row r="662" spans="1:55" x14ac:dyDescent="0.25">
      <c r="A662" s="19" t="str">
        <f t="shared" si="171"/>
        <v/>
      </c>
      <c r="B662" s="19"/>
      <c r="C662" s="20"/>
      <c r="D662" s="19" t="str">
        <f t="shared" si="170"/>
        <v/>
      </c>
      <c r="E662" s="19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19"/>
      <c r="U662" s="19"/>
      <c r="V662" s="20"/>
      <c r="W662" s="22"/>
      <c r="X662" s="21"/>
      <c r="Y662" s="21"/>
      <c r="Z662" s="23" t="str">
        <f>IF(B662="","",IF(S662&lt;&gt;"","Sevk Edildi",IF(AND(X662&lt;&gt;"",Y662=""),"Reworkte",IF(T662&lt;&gt;"","Kapandı"&amp;IF(COUNT(G662:R662)=0,""," – "&amp;LOOKUP(2,1/(G662:R662=MAX(G662:R662)),{"Tasarım","Ply Cutter","Üretim","Kalite (Üretim sonrası)","Talaşlı","Kalite (Talaşlı sonrası)","Montaj","Kalite (Montaj sonrası)","Boya","Kalite (Boya sonrası)","Yarı Mamül","KM"})),IF(COUNT(G662:R662)=0,"Başlamadı",LOOKUP(2,1/(G662:R662=MAX(G662:R662)),{"Tasarımda","Ply Cutter'da","Üretimde","Kalitede (Üretim sonrası)","Talaşlıda","Kalitede (Talaşlı sonrası)","Montajda","Kalitede (Montaj sonrası)","Boyada","Kalitede (Boya sonrası)","Yarı Mamülde","KM'de"}))))))</f>
        <v/>
      </c>
      <c r="AA662" s="24" t="str">
        <f t="shared" ca="1" si="172"/>
        <v/>
      </c>
      <c r="AB662" s="22"/>
      <c r="AD662" t="str">
        <f>IF(OR($B662="",NOT(ISNUMBER(G662))),"",IF(COUNTIF(H662:$T662,G662)&gt;0,0,IF(COUNTIF($G662:$T662,"&gt;"&amp;G662)=0,"",SMALL($G662:$T662,COUNTIF($G662:$T662,"&lt;="&amp;G662)+1)-G662)))</f>
        <v/>
      </c>
      <c r="AE662" t="str">
        <f>IF(OR($B662="",NOT(ISNUMBER(H662))),"",IF(COUNTIF(I662:$T662,H662)&gt;0,0,IF(COUNTIF($G662:$T662,"&gt;"&amp;H662)=0,"",SMALL($G662:$T662,COUNTIF($G662:$T662,"&lt;="&amp;H662)+1)-H662)))</f>
        <v/>
      </c>
      <c r="AF662" t="str">
        <f>IF(OR($B662="",NOT(ISNUMBER(I662))),"",IF(COUNTIF(J662:$T662,I662)&gt;0,0,IF(COUNTIF($G662:$T662,"&gt;"&amp;I662)=0,"",SMALL($G662:$T662,COUNTIF($G662:$T662,"&lt;="&amp;I662)+1)-I662)))</f>
        <v/>
      </c>
      <c r="AG662" t="str">
        <f>IF(OR($B662="",NOT(ISNUMBER(J662))),"",IF(COUNTIF(K662:$T662,J662)&gt;0,0,IF(COUNTIF($G662:$T662,"&gt;"&amp;J662)=0,"",SMALL($G662:$T662,COUNTIF($G662:$T662,"&lt;="&amp;J662)+1)-J662)))</f>
        <v/>
      </c>
      <c r="AH662" t="str">
        <f>IF(OR($B662="",NOT(ISNUMBER(K662))),"",IF(COUNTIF(L662:$T662,K662)&gt;0,0,IF(COUNTIF($G662:$T662,"&gt;"&amp;K662)=0,"",SMALL($G662:$T662,COUNTIF($G662:$T662,"&lt;="&amp;K662)+1)-K662)))</f>
        <v/>
      </c>
      <c r="AI662" t="str">
        <f>IF(OR($B662="",NOT(ISNUMBER(L662))),"",IF(COUNTIF(M662:$T662,L662)&gt;0,0,IF(COUNTIF($G662:$T662,"&gt;"&amp;L662)=0,"",SMALL($G662:$T662,COUNTIF($G662:$T662,"&lt;="&amp;L662)+1)-L662)))</f>
        <v/>
      </c>
      <c r="AJ662" t="str">
        <f>IF(OR($B662="",NOT(ISNUMBER(M662))),"",IF(COUNTIF(N662:$T662,M662)&gt;0,0,IF(COUNTIF($G662:$T662,"&gt;"&amp;M662)=0,"",SMALL($G662:$T662,COUNTIF($G662:$T662,"&lt;="&amp;M662)+1)-M662)))</f>
        <v/>
      </c>
      <c r="AK662" t="str">
        <f>IF(OR($B662="",NOT(ISNUMBER(N662))),"",IF(COUNTIF(O662:$T662,N662)&gt;0,0,IF(COUNTIF($G662:$T662,"&gt;"&amp;N662)=0,"",SMALL($G662:$T662,COUNTIF($G662:$T662,"&lt;="&amp;N662)+1)-N662)))</f>
        <v/>
      </c>
      <c r="AL662" t="str">
        <f>IF(OR($B662="",NOT(ISNUMBER(O662))),"",IF(COUNTIF(P662:$T662,O662)&gt;0,0,IF(COUNTIF($G662:$T662,"&gt;"&amp;O662)=0,"",SMALL($G662:$T662,COUNTIF($G662:$T662,"&lt;="&amp;O662)+1)-O662)))</f>
        <v/>
      </c>
      <c r="AM662" t="str">
        <f>IF(OR($B662="",NOT(ISNUMBER(P662))),"",IF(COUNTIF(Q662:$T662,P662)&gt;0,0,IF(COUNTIF($G662:$T662,"&gt;"&amp;P662)=0,"",SMALL($G662:$T662,COUNTIF($G662:$T662,"&lt;="&amp;P662)+1)-P662)))</f>
        <v/>
      </c>
      <c r="AN662" t="str">
        <f>IF(OR($B662="",NOT(ISNUMBER(Q662))),"",IF(COUNTIF(R662:$T662,Q662)&gt;0,0,IF(COUNTIF($G662:$T662,"&gt;"&amp;Q662)=0,"",SMALL($G662:$T662,COUNTIF($G662:$T662,"&lt;="&amp;Q662)+1)-Q662)))</f>
        <v/>
      </c>
      <c r="AO662" t="str">
        <f>IF(OR($B662="",NOT(ISNUMBER(R662))),"",IF(COUNTIF(S662:$T662,R662)&gt;0,0,IF(COUNTIF($G662:$T662,"&gt;"&amp;R662)=0,"",SMALL($G662:$T662,COUNTIF($G662:$T662,"&lt;="&amp;R662)+1)-R662)))</f>
        <v/>
      </c>
      <c r="AP662">
        <f t="shared" ca="1" si="173"/>
        <v>0</v>
      </c>
      <c r="AQ662" s="25" t="str">
        <f t="shared" si="174"/>
        <v/>
      </c>
      <c r="AR662" s="25" t="str">
        <f t="shared" si="175"/>
        <v/>
      </c>
      <c r="AS662" s="25" t="str">
        <f t="shared" si="176"/>
        <v/>
      </c>
      <c r="AT662" s="25" t="str">
        <f t="shared" si="177"/>
        <v/>
      </c>
      <c r="AU662" s="25" t="str">
        <f t="shared" si="178"/>
        <v/>
      </c>
      <c r="AV662" s="25" t="str">
        <f t="shared" si="179"/>
        <v/>
      </c>
      <c r="AW662" s="25" t="str">
        <f t="shared" si="180"/>
        <v/>
      </c>
      <c r="AX662" s="25" t="str">
        <f t="shared" si="181"/>
        <v/>
      </c>
      <c r="AY662" s="25" t="str">
        <f t="shared" si="182"/>
        <v/>
      </c>
      <c r="AZ662" s="25" t="str">
        <f t="shared" si="183"/>
        <v/>
      </c>
      <c r="BA662" s="25" t="str">
        <f t="shared" si="184"/>
        <v/>
      </c>
      <c r="BB662" s="25" t="str">
        <f t="shared" si="185"/>
        <v/>
      </c>
      <c r="BC662" s="25" t="str">
        <f t="shared" si="186"/>
        <v/>
      </c>
    </row>
    <row r="663" spans="1:55" x14ac:dyDescent="0.25">
      <c r="A663" s="19" t="str">
        <f t="shared" si="171"/>
        <v/>
      </c>
      <c r="B663" s="19"/>
      <c r="C663" s="20"/>
      <c r="D663" s="19" t="str">
        <f t="shared" si="170"/>
        <v/>
      </c>
      <c r="E663" s="19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19"/>
      <c r="U663" s="19"/>
      <c r="V663" s="20"/>
      <c r="W663" s="22"/>
      <c r="X663" s="21"/>
      <c r="Y663" s="21"/>
      <c r="Z663" s="23" t="str">
        <f>IF(B663="","",IF(S663&lt;&gt;"","Sevk Edildi",IF(AND(X663&lt;&gt;"",Y663=""),"Reworkte",IF(T663&lt;&gt;"","Kapandı"&amp;IF(COUNT(G663:R663)=0,""," – "&amp;LOOKUP(2,1/(G663:R663=MAX(G663:R663)),{"Tasarım","Ply Cutter","Üretim","Kalite (Üretim sonrası)","Talaşlı","Kalite (Talaşlı sonrası)","Montaj","Kalite (Montaj sonrası)","Boya","Kalite (Boya sonrası)","Yarı Mamül","KM"})),IF(COUNT(G663:R663)=0,"Başlamadı",LOOKUP(2,1/(G663:R663=MAX(G663:R663)),{"Tasarımda","Ply Cutter'da","Üretimde","Kalitede (Üretim sonrası)","Talaşlıda","Kalitede (Talaşlı sonrası)","Montajda","Kalitede (Montaj sonrası)","Boyada","Kalitede (Boya sonrası)","Yarı Mamülde","KM'de"}))))))</f>
        <v/>
      </c>
      <c r="AA663" s="24" t="str">
        <f t="shared" ca="1" si="172"/>
        <v/>
      </c>
      <c r="AB663" s="22"/>
      <c r="AD663" t="str">
        <f>IF(OR($B663="",NOT(ISNUMBER(G663))),"",IF(COUNTIF(H663:$T663,G663)&gt;0,0,IF(COUNTIF($G663:$T663,"&gt;"&amp;G663)=0,"",SMALL($G663:$T663,COUNTIF($G663:$T663,"&lt;="&amp;G663)+1)-G663)))</f>
        <v/>
      </c>
      <c r="AE663" t="str">
        <f>IF(OR($B663="",NOT(ISNUMBER(H663))),"",IF(COUNTIF(I663:$T663,H663)&gt;0,0,IF(COUNTIF($G663:$T663,"&gt;"&amp;H663)=0,"",SMALL($G663:$T663,COUNTIF($G663:$T663,"&lt;="&amp;H663)+1)-H663)))</f>
        <v/>
      </c>
      <c r="AF663" t="str">
        <f>IF(OR($B663="",NOT(ISNUMBER(I663))),"",IF(COUNTIF(J663:$T663,I663)&gt;0,0,IF(COUNTIF($G663:$T663,"&gt;"&amp;I663)=0,"",SMALL($G663:$T663,COUNTIF($G663:$T663,"&lt;="&amp;I663)+1)-I663)))</f>
        <v/>
      </c>
      <c r="AG663" t="str">
        <f>IF(OR($B663="",NOT(ISNUMBER(J663))),"",IF(COUNTIF(K663:$T663,J663)&gt;0,0,IF(COUNTIF($G663:$T663,"&gt;"&amp;J663)=0,"",SMALL($G663:$T663,COUNTIF($G663:$T663,"&lt;="&amp;J663)+1)-J663)))</f>
        <v/>
      </c>
      <c r="AH663" t="str">
        <f>IF(OR($B663="",NOT(ISNUMBER(K663))),"",IF(COUNTIF(L663:$T663,K663)&gt;0,0,IF(COUNTIF($G663:$T663,"&gt;"&amp;K663)=0,"",SMALL($G663:$T663,COUNTIF($G663:$T663,"&lt;="&amp;K663)+1)-K663)))</f>
        <v/>
      </c>
      <c r="AI663" t="str">
        <f>IF(OR($B663="",NOT(ISNUMBER(L663))),"",IF(COUNTIF(M663:$T663,L663)&gt;0,0,IF(COUNTIF($G663:$T663,"&gt;"&amp;L663)=0,"",SMALL($G663:$T663,COUNTIF($G663:$T663,"&lt;="&amp;L663)+1)-L663)))</f>
        <v/>
      </c>
      <c r="AJ663" t="str">
        <f>IF(OR($B663="",NOT(ISNUMBER(M663))),"",IF(COUNTIF(N663:$T663,M663)&gt;0,0,IF(COUNTIF($G663:$T663,"&gt;"&amp;M663)=0,"",SMALL($G663:$T663,COUNTIF($G663:$T663,"&lt;="&amp;M663)+1)-M663)))</f>
        <v/>
      </c>
      <c r="AK663" t="str">
        <f>IF(OR($B663="",NOT(ISNUMBER(N663))),"",IF(COUNTIF(O663:$T663,N663)&gt;0,0,IF(COUNTIF($G663:$T663,"&gt;"&amp;N663)=0,"",SMALL($G663:$T663,COUNTIF($G663:$T663,"&lt;="&amp;N663)+1)-N663)))</f>
        <v/>
      </c>
      <c r="AL663" t="str">
        <f>IF(OR($B663="",NOT(ISNUMBER(O663))),"",IF(COUNTIF(P663:$T663,O663)&gt;0,0,IF(COUNTIF($G663:$T663,"&gt;"&amp;O663)=0,"",SMALL($G663:$T663,COUNTIF($G663:$T663,"&lt;="&amp;O663)+1)-O663)))</f>
        <v/>
      </c>
      <c r="AM663" t="str">
        <f>IF(OR($B663="",NOT(ISNUMBER(P663))),"",IF(COUNTIF(Q663:$T663,P663)&gt;0,0,IF(COUNTIF($G663:$T663,"&gt;"&amp;P663)=0,"",SMALL($G663:$T663,COUNTIF($G663:$T663,"&lt;="&amp;P663)+1)-P663)))</f>
        <v/>
      </c>
      <c r="AN663" t="str">
        <f>IF(OR($B663="",NOT(ISNUMBER(Q663))),"",IF(COUNTIF(R663:$T663,Q663)&gt;0,0,IF(COUNTIF($G663:$T663,"&gt;"&amp;Q663)=0,"",SMALL($G663:$T663,COUNTIF($G663:$T663,"&lt;="&amp;Q663)+1)-Q663)))</f>
        <v/>
      </c>
      <c r="AO663" t="str">
        <f>IF(OR($B663="",NOT(ISNUMBER(R663))),"",IF(COUNTIF(S663:$T663,R663)&gt;0,0,IF(COUNTIF($G663:$T663,"&gt;"&amp;R663)=0,"",SMALL($G663:$T663,COUNTIF($G663:$T663,"&lt;="&amp;R663)+1)-R663)))</f>
        <v/>
      </c>
      <c r="AP663">
        <f t="shared" ca="1" si="173"/>
        <v>0</v>
      </c>
      <c r="AQ663" s="25" t="str">
        <f t="shared" si="174"/>
        <v/>
      </c>
      <c r="AR663" s="25" t="str">
        <f t="shared" si="175"/>
        <v/>
      </c>
      <c r="AS663" s="25" t="str">
        <f t="shared" si="176"/>
        <v/>
      </c>
      <c r="AT663" s="25" t="str">
        <f t="shared" si="177"/>
        <v/>
      </c>
      <c r="AU663" s="25" t="str">
        <f t="shared" si="178"/>
        <v/>
      </c>
      <c r="AV663" s="25" t="str">
        <f t="shared" si="179"/>
        <v/>
      </c>
      <c r="AW663" s="25" t="str">
        <f t="shared" si="180"/>
        <v/>
      </c>
      <c r="AX663" s="25" t="str">
        <f t="shared" si="181"/>
        <v/>
      </c>
      <c r="AY663" s="25" t="str">
        <f t="shared" si="182"/>
        <v/>
      </c>
      <c r="AZ663" s="25" t="str">
        <f t="shared" si="183"/>
        <v/>
      </c>
      <c r="BA663" s="25" t="str">
        <f t="shared" si="184"/>
        <v/>
      </c>
      <c r="BB663" s="25" t="str">
        <f t="shared" si="185"/>
        <v/>
      </c>
      <c r="BC663" s="25" t="str">
        <f t="shared" si="186"/>
        <v/>
      </c>
    </row>
    <row r="664" spans="1:55" x14ac:dyDescent="0.25">
      <c r="A664" s="19" t="str">
        <f t="shared" si="171"/>
        <v/>
      </c>
      <c r="B664" s="19"/>
      <c r="C664" s="20"/>
      <c r="D664" s="19" t="str">
        <f t="shared" si="170"/>
        <v/>
      </c>
      <c r="E664" s="19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19"/>
      <c r="U664" s="19"/>
      <c r="V664" s="20"/>
      <c r="W664" s="22"/>
      <c r="X664" s="21"/>
      <c r="Y664" s="21"/>
      <c r="Z664" s="23" t="str">
        <f>IF(B664="","",IF(S664&lt;&gt;"","Sevk Edildi",IF(AND(X664&lt;&gt;"",Y664=""),"Reworkte",IF(T664&lt;&gt;"","Kapandı"&amp;IF(COUNT(G664:R664)=0,""," – "&amp;LOOKUP(2,1/(G664:R664=MAX(G664:R664)),{"Tasarım","Ply Cutter","Üretim","Kalite (Üretim sonrası)","Talaşlı","Kalite (Talaşlı sonrası)","Montaj","Kalite (Montaj sonrası)","Boya","Kalite (Boya sonrası)","Yarı Mamül","KM"})),IF(COUNT(G664:R664)=0,"Başlamadı",LOOKUP(2,1/(G664:R664=MAX(G664:R664)),{"Tasarımda","Ply Cutter'da","Üretimde","Kalitede (Üretim sonrası)","Talaşlıda","Kalitede (Talaşlı sonrası)","Montajda","Kalitede (Montaj sonrası)","Boyada","Kalitede (Boya sonrası)","Yarı Mamülde","KM'de"}))))))</f>
        <v/>
      </c>
      <c r="AA664" s="24" t="str">
        <f t="shared" ca="1" si="172"/>
        <v/>
      </c>
      <c r="AB664" s="22"/>
      <c r="AD664" t="str">
        <f>IF(OR($B664="",NOT(ISNUMBER(G664))),"",IF(COUNTIF(H664:$T664,G664)&gt;0,0,IF(COUNTIF($G664:$T664,"&gt;"&amp;G664)=0,"",SMALL($G664:$T664,COUNTIF($G664:$T664,"&lt;="&amp;G664)+1)-G664)))</f>
        <v/>
      </c>
      <c r="AE664" t="str">
        <f>IF(OR($B664="",NOT(ISNUMBER(H664))),"",IF(COUNTIF(I664:$T664,H664)&gt;0,0,IF(COUNTIF($G664:$T664,"&gt;"&amp;H664)=0,"",SMALL($G664:$T664,COUNTIF($G664:$T664,"&lt;="&amp;H664)+1)-H664)))</f>
        <v/>
      </c>
      <c r="AF664" t="str">
        <f>IF(OR($B664="",NOT(ISNUMBER(I664))),"",IF(COUNTIF(J664:$T664,I664)&gt;0,0,IF(COUNTIF($G664:$T664,"&gt;"&amp;I664)=0,"",SMALL($G664:$T664,COUNTIF($G664:$T664,"&lt;="&amp;I664)+1)-I664)))</f>
        <v/>
      </c>
      <c r="AG664" t="str">
        <f>IF(OR($B664="",NOT(ISNUMBER(J664))),"",IF(COUNTIF(K664:$T664,J664)&gt;0,0,IF(COUNTIF($G664:$T664,"&gt;"&amp;J664)=0,"",SMALL($G664:$T664,COUNTIF($G664:$T664,"&lt;="&amp;J664)+1)-J664)))</f>
        <v/>
      </c>
      <c r="AH664" t="str">
        <f>IF(OR($B664="",NOT(ISNUMBER(K664))),"",IF(COUNTIF(L664:$T664,K664)&gt;0,0,IF(COUNTIF($G664:$T664,"&gt;"&amp;K664)=0,"",SMALL($G664:$T664,COUNTIF($G664:$T664,"&lt;="&amp;K664)+1)-K664)))</f>
        <v/>
      </c>
      <c r="AI664" t="str">
        <f>IF(OR($B664="",NOT(ISNUMBER(L664))),"",IF(COUNTIF(M664:$T664,L664)&gt;0,0,IF(COUNTIF($G664:$T664,"&gt;"&amp;L664)=0,"",SMALL($G664:$T664,COUNTIF($G664:$T664,"&lt;="&amp;L664)+1)-L664)))</f>
        <v/>
      </c>
      <c r="AJ664" t="str">
        <f>IF(OR($B664="",NOT(ISNUMBER(M664))),"",IF(COUNTIF(N664:$T664,M664)&gt;0,0,IF(COUNTIF($G664:$T664,"&gt;"&amp;M664)=0,"",SMALL($G664:$T664,COUNTIF($G664:$T664,"&lt;="&amp;M664)+1)-M664)))</f>
        <v/>
      </c>
      <c r="AK664" t="str">
        <f>IF(OR($B664="",NOT(ISNUMBER(N664))),"",IF(COUNTIF(O664:$T664,N664)&gt;0,0,IF(COUNTIF($G664:$T664,"&gt;"&amp;N664)=0,"",SMALL($G664:$T664,COUNTIF($G664:$T664,"&lt;="&amp;N664)+1)-N664)))</f>
        <v/>
      </c>
      <c r="AL664" t="str">
        <f>IF(OR($B664="",NOT(ISNUMBER(O664))),"",IF(COUNTIF(P664:$T664,O664)&gt;0,0,IF(COUNTIF($G664:$T664,"&gt;"&amp;O664)=0,"",SMALL($G664:$T664,COUNTIF($G664:$T664,"&lt;="&amp;O664)+1)-O664)))</f>
        <v/>
      </c>
      <c r="AM664" t="str">
        <f>IF(OR($B664="",NOT(ISNUMBER(P664))),"",IF(COUNTIF(Q664:$T664,P664)&gt;0,0,IF(COUNTIF($G664:$T664,"&gt;"&amp;P664)=0,"",SMALL($G664:$T664,COUNTIF($G664:$T664,"&lt;="&amp;P664)+1)-P664)))</f>
        <v/>
      </c>
      <c r="AN664" t="str">
        <f>IF(OR($B664="",NOT(ISNUMBER(Q664))),"",IF(COUNTIF(R664:$T664,Q664)&gt;0,0,IF(COUNTIF($G664:$T664,"&gt;"&amp;Q664)=0,"",SMALL($G664:$T664,COUNTIF($G664:$T664,"&lt;="&amp;Q664)+1)-Q664)))</f>
        <v/>
      </c>
      <c r="AO664" t="str">
        <f>IF(OR($B664="",NOT(ISNUMBER(R664))),"",IF(COUNTIF(S664:$T664,R664)&gt;0,0,IF(COUNTIF($G664:$T664,"&gt;"&amp;R664)=0,"",SMALL($G664:$T664,COUNTIF($G664:$T664,"&lt;="&amp;R664)+1)-R664)))</f>
        <v/>
      </c>
      <c r="AP664">
        <f t="shared" ca="1" si="173"/>
        <v>0</v>
      </c>
      <c r="AQ664" s="25" t="str">
        <f t="shared" si="174"/>
        <v/>
      </c>
      <c r="AR664" s="25" t="str">
        <f t="shared" si="175"/>
        <v/>
      </c>
      <c r="AS664" s="25" t="str">
        <f t="shared" si="176"/>
        <v/>
      </c>
      <c r="AT664" s="25" t="str">
        <f t="shared" si="177"/>
        <v/>
      </c>
      <c r="AU664" s="25" t="str">
        <f t="shared" si="178"/>
        <v/>
      </c>
      <c r="AV664" s="25" t="str">
        <f t="shared" si="179"/>
        <v/>
      </c>
      <c r="AW664" s="25" t="str">
        <f t="shared" si="180"/>
        <v/>
      </c>
      <c r="AX664" s="25" t="str">
        <f t="shared" si="181"/>
        <v/>
      </c>
      <c r="AY664" s="25" t="str">
        <f t="shared" si="182"/>
        <v/>
      </c>
      <c r="AZ664" s="25" t="str">
        <f t="shared" si="183"/>
        <v/>
      </c>
      <c r="BA664" s="25" t="str">
        <f t="shared" si="184"/>
        <v/>
      </c>
      <c r="BB664" s="25" t="str">
        <f t="shared" si="185"/>
        <v/>
      </c>
      <c r="BC664" s="25" t="str">
        <f t="shared" si="186"/>
        <v/>
      </c>
    </row>
    <row r="665" spans="1:55" x14ac:dyDescent="0.25">
      <c r="A665" s="19" t="str">
        <f t="shared" si="171"/>
        <v/>
      </c>
      <c r="B665" s="19"/>
      <c r="C665" s="20"/>
      <c r="D665" s="19" t="str">
        <f t="shared" si="170"/>
        <v/>
      </c>
      <c r="E665" s="19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19"/>
      <c r="U665" s="19"/>
      <c r="V665" s="20"/>
      <c r="W665" s="22"/>
      <c r="X665" s="21"/>
      <c r="Y665" s="21"/>
      <c r="Z665" s="23" t="str">
        <f>IF(B665="","",IF(S665&lt;&gt;"","Sevk Edildi",IF(AND(X665&lt;&gt;"",Y665=""),"Reworkte",IF(T665&lt;&gt;"","Kapandı"&amp;IF(COUNT(G665:R665)=0,""," – "&amp;LOOKUP(2,1/(G665:R665=MAX(G665:R665)),{"Tasarım","Ply Cutter","Üretim","Kalite (Üretim sonrası)","Talaşlı","Kalite (Talaşlı sonrası)","Montaj","Kalite (Montaj sonrası)","Boya","Kalite (Boya sonrası)","Yarı Mamül","KM"})),IF(COUNT(G665:R665)=0,"Başlamadı",LOOKUP(2,1/(G665:R665=MAX(G665:R665)),{"Tasarımda","Ply Cutter'da","Üretimde","Kalitede (Üretim sonrası)","Talaşlıda","Kalitede (Talaşlı sonrası)","Montajda","Kalitede (Montaj sonrası)","Boyada","Kalitede (Boya sonrası)","Yarı Mamülde","KM'de"}))))))</f>
        <v/>
      </c>
      <c r="AA665" s="24" t="str">
        <f t="shared" ca="1" si="172"/>
        <v/>
      </c>
      <c r="AB665" s="22"/>
      <c r="AD665" t="str">
        <f>IF(OR($B665="",NOT(ISNUMBER(G665))),"",IF(COUNTIF(H665:$T665,G665)&gt;0,0,IF(COUNTIF($G665:$T665,"&gt;"&amp;G665)=0,"",SMALL($G665:$T665,COUNTIF($G665:$T665,"&lt;="&amp;G665)+1)-G665)))</f>
        <v/>
      </c>
      <c r="AE665" t="str">
        <f>IF(OR($B665="",NOT(ISNUMBER(H665))),"",IF(COUNTIF(I665:$T665,H665)&gt;0,0,IF(COUNTIF($G665:$T665,"&gt;"&amp;H665)=0,"",SMALL($G665:$T665,COUNTIF($G665:$T665,"&lt;="&amp;H665)+1)-H665)))</f>
        <v/>
      </c>
      <c r="AF665" t="str">
        <f>IF(OR($B665="",NOT(ISNUMBER(I665))),"",IF(COUNTIF(J665:$T665,I665)&gt;0,0,IF(COUNTIF($G665:$T665,"&gt;"&amp;I665)=0,"",SMALL($G665:$T665,COUNTIF($G665:$T665,"&lt;="&amp;I665)+1)-I665)))</f>
        <v/>
      </c>
      <c r="AG665" t="str">
        <f>IF(OR($B665="",NOT(ISNUMBER(J665))),"",IF(COUNTIF(K665:$T665,J665)&gt;0,0,IF(COUNTIF($G665:$T665,"&gt;"&amp;J665)=0,"",SMALL($G665:$T665,COUNTIF($G665:$T665,"&lt;="&amp;J665)+1)-J665)))</f>
        <v/>
      </c>
      <c r="AH665" t="str">
        <f>IF(OR($B665="",NOT(ISNUMBER(K665))),"",IF(COUNTIF(L665:$T665,K665)&gt;0,0,IF(COUNTIF($G665:$T665,"&gt;"&amp;K665)=0,"",SMALL($G665:$T665,COUNTIF($G665:$T665,"&lt;="&amp;K665)+1)-K665)))</f>
        <v/>
      </c>
      <c r="AI665" t="str">
        <f>IF(OR($B665="",NOT(ISNUMBER(L665))),"",IF(COUNTIF(M665:$T665,L665)&gt;0,0,IF(COUNTIF($G665:$T665,"&gt;"&amp;L665)=0,"",SMALL($G665:$T665,COUNTIF($G665:$T665,"&lt;="&amp;L665)+1)-L665)))</f>
        <v/>
      </c>
      <c r="AJ665" t="str">
        <f>IF(OR($B665="",NOT(ISNUMBER(M665))),"",IF(COUNTIF(N665:$T665,M665)&gt;0,0,IF(COUNTIF($G665:$T665,"&gt;"&amp;M665)=0,"",SMALL($G665:$T665,COUNTIF($G665:$T665,"&lt;="&amp;M665)+1)-M665)))</f>
        <v/>
      </c>
      <c r="AK665" t="str">
        <f>IF(OR($B665="",NOT(ISNUMBER(N665))),"",IF(COUNTIF(O665:$T665,N665)&gt;0,0,IF(COUNTIF($G665:$T665,"&gt;"&amp;N665)=0,"",SMALL($G665:$T665,COUNTIF($G665:$T665,"&lt;="&amp;N665)+1)-N665)))</f>
        <v/>
      </c>
      <c r="AL665" t="str">
        <f>IF(OR($B665="",NOT(ISNUMBER(O665))),"",IF(COUNTIF(P665:$T665,O665)&gt;0,0,IF(COUNTIF($G665:$T665,"&gt;"&amp;O665)=0,"",SMALL($G665:$T665,COUNTIF($G665:$T665,"&lt;="&amp;O665)+1)-O665)))</f>
        <v/>
      </c>
      <c r="AM665" t="str">
        <f>IF(OR($B665="",NOT(ISNUMBER(P665))),"",IF(COUNTIF(Q665:$T665,P665)&gt;0,0,IF(COUNTIF($G665:$T665,"&gt;"&amp;P665)=0,"",SMALL($G665:$T665,COUNTIF($G665:$T665,"&lt;="&amp;P665)+1)-P665)))</f>
        <v/>
      </c>
      <c r="AN665" t="str">
        <f>IF(OR($B665="",NOT(ISNUMBER(Q665))),"",IF(COUNTIF(R665:$T665,Q665)&gt;0,0,IF(COUNTIF($G665:$T665,"&gt;"&amp;Q665)=0,"",SMALL($G665:$T665,COUNTIF($G665:$T665,"&lt;="&amp;Q665)+1)-Q665)))</f>
        <v/>
      </c>
      <c r="AO665" t="str">
        <f>IF(OR($B665="",NOT(ISNUMBER(R665))),"",IF(COUNTIF(S665:$T665,R665)&gt;0,0,IF(COUNTIF($G665:$T665,"&gt;"&amp;R665)=0,"",SMALL($G665:$T665,COUNTIF($G665:$T665,"&lt;="&amp;R665)+1)-R665)))</f>
        <v/>
      </c>
      <c r="AP665">
        <f t="shared" ca="1" si="173"/>
        <v>0</v>
      </c>
      <c r="AQ665" s="25" t="str">
        <f t="shared" si="174"/>
        <v/>
      </c>
      <c r="AR665" s="25" t="str">
        <f t="shared" si="175"/>
        <v/>
      </c>
      <c r="AS665" s="25" t="str">
        <f t="shared" si="176"/>
        <v/>
      </c>
      <c r="AT665" s="25" t="str">
        <f t="shared" si="177"/>
        <v/>
      </c>
      <c r="AU665" s="25" t="str">
        <f t="shared" si="178"/>
        <v/>
      </c>
      <c r="AV665" s="25" t="str">
        <f t="shared" si="179"/>
        <v/>
      </c>
      <c r="AW665" s="25" t="str">
        <f t="shared" si="180"/>
        <v/>
      </c>
      <c r="AX665" s="25" t="str">
        <f t="shared" si="181"/>
        <v/>
      </c>
      <c r="AY665" s="25" t="str">
        <f t="shared" si="182"/>
        <v/>
      </c>
      <c r="AZ665" s="25" t="str">
        <f t="shared" si="183"/>
        <v/>
      </c>
      <c r="BA665" s="25" t="str">
        <f t="shared" si="184"/>
        <v/>
      </c>
      <c r="BB665" s="25" t="str">
        <f t="shared" si="185"/>
        <v/>
      </c>
      <c r="BC665" s="25" t="str">
        <f t="shared" si="186"/>
        <v/>
      </c>
    </row>
    <row r="666" spans="1:55" x14ac:dyDescent="0.25">
      <c r="A666" s="19" t="str">
        <f t="shared" si="171"/>
        <v/>
      </c>
      <c r="B666" s="19"/>
      <c r="C666" s="20"/>
      <c r="D666" s="19" t="str">
        <f t="shared" si="170"/>
        <v/>
      </c>
      <c r="E666" s="19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19"/>
      <c r="U666" s="19"/>
      <c r="V666" s="20"/>
      <c r="W666" s="22"/>
      <c r="X666" s="21"/>
      <c r="Y666" s="21"/>
      <c r="Z666" s="23" t="str">
        <f>IF(B666="","",IF(S666&lt;&gt;"","Sevk Edildi",IF(AND(X666&lt;&gt;"",Y666=""),"Reworkte",IF(T666&lt;&gt;"","Kapandı"&amp;IF(COUNT(G666:R666)=0,""," – "&amp;LOOKUP(2,1/(G666:R666=MAX(G666:R666)),{"Tasarım","Ply Cutter","Üretim","Kalite (Üretim sonrası)","Talaşlı","Kalite (Talaşlı sonrası)","Montaj","Kalite (Montaj sonrası)","Boya","Kalite (Boya sonrası)","Yarı Mamül","KM"})),IF(COUNT(G666:R666)=0,"Başlamadı",LOOKUP(2,1/(G666:R666=MAX(G666:R666)),{"Tasarımda","Ply Cutter'da","Üretimde","Kalitede (Üretim sonrası)","Talaşlıda","Kalitede (Talaşlı sonrası)","Montajda","Kalitede (Montaj sonrası)","Boyada","Kalitede (Boya sonrası)","Yarı Mamülde","KM'de"}))))))</f>
        <v/>
      </c>
      <c r="AA666" s="24" t="str">
        <f t="shared" ca="1" si="172"/>
        <v/>
      </c>
      <c r="AB666" s="22"/>
      <c r="AD666" t="str">
        <f>IF(OR($B666="",NOT(ISNUMBER(G666))),"",IF(COUNTIF(H666:$T666,G666)&gt;0,0,IF(COUNTIF($G666:$T666,"&gt;"&amp;G666)=0,"",SMALL($G666:$T666,COUNTIF($G666:$T666,"&lt;="&amp;G666)+1)-G666)))</f>
        <v/>
      </c>
      <c r="AE666" t="str">
        <f>IF(OR($B666="",NOT(ISNUMBER(H666))),"",IF(COUNTIF(I666:$T666,H666)&gt;0,0,IF(COUNTIF($G666:$T666,"&gt;"&amp;H666)=0,"",SMALL($G666:$T666,COUNTIF($G666:$T666,"&lt;="&amp;H666)+1)-H666)))</f>
        <v/>
      </c>
      <c r="AF666" t="str">
        <f>IF(OR($B666="",NOT(ISNUMBER(I666))),"",IF(COUNTIF(J666:$T666,I666)&gt;0,0,IF(COUNTIF($G666:$T666,"&gt;"&amp;I666)=0,"",SMALL($G666:$T666,COUNTIF($G666:$T666,"&lt;="&amp;I666)+1)-I666)))</f>
        <v/>
      </c>
      <c r="AG666" t="str">
        <f>IF(OR($B666="",NOT(ISNUMBER(J666))),"",IF(COUNTIF(K666:$T666,J666)&gt;0,0,IF(COUNTIF($G666:$T666,"&gt;"&amp;J666)=0,"",SMALL($G666:$T666,COUNTIF($G666:$T666,"&lt;="&amp;J666)+1)-J666)))</f>
        <v/>
      </c>
      <c r="AH666" t="str">
        <f>IF(OR($B666="",NOT(ISNUMBER(K666))),"",IF(COUNTIF(L666:$T666,K666)&gt;0,0,IF(COUNTIF($G666:$T666,"&gt;"&amp;K666)=0,"",SMALL($G666:$T666,COUNTIF($G666:$T666,"&lt;="&amp;K666)+1)-K666)))</f>
        <v/>
      </c>
      <c r="AI666" t="str">
        <f>IF(OR($B666="",NOT(ISNUMBER(L666))),"",IF(COUNTIF(M666:$T666,L666)&gt;0,0,IF(COUNTIF($G666:$T666,"&gt;"&amp;L666)=0,"",SMALL($G666:$T666,COUNTIF($G666:$T666,"&lt;="&amp;L666)+1)-L666)))</f>
        <v/>
      </c>
      <c r="AJ666" t="str">
        <f>IF(OR($B666="",NOT(ISNUMBER(M666))),"",IF(COUNTIF(N666:$T666,M666)&gt;0,0,IF(COUNTIF($G666:$T666,"&gt;"&amp;M666)=0,"",SMALL($G666:$T666,COUNTIF($G666:$T666,"&lt;="&amp;M666)+1)-M666)))</f>
        <v/>
      </c>
      <c r="AK666" t="str">
        <f>IF(OR($B666="",NOT(ISNUMBER(N666))),"",IF(COUNTIF(O666:$T666,N666)&gt;0,0,IF(COUNTIF($G666:$T666,"&gt;"&amp;N666)=0,"",SMALL($G666:$T666,COUNTIF($G666:$T666,"&lt;="&amp;N666)+1)-N666)))</f>
        <v/>
      </c>
      <c r="AL666" t="str">
        <f>IF(OR($B666="",NOT(ISNUMBER(O666))),"",IF(COUNTIF(P666:$T666,O666)&gt;0,0,IF(COUNTIF($G666:$T666,"&gt;"&amp;O666)=0,"",SMALL($G666:$T666,COUNTIF($G666:$T666,"&lt;="&amp;O666)+1)-O666)))</f>
        <v/>
      </c>
      <c r="AM666" t="str">
        <f>IF(OR($B666="",NOT(ISNUMBER(P666))),"",IF(COUNTIF(Q666:$T666,P666)&gt;0,0,IF(COUNTIF($G666:$T666,"&gt;"&amp;P666)=0,"",SMALL($G666:$T666,COUNTIF($G666:$T666,"&lt;="&amp;P666)+1)-P666)))</f>
        <v/>
      </c>
      <c r="AN666" t="str">
        <f>IF(OR($B666="",NOT(ISNUMBER(Q666))),"",IF(COUNTIF(R666:$T666,Q666)&gt;0,0,IF(COUNTIF($G666:$T666,"&gt;"&amp;Q666)=0,"",SMALL($G666:$T666,COUNTIF($G666:$T666,"&lt;="&amp;Q666)+1)-Q666)))</f>
        <v/>
      </c>
      <c r="AO666" t="str">
        <f>IF(OR($B666="",NOT(ISNUMBER(R666))),"",IF(COUNTIF(S666:$T666,R666)&gt;0,0,IF(COUNTIF($G666:$T666,"&gt;"&amp;R666)=0,"",SMALL($G666:$T666,COUNTIF($G666:$T666,"&lt;="&amp;R666)+1)-R666)))</f>
        <v/>
      </c>
      <c r="AP666">
        <f t="shared" ca="1" si="173"/>
        <v>0</v>
      </c>
      <c r="AQ666" s="25" t="str">
        <f t="shared" si="174"/>
        <v/>
      </c>
      <c r="AR666" s="25" t="str">
        <f t="shared" si="175"/>
        <v/>
      </c>
      <c r="AS666" s="25" t="str">
        <f t="shared" si="176"/>
        <v/>
      </c>
      <c r="AT666" s="25" t="str">
        <f t="shared" si="177"/>
        <v/>
      </c>
      <c r="AU666" s="25" t="str">
        <f t="shared" si="178"/>
        <v/>
      </c>
      <c r="AV666" s="25" t="str">
        <f t="shared" si="179"/>
        <v/>
      </c>
      <c r="AW666" s="25" t="str">
        <f t="shared" si="180"/>
        <v/>
      </c>
      <c r="AX666" s="25" t="str">
        <f t="shared" si="181"/>
        <v/>
      </c>
      <c r="AY666" s="25" t="str">
        <f t="shared" si="182"/>
        <v/>
      </c>
      <c r="AZ666" s="25" t="str">
        <f t="shared" si="183"/>
        <v/>
      </c>
      <c r="BA666" s="25" t="str">
        <f t="shared" si="184"/>
        <v/>
      </c>
      <c r="BB666" s="25" t="str">
        <f t="shared" si="185"/>
        <v/>
      </c>
      <c r="BC666" s="25" t="str">
        <f t="shared" si="186"/>
        <v/>
      </c>
    </row>
    <row r="667" spans="1:55" x14ac:dyDescent="0.25">
      <c r="A667" s="19" t="str">
        <f t="shared" si="171"/>
        <v/>
      </c>
      <c r="B667" s="19"/>
      <c r="C667" s="20"/>
      <c r="D667" s="19" t="str">
        <f t="shared" si="170"/>
        <v/>
      </c>
      <c r="E667" s="19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19"/>
      <c r="U667" s="19"/>
      <c r="V667" s="20"/>
      <c r="W667" s="22"/>
      <c r="X667" s="21"/>
      <c r="Y667" s="21"/>
      <c r="Z667" s="23" t="str">
        <f>IF(B667="","",IF(S667&lt;&gt;"","Sevk Edildi",IF(AND(X667&lt;&gt;"",Y667=""),"Reworkte",IF(T667&lt;&gt;"","Kapandı"&amp;IF(COUNT(G667:R667)=0,""," – "&amp;LOOKUP(2,1/(G667:R667=MAX(G667:R667)),{"Tasarım","Ply Cutter","Üretim","Kalite (Üretim sonrası)","Talaşlı","Kalite (Talaşlı sonrası)","Montaj","Kalite (Montaj sonrası)","Boya","Kalite (Boya sonrası)","Yarı Mamül","KM"})),IF(COUNT(G667:R667)=0,"Başlamadı",LOOKUP(2,1/(G667:R667=MAX(G667:R667)),{"Tasarımda","Ply Cutter'da","Üretimde","Kalitede (Üretim sonrası)","Talaşlıda","Kalitede (Talaşlı sonrası)","Montajda","Kalitede (Montaj sonrası)","Boyada","Kalitede (Boya sonrası)","Yarı Mamülde","KM'de"}))))))</f>
        <v/>
      </c>
      <c r="AA667" s="24" t="str">
        <f t="shared" ca="1" si="172"/>
        <v/>
      </c>
      <c r="AB667" s="22"/>
      <c r="AD667" t="str">
        <f>IF(OR($B667="",NOT(ISNUMBER(G667))),"",IF(COUNTIF(H667:$T667,G667)&gt;0,0,IF(COUNTIF($G667:$T667,"&gt;"&amp;G667)=0,"",SMALL($G667:$T667,COUNTIF($G667:$T667,"&lt;="&amp;G667)+1)-G667)))</f>
        <v/>
      </c>
      <c r="AE667" t="str">
        <f>IF(OR($B667="",NOT(ISNUMBER(H667))),"",IF(COUNTIF(I667:$T667,H667)&gt;0,0,IF(COUNTIF($G667:$T667,"&gt;"&amp;H667)=0,"",SMALL($G667:$T667,COUNTIF($G667:$T667,"&lt;="&amp;H667)+1)-H667)))</f>
        <v/>
      </c>
      <c r="AF667" t="str">
        <f>IF(OR($B667="",NOT(ISNUMBER(I667))),"",IF(COUNTIF(J667:$T667,I667)&gt;0,0,IF(COUNTIF($G667:$T667,"&gt;"&amp;I667)=0,"",SMALL($G667:$T667,COUNTIF($G667:$T667,"&lt;="&amp;I667)+1)-I667)))</f>
        <v/>
      </c>
      <c r="AG667" t="str">
        <f>IF(OR($B667="",NOT(ISNUMBER(J667))),"",IF(COUNTIF(K667:$T667,J667)&gt;0,0,IF(COUNTIF($G667:$T667,"&gt;"&amp;J667)=0,"",SMALL($G667:$T667,COUNTIF($G667:$T667,"&lt;="&amp;J667)+1)-J667)))</f>
        <v/>
      </c>
      <c r="AH667" t="str">
        <f>IF(OR($B667="",NOT(ISNUMBER(K667))),"",IF(COUNTIF(L667:$T667,K667)&gt;0,0,IF(COUNTIF($G667:$T667,"&gt;"&amp;K667)=0,"",SMALL($G667:$T667,COUNTIF($G667:$T667,"&lt;="&amp;K667)+1)-K667)))</f>
        <v/>
      </c>
      <c r="AI667" t="str">
        <f>IF(OR($B667="",NOT(ISNUMBER(L667))),"",IF(COUNTIF(M667:$T667,L667)&gt;0,0,IF(COUNTIF($G667:$T667,"&gt;"&amp;L667)=0,"",SMALL($G667:$T667,COUNTIF($G667:$T667,"&lt;="&amp;L667)+1)-L667)))</f>
        <v/>
      </c>
      <c r="AJ667" t="str">
        <f>IF(OR($B667="",NOT(ISNUMBER(M667))),"",IF(COUNTIF(N667:$T667,M667)&gt;0,0,IF(COUNTIF($G667:$T667,"&gt;"&amp;M667)=0,"",SMALL($G667:$T667,COUNTIF($G667:$T667,"&lt;="&amp;M667)+1)-M667)))</f>
        <v/>
      </c>
      <c r="AK667" t="str">
        <f>IF(OR($B667="",NOT(ISNUMBER(N667))),"",IF(COUNTIF(O667:$T667,N667)&gt;0,0,IF(COUNTIF($G667:$T667,"&gt;"&amp;N667)=0,"",SMALL($G667:$T667,COUNTIF($G667:$T667,"&lt;="&amp;N667)+1)-N667)))</f>
        <v/>
      </c>
      <c r="AL667" t="str">
        <f>IF(OR($B667="",NOT(ISNUMBER(O667))),"",IF(COUNTIF(P667:$T667,O667)&gt;0,0,IF(COUNTIF($G667:$T667,"&gt;"&amp;O667)=0,"",SMALL($G667:$T667,COUNTIF($G667:$T667,"&lt;="&amp;O667)+1)-O667)))</f>
        <v/>
      </c>
      <c r="AM667" t="str">
        <f>IF(OR($B667="",NOT(ISNUMBER(P667))),"",IF(COUNTIF(Q667:$T667,P667)&gt;0,0,IF(COUNTIF($G667:$T667,"&gt;"&amp;P667)=0,"",SMALL($G667:$T667,COUNTIF($G667:$T667,"&lt;="&amp;P667)+1)-P667)))</f>
        <v/>
      </c>
      <c r="AN667" t="str">
        <f>IF(OR($B667="",NOT(ISNUMBER(Q667))),"",IF(COUNTIF(R667:$T667,Q667)&gt;0,0,IF(COUNTIF($G667:$T667,"&gt;"&amp;Q667)=0,"",SMALL($G667:$T667,COUNTIF($G667:$T667,"&lt;="&amp;Q667)+1)-Q667)))</f>
        <v/>
      </c>
      <c r="AO667" t="str">
        <f>IF(OR($B667="",NOT(ISNUMBER(R667))),"",IF(COUNTIF(S667:$T667,R667)&gt;0,0,IF(COUNTIF($G667:$T667,"&gt;"&amp;R667)=0,"",SMALL($G667:$T667,COUNTIF($G667:$T667,"&lt;="&amp;R667)+1)-R667)))</f>
        <v/>
      </c>
      <c r="AP667">
        <f t="shared" ca="1" si="173"/>
        <v>0</v>
      </c>
      <c r="AQ667" s="25" t="str">
        <f t="shared" si="174"/>
        <v/>
      </c>
      <c r="AR667" s="25" t="str">
        <f t="shared" si="175"/>
        <v/>
      </c>
      <c r="AS667" s="25" t="str">
        <f t="shared" si="176"/>
        <v/>
      </c>
      <c r="AT667" s="25" t="str">
        <f t="shared" si="177"/>
        <v/>
      </c>
      <c r="AU667" s="25" t="str">
        <f t="shared" si="178"/>
        <v/>
      </c>
      <c r="AV667" s="25" t="str">
        <f t="shared" si="179"/>
        <v/>
      </c>
      <c r="AW667" s="25" t="str">
        <f t="shared" si="180"/>
        <v/>
      </c>
      <c r="AX667" s="25" t="str">
        <f t="shared" si="181"/>
        <v/>
      </c>
      <c r="AY667" s="25" t="str">
        <f t="shared" si="182"/>
        <v/>
      </c>
      <c r="AZ667" s="25" t="str">
        <f t="shared" si="183"/>
        <v/>
      </c>
      <c r="BA667" s="25" t="str">
        <f t="shared" si="184"/>
        <v/>
      </c>
      <c r="BB667" s="25" t="str">
        <f t="shared" si="185"/>
        <v/>
      </c>
      <c r="BC667" s="25" t="str">
        <f t="shared" si="186"/>
        <v/>
      </c>
    </row>
    <row r="668" spans="1:55" x14ac:dyDescent="0.25">
      <c r="A668" s="19" t="str">
        <f t="shared" si="171"/>
        <v/>
      </c>
      <c r="B668" s="19"/>
      <c r="C668" s="20"/>
      <c r="D668" s="19" t="str">
        <f t="shared" si="170"/>
        <v/>
      </c>
      <c r="E668" s="19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19"/>
      <c r="U668" s="19"/>
      <c r="V668" s="20"/>
      <c r="W668" s="22"/>
      <c r="X668" s="21"/>
      <c r="Y668" s="21"/>
      <c r="Z668" s="23" t="str">
        <f>IF(B668="","",IF(S668&lt;&gt;"","Sevk Edildi",IF(AND(X668&lt;&gt;"",Y668=""),"Reworkte",IF(T668&lt;&gt;"","Kapandı"&amp;IF(COUNT(G668:R668)=0,""," – "&amp;LOOKUP(2,1/(G668:R668=MAX(G668:R668)),{"Tasarım","Ply Cutter","Üretim","Kalite (Üretim sonrası)","Talaşlı","Kalite (Talaşlı sonrası)","Montaj","Kalite (Montaj sonrası)","Boya","Kalite (Boya sonrası)","Yarı Mamül","KM"})),IF(COUNT(G668:R668)=0,"Başlamadı",LOOKUP(2,1/(G668:R668=MAX(G668:R668)),{"Tasarımda","Ply Cutter'da","Üretimde","Kalitede (Üretim sonrası)","Talaşlıda","Kalitede (Talaşlı sonrası)","Montajda","Kalitede (Montaj sonrası)","Boyada","Kalitede (Boya sonrası)","Yarı Mamülde","KM'de"}))))))</f>
        <v/>
      </c>
      <c r="AA668" s="24" t="str">
        <f t="shared" ca="1" si="172"/>
        <v/>
      </c>
      <c r="AB668" s="22"/>
      <c r="AD668" t="str">
        <f>IF(OR($B668="",NOT(ISNUMBER(G668))),"",IF(COUNTIF(H668:$T668,G668)&gt;0,0,IF(COUNTIF($G668:$T668,"&gt;"&amp;G668)=0,"",SMALL($G668:$T668,COUNTIF($G668:$T668,"&lt;="&amp;G668)+1)-G668)))</f>
        <v/>
      </c>
      <c r="AE668" t="str">
        <f>IF(OR($B668="",NOT(ISNUMBER(H668))),"",IF(COUNTIF(I668:$T668,H668)&gt;0,0,IF(COUNTIF($G668:$T668,"&gt;"&amp;H668)=0,"",SMALL($G668:$T668,COUNTIF($G668:$T668,"&lt;="&amp;H668)+1)-H668)))</f>
        <v/>
      </c>
      <c r="AF668" t="str">
        <f>IF(OR($B668="",NOT(ISNUMBER(I668))),"",IF(COUNTIF(J668:$T668,I668)&gt;0,0,IF(COUNTIF($G668:$T668,"&gt;"&amp;I668)=0,"",SMALL($G668:$T668,COUNTIF($G668:$T668,"&lt;="&amp;I668)+1)-I668)))</f>
        <v/>
      </c>
      <c r="AG668" t="str">
        <f>IF(OR($B668="",NOT(ISNUMBER(J668))),"",IF(COUNTIF(K668:$T668,J668)&gt;0,0,IF(COUNTIF($G668:$T668,"&gt;"&amp;J668)=0,"",SMALL($G668:$T668,COUNTIF($G668:$T668,"&lt;="&amp;J668)+1)-J668)))</f>
        <v/>
      </c>
      <c r="AH668" t="str">
        <f>IF(OR($B668="",NOT(ISNUMBER(K668))),"",IF(COUNTIF(L668:$T668,K668)&gt;0,0,IF(COUNTIF($G668:$T668,"&gt;"&amp;K668)=0,"",SMALL($G668:$T668,COUNTIF($G668:$T668,"&lt;="&amp;K668)+1)-K668)))</f>
        <v/>
      </c>
      <c r="AI668" t="str">
        <f>IF(OR($B668="",NOT(ISNUMBER(L668))),"",IF(COUNTIF(M668:$T668,L668)&gt;0,0,IF(COUNTIF($G668:$T668,"&gt;"&amp;L668)=0,"",SMALL($G668:$T668,COUNTIF($G668:$T668,"&lt;="&amp;L668)+1)-L668)))</f>
        <v/>
      </c>
      <c r="AJ668" t="str">
        <f>IF(OR($B668="",NOT(ISNUMBER(M668))),"",IF(COUNTIF(N668:$T668,M668)&gt;0,0,IF(COUNTIF($G668:$T668,"&gt;"&amp;M668)=0,"",SMALL($G668:$T668,COUNTIF($G668:$T668,"&lt;="&amp;M668)+1)-M668)))</f>
        <v/>
      </c>
      <c r="AK668" t="str">
        <f>IF(OR($B668="",NOT(ISNUMBER(N668))),"",IF(COUNTIF(O668:$T668,N668)&gt;0,0,IF(COUNTIF($G668:$T668,"&gt;"&amp;N668)=0,"",SMALL($G668:$T668,COUNTIF($G668:$T668,"&lt;="&amp;N668)+1)-N668)))</f>
        <v/>
      </c>
      <c r="AL668" t="str">
        <f>IF(OR($B668="",NOT(ISNUMBER(O668))),"",IF(COUNTIF(P668:$T668,O668)&gt;0,0,IF(COUNTIF($G668:$T668,"&gt;"&amp;O668)=0,"",SMALL($G668:$T668,COUNTIF($G668:$T668,"&lt;="&amp;O668)+1)-O668)))</f>
        <v/>
      </c>
      <c r="AM668" t="str">
        <f>IF(OR($B668="",NOT(ISNUMBER(P668))),"",IF(COUNTIF(Q668:$T668,P668)&gt;0,0,IF(COUNTIF($G668:$T668,"&gt;"&amp;P668)=0,"",SMALL($G668:$T668,COUNTIF($G668:$T668,"&lt;="&amp;P668)+1)-P668)))</f>
        <v/>
      </c>
      <c r="AN668" t="str">
        <f>IF(OR($B668="",NOT(ISNUMBER(Q668))),"",IF(COUNTIF(R668:$T668,Q668)&gt;0,0,IF(COUNTIF($G668:$T668,"&gt;"&amp;Q668)=0,"",SMALL($G668:$T668,COUNTIF($G668:$T668,"&lt;="&amp;Q668)+1)-Q668)))</f>
        <v/>
      </c>
      <c r="AO668" t="str">
        <f>IF(OR($B668="",NOT(ISNUMBER(R668))),"",IF(COUNTIF(S668:$T668,R668)&gt;0,0,IF(COUNTIF($G668:$T668,"&gt;"&amp;R668)=0,"",SMALL($G668:$T668,COUNTIF($G668:$T668,"&lt;="&amp;R668)+1)-R668)))</f>
        <v/>
      </c>
      <c r="AP668">
        <f t="shared" ca="1" si="173"/>
        <v>0</v>
      </c>
      <c r="AQ668" s="25" t="str">
        <f t="shared" si="174"/>
        <v/>
      </c>
      <c r="AR668" s="25" t="str">
        <f t="shared" si="175"/>
        <v/>
      </c>
      <c r="AS668" s="25" t="str">
        <f t="shared" si="176"/>
        <v/>
      </c>
      <c r="AT668" s="25" t="str">
        <f t="shared" si="177"/>
        <v/>
      </c>
      <c r="AU668" s="25" t="str">
        <f t="shared" si="178"/>
        <v/>
      </c>
      <c r="AV668" s="25" t="str">
        <f t="shared" si="179"/>
        <v/>
      </c>
      <c r="AW668" s="25" t="str">
        <f t="shared" si="180"/>
        <v/>
      </c>
      <c r="AX668" s="25" t="str">
        <f t="shared" si="181"/>
        <v/>
      </c>
      <c r="AY668" s="25" t="str">
        <f t="shared" si="182"/>
        <v/>
      </c>
      <c r="AZ668" s="25" t="str">
        <f t="shared" si="183"/>
        <v/>
      </c>
      <c r="BA668" s="25" t="str">
        <f t="shared" si="184"/>
        <v/>
      </c>
      <c r="BB668" s="25" t="str">
        <f t="shared" si="185"/>
        <v/>
      </c>
      <c r="BC668" s="25" t="str">
        <f t="shared" si="186"/>
        <v/>
      </c>
    </row>
    <row r="669" spans="1:55" x14ac:dyDescent="0.25">
      <c r="A669" s="19" t="str">
        <f t="shared" si="171"/>
        <v/>
      </c>
      <c r="B669" s="19"/>
      <c r="C669" s="20"/>
      <c r="D669" s="19" t="str">
        <f t="shared" si="170"/>
        <v/>
      </c>
      <c r="E669" s="19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19"/>
      <c r="U669" s="19"/>
      <c r="V669" s="20"/>
      <c r="W669" s="22"/>
      <c r="X669" s="21"/>
      <c r="Y669" s="21"/>
      <c r="Z669" s="23" t="str">
        <f>IF(B669="","",IF(S669&lt;&gt;"","Sevk Edildi",IF(AND(X669&lt;&gt;"",Y669=""),"Reworkte",IF(T669&lt;&gt;"","Kapandı"&amp;IF(COUNT(G669:R669)=0,""," – "&amp;LOOKUP(2,1/(G669:R669=MAX(G669:R669)),{"Tasarım","Ply Cutter","Üretim","Kalite (Üretim sonrası)","Talaşlı","Kalite (Talaşlı sonrası)","Montaj","Kalite (Montaj sonrası)","Boya","Kalite (Boya sonrası)","Yarı Mamül","KM"})),IF(COUNT(G669:R669)=0,"Başlamadı",LOOKUP(2,1/(G669:R669=MAX(G669:R669)),{"Tasarımda","Ply Cutter'da","Üretimde","Kalitede (Üretim sonrası)","Talaşlıda","Kalitede (Talaşlı sonrası)","Montajda","Kalitede (Montaj sonrası)","Boyada","Kalitede (Boya sonrası)","Yarı Mamülde","KM'de"}))))))</f>
        <v/>
      </c>
      <c r="AA669" s="24" t="str">
        <f t="shared" ca="1" si="172"/>
        <v/>
      </c>
      <c r="AB669" s="22"/>
      <c r="AD669" t="str">
        <f>IF(OR($B669="",NOT(ISNUMBER(G669))),"",IF(COUNTIF(H669:$T669,G669)&gt;0,0,IF(COUNTIF($G669:$T669,"&gt;"&amp;G669)=0,"",SMALL($G669:$T669,COUNTIF($G669:$T669,"&lt;="&amp;G669)+1)-G669)))</f>
        <v/>
      </c>
      <c r="AE669" t="str">
        <f>IF(OR($B669="",NOT(ISNUMBER(H669))),"",IF(COUNTIF(I669:$T669,H669)&gt;0,0,IF(COUNTIF($G669:$T669,"&gt;"&amp;H669)=0,"",SMALL($G669:$T669,COUNTIF($G669:$T669,"&lt;="&amp;H669)+1)-H669)))</f>
        <v/>
      </c>
      <c r="AF669" t="str">
        <f>IF(OR($B669="",NOT(ISNUMBER(I669))),"",IF(COUNTIF(J669:$T669,I669)&gt;0,0,IF(COUNTIF($G669:$T669,"&gt;"&amp;I669)=0,"",SMALL($G669:$T669,COUNTIF($G669:$T669,"&lt;="&amp;I669)+1)-I669)))</f>
        <v/>
      </c>
      <c r="AG669" t="str">
        <f>IF(OR($B669="",NOT(ISNUMBER(J669))),"",IF(COUNTIF(K669:$T669,J669)&gt;0,0,IF(COUNTIF($G669:$T669,"&gt;"&amp;J669)=0,"",SMALL($G669:$T669,COUNTIF($G669:$T669,"&lt;="&amp;J669)+1)-J669)))</f>
        <v/>
      </c>
      <c r="AH669" t="str">
        <f>IF(OR($B669="",NOT(ISNUMBER(K669))),"",IF(COUNTIF(L669:$T669,K669)&gt;0,0,IF(COUNTIF($G669:$T669,"&gt;"&amp;K669)=0,"",SMALL($G669:$T669,COUNTIF($G669:$T669,"&lt;="&amp;K669)+1)-K669)))</f>
        <v/>
      </c>
      <c r="AI669" t="str">
        <f>IF(OR($B669="",NOT(ISNUMBER(L669))),"",IF(COUNTIF(M669:$T669,L669)&gt;0,0,IF(COUNTIF($G669:$T669,"&gt;"&amp;L669)=0,"",SMALL($G669:$T669,COUNTIF($G669:$T669,"&lt;="&amp;L669)+1)-L669)))</f>
        <v/>
      </c>
      <c r="AJ669" t="str">
        <f>IF(OR($B669="",NOT(ISNUMBER(M669))),"",IF(COUNTIF(N669:$T669,M669)&gt;0,0,IF(COUNTIF($G669:$T669,"&gt;"&amp;M669)=0,"",SMALL($G669:$T669,COUNTIF($G669:$T669,"&lt;="&amp;M669)+1)-M669)))</f>
        <v/>
      </c>
      <c r="AK669" t="str">
        <f>IF(OR($B669="",NOT(ISNUMBER(N669))),"",IF(COUNTIF(O669:$T669,N669)&gt;0,0,IF(COUNTIF($G669:$T669,"&gt;"&amp;N669)=0,"",SMALL($G669:$T669,COUNTIF($G669:$T669,"&lt;="&amp;N669)+1)-N669)))</f>
        <v/>
      </c>
      <c r="AL669" t="str">
        <f>IF(OR($B669="",NOT(ISNUMBER(O669))),"",IF(COUNTIF(P669:$T669,O669)&gt;0,0,IF(COUNTIF($G669:$T669,"&gt;"&amp;O669)=0,"",SMALL($G669:$T669,COUNTIF($G669:$T669,"&lt;="&amp;O669)+1)-O669)))</f>
        <v/>
      </c>
      <c r="AM669" t="str">
        <f>IF(OR($B669="",NOT(ISNUMBER(P669))),"",IF(COUNTIF(Q669:$T669,P669)&gt;0,0,IF(COUNTIF($G669:$T669,"&gt;"&amp;P669)=0,"",SMALL($G669:$T669,COUNTIF($G669:$T669,"&lt;="&amp;P669)+1)-P669)))</f>
        <v/>
      </c>
      <c r="AN669" t="str">
        <f>IF(OR($B669="",NOT(ISNUMBER(Q669))),"",IF(COUNTIF(R669:$T669,Q669)&gt;0,0,IF(COUNTIF($G669:$T669,"&gt;"&amp;Q669)=0,"",SMALL($G669:$T669,COUNTIF($G669:$T669,"&lt;="&amp;Q669)+1)-Q669)))</f>
        <v/>
      </c>
      <c r="AO669" t="str">
        <f>IF(OR($B669="",NOT(ISNUMBER(R669))),"",IF(COUNTIF(S669:$T669,R669)&gt;0,0,IF(COUNTIF($G669:$T669,"&gt;"&amp;R669)=0,"",SMALL($G669:$T669,COUNTIF($G669:$T669,"&lt;="&amp;R669)+1)-R669)))</f>
        <v/>
      </c>
      <c r="AP669">
        <f t="shared" ca="1" si="173"/>
        <v>0</v>
      </c>
      <c r="AQ669" s="25" t="str">
        <f t="shared" si="174"/>
        <v/>
      </c>
      <c r="AR669" s="25" t="str">
        <f t="shared" si="175"/>
        <v/>
      </c>
      <c r="AS669" s="25" t="str">
        <f t="shared" si="176"/>
        <v/>
      </c>
      <c r="AT669" s="25" t="str">
        <f t="shared" si="177"/>
        <v/>
      </c>
      <c r="AU669" s="25" t="str">
        <f t="shared" si="178"/>
        <v/>
      </c>
      <c r="AV669" s="25" t="str">
        <f t="shared" si="179"/>
        <v/>
      </c>
      <c r="AW669" s="25" t="str">
        <f t="shared" si="180"/>
        <v/>
      </c>
      <c r="AX669" s="25" t="str">
        <f t="shared" si="181"/>
        <v/>
      </c>
      <c r="AY669" s="25" t="str">
        <f t="shared" si="182"/>
        <v/>
      </c>
      <c r="AZ669" s="25" t="str">
        <f t="shared" si="183"/>
        <v/>
      </c>
      <c r="BA669" s="25" t="str">
        <f t="shared" si="184"/>
        <v/>
      </c>
      <c r="BB669" s="25" t="str">
        <f t="shared" si="185"/>
        <v/>
      </c>
      <c r="BC669" s="25" t="str">
        <f t="shared" si="186"/>
        <v/>
      </c>
    </row>
    <row r="670" spans="1:55" x14ac:dyDescent="0.25">
      <c r="A670" s="19" t="str">
        <f t="shared" si="171"/>
        <v/>
      </c>
      <c r="B670" s="19"/>
      <c r="C670" s="20"/>
      <c r="D670" s="19" t="str">
        <f t="shared" si="170"/>
        <v/>
      </c>
      <c r="E670" s="19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19"/>
      <c r="U670" s="19"/>
      <c r="V670" s="20"/>
      <c r="W670" s="22"/>
      <c r="X670" s="21"/>
      <c r="Y670" s="21"/>
      <c r="Z670" s="23" t="str">
        <f>IF(B670="","",IF(S670&lt;&gt;"","Sevk Edildi",IF(AND(X670&lt;&gt;"",Y670=""),"Reworkte",IF(T670&lt;&gt;"","Kapandı"&amp;IF(COUNT(G670:R670)=0,""," – "&amp;LOOKUP(2,1/(G670:R670=MAX(G670:R670)),{"Tasarım","Ply Cutter","Üretim","Kalite (Üretim sonrası)","Talaşlı","Kalite (Talaşlı sonrası)","Montaj","Kalite (Montaj sonrası)","Boya","Kalite (Boya sonrası)","Yarı Mamül","KM"})),IF(COUNT(G670:R670)=0,"Başlamadı",LOOKUP(2,1/(G670:R670=MAX(G670:R670)),{"Tasarımda","Ply Cutter'da","Üretimde","Kalitede (Üretim sonrası)","Talaşlıda","Kalitede (Talaşlı sonrası)","Montajda","Kalitede (Montaj sonrası)","Boyada","Kalitede (Boya sonrası)","Yarı Mamülde","KM'de"}))))))</f>
        <v/>
      </c>
      <c r="AA670" s="24" t="str">
        <f t="shared" ca="1" si="172"/>
        <v/>
      </c>
      <c r="AB670" s="22"/>
      <c r="AD670" t="str">
        <f>IF(OR($B670="",NOT(ISNUMBER(G670))),"",IF(COUNTIF(H670:$T670,G670)&gt;0,0,IF(COUNTIF($G670:$T670,"&gt;"&amp;G670)=0,"",SMALL($G670:$T670,COUNTIF($G670:$T670,"&lt;="&amp;G670)+1)-G670)))</f>
        <v/>
      </c>
      <c r="AE670" t="str">
        <f>IF(OR($B670="",NOT(ISNUMBER(H670))),"",IF(COUNTIF(I670:$T670,H670)&gt;0,0,IF(COUNTIF($G670:$T670,"&gt;"&amp;H670)=0,"",SMALL($G670:$T670,COUNTIF($G670:$T670,"&lt;="&amp;H670)+1)-H670)))</f>
        <v/>
      </c>
      <c r="AF670" t="str">
        <f>IF(OR($B670="",NOT(ISNUMBER(I670))),"",IF(COUNTIF(J670:$T670,I670)&gt;0,0,IF(COUNTIF($G670:$T670,"&gt;"&amp;I670)=0,"",SMALL($G670:$T670,COUNTIF($G670:$T670,"&lt;="&amp;I670)+1)-I670)))</f>
        <v/>
      </c>
      <c r="AG670" t="str">
        <f>IF(OR($B670="",NOT(ISNUMBER(J670))),"",IF(COUNTIF(K670:$T670,J670)&gt;0,0,IF(COUNTIF($G670:$T670,"&gt;"&amp;J670)=0,"",SMALL($G670:$T670,COUNTIF($G670:$T670,"&lt;="&amp;J670)+1)-J670)))</f>
        <v/>
      </c>
      <c r="AH670" t="str">
        <f>IF(OR($B670="",NOT(ISNUMBER(K670))),"",IF(COUNTIF(L670:$T670,K670)&gt;0,0,IF(COUNTIF($G670:$T670,"&gt;"&amp;K670)=0,"",SMALL($G670:$T670,COUNTIF($G670:$T670,"&lt;="&amp;K670)+1)-K670)))</f>
        <v/>
      </c>
      <c r="AI670" t="str">
        <f>IF(OR($B670="",NOT(ISNUMBER(L670))),"",IF(COUNTIF(M670:$T670,L670)&gt;0,0,IF(COUNTIF($G670:$T670,"&gt;"&amp;L670)=0,"",SMALL($G670:$T670,COUNTIF($G670:$T670,"&lt;="&amp;L670)+1)-L670)))</f>
        <v/>
      </c>
      <c r="AJ670" t="str">
        <f>IF(OR($B670="",NOT(ISNUMBER(M670))),"",IF(COUNTIF(N670:$T670,M670)&gt;0,0,IF(COUNTIF($G670:$T670,"&gt;"&amp;M670)=0,"",SMALL($G670:$T670,COUNTIF($G670:$T670,"&lt;="&amp;M670)+1)-M670)))</f>
        <v/>
      </c>
      <c r="AK670" t="str">
        <f>IF(OR($B670="",NOT(ISNUMBER(N670))),"",IF(COUNTIF(O670:$T670,N670)&gt;0,0,IF(COUNTIF($G670:$T670,"&gt;"&amp;N670)=0,"",SMALL($G670:$T670,COUNTIF($G670:$T670,"&lt;="&amp;N670)+1)-N670)))</f>
        <v/>
      </c>
      <c r="AL670" t="str">
        <f>IF(OR($B670="",NOT(ISNUMBER(O670))),"",IF(COUNTIF(P670:$T670,O670)&gt;0,0,IF(COUNTIF($G670:$T670,"&gt;"&amp;O670)=0,"",SMALL($G670:$T670,COUNTIF($G670:$T670,"&lt;="&amp;O670)+1)-O670)))</f>
        <v/>
      </c>
      <c r="AM670" t="str">
        <f>IF(OR($B670="",NOT(ISNUMBER(P670))),"",IF(COUNTIF(Q670:$T670,P670)&gt;0,0,IF(COUNTIF($G670:$T670,"&gt;"&amp;P670)=0,"",SMALL($G670:$T670,COUNTIF($G670:$T670,"&lt;="&amp;P670)+1)-P670)))</f>
        <v/>
      </c>
      <c r="AN670" t="str">
        <f>IF(OR($B670="",NOT(ISNUMBER(Q670))),"",IF(COUNTIF(R670:$T670,Q670)&gt;0,0,IF(COUNTIF($G670:$T670,"&gt;"&amp;Q670)=0,"",SMALL($G670:$T670,COUNTIF($G670:$T670,"&lt;="&amp;Q670)+1)-Q670)))</f>
        <v/>
      </c>
      <c r="AO670" t="str">
        <f>IF(OR($B670="",NOT(ISNUMBER(R670))),"",IF(COUNTIF(S670:$T670,R670)&gt;0,0,IF(COUNTIF($G670:$T670,"&gt;"&amp;R670)=0,"",SMALL($G670:$T670,COUNTIF($G670:$T670,"&lt;="&amp;R670)+1)-R670)))</f>
        <v/>
      </c>
      <c r="AP670">
        <f t="shared" ca="1" si="173"/>
        <v>0</v>
      </c>
      <c r="AQ670" s="25" t="str">
        <f t="shared" si="174"/>
        <v/>
      </c>
      <c r="AR670" s="25" t="str">
        <f t="shared" si="175"/>
        <v/>
      </c>
      <c r="AS670" s="25" t="str">
        <f t="shared" si="176"/>
        <v/>
      </c>
      <c r="AT670" s="25" t="str">
        <f t="shared" si="177"/>
        <v/>
      </c>
      <c r="AU670" s="25" t="str">
        <f t="shared" si="178"/>
        <v/>
      </c>
      <c r="AV670" s="25" t="str">
        <f t="shared" si="179"/>
        <v/>
      </c>
      <c r="AW670" s="25" t="str">
        <f t="shared" si="180"/>
        <v/>
      </c>
      <c r="AX670" s="25" t="str">
        <f t="shared" si="181"/>
        <v/>
      </c>
      <c r="AY670" s="25" t="str">
        <f t="shared" si="182"/>
        <v/>
      </c>
      <c r="AZ670" s="25" t="str">
        <f t="shared" si="183"/>
        <v/>
      </c>
      <c r="BA670" s="25" t="str">
        <f t="shared" si="184"/>
        <v/>
      </c>
      <c r="BB670" s="25" t="str">
        <f t="shared" si="185"/>
        <v/>
      </c>
      <c r="BC670" s="25" t="str">
        <f t="shared" si="186"/>
        <v/>
      </c>
    </row>
    <row r="671" spans="1:55" x14ac:dyDescent="0.25">
      <c r="A671" s="19" t="str">
        <f t="shared" si="171"/>
        <v/>
      </c>
      <c r="B671" s="19"/>
      <c r="C671" s="20"/>
      <c r="D671" s="19" t="str">
        <f t="shared" si="170"/>
        <v/>
      </c>
      <c r="E671" s="19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19"/>
      <c r="U671" s="19"/>
      <c r="V671" s="20"/>
      <c r="W671" s="22"/>
      <c r="X671" s="21"/>
      <c r="Y671" s="21"/>
      <c r="Z671" s="23" t="str">
        <f>IF(B671="","",IF(S671&lt;&gt;"","Sevk Edildi",IF(AND(X671&lt;&gt;"",Y671=""),"Reworkte",IF(T671&lt;&gt;"","Kapandı"&amp;IF(COUNT(G671:R671)=0,""," – "&amp;LOOKUP(2,1/(G671:R671=MAX(G671:R671)),{"Tasarım","Ply Cutter","Üretim","Kalite (Üretim sonrası)","Talaşlı","Kalite (Talaşlı sonrası)","Montaj","Kalite (Montaj sonrası)","Boya","Kalite (Boya sonrası)","Yarı Mamül","KM"})),IF(COUNT(G671:R671)=0,"Başlamadı",LOOKUP(2,1/(G671:R671=MAX(G671:R671)),{"Tasarımda","Ply Cutter'da","Üretimde","Kalitede (Üretim sonrası)","Talaşlıda","Kalitede (Talaşlı sonrası)","Montajda","Kalitede (Montaj sonrası)","Boyada","Kalitede (Boya sonrası)","Yarı Mamülde","KM'de"}))))))</f>
        <v/>
      </c>
      <c r="AA671" s="24" t="str">
        <f t="shared" ca="1" si="172"/>
        <v/>
      </c>
      <c r="AB671" s="22"/>
      <c r="AD671" t="str">
        <f>IF(OR($B671="",NOT(ISNUMBER(G671))),"",IF(COUNTIF(H671:$T671,G671)&gt;0,0,IF(COUNTIF($G671:$T671,"&gt;"&amp;G671)=0,"",SMALL($G671:$T671,COUNTIF($G671:$T671,"&lt;="&amp;G671)+1)-G671)))</f>
        <v/>
      </c>
      <c r="AE671" t="str">
        <f>IF(OR($B671="",NOT(ISNUMBER(H671))),"",IF(COUNTIF(I671:$T671,H671)&gt;0,0,IF(COUNTIF($G671:$T671,"&gt;"&amp;H671)=0,"",SMALL($G671:$T671,COUNTIF($G671:$T671,"&lt;="&amp;H671)+1)-H671)))</f>
        <v/>
      </c>
      <c r="AF671" t="str">
        <f>IF(OR($B671="",NOT(ISNUMBER(I671))),"",IF(COUNTIF(J671:$T671,I671)&gt;0,0,IF(COUNTIF($G671:$T671,"&gt;"&amp;I671)=0,"",SMALL($G671:$T671,COUNTIF($G671:$T671,"&lt;="&amp;I671)+1)-I671)))</f>
        <v/>
      </c>
      <c r="AG671" t="str">
        <f>IF(OR($B671="",NOT(ISNUMBER(J671))),"",IF(COUNTIF(K671:$T671,J671)&gt;0,0,IF(COUNTIF($G671:$T671,"&gt;"&amp;J671)=0,"",SMALL($G671:$T671,COUNTIF($G671:$T671,"&lt;="&amp;J671)+1)-J671)))</f>
        <v/>
      </c>
      <c r="AH671" t="str">
        <f>IF(OR($B671="",NOT(ISNUMBER(K671))),"",IF(COUNTIF(L671:$T671,K671)&gt;0,0,IF(COUNTIF($G671:$T671,"&gt;"&amp;K671)=0,"",SMALL($G671:$T671,COUNTIF($G671:$T671,"&lt;="&amp;K671)+1)-K671)))</f>
        <v/>
      </c>
      <c r="AI671" t="str">
        <f>IF(OR($B671="",NOT(ISNUMBER(L671))),"",IF(COUNTIF(M671:$T671,L671)&gt;0,0,IF(COUNTIF($G671:$T671,"&gt;"&amp;L671)=0,"",SMALL($G671:$T671,COUNTIF($G671:$T671,"&lt;="&amp;L671)+1)-L671)))</f>
        <v/>
      </c>
      <c r="AJ671" t="str">
        <f>IF(OR($B671="",NOT(ISNUMBER(M671))),"",IF(COUNTIF(N671:$T671,M671)&gt;0,0,IF(COUNTIF($G671:$T671,"&gt;"&amp;M671)=0,"",SMALL($G671:$T671,COUNTIF($G671:$T671,"&lt;="&amp;M671)+1)-M671)))</f>
        <v/>
      </c>
      <c r="AK671" t="str">
        <f>IF(OR($B671="",NOT(ISNUMBER(N671))),"",IF(COUNTIF(O671:$T671,N671)&gt;0,0,IF(COUNTIF($G671:$T671,"&gt;"&amp;N671)=0,"",SMALL($G671:$T671,COUNTIF($G671:$T671,"&lt;="&amp;N671)+1)-N671)))</f>
        <v/>
      </c>
      <c r="AL671" t="str">
        <f>IF(OR($B671="",NOT(ISNUMBER(O671))),"",IF(COUNTIF(P671:$T671,O671)&gt;0,0,IF(COUNTIF($G671:$T671,"&gt;"&amp;O671)=0,"",SMALL($G671:$T671,COUNTIF($G671:$T671,"&lt;="&amp;O671)+1)-O671)))</f>
        <v/>
      </c>
      <c r="AM671" t="str">
        <f>IF(OR($B671="",NOT(ISNUMBER(P671))),"",IF(COUNTIF(Q671:$T671,P671)&gt;0,0,IF(COUNTIF($G671:$T671,"&gt;"&amp;P671)=0,"",SMALL($G671:$T671,COUNTIF($G671:$T671,"&lt;="&amp;P671)+1)-P671)))</f>
        <v/>
      </c>
      <c r="AN671" t="str">
        <f>IF(OR($B671="",NOT(ISNUMBER(Q671))),"",IF(COUNTIF(R671:$T671,Q671)&gt;0,0,IF(COUNTIF($G671:$T671,"&gt;"&amp;Q671)=0,"",SMALL($G671:$T671,COUNTIF($G671:$T671,"&lt;="&amp;Q671)+1)-Q671)))</f>
        <v/>
      </c>
      <c r="AO671" t="str">
        <f>IF(OR($B671="",NOT(ISNUMBER(R671))),"",IF(COUNTIF(S671:$T671,R671)&gt;0,0,IF(COUNTIF($G671:$T671,"&gt;"&amp;R671)=0,"",SMALL($G671:$T671,COUNTIF($G671:$T671,"&lt;="&amp;R671)+1)-R671)))</f>
        <v/>
      </c>
      <c r="AP671">
        <f t="shared" ca="1" si="173"/>
        <v>0</v>
      </c>
      <c r="AQ671" s="25" t="str">
        <f t="shared" si="174"/>
        <v/>
      </c>
      <c r="AR671" s="25" t="str">
        <f t="shared" si="175"/>
        <v/>
      </c>
      <c r="AS671" s="25" t="str">
        <f t="shared" si="176"/>
        <v/>
      </c>
      <c r="AT671" s="25" t="str">
        <f t="shared" si="177"/>
        <v/>
      </c>
      <c r="AU671" s="25" t="str">
        <f t="shared" si="178"/>
        <v/>
      </c>
      <c r="AV671" s="25" t="str">
        <f t="shared" si="179"/>
        <v/>
      </c>
      <c r="AW671" s="25" t="str">
        <f t="shared" si="180"/>
        <v/>
      </c>
      <c r="AX671" s="25" t="str">
        <f t="shared" si="181"/>
        <v/>
      </c>
      <c r="AY671" s="25" t="str">
        <f t="shared" si="182"/>
        <v/>
      </c>
      <c r="AZ671" s="25" t="str">
        <f t="shared" si="183"/>
        <v/>
      </c>
      <c r="BA671" s="25" t="str">
        <f t="shared" si="184"/>
        <v/>
      </c>
      <c r="BB671" s="25" t="str">
        <f t="shared" si="185"/>
        <v/>
      </c>
      <c r="BC671" s="25" t="str">
        <f t="shared" si="186"/>
        <v/>
      </c>
    </row>
    <row r="672" spans="1:55" x14ac:dyDescent="0.25">
      <c r="A672" s="19" t="str">
        <f t="shared" si="171"/>
        <v/>
      </c>
      <c r="B672" s="19"/>
      <c r="C672" s="20"/>
      <c r="D672" s="19" t="str">
        <f t="shared" si="170"/>
        <v/>
      </c>
      <c r="E672" s="19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19"/>
      <c r="U672" s="19"/>
      <c r="V672" s="20"/>
      <c r="W672" s="22"/>
      <c r="X672" s="21"/>
      <c r="Y672" s="21"/>
      <c r="Z672" s="23" t="str">
        <f>IF(B672="","",IF(S672&lt;&gt;"","Sevk Edildi",IF(AND(X672&lt;&gt;"",Y672=""),"Reworkte",IF(T672&lt;&gt;"","Kapandı"&amp;IF(COUNT(G672:R672)=0,""," – "&amp;LOOKUP(2,1/(G672:R672=MAX(G672:R672)),{"Tasarım","Ply Cutter","Üretim","Kalite (Üretim sonrası)","Talaşlı","Kalite (Talaşlı sonrası)","Montaj","Kalite (Montaj sonrası)","Boya","Kalite (Boya sonrası)","Yarı Mamül","KM"})),IF(COUNT(G672:R672)=0,"Başlamadı",LOOKUP(2,1/(G672:R672=MAX(G672:R672)),{"Tasarımda","Ply Cutter'da","Üretimde","Kalitede (Üretim sonrası)","Talaşlıda","Kalitede (Talaşlı sonrası)","Montajda","Kalitede (Montaj sonrası)","Boyada","Kalitede (Boya sonrası)","Yarı Mamülde","KM'de"}))))))</f>
        <v/>
      </c>
      <c r="AA672" s="24" t="str">
        <f t="shared" ca="1" si="172"/>
        <v/>
      </c>
      <c r="AB672" s="22"/>
      <c r="AD672" t="str">
        <f>IF(OR($B672="",NOT(ISNUMBER(G672))),"",IF(COUNTIF(H672:$T672,G672)&gt;0,0,IF(COUNTIF($G672:$T672,"&gt;"&amp;G672)=0,"",SMALL($G672:$T672,COUNTIF($G672:$T672,"&lt;="&amp;G672)+1)-G672)))</f>
        <v/>
      </c>
      <c r="AE672" t="str">
        <f>IF(OR($B672="",NOT(ISNUMBER(H672))),"",IF(COUNTIF(I672:$T672,H672)&gt;0,0,IF(COUNTIF($G672:$T672,"&gt;"&amp;H672)=0,"",SMALL($G672:$T672,COUNTIF($G672:$T672,"&lt;="&amp;H672)+1)-H672)))</f>
        <v/>
      </c>
      <c r="AF672" t="str">
        <f>IF(OR($B672="",NOT(ISNUMBER(I672))),"",IF(COUNTIF(J672:$T672,I672)&gt;0,0,IF(COUNTIF($G672:$T672,"&gt;"&amp;I672)=0,"",SMALL($G672:$T672,COUNTIF($G672:$T672,"&lt;="&amp;I672)+1)-I672)))</f>
        <v/>
      </c>
      <c r="AG672" t="str">
        <f>IF(OR($B672="",NOT(ISNUMBER(J672))),"",IF(COUNTIF(K672:$T672,J672)&gt;0,0,IF(COUNTIF($G672:$T672,"&gt;"&amp;J672)=0,"",SMALL($G672:$T672,COUNTIF($G672:$T672,"&lt;="&amp;J672)+1)-J672)))</f>
        <v/>
      </c>
      <c r="AH672" t="str">
        <f>IF(OR($B672="",NOT(ISNUMBER(K672))),"",IF(COUNTIF(L672:$T672,K672)&gt;0,0,IF(COUNTIF($G672:$T672,"&gt;"&amp;K672)=0,"",SMALL($G672:$T672,COUNTIF($G672:$T672,"&lt;="&amp;K672)+1)-K672)))</f>
        <v/>
      </c>
      <c r="AI672" t="str">
        <f>IF(OR($B672="",NOT(ISNUMBER(L672))),"",IF(COUNTIF(M672:$T672,L672)&gt;0,0,IF(COUNTIF($G672:$T672,"&gt;"&amp;L672)=0,"",SMALL($G672:$T672,COUNTIF($G672:$T672,"&lt;="&amp;L672)+1)-L672)))</f>
        <v/>
      </c>
      <c r="AJ672" t="str">
        <f>IF(OR($B672="",NOT(ISNUMBER(M672))),"",IF(COUNTIF(N672:$T672,M672)&gt;0,0,IF(COUNTIF($G672:$T672,"&gt;"&amp;M672)=0,"",SMALL($G672:$T672,COUNTIF($G672:$T672,"&lt;="&amp;M672)+1)-M672)))</f>
        <v/>
      </c>
      <c r="AK672" t="str">
        <f>IF(OR($B672="",NOT(ISNUMBER(N672))),"",IF(COUNTIF(O672:$T672,N672)&gt;0,0,IF(COUNTIF($G672:$T672,"&gt;"&amp;N672)=0,"",SMALL($G672:$T672,COUNTIF($G672:$T672,"&lt;="&amp;N672)+1)-N672)))</f>
        <v/>
      </c>
      <c r="AL672" t="str">
        <f>IF(OR($B672="",NOT(ISNUMBER(O672))),"",IF(COUNTIF(P672:$T672,O672)&gt;0,0,IF(COUNTIF($G672:$T672,"&gt;"&amp;O672)=0,"",SMALL($G672:$T672,COUNTIF($G672:$T672,"&lt;="&amp;O672)+1)-O672)))</f>
        <v/>
      </c>
      <c r="AM672" t="str">
        <f>IF(OR($B672="",NOT(ISNUMBER(P672))),"",IF(COUNTIF(Q672:$T672,P672)&gt;0,0,IF(COUNTIF($G672:$T672,"&gt;"&amp;P672)=0,"",SMALL($G672:$T672,COUNTIF($G672:$T672,"&lt;="&amp;P672)+1)-P672)))</f>
        <v/>
      </c>
      <c r="AN672" t="str">
        <f>IF(OR($B672="",NOT(ISNUMBER(Q672))),"",IF(COUNTIF(R672:$T672,Q672)&gt;0,0,IF(COUNTIF($G672:$T672,"&gt;"&amp;Q672)=0,"",SMALL($G672:$T672,COUNTIF($G672:$T672,"&lt;="&amp;Q672)+1)-Q672)))</f>
        <v/>
      </c>
      <c r="AO672" t="str">
        <f>IF(OR($B672="",NOT(ISNUMBER(R672))),"",IF(COUNTIF(S672:$T672,R672)&gt;0,0,IF(COUNTIF($G672:$T672,"&gt;"&amp;R672)=0,"",SMALL($G672:$T672,COUNTIF($G672:$T672,"&lt;="&amp;R672)+1)-R672)))</f>
        <v/>
      </c>
      <c r="AP672">
        <f t="shared" ca="1" si="173"/>
        <v>0</v>
      </c>
      <c r="AQ672" s="25" t="str">
        <f t="shared" si="174"/>
        <v/>
      </c>
      <c r="AR672" s="25" t="str">
        <f t="shared" si="175"/>
        <v/>
      </c>
      <c r="AS672" s="25" t="str">
        <f t="shared" si="176"/>
        <v/>
      </c>
      <c r="AT672" s="25" t="str">
        <f t="shared" si="177"/>
        <v/>
      </c>
      <c r="AU672" s="25" t="str">
        <f t="shared" si="178"/>
        <v/>
      </c>
      <c r="AV672" s="25" t="str">
        <f t="shared" si="179"/>
        <v/>
      </c>
      <c r="AW672" s="25" t="str">
        <f t="shared" si="180"/>
        <v/>
      </c>
      <c r="AX672" s="25" t="str">
        <f t="shared" si="181"/>
        <v/>
      </c>
      <c r="AY672" s="25" t="str">
        <f t="shared" si="182"/>
        <v/>
      </c>
      <c r="AZ672" s="25" t="str">
        <f t="shared" si="183"/>
        <v/>
      </c>
      <c r="BA672" s="25" t="str">
        <f t="shared" si="184"/>
        <v/>
      </c>
      <c r="BB672" s="25" t="str">
        <f t="shared" si="185"/>
        <v/>
      </c>
      <c r="BC672" s="25" t="str">
        <f t="shared" si="186"/>
        <v/>
      </c>
    </row>
    <row r="673" spans="1:55" x14ac:dyDescent="0.25">
      <c r="A673" s="19" t="str">
        <f t="shared" si="171"/>
        <v/>
      </c>
      <c r="B673" s="19"/>
      <c r="C673" s="20"/>
      <c r="D673" s="19" t="str">
        <f t="shared" si="170"/>
        <v/>
      </c>
      <c r="E673" s="19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19"/>
      <c r="U673" s="19"/>
      <c r="V673" s="20"/>
      <c r="W673" s="22"/>
      <c r="X673" s="21"/>
      <c r="Y673" s="21"/>
      <c r="Z673" s="23" t="str">
        <f>IF(B673="","",IF(S673&lt;&gt;"","Sevk Edildi",IF(AND(X673&lt;&gt;"",Y673=""),"Reworkte",IF(T673&lt;&gt;"","Kapandı"&amp;IF(COUNT(G673:R673)=0,""," – "&amp;LOOKUP(2,1/(G673:R673=MAX(G673:R673)),{"Tasarım","Ply Cutter","Üretim","Kalite (Üretim sonrası)","Talaşlı","Kalite (Talaşlı sonrası)","Montaj","Kalite (Montaj sonrası)","Boya","Kalite (Boya sonrası)","Yarı Mamül","KM"})),IF(COUNT(G673:R673)=0,"Başlamadı",LOOKUP(2,1/(G673:R673=MAX(G673:R673)),{"Tasarımda","Ply Cutter'da","Üretimde","Kalitede (Üretim sonrası)","Talaşlıda","Kalitede (Talaşlı sonrası)","Montajda","Kalitede (Montaj sonrası)","Boyada","Kalitede (Boya sonrası)","Yarı Mamülde","KM'de"}))))))</f>
        <v/>
      </c>
      <c r="AA673" s="24" t="str">
        <f t="shared" ca="1" si="172"/>
        <v/>
      </c>
      <c r="AB673" s="22"/>
      <c r="AD673" t="str">
        <f>IF(OR($B673="",NOT(ISNUMBER(G673))),"",IF(COUNTIF(H673:$T673,G673)&gt;0,0,IF(COUNTIF($G673:$T673,"&gt;"&amp;G673)=0,"",SMALL($G673:$T673,COUNTIF($G673:$T673,"&lt;="&amp;G673)+1)-G673)))</f>
        <v/>
      </c>
      <c r="AE673" t="str">
        <f>IF(OR($B673="",NOT(ISNUMBER(H673))),"",IF(COUNTIF(I673:$T673,H673)&gt;0,0,IF(COUNTIF($G673:$T673,"&gt;"&amp;H673)=0,"",SMALL($G673:$T673,COUNTIF($G673:$T673,"&lt;="&amp;H673)+1)-H673)))</f>
        <v/>
      </c>
      <c r="AF673" t="str">
        <f>IF(OR($B673="",NOT(ISNUMBER(I673))),"",IF(COUNTIF(J673:$T673,I673)&gt;0,0,IF(COUNTIF($G673:$T673,"&gt;"&amp;I673)=0,"",SMALL($G673:$T673,COUNTIF($G673:$T673,"&lt;="&amp;I673)+1)-I673)))</f>
        <v/>
      </c>
      <c r="AG673" t="str">
        <f>IF(OR($B673="",NOT(ISNUMBER(J673))),"",IF(COUNTIF(K673:$T673,J673)&gt;0,0,IF(COUNTIF($G673:$T673,"&gt;"&amp;J673)=0,"",SMALL($G673:$T673,COUNTIF($G673:$T673,"&lt;="&amp;J673)+1)-J673)))</f>
        <v/>
      </c>
      <c r="AH673" t="str">
        <f>IF(OR($B673="",NOT(ISNUMBER(K673))),"",IF(COUNTIF(L673:$T673,K673)&gt;0,0,IF(COUNTIF($G673:$T673,"&gt;"&amp;K673)=0,"",SMALL($G673:$T673,COUNTIF($G673:$T673,"&lt;="&amp;K673)+1)-K673)))</f>
        <v/>
      </c>
      <c r="AI673" t="str">
        <f>IF(OR($B673="",NOT(ISNUMBER(L673))),"",IF(COUNTIF(M673:$T673,L673)&gt;0,0,IF(COUNTIF($G673:$T673,"&gt;"&amp;L673)=0,"",SMALL($G673:$T673,COUNTIF($G673:$T673,"&lt;="&amp;L673)+1)-L673)))</f>
        <v/>
      </c>
      <c r="AJ673" t="str">
        <f>IF(OR($B673="",NOT(ISNUMBER(M673))),"",IF(COUNTIF(N673:$T673,M673)&gt;0,0,IF(COUNTIF($G673:$T673,"&gt;"&amp;M673)=0,"",SMALL($G673:$T673,COUNTIF($G673:$T673,"&lt;="&amp;M673)+1)-M673)))</f>
        <v/>
      </c>
      <c r="AK673" t="str">
        <f>IF(OR($B673="",NOT(ISNUMBER(N673))),"",IF(COUNTIF(O673:$T673,N673)&gt;0,0,IF(COUNTIF($G673:$T673,"&gt;"&amp;N673)=0,"",SMALL($G673:$T673,COUNTIF($G673:$T673,"&lt;="&amp;N673)+1)-N673)))</f>
        <v/>
      </c>
      <c r="AL673" t="str">
        <f>IF(OR($B673="",NOT(ISNUMBER(O673))),"",IF(COUNTIF(P673:$T673,O673)&gt;0,0,IF(COUNTIF($G673:$T673,"&gt;"&amp;O673)=0,"",SMALL($G673:$T673,COUNTIF($G673:$T673,"&lt;="&amp;O673)+1)-O673)))</f>
        <v/>
      </c>
      <c r="AM673" t="str">
        <f>IF(OR($B673="",NOT(ISNUMBER(P673))),"",IF(COUNTIF(Q673:$T673,P673)&gt;0,0,IF(COUNTIF($G673:$T673,"&gt;"&amp;P673)=0,"",SMALL($G673:$T673,COUNTIF($G673:$T673,"&lt;="&amp;P673)+1)-P673)))</f>
        <v/>
      </c>
      <c r="AN673" t="str">
        <f>IF(OR($B673="",NOT(ISNUMBER(Q673))),"",IF(COUNTIF(R673:$T673,Q673)&gt;0,0,IF(COUNTIF($G673:$T673,"&gt;"&amp;Q673)=0,"",SMALL($G673:$T673,COUNTIF($G673:$T673,"&lt;="&amp;Q673)+1)-Q673)))</f>
        <v/>
      </c>
      <c r="AO673" t="str">
        <f>IF(OR($B673="",NOT(ISNUMBER(R673))),"",IF(COUNTIF(S673:$T673,R673)&gt;0,0,IF(COUNTIF($G673:$T673,"&gt;"&amp;R673)=0,"",SMALL($G673:$T673,COUNTIF($G673:$T673,"&lt;="&amp;R673)+1)-R673)))</f>
        <v/>
      </c>
      <c r="AP673">
        <f t="shared" ca="1" si="173"/>
        <v>0</v>
      </c>
      <c r="AQ673" s="25" t="str">
        <f t="shared" si="174"/>
        <v/>
      </c>
      <c r="AR673" s="25" t="str">
        <f t="shared" si="175"/>
        <v/>
      </c>
      <c r="AS673" s="25" t="str">
        <f t="shared" si="176"/>
        <v/>
      </c>
      <c r="AT673" s="25" t="str">
        <f t="shared" si="177"/>
        <v/>
      </c>
      <c r="AU673" s="25" t="str">
        <f t="shared" si="178"/>
        <v/>
      </c>
      <c r="AV673" s="25" t="str">
        <f t="shared" si="179"/>
        <v/>
      </c>
      <c r="AW673" s="25" t="str">
        <f t="shared" si="180"/>
        <v/>
      </c>
      <c r="AX673" s="25" t="str">
        <f t="shared" si="181"/>
        <v/>
      </c>
      <c r="AY673" s="25" t="str">
        <f t="shared" si="182"/>
        <v/>
      </c>
      <c r="AZ673" s="25" t="str">
        <f t="shared" si="183"/>
        <v/>
      </c>
      <c r="BA673" s="25" t="str">
        <f t="shared" si="184"/>
        <v/>
      </c>
      <c r="BB673" s="25" t="str">
        <f t="shared" si="185"/>
        <v/>
      </c>
      <c r="BC673" s="25" t="str">
        <f t="shared" si="186"/>
        <v/>
      </c>
    </row>
    <row r="674" spans="1:55" x14ac:dyDescent="0.25">
      <c r="A674" s="19" t="str">
        <f t="shared" si="171"/>
        <v/>
      </c>
      <c r="B674" s="19"/>
      <c r="C674" s="20"/>
      <c r="D674" s="19" t="str">
        <f t="shared" si="170"/>
        <v/>
      </c>
      <c r="E674" s="19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19"/>
      <c r="U674" s="19"/>
      <c r="V674" s="20"/>
      <c r="W674" s="22"/>
      <c r="X674" s="21"/>
      <c r="Y674" s="21"/>
      <c r="Z674" s="23" t="str">
        <f>IF(B674="","",IF(S674&lt;&gt;"","Sevk Edildi",IF(AND(X674&lt;&gt;"",Y674=""),"Reworkte",IF(T674&lt;&gt;"","Kapandı"&amp;IF(COUNT(G674:R674)=0,""," – "&amp;LOOKUP(2,1/(G674:R674=MAX(G674:R674)),{"Tasarım","Ply Cutter","Üretim","Kalite (Üretim sonrası)","Talaşlı","Kalite (Talaşlı sonrası)","Montaj","Kalite (Montaj sonrası)","Boya","Kalite (Boya sonrası)","Yarı Mamül","KM"})),IF(COUNT(G674:R674)=0,"Başlamadı",LOOKUP(2,1/(G674:R674=MAX(G674:R674)),{"Tasarımda","Ply Cutter'da","Üretimde","Kalitede (Üretim sonrası)","Talaşlıda","Kalitede (Talaşlı sonrası)","Montajda","Kalitede (Montaj sonrası)","Boyada","Kalitede (Boya sonrası)","Yarı Mamülde","KM'de"}))))))</f>
        <v/>
      </c>
      <c r="AA674" s="24" t="str">
        <f t="shared" ca="1" si="172"/>
        <v/>
      </c>
      <c r="AB674" s="22"/>
      <c r="AD674" t="str">
        <f>IF(OR($B674="",NOT(ISNUMBER(G674))),"",IF(COUNTIF(H674:$T674,G674)&gt;0,0,IF(COUNTIF($G674:$T674,"&gt;"&amp;G674)=0,"",SMALL($G674:$T674,COUNTIF($G674:$T674,"&lt;="&amp;G674)+1)-G674)))</f>
        <v/>
      </c>
      <c r="AE674" t="str">
        <f>IF(OR($B674="",NOT(ISNUMBER(H674))),"",IF(COUNTIF(I674:$T674,H674)&gt;0,0,IF(COUNTIF($G674:$T674,"&gt;"&amp;H674)=0,"",SMALL($G674:$T674,COUNTIF($G674:$T674,"&lt;="&amp;H674)+1)-H674)))</f>
        <v/>
      </c>
      <c r="AF674" t="str">
        <f>IF(OR($B674="",NOT(ISNUMBER(I674))),"",IF(COUNTIF(J674:$T674,I674)&gt;0,0,IF(COUNTIF($G674:$T674,"&gt;"&amp;I674)=0,"",SMALL($G674:$T674,COUNTIF($G674:$T674,"&lt;="&amp;I674)+1)-I674)))</f>
        <v/>
      </c>
      <c r="AG674" t="str">
        <f>IF(OR($B674="",NOT(ISNUMBER(J674))),"",IF(COUNTIF(K674:$T674,J674)&gt;0,0,IF(COUNTIF($G674:$T674,"&gt;"&amp;J674)=0,"",SMALL($G674:$T674,COUNTIF($G674:$T674,"&lt;="&amp;J674)+1)-J674)))</f>
        <v/>
      </c>
      <c r="AH674" t="str">
        <f>IF(OR($B674="",NOT(ISNUMBER(K674))),"",IF(COUNTIF(L674:$T674,K674)&gt;0,0,IF(COUNTIF($G674:$T674,"&gt;"&amp;K674)=0,"",SMALL($G674:$T674,COUNTIF($G674:$T674,"&lt;="&amp;K674)+1)-K674)))</f>
        <v/>
      </c>
      <c r="AI674" t="str">
        <f>IF(OR($B674="",NOT(ISNUMBER(L674))),"",IF(COUNTIF(M674:$T674,L674)&gt;0,0,IF(COUNTIF($G674:$T674,"&gt;"&amp;L674)=0,"",SMALL($G674:$T674,COUNTIF($G674:$T674,"&lt;="&amp;L674)+1)-L674)))</f>
        <v/>
      </c>
      <c r="AJ674" t="str">
        <f>IF(OR($B674="",NOT(ISNUMBER(M674))),"",IF(COUNTIF(N674:$T674,M674)&gt;0,0,IF(COUNTIF($G674:$T674,"&gt;"&amp;M674)=0,"",SMALL($G674:$T674,COUNTIF($G674:$T674,"&lt;="&amp;M674)+1)-M674)))</f>
        <v/>
      </c>
      <c r="AK674" t="str">
        <f>IF(OR($B674="",NOT(ISNUMBER(N674))),"",IF(COUNTIF(O674:$T674,N674)&gt;0,0,IF(COUNTIF($G674:$T674,"&gt;"&amp;N674)=0,"",SMALL($G674:$T674,COUNTIF($G674:$T674,"&lt;="&amp;N674)+1)-N674)))</f>
        <v/>
      </c>
      <c r="AL674" t="str">
        <f>IF(OR($B674="",NOT(ISNUMBER(O674))),"",IF(COUNTIF(P674:$T674,O674)&gt;0,0,IF(COUNTIF($G674:$T674,"&gt;"&amp;O674)=0,"",SMALL($G674:$T674,COUNTIF($G674:$T674,"&lt;="&amp;O674)+1)-O674)))</f>
        <v/>
      </c>
      <c r="AM674" t="str">
        <f>IF(OR($B674="",NOT(ISNUMBER(P674))),"",IF(COUNTIF(Q674:$T674,P674)&gt;0,0,IF(COUNTIF($G674:$T674,"&gt;"&amp;P674)=0,"",SMALL($G674:$T674,COUNTIF($G674:$T674,"&lt;="&amp;P674)+1)-P674)))</f>
        <v/>
      </c>
      <c r="AN674" t="str">
        <f>IF(OR($B674="",NOT(ISNUMBER(Q674))),"",IF(COUNTIF(R674:$T674,Q674)&gt;0,0,IF(COUNTIF($G674:$T674,"&gt;"&amp;Q674)=0,"",SMALL($G674:$T674,COUNTIF($G674:$T674,"&lt;="&amp;Q674)+1)-Q674)))</f>
        <v/>
      </c>
      <c r="AO674" t="str">
        <f>IF(OR($B674="",NOT(ISNUMBER(R674))),"",IF(COUNTIF(S674:$T674,R674)&gt;0,0,IF(COUNTIF($G674:$T674,"&gt;"&amp;R674)=0,"",SMALL($G674:$T674,COUNTIF($G674:$T674,"&lt;="&amp;R674)+1)-R674)))</f>
        <v/>
      </c>
      <c r="AP674">
        <f t="shared" ca="1" si="173"/>
        <v>0</v>
      </c>
      <c r="AQ674" s="25" t="str">
        <f t="shared" si="174"/>
        <v/>
      </c>
      <c r="AR674" s="25" t="str">
        <f t="shared" si="175"/>
        <v/>
      </c>
      <c r="AS674" s="25" t="str">
        <f t="shared" si="176"/>
        <v/>
      </c>
      <c r="AT674" s="25" t="str">
        <f t="shared" si="177"/>
        <v/>
      </c>
      <c r="AU674" s="25" t="str">
        <f t="shared" si="178"/>
        <v/>
      </c>
      <c r="AV674" s="25" t="str">
        <f t="shared" si="179"/>
        <v/>
      </c>
      <c r="AW674" s="25" t="str">
        <f t="shared" si="180"/>
        <v/>
      </c>
      <c r="AX674" s="25" t="str">
        <f t="shared" si="181"/>
        <v/>
      </c>
      <c r="AY674" s="25" t="str">
        <f t="shared" si="182"/>
        <v/>
      </c>
      <c r="AZ674" s="25" t="str">
        <f t="shared" si="183"/>
        <v/>
      </c>
      <c r="BA674" s="25" t="str">
        <f t="shared" si="184"/>
        <v/>
      </c>
      <c r="BB674" s="25" t="str">
        <f t="shared" si="185"/>
        <v/>
      </c>
      <c r="BC674" s="25" t="str">
        <f t="shared" si="186"/>
        <v/>
      </c>
    </row>
    <row r="675" spans="1:55" x14ac:dyDescent="0.25">
      <c r="A675" s="19" t="str">
        <f t="shared" si="171"/>
        <v/>
      </c>
      <c r="B675" s="19"/>
      <c r="C675" s="20"/>
      <c r="D675" s="19" t="str">
        <f t="shared" si="170"/>
        <v/>
      </c>
      <c r="E675" s="19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19"/>
      <c r="U675" s="19"/>
      <c r="V675" s="20"/>
      <c r="W675" s="22"/>
      <c r="X675" s="21"/>
      <c r="Y675" s="21"/>
      <c r="Z675" s="23" t="str">
        <f>IF(B675="","",IF(S675&lt;&gt;"","Sevk Edildi",IF(AND(X675&lt;&gt;"",Y675=""),"Reworkte",IF(T675&lt;&gt;"","Kapandı"&amp;IF(COUNT(G675:R675)=0,""," – "&amp;LOOKUP(2,1/(G675:R675=MAX(G675:R675)),{"Tasarım","Ply Cutter","Üretim","Kalite (Üretim sonrası)","Talaşlı","Kalite (Talaşlı sonrası)","Montaj","Kalite (Montaj sonrası)","Boya","Kalite (Boya sonrası)","Yarı Mamül","KM"})),IF(COUNT(G675:R675)=0,"Başlamadı",LOOKUP(2,1/(G675:R675=MAX(G675:R675)),{"Tasarımda","Ply Cutter'da","Üretimde","Kalitede (Üretim sonrası)","Talaşlıda","Kalitede (Talaşlı sonrası)","Montajda","Kalitede (Montaj sonrası)","Boyada","Kalitede (Boya sonrası)","Yarı Mamülde","KM'de"}))))))</f>
        <v/>
      </c>
      <c r="AA675" s="24" t="str">
        <f t="shared" ca="1" si="172"/>
        <v/>
      </c>
      <c r="AB675" s="22"/>
      <c r="AD675" t="str">
        <f>IF(OR($B675="",NOT(ISNUMBER(G675))),"",IF(COUNTIF(H675:$T675,G675)&gt;0,0,IF(COUNTIF($G675:$T675,"&gt;"&amp;G675)=0,"",SMALL($G675:$T675,COUNTIF($G675:$T675,"&lt;="&amp;G675)+1)-G675)))</f>
        <v/>
      </c>
      <c r="AE675" t="str">
        <f>IF(OR($B675="",NOT(ISNUMBER(H675))),"",IF(COUNTIF(I675:$T675,H675)&gt;0,0,IF(COUNTIF($G675:$T675,"&gt;"&amp;H675)=0,"",SMALL($G675:$T675,COUNTIF($G675:$T675,"&lt;="&amp;H675)+1)-H675)))</f>
        <v/>
      </c>
      <c r="AF675" t="str">
        <f>IF(OR($B675="",NOT(ISNUMBER(I675))),"",IF(COUNTIF(J675:$T675,I675)&gt;0,0,IF(COUNTIF($G675:$T675,"&gt;"&amp;I675)=0,"",SMALL($G675:$T675,COUNTIF($G675:$T675,"&lt;="&amp;I675)+1)-I675)))</f>
        <v/>
      </c>
      <c r="AG675" t="str">
        <f>IF(OR($B675="",NOT(ISNUMBER(J675))),"",IF(COUNTIF(K675:$T675,J675)&gt;0,0,IF(COUNTIF($G675:$T675,"&gt;"&amp;J675)=0,"",SMALL($G675:$T675,COUNTIF($G675:$T675,"&lt;="&amp;J675)+1)-J675)))</f>
        <v/>
      </c>
      <c r="AH675" t="str">
        <f>IF(OR($B675="",NOT(ISNUMBER(K675))),"",IF(COUNTIF(L675:$T675,K675)&gt;0,0,IF(COUNTIF($G675:$T675,"&gt;"&amp;K675)=0,"",SMALL($G675:$T675,COUNTIF($G675:$T675,"&lt;="&amp;K675)+1)-K675)))</f>
        <v/>
      </c>
      <c r="AI675" t="str">
        <f>IF(OR($B675="",NOT(ISNUMBER(L675))),"",IF(COUNTIF(M675:$T675,L675)&gt;0,0,IF(COUNTIF($G675:$T675,"&gt;"&amp;L675)=0,"",SMALL($G675:$T675,COUNTIF($G675:$T675,"&lt;="&amp;L675)+1)-L675)))</f>
        <v/>
      </c>
      <c r="AJ675" t="str">
        <f>IF(OR($B675="",NOT(ISNUMBER(M675))),"",IF(COUNTIF(N675:$T675,M675)&gt;0,0,IF(COUNTIF($G675:$T675,"&gt;"&amp;M675)=0,"",SMALL($G675:$T675,COUNTIF($G675:$T675,"&lt;="&amp;M675)+1)-M675)))</f>
        <v/>
      </c>
      <c r="AK675" t="str">
        <f>IF(OR($B675="",NOT(ISNUMBER(N675))),"",IF(COUNTIF(O675:$T675,N675)&gt;0,0,IF(COUNTIF($G675:$T675,"&gt;"&amp;N675)=0,"",SMALL($G675:$T675,COUNTIF($G675:$T675,"&lt;="&amp;N675)+1)-N675)))</f>
        <v/>
      </c>
      <c r="AL675" t="str">
        <f>IF(OR($B675="",NOT(ISNUMBER(O675))),"",IF(COUNTIF(P675:$T675,O675)&gt;0,0,IF(COUNTIF($G675:$T675,"&gt;"&amp;O675)=0,"",SMALL($G675:$T675,COUNTIF($G675:$T675,"&lt;="&amp;O675)+1)-O675)))</f>
        <v/>
      </c>
      <c r="AM675" t="str">
        <f>IF(OR($B675="",NOT(ISNUMBER(P675))),"",IF(COUNTIF(Q675:$T675,P675)&gt;0,0,IF(COUNTIF($G675:$T675,"&gt;"&amp;P675)=0,"",SMALL($G675:$T675,COUNTIF($G675:$T675,"&lt;="&amp;P675)+1)-P675)))</f>
        <v/>
      </c>
      <c r="AN675" t="str">
        <f>IF(OR($B675="",NOT(ISNUMBER(Q675))),"",IF(COUNTIF(R675:$T675,Q675)&gt;0,0,IF(COUNTIF($G675:$T675,"&gt;"&amp;Q675)=0,"",SMALL($G675:$T675,COUNTIF($G675:$T675,"&lt;="&amp;Q675)+1)-Q675)))</f>
        <v/>
      </c>
      <c r="AO675" t="str">
        <f>IF(OR($B675="",NOT(ISNUMBER(R675))),"",IF(COUNTIF(S675:$T675,R675)&gt;0,0,IF(COUNTIF($G675:$T675,"&gt;"&amp;R675)=0,"",SMALL($G675:$T675,COUNTIF($G675:$T675,"&lt;="&amp;R675)+1)-R675)))</f>
        <v/>
      </c>
      <c r="AP675">
        <f t="shared" ca="1" si="173"/>
        <v>0</v>
      </c>
      <c r="AQ675" s="25" t="str">
        <f t="shared" si="174"/>
        <v/>
      </c>
      <c r="AR675" s="25" t="str">
        <f t="shared" si="175"/>
        <v/>
      </c>
      <c r="AS675" s="25" t="str">
        <f t="shared" si="176"/>
        <v/>
      </c>
      <c r="AT675" s="25" t="str">
        <f t="shared" si="177"/>
        <v/>
      </c>
      <c r="AU675" s="25" t="str">
        <f t="shared" si="178"/>
        <v/>
      </c>
      <c r="AV675" s="25" t="str">
        <f t="shared" si="179"/>
        <v/>
      </c>
      <c r="AW675" s="25" t="str">
        <f t="shared" si="180"/>
        <v/>
      </c>
      <c r="AX675" s="25" t="str">
        <f t="shared" si="181"/>
        <v/>
      </c>
      <c r="AY675" s="25" t="str">
        <f t="shared" si="182"/>
        <v/>
      </c>
      <c r="AZ675" s="25" t="str">
        <f t="shared" si="183"/>
        <v/>
      </c>
      <c r="BA675" s="25" t="str">
        <f t="shared" si="184"/>
        <v/>
      </c>
      <c r="BB675" s="25" t="str">
        <f t="shared" si="185"/>
        <v/>
      </c>
      <c r="BC675" s="25" t="str">
        <f t="shared" si="186"/>
        <v/>
      </c>
    </row>
    <row r="676" spans="1:55" x14ac:dyDescent="0.25">
      <c r="A676" s="19" t="str">
        <f t="shared" si="171"/>
        <v/>
      </c>
      <c r="B676" s="19"/>
      <c r="C676" s="20"/>
      <c r="D676" s="19" t="str">
        <f t="shared" si="170"/>
        <v/>
      </c>
      <c r="E676" s="19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19"/>
      <c r="U676" s="19"/>
      <c r="V676" s="20"/>
      <c r="W676" s="22"/>
      <c r="X676" s="21"/>
      <c r="Y676" s="21"/>
      <c r="Z676" s="23" t="str">
        <f>IF(B676="","",IF(S676&lt;&gt;"","Sevk Edildi",IF(AND(X676&lt;&gt;"",Y676=""),"Reworkte",IF(T676&lt;&gt;"","Kapandı"&amp;IF(COUNT(G676:R676)=0,""," – "&amp;LOOKUP(2,1/(G676:R676=MAX(G676:R676)),{"Tasarım","Ply Cutter","Üretim","Kalite (Üretim sonrası)","Talaşlı","Kalite (Talaşlı sonrası)","Montaj","Kalite (Montaj sonrası)","Boya","Kalite (Boya sonrası)","Yarı Mamül","KM"})),IF(COUNT(G676:R676)=0,"Başlamadı",LOOKUP(2,1/(G676:R676=MAX(G676:R676)),{"Tasarımda","Ply Cutter'da","Üretimde","Kalitede (Üretim sonrası)","Talaşlıda","Kalitede (Talaşlı sonrası)","Montajda","Kalitede (Montaj sonrası)","Boyada","Kalitede (Boya sonrası)","Yarı Mamülde","KM'de"}))))))</f>
        <v/>
      </c>
      <c r="AA676" s="24" t="str">
        <f t="shared" ca="1" si="172"/>
        <v/>
      </c>
      <c r="AB676" s="22"/>
      <c r="AD676" t="str">
        <f>IF(OR($B676="",NOT(ISNUMBER(G676))),"",IF(COUNTIF(H676:$T676,G676)&gt;0,0,IF(COUNTIF($G676:$T676,"&gt;"&amp;G676)=0,"",SMALL($G676:$T676,COUNTIF($G676:$T676,"&lt;="&amp;G676)+1)-G676)))</f>
        <v/>
      </c>
      <c r="AE676" t="str">
        <f>IF(OR($B676="",NOT(ISNUMBER(H676))),"",IF(COUNTIF(I676:$T676,H676)&gt;0,0,IF(COUNTIF($G676:$T676,"&gt;"&amp;H676)=0,"",SMALL($G676:$T676,COUNTIF($G676:$T676,"&lt;="&amp;H676)+1)-H676)))</f>
        <v/>
      </c>
      <c r="AF676" t="str">
        <f>IF(OR($B676="",NOT(ISNUMBER(I676))),"",IF(COUNTIF(J676:$T676,I676)&gt;0,0,IF(COUNTIF($G676:$T676,"&gt;"&amp;I676)=0,"",SMALL($G676:$T676,COUNTIF($G676:$T676,"&lt;="&amp;I676)+1)-I676)))</f>
        <v/>
      </c>
      <c r="AG676" t="str">
        <f>IF(OR($B676="",NOT(ISNUMBER(J676))),"",IF(COUNTIF(K676:$T676,J676)&gt;0,0,IF(COUNTIF($G676:$T676,"&gt;"&amp;J676)=0,"",SMALL($G676:$T676,COUNTIF($G676:$T676,"&lt;="&amp;J676)+1)-J676)))</f>
        <v/>
      </c>
      <c r="AH676" t="str">
        <f>IF(OR($B676="",NOT(ISNUMBER(K676))),"",IF(COUNTIF(L676:$T676,K676)&gt;0,0,IF(COUNTIF($G676:$T676,"&gt;"&amp;K676)=0,"",SMALL($G676:$T676,COUNTIF($G676:$T676,"&lt;="&amp;K676)+1)-K676)))</f>
        <v/>
      </c>
      <c r="AI676" t="str">
        <f>IF(OR($B676="",NOT(ISNUMBER(L676))),"",IF(COUNTIF(M676:$T676,L676)&gt;0,0,IF(COUNTIF($G676:$T676,"&gt;"&amp;L676)=0,"",SMALL($G676:$T676,COUNTIF($G676:$T676,"&lt;="&amp;L676)+1)-L676)))</f>
        <v/>
      </c>
      <c r="AJ676" t="str">
        <f>IF(OR($B676="",NOT(ISNUMBER(M676))),"",IF(COUNTIF(N676:$T676,M676)&gt;0,0,IF(COUNTIF($G676:$T676,"&gt;"&amp;M676)=0,"",SMALL($G676:$T676,COUNTIF($G676:$T676,"&lt;="&amp;M676)+1)-M676)))</f>
        <v/>
      </c>
      <c r="AK676" t="str">
        <f>IF(OR($B676="",NOT(ISNUMBER(N676))),"",IF(COUNTIF(O676:$T676,N676)&gt;0,0,IF(COUNTIF($G676:$T676,"&gt;"&amp;N676)=0,"",SMALL($G676:$T676,COUNTIF($G676:$T676,"&lt;="&amp;N676)+1)-N676)))</f>
        <v/>
      </c>
      <c r="AL676" t="str">
        <f>IF(OR($B676="",NOT(ISNUMBER(O676))),"",IF(COUNTIF(P676:$T676,O676)&gt;0,0,IF(COUNTIF($G676:$T676,"&gt;"&amp;O676)=0,"",SMALL($G676:$T676,COUNTIF($G676:$T676,"&lt;="&amp;O676)+1)-O676)))</f>
        <v/>
      </c>
      <c r="AM676" t="str">
        <f>IF(OR($B676="",NOT(ISNUMBER(P676))),"",IF(COUNTIF(Q676:$T676,P676)&gt;0,0,IF(COUNTIF($G676:$T676,"&gt;"&amp;P676)=0,"",SMALL($G676:$T676,COUNTIF($G676:$T676,"&lt;="&amp;P676)+1)-P676)))</f>
        <v/>
      </c>
      <c r="AN676" t="str">
        <f>IF(OR($B676="",NOT(ISNUMBER(Q676))),"",IF(COUNTIF(R676:$T676,Q676)&gt;0,0,IF(COUNTIF($G676:$T676,"&gt;"&amp;Q676)=0,"",SMALL($G676:$T676,COUNTIF($G676:$T676,"&lt;="&amp;Q676)+1)-Q676)))</f>
        <v/>
      </c>
      <c r="AO676" t="str">
        <f>IF(OR($B676="",NOT(ISNUMBER(R676))),"",IF(COUNTIF(S676:$T676,R676)&gt;0,0,IF(COUNTIF($G676:$T676,"&gt;"&amp;R676)=0,"",SMALL($G676:$T676,COUNTIF($G676:$T676,"&lt;="&amp;R676)+1)-R676)))</f>
        <v/>
      </c>
      <c r="AP676">
        <f t="shared" ca="1" si="173"/>
        <v>0</v>
      </c>
      <c r="AQ676" s="25" t="str">
        <f t="shared" si="174"/>
        <v/>
      </c>
      <c r="AR676" s="25" t="str">
        <f t="shared" si="175"/>
        <v/>
      </c>
      <c r="AS676" s="25" t="str">
        <f t="shared" si="176"/>
        <v/>
      </c>
      <c r="AT676" s="25" t="str">
        <f t="shared" si="177"/>
        <v/>
      </c>
      <c r="AU676" s="25" t="str">
        <f t="shared" si="178"/>
        <v/>
      </c>
      <c r="AV676" s="25" t="str">
        <f t="shared" si="179"/>
        <v/>
      </c>
      <c r="AW676" s="25" t="str">
        <f t="shared" si="180"/>
        <v/>
      </c>
      <c r="AX676" s="25" t="str">
        <f t="shared" si="181"/>
        <v/>
      </c>
      <c r="AY676" s="25" t="str">
        <f t="shared" si="182"/>
        <v/>
      </c>
      <c r="AZ676" s="25" t="str">
        <f t="shared" si="183"/>
        <v/>
      </c>
      <c r="BA676" s="25" t="str">
        <f t="shared" si="184"/>
        <v/>
      </c>
      <c r="BB676" s="25" t="str">
        <f t="shared" si="185"/>
        <v/>
      </c>
      <c r="BC676" s="25" t="str">
        <f t="shared" si="186"/>
        <v/>
      </c>
    </row>
    <row r="677" spans="1:55" x14ac:dyDescent="0.25">
      <c r="A677" s="19" t="str">
        <f t="shared" si="171"/>
        <v/>
      </c>
      <c r="B677" s="19"/>
      <c r="C677" s="20"/>
      <c r="D677" s="19" t="str">
        <f t="shared" si="170"/>
        <v/>
      </c>
      <c r="E677" s="19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19"/>
      <c r="U677" s="19"/>
      <c r="V677" s="20"/>
      <c r="W677" s="22"/>
      <c r="X677" s="21"/>
      <c r="Y677" s="21"/>
      <c r="Z677" s="23" t="str">
        <f>IF(B677="","",IF(S677&lt;&gt;"","Sevk Edildi",IF(AND(X677&lt;&gt;"",Y677=""),"Reworkte",IF(T677&lt;&gt;"","Kapandı"&amp;IF(COUNT(G677:R677)=0,""," – "&amp;LOOKUP(2,1/(G677:R677=MAX(G677:R677)),{"Tasarım","Ply Cutter","Üretim","Kalite (Üretim sonrası)","Talaşlı","Kalite (Talaşlı sonrası)","Montaj","Kalite (Montaj sonrası)","Boya","Kalite (Boya sonrası)","Yarı Mamül","KM"})),IF(COUNT(G677:R677)=0,"Başlamadı",LOOKUP(2,1/(G677:R677=MAX(G677:R677)),{"Tasarımda","Ply Cutter'da","Üretimde","Kalitede (Üretim sonrası)","Talaşlıda","Kalitede (Talaşlı sonrası)","Montajda","Kalitede (Montaj sonrası)","Boyada","Kalitede (Boya sonrası)","Yarı Mamülde","KM'de"}))))))</f>
        <v/>
      </c>
      <c r="AA677" s="24" t="str">
        <f t="shared" ca="1" si="172"/>
        <v/>
      </c>
      <c r="AB677" s="22"/>
      <c r="AD677" t="str">
        <f>IF(OR($B677="",NOT(ISNUMBER(G677))),"",IF(COUNTIF(H677:$T677,G677)&gt;0,0,IF(COUNTIF($G677:$T677,"&gt;"&amp;G677)=0,"",SMALL($G677:$T677,COUNTIF($G677:$T677,"&lt;="&amp;G677)+1)-G677)))</f>
        <v/>
      </c>
      <c r="AE677" t="str">
        <f>IF(OR($B677="",NOT(ISNUMBER(H677))),"",IF(COUNTIF(I677:$T677,H677)&gt;0,0,IF(COUNTIF($G677:$T677,"&gt;"&amp;H677)=0,"",SMALL($G677:$T677,COUNTIF($G677:$T677,"&lt;="&amp;H677)+1)-H677)))</f>
        <v/>
      </c>
      <c r="AF677" t="str">
        <f>IF(OR($B677="",NOT(ISNUMBER(I677))),"",IF(COUNTIF(J677:$T677,I677)&gt;0,0,IF(COUNTIF($G677:$T677,"&gt;"&amp;I677)=0,"",SMALL($G677:$T677,COUNTIF($G677:$T677,"&lt;="&amp;I677)+1)-I677)))</f>
        <v/>
      </c>
      <c r="AG677" t="str">
        <f>IF(OR($B677="",NOT(ISNUMBER(J677))),"",IF(COUNTIF(K677:$T677,J677)&gt;0,0,IF(COUNTIF($G677:$T677,"&gt;"&amp;J677)=0,"",SMALL($G677:$T677,COUNTIF($G677:$T677,"&lt;="&amp;J677)+1)-J677)))</f>
        <v/>
      </c>
      <c r="AH677" t="str">
        <f>IF(OR($B677="",NOT(ISNUMBER(K677))),"",IF(COUNTIF(L677:$T677,K677)&gt;0,0,IF(COUNTIF($G677:$T677,"&gt;"&amp;K677)=0,"",SMALL($G677:$T677,COUNTIF($G677:$T677,"&lt;="&amp;K677)+1)-K677)))</f>
        <v/>
      </c>
      <c r="AI677" t="str">
        <f>IF(OR($B677="",NOT(ISNUMBER(L677))),"",IF(COUNTIF(M677:$T677,L677)&gt;0,0,IF(COUNTIF($G677:$T677,"&gt;"&amp;L677)=0,"",SMALL($G677:$T677,COUNTIF($G677:$T677,"&lt;="&amp;L677)+1)-L677)))</f>
        <v/>
      </c>
      <c r="AJ677" t="str">
        <f>IF(OR($B677="",NOT(ISNUMBER(M677))),"",IF(COUNTIF(N677:$T677,M677)&gt;0,0,IF(COUNTIF($G677:$T677,"&gt;"&amp;M677)=0,"",SMALL($G677:$T677,COUNTIF($G677:$T677,"&lt;="&amp;M677)+1)-M677)))</f>
        <v/>
      </c>
      <c r="AK677" t="str">
        <f>IF(OR($B677="",NOT(ISNUMBER(N677))),"",IF(COUNTIF(O677:$T677,N677)&gt;0,0,IF(COUNTIF($G677:$T677,"&gt;"&amp;N677)=0,"",SMALL($G677:$T677,COUNTIF($G677:$T677,"&lt;="&amp;N677)+1)-N677)))</f>
        <v/>
      </c>
      <c r="AL677" t="str">
        <f>IF(OR($B677="",NOT(ISNUMBER(O677))),"",IF(COUNTIF(P677:$T677,O677)&gt;0,0,IF(COUNTIF($G677:$T677,"&gt;"&amp;O677)=0,"",SMALL($G677:$T677,COUNTIF($G677:$T677,"&lt;="&amp;O677)+1)-O677)))</f>
        <v/>
      </c>
      <c r="AM677" t="str">
        <f>IF(OR($B677="",NOT(ISNUMBER(P677))),"",IF(COUNTIF(Q677:$T677,P677)&gt;0,0,IF(COUNTIF($G677:$T677,"&gt;"&amp;P677)=0,"",SMALL($G677:$T677,COUNTIF($G677:$T677,"&lt;="&amp;P677)+1)-P677)))</f>
        <v/>
      </c>
      <c r="AN677" t="str">
        <f>IF(OR($B677="",NOT(ISNUMBER(Q677))),"",IF(COUNTIF(R677:$T677,Q677)&gt;0,0,IF(COUNTIF($G677:$T677,"&gt;"&amp;Q677)=0,"",SMALL($G677:$T677,COUNTIF($G677:$T677,"&lt;="&amp;Q677)+1)-Q677)))</f>
        <v/>
      </c>
      <c r="AO677" t="str">
        <f>IF(OR($B677="",NOT(ISNUMBER(R677))),"",IF(COUNTIF(S677:$T677,R677)&gt;0,0,IF(COUNTIF($G677:$T677,"&gt;"&amp;R677)=0,"",SMALL($G677:$T677,COUNTIF($G677:$T677,"&lt;="&amp;R677)+1)-R677)))</f>
        <v/>
      </c>
      <c r="AP677">
        <f t="shared" ca="1" si="173"/>
        <v>0</v>
      </c>
      <c r="AQ677" s="25" t="str">
        <f t="shared" si="174"/>
        <v/>
      </c>
      <c r="AR677" s="25" t="str">
        <f t="shared" si="175"/>
        <v/>
      </c>
      <c r="AS677" s="25" t="str">
        <f t="shared" si="176"/>
        <v/>
      </c>
      <c r="AT677" s="25" t="str">
        <f t="shared" si="177"/>
        <v/>
      </c>
      <c r="AU677" s="25" t="str">
        <f t="shared" si="178"/>
        <v/>
      </c>
      <c r="AV677" s="25" t="str">
        <f t="shared" si="179"/>
        <v/>
      </c>
      <c r="AW677" s="25" t="str">
        <f t="shared" si="180"/>
        <v/>
      </c>
      <c r="AX677" s="25" t="str">
        <f t="shared" si="181"/>
        <v/>
      </c>
      <c r="AY677" s="25" t="str">
        <f t="shared" si="182"/>
        <v/>
      </c>
      <c r="AZ677" s="25" t="str">
        <f t="shared" si="183"/>
        <v/>
      </c>
      <c r="BA677" s="25" t="str">
        <f t="shared" si="184"/>
        <v/>
      </c>
      <c r="BB677" s="25" t="str">
        <f t="shared" si="185"/>
        <v/>
      </c>
      <c r="BC677" s="25" t="str">
        <f t="shared" si="186"/>
        <v/>
      </c>
    </row>
    <row r="678" spans="1:55" x14ac:dyDescent="0.25">
      <c r="A678" s="19" t="str">
        <f t="shared" si="171"/>
        <v/>
      </c>
      <c r="B678" s="19"/>
      <c r="C678" s="20"/>
      <c r="D678" s="19" t="str">
        <f t="shared" si="170"/>
        <v/>
      </c>
      <c r="E678" s="19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19"/>
      <c r="U678" s="19"/>
      <c r="V678" s="20"/>
      <c r="W678" s="22"/>
      <c r="X678" s="21"/>
      <c r="Y678" s="21"/>
      <c r="Z678" s="23" t="str">
        <f>IF(B678="","",IF(S678&lt;&gt;"","Sevk Edildi",IF(AND(X678&lt;&gt;"",Y678=""),"Reworkte",IF(T678&lt;&gt;"","Kapandı"&amp;IF(COUNT(G678:R678)=0,""," – "&amp;LOOKUP(2,1/(G678:R678=MAX(G678:R678)),{"Tasarım","Ply Cutter","Üretim","Kalite (Üretim sonrası)","Talaşlı","Kalite (Talaşlı sonrası)","Montaj","Kalite (Montaj sonrası)","Boya","Kalite (Boya sonrası)","Yarı Mamül","KM"})),IF(COUNT(G678:R678)=0,"Başlamadı",LOOKUP(2,1/(G678:R678=MAX(G678:R678)),{"Tasarımda","Ply Cutter'da","Üretimde","Kalitede (Üretim sonrası)","Talaşlıda","Kalitede (Talaşlı sonrası)","Montajda","Kalitede (Montaj sonrası)","Boyada","Kalitede (Boya sonrası)","Yarı Mamülde","KM'de"}))))))</f>
        <v/>
      </c>
      <c r="AA678" s="24" t="str">
        <f t="shared" ca="1" si="172"/>
        <v/>
      </c>
      <c r="AB678" s="22"/>
      <c r="AD678" t="str">
        <f>IF(OR($B678="",NOT(ISNUMBER(G678))),"",IF(COUNTIF(H678:$T678,G678)&gt;0,0,IF(COUNTIF($G678:$T678,"&gt;"&amp;G678)=0,"",SMALL($G678:$T678,COUNTIF($G678:$T678,"&lt;="&amp;G678)+1)-G678)))</f>
        <v/>
      </c>
      <c r="AE678" t="str">
        <f>IF(OR($B678="",NOT(ISNUMBER(H678))),"",IF(COUNTIF(I678:$T678,H678)&gt;0,0,IF(COUNTIF($G678:$T678,"&gt;"&amp;H678)=0,"",SMALL($G678:$T678,COUNTIF($G678:$T678,"&lt;="&amp;H678)+1)-H678)))</f>
        <v/>
      </c>
      <c r="AF678" t="str">
        <f>IF(OR($B678="",NOT(ISNUMBER(I678))),"",IF(COUNTIF(J678:$T678,I678)&gt;0,0,IF(COUNTIF($G678:$T678,"&gt;"&amp;I678)=0,"",SMALL($G678:$T678,COUNTIF($G678:$T678,"&lt;="&amp;I678)+1)-I678)))</f>
        <v/>
      </c>
      <c r="AG678" t="str">
        <f>IF(OR($B678="",NOT(ISNUMBER(J678))),"",IF(COUNTIF(K678:$T678,J678)&gt;0,0,IF(COUNTIF($G678:$T678,"&gt;"&amp;J678)=0,"",SMALL($G678:$T678,COUNTIF($G678:$T678,"&lt;="&amp;J678)+1)-J678)))</f>
        <v/>
      </c>
      <c r="AH678" t="str">
        <f>IF(OR($B678="",NOT(ISNUMBER(K678))),"",IF(COUNTIF(L678:$T678,K678)&gt;0,0,IF(COUNTIF($G678:$T678,"&gt;"&amp;K678)=0,"",SMALL($G678:$T678,COUNTIF($G678:$T678,"&lt;="&amp;K678)+1)-K678)))</f>
        <v/>
      </c>
      <c r="AI678" t="str">
        <f>IF(OR($B678="",NOT(ISNUMBER(L678))),"",IF(COUNTIF(M678:$T678,L678)&gt;0,0,IF(COUNTIF($G678:$T678,"&gt;"&amp;L678)=0,"",SMALL($G678:$T678,COUNTIF($G678:$T678,"&lt;="&amp;L678)+1)-L678)))</f>
        <v/>
      </c>
      <c r="AJ678" t="str">
        <f>IF(OR($B678="",NOT(ISNUMBER(M678))),"",IF(COUNTIF(N678:$T678,M678)&gt;0,0,IF(COUNTIF($G678:$T678,"&gt;"&amp;M678)=0,"",SMALL($G678:$T678,COUNTIF($G678:$T678,"&lt;="&amp;M678)+1)-M678)))</f>
        <v/>
      </c>
      <c r="AK678" t="str">
        <f>IF(OR($B678="",NOT(ISNUMBER(N678))),"",IF(COUNTIF(O678:$T678,N678)&gt;0,0,IF(COUNTIF($G678:$T678,"&gt;"&amp;N678)=0,"",SMALL($G678:$T678,COUNTIF($G678:$T678,"&lt;="&amp;N678)+1)-N678)))</f>
        <v/>
      </c>
      <c r="AL678" t="str">
        <f>IF(OR($B678="",NOT(ISNUMBER(O678))),"",IF(COUNTIF(P678:$T678,O678)&gt;0,0,IF(COUNTIF($G678:$T678,"&gt;"&amp;O678)=0,"",SMALL($G678:$T678,COUNTIF($G678:$T678,"&lt;="&amp;O678)+1)-O678)))</f>
        <v/>
      </c>
      <c r="AM678" t="str">
        <f>IF(OR($B678="",NOT(ISNUMBER(P678))),"",IF(COUNTIF(Q678:$T678,P678)&gt;0,0,IF(COUNTIF($G678:$T678,"&gt;"&amp;P678)=0,"",SMALL($G678:$T678,COUNTIF($G678:$T678,"&lt;="&amp;P678)+1)-P678)))</f>
        <v/>
      </c>
      <c r="AN678" t="str">
        <f>IF(OR($B678="",NOT(ISNUMBER(Q678))),"",IF(COUNTIF(R678:$T678,Q678)&gt;0,0,IF(COUNTIF($G678:$T678,"&gt;"&amp;Q678)=0,"",SMALL($G678:$T678,COUNTIF($G678:$T678,"&lt;="&amp;Q678)+1)-Q678)))</f>
        <v/>
      </c>
      <c r="AO678" t="str">
        <f>IF(OR($B678="",NOT(ISNUMBER(R678))),"",IF(COUNTIF(S678:$T678,R678)&gt;0,0,IF(COUNTIF($G678:$T678,"&gt;"&amp;R678)=0,"",SMALL($G678:$T678,COUNTIF($G678:$T678,"&lt;="&amp;R678)+1)-R678)))</f>
        <v/>
      </c>
      <c r="AP678">
        <f t="shared" ca="1" si="173"/>
        <v>0</v>
      </c>
      <c r="AQ678" s="25" t="str">
        <f t="shared" si="174"/>
        <v/>
      </c>
      <c r="AR678" s="25" t="str">
        <f t="shared" si="175"/>
        <v/>
      </c>
      <c r="AS678" s="25" t="str">
        <f t="shared" si="176"/>
        <v/>
      </c>
      <c r="AT678" s="25" t="str">
        <f t="shared" si="177"/>
        <v/>
      </c>
      <c r="AU678" s="25" t="str">
        <f t="shared" si="178"/>
        <v/>
      </c>
      <c r="AV678" s="25" t="str">
        <f t="shared" si="179"/>
        <v/>
      </c>
      <c r="AW678" s="25" t="str">
        <f t="shared" si="180"/>
        <v/>
      </c>
      <c r="AX678" s="25" t="str">
        <f t="shared" si="181"/>
        <v/>
      </c>
      <c r="AY678" s="25" t="str">
        <f t="shared" si="182"/>
        <v/>
      </c>
      <c r="AZ678" s="25" t="str">
        <f t="shared" si="183"/>
        <v/>
      </c>
      <c r="BA678" s="25" t="str">
        <f t="shared" si="184"/>
        <v/>
      </c>
      <c r="BB678" s="25" t="str">
        <f t="shared" si="185"/>
        <v/>
      </c>
      <c r="BC678" s="25" t="str">
        <f t="shared" si="186"/>
        <v/>
      </c>
    </row>
    <row r="679" spans="1:55" x14ac:dyDescent="0.25">
      <c r="A679" s="19" t="str">
        <f t="shared" si="171"/>
        <v/>
      </c>
      <c r="B679" s="19"/>
      <c r="C679" s="20"/>
      <c r="D679" s="19" t="str">
        <f t="shared" si="170"/>
        <v/>
      </c>
      <c r="E679" s="19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19"/>
      <c r="U679" s="19"/>
      <c r="V679" s="20"/>
      <c r="W679" s="22"/>
      <c r="X679" s="21"/>
      <c r="Y679" s="21"/>
      <c r="Z679" s="23" t="str">
        <f>IF(B679="","",IF(S679&lt;&gt;"","Sevk Edildi",IF(AND(X679&lt;&gt;"",Y679=""),"Reworkte",IF(T679&lt;&gt;"","Kapandı"&amp;IF(COUNT(G679:R679)=0,""," – "&amp;LOOKUP(2,1/(G679:R679=MAX(G679:R679)),{"Tasarım","Ply Cutter","Üretim","Kalite (Üretim sonrası)","Talaşlı","Kalite (Talaşlı sonrası)","Montaj","Kalite (Montaj sonrası)","Boya","Kalite (Boya sonrası)","Yarı Mamül","KM"})),IF(COUNT(G679:R679)=0,"Başlamadı",LOOKUP(2,1/(G679:R679=MAX(G679:R679)),{"Tasarımda","Ply Cutter'da","Üretimde","Kalitede (Üretim sonrası)","Talaşlıda","Kalitede (Talaşlı sonrası)","Montajda","Kalitede (Montaj sonrası)","Boyada","Kalitede (Boya sonrası)","Yarı Mamülde","KM'de"}))))))</f>
        <v/>
      </c>
      <c r="AA679" s="24" t="str">
        <f t="shared" ca="1" si="172"/>
        <v/>
      </c>
      <c r="AB679" s="22"/>
      <c r="AD679" t="str">
        <f>IF(OR($B679="",NOT(ISNUMBER(G679))),"",IF(COUNTIF(H679:$T679,G679)&gt;0,0,IF(COUNTIF($G679:$T679,"&gt;"&amp;G679)=0,"",SMALL($G679:$T679,COUNTIF($G679:$T679,"&lt;="&amp;G679)+1)-G679)))</f>
        <v/>
      </c>
      <c r="AE679" t="str">
        <f>IF(OR($B679="",NOT(ISNUMBER(H679))),"",IF(COUNTIF(I679:$T679,H679)&gt;0,0,IF(COUNTIF($G679:$T679,"&gt;"&amp;H679)=0,"",SMALL($G679:$T679,COUNTIF($G679:$T679,"&lt;="&amp;H679)+1)-H679)))</f>
        <v/>
      </c>
      <c r="AF679" t="str">
        <f>IF(OR($B679="",NOT(ISNUMBER(I679))),"",IF(COUNTIF(J679:$T679,I679)&gt;0,0,IF(COUNTIF($G679:$T679,"&gt;"&amp;I679)=0,"",SMALL($G679:$T679,COUNTIF($G679:$T679,"&lt;="&amp;I679)+1)-I679)))</f>
        <v/>
      </c>
      <c r="AG679" t="str">
        <f>IF(OR($B679="",NOT(ISNUMBER(J679))),"",IF(COUNTIF(K679:$T679,J679)&gt;0,0,IF(COUNTIF($G679:$T679,"&gt;"&amp;J679)=0,"",SMALL($G679:$T679,COUNTIF($G679:$T679,"&lt;="&amp;J679)+1)-J679)))</f>
        <v/>
      </c>
      <c r="AH679" t="str">
        <f>IF(OR($B679="",NOT(ISNUMBER(K679))),"",IF(COUNTIF(L679:$T679,K679)&gt;0,0,IF(COUNTIF($G679:$T679,"&gt;"&amp;K679)=0,"",SMALL($G679:$T679,COUNTIF($G679:$T679,"&lt;="&amp;K679)+1)-K679)))</f>
        <v/>
      </c>
      <c r="AI679" t="str">
        <f>IF(OR($B679="",NOT(ISNUMBER(L679))),"",IF(COUNTIF(M679:$T679,L679)&gt;0,0,IF(COUNTIF($G679:$T679,"&gt;"&amp;L679)=0,"",SMALL($G679:$T679,COUNTIF($G679:$T679,"&lt;="&amp;L679)+1)-L679)))</f>
        <v/>
      </c>
      <c r="AJ679" t="str">
        <f>IF(OR($B679="",NOT(ISNUMBER(M679))),"",IF(COUNTIF(N679:$T679,M679)&gt;0,0,IF(COUNTIF($G679:$T679,"&gt;"&amp;M679)=0,"",SMALL($G679:$T679,COUNTIF($G679:$T679,"&lt;="&amp;M679)+1)-M679)))</f>
        <v/>
      </c>
      <c r="AK679" t="str">
        <f>IF(OR($B679="",NOT(ISNUMBER(N679))),"",IF(COUNTIF(O679:$T679,N679)&gt;0,0,IF(COUNTIF($G679:$T679,"&gt;"&amp;N679)=0,"",SMALL($G679:$T679,COUNTIF($G679:$T679,"&lt;="&amp;N679)+1)-N679)))</f>
        <v/>
      </c>
      <c r="AL679" t="str">
        <f>IF(OR($B679="",NOT(ISNUMBER(O679))),"",IF(COUNTIF(P679:$T679,O679)&gt;0,0,IF(COUNTIF($G679:$T679,"&gt;"&amp;O679)=0,"",SMALL($G679:$T679,COUNTIF($G679:$T679,"&lt;="&amp;O679)+1)-O679)))</f>
        <v/>
      </c>
      <c r="AM679" t="str">
        <f>IF(OR($B679="",NOT(ISNUMBER(P679))),"",IF(COUNTIF(Q679:$T679,P679)&gt;0,0,IF(COUNTIF($G679:$T679,"&gt;"&amp;P679)=0,"",SMALL($G679:$T679,COUNTIF($G679:$T679,"&lt;="&amp;P679)+1)-P679)))</f>
        <v/>
      </c>
      <c r="AN679" t="str">
        <f>IF(OR($B679="",NOT(ISNUMBER(Q679))),"",IF(COUNTIF(R679:$T679,Q679)&gt;0,0,IF(COUNTIF($G679:$T679,"&gt;"&amp;Q679)=0,"",SMALL($G679:$T679,COUNTIF($G679:$T679,"&lt;="&amp;Q679)+1)-Q679)))</f>
        <v/>
      </c>
      <c r="AO679" t="str">
        <f>IF(OR($B679="",NOT(ISNUMBER(R679))),"",IF(COUNTIF(S679:$T679,R679)&gt;0,0,IF(COUNTIF($G679:$T679,"&gt;"&amp;R679)=0,"",SMALL($G679:$T679,COUNTIF($G679:$T679,"&lt;="&amp;R679)+1)-R679)))</f>
        <v/>
      </c>
      <c r="AP679">
        <f t="shared" ca="1" si="173"/>
        <v>0</v>
      </c>
      <c r="AQ679" s="25" t="str">
        <f t="shared" si="174"/>
        <v/>
      </c>
      <c r="AR679" s="25" t="str">
        <f t="shared" si="175"/>
        <v/>
      </c>
      <c r="AS679" s="25" t="str">
        <f t="shared" si="176"/>
        <v/>
      </c>
      <c r="AT679" s="25" t="str">
        <f t="shared" si="177"/>
        <v/>
      </c>
      <c r="AU679" s="25" t="str">
        <f t="shared" si="178"/>
        <v/>
      </c>
      <c r="AV679" s="25" t="str">
        <f t="shared" si="179"/>
        <v/>
      </c>
      <c r="AW679" s="25" t="str">
        <f t="shared" si="180"/>
        <v/>
      </c>
      <c r="AX679" s="25" t="str">
        <f t="shared" si="181"/>
        <v/>
      </c>
      <c r="AY679" s="25" t="str">
        <f t="shared" si="182"/>
        <v/>
      </c>
      <c r="AZ679" s="25" t="str">
        <f t="shared" si="183"/>
        <v/>
      </c>
      <c r="BA679" s="25" t="str">
        <f t="shared" si="184"/>
        <v/>
      </c>
      <c r="BB679" s="25" t="str">
        <f t="shared" si="185"/>
        <v/>
      </c>
      <c r="BC679" s="25" t="str">
        <f t="shared" si="186"/>
        <v/>
      </c>
    </row>
    <row r="680" spans="1:55" x14ac:dyDescent="0.25">
      <c r="A680" s="19" t="str">
        <f t="shared" si="171"/>
        <v/>
      </c>
      <c r="B680" s="19"/>
      <c r="C680" s="20"/>
      <c r="D680" s="19" t="str">
        <f t="shared" si="170"/>
        <v/>
      </c>
      <c r="E680" s="19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19"/>
      <c r="U680" s="19"/>
      <c r="V680" s="20"/>
      <c r="W680" s="22"/>
      <c r="X680" s="21"/>
      <c r="Y680" s="21"/>
      <c r="Z680" s="23" t="str">
        <f>IF(B680="","",IF(S680&lt;&gt;"","Sevk Edildi",IF(AND(X680&lt;&gt;"",Y680=""),"Reworkte",IF(T680&lt;&gt;"","Kapandı"&amp;IF(COUNT(G680:R680)=0,""," – "&amp;LOOKUP(2,1/(G680:R680=MAX(G680:R680)),{"Tasarım","Ply Cutter","Üretim","Kalite (Üretim sonrası)","Talaşlı","Kalite (Talaşlı sonrası)","Montaj","Kalite (Montaj sonrası)","Boya","Kalite (Boya sonrası)","Yarı Mamül","KM"})),IF(COUNT(G680:R680)=0,"Başlamadı",LOOKUP(2,1/(G680:R680=MAX(G680:R680)),{"Tasarımda","Ply Cutter'da","Üretimde","Kalitede (Üretim sonrası)","Talaşlıda","Kalitede (Talaşlı sonrası)","Montajda","Kalitede (Montaj sonrası)","Boyada","Kalitede (Boya sonrası)","Yarı Mamülde","KM'de"}))))))</f>
        <v/>
      </c>
      <c r="AA680" s="24" t="str">
        <f t="shared" ca="1" si="172"/>
        <v/>
      </c>
      <c r="AB680" s="22"/>
      <c r="AD680" t="str">
        <f>IF(OR($B680="",NOT(ISNUMBER(G680))),"",IF(COUNTIF(H680:$T680,G680)&gt;0,0,IF(COUNTIF($G680:$T680,"&gt;"&amp;G680)=0,"",SMALL($G680:$T680,COUNTIF($G680:$T680,"&lt;="&amp;G680)+1)-G680)))</f>
        <v/>
      </c>
      <c r="AE680" t="str">
        <f>IF(OR($B680="",NOT(ISNUMBER(H680))),"",IF(COUNTIF(I680:$T680,H680)&gt;0,0,IF(COUNTIF($G680:$T680,"&gt;"&amp;H680)=0,"",SMALL($G680:$T680,COUNTIF($G680:$T680,"&lt;="&amp;H680)+1)-H680)))</f>
        <v/>
      </c>
      <c r="AF680" t="str">
        <f>IF(OR($B680="",NOT(ISNUMBER(I680))),"",IF(COUNTIF(J680:$T680,I680)&gt;0,0,IF(COUNTIF($G680:$T680,"&gt;"&amp;I680)=0,"",SMALL($G680:$T680,COUNTIF($G680:$T680,"&lt;="&amp;I680)+1)-I680)))</f>
        <v/>
      </c>
      <c r="AG680" t="str">
        <f>IF(OR($B680="",NOT(ISNUMBER(J680))),"",IF(COUNTIF(K680:$T680,J680)&gt;0,0,IF(COUNTIF($G680:$T680,"&gt;"&amp;J680)=0,"",SMALL($G680:$T680,COUNTIF($G680:$T680,"&lt;="&amp;J680)+1)-J680)))</f>
        <v/>
      </c>
      <c r="AH680" t="str">
        <f>IF(OR($B680="",NOT(ISNUMBER(K680))),"",IF(COUNTIF(L680:$T680,K680)&gt;0,0,IF(COUNTIF($G680:$T680,"&gt;"&amp;K680)=0,"",SMALL($G680:$T680,COUNTIF($G680:$T680,"&lt;="&amp;K680)+1)-K680)))</f>
        <v/>
      </c>
      <c r="AI680" t="str">
        <f>IF(OR($B680="",NOT(ISNUMBER(L680))),"",IF(COUNTIF(M680:$T680,L680)&gt;0,0,IF(COUNTIF($G680:$T680,"&gt;"&amp;L680)=0,"",SMALL($G680:$T680,COUNTIF($G680:$T680,"&lt;="&amp;L680)+1)-L680)))</f>
        <v/>
      </c>
      <c r="AJ680" t="str">
        <f>IF(OR($B680="",NOT(ISNUMBER(M680))),"",IF(COUNTIF(N680:$T680,M680)&gt;0,0,IF(COUNTIF($G680:$T680,"&gt;"&amp;M680)=0,"",SMALL($G680:$T680,COUNTIF($G680:$T680,"&lt;="&amp;M680)+1)-M680)))</f>
        <v/>
      </c>
      <c r="AK680" t="str">
        <f>IF(OR($B680="",NOT(ISNUMBER(N680))),"",IF(COUNTIF(O680:$T680,N680)&gt;0,0,IF(COUNTIF($G680:$T680,"&gt;"&amp;N680)=0,"",SMALL($G680:$T680,COUNTIF($G680:$T680,"&lt;="&amp;N680)+1)-N680)))</f>
        <v/>
      </c>
      <c r="AL680" t="str">
        <f>IF(OR($B680="",NOT(ISNUMBER(O680))),"",IF(COUNTIF(P680:$T680,O680)&gt;0,0,IF(COUNTIF($G680:$T680,"&gt;"&amp;O680)=0,"",SMALL($G680:$T680,COUNTIF($G680:$T680,"&lt;="&amp;O680)+1)-O680)))</f>
        <v/>
      </c>
      <c r="AM680" t="str">
        <f>IF(OR($B680="",NOT(ISNUMBER(P680))),"",IF(COUNTIF(Q680:$T680,P680)&gt;0,0,IF(COUNTIF($G680:$T680,"&gt;"&amp;P680)=0,"",SMALL($G680:$T680,COUNTIF($G680:$T680,"&lt;="&amp;P680)+1)-P680)))</f>
        <v/>
      </c>
      <c r="AN680" t="str">
        <f>IF(OR($B680="",NOT(ISNUMBER(Q680))),"",IF(COUNTIF(R680:$T680,Q680)&gt;0,0,IF(COUNTIF($G680:$T680,"&gt;"&amp;Q680)=0,"",SMALL($G680:$T680,COUNTIF($G680:$T680,"&lt;="&amp;Q680)+1)-Q680)))</f>
        <v/>
      </c>
      <c r="AO680" t="str">
        <f>IF(OR($B680="",NOT(ISNUMBER(R680))),"",IF(COUNTIF(S680:$T680,R680)&gt;0,0,IF(COUNTIF($G680:$T680,"&gt;"&amp;R680)=0,"",SMALL($G680:$T680,COUNTIF($G680:$T680,"&lt;="&amp;R680)+1)-R680)))</f>
        <v/>
      </c>
      <c r="AP680">
        <f t="shared" ca="1" si="173"/>
        <v>0</v>
      </c>
      <c r="AQ680" s="25" t="str">
        <f t="shared" si="174"/>
        <v/>
      </c>
      <c r="AR680" s="25" t="str">
        <f t="shared" si="175"/>
        <v/>
      </c>
      <c r="AS680" s="25" t="str">
        <f t="shared" si="176"/>
        <v/>
      </c>
      <c r="AT680" s="25" t="str">
        <f t="shared" si="177"/>
        <v/>
      </c>
      <c r="AU680" s="25" t="str">
        <f t="shared" si="178"/>
        <v/>
      </c>
      <c r="AV680" s="25" t="str">
        <f t="shared" si="179"/>
        <v/>
      </c>
      <c r="AW680" s="25" t="str">
        <f t="shared" si="180"/>
        <v/>
      </c>
      <c r="AX680" s="25" t="str">
        <f t="shared" si="181"/>
        <v/>
      </c>
      <c r="AY680" s="25" t="str">
        <f t="shared" si="182"/>
        <v/>
      </c>
      <c r="AZ680" s="25" t="str">
        <f t="shared" si="183"/>
        <v/>
      </c>
      <c r="BA680" s="25" t="str">
        <f t="shared" si="184"/>
        <v/>
      </c>
      <c r="BB680" s="25" t="str">
        <f t="shared" si="185"/>
        <v/>
      </c>
      <c r="BC680" s="25" t="str">
        <f t="shared" si="186"/>
        <v/>
      </c>
    </row>
    <row r="681" spans="1:55" x14ac:dyDescent="0.25">
      <c r="A681" s="19" t="str">
        <f t="shared" si="171"/>
        <v/>
      </c>
      <c r="B681" s="19"/>
      <c r="C681" s="20"/>
      <c r="D681" s="19" t="str">
        <f t="shared" si="170"/>
        <v/>
      </c>
      <c r="E681" s="19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19"/>
      <c r="U681" s="19"/>
      <c r="V681" s="20"/>
      <c r="W681" s="22"/>
      <c r="X681" s="21"/>
      <c r="Y681" s="21"/>
      <c r="Z681" s="23" t="str">
        <f>IF(B681="","",IF(S681&lt;&gt;"","Sevk Edildi",IF(AND(X681&lt;&gt;"",Y681=""),"Reworkte",IF(T681&lt;&gt;"","Kapandı"&amp;IF(COUNT(G681:R681)=0,""," – "&amp;LOOKUP(2,1/(G681:R681=MAX(G681:R681)),{"Tasarım","Ply Cutter","Üretim","Kalite (Üretim sonrası)","Talaşlı","Kalite (Talaşlı sonrası)","Montaj","Kalite (Montaj sonrası)","Boya","Kalite (Boya sonrası)","Yarı Mamül","KM"})),IF(COUNT(G681:R681)=0,"Başlamadı",LOOKUP(2,1/(G681:R681=MAX(G681:R681)),{"Tasarımda","Ply Cutter'da","Üretimde","Kalitede (Üretim sonrası)","Talaşlıda","Kalitede (Talaşlı sonrası)","Montajda","Kalitede (Montaj sonrası)","Boyada","Kalitede (Boya sonrası)","Yarı Mamülde","KM'de"}))))))</f>
        <v/>
      </c>
      <c r="AA681" s="24" t="str">
        <f t="shared" ca="1" si="172"/>
        <v/>
      </c>
      <c r="AB681" s="22"/>
      <c r="AD681" t="str">
        <f>IF(OR($B681="",NOT(ISNUMBER(G681))),"",IF(COUNTIF(H681:$T681,G681)&gt;0,0,IF(COUNTIF($G681:$T681,"&gt;"&amp;G681)=0,"",SMALL($G681:$T681,COUNTIF($G681:$T681,"&lt;="&amp;G681)+1)-G681)))</f>
        <v/>
      </c>
      <c r="AE681" t="str">
        <f>IF(OR($B681="",NOT(ISNUMBER(H681))),"",IF(COUNTIF(I681:$T681,H681)&gt;0,0,IF(COUNTIF($G681:$T681,"&gt;"&amp;H681)=0,"",SMALL($G681:$T681,COUNTIF($G681:$T681,"&lt;="&amp;H681)+1)-H681)))</f>
        <v/>
      </c>
      <c r="AF681" t="str">
        <f>IF(OR($B681="",NOT(ISNUMBER(I681))),"",IF(COUNTIF(J681:$T681,I681)&gt;0,0,IF(COUNTIF($G681:$T681,"&gt;"&amp;I681)=0,"",SMALL($G681:$T681,COUNTIF($G681:$T681,"&lt;="&amp;I681)+1)-I681)))</f>
        <v/>
      </c>
      <c r="AG681" t="str">
        <f>IF(OR($B681="",NOT(ISNUMBER(J681))),"",IF(COUNTIF(K681:$T681,J681)&gt;0,0,IF(COUNTIF($G681:$T681,"&gt;"&amp;J681)=0,"",SMALL($G681:$T681,COUNTIF($G681:$T681,"&lt;="&amp;J681)+1)-J681)))</f>
        <v/>
      </c>
      <c r="AH681" t="str">
        <f>IF(OR($B681="",NOT(ISNUMBER(K681))),"",IF(COUNTIF(L681:$T681,K681)&gt;0,0,IF(COUNTIF($G681:$T681,"&gt;"&amp;K681)=0,"",SMALL($G681:$T681,COUNTIF($G681:$T681,"&lt;="&amp;K681)+1)-K681)))</f>
        <v/>
      </c>
      <c r="AI681" t="str">
        <f>IF(OR($B681="",NOT(ISNUMBER(L681))),"",IF(COUNTIF(M681:$T681,L681)&gt;0,0,IF(COUNTIF($G681:$T681,"&gt;"&amp;L681)=0,"",SMALL($G681:$T681,COUNTIF($G681:$T681,"&lt;="&amp;L681)+1)-L681)))</f>
        <v/>
      </c>
      <c r="AJ681" t="str">
        <f>IF(OR($B681="",NOT(ISNUMBER(M681))),"",IF(COUNTIF(N681:$T681,M681)&gt;0,0,IF(COUNTIF($G681:$T681,"&gt;"&amp;M681)=0,"",SMALL($G681:$T681,COUNTIF($G681:$T681,"&lt;="&amp;M681)+1)-M681)))</f>
        <v/>
      </c>
      <c r="AK681" t="str">
        <f>IF(OR($B681="",NOT(ISNUMBER(N681))),"",IF(COUNTIF(O681:$T681,N681)&gt;0,0,IF(COUNTIF($G681:$T681,"&gt;"&amp;N681)=0,"",SMALL($G681:$T681,COUNTIF($G681:$T681,"&lt;="&amp;N681)+1)-N681)))</f>
        <v/>
      </c>
      <c r="AL681" t="str">
        <f>IF(OR($B681="",NOT(ISNUMBER(O681))),"",IF(COUNTIF(P681:$T681,O681)&gt;0,0,IF(COUNTIF($G681:$T681,"&gt;"&amp;O681)=0,"",SMALL($G681:$T681,COUNTIF($G681:$T681,"&lt;="&amp;O681)+1)-O681)))</f>
        <v/>
      </c>
      <c r="AM681" t="str">
        <f>IF(OR($B681="",NOT(ISNUMBER(P681))),"",IF(COUNTIF(Q681:$T681,P681)&gt;0,0,IF(COUNTIF($G681:$T681,"&gt;"&amp;P681)=0,"",SMALL($G681:$T681,COUNTIF($G681:$T681,"&lt;="&amp;P681)+1)-P681)))</f>
        <v/>
      </c>
      <c r="AN681" t="str">
        <f>IF(OR($B681="",NOT(ISNUMBER(Q681))),"",IF(COUNTIF(R681:$T681,Q681)&gt;0,0,IF(COUNTIF($G681:$T681,"&gt;"&amp;Q681)=0,"",SMALL($G681:$T681,COUNTIF($G681:$T681,"&lt;="&amp;Q681)+1)-Q681)))</f>
        <v/>
      </c>
      <c r="AO681" t="str">
        <f>IF(OR($B681="",NOT(ISNUMBER(R681))),"",IF(COUNTIF(S681:$T681,R681)&gt;0,0,IF(COUNTIF($G681:$T681,"&gt;"&amp;R681)=0,"",SMALL($G681:$T681,COUNTIF($G681:$T681,"&lt;="&amp;R681)+1)-R681)))</f>
        <v/>
      </c>
      <c r="AP681">
        <f t="shared" ca="1" si="173"/>
        <v>0</v>
      </c>
      <c r="AQ681" s="25" t="str">
        <f t="shared" si="174"/>
        <v/>
      </c>
      <c r="AR681" s="25" t="str">
        <f t="shared" si="175"/>
        <v/>
      </c>
      <c r="AS681" s="25" t="str">
        <f t="shared" si="176"/>
        <v/>
      </c>
      <c r="AT681" s="25" t="str">
        <f t="shared" si="177"/>
        <v/>
      </c>
      <c r="AU681" s="25" t="str">
        <f t="shared" si="178"/>
        <v/>
      </c>
      <c r="AV681" s="25" t="str">
        <f t="shared" si="179"/>
        <v/>
      </c>
      <c r="AW681" s="25" t="str">
        <f t="shared" si="180"/>
        <v/>
      </c>
      <c r="AX681" s="25" t="str">
        <f t="shared" si="181"/>
        <v/>
      </c>
      <c r="AY681" s="25" t="str">
        <f t="shared" si="182"/>
        <v/>
      </c>
      <c r="AZ681" s="25" t="str">
        <f t="shared" si="183"/>
        <v/>
      </c>
      <c r="BA681" s="25" t="str">
        <f t="shared" si="184"/>
        <v/>
      </c>
      <c r="BB681" s="25" t="str">
        <f t="shared" si="185"/>
        <v/>
      </c>
      <c r="BC681" s="25" t="str">
        <f t="shared" si="186"/>
        <v/>
      </c>
    </row>
    <row r="682" spans="1:55" x14ac:dyDescent="0.25">
      <c r="A682" s="19" t="str">
        <f t="shared" si="171"/>
        <v/>
      </c>
      <c r="B682" s="19"/>
      <c r="C682" s="20"/>
      <c r="D682" s="19" t="str">
        <f t="shared" si="170"/>
        <v/>
      </c>
      <c r="E682" s="19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19"/>
      <c r="U682" s="19"/>
      <c r="V682" s="20"/>
      <c r="W682" s="22"/>
      <c r="X682" s="21"/>
      <c r="Y682" s="21"/>
      <c r="Z682" s="23" t="str">
        <f>IF(B682="","",IF(S682&lt;&gt;"","Sevk Edildi",IF(AND(X682&lt;&gt;"",Y682=""),"Reworkte",IF(T682&lt;&gt;"","Kapandı"&amp;IF(COUNT(G682:R682)=0,""," – "&amp;LOOKUP(2,1/(G682:R682=MAX(G682:R682)),{"Tasarım","Ply Cutter","Üretim","Kalite (Üretim sonrası)","Talaşlı","Kalite (Talaşlı sonrası)","Montaj","Kalite (Montaj sonrası)","Boya","Kalite (Boya sonrası)","Yarı Mamül","KM"})),IF(COUNT(G682:R682)=0,"Başlamadı",LOOKUP(2,1/(G682:R682=MAX(G682:R682)),{"Tasarımda","Ply Cutter'da","Üretimde","Kalitede (Üretim sonrası)","Talaşlıda","Kalitede (Talaşlı sonrası)","Montajda","Kalitede (Montaj sonrası)","Boyada","Kalitede (Boya sonrası)","Yarı Mamülde","KM'de"}))))))</f>
        <v/>
      </c>
      <c r="AA682" s="24" t="str">
        <f t="shared" ca="1" si="172"/>
        <v/>
      </c>
      <c r="AB682" s="22"/>
      <c r="AD682" t="str">
        <f>IF(OR($B682="",NOT(ISNUMBER(G682))),"",IF(COUNTIF(H682:$T682,G682)&gt;0,0,IF(COUNTIF($G682:$T682,"&gt;"&amp;G682)=0,"",SMALL($G682:$T682,COUNTIF($G682:$T682,"&lt;="&amp;G682)+1)-G682)))</f>
        <v/>
      </c>
      <c r="AE682" t="str">
        <f>IF(OR($B682="",NOT(ISNUMBER(H682))),"",IF(COUNTIF(I682:$T682,H682)&gt;0,0,IF(COUNTIF($G682:$T682,"&gt;"&amp;H682)=0,"",SMALL($G682:$T682,COUNTIF($G682:$T682,"&lt;="&amp;H682)+1)-H682)))</f>
        <v/>
      </c>
      <c r="AF682" t="str">
        <f>IF(OR($B682="",NOT(ISNUMBER(I682))),"",IF(COUNTIF(J682:$T682,I682)&gt;0,0,IF(COUNTIF($G682:$T682,"&gt;"&amp;I682)=0,"",SMALL($G682:$T682,COUNTIF($G682:$T682,"&lt;="&amp;I682)+1)-I682)))</f>
        <v/>
      </c>
      <c r="AG682" t="str">
        <f>IF(OR($B682="",NOT(ISNUMBER(J682))),"",IF(COUNTIF(K682:$T682,J682)&gt;0,0,IF(COUNTIF($G682:$T682,"&gt;"&amp;J682)=0,"",SMALL($G682:$T682,COUNTIF($G682:$T682,"&lt;="&amp;J682)+1)-J682)))</f>
        <v/>
      </c>
      <c r="AH682" t="str">
        <f>IF(OR($B682="",NOT(ISNUMBER(K682))),"",IF(COUNTIF(L682:$T682,K682)&gt;0,0,IF(COUNTIF($G682:$T682,"&gt;"&amp;K682)=0,"",SMALL($G682:$T682,COUNTIF($G682:$T682,"&lt;="&amp;K682)+1)-K682)))</f>
        <v/>
      </c>
      <c r="AI682" t="str">
        <f>IF(OR($B682="",NOT(ISNUMBER(L682))),"",IF(COUNTIF(M682:$T682,L682)&gt;0,0,IF(COUNTIF($G682:$T682,"&gt;"&amp;L682)=0,"",SMALL($G682:$T682,COUNTIF($G682:$T682,"&lt;="&amp;L682)+1)-L682)))</f>
        <v/>
      </c>
      <c r="AJ682" t="str">
        <f>IF(OR($B682="",NOT(ISNUMBER(M682))),"",IF(COUNTIF(N682:$T682,M682)&gt;0,0,IF(COUNTIF($G682:$T682,"&gt;"&amp;M682)=0,"",SMALL($G682:$T682,COUNTIF($G682:$T682,"&lt;="&amp;M682)+1)-M682)))</f>
        <v/>
      </c>
      <c r="AK682" t="str">
        <f>IF(OR($B682="",NOT(ISNUMBER(N682))),"",IF(COUNTIF(O682:$T682,N682)&gt;0,0,IF(COUNTIF($G682:$T682,"&gt;"&amp;N682)=0,"",SMALL($G682:$T682,COUNTIF($G682:$T682,"&lt;="&amp;N682)+1)-N682)))</f>
        <v/>
      </c>
      <c r="AL682" t="str">
        <f>IF(OR($B682="",NOT(ISNUMBER(O682))),"",IF(COUNTIF(P682:$T682,O682)&gt;0,0,IF(COUNTIF($G682:$T682,"&gt;"&amp;O682)=0,"",SMALL($G682:$T682,COUNTIF($G682:$T682,"&lt;="&amp;O682)+1)-O682)))</f>
        <v/>
      </c>
      <c r="AM682" t="str">
        <f>IF(OR($B682="",NOT(ISNUMBER(P682))),"",IF(COUNTIF(Q682:$T682,P682)&gt;0,0,IF(COUNTIF($G682:$T682,"&gt;"&amp;P682)=0,"",SMALL($G682:$T682,COUNTIF($G682:$T682,"&lt;="&amp;P682)+1)-P682)))</f>
        <v/>
      </c>
      <c r="AN682" t="str">
        <f>IF(OR($B682="",NOT(ISNUMBER(Q682))),"",IF(COUNTIF(R682:$T682,Q682)&gt;0,0,IF(COUNTIF($G682:$T682,"&gt;"&amp;Q682)=0,"",SMALL($G682:$T682,COUNTIF($G682:$T682,"&lt;="&amp;Q682)+1)-Q682)))</f>
        <v/>
      </c>
      <c r="AO682" t="str">
        <f>IF(OR($B682="",NOT(ISNUMBER(R682))),"",IF(COUNTIF(S682:$T682,R682)&gt;0,0,IF(COUNTIF($G682:$T682,"&gt;"&amp;R682)=0,"",SMALL($G682:$T682,COUNTIF($G682:$T682,"&lt;="&amp;R682)+1)-R682)))</f>
        <v/>
      </c>
      <c r="AP682">
        <f t="shared" ca="1" si="173"/>
        <v>0</v>
      </c>
      <c r="AQ682" s="25" t="str">
        <f t="shared" si="174"/>
        <v/>
      </c>
      <c r="AR682" s="25" t="str">
        <f t="shared" si="175"/>
        <v/>
      </c>
      <c r="AS682" s="25" t="str">
        <f t="shared" si="176"/>
        <v/>
      </c>
      <c r="AT682" s="25" t="str">
        <f t="shared" si="177"/>
        <v/>
      </c>
      <c r="AU682" s="25" t="str">
        <f t="shared" si="178"/>
        <v/>
      </c>
      <c r="AV682" s="25" t="str">
        <f t="shared" si="179"/>
        <v/>
      </c>
      <c r="AW682" s="25" t="str">
        <f t="shared" si="180"/>
        <v/>
      </c>
      <c r="AX682" s="25" t="str">
        <f t="shared" si="181"/>
        <v/>
      </c>
      <c r="AY682" s="25" t="str">
        <f t="shared" si="182"/>
        <v/>
      </c>
      <c r="AZ682" s="25" t="str">
        <f t="shared" si="183"/>
        <v/>
      </c>
      <c r="BA682" s="25" t="str">
        <f t="shared" si="184"/>
        <v/>
      </c>
      <c r="BB682" s="25" t="str">
        <f t="shared" si="185"/>
        <v/>
      </c>
      <c r="BC682" s="25" t="str">
        <f t="shared" si="186"/>
        <v/>
      </c>
    </row>
    <row r="683" spans="1:55" x14ac:dyDescent="0.25">
      <c r="A683" s="19" t="str">
        <f t="shared" si="171"/>
        <v/>
      </c>
      <c r="B683" s="19"/>
      <c r="C683" s="20"/>
      <c r="D683" s="19" t="str">
        <f t="shared" si="170"/>
        <v/>
      </c>
      <c r="E683" s="19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19"/>
      <c r="U683" s="19"/>
      <c r="V683" s="20"/>
      <c r="W683" s="22"/>
      <c r="X683" s="21"/>
      <c r="Y683" s="21"/>
      <c r="Z683" s="23" t="str">
        <f>IF(B683="","",IF(S683&lt;&gt;"","Sevk Edildi",IF(AND(X683&lt;&gt;"",Y683=""),"Reworkte",IF(T683&lt;&gt;"","Kapandı"&amp;IF(COUNT(G683:R683)=0,""," – "&amp;LOOKUP(2,1/(G683:R683=MAX(G683:R683)),{"Tasarım","Ply Cutter","Üretim","Kalite (Üretim sonrası)","Talaşlı","Kalite (Talaşlı sonrası)","Montaj","Kalite (Montaj sonrası)","Boya","Kalite (Boya sonrası)","Yarı Mamül","KM"})),IF(COUNT(G683:R683)=0,"Başlamadı",LOOKUP(2,1/(G683:R683=MAX(G683:R683)),{"Tasarımda","Ply Cutter'da","Üretimde","Kalitede (Üretim sonrası)","Talaşlıda","Kalitede (Talaşlı sonrası)","Montajda","Kalitede (Montaj sonrası)","Boyada","Kalitede (Boya sonrası)","Yarı Mamülde","KM'de"}))))))</f>
        <v/>
      </c>
      <c r="AA683" s="24" t="str">
        <f t="shared" ca="1" si="172"/>
        <v/>
      </c>
      <c r="AB683" s="22"/>
      <c r="AD683" t="str">
        <f>IF(OR($B683="",NOT(ISNUMBER(G683))),"",IF(COUNTIF(H683:$T683,G683)&gt;0,0,IF(COUNTIF($G683:$T683,"&gt;"&amp;G683)=0,"",SMALL($G683:$T683,COUNTIF($G683:$T683,"&lt;="&amp;G683)+1)-G683)))</f>
        <v/>
      </c>
      <c r="AE683" t="str">
        <f>IF(OR($B683="",NOT(ISNUMBER(H683))),"",IF(COUNTIF(I683:$T683,H683)&gt;0,0,IF(COUNTIF($G683:$T683,"&gt;"&amp;H683)=0,"",SMALL($G683:$T683,COUNTIF($G683:$T683,"&lt;="&amp;H683)+1)-H683)))</f>
        <v/>
      </c>
      <c r="AF683" t="str">
        <f>IF(OR($B683="",NOT(ISNUMBER(I683))),"",IF(COUNTIF(J683:$T683,I683)&gt;0,0,IF(COUNTIF($G683:$T683,"&gt;"&amp;I683)=0,"",SMALL($G683:$T683,COUNTIF($G683:$T683,"&lt;="&amp;I683)+1)-I683)))</f>
        <v/>
      </c>
      <c r="AG683" t="str">
        <f>IF(OR($B683="",NOT(ISNUMBER(J683))),"",IF(COUNTIF(K683:$T683,J683)&gt;0,0,IF(COUNTIF($G683:$T683,"&gt;"&amp;J683)=0,"",SMALL($G683:$T683,COUNTIF($G683:$T683,"&lt;="&amp;J683)+1)-J683)))</f>
        <v/>
      </c>
      <c r="AH683" t="str">
        <f>IF(OR($B683="",NOT(ISNUMBER(K683))),"",IF(COUNTIF(L683:$T683,K683)&gt;0,0,IF(COUNTIF($G683:$T683,"&gt;"&amp;K683)=0,"",SMALL($G683:$T683,COUNTIF($G683:$T683,"&lt;="&amp;K683)+1)-K683)))</f>
        <v/>
      </c>
      <c r="AI683" t="str">
        <f>IF(OR($B683="",NOT(ISNUMBER(L683))),"",IF(COUNTIF(M683:$T683,L683)&gt;0,0,IF(COUNTIF($G683:$T683,"&gt;"&amp;L683)=0,"",SMALL($G683:$T683,COUNTIF($G683:$T683,"&lt;="&amp;L683)+1)-L683)))</f>
        <v/>
      </c>
      <c r="AJ683" t="str">
        <f>IF(OR($B683="",NOT(ISNUMBER(M683))),"",IF(COUNTIF(N683:$T683,M683)&gt;0,0,IF(COUNTIF($G683:$T683,"&gt;"&amp;M683)=0,"",SMALL($G683:$T683,COUNTIF($G683:$T683,"&lt;="&amp;M683)+1)-M683)))</f>
        <v/>
      </c>
      <c r="AK683" t="str">
        <f>IF(OR($B683="",NOT(ISNUMBER(N683))),"",IF(COUNTIF(O683:$T683,N683)&gt;0,0,IF(COUNTIF($G683:$T683,"&gt;"&amp;N683)=0,"",SMALL($G683:$T683,COUNTIF($G683:$T683,"&lt;="&amp;N683)+1)-N683)))</f>
        <v/>
      </c>
      <c r="AL683" t="str">
        <f>IF(OR($B683="",NOT(ISNUMBER(O683))),"",IF(COUNTIF(P683:$T683,O683)&gt;0,0,IF(COUNTIF($G683:$T683,"&gt;"&amp;O683)=0,"",SMALL($G683:$T683,COUNTIF($G683:$T683,"&lt;="&amp;O683)+1)-O683)))</f>
        <v/>
      </c>
      <c r="AM683" t="str">
        <f>IF(OR($B683="",NOT(ISNUMBER(P683))),"",IF(COUNTIF(Q683:$T683,P683)&gt;0,0,IF(COUNTIF($G683:$T683,"&gt;"&amp;P683)=0,"",SMALL($G683:$T683,COUNTIF($G683:$T683,"&lt;="&amp;P683)+1)-P683)))</f>
        <v/>
      </c>
      <c r="AN683" t="str">
        <f>IF(OR($B683="",NOT(ISNUMBER(Q683))),"",IF(COUNTIF(R683:$T683,Q683)&gt;0,0,IF(COUNTIF($G683:$T683,"&gt;"&amp;Q683)=0,"",SMALL($G683:$T683,COUNTIF($G683:$T683,"&lt;="&amp;Q683)+1)-Q683)))</f>
        <v/>
      </c>
      <c r="AO683" t="str">
        <f>IF(OR($B683="",NOT(ISNUMBER(R683))),"",IF(COUNTIF(S683:$T683,R683)&gt;0,0,IF(COUNTIF($G683:$T683,"&gt;"&amp;R683)=0,"",SMALL($G683:$T683,COUNTIF($G683:$T683,"&lt;="&amp;R683)+1)-R683)))</f>
        <v/>
      </c>
      <c r="AP683">
        <f t="shared" ca="1" si="173"/>
        <v>0</v>
      </c>
      <c r="AQ683" s="25" t="str">
        <f t="shared" si="174"/>
        <v/>
      </c>
      <c r="AR683" s="25" t="str">
        <f t="shared" si="175"/>
        <v/>
      </c>
      <c r="AS683" s="25" t="str">
        <f t="shared" si="176"/>
        <v/>
      </c>
      <c r="AT683" s="25" t="str">
        <f t="shared" si="177"/>
        <v/>
      </c>
      <c r="AU683" s="25" t="str">
        <f t="shared" si="178"/>
        <v/>
      </c>
      <c r="AV683" s="25" t="str">
        <f t="shared" si="179"/>
        <v/>
      </c>
      <c r="AW683" s="25" t="str">
        <f t="shared" si="180"/>
        <v/>
      </c>
      <c r="AX683" s="25" t="str">
        <f t="shared" si="181"/>
        <v/>
      </c>
      <c r="AY683" s="25" t="str">
        <f t="shared" si="182"/>
        <v/>
      </c>
      <c r="AZ683" s="25" t="str">
        <f t="shared" si="183"/>
        <v/>
      </c>
      <c r="BA683" s="25" t="str">
        <f t="shared" si="184"/>
        <v/>
      </c>
      <c r="BB683" s="25" t="str">
        <f t="shared" si="185"/>
        <v/>
      </c>
      <c r="BC683" s="25" t="str">
        <f t="shared" si="186"/>
        <v/>
      </c>
    </row>
    <row r="684" spans="1:55" x14ac:dyDescent="0.25">
      <c r="A684" s="19" t="str">
        <f t="shared" si="171"/>
        <v/>
      </c>
      <c r="B684" s="19"/>
      <c r="C684" s="20"/>
      <c r="D684" s="19" t="str">
        <f t="shared" si="170"/>
        <v/>
      </c>
      <c r="E684" s="19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19"/>
      <c r="U684" s="19"/>
      <c r="V684" s="20"/>
      <c r="W684" s="22"/>
      <c r="X684" s="21"/>
      <c r="Y684" s="21"/>
      <c r="Z684" s="23" t="str">
        <f>IF(B684="","",IF(S684&lt;&gt;"","Sevk Edildi",IF(AND(X684&lt;&gt;"",Y684=""),"Reworkte",IF(T684&lt;&gt;"","Kapandı"&amp;IF(COUNT(G684:R684)=0,""," – "&amp;LOOKUP(2,1/(G684:R684=MAX(G684:R684)),{"Tasarım","Ply Cutter","Üretim","Kalite (Üretim sonrası)","Talaşlı","Kalite (Talaşlı sonrası)","Montaj","Kalite (Montaj sonrası)","Boya","Kalite (Boya sonrası)","Yarı Mamül","KM"})),IF(COUNT(G684:R684)=0,"Başlamadı",LOOKUP(2,1/(G684:R684=MAX(G684:R684)),{"Tasarımda","Ply Cutter'da","Üretimde","Kalitede (Üretim sonrası)","Talaşlıda","Kalitede (Talaşlı sonrası)","Montajda","Kalitede (Montaj sonrası)","Boyada","Kalitede (Boya sonrası)","Yarı Mamülde","KM'de"}))))))</f>
        <v/>
      </c>
      <c r="AA684" s="24" t="str">
        <f t="shared" ca="1" si="172"/>
        <v/>
      </c>
      <c r="AB684" s="22"/>
      <c r="AD684" t="str">
        <f>IF(OR($B684="",NOT(ISNUMBER(G684))),"",IF(COUNTIF(H684:$T684,G684)&gt;0,0,IF(COUNTIF($G684:$T684,"&gt;"&amp;G684)=0,"",SMALL($G684:$T684,COUNTIF($G684:$T684,"&lt;="&amp;G684)+1)-G684)))</f>
        <v/>
      </c>
      <c r="AE684" t="str">
        <f>IF(OR($B684="",NOT(ISNUMBER(H684))),"",IF(COUNTIF(I684:$T684,H684)&gt;0,0,IF(COUNTIF($G684:$T684,"&gt;"&amp;H684)=0,"",SMALL($G684:$T684,COUNTIF($G684:$T684,"&lt;="&amp;H684)+1)-H684)))</f>
        <v/>
      </c>
      <c r="AF684" t="str">
        <f>IF(OR($B684="",NOT(ISNUMBER(I684))),"",IF(COUNTIF(J684:$T684,I684)&gt;0,0,IF(COUNTIF($G684:$T684,"&gt;"&amp;I684)=0,"",SMALL($G684:$T684,COUNTIF($G684:$T684,"&lt;="&amp;I684)+1)-I684)))</f>
        <v/>
      </c>
      <c r="AG684" t="str">
        <f>IF(OR($B684="",NOT(ISNUMBER(J684))),"",IF(COUNTIF(K684:$T684,J684)&gt;0,0,IF(COUNTIF($G684:$T684,"&gt;"&amp;J684)=0,"",SMALL($G684:$T684,COUNTIF($G684:$T684,"&lt;="&amp;J684)+1)-J684)))</f>
        <v/>
      </c>
      <c r="AH684" t="str">
        <f>IF(OR($B684="",NOT(ISNUMBER(K684))),"",IF(COUNTIF(L684:$T684,K684)&gt;0,0,IF(COUNTIF($G684:$T684,"&gt;"&amp;K684)=0,"",SMALL($G684:$T684,COUNTIF($G684:$T684,"&lt;="&amp;K684)+1)-K684)))</f>
        <v/>
      </c>
      <c r="AI684" t="str">
        <f>IF(OR($B684="",NOT(ISNUMBER(L684))),"",IF(COUNTIF(M684:$T684,L684)&gt;0,0,IF(COUNTIF($G684:$T684,"&gt;"&amp;L684)=0,"",SMALL($G684:$T684,COUNTIF($G684:$T684,"&lt;="&amp;L684)+1)-L684)))</f>
        <v/>
      </c>
      <c r="AJ684" t="str">
        <f>IF(OR($B684="",NOT(ISNUMBER(M684))),"",IF(COUNTIF(N684:$T684,M684)&gt;0,0,IF(COUNTIF($G684:$T684,"&gt;"&amp;M684)=0,"",SMALL($G684:$T684,COUNTIF($G684:$T684,"&lt;="&amp;M684)+1)-M684)))</f>
        <v/>
      </c>
      <c r="AK684" t="str">
        <f>IF(OR($B684="",NOT(ISNUMBER(N684))),"",IF(COUNTIF(O684:$T684,N684)&gt;0,0,IF(COUNTIF($G684:$T684,"&gt;"&amp;N684)=0,"",SMALL($G684:$T684,COUNTIF($G684:$T684,"&lt;="&amp;N684)+1)-N684)))</f>
        <v/>
      </c>
      <c r="AL684" t="str">
        <f>IF(OR($B684="",NOT(ISNUMBER(O684))),"",IF(COUNTIF(P684:$T684,O684)&gt;0,0,IF(COUNTIF($G684:$T684,"&gt;"&amp;O684)=0,"",SMALL($G684:$T684,COUNTIF($G684:$T684,"&lt;="&amp;O684)+1)-O684)))</f>
        <v/>
      </c>
      <c r="AM684" t="str">
        <f>IF(OR($B684="",NOT(ISNUMBER(P684))),"",IF(COUNTIF(Q684:$T684,P684)&gt;0,0,IF(COUNTIF($G684:$T684,"&gt;"&amp;P684)=0,"",SMALL($G684:$T684,COUNTIF($G684:$T684,"&lt;="&amp;P684)+1)-P684)))</f>
        <v/>
      </c>
      <c r="AN684" t="str">
        <f>IF(OR($B684="",NOT(ISNUMBER(Q684))),"",IF(COUNTIF(R684:$T684,Q684)&gt;0,0,IF(COUNTIF($G684:$T684,"&gt;"&amp;Q684)=0,"",SMALL($G684:$T684,COUNTIF($G684:$T684,"&lt;="&amp;Q684)+1)-Q684)))</f>
        <v/>
      </c>
      <c r="AO684" t="str">
        <f>IF(OR($B684="",NOT(ISNUMBER(R684))),"",IF(COUNTIF(S684:$T684,R684)&gt;0,0,IF(COUNTIF($G684:$T684,"&gt;"&amp;R684)=0,"",SMALL($G684:$T684,COUNTIF($G684:$T684,"&lt;="&amp;R684)+1)-R684)))</f>
        <v/>
      </c>
      <c r="AP684">
        <f t="shared" ca="1" si="173"/>
        <v>0</v>
      </c>
      <c r="AQ684" s="25" t="str">
        <f t="shared" si="174"/>
        <v/>
      </c>
      <c r="AR684" s="25" t="str">
        <f t="shared" si="175"/>
        <v/>
      </c>
      <c r="AS684" s="25" t="str">
        <f t="shared" si="176"/>
        <v/>
      </c>
      <c r="AT684" s="25" t="str">
        <f t="shared" si="177"/>
        <v/>
      </c>
      <c r="AU684" s="25" t="str">
        <f t="shared" si="178"/>
        <v/>
      </c>
      <c r="AV684" s="25" t="str">
        <f t="shared" si="179"/>
        <v/>
      </c>
      <c r="AW684" s="25" t="str">
        <f t="shared" si="180"/>
        <v/>
      </c>
      <c r="AX684" s="25" t="str">
        <f t="shared" si="181"/>
        <v/>
      </c>
      <c r="AY684" s="25" t="str">
        <f t="shared" si="182"/>
        <v/>
      </c>
      <c r="AZ684" s="25" t="str">
        <f t="shared" si="183"/>
        <v/>
      </c>
      <c r="BA684" s="25" t="str">
        <f t="shared" si="184"/>
        <v/>
      </c>
      <c r="BB684" s="25" t="str">
        <f t="shared" si="185"/>
        <v/>
      </c>
      <c r="BC684" s="25" t="str">
        <f t="shared" si="186"/>
        <v/>
      </c>
    </row>
    <row r="685" spans="1:55" x14ac:dyDescent="0.25">
      <c r="A685" s="19" t="str">
        <f t="shared" si="171"/>
        <v/>
      </c>
      <c r="B685" s="19"/>
      <c r="C685" s="20"/>
      <c r="D685" s="19" t="str">
        <f t="shared" si="170"/>
        <v/>
      </c>
      <c r="E685" s="19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19"/>
      <c r="U685" s="19"/>
      <c r="V685" s="20"/>
      <c r="W685" s="22"/>
      <c r="X685" s="21"/>
      <c r="Y685" s="21"/>
      <c r="Z685" s="23" t="str">
        <f>IF(B685="","",IF(S685&lt;&gt;"","Sevk Edildi",IF(AND(X685&lt;&gt;"",Y685=""),"Reworkte",IF(T685&lt;&gt;"","Kapandı"&amp;IF(COUNT(G685:R685)=0,""," – "&amp;LOOKUP(2,1/(G685:R685=MAX(G685:R685)),{"Tasarım","Ply Cutter","Üretim","Kalite (Üretim sonrası)","Talaşlı","Kalite (Talaşlı sonrası)","Montaj","Kalite (Montaj sonrası)","Boya","Kalite (Boya sonrası)","Yarı Mamül","KM"})),IF(COUNT(G685:R685)=0,"Başlamadı",LOOKUP(2,1/(G685:R685=MAX(G685:R685)),{"Tasarımda","Ply Cutter'da","Üretimde","Kalitede (Üretim sonrası)","Talaşlıda","Kalitede (Talaşlı sonrası)","Montajda","Kalitede (Montaj sonrası)","Boyada","Kalitede (Boya sonrası)","Yarı Mamülde","KM'de"}))))))</f>
        <v/>
      </c>
      <c r="AA685" s="24" t="str">
        <f t="shared" ca="1" si="172"/>
        <v/>
      </c>
      <c r="AB685" s="22"/>
      <c r="AD685" t="str">
        <f>IF(OR($B685="",NOT(ISNUMBER(G685))),"",IF(COUNTIF(H685:$T685,G685)&gt;0,0,IF(COUNTIF($G685:$T685,"&gt;"&amp;G685)=0,"",SMALL($G685:$T685,COUNTIF($G685:$T685,"&lt;="&amp;G685)+1)-G685)))</f>
        <v/>
      </c>
      <c r="AE685" t="str">
        <f>IF(OR($B685="",NOT(ISNUMBER(H685))),"",IF(COUNTIF(I685:$T685,H685)&gt;0,0,IF(COUNTIF($G685:$T685,"&gt;"&amp;H685)=0,"",SMALL($G685:$T685,COUNTIF($G685:$T685,"&lt;="&amp;H685)+1)-H685)))</f>
        <v/>
      </c>
      <c r="AF685" t="str">
        <f>IF(OR($B685="",NOT(ISNUMBER(I685))),"",IF(COUNTIF(J685:$T685,I685)&gt;0,0,IF(COUNTIF($G685:$T685,"&gt;"&amp;I685)=0,"",SMALL($G685:$T685,COUNTIF($G685:$T685,"&lt;="&amp;I685)+1)-I685)))</f>
        <v/>
      </c>
      <c r="AG685" t="str">
        <f>IF(OR($B685="",NOT(ISNUMBER(J685))),"",IF(COUNTIF(K685:$T685,J685)&gt;0,0,IF(COUNTIF($G685:$T685,"&gt;"&amp;J685)=0,"",SMALL($G685:$T685,COUNTIF($G685:$T685,"&lt;="&amp;J685)+1)-J685)))</f>
        <v/>
      </c>
      <c r="AH685" t="str">
        <f>IF(OR($B685="",NOT(ISNUMBER(K685))),"",IF(COUNTIF(L685:$T685,K685)&gt;0,0,IF(COUNTIF($G685:$T685,"&gt;"&amp;K685)=0,"",SMALL($G685:$T685,COUNTIF($G685:$T685,"&lt;="&amp;K685)+1)-K685)))</f>
        <v/>
      </c>
      <c r="AI685" t="str">
        <f>IF(OR($B685="",NOT(ISNUMBER(L685))),"",IF(COUNTIF(M685:$T685,L685)&gt;0,0,IF(COUNTIF($G685:$T685,"&gt;"&amp;L685)=0,"",SMALL($G685:$T685,COUNTIF($G685:$T685,"&lt;="&amp;L685)+1)-L685)))</f>
        <v/>
      </c>
      <c r="AJ685" t="str">
        <f>IF(OR($B685="",NOT(ISNUMBER(M685))),"",IF(COUNTIF(N685:$T685,M685)&gt;0,0,IF(COUNTIF($G685:$T685,"&gt;"&amp;M685)=0,"",SMALL($G685:$T685,COUNTIF($G685:$T685,"&lt;="&amp;M685)+1)-M685)))</f>
        <v/>
      </c>
      <c r="AK685" t="str">
        <f>IF(OR($B685="",NOT(ISNUMBER(N685))),"",IF(COUNTIF(O685:$T685,N685)&gt;0,0,IF(COUNTIF($G685:$T685,"&gt;"&amp;N685)=0,"",SMALL($G685:$T685,COUNTIF($G685:$T685,"&lt;="&amp;N685)+1)-N685)))</f>
        <v/>
      </c>
      <c r="AL685" t="str">
        <f>IF(OR($B685="",NOT(ISNUMBER(O685))),"",IF(COUNTIF(P685:$T685,O685)&gt;0,0,IF(COUNTIF($G685:$T685,"&gt;"&amp;O685)=0,"",SMALL($G685:$T685,COUNTIF($G685:$T685,"&lt;="&amp;O685)+1)-O685)))</f>
        <v/>
      </c>
      <c r="AM685" t="str">
        <f>IF(OR($B685="",NOT(ISNUMBER(P685))),"",IF(COUNTIF(Q685:$T685,P685)&gt;0,0,IF(COUNTIF($G685:$T685,"&gt;"&amp;P685)=0,"",SMALL($G685:$T685,COUNTIF($G685:$T685,"&lt;="&amp;P685)+1)-P685)))</f>
        <v/>
      </c>
      <c r="AN685" t="str">
        <f>IF(OR($B685="",NOT(ISNUMBER(Q685))),"",IF(COUNTIF(R685:$T685,Q685)&gt;0,0,IF(COUNTIF($G685:$T685,"&gt;"&amp;Q685)=0,"",SMALL($G685:$T685,COUNTIF($G685:$T685,"&lt;="&amp;Q685)+1)-Q685)))</f>
        <v/>
      </c>
      <c r="AO685" t="str">
        <f>IF(OR($B685="",NOT(ISNUMBER(R685))),"",IF(COUNTIF(S685:$T685,R685)&gt;0,0,IF(COUNTIF($G685:$T685,"&gt;"&amp;R685)=0,"",SMALL($G685:$T685,COUNTIF($G685:$T685,"&lt;="&amp;R685)+1)-R685)))</f>
        <v/>
      </c>
      <c r="AP685">
        <f t="shared" ca="1" si="173"/>
        <v>0</v>
      </c>
      <c r="AQ685" s="25" t="str">
        <f t="shared" si="174"/>
        <v/>
      </c>
      <c r="AR685" s="25" t="str">
        <f t="shared" si="175"/>
        <v/>
      </c>
      <c r="AS685" s="25" t="str">
        <f t="shared" si="176"/>
        <v/>
      </c>
      <c r="AT685" s="25" t="str">
        <f t="shared" si="177"/>
        <v/>
      </c>
      <c r="AU685" s="25" t="str">
        <f t="shared" si="178"/>
        <v/>
      </c>
      <c r="AV685" s="25" t="str">
        <f t="shared" si="179"/>
        <v/>
      </c>
      <c r="AW685" s="25" t="str">
        <f t="shared" si="180"/>
        <v/>
      </c>
      <c r="AX685" s="25" t="str">
        <f t="shared" si="181"/>
        <v/>
      </c>
      <c r="AY685" s="25" t="str">
        <f t="shared" si="182"/>
        <v/>
      </c>
      <c r="AZ685" s="25" t="str">
        <f t="shared" si="183"/>
        <v/>
      </c>
      <c r="BA685" s="25" t="str">
        <f t="shared" si="184"/>
        <v/>
      </c>
      <c r="BB685" s="25" t="str">
        <f t="shared" si="185"/>
        <v/>
      </c>
      <c r="BC685" s="25" t="str">
        <f t="shared" si="186"/>
        <v/>
      </c>
    </row>
    <row r="686" spans="1:55" x14ac:dyDescent="0.25">
      <c r="A686" s="19" t="str">
        <f t="shared" si="171"/>
        <v/>
      </c>
      <c r="B686" s="19"/>
      <c r="C686" s="20"/>
      <c r="D686" s="19" t="str">
        <f t="shared" si="170"/>
        <v/>
      </c>
      <c r="E686" s="19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19"/>
      <c r="U686" s="19"/>
      <c r="V686" s="20"/>
      <c r="W686" s="22"/>
      <c r="X686" s="21"/>
      <c r="Y686" s="21"/>
      <c r="Z686" s="23" t="str">
        <f>IF(B686="","",IF(S686&lt;&gt;"","Sevk Edildi",IF(AND(X686&lt;&gt;"",Y686=""),"Reworkte",IF(T686&lt;&gt;"","Kapandı"&amp;IF(COUNT(G686:R686)=0,""," – "&amp;LOOKUP(2,1/(G686:R686=MAX(G686:R686)),{"Tasarım","Ply Cutter","Üretim","Kalite (Üretim sonrası)","Talaşlı","Kalite (Talaşlı sonrası)","Montaj","Kalite (Montaj sonrası)","Boya","Kalite (Boya sonrası)","Yarı Mamül","KM"})),IF(COUNT(G686:R686)=0,"Başlamadı",LOOKUP(2,1/(G686:R686=MAX(G686:R686)),{"Tasarımda","Ply Cutter'da","Üretimde","Kalitede (Üretim sonrası)","Talaşlıda","Kalitede (Talaşlı sonrası)","Montajda","Kalitede (Montaj sonrası)","Boyada","Kalitede (Boya sonrası)","Yarı Mamülde","KM'de"}))))))</f>
        <v/>
      </c>
      <c r="AA686" s="24" t="str">
        <f t="shared" ca="1" si="172"/>
        <v/>
      </c>
      <c r="AB686" s="22"/>
      <c r="AD686" t="str">
        <f>IF(OR($B686="",NOT(ISNUMBER(G686))),"",IF(COUNTIF(H686:$T686,G686)&gt;0,0,IF(COUNTIF($G686:$T686,"&gt;"&amp;G686)=0,"",SMALL($G686:$T686,COUNTIF($G686:$T686,"&lt;="&amp;G686)+1)-G686)))</f>
        <v/>
      </c>
      <c r="AE686" t="str">
        <f>IF(OR($B686="",NOT(ISNUMBER(H686))),"",IF(COUNTIF(I686:$T686,H686)&gt;0,0,IF(COUNTIF($G686:$T686,"&gt;"&amp;H686)=0,"",SMALL($G686:$T686,COUNTIF($G686:$T686,"&lt;="&amp;H686)+1)-H686)))</f>
        <v/>
      </c>
      <c r="AF686" t="str">
        <f>IF(OR($B686="",NOT(ISNUMBER(I686))),"",IF(COUNTIF(J686:$T686,I686)&gt;0,0,IF(COUNTIF($G686:$T686,"&gt;"&amp;I686)=0,"",SMALL($G686:$T686,COUNTIF($G686:$T686,"&lt;="&amp;I686)+1)-I686)))</f>
        <v/>
      </c>
      <c r="AG686" t="str">
        <f>IF(OR($B686="",NOT(ISNUMBER(J686))),"",IF(COUNTIF(K686:$T686,J686)&gt;0,0,IF(COUNTIF($G686:$T686,"&gt;"&amp;J686)=0,"",SMALL($G686:$T686,COUNTIF($G686:$T686,"&lt;="&amp;J686)+1)-J686)))</f>
        <v/>
      </c>
      <c r="AH686" t="str">
        <f>IF(OR($B686="",NOT(ISNUMBER(K686))),"",IF(COUNTIF(L686:$T686,K686)&gt;0,0,IF(COUNTIF($G686:$T686,"&gt;"&amp;K686)=0,"",SMALL($G686:$T686,COUNTIF($G686:$T686,"&lt;="&amp;K686)+1)-K686)))</f>
        <v/>
      </c>
      <c r="AI686" t="str">
        <f>IF(OR($B686="",NOT(ISNUMBER(L686))),"",IF(COUNTIF(M686:$T686,L686)&gt;0,0,IF(COUNTIF($G686:$T686,"&gt;"&amp;L686)=0,"",SMALL($G686:$T686,COUNTIF($G686:$T686,"&lt;="&amp;L686)+1)-L686)))</f>
        <v/>
      </c>
      <c r="AJ686" t="str">
        <f>IF(OR($B686="",NOT(ISNUMBER(M686))),"",IF(COUNTIF(N686:$T686,M686)&gt;0,0,IF(COUNTIF($G686:$T686,"&gt;"&amp;M686)=0,"",SMALL($G686:$T686,COUNTIF($G686:$T686,"&lt;="&amp;M686)+1)-M686)))</f>
        <v/>
      </c>
      <c r="AK686" t="str">
        <f>IF(OR($B686="",NOT(ISNUMBER(N686))),"",IF(COUNTIF(O686:$T686,N686)&gt;0,0,IF(COUNTIF($G686:$T686,"&gt;"&amp;N686)=0,"",SMALL($G686:$T686,COUNTIF($G686:$T686,"&lt;="&amp;N686)+1)-N686)))</f>
        <v/>
      </c>
      <c r="AL686" t="str">
        <f>IF(OR($B686="",NOT(ISNUMBER(O686))),"",IF(COUNTIF(P686:$T686,O686)&gt;0,0,IF(COUNTIF($G686:$T686,"&gt;"&amp;O686)=0,"",SMALL($G686:$T686,COUNTIF($G686:$T686,"&lt;="&amp;O686)+1)-O686)))</f>
        <v/>
      </c>
      <c r="AM686" t="str">
        <f>IF(OR($B686="",NOT(ISNUMBER(P686))),"",IF(COUNTIF(Q686:$T686,P686)&gt;0,0,IF(COUNTIF($G686:$T686,"&gt;"&amp;P686)=0,"",SMALL($G686:$T686,COUNTIF($G686:$T686,"&lt;="&amp;P686)+1)-P686)))</f>
        <v/>
      </c>
      <c r="AN686" t="str">
        <f>IF(OR($B686="",NOT(ISNUMBER(Q686))),"",IF(COUNTIF(R686:$T686,Q686)&gt;0,0,IF(COUNTIF($G686:$T686,"&gt;"&amp;Q686)=0,"",SMALL($G686:$T686,COUNTIF($G686:$T686,"&lt;="&amp;Q686)+1)-Q686)))</f>
        <v/>
      </c>
      <c r="AO686" t="str">
        <f>IF(OR($B686="",NOT(ISNUMBER(R686))),"",IF(COUNTIF(S686:$T686,R686)&gt;0,0,IF(COUNTIF($G686:$T686,"&gt;"&amp;R686)=0,"",SMALL($G686:$T686,COUNTIF($G686:$T686,"&lt;="&amp;R686)+1)-R686)))</f>
        <v/>
      </c>
      <c r="AP686">
        <f t="shared" ca="1" si="173"/>
        <v>0</v>
      </c>
      <c r="AQ686" s="25" t="str">
        <f t="shared" si="174"/>
        <v/>
      </c>
      <c r="AR686" s="25" t="str">
        <f t="shared" si="175"/>
        <v/>
      </c>
      <c r="AS686" s="25" t="str">
        <f t="shared" si="176"/>
        <v/>
      </c>
      <c r="AT686" s="25" t="str">
        <f t="shared" si="177"/>
        <v/>
      </c>
      <c r="AU686" s="25" t="str">
        <f t="shared" si="178"/>
        <v/>
      </c>
      <c r="AV686" s="25" t="str">
        <f t="shared" si="179"/>
        <v/>
      </c>
      <c r="AW686" s="25" t="str">
        <f t="shared" si="180"/>
        <v/>
      </c>
      <c r="AX686" s="25" t="str">
        <f t="shared" si="181"/>
        <v/>
      </c>
      <c r="AY686" s="25" t="str">
        <f t="shared" si="182"/>
        <v/>
      </c>
      <c r="AZ686" s="25" t="str">
        <f t="shared" si="183"/>
        <v/>
      </c>
      <c r="BA686" s="25" t="str">
        <f t="shared" si="184"/>
        <v/>
      </c>
      <c r="BB686" s="25" t="str">
        <f t="shared" si="185"/>
        <v/>
      </c>
      <c r="BC686" s="25" t="str">
        <f t="shared" si="186"/>
        <v/>
      </c>
    </row>
    <row r="687" spans="1:55" x14ac:dyDescent="0.25">
      <c r="A687" s="19" t="str">
        <f t="shared" si="171"/>
        <v/>
      </c>
      <c r="B687" s="19"/>
      <c r="C687" s="20"/>
      <c r="D687" s="19" t="str">
        <f t="shared" si="170"/>
        <v/>
      </c>
      <c r="E687" s="19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19"/>
      <c r="U687" s="19"/>
      <c r="V687" s="20"/>
      <c r="W687" s="22"/>
      <c r="X687" s="21"/>
      <c r="Y687" s="21"/>
      <c r="Z687" s="23" t="str">
        <f>IF(B687="","",IF(S687&lt;&gt;"","Sevk Edildi",IF(AND(X687&lt;&gt;"",Y687=""),"Reworkte",IF(T687&lt;&gt;"","Kapandı"&amp;IF(COUNT(G687:R687)=0,""," – "&amp;LOOKUP(2,1/(G687:R687=MAX(G687:R687)),{"Tasarım","Ply Cutter","Üretim","Kalite (Üretim sonrası)","Talaşlı","Kalite (Talaşlı sonrası)","Montaj","Kalite (Montaj sonrası)","Boya","Kalite (Boya sonrası)","Yarı Mamül","KM"})),IF(COUNT(G687:R687)=0,"Başlamadı",LOOKUP(2,1/(G687:R687=MAX(G687:R687)),{"Tasarımda","Ply Cutter'da","Üretimde","Kalitede (Üretim sonrası)","Talaşlıda","Kalitede (Talaşlı sonrası)","Montajda","Kalitede (Montaj sonrası)","Boyada","Kalitede (Boya sonrası)","Yarı Mamülde","KM'de"}))))))</f>
        <v/>
      </c>
      <c r="AA687" s="24" t="str">
        <f t="shared" ca="1" si="172"/>
        <v/>
      </c>
      <c r="AB687" s="22"/>
      <c r="AD687" t="str">
        <f>IF(OR($B687="",NOT(ISNUMBER(G687))),"",IF(COUNTIF(H687:$T687,G687)&gt;0,0,IF(COUNTIF($G687:$T687,"&gt;"&amp;G687)=0,"",SMALL($G687:$T687,COUNTIF($G687:$T687,"&lt;="&amp;G687)+1)-G687)))</f>
        <v/>
      </c>
      <c r="AE687" t="str">
        <f>IF(OR($B687="",NOT(ISNUMBER(H687))),"",IF(COUNTIF(I687:$T687,H687)&gt;0,0,IF(COUNTIF($G687:$T687,"&gt;"&amp;H687)=0,"",SMALL($G687:$T687,COUNTIF($G687:$T687,"&lt;="&amp;H687)+1)-H687)))</f>
        <v/>
      </c>
      <c r="AF687" t="str">
        <f>IF(OR($B687="",NOT(ISNUMBER(I687))),"",IF(COUNTIF(J687:$T687,I687)&gt;0,0,IF(COUNTIF($G687:$T687,"&gt;"&amp;I687)=0,"",SMALL($G687:$T687,COUNTIF($G687:$T687,"&lt;="&amp;I687)+1)-I687)))</f>
        <v/>
      </c>
      <c r="AG687" t="str">
        <f>IF(OR($B687="",NOT(ISNUMBER(J687))),"",IF(COUNTIF(K687:$T687,J687)&gt;0,0,IF(COUNTIF($G687:$T687,"&gt;"&amp;J687)=0,"",SMALL($G687:$T687,COUNTIF($G687:$T687,"&lt;="&amp;J687)+1)-J687)))</f>
        <v/>
      </c>
      <c r="AH687" t="str">
        <f>IF(OR($B687="",NOT(ISNUMBER(K687))),"",IF(COUNTIF(L687:$T687,K687)&gt;0,0,IF(COUNTIF($G687:$T687,"&gt;"&amp;K687)=0,"",SMALL($G687:$T687,COUNTIF($G687:$T687,"&lt;="&amp;K687)+1)-K687)))</f>
        <v/>
      </c>
      <c r="AI687" t="str">
        <f>IF(OR($B687="",NOT(ISNUMBER(L687))),"",IF(COUNTIF(M687:$T687,L687)&gt;0,0,IF(COUNTIF($G687:$T687,"&gt;"&amp;L687)=0,"",SMALL($G687:$T687,COUNTIF($G687:$T687,"&lt;="&amp;L687)+1)-L687)))</f>
        <v/>
      </c>
      <c r="AJ687" t="str">
        <f>IF(OR($B687="",NOT(ISNUMBER(M687))),"",IF(COUNTIF(N687:$T687,M687)&gt;0,0,IF(COUNTIF($G687:$T687,"&gt;"&amp;M687)=0,"",SMALL($G687:$T687,COUNTIF($G687:$T687,"&lt;="&amp;M687)+1)-M687)))</f>
        <v/>
      </c>
      <c r="AK687" t="str">
        <f>IF(OR($B687="",NOT(ISNUMBER(N687))),"",IF(COUNTIF(O687:$T687,N687)&gt;0,0,IF(COUNTIF($G687:$T687,"&gt;"&amp;N687)=0,"",SMALL($G687:$T687,COUNTIF($G687:$T687,"&lt;="&amp;N687)+1)-N687)))</f>
        <v/>
      </c>
      <c r="AL687" t="str">
        <f>IF(OR($B687="",NOT(ISNUMBER(O687))),"",IF(COUNTIF(P687:$T687,O687)&gt;0,0,IF(COUNTIF($G687:$T687,"&gt;"&amp;O687)=0,"",SMALL($G687:$T687,COUNTIF($G687:$T687,"&lt;="&amp;O687)+1)-O687)))</f>
        <v/>
      </c>
      <c r="AM687" t="str">
        <f>IF(OR($B687="",NOT(ISNUMBER(P687))),"",IF(COUNTIF(Q687:$T687,P687)&gt;0,0,IF(COUNTIF($G687:$T687,"&gt;"&amp;P687)=0,"",SMALL($G687:$T687,COUNTIF($G687:$T687,"&lt;="&amp;P687)+1)-P687)))</f>
        <v/>
      </c>
      <c r="AN687" t="str">
        <f>IF(OR($B687="",NOT(ISNUMBER(Q687))),"",IF(COUNTIF(R687:$T687,Q687)&gt;0,0,IF(COUNTIF($G687:$T687,"&gt;"&amp;Q687)=0,"",SMALL($G687:$T687,COUNTIF($G687:$T687,"&lt;="&amp;Q687)+1)-Q687)))</f>
        <v/>
      </c>
      <c r="AO687" t="str">
        <f>IF(OR($B687="",NOT(ISNUMBER(R687))),"",IF(COUNTIF(S687:$T687,R687)&gt;0,0,IF(COUNTIF($G687:$T687,"&gt;"&amp;R687)=0,"",SMALL($G687:$T687,COUNTIF($G687:$T687,"&lt;="&amp;R687)+1)-R687)))</f>
        <v/>
      </c>
      <c r="AP687">
        <f t="shared" ca="1" si="173"/>
        <v>0</v>
      </c>
      <c r="AQ687" s="25" t="str">
        <f t="shared" si="174"/>
        <v/>
      </c>
      <c r="AR687" s="25" t="str">
        <f t="shared" si="175"/>
        <v/>
      </c>
      <c r="AS687" s="25" t="str">
        <f t="shared" si="176"/>
        <v/>
      </c>
      <c r="AT687" s="25" t="str">
        <f t="shared" si="177"/>
        <v/>
      </c>
      <c r="AU687" s="25" t="str">
        <f t="shared" si="178"/>
        <v/>
      </c>
      <c r="AV687" s="25" t="str">
        <f t="shared" si="179"/>
        <v/>
      </c>
      <c r="AW687" s="25" t="str">
        <f t="shared" si="180"/>
        <v/>
      </c>
      <c r="AX687" s="25" t="str">
        <f t="shared" si="181"/>
        <v/>
      </c>
      <c r="AY687" s="25" t="str">
        <f t="shared" si="182"/>
        <v/>
      </c>
      <c r="AZ687" s="25" t="str">
        <f t="shared" si="183"/>
        <v/>
      </c>
      <c r="BA687" s="25" t="str">
        <f t="shared" si="184"/>
        <v/>
      </c>
      <c r="BB687" s="25" t="str">
        <f t="shared" si="185"/>
        <v/>
      </c>
      <c r="BC687" s="25" t="str">
        <f t="shared" si="186"/>
        <v/>
      </c>
    </row>
    <row r="688" spans="1:55" x14ac:dyDescent="0.25">
      <c r="A688" s="19" t="str">
        <f t="shared" si="171"/>
        <v/>
      </c>
      <c r="B688" s="19"/>
      <c r="C688" s="20"/>
      <c r="D688" s="19" t="str">
        <f t="shared" si="170"/>
        <v/>
      </c>
      <c r="E688" s="19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19"/>
      <c r="U688" s="19"/>
      <c r="V688" s="20"/>
      <c r="W688" s="22"/>
      <c r="X688" s="21"/>
      <c r="Y688" s="21"/>
      <c r="Z688" s="23" t="str">
        <f>IF(B688="","",IF(S688&lt;&gt;"","Sevk Edildi",IF(AND(X688&lt;&gt;"",Y688=""),"Reworkte",IF(T688&lt;&gt;"","Kapandı"&amp;IF(COUNT(G688:R688)=0,""," – "&amp;LOOKUP(2,1/(G688:R688=MAX(G688:R688)),{"Tasarım","Ply Cutter","Üretim","Kalite (Üretim sonrası)","Talaşlı","Kalite (Talaşlı sonrası)","Montaj","Kalite (Montaj sonrası)","Boya","Kalite (Boya sonrası)","Yarı Mamül","KM"})),IF(COUNT(G688:R688)=0,"Başlamadı",LOOKUP(2,1/(G688:R688=MAX(G688:R688)),{"Tasarımda","Ply Cutter'da","Üretimde","Kalitede (Üretim sonrası)","Talaşlıda","Kalitede (Talaşlı sonrası)","Montajda","Kalitede (Montaj sonrası)","Boyada","Kalitede (Boya sonrası)","Yarı Mamülde","KM'de"}))))))</f>
        <v/>
      </c>
      <c r="AA688" s="24" t="str">
        <f t="shared" ca="1" si="172"/>
        <v/>
      </c>
      <c r="AB688" s="22"/>
      <c r="AD688" t="str">
        <f>IF(OR($B688="",NOT(ISNUMBER(G688))),"",IF(COUNTIF(H688:$T688,G688)&gt;0,0,IF(COUNTIF($G688:$T688,"&gt;"&amp;G688)=0,"",SMALL($G688:$T688,COUNTIF($G688:$T688,"&lt;="&amp;G688)+1)-G688)))</f>
        <v/>
      </c>
      <c r="AE688" t="str">
        <f>IF(OR($B688="",NOT(ISNUMBER(H688))),"",IF(COUNTIF(I688:$T688,H688)&gt;0,0,IF(COUNTIF($G688:$T688,"&gt;"&amp;H688)=0,"",SMALL($G688:$T688,COUNTIF($G688:$T688,"&lt;="&amp;H688)+1)-H688)))</f>
        <v/>
      </c>
      <c r="AF688" t="str">
        <f>IF(OR($B688="",NOT(ISNUMBER(I688))),"",IF(COUNTIF(J688:$T688,I688)&gt;0,0,IF(COUNTIF($G688:$T688,"&gt;"&amp;I688)=0,"",SMALL($G688:$T688,COUNTIF($G688:$T688,"&lt;="&amp;I688)+1)-I688)))</f>
        <v/>
      </c>
      <c r="AG688" t="str">
        <f>IF(OR($B688="",NOT(ISNUMBER(J688))),"",IF(COUNTIF(K688:$T688,J688)&gt;0,0,IF(COUNTIF($G688:$T688,"&gt;"&amp;J688)=0,"",SMALL($G688:$T688,COUNTIF($G688:$T688,"&lt;="&amp;J688)+1)-J688)))</f>
        <v/>
      </c>
      <c r="AH688" t="str">
        <f>IF(OR($B688="",NOT(ISNUMBER(K688))),"",IF(COUNTIF(L688:$T688,K688)&gt;0,0,IF(COUNTIF($G688:$T688,"&gt;"&amp;K688)=0,"",SMALL($G688:$T688,COUNTIF($G688:$T688,"&lt;="&amp;K688)+1)-K688)))</f>
        <v/>
      </c>
      <c r="AI688" t="str">
        <f>IF(OR($B688="",NOT(ISNUMBER(L688))),"",IF(COUNTIF(M688:$T688,L688)&gt;0,0,IF(COUNTIF($G688:$T688,"&gt;"&amp;L688)=0,"",SMALL($G688:$T688,COUNTIF($G688:$T688,"&lt;="&amp;L688)+1)-L688)))</f>
        <v/>
      </c>
      <c r="AJ688" t="str">
        <f>IF(OR($B688="",NOT(ISNUMBER(M688))),"",IF(COUNTIF(N688:$T688,M688)&gt;0,0,IF(COUNTIF($G688:$T688,"&gt;"&amp;M688)=0,"",SMALL($G688:$T688,COUNTIF($G688:$T688,"&lt;="&amp;M688)+1)-M688)))</f>
        <v/>
      </c>
      <c r="AK688" t="str">
        <f>IF(OR($B688="",NOT(ISNUMBER(N688))),"",IF(COUNTIF(O688:$T688,N688)&gt;0,0,IF(COUNTIF($G688:$T688,"&gt;"&amp;N688)=0,"",SMALL($G688:$T688,COUNTIF($G688:$T688,"&lt;="&amp;N688)+1)-N688)))</f>
        <v/>
      </c>
      <c r="AL688" t="str">
        <f>IF(OR($B688="",NOT(ISNUMBER(O688))),"",IF(COUNTIF(P688:$T688,O688)&gt;0,0,IF(COUNTIF($G688:$T688,"&gt;"&amp;O688)=0,"",SMALL($G688:$T688,COUNTIF($G688:$T688,"&lt;="&amp;O688)+1)-O688)))</f>
        <v/>
      </c>
      <c r="AM688" t="str">
        <f>IF(OR($B688="",NOT(ISNUMBER(P688))),"",IF(COUNTIF(Q688:$T688,P688)&gt;0,0,IF(COUNTIF($G688:$T688,"&gt;"&amp;P688)=0,"",SMALL($G688:$T688,COUNTIF($G688:$T688,"&lt;="&amp;P688)+1)-P688)))</f>
        <v/>
      </c>
      <c r="AN688" t="str">
        <f>IF(OR($B688="",NOT(ISNUMBER(Q688))),"",IF(COUNTIF(R688:$T688,Q688)&gt;0,0,IF(COUNTIF($G688:$T688,"&gt;"&amp;Q688)=0,"",SMALL($G688:$T688,COUNTIF($G688:$T688,"&lt;="&amp;Q688)+1)-Q688)))</f>
        <v/>
      </c>
      <c r="AO688" t="str">
        <f>IF(OR($B688="",NOT(ISNUMBER(R688))),"",IF(COUNTIF(S688:$T688,R688)&gt;0,0,IF(COUNTIF($G688:$T688,"&gt;"&amp;R688)=0,"",SMALL($G688:$T688,COUNTIF($G688:$T688,"&lt;="&amp;R688)+1)-R688)))</f>
        <v/>
      </c>
      <c r="AP688">
        <f t="shared" ca="1" si="173"/>
        <v>0</v>
      </c>
      <c r="AQ688" s="25" t="str">
        <f t="shared" si="174"/>
        <v/>
      </c>
      <c r="AR688" s="25" t="str">
        <f t="shared" si="175"/>
        <v/>
      </c>
      <c r="AS688" s="25" t="str">
        <f t="shared" si="176"/>
        <v/>
      </c>
      <c r="AT688" s="25" t="str">
        <f t="shared" si="177"/>
        <v/>
      </c>
      <c r="AU688" s="25" t="str">
        <f t="shared" si="178"/>
        <v/>
      </c>
      <c r="AV688" s="25" t="str">
        <f t="shared" si="179"/>
        <v/>
      </c>
      <c r="AW688" s="25" t="str">
        <f t="shared" si="180"/>
        <v/>
      </c>
      <c r="AX688" s="25" t="str">
        <f t="shared" si="181"/>
        <v/>
      </c>
      <c r="AY688" s="25" t="str">
        <f t="shared" si="182"/>
        <v/>
      </c>
      <c r="AZ688" s="25" t="str">
        <f t="shared" si="183"/>
        <v/>
      </c>
      <c r="BA688" s="25" t="str">
        <f t="shared" si="184"/>
        <v/>
      </c>
      <c r="BB688" s="25" t="str">
        <f t="shared" si="185"/>
        <v/>
      </c>
      <c r="BC688" s="25" t="str">
        <f t="shared" si="186"/>
        <v/>
      </c>
    </row>
    <row r="689" spans="1:55" x14ac:dyDescent="0.25">
      <c r="A689" s="19" t="str">
        <f t="shared" si="171"/>
        <v/>
      </c>
      <c r="B689" s="19"/>
      <c r="C689" s="20"/>
      <c r="D689" s="19" t="str">
        <f t="shared" si="170"/>
        <v/>
      </c>
      <c r="E689" s="19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19"/>
      <c r="U689" s="19"/>
      <c r="V689" s="20"/>
      <c r="W689" s="22"/>
      <c r="X689" s="21"/>
      <c r="Y689" s="21"/>
      <c r="Z689" s="23" t="str">
        <f>IF(B689="","",IF(S689&lt;&gt;"","Sevk Edildi",IF(AND(X689&lt;&gt;"",Y689=""),"Reworkte",IF(T689&lt;&gt;"","Kapandı"&amp;IF(COUNT(G689:R689)=0,""," – "&amp;LOOKUP(2,1/(G689:R689=MAX(G689:R689)),{"Tasarım","Ply Cutter","Üretim","Kalite (Üretim sonrası)","Talaşlı","Kalite (Talaşlı sonrası)","Montaj","Kalite (Montaj sonrası)","Boya","Kalite (Boya sonrası)","Yarı Mamül","KM"})),IF(COUNT(G689:R689)=0,"Başlamadı",LOOKUP(2,1/(G689:R689=MAX(G689:R689)),{"Tasarımda","Ply Cutter'da","Üretimde","Kalitede (Üretim sonrası)","Talaşlıda","Kalitede (Talaşlı sonrası)","Montajda","Kalitede (Montaj sonrası)","Boyada","Kalitede (Boya sonrası)","Yarı Mamülde","KM'de"}))))))</f>
        <v/>
      </c>
      <c r="AA689" s="24" t="str">
        <f t="shared" ca="1" si="172"/>
        <v/>
      </c>
      <c r="AB689" s="22"/>
      <c r="AD689" t="str">
        <f>IF(OR($B689="",NOT(ISNUMBER(G689))),"",IF(COUNTIF(H689:$T689,G689)&gt;0,0,IF(COUNTIF($G689:$T689,"&gt;"&amp;G689)=0,"",SMALL($G689:$T689,COUNTIF($G689:$T689,"&lt;="&amp;G689)+1)-G689)))</f>
        <v/>
      </c>
      <c r="AE689" t="str">
        <f>IF(OR($B689="",NOT(ISNUMBER(H689))),"",IF(COUNTIF(I689:$T689,H689)&gt;0,0,IF(COUNTIF($G689:$T689,"&gt;"&amp;H689)=0,"",SMALL($G689:$T689,COUNTIF($G689:$T689,"&lt;="&amp;H689)+1)-H689)))</f>
        <v/>
      </c>
      <c r="AF689" t="str">
        <f>IF(OR($B689="",NOT(ISNUMBER(I689))),"",IF(COUNTIF(J689:$T689,I689)&gt;0,0,IF(COUNTIF($G689:$T689,"&gt;"&amp;I689)=0,"",SMALL($G689:$T689,COUNTIF($G689:$T689,"&lt;="&amp;I689)+1)-I689)))</f>
        <v/>
      </c>
      <c r="AG689" t="str">
        <f>IF(OR($B689="",NOT(ISNUMBER(J689))),"",IF(COUNTIF(K689:$T689,J689)&gt;0,0,IF(COUNTIF($G689:$T689,"&gt;"&amp;J689)=0,"",SMALL($G689:$T689,COUNTIF($G689:$T689,"&lt;="&amp;J689)+1)-J689)))</f>
        <v/>
      </c>
      <c r="AH689" t="str">
        <f>IF(OR($B689="",NOT(ISNUMBER(K689))),"",IF(COUNTIF(L689:$T689,K689)&gt;0,0,IF(COUNTIF($G689:$T689,"&gt;"&amp;K689)=0,"",SMALL($G689:$T689,COUNTIF($G689:$T689,"&lt;="&amp;K689)+1)-K689)))</f>
        <v/>
      </c>
      <c r="AI689" t="str">
        <f>IF(OR($B689="",NOT(ISNUMBER(L689))),"",IF(COUNTIF(M689:$T689,L689)&gt;0,0,IF(COUNTIF($G689:$T689,"&gt;"&amp;L689)=0,"",SMALL($G689:$T689,COUNTIF($G689:$T689,"&lt;="&amp;L689)+1)-L689)))</f>
        <v/>
      </c>
      <c r="AJ689" t="str">
        <f>IF(OR($B689="",NOT(ISNUMBER(M689))),"",IF(COUNTIF(N689:$T689,M689)&gt;0,0,IF(COUNTIF($G689:$T689,"&gt;"&amp;M689)=0,"",SMALL($G689:$T689,COUNTIF($G689:$T689,"&lt;="&amp;M689)+1)-M689)))</f>
        <v/>
      </c>
      <c r="AK689" t="str">
        <f>IF(OR($B689="",NOT(ISNUMBER(N689))),"",IF(COUNTIF(O689:$T689,N689)&gt;0,0,IF(COUNTIF($G689:$T689,"&gt;"&amp;N689)=0,"",SMALL($G689:$T689,COUNTIF($G689:$T689,"&lt;="&amp;N689)+1)-N689)))</f>
        <v/>
      </c>
      <c r="AL689" t="str">
        <f>IF(OR($B689="",NOT(ISNUMBER(O689))),"",IF(COUNTIF(P689:$T689,O689)&gt;0,0,IF(COUNTIF($G689:$T689,"&gt;"&amp;O689)=0,"",SMALL($G689:$T689,COUNTIF($G689:$T689,"&lt;="&amp;O689)+1)-O689)))</f>
        <v/>
      </c>
      <c r="AM689" t="str">
        <f>IF(OR($B689="",NOT(ISNUMBER(P689))),"",IF(COUNTIF(Q689:$T689,P689)&gt;0,0,IF(COUNTIF($G689:$T689,"&gt;"&amp;P689)=0,"",SMALL($G689:$T689,COUNTIF($G689:$T689,"&lt;="&amp;P689)+1)-P689)))</f>
        <v/>
      </c>
      <c r="AN689" t="str">
        <f>IF(OR($B689="",NOT(ISNUMBER(Q689))),"",IF(COUNTIF(R689:$T689,Q689)&gt;0,0,IF(COUNTIF($G689:$T689,"&gt;"&amp;Q689)=0,"",SMALL($G689:$T689,COUNTIF($G689:$T689,"&lt;="&amp;Q689)+1)-Q689)))</f>
        <v/>
      </c>
      <c r="AO689" t="str">
        <f>IF(OR($B689="",NOT(ISNUMBER(R689))),"",IF(COUNTIF(S689:$T689,R689)&gt;0,0,IF(COUNTIF($G689:$T689,"&gt;"&amp;R689)=0,"",SMALL($G689:$T689,COUNTIF($G689:$T689,"&lt;="&amp;R689)+1)-R689)))</f>
        <v/>
      </c>
      <c r="AP689">
        <f t="shared" ca="1" si="173"/>
        <v>0</v>
      </c>
      <c r="AQ689" s="25" t="str">
        <f t="shared" si="174"/>
        <v/>
      </c>
      <c r="AR689" s="25" t="str">
        <f t="shared" si="175"/>
        <v/>
      </c>
      <c r="AS689" s="25" t="str">
        <f t="shared" si="176"/>
        <v/>
      </c>
      <c r="AT689" s="25" t="str">
        <f t="shared" si="177"/>
        <v/>
      </c>
      <c r="AU689" s="25" t="str">
        <f t="shared" si="178"/>
        <v/>
      </c>
      <c r="AV689" s="25" t="str">
        <f t="shared" si="179"/>
        <v/>
      </c>
      <c r="AW689" s="25" t="str">
        <f t="shared" si="180"/>
        <v/>
      </c>
      <c r="AX689" s="25" t="str">
        <f t="shared" si="181"/>
        <v/>
      </c>
      <c r="AY689" s="25" t="str">
        <f t="shared" si="182"/>
        <v/>
      </c>
      <c r="AZ689" s="25" t="str">
        <f t="shared" si="183"/>
        <v/>
      </c>
      <c r="BA689" s="25" t="str">
        <f t="shared" si="184"/>
        <v/>
      </c>
      <c r="BB689" s="25" t="str">
        <f t="shared" si="185"/>
        <v/>
      </c>
      <c r="BC689" s="25" t="str">
        <f t="shared" si="186"/>
        <v/>
      </c>
    </row>
    <row r="690" spans="1:55" x14ac:dyDescent="0.25">
      <c r="A690" s="19" t="str">
        <f t="shared" si="171"/>
        <v/>
      </c>
      <c r="B690" s="19"/>
      <c r="C690" s="20"/>
      <c r="D690" s="19" t="str">
        <f t="shared" si="170"/>
        <v/>
      </c>
      <c r="E690" s="19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19"/>
      <c r="U690" s="19"/>
      <c r="V690" s="20"/>
      <c r="W690" s="22"/>
      <c r="X690" s="21"/>
      <c r="Y690" s="21"/>
      <c r="Z690" s="23" t="str">
        <f>IF(B690="","",IF(S690&lt;&gt;"","Sevk Edildi",IF(AND(X690&lt;&gt;"",Y690=""),"Reworkte",IF(T690&lt;&gt;"","Kapandı"&amp;IF(COUNT(G690:R690)=0,""," – "&amp;LOOKUP(2,1/(G690:R690=MAX(G690:R690)),{"Tasarım","Ply Cutter","Üretim","Kalite (Üretim sonrası)","Talaşlı","Kalite (Talaşlı sonrası)","Montaj","Kalite (Montaj sonrası)","Boya","Kalite (Boya sonrası)","Yarı Mamül","KM"})),IF(COUNT(G690:R690)=0,"Başlamadı",LOOKUP(2,1/(G690:R690=MAX(G690:R690)),{"Tasarımda","Ply Cutter'da","Üretimde","Kalitede (Üretim sonrası)","Talaşlıda","Kalitede (Talaşlı sonrası)","Montajda","Kalitede (Montaj sonrası)","Boyada","Kalitede (Boya sonrası)","Yarı Mamülde","KM'de"}))))))</f>
        <v/>
      </c>
      <c r="AA690" s="24" t="str">
        <f t="shared" ca="1" si="172"/>
        <v/>
      </c>
      <c r="AB690" s="22"/>
      <c r="AD690" t="str">
        <f>IF(OR($B690="",NOT(ISNUMBER(G690))),"",IF(COUNTIF(H690:$T690,G690)&gt;0,0,IF(COUNTIF($G690:$T690,"&gt;"&amp;G690)=0,"",SMALL($G690:$T690,COUNTIF($G690:$T690,"&lt;="&amp;G690)+1)-G690)))</f>
        <v/>
      </c>
      <c r="AE690" t="str">
        <f>IF(OR($B690="",NOT(ISNUMBER(H690))),"",IF(COUNTIF(I690:$T690,H690)&gt;0,0,IF(COUNTIF($G690:$T690,"&gt;"&amp;H690)=0,"",SMALL($G690:$T690,COUNTIF($G690:$T690,"&lt;="&amp;H690)+1)-H690)))</f>
        <v/>
      </c>
      <c r="AF690" t="str">
        <f>IF(OR($B690="",NOT(ISNUMBER(I690))),"",IF(COUNTIF(J690:$T690,I690)&gt;0,0,IF(COUNTIF($G690:$T690,"&gt;"&amp;I690)=0,"",SMALL($G690:$T690,COUNTIF($G690:$T690,"&lt;="&amp;I690)+1)-I690)))</f>
        <v/>
      </c>
      <c r="AG690" t="str">
        <f>IF(OR($B690="",NOT(ISNUMBER(J690))),"",IF(COUNTIF(K690:$T690,J690)&gt;0,0,IF(COUNTIF($G690:$T690,"&gt;"&amp;J690)=0,"",SMALL($G690:$T690,COUNTIF($G690:$T690,"&lt;="&amp;J690)+1)-J690)))</f>
        <v/>
      </c>
      <c r="AH690" t="str">
        <f>IF(OR($B690="",NOT(ISNUMBER(K690))),"",IF(COUNTIF(L690:$T690,K690)&gt;0,0,IF(COUNTIF($G690:$T690,"&gt;"&amp;K690)=0,"",SMALL($G690:$T690,COUNTIF($G690:$T690,"&lt;="&amp;K690)+1)-K690)))</f>
        <v/>
      </c>
      <c r="AI690" t="str">
        <f>IF(OR($B690="",NOT(ISNUMBER(L690))),"",IF(COUNTIF(M690:$T690,L690)&gt;0,0,IF(COUNTIF($G690:$T690,"&gt;"&amp;L690)=0,"",SMALL($G690:$T690,COUNTIF($G690:$T690,"&lt;="&amp;L690)+1)-L690)))</f>
        <v/>
      </c>
      <c r="AJ690" t="str">
        <f>IF(OR($B690="",NOT(ISNUMBER(M690))),"",IF(COUNTIF(N690:$T690,M690)&gt;0,0,IF(COUNTIF($G690:$T690,"&gt;"&amp;M690)=0,"",SMALL($G690:$T690,COUNTIF($G690:$T690,"&lt;="&amp;M690)+1)-M690)))</f>
        <v/>
      </c>
      <c r="AK690" t="str">
        <f>IF(OR($B690="",NOT(ISNUMBER(N690))),"",IF(COUNTIF(O690:$T690,N690)&gt;0,0,IF(COUNTIF($G690:$T690,"&gt;"&amp;N690)=0,"",SMALL($G690:$T690,COUNTIF($G690:$T690,"&lt;="&amp;N690)+1)-N690)))</f>
        <v/>
      </c>
      <c r="AL690" t="str">
        <f>IF(OR($B690="",NOT(ISNUMBER(O690))),"",IF(COUNTIF(P690:$T690,O690)&gt;0,0,IF(COUNTIF($G690:$T690,"&gt;"&amp;O690)=0,"",SMALL($G690:$T690,COUNTIF($G690:$T690,"&lt;="&amp;O690)+1)-O690)))</f>
        <v/>
      </c>
      <c r="AM690" t="str">
        <f>IF(OR($B690="",NOT(ISNUMBER(P690))),"",IF(COUNTIF(Q690:$T690,P690)&gt;0,0,IF(COUNTIF($G690:$T690,"&gt;"&amp;P690)=0,"",SMALL($G690:$T690,COUNTIF($G690:$T690,"&lt;="&amp;P690)+1)-P690)))</f>
        <v/>
      </c>
      <c r="AN690" t="str">
        <f>IF(OR($B690="",NOT(ISNUMBER(Q690))),"",IF(COUNTIF(R690:$T690,Q690)&gt;0,0,IF(COUNTIF($G690:$T690,"&gt;"&amp;Q690)=0,"",SMALL($G690:$T690,COUNTIF($G690:$T690,"&lt;="&amp;Q690)+1)-Q690)))</f>
        <v/>
      </c>
      <c r="AO690" t="str">
        <f>IF(OR($B690="",NOT(ISNUMBER(R690))),"",IF(COUNTIF(S690:$T690,R690)&gt;0,0,IF(COUNTIF($G690:$T690,"&gt;"&amp;R690)=0,"",SMALL($G690:$T690,COUNTIF($G690:$T690,"&lt;="&amp;R690)+1)-R690)))</f>
        <v/>
      </c>
      <c r="AP690">
        <f t="shared" ca="1" si="173"/>
        <v>0</v>
      </c>
      <c r="AQ690" s="25" t="str">
        <f t="shared" si="174"/>
        <v/>
      </c>
      <c r="AR690" s="25" t="str">
        <f t="shared" si="175"/>
        <v/>
      </c>
      <c r="AS690" s="25" t="str">
        <f t="shared" si="176"/>
        <v/>
      </c>
      <c r="AT690" s="25" t="str">
        <f t="shared" si="177"/>
        <v/>
      </c>
      <c r="AU690" s="25" t="str">
        <f t="shared" si="178"/>
        <v/>
      </c>
      <c r="AV690" s="25" t="str">
        <f t="shared" si="179"/>
        <v/>
      </c>
      <c r="AW690" s="25" t="str">
        <f t="shared" si="180"/>
        <v/>
      </c>
      <c r="AX690" s="25" t="str">
        <f t="shared" si="181"/>
        <v/>
      </c>
      <c r="AY690" s="25" t="str">
        <f t="shared" si="182"/>
        <v/>
      </c>
      <c r="AZ690" s="25" t="str">
        <f t="shared" si="183"/>
        <v/>
      </c>
      <c r="BA690" s="25" t="str">
        <f t="shared" si="184"/>
        <v/>
      </c>
      <c r="BB690" s="25" t="str">
        <f t="shared" si="185"/>
        <v/>
      </c>
      <c r="BC690" s="25" t="str">
        <f t="shared" si="186"/>
        <v/>
      </c>
    </row>
    <row r="691" spans="1:55" x14ac:dyDescent="0.25">
      <c r="A691" s="19" t="str">
        <f t="shared" si="171"/>
        <v/>
      </c>
      <c r="B691" s="19"/>
      <c r="C691" s="20"/>
      <c r="D691" s="19" t="str">
        <f t="shared" si="170"/>
        <v/>
      </c>
      <c r="E691" s="19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19"/>
      <c r="U691" s="19"/>
      <c r="V691" s="20"/>
      <c r="W691" s="22"/>
      <c r="X691" s="21"/>
      <c r="Y691" s="21"/>
      <c r="Z691" s="23" t="str">
        <f>IF(B691="","",IF(S691&lt;&gt;"","Sevk Edildi",IF(AND(X691&lt;&gt;"",Y691=""),"Reworkte",IF(T691&lt;&gt;"","Kapandı"&amp;IF(COUNT(G691:R691)=0,""," – "&amp;LOOKUP(2,1/(G691:R691=MAX(G691:R691)),{"Tasarım","Ply Cutter","Üretim","Kalite (Üretim sonrası)","Talaşlı","Kalite (Talaşlı sonrası)","Montaj","Kalite (Montaj sonrası)","Boya","Kalite (Boya sonrası)","Yarı Mamül","KM"})),IF(COUNT(G691:R691)=0,"Başlamadı",LOOKUP(2,1/(G691:R691=MAX(G691:R691)),{"Tasarımda","Ply Cutter'da","Üretimde","Kalitede (Üretim sonrası)","Talaşlıda","Kalitede (Talaşlı sonrası)","Montajda","Kalitede (Montaj sonrası)","Boyada","Kalitede (Boya sonrası)","Yarı Mamülde","KM'de"}))))))</f>
        <v/>
      </c>
      <c r="AA691" s="24" t="str">
        <f t="shared" ca="1" si="172"/>
        <v/>
      </c>
      <c r="AB691" s="22"/>
      <c r="AD691" t="str">
        <f>IF(OR($B691="",NOT(ISNUMBER(G691))),"",IF(COUNTIF(H691:$T691,G691)&gt;0,0,IF(COUNTIF($G691:$T691,"&gt;"&amp;G691)=0,"",SMALL($G691:$T691,COUNTIF($G691:$T691,"&lt;="&amp;G691)+1)-G691)))</f>
        <v/>
      </c>
      <c r="AE691" t="str">
        <f>IF(OR($B691="",NOT(ISNUMBER(H691))),"",IF(COUNTIF(I691:$T691,H691)&gt;0,0,IF(COUNTIF($G691:$T691,"&gt;"&amp;H691)=0,"",SMALL($G691:$T691,COUNTIF($G691:$T691,"&lt;="&amp;H691)+1)-H691)))</f>
        <v/>
      </c>
      <c r="AF691" t="str">
        <f>IF(OR($B691="",NOT(ISNUMBER(I691))),"",IF(COUNTIF(J691:$T691,I691)&gt;0,0,IF(COUNTIF($G691:$T691,"&gt;"&amp;I691)=0,"",SMALL($G691:$T691,COUNTIF($G691:$T691,"&lt;="&amp;I691)+1)-I691)))</f>
        <v/>
      </c>
      <c r="AG691" t="str">
        <f>IF(OR($B691="",NOT(ISNUMBER(J691))),"",IF(COUNTIF(K691:$T691,J691)&gt;0,0,IF(COUNTIF($G691:$T691,"&gt;"&amp;J691)=0,"",SMALL($G691:$T691,COUNTIF($G691:$T691,"&lt;="&amp;J691)+1)-J691)))</f>
        <v/>
      </c>
      <c r="AH691" t="str">
        <f>IF(OR($B691="",NOT(ISNUMBER(K691))),"",IF(COUNTIF(L691:$T691,K691)&gt;0,0,IF(COUNTIF($G691:$T691,"&gt;"&amp;K691)=0,"",SMALL($G691:$T691,COUNTIF($G691:$T691,"&lt;="&amp;K691)+1)-K691)))</f>
        <v/>
      </c>
      <c r="AI691" t="str">
        <f>IF(OR($B691="",NOT(ISNUMBER(L691))),"",IF(COUNTIF(M691:$T691,L691)&gt;0,0,IF(COUNTIF($G691:$T691,"&gt;"&amp;L691)=0,"",SMALL($G691:$T691,COUNTIF($G691:$T691,"&lt;="&amp;L691)+1)-L691)))</f>
        <v/>
      </c>
      <c r="AJ691" t="str">
        <f>IF(OR($B691="",NOT(ISNUMBER(M691))),"",IF(COUNTIF(N691:$T691,M691)&gt;0,0,IF(COUNTIF($G691:$T691,"&gt;"&amp;M691)=0,"",SMALL($G691:$T691,COUNTIF($G691:$T691,"&lt;="&amp;M691)+1)-M691)))</f>
        <v/>
      </c>
      <c r="AK691" t="str">
        <f>IF(OR($B691="",NOT(ISNUMBER(N691))),"",IF(COUNTIF(O691:$T691,N691)&gt;0,0,IF(COUNTIF($G691:$T691,"&gt;"&amp;N691)=0,"",SMALL($G691:$T691,COUNTIF($G691:$T691,"&lt;="&amp;N691)+1)-N691)))</f>
        <v/>
      </c>
      <c r="AL691" t="str">
        <f>IF(OR($B691="",NOT(ISNUMBER(O691))),"",IF(COUNTIF(P691:$T691,O691)&gt;0,0,IF(COUNTIF($G691:$T691,"&gt;"&amp;O691)=0,"",SMALL($G691:$T691,COUNTIF($G691:$T691,"&lt;="&amp;O691)+1)-O691)))</f>
        <v/>
      </c>
      <c r="AM691" t="str">
        <f>IF(OR($B691="",NOT(ISNUMBER(P691))),"",IF(COUNTIF(Q691:$T691,P691)&gt;0,0,IF(COUNTIF($G691:$T691,"&gt;"&amp;P691)=0,"",SMALL($G691:$T691,COUNTIF($G691:$T691,"&lt;="&amp;P691)+1)-P691)))</f>
        <v/>
      </c>
      <c r="AN691" t="str">
        <f>IF(OR($B691="",NOT(ISNUMBER(Q691))),"",IF(COUNTIF(R691:$T691,Q691)&gt;0,0,IF(COUNTIF($G691:$T691,"&gt;"&amp;Q691)=0,"",SMALL($G691:$T691,COUNTIF($G691:$T691,"&lt;="&amp;Q691)+1)-Q691)))</f>
        <v/>
      </c>
      <c r="AO691" t="str">
        <f>IF(OR($B691="",NOT(ISNUMBER(R691))),"",IF(COUNTIF(S691:$T691,R691)&gt;0,0,IF(COUNTIF($G691:$T691,"&gt;"&amp;R691)=0,"",SMALL($G691:$T691,COUNTIF($G691:$T691,"&lt;="&amp;R691)+1)-R691)))</f>
        <v/>
      </c>
      <c r="AP691">
        <f t="shared" ca="1" si="173"/>
        <v>0</v>
      </c>
      <c r="AQ691" s="25" t="str">
        <f t="shared" si="174"/>
        <v/>
      </c>
      <c r="AR691" s="25" t="str">
        <f t="shared" si="175"/>
        <v/>
      </c>
      <c r="AS691" s="25" t="str">
        <f t="shared" si="176"/>
        <v/>
      </c>
      <c r="AT691" s="25" t="str">
        <f t="shared" si="177"/>
        <v/>
      </c>
      <c r="AU691" s="25" t="str">
        <f t="shared" si="178"/>
        <v/>
      </c>
      <c r="AV691" s="25" t="str">
        <f t="shared" si="179"/>
        <v/>
      </c>
      <c r="AW691" s="25" t="str">
        <f t="shared" si="180"/>
        <v/>
      </c>
      <c r="AX691" s="25" t="str">
        <f t="shared" si="181"/>
        <v/>
      </c>
      <c r="AY691" s="25" t="str">
        <f t="shared" si="182"/>
        <v/>
      </c>
      <c r="AZ691" s="25" t="str">
        <f t="shared" si="183"/>
        <v/>
      </c>
      <c r="BA691" s="25" t="str">
        <f t="shared" si="184"/>
        <v/>
      </c>
      <c r="BB691" s="25" t="str">
        <f t="shared" si="185"/>
        <v/>
      </c>
      <c r="BC691" s="25" t="str">
        <f t="shared" si="186"/>
        <v/>
      </c>
    </row>
    <row r="692" spans="1:55" x14ac:dyDescent="0.25">
      <c r="A692" s="19" t="str">
        <f t="shared" si="171"/>
        <v/>
      </c>
      <c r="B692" s="19"/>
      <c r="C692" s="20"/>
      <c r="D692" s="19" t="str">
        <f t="shared" si="170"/>
        <v/>
      </c>
      <c r="E692" s="19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19"/>
      <c r="U692" s="19"/>
      <c r="V692" s="20"/>
      <c r="W692" s="22"/>
      <c r="X692" s="21"/>
      <c r="Y692" s="21"/>
      <c r="Z692" s="23" t="str">
        <f>IF(B692="","",IF(S692&lt;&gt;"","Sevk Edildi",IF(AND(X692&lt;&gt;"",Y692=""),"Reworkte",IF(T692&lt;&gt;"","Kapandı"&amp;IF(COUNT(G692:R692)=0,""," – "&amp;LOOKUP(2,1/(G692:R692=MAX(G692:R692)),{"Tasarım","Ply Cutter","Üretim","Kalite (Üretim sonrası)","Talaşlı","Kalite (Talaşlı sonrası)","Montaj","Kalite (Montaj sonrası)","Boya","Kalite (Boya sonrası)","Yarı Mamül","KM"})),IF(COUNT(G692:R692)=0,"Başlamadı",LOOKUP(2,1/(G692:R692=MAX(G692:R692)),{"Tasarımda","Ply Cutter'da","Üretimde","Kalitede (Üretim sonrası)","Talaşlıda","Kalitede (Talaşlı sonrası)","Montajda","Kalitede (Montaj sonrası)","Boyada","Kalitede (Boya sonrası)","Yarı Mamülde","KM'de"}))))))</f>
        <v/>
      </c>
      <c r="AA692" s="24" t="str">
        <f t="shared" ca="1" si="172"/>
        <v/>
      </c>
      <c r="AB692" s="22"/>
      <c r="AD692" t="str">
        <f>IF(OR($B692="",NOT(ISNUMBER(G692))),"",IF(COUNTIF(H692:$T692,G692)&gt;0,0,IF(COUNTIF($G692:$T692,"&gt;"&amp;G692)=0,"",SMALL($G692:$T692,COUNTIF($G692:$T692,"&lt;="&amp;G692)+1)-G692)))</f>
        <v/>
      </c>
      <c r="AE692" t="str">
        <f>IF(OR($B692="",NOT(ISNUMBER(H692))),"",IF(COUNTIF(I692:$T692,H692)&gt;0,0,IF(COUNTIF($G692:$T692,"&gt;"&amp;H692)=0,"",SMALL($G692:$T692,COUNTIF($G692:$T692,"&lt;="&amp;H692)+1)-H692)))</f>
        <v/>
      </c>
      <c r="AF692" t="str">
        <f>IF(OR($B692="",NOT(ISNUMBER(I692))),"",IF(COUNTIF(J692:$T692,I692)&gt;0,0,IF(COUNTIF($G692:$T692,"&gt;"&amp;I692)=0,"",SMALL($G692:$T692,COUNTIF($G692:$T692,"&lt;="&amp;I692)+1)-I692)))</f>
        <v/>
      </c>
      <c r="AG692" t="str">
        <f>IF(OR($B692="",NOT(ISNUMBER(J692))),"",IF(COUNTIF(K692:$T692,J692)&gt;0,0,IF(COUNTIF($G692:$T692,"&gt;"&amp;J692)=0,"",SMALL($G692:$T692,COUNTIF($G692:$T692,"&lt;="&amp;J692)+1)-J692)))</f>
        <v/>
      </c>
      <c r="AH692" t="str">
        <f>IF(OR($B692="",NOT(ISNUMBER(K692))),"",IF(COUNTIF(L692:$T692,K692)&gt;0,0,IF(COUNTIF($G692:$T692,"&gt;"&amp;K692)=0,"",SMALL($G692:$T692,COUNTIF($G692:$T692,"&lt;="&amp;K692)+1)-K692)))</f>
        <v/>
      </c>
      <c r="AI692" t="str">
        <f>IF(OR($B692="",NOT(ISNUMBER(L692))),"",IF(COUNTIF(M692:$T692,L692)&gt;0,0,IF(COUNTIF($G692:$T692,"&gt;"&amp;L692)=0,"",SMALL($G692:$T692,COUNTIF($G692:$T692,"&lt;="&amp;L692)+1)-L692)))</f>
        <v/>
      </c>
      <c r="AJ692" t="str">
        <f>IF(OR($B692="",NOT(ISNUMBER(M692))),"",IF(COUNTIF(N692:$T692,M692)&gt;0,0,IF(COUNTIF($G692:$T692,"&gt;"&amp;M692)=0,"",SMALL($G692:$T692,COUNTIF($G692:$T692,"&lt;="&amp;M692)+1)-M692)))</f>
        <v/>
      </c>
      <c r="AK692" t="str">
        <f>IF(OR($B692="",NOT(ISNUMBER(N692))),"",IF(COUNTIF(O692:$T692,N692)&gt;0,0,IF(COUNTIF($G692:$T692,"&gt;"&amp;N692)=0,"",SMALL($G692:$T692,COUNTIF($G692:$T692,"&lt;="&amp;N692)+1)-N692)))</f>
        <v/>
      </c>
      <c r="AL692" t="str">
        <f>IF(OR($B692="",NOT(ISNUMBER(O692))),"",IF(COUNTIF(P692:$T692,O692)&gt;0,0,IF(COUNTIF($G692:$T692,"&gt;"&amp;O692)=0,"",SMALL($G692:$T692,COUNTIF($G692:$T692,"&lt;="&amp;O692)+1)-O692)))</f>
        <v/>
      </c>
      <c r="AM692" t="str">
        <f>IF(OR($B692="",NOT(ISNUMBER(P692))),"",IF(COUNTIF(Q692:$T692,P692)&gt;0,0,IF(COUNTIF($G692:$T692,"&gt;"&amp;P692)=0,"",SMALL($G692:$T692,COUNTIF($G692:$T692,"&lt;="&amp;P692)+1)-P692)))</f>
        <v/>
      </c>
      <c r="AN692" t="str">
        <f>IF(OR($B692="",NOT(ISNUMBER(Q692))),"",IF(COUNTIF(R692:$T692,Q692)&gt;0,0,IF(COUNTIF($G692:$T692,"&gt;"&amp;Q692)=0,"",SMALL($G692:$T692,COUNTIF($G692:$T692,"&lt;="&amp;Q692)+1)-Q692)))</f>
        <v/>
      </c>
      <c r="AO692" t="str">
        <f>IF(OR($B692="",NOT(ISNUMBER(R692))),"",IF(COUNTIF(S692:$T692,R692)&gt;0,0,IF(COUNTIF($G692:$T692,"&gt;"&amp;R692)=0,"",SMALL($G692:$T692,COUNTIF($G692:$T692,"&lt;="&amp;R692)+1)-R692)))</f>
        <v/>
      </c>
      <c r="AP692">
        <f t="shared" ca="1" si="173"/>
        <v>0</v>
      </c>
      <c r="AQ692" s="25" t="str">
        <f t="shared" si="174"/>
        <v/>
      </c>
      <c r="AR692" s="25" t="str">
        <f t="shared" si="175"/>
        <v/>
      </c>
      <c r="AS692" s="25" t="str">
        <f t="shared" si="176"/>
        <v/>
      </c>
      <c r="AT692" s="25" t="str">
        <f t="shared" si="177"/>
        <v/>
      </c>
      <c r="AU692" s="25" t="str">
        <f t="shared" si="178"/>
        <v/>
      </c>
      <c r="AV692" s="25" t="str">
        <f t="shared" si="179"/>
        <v/>
      </c>
      <c r="AW692" s="25" t="str">
        <f t="shared" si="180"/>
        <v/>
      </c>
      <c r="AX692" s="25" t="str">
        <f t="shared" si="181"/>
        <v/>
      </c>
      <c r="AY692" s="25" t="str">
        <f t="shared" si="182"/>
        <v/>
      </c>
      <c r="AZ692" s="25" t="str">
        <f t="shared" si="183"/>
        <v/>
      </c>
      <c r="BA692" s="25" t="str">
        <f t="shared" si="184"/>
        <v/>
      </c>
      <c r="BB692" s="25" t="str">
        <f t="shared" si="185"/>
        <v/>
      </c>
      <c r="BC692" s="25" t="str">
        <f t="shared" si="186"/>
        <v/>
      </c>
    </row>
    <row r="693" spans="1:55" x14ac:dyDescent="0.25">
      <c r="A693" s="19" t="str">
        <f t="shared" si="171"/>
        <v/>
      </c>
      <c r="B693" s="19"/>
      <c r="C693" s="20"/>
      <c r="D693" s="19" t="str">
        <f t="shared" si="170"/>
        <v/>
      </c>
      <c r="E693" s="19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19"/>
      <c r="U693" s="19"/>
      <c r="V693" s="20"/>
      <c r="W693" s="22"/>
      <c r="X693" s="21"/>
      <c r="Y693" s="21"/>
      <c r="Z693" s="23" t="str">
        <f>IF(B693="","",IF(S693&lt;&gt;"","Sevk Edildi",IF(AND(X693&lt;&gt;"",Y693=""),"Reworkte",IF(T693&lt;&gt;"","Kapandı"&amp;IF(COUNT(G693:R693)=0,""," – "&amp;LOOKUP(2,1/(G693:R693=MAX(G693:R693)),{"Tasarım","Ply Cutter","Üretim","Kalite (Üretim sonrası)","Talaşlı","Kalite (Talaşlı sonrası)","Montaj","Kalite (Montaj sonrası)","Boya","Kalite (Boya sonrası)","Yarı Mamül","KM"})),IF(COUNT(G693:R693)=0,"Başlamadı",LOOKUP(2,1/(G693:R693=MAX(G693:R693)),{"Tasarımda","Ply Cutter'da","Üretimde","Kalitede (Üretim sonrası)","Talaşlıda","Kalitede (Talaşlı sonrası)","Montajda","Kalitede (Montaj sonrası)","Boyada","Kalitede (Boya sonrası)","Yarı Mamülde","KM'de"}))))))</f>
        <v/>
      </c>
      <c r="AA693" s="24" t="str">
        <f t="shared" ca="1" si="172"/>
        <v/>
      </c>
      <c r="AB693" s="22"/>
      <c r="AD693" t="str">
        <f>IF(OR($B693="",NOT(ISNUMBER(G693))),"",IF(COUNTIF(H693:$T693,G693)&gt;0,0,IF(COUNTIF($G693:$T693,"&gt;"&amp;G693)=0,"",SMALL($G693:$T693,COUNTIF($G693:$T693,"&lt;="&amp;G693)+1)-G693)))</f>
        <v/>
      </c>
      <c r="AE693" t="str">
        <f>IF(OR($B693="",NOT(ISNUMBER(H693))),"",IF(COUNTIF(I693:$T693,H693)&gt;0,0,IF(COUNTIF($G693:$T693,"&gt;"&amp;H693)=0,"",SMALL($G693:$T693,COUNTIF($G693:$T693,"&lt;="&amp;H693)+1)-H693)))</f>
        <v/>
      </c>
      <c r="AF693" t="str">
        <f>IF(OR($B693="",NOT(ISNUMBER(I693))),"",IF(COUNTIF(J693:$T693,I693)&gt;0,0,IF(COUNTIF($G693:$T693,"&gt;"&amp;I693)=0,"",SMALL($G693:$T693,COUNTIF($G693:$T693,"&lt;="&amp;I693)+1)-I693)))</f>
        <v/>
      </c>
      <c r="AG693" t="str">
        <f>IF(OR($B693="",NOT(ISNUMBER(J693))),"",IF(COUNTIF(K693:$T693,J693)&gt;0,0,IF(COUNTIF($G693:$T693,"&gt;"&amp;J693)=0,"",SMALL($G693:$T693,COUNTIF($G693:$T693,"&lt;="&amp;J693)+1)-J693)))</f>
        <v/>
      </c>
      <c r="AH693" t="str">
        <f>IF(OR($B693="",NOT(ISNUMBER(K693))),"",IF(COUNTIF(L693:$T693,K693)&gt;0,0,IF(COUNTIF($G693:$T693,"&gt;"&amp;K693)=0,"",SMALL($G693:$T693,COUNTIF($G693:$T693,"&lt;="&amp;K693)+1)-K693)))</f>
        <v/>
      </c>
      <c r="AI693" t="str">
        <f>IF(OR($B693="",NOT(ISNUMBER(L693))),"",IF(COUNTIF(M693:$T693,L693)&gt;0,0,IF(COUNTIF($G693:$T693,"&gt;"&amp;L693)=0,"",SMALL($G693:$T693,COUNTIF($G693:$T693,"&lt;="&amp;L693)+1)-L693)))</f>
        <v/>
      </c>
      <c r="AJ693" t="str">
        <f>IF(OR($B693="",NOT(ISNUMBER(M693))),"",IF(COUNTIF(N693:$T693,M693)&gt;0,0,IF(COUNTIF($G693:$T693,"&gt;"&amp;M693)=0,"",SMALL($G693:$T693,COUNTIF($G693:$T693,"&lt;="&amp;M693)+1)-M693)))</f>
        <v/>
      </c>
      <c r="AK693" t="str">
        <f>IF(OR($B693="",NOT(ISNUMBER(N693))),"",IF(COUNTIF(O693:$T693,N693)&gt;0,0,IF(COUNTIF($G693:$T693,"&gt;"&amp;N693)=0,"",SMALL($G693:$T693,COUNTIF($G693:$T693,"&lt;="&amp;N693)+1)-N693)))</f>
        <v/>
      </c>
      <c r="AL693" t="str">
        <f>IF(OR($B693="",NOT(ISNUMBER(O693))),"",IF(COUNTIF(P693:$T693,O693)&gt;0,0,IF(COUNTIF($G693:$T693,"&gt;"&amp;O693)=0,"",SMALL($G693:$T693,COUNTIF($G693:$T693,"&lt;="&amp;O693)+1)-O693)))</f>
        <v/>
      </c>
      <c r="AM693" t="str">
        <f>IF(OR($B693="",NOT(ISNUMBER(P693))),"",IF(COUNTIF(Q693:$T693,P693)&gt;0,0,IF(COUNTIF($G693:$T693,"&gt;"&amp;P693)=0,"",SMALL($G693:$T693,COUNTIF($G693:$T693,"&lt;="&amp;P693)+1)-P693)))</f>
        <v/>
      </c>
      <c r="AN693" t="str">
        <f>IF(OR($B693="",NOT(ISNUMBER(Q693))),"",IF(COUNTIF(R693:$T693,Q693)&gt;0,0,IF(COUNTIF($G693:$T693,"&gt;"&amp;Q693)=0,"",SMALL($G693:$T693,COUNTIF($G693:$T693,"&lt;="&amp;Q693)+1)-Q693)))</f>
        <v/>
      </c>
      <c r="AO693" t="str">
        <f>IF(OR($B693="",NOT(ISNUMBER(R693))),"",IF(COUNTIF(S693:$T693,R693)&gt;0,0,IF(COUNTIF($G693:$T693,"&gt;"&amp;R693)=0,"",SMALL($G693:$T693,COUNTIF($G693:$T693,"&lt;="&amp;R693)+1)-R693)))</f>
        <v/>
      </c>
      <c r="AP693">
        <f t="shared" ca="1" si="173"/>
        <v>0</v>
      </c>
      <c r="AQ693" s="25" t="str">
        <f t="shared" si="174"/>
        <v/>
      </c>
      <c r="AR693" s="25" t="str">
        <f t="shared" si="175"/>
        <v/>
      </c>
      <c r="AS693" s="25" t="str">
        <f t="shared" si="176"/>
        <v/>
      </c>
      <c r="AT693" s="25" t="str">
        <f t="shared" si="177"/>
        <v/>
      </c>
      <c r="AU693" s="25" t="str">
        <f t="shared" si="178"/>
        <v/>
      </c>
      <c r="AV693" s="25" t="str">
        <f t="shared" si="179"/>
        <v/>
      </c>
      <c r="AW693" s="25" t="str">
        <f t="shared" si="180"/>
        <v/>
      </c>
      <c r="AX693" s="25" t="str">
        <f t="shared" si="181"/>
        <v/>
      </c>
      <c r="AY693" s="25" t="str">
        <f t="shared" si="182"/>
        <v/>
      </c>
      <c r="AZ693" s="25" t="str">
        <f t="shared" si="183"/>
        <v/>
      </c>
      <c r="BA693" s="25" t="str">
        <f t="shared" si="184"/>
        <v/>
      </c>
      <c r="BB693" s="25" t="str">
        <f t="shared" si="185"/>
        <v/>
      </c>
      <c r="BC693" s="25" t="str">
        <f t="shared" si="186"/>
        <v/>
      </c>
    </row>
    <row r="694" spans="1:55" x14ac:dyDescent="0.25">
      <c r="A694" s="19" t="str">
        <f t="shared" si="171"/>
        <v/>
      </c>
      <c r="B694" s="19"/>
      <c r="C694" s="20"/>
      <c r="D694" s="19" t="str">
        <f t="shared" si="170"/>
        <v/>
      </c>
      <c r="E694" s="19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19"/>
      <c r="U694" s="19"/>
      <c r="V694" s="20"/>
      <c r="W694" s="22"/>
      <c r="X694" s="21"/>
      <c r="Y694" s="21"/>
      <c r="Z694" s="23" t="str">
        <f>IF(B694="","",IF(S694&lt;&gt;"","Sevk Edildi",IF(AND(X694&lt;&gt;"",Y694=""),"Reworkte",IF(T694&lt;&gt;"","Kapandı"&amp;IF(COUNT(G694:R694)=0,""," – "&amp;LOOKUP(2,1/(G694:R694=MAX(G694:R694)),{"Tasarım","Ply Cutter","Üretim","Kalite (Üretim sonrası)","Talaşlı","Kalite (Talaşlı sonrası)","Montaj","Kalite (Montaj sonrası)","Boya","Kalite (Boya sonrası)","Yarı Mamül","KM"})),IF(COUNT(G694:R694)=0,"Başlamadı",LOOKUP(2,1/(G694:R694=MAX(G694:R694)),{"Tasarımda","Ply Cutter'da","Üretimde","Kalitede (Üretim sonrası)","Talaşlıda","Kalitede (Talaşlı sonrası)","Montajda","Kalitede (Montaj sonrası)","Boyada","Kalitede (Boya sonrası)","Yarı Mamülde","KM'de"}))))))</f>
        <v/>
      </c>
      <c r="AA694" s="24" t="str">
        <f t="shared" ca="1" si="172"/>
        <v/>
      </c>
      <c r="AB694" s="22"/>
      <c r="AD694" t="str">
        <f>IF(OR($B694="",NOT(ISNUMBER(G694))),"",IF(COUNTIF(H694:$T694,G694)&gt;0,0,IF(COUNTIF($G694:$T694,"&gt;"&amp;G694)=0,"",SMALL($G694:$T694,COUNTIF($G694:$T694,"&lt;="&amp;G694)+1)-G694)))</f>
        <v/>
      </c>
      <c r="AE694" t="str">
        <f>IF(OR($B694="",NOT(ISNUMBER(H694))),"",IF(COUNTIF(I694:$T694,H694)&gt;0,0,IF(COUNTIF($G694:$T694,"&gt;"&amp;H694)=0,"",SMALL($G694:$T694,COUNTIF($G694:$T694,"&lt;="&amp;H694)+1)-H694)))</f>
        <v/>
      </c>
      <c r="AF694" t="str">
        <f>IF(OR($B694="",NOT(ISNUMBER(I694))),"",IF(COUNTIF(J694:$T694,I694)&gt;0,0,IF(COUNTIF($G694:$T694,"&gt;"&amp;I694)=0,"",SMALL($G694:$T694,COUNTIF($G694:$T694,"&lt;="&amp;I694)+1)-I694)))</f>
        <v/>
      </c>
      <c r="AG694" t="str">
        <f>IF(OR($B694="",NOT(ISNUMBER(J694))),"",IF(COUNTIF(K694:$T694,J694)&gt;0,0,IF(COUNTIF($G694:$T694,"&gt;"&amp;J694)=0,"",SMALL($G694:$T694,COUNTIF($G694:$T694,"&lt;="&amp;J694)+1)-J694)))</f>
        <v/>
      </c>
      <c r="AH694" t="str">
        <f>IF(OR($B694="",NOT(ISNUMBER(K694))),"",IF(COUNTIF(L694:$T694,K694)&gt;0,0,IF(COUNTIF($G694:$T694,"&gt;"&amp;K694)=0,"",SMALL($G694:$T694,COUNTIF($G694:$T694,"&lt;="&amp;K694)+1)-K694)))</f>
        <v/>
      </c>
      <c r="AI694" t="str">
        <f>IF(OR($B694="",NOT(ISNUMBER(L694))),"",IF(COUNTIF(M694:$T694,L694)&gt;0,0,IF(COUNTIF($G694:$T694,"&gt;"&amp;L694)=0,"",SMALL($G694:$T694,COUNTIF($G694:$T694,"&lt;="&amp;L694)+1)-L694)))</f>
        <v/>
      </c>
      <c r="AJ694" t="str">
        <f>IF(OR($B694="",NOT(ISNUMBER(M694))),"",IF(COUNTIF(N694:$T694,M694)&gt;0,0,IF(COUNTIF($G694:$T694,"&gt;"&amp;M694)=0,"",SMALL($G694:$T694,COUNTIF($G694:$T694,"&lt;="&amp;M694)+1)-M694)))</f>
        <v/>
      </c>
      <c r="AK694" t="str">
        <f>IF(OR($B694="",NOT(ISNUMBER(N694))),"",IF(COUNTIF(O694:$T694,N694)&gt;0,0,IF(COUNTIF($G694:$T694,"&gt;"&amp;N694)=0,"",SMALL($G694:$T694,COUNTIF($G694:$T694,"&lt;="&amp;N694)+1)-N694)))</f>
        <v/>
      </c>
      <c r="AL694" t="str">
        <f>IF(OR($B694="",NOT(ISNUMBER(O694))),"",IF(COUNTIF(P694:$T694,O694)&gt;0,0,IF(COUNTIF($G694:$T694,"&gt;"&amp;O694)=0,"",SMALL($G694:$T694,COUNTIF($G694:$T694,"&lt;="&amp;O694)+1)-O694)))</f>
        <v/>
      </c>
      <c r="AM694" t="str">
        <f>IF(OR($B694="",NOT(ISNUMBER(P694))),"",IF(COUNTIF(Q694:$T694,P694)&gt;0,0,IF(COUNTIF($G694:$T694,"&gt;"&amp;P694)=0,"",SMALL($G694:$T694,COUNTIF($G694:$T694,"&lt;="&amp;P694)+1)-P694)))</f>
        <v/>
      </c>
      <c r="AN694" t="str">
        <f>IF(OR($B694="",NOT(ISNUMBER(Q694))),"",IF(COUNTIF(R694:$T694,Q694)&gt;0,0,IF(COUNTIF($G694:$T694,"&gt;"&amp;Q694)=0,"",SMALL($G694:$T694,COUNTIF($G694:$T694,"&lt;="&amp;Q694)+1)-Q694)))</f>
        <v/>
      </c>
      <c r="AO694" t="str">
        <f>IF(OR($B694="",NOT(ISNUMBER(R694))),"",IF(COUNTIF(S694:$T694,R694)&gt;0,0,IF(COUNTIF($G694:$T694,"&gt;"&amp;R694)=0,"",SMALL($G694:$T694,COUNTIF($G694:$T694,"&lt;="&amp;R694)+1)-R694)))</f>
        <v/>
      </c>
      <c r="AP694">
        <f t="shared" ca="1" si="173"/>
        <v>0</v>
      </c>
      <c r="AQ694" s="25" t="str">
        <f t="shared" si="174"/>
        <v/>
      </c>
      <c r="AR694" s="25" t="str">
        <f t="shared" si="175"/>
        <v/>
      </c>
      <c r="AS694" s="25" t="str">
        <f t="shared" si="176"/>
        <v/>
      </c>
      <c r="AT694" s="25" t="str">
        <f t="shared" si="177"/>
        <v/>
      </c>
      <c r="AU694" s="25" t="str">
        <f t="shared" si="178"/>
        <v/>
      </c>
      <c r="AV694" s="25" t="str">
        <f t="shared" si="179"/>
        <v/>
      </c>
      <c r="AW694" s="25" t="str">
        <f t="shared" si="180"/>
        <v/>
      </c>
      <c r="AX694" s="25" t="str">
        <f t="shared" si="181"/>
        <v/>
      </c>
      <c r="AY694" s="25" t="str">
        <f t="shared" si="182"/>
        <v/>
      </c>
      <c r="AZ694" s="25" t="str">
        <f t="shared" si="183"/>
        <v/>
      </c>
      <c r="BA694" s="25" t="str">
        <f t="shared" si="184"/>
        <v/>
      </c>
      <c r="BB694" s="25" t="str">
        <f t="shared" si="185"/>
        <v/>
      </c>
      <c r="BC694" s="25" t="str">
        <f t="shared" si="186"/>
        <v/>
      </c>
    </row>
    <row r="695" spans="1:55" x14ac:dyDescent="0.25">
      <c r="A695" s="19" t="str">
        <f t="shared" si="171"/>
        <v/>
      </c>
      <c r="B695" s="19"/>
      <c r="C695" s="20"/>
      <c r="D695" s="19" t="str">
        <f t="shared" si="170"/>
        <v/>
      </c>
      <c r="E695" s="19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19"/>
      <c r="U695" s="19"/>
      <c r="V695" s="20"/>
      <c r="W695" s="22"/>
      <c r="X695" s="21"/>
      <c r="Y695" s="21"/>
      <c r="Z695" s="23" t="str">
        <f>IF(B695="","",IF(S695&lt;&gt;"","Sevk Edildi",IF(AND(X695&lt;&gt;"",Y695=""),"Reworkte",IF(T695&lt;&gt;"","Kapandı"&amp;IF(COUNT(G695:R695)=0,""," – "&amp;LOOKUP(2,1/(G695:R695=MAX(G695:R695)),{"Tasarım","Ply Cutter","Üretim","Kalite (Üretim sonrası)","Talaşlı","Kalite (Talaşlı sonrası)","Montaj","Kalite (Montaj sonrası)","Boya","Kalite (Boya sonrası)","Yarı Mamül","KM"})),IF(COUNT(G695:R695)=0,"Başlamadı",LOOKUP(2,1/(G695:R695=MAX(G695:R695)),{"Tasarımda","Ply Cutter'da","Üretimde","Kalitede (Üretim sonrası)","Talaşlıda","Kalitede (Talaşlı sonrası)","Montajda","Kalitede (Montaj sonrası)","Boyada","Kalitede (Boya sonrası)","Yarı Mamülde","KM'de"}))))))</f>
        <v/>
      </c>
      <c r="AA695" s="24" t="str">
        <f t="shared" ca="1" si="172"/>
        <v/>
      </c>
      <c r="AB695" s="22"/>
      <c r="AD695" t="str">
        <f>IF(OR($B695="",NOT(ISNUMBER(G695))),"",IF(COUNTIF(H695:$T695,G695)&gt;0,0,IF(COUNTIF($G695:$T695,"&gt;"&amp;G695)=0,"",SMALL($G695:$T695,COUNTIF($G695:$T695,"&lt;="&amp;G695)+1)-G695)))</f>
        <v/>
      </c>
      <c r="AE695" t="str">
        <f>IF(OR($B695="",NOT(ISNUMBER(H695))),"",IF(COUNTIF(I695:$T695,H695)&gt;0,0,IF(COUNTIF($G695:$T695,"&gt;"&amp;H695)=0,"",SMALL($G695:$T695,COUNTIF($G695:$T695,"&lt;="&amp;H695)+1)-H695)))</f>
        <v/>
      </c>
      <c r="AF695" t="str">
        <f>IF(OR($B695="",NOT(ISNUMBER(I695))),"",IF(COUNTIF(J695:$T695,I695)&gt;0,0,IF(COUNTIF($G695:$T695,"&gt;"&amp;I695)=0,"",SMALL($G695:$T695,COUNTIF($G695:$T695,"&lt;="&amp;I695)+1)-I695)))</f>
        <v/>
      </c>
      <c r="AG695" t="str">
        <f>IF(OR($B695="",NOT(ISNUMBER(J695))),"",IF(COUNTIF(K695:$T695,J695)&gt;0,0,IF(COUNTIF($G695:$T695,"&gt;"&amp;J695)=0,"",SMALL($G695:$T695,COUNTIF($G695:$T695,"&lt;="&amp;J695)+1)-J695)))</f>
        <v/>
      </c>
      <c r="AH695" t="str">
        <f>IF(OR($B695="",NOT(ISNUMBER(K695))),"",IF(COUNTIF(L695:$T695,K695)&gt;0,0,IF(COUNTIF($G695:$T695,"&gt;"&amp;K695)=0,"",SMALL($G695:$T695,COUNTIF($G695:$T695,"&lt;="&amp;K695)+1)-K695)))</f>
        <v/>
      </c>
      <c r="AI695" t="str">
        <f>IF(OR($B695="",NOT(ISNUMBER(L695))),"",IF(COUNTIF(M695:$T695,L695)&gt;0,0,IF(COUNTIF($G695:$T695,"&gt;"&amp;L695)=0,"",SMALL($G695:$T695,COUNTIF($G695:$T695,"&lt;="&amp;L695)+1)-L695)))</f>
        <v/>
      </c>
      <c r="AJ695" t="str">
        <f>IF(OR($B695="",NOT(ISNUMBER(M695))),"",IF(COUNTIF(N695:$T695,M695)&gt;0,0,IF(COUNTIF($G695:$T695,"&gt;"&amp;M695)=0,"",SMALL($G695:$T695,COUNTIF($G695:$T695,"&lt;="&amp;M695)+1)-M695)))</f>
        <v/>
      </c>
      <c r="AK695" t="str">
        <f>IF(OR($B695="",NOT(ISNUMBER(N695))),"",IF(COUNTIF(O695:$T695,N695)&gt;0,0,IF(COUNTIF($G695:$T695,"&gt;"&amp;N695)=0,"",SMALL($G695:$T695,COUNTIF($G695:$T695,"&lt;="&amp;N695)+1)-N695)))</f>
        <v/>
      </c>
      <c r="AL695" t="str">
        <f>IF(OR($B695="",NOT(ISNUMBER(O695))),"",IF(COUNTIF(P695:$T695,O695)&gt;0,0,IF(COUNTIF($G695:$T695,"&gt;"&amp;O695)=0,"",SMALL($G695:$T695,COUNTIF($G695:$T695,"&lt;="&amp;O695)+1)-O695)))</f>
        <v/>
      </c>
      <c r="AM695" t="str">
        <f>IF(OR($B695="",NOT(ISNUMBER(P695))),"",IF(COUNTIF(Q695:$T695,P695)&gt;0,0,IF(COUNTIF($G695:$T695,"&gt;"&amp;P695)=0,"",SMALL($G695:$T695,COUNTIF($G695:$T695,"&lt;="&amp;P695)+1)-P695)))</f>
        <v/>
      </c>
      <c r="AN695" t="str">
        <f>IF(OR($B695="",NOT(ISNUMBER(Q695))),"",IF(COUNTIF(R695:$T695,Q695)&gt;0,0,IF(COUNTIF($G695:$T695,"&gt;"&amp;Q695)=0,"",SMALL($G695:$T695,COUNTIF($G695:$T695,"&lt;="&amp;Q695)+1)-Q695)))</f>
        <v/>
      </c>
      <c r="AO695" t="str">
        <f>IF(OR($B695="",NOT(ISNUMBER(R695))),"",IF(COUNTIF(S695:$T695,R695)&gt;0,0,IF(COUNTIF($G695:$T695,"&gt;"&amp;R695)=0,"",SMALL($G695:$T695,COUNTIF($G695:$T695,"&lt;="&amp;R695)+1)-R695)))</f>
        <v/>
      </c>
      <c r="AP695">
        <f t="shared" ca="1" si="173"/>
        <v>0</v>
      </c>
      <c r="AQ695" s="25" t="str">
        <f t="shared" si="174"/>
        <v/>
      </c>
      <c r="AR695" s="25" t="str">
        <f t="shared" si="175"/>
        <v/>
      </c>
      <c r="AS695" s="25" t="str">
        <f t="shared" si="176"/>
        <v/>
      </c>
      <c r="AT695" s="25" t="str">
        <f t="shared" si="177"/>
        <v/>
      </c>
      <c r="AU695" s="25" t="str">
        <f t="shared" si="178"/>
        <v/>
      </c>
      <c r="AV695" s="25" t="str">
        <f t="shared" si="179"/>
        <v/>
      </c>
      <c r="AW695" s="25" t="str">
        <f t="shared" si="180"/>
        <v/>
      </c>
      <c r="AX695" s="25" t="str">
        <f t="shared" si="181"/>
        <v/>
      </c>
      <c r="AY695" s="25" t="str">
        <f t="shared" si="182"/>
        <v/>
      </c>
      <c r="AZ695" s="25" t="str">
        <f t="shared" si="183"/>
        <v/>
      </c>
      <c r="BA695" s="25" t="str">
        <f t="shared" si="184"/>
        <v/>
      </c>
      <c r="BB695" s="25" t="str">
        <f t="shared" si="185"/>
        <v/>
      </c>
      <c r="BC695" s="25" t="str">
        <f t="shared" si="186"/>
        <v/>
      </c>
    </row>
    <row r="696" spans="1:55" x14ac:dyDescent="0.25">
      <c r="A696" s="19" t="str">
        <f t="shared" si="171"/>
        <v/>
      </c>
      <c r="B696" s="19"/>
      <c r="C696" s="20"/>
      <c r="D696" s="19" t="str">
        <f t="shared" si="170"/>
        <v/>
      </c>
      <c r="E696" s="19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19"/>
      <c r="U696" s="19"/>
      <c r="V696" s="20"/>
      <c r="W696" s="22"/>
      <c r="X696" s="21"/>
      <c r="Y696" s="21"/>
      <c r="Z696" s="23" t="str">
        <f>IF(B696="","",IF(S696&lt;&gt;"","Sevk Edildi",IF(AND(X696&lt;&gt;"",Y696=""),"Reworkte",IF(T696&lt;&gt;"","Kapandı"&amp;IF(COUNT(G696:R696)=0,""," – "&amp;LOOKUP(2,1/(G696:R696=MAX(G696:R696)),{"Tasarım","Ply Cutter","Üretim","Kalite (Üretim sonrası)","Talaşlı","Kalite (Talaşlı sonrası)","Montaj","Kalite (Montaj sonrası)","Boya","Kalite (Boya sonrası)","Yarı Mamül","KM"})),IF(COUNT(G696:R696)=0,"Başlamadı",LOOKUP(2,1/(G696:R696=MAX(G696:R696)),{"Tasarımda","Ply Cutter'da","Üretimde","Kalitede (Üretim sonrası)","Talaşlıda","Kalitede (Talaşlı sonrası)","Montajda","Kalitede (Montaj sonrası)","Boyada","Kalitede (Boya sonrası)","Yarı Mamülde","KM'de"}))))))</f>
        <v/>
      </c>
      <c r="AA696" s="24" t="str">
        <f t="shared" ca="1" si="172"/>
        <v/>
      </c>
      <c r="AB696" s="22"/>
      <c r="AD696" t="str">
        <f>IF(OR($B696="",NOT(ISNUMBER(G696))),"",IF(COUNTIF(H696:$T696,G696)&gt;0,0,IF(COUNTIF($G696:$T696,"&gt;"&amp;G696)=0,"",SMALL($G696:$T696,COUNTIF($G696:$T696,"&lt;="&amp;G696)+1)-G696)))</f>
        <v/>
      </c>
      <c r="AE696" t="str">
        <f>IF(OR($B696="",NOT(ISNUMBER(H696))),"",IF(COUNTIF(I696:$T696,H696)&gt;0,0,IF(COUNTIF($G696:$T696,"&gt;"&amp;H696)=0,"",SMALL($G696:$T696,COUNTIF($G696:$T696,"&lt;="&amp;H696)+1)-H696)))</f>
        <v/>
      </c>
      <c r="AF696" t="str">
        <f>IF(OR($B696="",NOT(ISNUMBER(I696))),"",IF(COUNTIF(J696:$T696,I696)&gt;0,0,IF(COUNTIF($G696:$T696,"&gt;"&amp;I696)=0,"",SMALL($G696:$T696,COUNTIF($G696:$T696,"&lt;="&amp;I696)+1)-I696)))</f>
        <v/>
      </c>
      <c r="AG696" t="str">
        <f>IF(OR($B696="",NOT(ISNUMBER(J696))),"",IF(COUNTIF(K696:$T696,J696)&gt;0,0,IF(COUNTIF($G696:$T696,"&gt;"&amp;J696)=0,"",SMALL($G696:$T696,COUNTIF($G696:$T696,"&lt;="&amp;J696)+1)-J696)))</f>
        <v/>
      </c>
      <c r="AH696" t="str">
        <f>IF(OR($B696="",NOT(ISNUMBER(K696))),"",IF(COUNTIF(L696:$T696,K696)&gt;0,0,IF(COUNTIF($G696:$T696,"&gt;"&amp;K696)=0,"",SMALL($G696:$T696,COUNTIF($G696:$T696,"&lt;="&amp;K696)+1)-K696)))</f>
        <v/>
      </c>
      <c r="AI696" t="str">
        <f>IF(OR($B696="",NOT(ISNUMBER(L696))),"",IF(COUNTIF(M696:$T696,L696)&gt;0,0,IF(COUNTIF($G696:$T696,"&gt;"&amp;L696)=0,"",SMALL($G696:$T696,COUNTIF($G696:$T696,"&lt;="&amp;L696)+1)-L696)))</f>
        <v/>
      </c>
      <c r="AJ696" t="str">
        <f>IF(OR($B696="",NOT(ISNUMBER(M696))),"",IF(COUNTIF(N696:$T696,M696)&gt;0,0,IF(COUNTIF($G696:$T696,"&gt;"&amp;M696)=0,"",SMALL($G696:$T696,COUNTIF($G696:$T696,"&lt;="&amp;M696)+1)-M696)))</f>
        <v/>
      </c>
      <c r="AK696" t="str">
        <f>IF(OR($B696="",NOT(ISNUMBER(N696))),"",IF(COUNTIF(O696:$T696,N696)&gt;0,0,IF(COUNTIF($G696:$T696,"&gt;"&amp;N696)=0,"",SMALL($G696:$T696,COUNTIF($G696:$T696,"&lt;="&amp;N696)+1)-N696)))</f>
        <v/>
      </c>
      <c r="AL696" t="str">
        <f>IF(OR($B696="",NOT(ISNUMBER(O696))),"",IF(COUNTIF(P696:$T696,O696)&gt;0,0,IF(COUNTIF($G696:$T696,"&gt;"&amp;O696)=0,"",SMALL($G696:$T696,COUNTIF($G696:$T696,"&lt;="&amp;O696)+1)-O696)))</f>
        <v/>
      </c>
      <c r="AM696" t="str">
        <f>IF(OR($B696="",NOT(ISNUMBER(P696))),"",IF(COUNTIF(Q696:$T696,P696)&gt;0,0,IF(COUNTIF($G696:$T696,"&gt;"&amp;P696)=0,"",SMALL($G696:$T696,COUNTIF($G696:$T696,"&lt;="&amp;P696)+1)-P696)))</f>
        <v/>
      </c>
      <c r="AN696" t="str">
        <f>IF(OR($B696="",NOT(ISNUMBER(Q696))),"",IF(COUNTIF(R696:$T696,Q696)&gt;0,0,IF(COUNTIF($G696:$T696,"&gt;"&amp;Q696)=0,"",SMALL($G696:$T696,COUNTIF($G696:$T696,"&lt;="&amp;Q696)+1)-Q696)))</f>
        <v/>
      </c>
      <c r="AO696" t="str">
        <f>IF(OR($B696="",NOT(ISNUMBER(R696))),"",IF(COUNTIF(S696:$T696,R696)&gt;0,0,IF(COUNTIF($G696:$T696,"&gt;"&amp;R696)=0,"",SMALL($G696:$T696,COUNTIF($G696:$T696,"&lt;="&amp;R696)+1)-R696)))</f>
        <v/>
      </c>
      <c r="AP696">
        <f t="shared" ca="1" si="173"/>
        <v>0</v>
      </c>
      <c r="AQ696" s="25" t="str">
        <f t="shared" si="174"/>
        <v/>
      </c>
      <c r="AR696" s="25" t="str">
        <f t="shared" si="175"/>
        <v/>
      </c>
      <c r="AS696" s="25" t="str">
        <f t="shared" si="176"/>
        <v/>
      </c>
      <c r="AT696" s="25" t="str">
        <f t="shared" si="177"/>
        <v/>
      </c>
      <c r="AU696" s="25" t="str">
        <f t="shared" si="178"/>
        <v/>
      </c>
      <c r="AV696" s="25" t="str">
        <f t="shared" si="179"/>
        <v/>
      </c>
      <c r="AW696" s="25" t="str">
        <f t="shared" si="180"/>
        <v/>
      </c>
      <c r="AX696" s="25" t="str">
        <f t="shared" si="181"/>
        <v/>
      </c>
      <c r="AY696" s="25" t="str">
        <f t="shared" si="182"/>
        <v/>
      </c>
      <c r="AZ696" s="25" t="str">
        <f t="shared" si="183"/>
        <v/>
      </c>
      <c r="BA696" s="25" t="str">
        <f t="shared" si="184"/>
        <v/>
      </c>
      <c r="BB696" s="25" t="str">
        <f t="shared" si="185"/>
        <v/>
      </c>
      <c r="BC696" s="25" t="str">
        <f t="shared" si="186"/>
        <v/>
      </c>
    </row>
    <row r="697" spans="1:55" x14ac:dyDescent="0.25">
      <c r="A697" s="19" t="str">
        <f t="shared" si="171"/>
        <v/>
      </c>
      <c r="B697" s="19"/>
      <c r="C697" s="20"/>
      <c r="D697" s="19" t="str">
        <f t="shared" si="170"/>
        <v/>
      </c>
      <c r="E697" s="19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19"/>
      <c r="U697" s="19"/>
      <c r="V697" s="20"/>
      <c r="W697" s="22"/>
      <c r="X697" s="21"/>
      <c r="Y697" s="21"/>
      <c r="Z697" s="23" t="str">
        <f>IF(B697="","",IF(S697&lt;&gt;"","Sevk Edildi",IF(AND(X697&lt;&gt;"",Y697=""),"Reworkte",IF(T697&lt;&gt;"","Kapandı"&amp;IF(COUNT(G697:R697)=0,""," – "&amp;LOOKUP(2,1/(G697:R697=MAX(G697:R697)),{"Tasarım","Ply Cutter","Üretim","Kalite (Üretim sonrası)","Talaşlı","Kalite (Talaşlı sonrası)","Montaj","Kalite (Montaj sonrası)","Boya","Kalite (Boya sonrası)","Yarı Mamül","KM"})),IF(COUNT(G697:R697)=0,"Başlamadı",LOOKUP(2,1/(G697:R697=MAX(G697:R697)),{"Tasarımda","Ply Cutter'da","Üretimde","Kalitede (Üretim sonrası)","Talaşlıda","Kalitede (Talaşlı sonrası)","Montajda","Kalitede (Montaj sonrası)","Boyada","Kalitede (Boya sonrası)","Yarı Mamülde","KM'de"}))))))</f>
        <v/>
      </c>
      <c r="AA697" s="24" t="str">
        <f t="shared" ca="1" si="172"/>
        <v/>
      </c>
      <c r="AB697" s="22"/>
      <c r="AD697" t="str">
        <f>IF(OR($B697="",NOT(ISNUMBER(G697))),"",IF(COUNTIF(H697:$T697,G697)&gt;0,0,IF(COUNTIF($G697:$T697,"&gt;"&amp;G697)=0,"",SMALL($G697:$T697,COUNTIF($G697:$T697,"&lt;="&amp;G697)+1)-G697)))</f>
        <v/>
      </c>
      <c r="AE697" t="str">
        <f>IF(OR($B697="",NOT(ISNUMBER(H697))),"",IF(COUNTIF(I697:$T697,H697)&gt;0,0,IF(COUNTIF($G697:$T697,"&gt;"&amp;H697)=0,"",SMALL($G697:$T697,COUNTIF($G697:$T697,"&lt;="&amp;H697)+1)-H697)))</f>
        <v/>
      </c>
      <c r="AF697" t="str">
        <f>IF(OR($B697="",NOT(ISNUMBER(I697))),"",IF(COUNTIF(J697:$T697,I697)&gt;0,0,IF(COUNTIF($G697:$T697,"&gt;"&amp;I697)=0,"",SMALL($G697:$T697,COUNTIF($G697:$T697,"&lt;="&amp;I697)+1)-I697)))</f>
        <v/>
      </c>
      <c r="AG697" t="str">
        <f>IF(OR($B697="",NOT(ISNUMBER(J697))),"",IF(COUNTIF(K697:$T697,J697)&gt;0,0,IF(COUNTIF($G697:$T697,"&gt;"&amp;J697)=0,"",SMALL($G697:$T697,COUNTIF($G697:$T697,"&lt;="&amp;J697)+1)-J697)))</f>
        <v/>
      </c>
      <c r="AH697" t="str">
        <f>IF(OR($B697="",NOT(ISNUMBER(K697))),"",IF(COUNTIF(L697:$T697,K697)&gt;0,0,IF(COUNTIF($G697:$T697,"&gt;"&amp;K697)=0,"",SMALL($G697:$T697,COUNTIF($G697:$T697,"&lt;="&amp;K697)+1)-K697)))</f>
        <v/>
      </c>
      <c r="AI697" t="str">
        <f>IF(OR($B697="",NOT(ISNUMBER(L697))),"",IF(COUNTIF(M697:$T697,L697)&gt;0,0,IF(COUNTIF($G697:$T697,"&gt;"&amp;L697)=0,"",SMALL($G697:$T697,COUNTIF($G697:$T697,"&lt;="&amp;L697)+1)-L697)))</f>
        <v/>
      </c>
      <c r="AJ697" t="str">
        <f>IF(OR($B697="",NOT(ISNUMBER(M697))),"",IF(COUNTIF(N697:$T697,M697)&gt;0,0,IF(COUNTIF($G697:$T697,"&gt;"&amp;M697)=0,"",SMALL($G697:$T697,COUNTIF($G697:$T697,"&lt;="&amp;M697)+1)-M697)))</f>
        <v/>
      </c>
      <c r="AK697" t="str">
        <f>IF(OR($B697="",NOT(ISNUMBER(N697))),"",IF(COUNTIF(O697:$T697,N697)&gt;0,0,IF(COUNTIF($G697:$T697,"&gt;"&amp;N697)=0,"",SMALL($G697:$T697,COUNTIF($G697:$T697,"&lt;="&amp;N697)+1)-N697)))</f>
        <v/>
      </c>
      <c r="AL697" t="str">
        <f>IF(OR($B697="",NOT(ISNUMBER(O697))),"",IF(COUNTIF(P697:$T697,O697)&gt;0,0,IF(COUNTIF($G697:$T697,"&gt;"&amp;O697)=0,"",SMALL($G697:$T697,COUNTIF($G697:$T697,"&lt;="&amp;O697)+1)-O697)))</f>
        <v/>
      </c>
      <c r="AM697" t="str">
        <f>IF(OR($B697="",NOT(ISNUMBER(P697))),"",IF(COUNTIF(Q697:$T697,P697)&gt;0,0,IF(COUNTIF($G697:$T697,"&gt;"&amp;P697)=0,"",SMALL($G697:$T697,COUNTIF($G697:$T697,"&lt;="&amp;P697)+1)-P697)))</f>
        <v/>
      </c>
      <c r="AN697" t="str">
        <f>IF(OR($B697="",NOT(ISNUMBER(Q697))),"",IF(COUNTIF(R697:$T697,Q697)&gt;0,0,IF(COUNTIF($G697:$T697,"&gt;"&amp;Q697)=0,"",SMALL($G697:$T697,COUNTIF($G697:$T697,"&lt;="&amp;Q697)+1)-Q697)))</f>
        <v/>
      </c>
      <c r="AO697" t="str">
        <f>IF(OR($B697="",NOT(ISNUMBER(R697))),"",IF(COUNTIF(S697:$T697,R697)&gt;0,0,IF(COUNTIF($G697:$T697,"&gt;"&amp;R697)=0,"",SMALL($G697:$T697,COUNTIF($G697:$T697,"&lt;="&amp;R697)+1)-R697)))</f>
        <v/>
      </c>
      <c r="AP697">
        <f t="shared" ca="1" si="173"/>
        <v>0</v>
      </c>
      <c r="AQ697" s="25" t="str">
        <f t="shared" si="174"/>
        <v/>
      </c>
      <c r="AR697" s="25" t="str">
        <f t="shared" si="175"/>
        <v/>
      </c>
      <c r="AS697" s="25" t="str">
        <f t="shared" si="176"/>
        <v/>
      </c>
      <c r="AT697" s="25" t="str">
        <f t="shared" si="177"/>
        <v/>
      </c>
      <c r="AU697" s="25" t="str">
        <f t="shared" si="178"/>
        <v/>
      </c>
      <c r="AV697" s="25" t="str">
        <f t="shared" si="179"/>
        <v/>
      </c>
      <c r="AW697" s="25" t="str">
        <f t="shared" si="180"/>
        <v/>
      </c>
      <c r="AX697" s="25" t="str">
        <f t="shared" si="181"/>
        <v/>
      </c>
      <c r="AY697" s="25" t="str">
        <f t="shared" si="182"/>
        <v/>
      </c>
      <c r="AZ697" s="25" t="str">
        <f t="shared" si="183"/>
        <v/>
      </c>
      <c r="BA697" s="25" t="str">
        <f t="shared" si="184"/>
        <v/>
      </c>
      <c r="BB697" s="25" t="str">
        <f t="shared" si="185"/>
        <v/>
      </c>
      <c r="BC697" s="25" t="str">
        <f t="shared" si="186"/>
        <v/>
      </c>
    </row>
    <row r="698" spans="1:55" x14ac:dyDescent="0.25">
      <c r="A698" s="19" t="str">
        <f t="shared" si="171"/>
        <v/>
      </c>
      <c r="B698" s="19"/>
      <c r="C698" s="20"/>
      <c r="D698" s="19" t="str">
        <f t="shared" si="170"/>
        <v/>
      </c>
      <c r="E698" s="19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19"/>
      <c r="U698" s="19"/>
      <c r="V698" s="20"/>
      <c r="W698" s="22"/>
      <c r="X698" s="21"/>
      <c r="Y698" s="21"/>
      <c r="Z698" s="23" t="str">
        <f>IF(B698="","",IF(S698&lt;&gt;"","Sevk Edildi",IF(AND(X698&lt;&gt;"",Y698=""),"Reworkte",IF(T698&lt;&gt;"","Kapandı"&amp;IF(COUNT(G698:R698)=0,""," – "&amp;LOOKUP(2,1/(G698:R698=MAX(G698:R698)),{"Tasarım","Ply Cutter","Üretim","Kalite (Üretim sonrası)","Talaşlı","Kalite (Talaşlı sonrası)","Montaj","Kalite (Montaj sonrası)","Boya","Kalite (Boya sonrası)","Yarı Mamül","KM"})),IF(COUNT(G698:R698)=0,"Başlamadı",LOOKUP(2,1/(G698:R698=MAX(G698:R698)),{"Tasarımda","Ply Cutter'da","Üretimde","Kalitede (Üretim sonrası)","Talaşlıda","Kalitede (Talaşlı sonrası)","Montajda","Kalitede (Montaj sonrası)","Boyada","Kalitede (Boya sonrası)","Yarı Mamülde","KM'de"}))))))</f>
        <v/>
      </c>
      <c r="AA698" s="24" t="str">
        <f t="shared" ca="1" si="172"/>
        <v/>
      </c>
      <c r="AB698" s="22"/>
      <c r="AD698" t="str">
        <f>IF(OR($B698="",NOT(ISNUMBER(G698))),"",IF(COUNTIF(H698:$T698,G698)&gt;0,0,IF(COUNTIF($G698:$T698,"&gt;"&amp;G698)=0,"",SMALL($G698:$T698,COUNTIF($G698:$T698,"&lt;="&amp;G698)+1)-G698)))</f>
        <v/>
      </c>
      <c r="AE698" t="str">
        <f>IF(OR($B698="",NOT(ISNUMBER(H698))),"",IF(COUNTIF(I698:$T698,H698)&gt;0,0,IF(COUNTIF($G698:$T698,"&gt;"&amp;H698)=0,"",SMALL($G698:$T698,COUNTIF($G698:$T698,"&lt;="&amp;H698)+1)-H698)))</f>
        <v/>
      </c>
      <c r="AF698" t="str">
        <f>IF(OR($B698="",NOT(ISNUMBER(I698))),"",IF(COUNTIF(J698:$T698,I698)&gt;0,0,IF(COUNTIF($G698:$T698,"&gt;"&amp;I698)=0,"",SMALL($G698:$T698,COUNTIF($G698:$T698,"&lt;="&amp;I698)+1)-I698)))</f>
        <v/>
      </c>
      <c r="AG698" t="str">
        <f>IF(OR($B698="",NOT(ISNUMBER(J698))),"",IF(COUNTIF(K698:$T698,J698)&gt;0,0,IF(COUNTIF($G698:$T698,"&gt;"&amp;J698)=0,"",SMALL($G698:$T698,COUNTIF($G698:$T698,"&lt;="&amp;J698)+1)-J698)))</f>
        <v/>
      </c>
      <c r="AH698" t="str">
        <f>IF(OR($B698="",NOT(ISNUMBER(K698))),"",IF(COUNTIF(L698:$T698,K698)&gt;0,0,IF(COUNTIF($G698:$T698,"&gt;"&amp;K698)=0,"",SMALL($G698:$T698,COUNTIF($G698:$T698,"&lt;="&amp;K698)+1)-K698)))</f>
        <v/>
      </c>
      <c r="AI698" t="str">
        <f>IF(OR($B698="",NOT(ISNUMBER(L698))),"",IF(COUNTIF(M698:$T698,L698)&gt;0,0,IF(COUNTIF($G698:$T698,"&gt;"&amp;L698)=0,"",SMALL($G698:$T698,COUNTIF($G698:$T698,"&lt;="&amp;L698)+1)-L698)))</f>
        <v/>
      </c>
      <c r="AJ698" t="str">
        <f>IF(OR($B698="",NOT(ISNUMBER(M698))),"",IF(COUNTIF(N698:$T698,M698)&gt;0,0,IF(COUNTIF($G698:$T698,"&gt;"&amp;M698)=0,"",SMALL($G698:$T698,COUNTIF($G698:$T698,"&lt;="&amp;M698)+1)-M698)))</f>
        <v/>
      </c>
      <c r="AK698" t="str">
        <f>IF(OR($B698="",NOT(ISNUMBER(N698))),"",IF(COUNTIF(O698:$T698,N698)&gt;0,0,IF(COUNTIF($G698:$T698,"&gt;"&amp;N698)=0,"",SMALL($G698:$T698,COUNTIF($G698:$T698,"&lt;="&amp;N698)+1)-N698)))</f>
        <v/>
      </c>
      <c r="AL698" t="str">
        <f>IF(OR($B698="",NOT(ISNUMBER(O698))),"",IF(COUNTIF(P698:$T698,O698)&gt;0,0,IF(COUNTIF($G698:$T698,"&gt;"&amp;O698)=0,"",SMALL($G698:$T698,COUNTIF($G698:$T698,"&lt;="&amp;O698)+1)-O698)))</f>
        <v/>
      </c>
      <c r="AM698" t="str">
        <f>IF(OR($B698="",NOT(ISNUMBER(P698))),"",IF(COUNTIF(Q698:$T698,P698)&gt;0,0,IF(COUNTIF($G698:$T698,"&gt;"&amp;P698)=0,"",SMALL($G698:$T698,COUNTIF($G698:$T698,"&lt;="&amp;P698)+1)-P698)))</f>
        <v/>
      </c>
      <c r="AN698" t="str">
        <f>IF(OR($B698="",NOT(ISNUMBER(Q698))),"",IF(COUNTIF(R698:$T698,Q698)&gt;0,0,IF(COUNTIF($G698:$T698,"&gt;"&amp;Q698)=0,"",SMALL($G698:$T698,COUNTIF($G698:$T698,"&lt;="&amp;Q698)+1)-Q698)))</f>
        <v/>
      </c>
      <c r="AO698" t="str">
        <f>IF(OR($B698="",NOT(ISNUMBER(R698))),"",IF(COUNTIF(S698:$T698,R698)&gt;0,0,IF(COUNTIF($G698:$T698,"&gt;"&amp;R698)=0,"",SMALL($G698:$T698,COUNTIF($G698:$T698,"&lt;="&amp;R698)+1)-R698)))</f>
        <v/>
      </c>
      <c r="AP698">
        <f t="shared" ca="1" si="173"/>
        <v>0</v>
      </c>
      <c r="AQ698" s="25" t="str">
        <f t="shared" si="174"/>
        <v/>
      </c>
      <c r="AR698" s="25" t="str">
        <f t="shared" si="175"/>
        <v/>
      </c>
      <c r="AS698" s="25" t="str">
        <f t="shared" si="176"/>
        <v/>
      </c>
      <c r="AT698" s="25" t="str">
        <f t="shared" si="177"/>
        <v/>
      </c>
      <c r="AU698" s="25" t="str">
        <f t="shared" si="178"/>
        <v/>
      </c>
      <c r="AV698" s="25" t="str">
        <f t="shared" si="179"/>
        <v/>
      </c>
      <c r="AW698" s="25" t="str">
        <f t="shared" si="180"/>
        <v/>
      </c>
      <c r="AX698" s="25" t="str">
        <f t="shared" si="181"/>
        <v/>
      </c>
      <c r="AY698" s="25" t="str">
        <f t="shared" si="182"/>
        <v/>
      </c>
      <c r="AZ698" s="25" t="str">
        <f t="shared" si="183"/>
        <v/>
      </c>
      <c r="BA698" s="25" t="str">
        <f t="shared" si="184"/>
        <v/>
      </c>
      <c r="BB698" s="25" t="str">
        <f t="shared" si="185"/>
        <v/>
      </c>
      <c r="BC698" s="25" t="str">
        <f t="shared" si="186"/>
        <v/>
      </c>
    </row>
    <row r="699" spans="1:55" x14ac:dyDescent="0.25">
      <c r="A699" s="19" t="str">
        <f t="shared" si="171"/>
        <v/>
      </c>
      <c r="B699" s="19"/>
      <c r="C699" s="20"/>
      <c r="D699" s="19" t="str">
        <f t="shared" si="170"/>
        <v/>
      </c>
      <c r="E699" s="19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19"/>
      <c r="U699" s="19"/>
      <c r="V699" s="20"/>
      <c r="W699" s="22"/>
      <c r="X699" s="21"/>
      <c r="Y699" s="21"/>
      <c r="Z699" s="23" t="str">
        <f>IF(B699="","",IF(S699&lt;&gt;"","Sevk Edildi",IF(AND(X699&lt;&gt;"",Y699=""),"Reworkte",IF(T699&lt;&gt;"","Kapandı"&amp;IF(COUNT(G699:R699)=0,""," – "&amp;LOOKUP(2,1/(G699:R699=MAX(G699:R699)),{"Tasarım","Ply Cutter","Üretim","Kalite (Üretim sonrası)","Talaşlı","Kalite (Talaşlı sonrası)","Montaj","Kalite (Montaj sonrası)","Boya","Kalite (Boya sonrası)","Yarı Mamül","KM"})),IF(COUNT(G699:R699)=0,"Başlamadı",LOOKUP(2,1/(G699:R699=MAX(G699:R699)),{"Tasarımda","Ply Cutter'da","Üretimde","Kalitede (Üretim sonrası)","Talaşlıda","Kalitede (Talaşlı sonrası)","Montajda","Kalitede (Montaj sonrası)","Boyada","Kalitede (Boya sonrası)","Yarı Mamülde","KM'de"}))))))</f>
        <v/>
      </c>
      <c r="AA699" s="24" t="str">
        <f t="shared" ca="1" si="172"/>
        <v/>
      </c>
      <c r="AB699" s="22"/>
      <c r="AD699" t="str">
        <f>IF(OR($B699="",NOT(ISNUMBER(G699))),"",IF(COUNTIF(H699:$T699,G699)&gt;0,0,IF(COUNTIF($G699:$T699,"&gt;"&amp;G699)=0,"",SMALL($G699:$T699,COUNTIF($G699:$T699,"&lt;="&amp;G699)+1)-G699)))</f>
        <v/>
      </c>
      <c r="AE699" t="str">
        <f>IF(OR($B699="",NOT(ISNUMBER(H699))),"",IF(COUNTIF(I699:$T699,H699)&gt;0,0,IF(COUNTIF($G699:$T699,"&gt;"&amp;H699)=0,"",SMALL($G699:$T699,COUNTIF($G699:$T699,"&lt;="&amp;H699)+1)-H699)))</f>
        <v/>
      </c>
      <c r="AF699" t="str">
        <f>IF(OR($B699="",NOT(ISNUMBER(I699))),"",IF(COUNTIF(J699:$T699,I699)&gt;0,0,IF(COUNTIF($G699:$T699,"&gt;"&amp;I699)=0,"",SMALL($G699:$T699,COUNTIF($G699:$T699,"&lt;="&amp;I699)+1)-I699)))</f>
        <v/>
      </c>
      <c r="AG699" t="str">
        <f>IF(OR($B699="",NOT(ISNUMBER(J699))),"",IF(COUNTIF(K699:$T699,J699)&gt;0,0,IF(COUNTIF($G699:$T699,"&gt;"&amp;J699)=0,"",SMALL($G699:$T699,COUNTIF($G699:$T699,"&lt;="&amp;J699)+1)-J699)))</f>
        <v/>
      </c>
      <c r="AH699" t="str">
        <f>IF(OR($B699="",NOT(ISNUMBER(K699))),"",IF(COUNTIF(L699:$T699,K699)&gt;0,0,IF(COUNTIF($G699:$T699,"&gt;"&amp;K699)=0,"",SMALL($G699:$T699,COUNTIF($G699:$T699,"&lt;="&amp;K699)+1)-K699)))</f>
        <v/>
      </c>
      <c r="AI699" t="str">
        <f>IF(OR($B699="",NOT(ISNUMBER(L699))),"",IF(COUNTIF(M699:$T699,L699)&gt;0,0,IF(COUNTIF($G699:$T699,"&gt;"&amp;L699)=0,"",SMALL($G699:$T699,COUNTIF($G699:$T699,"&lt;="&amp;L699)+1)-L699)))</f>
        <v/>
      </c>
      <c r="AJ699" t="str">
        <f>IF(OR($B699="",NOT(ISNUMBER(M699))),"",IF(COUNTIF(N699:$T699,M699)&gt;0,0,IF(COUNTIF($G699:$T699,"&gt;"&amp;M699)=0,"",SMALL($G699:$T699,COUNTIF($G699:$T699,"&lt;="&amp;M699)+1)-M699)))</f>
        <v/>
      </c>
      <c r="AK699" t="str">
        <f>IF(OR($B699="",NOT(ISNUMBER(N699))),"",IF(COUNTIF(O699:$T699,N699)&gt;0,0,IF(COUNTIF($G699:$T699,"&gt;"&amp;N699)=0,"",SMALL($G699:$T699,COUNTIF($G699:$T699,"&lt;="&amp;N699)+1)-N699)))</f>
        <v/>
      </c>
      <c r="AL699" t="str">
        <f>IF(OR($B699="",NOT(ISNUMBER(O699))),"",IF(COUNTIF(P699:$T699,O699)&gt;0,0,IF(COUNTIF($G699:$T699,"&gt;"&amp;O699)=0,"",SMALL($G699:$T699,COUNTIF($G699:$T699,"&lt;="&amp;O699)+1)-O699)))</f>
        <v/>
      </c>
      <c r="AM699" t="str">
        <f>IF(OR($B699="",NOT(ISNUMBER(P699))),"",IF(COUNTIF(Q699:$T699,P699)&gt;0,0,IF(COUNTIF($G699:$T699,"&gt;"&amp;P699)=0,"",SMALL($G699:$T699,COUNTIF($G699:$T699,"&lt;="&amp;P699)+1)-P699)))</f>
        <v/>
      </c>
      <c r="AN699" t="str">
        <f>IF(OR($B699="",NOT(ISNUMBER(Q699))),"",IF(COUNTIF(R699:$T699,Q699)&gt;0,0,IF(COUNTIF($G699:$T699,"&gt;"&amp;Q699)=0,"",SMALL($G699:$T699,COUNTIF($G699:$T699,"&lt;="&amp;Q699)+1)-Q699)))</f>
        <v/>
      </c>
      <c r="AO699" t="str">
        <f>IF(OR($B699="",NOT(ISNUMBER(R699))),"",IF(COUNTIF(S699:$T699,R699)&gt;0,0,IF(COUNTIF($G699:$T699,"&gt;"&amp;R699)=0,"",SMALL($G699:$T699,COUNTIF($G699:$T699,"&lt;="&amp;R699)+1)-R699)))</f>
        <v/>
      </c>
      <c r="AP699">
        <f t="shared" ca="1" si="173"/>
        <v>0</v>
      </c>
      <c r="AQ699" s="25" t="str">
        <f t="shared" si="174"/>
        <v/>
      </c>
      <c r="AR699" s="25" t="str">
        <f t="shared" si="175"/>
        <v/>
      </c>
      <c r="AS699" s="25" t="str">
        <f t="shared" si="176"/>
        <v/>
      </c>
      <c r="AT699" s="25" t="str">
        <f t="shared" si="177"/>
        <v/>
      </c>
      <c r="AU699" s="25" t="str">
        <f t="shared" si="178"/>
        <v/>
      </c>
      <c r="AV699" s="25" t="str">
        <f t="shared" si="179"/>
        <v/>
      </c>
      <c r="AW699" s="25" t="str">
        <f t="shared" si="180"/>
        <v/>
      </c>
      <c r="AX699" s="25" t="str">
        <f t="shared" si="181"/>
        <v/>
      </c>
      <c r="AY699" s="25" t="str">
        <f t="shared" si="182"/>
        <v/>
      </c>
      <c r="AZ699" s="25" t="str">
        <f t="shared" si="183"/>
        <v/>
      </c>
      <c r="BA699" s="25" t="str">
        <f t="shared" si="184"/>
        <v/>
      </c>
      <c r="BB699" s="25" t="str">
        <f t="shared" si="185"/>
        <v/>
      </c>
      <c r="BC699" s="25" t="str">
        <f t="shared" si="186"/>
        <v/>
      </c>
    </row>
    <row r="700" spans="1:55" x14ac:dyDescent="0.25">
      <c r="A700" s="19" t="str">
        <f t="shared" si="171"/>
        <v/>
      </c>
      <c r="B700" s="19"/>
      <c r="C700" s="20"/>
      <c r="D700" s="19" t="str">
        <f t="shared" si="170"/>
        <v/>
      </c>
      <c r="E700" s="19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19"/>
      <c r="U700" s="19"/>
      <c r="V700" s="20"/>
      <c r="W700" s="22"/>
      <c r="X700" s="21"/>
      <c r="Y700" s="21"/>
      <c r="Z700" s="23" t="str">
        <f>IF(B700="","",IF(S700&lt;&gt;"","Sevk Edildi",IF(AND(X700&lt;&gt;"",Y700=""),"Reworkte",IF(T700&lt;&gt;"","Kapandı"&amp;IF(COUNT(G700:R700)=0,""," – "&amp;LOOKUP(2,1/(G700:R700=MAX(G700:R700)),{"Tasarım","Ply Cutter","Üretim","Kalite (Üretim sonrası)","Talaşlı","Kalite (Talaşlı sonrası)","Montaj","Kalite (Montaj sonrası)","Boya","Kalite (Boya sonrası)","Yarı Mamül","KM"})),IF(COUNT(G700:R700)=0,"Başlamadı",LOOKUP(2,1/(G700:R700=MAX(G700:R700)),{"Tasarımda","Ply Cutter'da","Üretimde","Kalitede (Üretim sonrası)","Talaşlıda","Kalitede (Talaşlı sonrası)","Montajda","Kalitede (Montaj sonrası)","Boyada","Kalitede (Boya sonrası)","Yarı Mamülde","KM'de"}))))))</f>
        <v/>
      </c>
      <c r="AA700" s="24" t="str">
        <f t="shared" ca="1" si="172"/>
        <v/>
      </c>
      <c r="AB700" s="22"/>
      <c r="AD700" t="str">
        <f>IF(OR($B700="",NOT(ISNUMBER(G700))),"",IF(COUNTIF(H700:$T700,G700)&gt;0,0,IF(COUNTIF($G700:$T700,"&gt;"&amp;G700)=0,"",SMALL($G700:$T700,COUNTIF($G700:$T700,"&lt;="&amp;G700)+1)-G700)))</f>
        <v/>
      </c>
      <c r="AE700" t="str">
        <f>IF(OR($B700="",NOT(ISNUMBER(H700))),"",IF(COUNTIF(I700:$T700,H700)&gt;0,0,IF(COUNTIF($G700:$T700,"&gt;"&amp;H700)=0,"",SMALL($G700:$T700,COUNTIF($G700:$T700,"&lt;="&amp;H700)+1)-H700)))</f>
        <v/>
      </c>
      <c r="AF700" t="str">
        <f>IF(OR($B700="",NOT(ISNUMBER(I700))),"",IF(COUNTIF(J700:$T700,I700)&gt;0,0,IF(COUNTIF($G700:$T700,"&gt;"&amp;I700)=0,"",SMALL($G700:$T700,COUNTIF($G700:$T700,"&lt;="&amp;I700)+1)-I700)))</f>
        <v/>
      </c>
      <c r="AG700" t="str">
        <f>IF(OR($B700="",NOT(ISNUMBER(J700))),"",IF(COUNTIF(K700:$T700,J700)&gt;0,0,IF(COUNTIF($G700:$T700,"&gt;"&amp;J700)=0,"",SMALL($G700:$T700,COUNTIF($G700:$T700,"&lt;="&amp;J700)+1)-J700)))</f>
        <v/>
      </c>
      <c r="AH700" t="str">
        <f>IF(OR($B700="",NOT(ISNUMBER(K700))),"",IF(COUNTIF(L700:$T700,K700)&gt;0,0,IF(COUNTIF($G700:$T700,"&gt;"&amp;K700)=0,"",SMALL($G700:$T700,COUNTIF($G700:$T700,"&lt;="&amp;K700)+1)-K700)))</f>
        <v/>
      </c>
      <c r="AI700" t="str">
        <f>IF(OR($B700="",NOT(ISNUMBER(L700))),"",IF(COUNTIF(M700:$T700,L700)&gt;0,0,IF(COUNTIF($G700:$T700,"&gt;"&amp;L700)=0,"",SMALL($G700:$T700,COUNTIF($G700:$T700,"&lt;="&amp;L700)+1)-L700)))</f>
        <v/>
      </c>
      <c r="AJ700" t="str">
        <f>IF(OR($B700="",NOT(ISNUMBER(M700))),"",IF(COUNTIF(N700:$T700,M700)&gt;0,0,IF(COUNTIF($G700:$T700,"&gt;"&amp;M700)=0,"",SMALL($G700:$T700,COUNTIF($G700:$T700,"&lt;="&amp;M700)+1)-M700)))</f>
        <v/>
      </c>
      <c r="AK700" t="str">
        <f>IF(OR($B700="",NOT(ISNUMBER(N700))),"",IF(COUNTIF(O700:$T700,N700)&gt;0,0,IF(COUNTIF($G700:$T700,"&gt;"&amp;N700)=0,"",SMALL($G700:$T700,COUNTIF($G700:$T700,"&lt;="&amp;N700)+1)-N700)))</f>
        <v/>
      </c>
      <c r="AL700" t="str">
        <f>IF(OR($B700="",NOT(ISNUMBER(O700))),"",IF(COUNTIF(P700:$T700,O700)&gt;0,0,IF(COUNTIF($G700:$T700,"&gt;"&amp;O700)=0,"",SMALL($G700:$T700,COUNTIF($G700:$T700,"&lt;="&amp;O700)+1)-O700)))</f>
        <v/>
      </c>
      <c r="AM700" t="str">
        <f>IF(OR($B700="",NOT(ISNUMBER(P700))),"",IF(COUNTIF(Q700:$T700,P700)&gt;0,0,IF(COUNTIF($G700:$T700,"&gt;"&amp;P700)=0,"",SMALL($G700:$T700,COUNTIF($G700:$T700,"&lt;="&amp;P700)+1)-P700)))</f>
        <v/>
      </c>
      <c r="AN700" t="str">
        <f>IF(OR($B700="",NOT(ISNUMBER(Q700))),"",IF(COUNTIF(R700:$T700,Q700)&gt;0,0,IF(COUNTIF($G700:$T700,"&gt;"&amp;Q700)=0,"",SMALL($G700:$T700,COUNTIF($G700:$T700,"&lt;="&amp;Q700)+1)-Q700)))</f>
        <v/>
      </c>
      <c r="AO700" t="str">
        <f>IF(OR($B700="",NOT(ISNUMBER(R700))),"",IF(COUNTIF(S700:$T700,R700)&gt;0,0,IF(COUNTIF($G700:$T700,"&gt;"&amp;R700)=0,"",SMALL($G700:$T700,COUNTIF($G700:$T700,"&lt;="&amp;R700)+1)-R700)))</f>
        <v/>
      </c>
      <c r="AP700">
        <f t="shared" ca="1" si="173"/>
        <v>0</v>
      </c>
      <c r="AQ700" s="25" t="str">
        <f t="shared" si="174"/>
        <v/>
      </c>
      <c r="AR700" s="25" t="str">
        <f t="shared" si="175"/>
        <v/>
      </c>
      <c r="AS700" s="25" t="str">
        <f t="shared" si="176"/>
        <v/>
      </c>
      <c r="AT700" s="25" t="str">
        <f t="shared" si="177"/>
        <v/>
      </c>
      <c r="AU700" s="25" t="str">
        <f t="shared" si="178"/>
        <v/>
      </c>
      <c r="AV700" s="25" t="str">
        <f t="shared" si="179"/>
        <v/>
      </c>
      <c r="AW700" s="25" t="str">
        <f t="shared" si="180"/>
        <v/>
      </c>
      <c r="AX700" s="25" t="str">
        <f t="shared" si="181"/>
        <v/>
      </c>
      <c r="AY700" s="25" t="str">
        <f t="shared" si="182"/>
        <v/>
      </c>
      <c r="AZ700" s="25" t="str">
        <f t="shared" si="183"/>
        <v/>
      </c>
      <c r="BA700" s="25" t="str">
        <f t="shared" si="184"/>
        <v/>
      </c>
      <c r="BB700" s="25" t="str">
        <f t="shared" si="185"/>
        <v/>
      </c>
      <c r="BC700" s="25" t="str">
        <f t="shared" si="186"/>
        <v/>
      </c>
    </row>
    <row r="701" spans="1:55" x14ac:dyDescent="0.25">
      <c r="A701" s="19" t="str">
        <f t="shared" si="171"/>
        <v/>
      </c>
      <c r="B701" s="19"/>
      <c r="C701" s="20"/>
      <c r="D701" s="19" t="str">
        <f t="shared" si="170"/>
        <v/>
      </c>
      <c r="E701" s="19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19"/>
      <c r="U701" s="19"/>
      <c r="V701" s="20"/>
      <c r="W701" s="22"/>
      <c r="X701" s="21"/>
      <c r="Y701" s="21"/>
      <c r="Z701" s="23" t="str">
        <f>IF(B701="","",IF(S701&lt;&gt;"","Sevk Edildi",IF(AND(X701&lt;&gt;"",Y701=""),"Reworkte",IF(T701&lt;&gt;"","Kapandı"&amp;IF(COUNT(G701:R701)=0,""," – "&amp;LOOKUP(2,1/(G701:R701=MAX(G701:R701)),{"Tasarım","Ply Cutter","Üretim","Kalite (Üretim sonrası)","Talaşlı","Kalite (Talaşlı sonrası)","Montaj","Kalite (Montaj sonrası)","Boya","Kalite (Boya sonrası)","Yarı Mamül","KM"})),IF(COUNT(G701:R701)=0,"Başlamadı",LOOKUP(2,1/(G701:R701=MAX(G701:R701)),{"Tasarımda","Ply Cutter'da","Üretimde","Kalitede (Üretim sonrası)","Talaşlıda","Kalitede (Talaşlı sonrası)","Montajda","Kalitede (Montaj sonrası)","Boyada","Kalitede (Boya sonrası)","Yarı Mamülde","KM'de"}))))))</f>
        <v/>
      </c>
      <c r="AA701" s="24" t="str">
        <f t="shared" ca="1" si="172"/>
        <v/>
      </c>
      <c r="AB701" s="22"/>
      <c r="AD701" t="str">
        <f>IF(OR($B701="",NOT(ISNUMBER(G701))),"",IF(COUNTIF(H701:$T701,G701)&gt;0,0,IF(COUNTIF($G701:$T701,"&gt;"&amp;G701)=0,"",SMALL($G701:$T701,COUNTIF($G701:$T701,"&lt;="&amp;G701)+1)-G701)))</f>
        <v/>
      </c>
      <c r="AE701" t="str">
        <f>IF(OR($B701="",NOT(ISNUMBER(H701))),"",IF(COUNTIF(I701:$T701,H701)&gt;0,0,IF(COUNTIF($G701:$T701,"&gt;"&amp;H701)=0,"",SMALL($G701:$T701,COUNTIF($G701:$T701,"&lt;="&amp;H701)+1)-H701)))</f>
        <v/>
      </c>
      <c r="AF701" t="str">
        <f>IF(OR($B701="",NOT(ISNUMBER(I701))),"",IF(COUNTIF(J701:$T701,I701)&gt;0,0,IF(COUNTIF($G701:$T701,"&gt;"&amp;I701)=0,"",SMALL($G701:$T701,COUNTIF($G701:$T701,"&lt;="&amp;I701)+1)-I701)))</f>
        <v/>
      </c>
      <c r="AG701" t="str">
        <f>IF(OR($B701="",NOT(ISNUMBER(J701))),"",IF(COUNTIF(K701:$T701,J701)&gt;0,0,IF(COUNTIF($G701:$T701,"&gt;"&amp;J701)=0,"",SMALL($G701:$T701,COUNTIF($G701:$T701,"&lt;="&amp;J701)+1)-J701)))</f>
        <v/>
      </c>
      <c r="AH701" t="str">
        <f>IF(OR($B701="",NOT(ISNUMBER(K701))),"",IF(COUNTIF(L701:$T701,K701)&gt;0,0,IF(COUNTIF($G701:$T701,"&gt;"&amp;K701)=0,"",SMALL($G701:$T701,COUNTIF($G701:$T701,"&lt;="&amp;K701)+1)-K701)))</f>
        <v/>
      </c>
      <c r="AI701" t="str">
        <f>IF(OR($B701="",NOT(ISNUMBER(L701))),"",IF(COUNTIF(M701:$T701,L701)&gt;0,0,IF(COUNTIF($G701:$T701,"&gt;"&amp;L701)=0,"",SMALL($G701:$T701,COUNTIF($G701:$T701,"&lt;="&amp;L701)+1)-L701)))</f>
        <v/>
      </c>
      <c r="AJ701" t="str">
        <f>IF(OR($B701="",NOT(ISNUMBER(M701))),"",IF(COUNTIF(N701:$T701,M701)&gt;0,0,IF(COUNTIF($G701:$T701,"&gt;"&amp;M701)=0,"",SMALL($G701:$T701,COUNTIF($G701:$T701,"&lt;="&amp;M701)+1)-M701)))</f>
        <v/>
      </c>
      <c r="AK701" t="str">
        <f>IF(OR($B701="",NOT(ISNUMBER(N701))),"",IF(COUNTIF(O701:$T701,N701)&gt;0,0,IF(COUNTIF($G701:$T701,"&gt;"&amp;N701)=0,"",SMALL($G701:$T701,COUNTIF($G701:$T701,"&lt;="&amp;N701)+1)-N701)))</f>
        <v/>
      </c>
      <c r="AL701" t="str">
        <f>IF(OR($B701="",NOT(ISNUMBER(O701))),"",IF(COUNTIF(P701:$T701,O701)&gt;0,0,IF(COUNTIF($G701:$T701,"&gt;"&amp;O701)=0,"",SMALL($G701:$T701,COUNTIF($G701:$T701,"&lt;="&amp;O701)+1)-O701)))</f>
        <v/>
      </c>
      <c r="AM701" t="str">
        <f>IF(OR($B701="",NOT(ISNUMBER(P701))),"",IF(COUNTIF(Q701:$T701,P701)&gt;0,0,IF(COUNTIF($G701:$T701,"&gt;"&amp;P701)=0,"",SMALL($G701:$T701,COUNTIF($G701:$T701,"&lt;="&amp;P701)+1)-P701)))</f>
        <v/>
      </c>
      <c r="AN701" t="str">
        <f>IF(OR($B701="",NOT(ISNUMBER(Q701))),"",IF(COUNTIF(R701:$T701,Q701)&gt;0,0,IF(COUNTIF($G701:$T701,"&gt;"&amp;Q701)=0,"",SMALL($G701:$T701,COUNTIF($G701:$T701,"&lt;="&amp;Q701)+1)-Q701)))</f>
        <v/>
      </c>
      <c r="AO701" t="str">
        <f>IF(OR($B701="",NOT(ISNUMBER(R701))),"",IF(COUNTIF(S701:$T701,R701)&gt;0,0,IF(COUNTIF($G701:$T701,"&gt;"&amp;R701)=0,"",SMALL($G701:$T701,COUNTIF($G701:$T701,"&lt;="&amp;R701)+1)-R701)))</f>
        <v/>
      </c>
      <c r="AP701">
        <f t="shared" ca="1" si="173"/>
        <v>0</v>
      </c>
      <c r="AQ701" s="25" t="str">
        <f t="shared" si="174"/>
        <v/>
      </c>
      <c r="AR701" s="25" t="str">
        <f t="shared" si="175"/>
        <v/>
      </c>
      <c r="AS701" s="25" t="str">
        <f t="shared" si="176"/>
        <v/>
      </c>
      <c r="AT701" s="25" t="str">
        <f t="shared" si="177"/>
        <v/>
      </c>
      <c r="AU701" s="25" t="str">
        <f t="shared" si="178"/>
        <v/>
      </c>
      <c r="AV701" s="25" t="str">
        <f t="shared" si="179"/>
        <v/>
      </c>
      <c r="AW701" s="25" t="str">
        <f t="shared" si="180"/>
        <v/>
      </c>
      <c r="AX701" s="25" t="str">
        <f t="shared" si="181"/>
        <v/>
      </c>
      <c r="AY701" s="25" t="str">
        <f t="shared" si="182"/>
        <v/>
      </c>
      <c r="AZ701" s="25" t="str">
        <f t="shared" si="183"/>
        <v/>
      </c>
      <c r="BA701" s="25" t="str">
        <f t="shared" si="184"/>
        <v/>
      </c>
      <c r="BB701" s="25" t="str">
        <f t="shared" si="185"/>
        <v/>
      </c>
      <c r="BC701" s="25" t="str">
        <f t="shared" si="186"/>
        <v/>
      </c>
    </row>
    <row r="702" spans="1:55" x14ac:dyDescent="0.25">
      <c r="A702" s="19" t="str">
        <f t="shared" si="171"/>
        <v/>
      </c>
      <c r="B702" s="19"/>
      <c r="C702" s="20"/>
      <c r="D702" s="19" t="str">
        <f t="shared" si="170"/>
        <v/>
      </c>
      <c r="E702" s="19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19"/>
      <c r="U702" s="19"/>
      <c r="V702" s="20"/>
      <c r="W702" s="22"/>
      <c r="X702" s="21"/>
      <c r="Y702" s="21"/>
      <c r="Z702" s="23" t="str">
        <f>IF(B702="","",IF(S702&lt;&gt;"","Sevk Edildi",IF(AND(X702&lt;&gt;"",Y702=""),"Reworkte",IF(T702&lt;&gt;"","Kapandı"&amp;IF(COUNT(G702:R702)=0,""," – "&amp;LOOKUP(2,1/(G702:R702=MAX(G702:R702)),{"Tasarım","Ply Cutter","Üretim","Kalite (Üretim sonrası)","Talaşlı","Kalite (Talaşlı sonrası)","Montaj","Kalite (Montaj sonrası)","Boya","Kalite (Boya sonrası)","Yarı Mamül","KM"})),IF(COUNT(G702:R702)=0,"Başlamadı",LOOKUP(2,1/(G702:R702=MAX(G702:R702)),{"Tasarımda","Ply Cutter'da","Üretimde","Kalitede (Üretim sonrası)","Talaşlıda","Kalitede (Talaşlı sonrası)","Montajda","Kalitede (Montaj sonrası)","Boyada","Kalitede (Boya sonrası)","Yarı Mamülde","KM'de"}))))))</f>
        <v/>
      </c>
      <c r="AA702" s="24" t="str">
        <f t="shared" ca="1" si="172"/>
        <v/>
      </c>
      <c r="AB702" s="22"/>
      <c r="AD702" t="str">
        <f>IF(OR($B702="",NOT(ISNUMBER(G702))),"",IF(COUNTIF(H702:$T702,G702)&gt;0,0,IF(COUNTIF($G702:$T702,"&gt;"&amp;G702)=0,"",SMALL($G702:$T702,COUNTIF($G702:$T702,"&lt;="&amp;G702)+1)-G702)))</f>
        <v/>
      </c>
      <c r="AE702" t="str">
        <f>IF(OR($B702="",NOT(ISNUMBER(H702))),"",IF(COUNTIF(I702:$T702,H702)&gt;0,0,IF(COUNTIF($G702:$T702,"&gt;"&amp;H702)=0,"",SMALL($G702:$T702,COUNTIF($G702:$T702,"&lt;="&amp;H702)+1)-H702)))</f>
        <v/>
      </c>
      <c r="AF702" t="str">
        <f>IF(OR($B702="",NOT(ISNUMBER(I702))),"",IF(COUNTIF(J702:$T702,I702)&gt;0,0,IF(COUNTIF($G702:$T702,"&gt;"&amp;I702)=0,"",SMALL($G702:$T702,COUNTIF($G702:$T702,"&lt;="&amp;I702)+1)-I702)))</f>
        <v/>
      </c>
      <c r="AG702" t="str">
        <f>IF(OR($B702="",NOT(ISNUMBER(J702))),"",IF(COUNTIF(K702:$T702,J702)&gt;0,0,IF(COUNTIF($G702:$T702,"&gt;"&amp;J702)=0,"",SMALL($G702:$T702,COUNTIF($G702:$T702,"&lt;="&amp;J702)+1)-J702)))</f>
        <v/>
      </c>
      <c r="AH702" t="str">
        <f>IF(OR($B702="",NOT(ISNUMBER(K702))),"",IF(COUNTIF(L702:$T702,K702)&gt;0,0,IF(COUNTIF($G702:$T702,"&gt;"&amp;K702)=0,"",SMALL($G702:$T702,COUNTIF($G702:$T702,"&lt;="&amp;K702)+1)-K702)))</f>
        <v/>
      </c>
      <c r="AI702" t="str">
        <f>IF(OR($B702="",NOT(ISNUMBER(L702))),"",IF(COUNTIF(M702:$T702,L702)&gt;0,0,IF(COUNTIF($G702:$T702,"&gt;"&amp;L702)=0,"",SMALL($G702:$T702,COUNTIF($G702:$T702,"&lt;="&amp;L702)+1)-L702)))</f>
        <v/>
      </c>
      <c r="AJ702" t="str">
        <f>IF(OR($B702="",NOT(ISNUMBER(M702))),"",IF(COUNTIF(N702:$T702,M702)&gt;0,0,IF(COUNTIF($G702:$T702,"&gt;"&amp;M702)=0,"",SMALL($G702:$T702,COUNTIF($G702:$T702,"&lt;="&amp;M702)+1)-M702)))</f>
        <v/>
      </c>
      <c r="AK702" t="str">
        <f>IF(OR($B702="",NOT(ISNUMBER(N702))),"",IF(COUNTIF(O702:$T702,N702)&gt;0,0,IF(COUNTIF($G702:$T702,"&gt;"&amp;N702)=0,"",SMALL($G702:$T702,COUNTIF($G702:$T702,"&lt;="&amp;N702)+1)-N702)))</f>
        <v/>
      </c>
      <c r="AL702" t="str">
        <f>IF(OR($B702="",NOT(ISNUMBER(O702))),"",IF(COUNTIF(P702:$T702,O702)&gt;0,0,IF(COUNTIF($G702:$T702,"&gt;"&amp;O702)=0,"",SMALL($G702:$T702,COUNTIF($G702:$T702,"&lt;="&amp;O702)+1)-O702)))</f>
        <v/>
      </c>
      <c r="AM702" t="str">
        <f>IF(OR($B702="",NOT(ISNUMBER(P702))),"",IF(COUNTIF(Q702:$T702,P702)&gt;0,0,IF(COUNTIF($G702:$T702,"&gt;"&amp;P702)=0,"",SMALL($G702:$T702,COUNTIF($G702:$T702,"&lt;="&amp;P702)+1)-P702)))</f>
        <v/>
      </c>
      <c r="AN702" t="str">
        <f>IF(OR($B702="",NOT(ISNUMBER(Q702))),"",IF(COUNTIF(R702:$T702,Q702)&gt;0,0,IF(COUNTIF($G702:$T702,"&gt;"&amp;Q702)=0,"",SMALL($G702:$T702,COUNTIF($G702:$T702,"&lt;="&amp;Q702)+1)-Q702)))</f>
        <v/>
      </c>
      <c r="AO702" t="str">
        <f>IF(OR($B702="",NOT(ISNUMBER(R702))),"",IF(COUNTIF(S702:$T702,R702)&gt;0,0,IF(COUNTIF($G702:$T702,"&gt;"&amp;R702)=0,"",SMALL($G702:$T702,COUNTIF($G702:$T702,"&lt;="&amp;R702)+1)-R702)))</f>
        <v/>
      </c>
      <c r="AP702">
        <f t="shared" ca="1" si="173"/>
        <v>0</v>
      </c>
      <c r="AQ702" s="25" t="str">
        <f t="shared" si="174"/>
        <v/>
      </c>
      <c r="AR702" s="25" t="str">
        <f t="shared" si="175"/>
        <v/>
      </c>
      <c r="AS702" s="25" t="str">
        <f t="shared" si="176"/>
        <v/>
      </c>
      <c r="AT702" s="25" t="str">
        <f t="shared" si="177"/>
        <v/>
      </c>
      <c r="AU702" s="25" t="str">
        <f t="shared" si="178"/>
        <v/>
      </c>
      <c r="AV702" s="25" t="str">
        <f t="shared" si="179"/>
        <v/>
      </c>
      <c r="AW702" s="25" t="str">
        <f t="shared" si="180"/>
        <v/>
      </c>
      <c r="AX702" s="25" t="str">
        <f t="shared" si="181"/>
        <v/>
      </c>
      <c r="AY702" s="25" t="str">
        <f t="shared" si="182"/>
        <v/>
      </c>
      <c r="AZ702" s="25" t="str">
        <f t="shared" si="183"/>
        <v/>
      </c>
      <c r="BA702" s="25" t="str">
        <f t="shared" si="184"/>
        <v/>
      </c>
      <c r="BB702" s="25" t="str">
        <f t="shared" si="185"/>
        <v/>
      </c>
      <c r="BC702" s="25" t="str">
        <f t="shared" si="186"/>
        <v/>
      </c>
    </row>
    <row r="703" spans="1:55" x14ac:dyDescent="0.25">
      <c r="A703" s="19" t="str">
        <f t="shared" si="171"/>
        <v/>
      </c>
      <c r="B703" s="19"/>
      <c r="C703" s="20"/>
      <c r="D703" s="19" t="str">
        <f t="shared" ref="D703:D766" si="187">IFERROR(VALUE(TRIM(MID(C703,FIND(" - ",C703)+3,FIND(" - ",C703,FIND(" - ",C703)+3)-FIND(" - ",C703)-3))),"")</f>
        <v/>
      </c>
      <c r="E703" s="19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19"/>
      <c r="U703" s="19"/>
      <c r="V703" s="20"/>
      <c r="W703" s="22"/>
      <c r="X703" s="21"/>
      <c r="Y703" s="21"/>
      <c r="Z703" s="23" t="str">
        <f>IF(B703="","",IF(S703&lt;&gt;"","Sevk Edildi",IF(AND(X703&lt;&gt;"",Y703=""),"Reworkte",IF(T703&lt;&gt;"","Kapandı"&amp;IF(COUNT(G703:R703)=0,""," – "&amp;LOOKUP(2,1/(G703:R703=MAX(G703:R703)),{"Tasarım","Ply Cutter","Üretim","Kalite (Üretim sonrası)","Talaşlı","Kalite (Talaşlı sonrası)","Montaj","Kalite (Montaj sonrası)","Boya","Kalite (Boya sonrası)","Yarı Mamül","KM"})),IF(COUNT(G703:R703)=0,"Başlamadı",LOOKUP(2,1/(G703:R703=MAX(G703:R703)),{"Tasarımda","Ply Cutter'da","Üretimde","Kalitede (Üretim sonrası)","Talaşlıda","Kalitede (Talaşlı sonrası)","Montajda","Kalitede (Montaj sonrası)","Boyada","Kalitede (Boya sonrası)","Yarı Mamülde","KM'de"}))))))</f>
        <v/>
      </c>
      <c r="AA703" s="24" t="str">
        <f t="shared" ca="1" si="172"/>
        <v/>
      </c>
      <c r="AB703" s="22"/>
      <c r="AD703" t="str">
        <f>IF(OR($B703="",NOT(ISNUMBER(G703))),"",IF(COUNTIF(H703:$T703,G703)&gt;0,0,IF(COUNTIF($G703:$T703,"&gt;"&amp;G703)=0,"",SMALL($G703:$T703,COUNTIF($G703:$T703,"&lt;="&amp;G703)+1)-G703)))</f>
        <v/>
      </c>
      <c r="AE703" t="str">
        <f>IF(OR($B703="",NOT(ISNUMBER(H703))),"",IF(COUNTIF(I703:$T703,H703)&gt;0,0,IF(COUNTIF($G703:$T703,"&gt;"&amp;H703)=0,"",SMALL($G703:$T703,COUNTIF($G703:$T703,"&lt;="&amp;H703)+1)-H703)))</f>
        <v/>
      </c>
      <c r="AF703" t="str">
        <f>IF(OR($B703="",NOT(ISNUMBER(I703))),"",IF(COUNTIF(J703:$T703,I703)&gt;0,0,IF(COUNTIF($G703:$T703,"&gt;"&amp;I703)=0,"",SMALL($G703:$T703,COUNTIF($G703:$T703,"&lt;="&amp;I703)+1)-I703)))</f>
        <v/>
      </c>
      <c r="AG703" t="str">
        <f>IF(OR($B703="",NOT(ISNUMBER(J703))),"",IF(COUNTIF(K703:$T703,J703)&gt;0,0,IF(COUNTIF($G703:$T703,"&gt;"&amp;J703)=0,"",SMALL($G703:$T703,COUNTIF($G703:$T703,"&lt;="&amp;J703)+1)-J703)))</f>
        <v/>
      </c>
      <c r="AH703" t="str">
        <f>IF(OR($B703="",NOT(ISNUMBER(K703))),"",IF(COUNTIF(L703:$T703,K703)&gt;0,0,IF(COUNTIF($G703:$T703,"&gt;"&amp;K703)=0,"",SMALL($G703:$T703,COUNTIF($G703:$T703,"&lt;="&amp;K703)+1)-K703)))</f>
        <v/>
      </c>
      <c r="AI703" t="str">
        <f>IF(OR($B703="",NOT(ISNUMBER(L703))),"",IF(COUNTIF(M703:$T703,L703)&gt;0,0,IF(COUNTIF($G703:$T703,"&gt;"&amp;L703)=0,"",SMALL($G703:$T703,COUNTIF($G703:$T703,"&lt;="&amp;L703)+1)-L703)))</f>
        <v/>
      </c>
      <c r="AJ703" t="str">
        <f>IF(OR($B703="",NOT(ISNUMBER(M703))),"",IF(COUNTIF(N703:$T703,M703)&gt;0,0,IF(COUNTIF($G703:$T703,"&gt;"&amp;M703)=0,"",SMALL($G703:$T703,COUNTIF($G703:$T703,"&lt;="&amp;M703)+1)-M703)))</f>
        <v/>
      </c>
      <c r="AK703" t="str">
        <f>IF(OR($B703="",NOT(ISNUMBER(N703))),"",IF(COUNTIF(O703:$T703,N703)&gt;0,0,IF(COUNTIF($G703:$T703,"&gt;"&amp;N703)=0,"",SMALL($G703:$T703,COUNTIF($G703:$T703,"&lt;="&amp;N703)+1)-N703)))</f>
        <v/>
      </c>
      <c r="AL703" t="str">
        <f>IF(OR($B703="",NOT(ISNUMBER(O703))),"",IF(COUNTIF(P703:$T703,O703)&gt;0,0,IF(COUNTIF($G703:$T703,"&gt;"&amp;O703)=0,"",SMALL($G703:$T703,COUNTIF($G703:$T703,"&lt;="&amp;O703)+1)-O703)))</f>
        <v/>
      </c>
      <c r="AM703" t="str">
        <f>IF(OR($B703="",NOT(ISNUMBER(P703))),"",IF(COUNTIF(Q703:$T703,P703)&gt;0,0,IF(COUNTIF($G703:$T703,"&gt;"&amp;P703)=0,"",SMALL($G703:$T703,COUNTIF($G703:$T703,"&lt;="&amp;P703)+1)-P703)))</f>
        <v/>
      </c>
      <c r="AN703" t="str">
        <f>IF(OR($B703="",NOT(ISNUMBER(Q703))),"",IF(COUNTIF(R703:$T703,Q703)&gt;0,0,IF(COUNTIF($G703:$T703,"&gt;"&amp;Q703)=0,"",SMALL($G703:$T703,COUNTIF($G703:$T703,"&lt;="&amp;Q703)+1)-Q703)))</f>
        <v/>
      </c>
      <c r="AO703" t="str">
        <f>IF(OR($B703="",NOT(ISNUMBER(R703))),"",IF(COUNTIF(S703:$T703,R703)&gt;0,0,IF(COUNTIF($G703:$T703,"&gt;"&amp;R703)=0,"",SMALL($G703:$T703,COUNTIF($G703:$T703,"&lt;="&amp;R703)+1)-R703)))</f>
        <v/>
      </c>
      <c r="AP703">
        <f t="shared" ca="1" si="173"/>
        <v>0</v>
      </c>
      <c r="AQ703" s="25" t="str">
        <f t="shared" si="174"/>
        <v/>
      </c>
      <c r="AR703" s="25" t="str">
        <f t="shared" si="175"/>
        <v/>
      </c>
      <c r="AS703" s="25" t="str">
        <f t="shared" si="176"/>
        <v/>
      </c>
      <c r="AT703" s="25" t="str">
        <f t="shared" si="177"/>
        <v/>
      </c>
      <c r="AU703" s="25" t="str">
        <f t="shared" si="178"/>
        <v/>
      </c>
      <c r="AV703" s="25" t="str">
        <f t="shared" si="179"/>
        <v/>
      </c>
      <c r="AW703" s="25" t="str">
        <f t="shared" si="180"/>
        <v/>
      </c>
      <c r="AX703" s="25" t="str">
        <f t="shared" si="181"/>
        <v/>
      </c>
      <c r="AY703" s="25" t="str">
        <f t="shared" si="182"/>
        <v/>
      </c>
      <c r="AZ703" s="25" t="str">
        <f t="shared" si="183"/>
        <v/>
      </c>
      <c r="BA703" s="25" t="str">
        <f t="shared" si="184"/>
        <v/>
      </c>
      <c r="BB703" s="25" t="str">
        <f t="shared" si="185"/>
        <v/>
      </c>
      <c r="BC703" s="25" t="str">
        <f t="shared" si="186"/>
        <v/>
      </c>
    </row>
    <row r="704" spans="1:55" x14ac:dyDescent="0.25">
      <c r="A704" s="19" t="str">
        <f t="shared" si="171"/>
        <v/>
      </c>
      <c r="B704" s="19"/>
      <c r="C704" s="20"/>
      <c r="D704" s="19" t="str">
        <f t="shared" si="187"/>
        <v/>
      </c>
      <c r="E704" s="19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19"/>
      <c r="U704" s="19"/>
      <c r="V704" s="20"/>
      <c r="W704" s="22"/>
      <c r="X704" s="21"/>
      <c r="Y704" s="21"/>
      <c r="Z704" s="23" t="str">
        <f>IF(B704="","",IF(S704&lt;&gt;"","Sevk Edildi",IF(AND(X704&lt;&gt;"",Y704=""),"Reworkte",IF(T704&lt;&gt;"","Kapandı"&amp;IF(COUNT(G704:R704)=0,""," – "&amp;LOOKUP(2,1/(G704:R704=MAX(G704:R704)),{"Tasarım","Ply Cutter","Üretim","Kalite (Üretim sonrası)","Talaşlı","Kalite (Talaşlı sonrası)","Montaj","Kalite (Montaj sonrası)","Boya","Kalite (Boya sonrası)","Yarı Mamül","KM"})),IF(COUNT(G704:R704)=0,"Başlamadı",LOOKUP(2,1/(G704:R704=MAX(G704:R704)),{"Tasarımda","Ply Cutter'da","Üretimde","Kalitede (Üretim sonrası)","Talaşlıda","Kalitede (Talaşlı sonrası)","Montajda","Kalitede (Montaj sonrası)","Boyada","Kalitede (Boya sonrası)","Yarı Mamülde","KM'de"}))))))</f>
        <v/>
      </c>
      <c r="AA704" s="24" t="str">
        <f t="shared" ca="1" si="172"/>
        <v/>
      </c>
      <c r="AB704" s="22"/>
      <c r="AD704" t="str">
        <f>IF(OR($B704="",NOT(ISNUMBER(G704))),"",IF(COUNTIF(H704:$T704,G704)&gt;0,0,IF(COUNTIF($G704:$T704,"&gt;"&amp;G704)=0,"",SMALL($G704:$T704,COUNTIF($G704:$T704,"&lt;="&amp;G704)+1)-G704)))</f>
        <v/>
      </c>
      <c r="AE704" t="str">
        <f>IF(OR($B704="",NOT(ISNUMBER(H704))),"",IF(COUNTIF(I704:$T704,H704)&gt;0,0,IF(COUNTIF($G704:$T704,"&gt;"&amp;H704)=0,"",SMALL($G704:$T704,COUNTIF($G704:$T704,"&lt;="&amp;H704)+1)-H704)))</f>
        <v/>
      </c>
      <c r="AF704" t="str">
        <f>IF(OR($B704="",NOT(ISNUMBER(I704))),"",IF(COUNTIF(J704:$T704,I704)&gt;0,0,IF(COUNTIF($G704:$T704,"&gt;"&amp;I704)=0,"",SMALL($G704:$T704,COUNTIF($G704:$T704,"&lt;="&amp;I704)+1)-I704)))</f>
        <v/>
      </c>
      <c r="AG704" t="str">
        <f>IF(OR($B704="",NOT(ISNUMBER(J704))),"",IF(COUNTIF(K704:$T704,J704)&gt;0,0,IF(COUNTIF($G704:$T704,"&gt;"&amp;J704)=0,"",SMALL($G704:$T704,COUNTIF($G704:$T704,"&lt;="&amp;J704)+1)-J704)))</f>
        <v/>
      </c>
      <c r="AH704" t="str">
        <f>IF(OR($B704="",NOT(ISNUMBER(K704))),"",IF(COUNTIF(L704:$T704,K704)&gt;0,0,IF(COUNTIF($G704:$T704,"&gt;"&amp;K704)=0,"",SMALL($G704:$T704,COUNTIF($G704:$T704,"&lt;="&amp;K704)+1)-K704)))</f>
        <v/>
      </c>
      <c r="AI704" t="str">
        <f>IF(OR($B704="",NOT(ISNUMBER(L704))),"",IF(COUNTIF(M704:$T704,L704)&gt;0,0,IF(COUNTIF($G704:$T704,"&gt;"&amp;L704)=0,"",SMALL($G704:$T704,COUNTIF($G704:$T704,"&lt;="&amp;L704)+1)-L704)))</f>
        <v/>
      </c>
      <c r="AJ704" t="str">
        <f>IF(OR($B704="",NOT(ISNUMBER(M704))),"",IF(COUNTIF(N704:$T704,M704)&gt;0,0,IF(COUNTIF($G704:$T704,"&gt;"&amp;M704)=0,"",SMALL($G704:$T704,COUNTIF($G704:$T704,"&lt;="&amp;M704)+1)-M704)))</f>
        <v/>
      </c>
      <c r="AK704" t="str">
        <f>IF(OR($B704="",NOT(ISNUMBER(N704))),"",IF(COUNTIF(O704:$T704,N704)&gt;0,0,IF(COUNTIF($G704:$T704,"&gt;"&amp;N704)=0,"",SMALL($G704:$T704,COUNTIF($G704:$T704,"&lt;="&amp;N704)+1)-N704)))</f>
        <v/>
      </c>
      <c r="AL704" t="str">
        <f>IF(OR($B704="",NOT(ISNUMBER(O704))),"",IF(COUNTIF(P704:$T704,O704)&gt;0,0,IF(COUNTIF($G704:$T704,"&gt;"&amp;O704)=0,"",SMALL($G704:$T704,COUNTIF($G704:$T704,"&lt;="&amp;O704)+1)-O704)))</f>
        <v/>
      </c>
      <c r="AM704" t="str">
        <f>IF(OR($B704="",NOT(ISNUMBER(P704))),"",IF(COUNTIF(Q704:$T704,P704)&gt;0,0,IF(COUNTIF($G704:$T704,"&gt;"&amp;P704)=0,"",SMALL($G704:$T704,COUNTIF($G704:$T704,"&lt;="&amp;P704)+1)-P704)))</f>
        <v/>
      </c>
      <c r="AN704" t="str">
        <f>IF(OR($B704="",NOT(ISNUMBER(Q704))),"",IF(COUNTIF(R704:$T704,Q704)&gt;0,0,IF(COUNTIF($G704:$T704,"&gt;"&amp;Q704)=0,"",SMALL($G704:$T704,COUNTIF($G704:$T704,"&lt;="&amp;Q704)+1)-Q704)))</f>
        <v/>
      </c>
      <c r="AO704" t="str">
        <f>IF(OR($B704="",NOT(ISNUMBER(R704))),"",IF(COUNTIF(S704:$T704,R704)&gt;0,0,IF(COUNTIF($G704:$T704,"&gt;"&amp;R704)=0,"",SMALL($G704:$T704,COUNTIF($G704:$T704,"&lt;="&amp;R704)+1)-R704)))</f>
        <v/>
      </c>
      <c r="AP704">
        <f t="shared" ca="1" si="173"/>
        <v>0</v>
      </c>
      <c r="AQ704" s="25" t="str">
        <f t="shared" si="174"/>
        <v/>
      </c>
      <c r="AR704" s="25" t="str">
        <f t="shared" si="175"/>
        <v/>
      </c>
      <c r="AS704" s="25" t="str">
        <f t="shared" si="176"/>
        <v/>
      </c>
      <c r="AT704" s="25" t="str">
        <f t="shared" si="177"/>
        <v/>
      </c>
      <c r="AU704" s="25" t="str">
        <f t="shared" si="178"/>
        <v/>
      </c>
      <c r="AV704" s="25" t="str">
        <f t="shared" si="179"/>
        <v/>
      </c>
      <c r="AW704" s="25" t="str">
        <f t="shared" si="180"/>
        <v/>
      </c>
      <c r="AX704" s="25" t="str">
        <f t="shared" si="181"/>
        <v/>
      </c>
      <c r="AY704" s="25" t="str">
        <f t="shared" si="182"/>
        <v/>
      </c>
      <c r="AZ704" s="25" t="str">
        <f t="shared" si="183"/>
        <v/>
      </c>
      <c r="BA704" s="25" t="str">
        <f t="shared" si="184"/>
        <v/>
      </c>
      <c r="BB704" s="25" t="str">
        <f t="shared" si="185"/>
        <v/>
      </c>
      <c r="BC704" s="25" t="str">
        <f t="shared" si="186"/>
        <v/>
      </c>
    </row>
    <row r="705" spans="1:55" x14ac:dyDescent="0.25">
      <c r="A705" s="19" t="str">
        <f t="shared" si="171"/>
        <v/>
      </c>
      <c r="B705" s="19"/>
      <c r="C705" s="20"/>
      <c r="D705" s="19" t="str">
        <f t="shared" si="187"/>
        <v/>
      </c>
      <c r="E705" s="19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19"/>
      <c r="U705" s="19"/>
      <c r="V705" s="20"/>
      <c r="W705" s="22"/>
      <c r="X705" s="21"/>
      <c r="Y705" s="21"/>
      <c r="Z705" s="23" t="str">
        <f>IF(B705="","",IF(S705&lt;&gt;"","Sevk Edildi",IF(AND(X705&lt;&gt;"",Y705=""),"Reworkte",IF(T705&lt;&gt;"","Kapandı"&amp;IF(COUNT(G705:R705)=0,""," – "&amp;LOOKUP(2,1/(G705:R705=MAX(G705:R705)),{"Tasarım","Ply Cutter","Üretim","Kalite (Üretim sonrası)","Talaşlı","Kalite (Talaşlı sonrası)","Montaj","Kalite (Montaj sonrası)","Boya","Kalite (Boya sonrası)","Yarı Mamül","KM"})),IF(COUNT(G705:R705)=0,"Başlamadı",LOOKUP(2,1/(G705:R705=MAX(G705:R705)),{"Tasarımda","Ply Cutter'da","Üretimde","Kalitede (Üretim sonrası)","Talaşlıda","Kalitede (Talaşlı sonrası)","Montajda","Kalitede (Montaj sonrası)","Boyada","Kalitede (Boya sonrası)","Yarı Mamülde","KM'de"}))))))</f>
        <v/>
      </c>
      <c r="AA705" s="24" t="str">
        <f t="shared" ca="1" si="172"/>
        <v/>
      </c>
      <c r="AB705" s="22"/>
      <c r="AD705" t="str">
        <f>IF(OR($B705="",NOT(ISNUMBER(G705))),"",IF(COUNTIF(H705:$T705,G705)&gt;0,0,IF(COUNTIF($G705:$T705,"&gt;"&amp;G705)=0,"",SMALL($G705:$T705,COUNTIF($G705:$T705,"&lt;="&amp;G705)+1)-G705)))</f>
        <v/>
      </c>
      <c r="AE705" t="str">
        <f>IF(OR($B705="",NOT(ISNUMBER(H705))),"",IF(COUNTIF(I705:$T705,H705)&gt;0,0,IF(COUNTIF($G705:$T705,"&gt;"&amp;H705)=0,"",SMALL($G705:$T705,COUNTIF($G705:$T705,"&lt;="&amp;H705)+1)-H705)))</f>
        <v/>
      </c>
      <c r="AF705" t="str">
        <f>IF(OR($B705="",NOT(ISNUMBER(I705))),"",IF(COUNTIF(J705:$T705,I705)&gt;0,0,IF(COUNTIF($G705:$T705,"&gt;"&amp;I705)=0,"",SMALL($G705:$T705,COUNTIF($G705:$T705,"&lt;="&amp;I705)+1)-I705)))</f>
        <v/>
      </c>
      <c r="AG705" t="str">
        <f>IF(OR($B705="",NOT(ISNUMBER(J705))),"",IF(COUNTIF(K705:$T705,J705)&gt;0,0,IF(COUNTIF($G705:$T705,"&gt;"&amp;J705)=0,"",SMALL($G705:$T705,COUNTIF($G705:$T705,"&lt;="&amp;J705)+1)-J705)))</f>
        <v/>
      </c>
      <c r="AH705" t="str">
        <f>IF(OR($B705="",NOT(ISNUMBER(K705))),"",IF(COUNTIF(L705:$T705,K705)&gt;0,0,IF(COUNTIF($G705:$T705,"&gt;"&amp;K705)=0,"",SMALL($G705:$T705,COUNTIF($G705:$T705,"&lt;="&amp;K705)+1)-K705)))</f>
        <v/>
      </c>
      <c r="AI705" t="str">
        <f>IF(OR($B705="",NOT(ISNUMBER(L705))),"",IF(COUNTIF(M705:$T705,L705)&gt;0,0,IF(COUNTIF($G705:$T705,"&gt;"&amp;L705)=0,"",SMALL($G705:$T705,COUNTIF($G705:$T705,"&lt;="&amp;L705)+1)-L705)))</f>
        <v/>
      </c>
      <c r="AJ705" t="str">
        <f>IF(OR($B705="",NOT(ISNUMBER(M705))),"",IF(COUNTIF(N705:$T705,M705)&gt;0,0,IF(COUNTIF($G705:$T705,"&gt;"&amp;M705)=0,"",SMALL($G705:$T705,COUNTIF($G705:$T705,"&lt;="&amp;M705)+1)-M705)))</f>
        <v/>
      </c>
      <c r="AK705" t="str">
        <f>IF(OR($B705="",NOT(ISNUMBER(N705))),"",IF(COUNTIF(O705:$T705,N705)&gt;0,0,IF(COUNTIF($G705:$T705,"&gt;"&amp;N705)=0,"",SMALL($G705:$T705,COUNTIF($G705:$T705,"&lt;="&amp;N705)+1)-N705)))</f>
        <v/>
      </c>
      <c r="AL705" t="str">
        <f>IF(OR($B705="",NOT(ISNUMBER(O705))),"",IF(COUNTIF(P705:$T705,O705)&gt;0,0,IF(COUNTIF($G705:$T705,"&gt;"&amp;O705)=0,"",SMALL($G705:$T705,COUNTIF($G705:$T705,"&lt;="&amp;O705)+1)-O705)))</f>
        <v/>
      </c>
      <c r="AM705" t="str">
        <f>IF(OR($B705="",NOT(ISNUMBER(P705))),"",IF(COUNTIF(Q705:$T705,P705)&gt;0,0,IF(COUNTIF($G705:$T705,"&gt;"&amp;P705)=0,"",SMALL($G705:$T705,COUNTIF($G705:$T705,"&lt;="&amp;P705)+1)-P705)))</f>
        <v/>
      </c>
      <c r="AN705" t="str">
        <f>IF(OR($B705="",NOT(ISNUMBER(Q705))),"",IF(COUNTIF(R705:$T705,Q705)&gt;0,0,IF(COUNTIF($G705:$T705,"&gt;"&amp;Q705)=0,"",SMALL($G705:$T705,COUNTIF($G705:$T705,"&lt;="&amp;Q705)+1)-Q705)))</f>
        <v/>
      </c>
      <c r="AO705" t="str">
        <f>IF(OR($B705="",NOT(ISNUMBER(R705))),"",IF(COUNTIF(S705:$T705,R705)&gt;0,0,IF(COUNTIF($G705:$T705,"&gt;"&amp;R705)=0,"",SMALL($G705:$T705,COUNTIF($G705:$T705,"&lt;="&amp;R705)+1)-R705)))</f>
        <v/>
      </c>
      <c r="AP705">
        <f t="shared" ca="1" si="173"/>
        <v>0</v>
      </c>
      <c r="AQ705" s="25" t="str">
        <f t="shared" si="174"/>
        <v/>
      </c>
      <c r="AR705" s="25" t="str">
        <f t="shared" si="175"/>
        <v/>
      </c>
      <c r="AS705" s="25" t="str">
        <f t="shared" si="176"/>
        <v/>
      </c>
      <c r="AT705" s="25" t="str">
        <f t="shared" si="177"/>
        <v/>
      </c>
      <c r="AU705" s="25" t="str">
        <f t="shared" si="178"/>
        <v/>
      </c>
      <c r="AV705" s="25" t="str">
        <f t="shared" si="179"/>
        <v/>
      </c>
      <c r="AW705" s="25" t="str">
        <f t="shared" si="180"/>
        <v/>
      </c>
      <c r="AX705" s="25" t="str">
        <f t="shared" si="181"/>
        <v/>
      </c>
      <c r="AY705" s="25" t="str">
        <f t="shared" si="182"/>
        <v/>
      </c>
      <c r="AZ705" s="25" t="str">
        <f t="shared" si="183"/>
        <v/>
      </c>
      <c r="BA705" s="25" t="str">
        <f t="shared" si="184"/>
        <v/>
      </c>
      <c r="BB705" s="25" t="str">
        <f t="shared" si="185"/>
        <v/>
      </c>
      <c r="BC705" s="25" t="str">
        <f t="shared" si="186"/>
        <v/>
      </c>
    </row>
    <row r="706" spans="1:55" x14ac:dyDescent="0.25">
      <c r="A706" s="19" t="str">
        <f t="shared" si="171"/>
        <v/>
      </c>
      <c r="B706" s="19"/>
      <c r="C706" s="20"/>
      <c r="D706" s="19" t="str">
        <f t="shared" si="187"/>
        <v/>
      </c>
      <c r="E706" s="19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19"/>
      <c r="U706" s="19"/>
      <c r="V706" s="20"/>
      <c r="W706" s="22"/>
      <c r="X706" s="21"/>
      <c r="Y706" s="21"/>
      <c r="Z706" s="23" t="str">
        <f>IF(B706="","",IF(S706&lt;&gt;"","Sevk Edildi",IF(AND(X706&lt;&gt;"",Y706=""),"Reworkte",IF(T706&lt;&gt;"","Kapandı"&amp;IF(COUNT(G706:R706)=0,""," – "&amp;LOOKUP(2,1/(G706:R706=MAX(G706:R706)),{"Tasarım","Ply Cutter","Üretim","Kalite (Üretim sonrası)","Talaşlı","Kalite (Talaşlı sonrası)","Montaj","Kalite (Montaj sonrası)","Boya","Kalite (Boya sonrası)","Yarı Mamül","KM"})),IF(COUNT(G706:R706)=0,"Başlamadı",LOOKUP(2,1/(G706:R706=MAX(G706:R706)),{"Tasarımda","Ply Cutter'da","Üretimde","Kalitede (Üretim sonrası)","Talaşlıda","Kalitede (Talaşlı sonrası)","Montajda","Kalitede (Montaj sonrası)","Boyada","Kalitede (Boya sonrası)","Yarı Mamülde","KM'de"}))))))</f>
        <v/>
      </c>
      <c r="AA706" s="24" t="str">
        <f t="shared" ca="1" si="172"/>
        <v/>
      </c>
      <c r="AB706" s="22"/>
      <c r="AD706" t="str">
        <f>IF(OR($B706="",NOT(ISNUMBER(G706))),"",IF(COUNTIF(H706:$T706,G706)&gt;0,0,IF(COUNTIF($G706:$T706,"&gt;"&amp;G706)=0,"",SMALL($G706:$T706,COUNTIF($G706:$T706,"&lt;="&amp;G706)+1)-G706)))</f>
        <v/>
      </c>
      <c r="AE706" t="str">
        <f>IF(OR($B706="",NOT(ISNUMBER(H706))),"",IF(COUNTIF(I706:$T706,H706)&gt;0,0,IF(COUNTIF($G706:$T706,"&gt;"&amp;H706)=0,"",SMALL($G706:$T706,COUNTIF($G706:$T706,"&lt;="&amp;H706)+1)-H706)))</f>
        <v/>
      </c>
      <c r="AF706" t="str">
        <f>IF(OR($B706="",NOT(ISNUMBER(I706))),"",IF(COUNTIF(J706:$T706,I706)&gt;0,0,IF(COUNTIF($G706:$T706,"&gt;"&amp;I706)=0,"",SMALL($G706:$T706,COUNTIF($G706:$T706,"&lt;="&amp;I706)+1)-I706)))</f>
        <v/>
      </c>
      <c r="AG706" t="str">
        <f>IF(OR($B706="",NOT(ISNUMBER(J706))),"",IF(COUNTIF(K706:$T706,J706)&gt;0,0,IF(COUNTIF($G706:$T706,"&gt;"&amp;J706)=0,"",SMALL($G706:$T706,COUNTIF($G706:$T706,"&lt;="&amp;J706)+1)-J706)))</f>
        <v/>
      </c>
      <c r="AH706" t="str">
        <f>IF(OR($B706="",NOT(ISNUMBER(K706))),"",IF(COUNTIF(L706:$T706,K706)&gt;0,0,IF(COUNTIF($G706:$T706,"&gt;"&amp;K706)=0,"",SMALL($G706:$T706,COUNTIF($G706:$T706,"&lt;="&amp;K706)+1)-K706)))</f>
        <v/>
      </c>
      <c r="AI706" t="str">
        <f>IF(OR($B706="",NOT(ISNUMBER(L706))),"",IF(COUNTIF(M706:$T706,L706)&gt;0,0,IF(COUNTIF($G706:$T706,"&gt;"&amp;L706)=0,"",SMALL($G706:$T706,COUNTIF($G706:$T706,"&lt;="&amp;L706)+1)-L706)))</f>
        <v/>
      </c>
      <c r="AJ706" t="str">
        <f>IF(OR($B706="",NOT(ISNUMBER(M706))),"",IF(COUNTIF(N706:$T706,M706)&gt;0,0,IF(COUNTIF($G706:$T706,"&gt;"&amp;M706)=0,"",SMALL($G706:$T706,COUNTIF($G706:$T706,"&lt;="&amp;M706)+1)-M706)))</f>
        <v/>
      </c>
      <c r="AK706" t="str">
        <f>IF(OR($B706="",NOT(ISNUMBER(N706))),"",IF(COUNTIF(O706:$T706,N706)&gt;0,0,IF(COUNTIF($G706:$T706,"&gt;"&amp;N706)=0,"",SMALL($G706:$T706,COUNTIF($G706:$T706,"&lt;="&amp;N706)+1)-N706)))</f>
        <v/>
      </c>
      <c r="AL706" t="str">
        <f>IF(OR($B706="",NOT(ISNUMBER(O706))),"",IF(COUNTIF(P706:$T706,O706)&gt;0,0,IF(COUNTIF($G706:$T706,"&gt;"&amp;O706)=0,"",SMALL($G706:$T706,COUNTIF($G706:$T706,"&lt;="&amp;O706)+1)-O706)))</f>
        <v/>
      </c>
      <c r="AM706" t="str">
        <f>IF(OR($B706="",NOT(ISNUMBER(P706))),"",IF(COUNTIF(Q706:$T706,P706)&gt;0,0,IF(COUNTIF($G706:$T706,"&gt;"&amp;P706)=0,"",SMALL($G706:$T706,COUNTIF($G706:$T706,"&lt;="&amp;P706)+1)-P706)))</f>
        <v/>
      </c>
      <c r="AN706" t="str">
        <f>IF(OR($B706="",NOT(ISNUMBER(Q706))),"",IF(COUNTIF(R706:$T706,Q706)&gt;0,0,IF(COUNTIF($G706:$T706,"&gt;"&amp;Q706)=0,"",SMALL($G706:$T706,COUNTIF($G706:$T706,"&lt;="&amp;Q706)+1)-Q706)))</f>
        <v/>
      </c>
      <c r="AO706" t="str">
        <f>IF(OR($B706="",NOT(ISNUMBER(R706))),"",IF(COUNTIF(S706:$T706,R706)&gt;0,0,IF(COUNTIF($G706:$T706,"&gt;"&amp;R706)=0,"",SMALL($G706:$T706,COUNTIF($G706:$T706,"&lt;="&amp;R706)+1)-R706)))</f>
        <v/>
      </c>
      <c r="AP706">
        <f t="shared" ca="1" si="173"/>
        <v>0</v>
      </c>
      <c r="AQ706" s="25" t="str">
        <f t="shared" si="174"/>
        <v/>
      </c>
      <c r="AR706" s="25" t="str">
        <f t="shared" si="175"/>
        <v/>
      </c>
      <c r="AS706" s="25" t="str">
        <f t="shared" si="176"/>
        <v/>
      </c>
      <c r="AT706" s="25" t="str">
        <f t="shared" si="177"/>
        <v/>
      </c>
      <c r="AU706" s="25" t="str">
        <f t="shared" si="178"/>
        <v/>
      </c>
      <c r="AV706" s="25" t="str">
        <f t="shared" si="179"/>
        <v/>
      </c>
      <c r="AW706" s="25" t="str">
        <f t="shared" si="180"/>
        <v/>
      </c>
      <c r="AX706" s="25" t="str">
        <f t="shared" si="181"/>
        <v/>
      </c>
      <c r="AY706" s="25" t="str">
        <f t="shared" si="182"/>
        <v/>
      </c>
      <c r="AZ706" s="25" t="str">
        <f t="shared" si="183"/>
        <v/>
      </c>
      <c r="BA706" s="25" t="str">
        <f t="shared" si="184"/>
        <v/>
      </c>
      <c r="BB706" s="25" t="str">
        <f t="shared" si="185"/>
        <v/>
      </c>
      <c r="BC706" s="25" t="str">
        <f t="shared" si="186"/>
        <v/>
      </c>
    </row>
    <row r="707" spans="1:55" x14ac:dyDescent="0.25">
      <c r="A707" s="19" t="str">
        <f t="shared" ref="A707:A770" si="188">IF(B707="","",ROW()-2)</f>
        <v/>
      </c>
      <c r="B707" s="19"/>
      <c r="C707" s="20"/>
      <c r="D707" s="19" t="str">
        <f t="shared" si="187"/>
        <v/>
      </c>
      <c r="E707" s="19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19"/>
      <c r="U707" s="19"/>
      <c r="V707" s="20"/>
      <c r="W707" s="22"/>
      <c r="X707" s="21"/>
      <c r="Y707" s="21"/>
      <c r="Z707" s="23" t="str">
        <f>IF(B707="","",IF(S707&lt;&gt;"","Sevk Edildi",IF(AND(X707&lt;&gt;"",Y707=""),"Reworkte",IF(T707&lt;&gt;"","Kapandı"&amp;IF(COUNT(G707:R707)=0,""," – "&amp;LOOKUP(2,1/(G707:R707=MAX(G707:R707)),{"Tasarım","Ply Cutter","Üretim","Kalite (Üretim sonrası)","Talaşlı","Kalite (Talaşlı sonrası)","Montaj","Kalite (Montaj sonrası)","Boya","Kalite (Boya sonrası)","Yarı Mamül","KM"})),IF(COUNT(G707:R707)=0,"Başlamadı",LOOKUP(2,1/(G707:R707=MAX(G707:R707)),{"Tasarımda","Ply Cutter'da","Üretimde","Kalitede (Üretim sonrası)","Talaşlıda","Kalitede (Talaşlı sonrası)","Montajda","Kalitede (Montaj sonrası)","Boyada","Kalitede (Boya sonrası)","Yarı Mamülde","KM'de"}))))))</f>
        <v/>
      </c>
      <c r="AA707" s="24" t="str">
        <f t="shared" ref="AA707:AA770" ca="1" si="189">IF(OR(B707="",F707=""),"",IFERROR(IF(S707&lt;&gt;"",S707-F707,IF(T707&lt;&gt;"",T707-F707,TODAY()-F707)),""))</f>
        <v/>
      </c>
      <c r="AB707" s="22"/>
      <c r="AD707" t="str">
        <f>IF(OR($B707="",NOT(ISNUMBER(G707))),"",IF(COUNTIF(H707:$T707,G707)&gt;0,0,IF(COUNTIF($G707:$T707,"&gt;"&amp;G707)=0,"",SMALL($G707:$T707,COUNTIF($G707:$T707,"&lt;="&amp;G707)+1)-G707)))</f>
        <v/>
      </c>
      <c r="AE707" t="str">
        <f>IF(OR($B707="",NOT(ISNUMBER(H707))),"",IF(COUNTIF(I707:$T707,H707)&gt;0,0,IF(COUNTIF($G707:$T707,"&gt;"&amp;H707)=0,"",SMALL($G707:$T707,COUNTIF($G707:$T707,"&lt;="&amp;H707)+1)-H707)))</f>
        <v/>
      </c>
      <c r="AF707" t="str">
        <f>IF(OR($B707="",NOT(ISNUMBER(I707))),"",IF(COUNTIF(J707:$T707,I707)&gt;0,0,IF(COUNTIF($G707:$T707,"&gt;"&amp;I707)=0,"",SMALL($G707:$T707,COUNTIF($G707:$T707,"&lt;="&amp;I707)+1)-I707)))</f>
        <v/>
      </c>
      <c r="AG707" t="str">
        <f>IF(OR($B707="",NOT(ISNUMBER(J707))),"",IF(COUNTIF(K707:$T707,J707)&gt;0,0,IF(COUNTIF($G707:$T707,"&gt;"&amp;J707)=0,"",SMALL($G707:$T707,COUNTIF($G707:$T707,"&lt;="&amp;J707)+1)-J707)))</f>
        <v/>
      </c>
      <c r="AH707" t="str">
        <f>IF(OR($B707="",NOT(ISNUMBER(K707))),"",IF(COUNTIF(L707:$T707,K707)&gt;0,0,IF(COUNTIF($G707:$T707,"&gt;"&amp;K707)=0,"",SMALL($G707:$T707,COUNTIF($G707:$T707,"&lt;="&amp;K707)+1)-K707)))</f>
        <v/>
      </c>
      <c r="AI707" t="str">
        <f>IF(OR($B707="",NOT(ISNUMBER(L707))),"",IF(COUNTIF(M707:$T707,L707)&gt;0,0,IF(COUNTIF($G707:$T707,"&gt;"&amp;L707)=0,"",SMALL($G707:$T707,COUNTIF($G707:$T707,"&lt;="&amp;L707)+1)-L707)))</f>
        <v/>
      </c>
      <c r="AJ707" t="str">
        <f>IF(OR($B707="",NOT(ISNUMBER(M707))),"",IF(COUNTIF(N707:$T707,M707)&gt;0,0,IF(COUNTIF($G707:$T707,"&gt;"&amp;M707)=0,"",SMALL($G707:$T707,COUNTIF($G707:$T707,"&lt;="&amp;M707)+1)-M707)))</f>
        <v/>
      </c>
      <c r="AK707" t="str">
        <f>IF(OR($B707="",NOT(ISNUMBER(N707))),"",IF(COUNTIF(O707:$T707,N707)&gt;0,0,IF(COUNTIF($G707:$T707,"&gt;"&amp;N707)=0,"",SMALL($G707:$T707,COUNTIF($G707:$T707,"&lt;="&amp;N707)+1)-N707)))</f>
        <v/>
      </c>
      <c r="AL707" t="str">
        <f>IF(OR($B707="",NOT(ISNUMBER(O707))),"",IF(COUNTIF(P707:$T707,O707)&gt;0,0,IF(COUNTIF($G707:$T707,"&gt;"&amp;O707)=0,"",SMALL($G707:$T707,COUNTIF($G707:$T707,"&lt;="&amp;O707)+1)-O707)))</f>
        <v/>
      </c>
      <c r="AM707" t="str">
        <f>IF(OR($B707="",NOT(ISNUMBER(P707))),"",IF(COUNTIF(Q707:$T707,P707)&gt;0,0,IF(COUNTIF($G707:$T707,"&gt;"&amp;P707)=0,"",SMALL($G707:$T707,COUNTIF($G707:$T707,"&lt;="&amp;P707)+1)-P707)))</f>
        <v/>
      </c>
      <c r="AN707" t="str">
        <f>IF(OR($B707="",NOT(ISNUMBER(Q707))),"",IF(COUNTIF(R707:$T707,Q707)&gt;0,0,IF(COUNTIF($G707:$T707,"&gt;"&amp;Q707)=0,"",SMALL($G707:$T707,COUNTIF($G707:$T707,"&lt;="&amp;Q707)+1)-Q707)))</f>
        <v/>
      </c>
      <c r="AO707" t="str">
        <f>IF(OR($B707="",NOT(ISNUMBER(R707))),"",IF(COUNTIF(S707:$T707,R707)&gt;0,0,IF(COUNTIF($G707:$T707,"&gt;"&amp;R707)=0,"",SMALL($G707:$T707,COUNTIF($G707:$T707,"&lt;="&amp;R707)+1)-R707)))</f>
        <v/>
      </c>
      <c r="AP707">
        <f t="shared" ref="AP707:AP770" ca="1" si="190">IF(OR($B707="",Z707="",Z707="Başlamadı",Z707="Sevk Edildi",Z707="Reworkte",LEFT(Z707,7)="Kapandı"),0,TODAY()-MAX($G707:$R707))</f>
        <v>0</v>
      </c>
      <c r="AQ707" s="25" t="str">
        <f t="shared" ref="AQ707:AQ770" si="191">IF(AND(ISNUMBER(G707),ISNUMBER(AD707)),G707+AD707,"")</f>
        <v/>
      </c>
      <c r="AR707" s="25" t="str">
        <f t="shared" ref="AR707:AR770" si="192">IF(AND(ISNUMBER(H707),ISNUMBER(AE707)),H707+AE707,"")</f>
        <v/>
      </c>
      <c r="AS707" s="25" t="str">
        <f t="shared" ref="AS707:AS770" si="193">IF(AND(ISNUMBER(I707),ISNUMBER(AF707)),I707+AF707,"")</f>
        <v/>
      </c>
      <c r="AT707" s="25" t="str">
        <f t="shared" ref="AT707:AT770" si="194">IF(AND(ISNUMBER(J707),ISNUMBER(AG707)),J707+AG707,"")</f>
        <v/>
      </c>
      <c r="AU707" s="25" t="str">
        <f t="shared" ref="AU707:AU770" si="195">IF(AND(ISNUMBER(K707),ISNUMBER(AH707)),K707+AH707,"")</f>
        <v/>
      </c>
      <c r="AV707" s="25" t="str">
        <f t="shared" ref="AV707:AV770" si="196">IF(AND(ISNUMBER(L707),ISNUMBER(AI707)),L707+AI707,"")</f>
        <v/>
      </c>
      <c r="AW707" s="25" t="str">
        <f t="shared" ref="AW707:AW770" si="197">IF(AND(ISNUMBER(M707),ISNUMBER(AJ707)),M707+AJ707,"")</f>
        <v/>
      </c>
      <c r="AX707" s="25" t="str">
        <f t="shared" ref="AX707:AX770" si="198">IF(AND(ISNUMBER(N707),ISNUMBER(AK707)),N707+AK707,"")</f>
        <v/>
      </c>
      <c r="AY707" s="25" t="str">
        <f t="shared" ref="AY707:AY770" si="199">IF(AND(ISNUMBER(O707),ISNUMBER(AL707)),O707+AL707,"")</f>
        <v/>
      </c>
      <c r="AZ707" s="25" t="str">
        <f t="shared" ref="AZ707:AZ770" si="200">IF(AND(ISNUMBER(P707),ISNUMBER(AM707)),P707+AM707,"")</f>
        <v/>
      </c>
      <c r="BA707" s="25" t="str">
        <f t="shared" ref="BA707:BA770" si="201">IF(AND(ISNUMBER(Q707),ISNUMBER(AN707)),Q707+AN707,"")</f>
        <v/>
      </c>
      <c r="BB707" s="25" t="str">
        <f t="shared" ref="BB707:BB770" si="202">IF(AND(ISNUMBER(R707),ISNUMBER(AO707)),R707+AO707,"")</f>
        <v/>
      </c>
      <c r="BC707" s="25" t="str">
        <f t="shared" ref="BC707:BC770" si="203">IF(AND(S707="",T707=""),"",MIN(S707,T707))</f>
        <v/>
      </c>
    </row>
    <row r="708" spans="1:55" x14ac:dyDescent="0.25">
      <c r="A708" s="19" t="str">
        <f t="shared" si="188"/>
        <v/>
      </c>
      <c r="B708" s="19"/>
      <c r="C708" s="20"/>
      <c r="D708" s="19" t="str">
        <f t="shared" si="187"/>
        <v/>
      </c>
      <c r="E708" s="19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19"/>
      <c r="U708" s="19"/>
      <c r="V708" s="20"/>
      <c r="W708" s="22"/>
      <c r="X708" s="21"/>
      <c r="Y708" s="21"/>
      <c r="Z708" s="23" t="str">
        <f>IF(B708="","",IF(S708&lt;&gt;"","Sevk Edildi",IF(AND(X708&lt;&gt;"",Y708=""),"Reworkte",IF(T708&lt;&gt;"","Kapandı"&amp;IF(COUNT(G708:R708)=0,""," – "&amp;LOOKUP(2,1/(G708:R708=MAX(G708:R708)),{"Tasarım","Ply Cutter","Üretim","Kalite (Üretim sonrası)","Talaşlı","Kalite (Talaşlı sonrası)","Montaj","Kalite (Montaj sonrası)","Boya","Kalite (Boya sonrası)","Yarı Mamül","KM"})),IF(COUNT(G708:R708)=0,"Başlamadı",LOOKUP(2,1/(G708:R708=MAX(G708:R708)),{"Tasarımda","Ply Cutter'da","Üretimde","Kalitede (Üretim sonrası)","Talaşlıda","Kalitede (Talaşlı sonrası)","Montajda","Kalitede (Montaj sonrası)","Boyada","Kalitede (Boya sonrası)","Yarı Mamülde","KM'de"}))))))</f>
        <v/>
      </c>
      <c r="AA708" s="24" t="str">
        <f t="shared" ca="1" si="189"/>
        <v/>
      </c>
      <c r="AB708" s="22"/>
      <c r="AD708" t="str">
        <f>IF(OR($B708="",NOT(ISNUMBER(G708))),"",IF(COUNTIF(H708:$T708,G708)&gt;0,0,IF(COUNTIF($G708:$T708,"&gt;"&amp;G708)=0,"",SMALL($G708:$T708,COUNTIF($G708:$T708,"&lt;="&amp;G708)+1)-G708)))</f>
        <v/>
      </c>
      <c r="AE708" t="str">
        <f>IF(OR($B708="",NOT(ISNUMBER(H708))),"",IF(COUNTIF(I708:$T708,H708)&gt;0,0,IF(COUNTIF($G708:$T708,"&gt;"&amp;H708)=0,"",SMALL($G708:$T708,COUNTIF($G708:$T708,"&lt;="&amp;H708)+1)-H708)))</f>
        <v/>
      </c>
      <c r="AF708" t="str">
        <f>IF(OR($B708="",NOT(ISNUMBER(I708))),"",IF(COUNTIF(J708:$T708,I708)&gt;0,0,IF(COUNTIF($G708:$T708,"&gt;"&amp;I708)=0,"",SMALL($G708:$T708,COUNTIF($G708:$T708,"&lt;="&amp;I708)+1)-I708)))</f>
        <v/>
      </c>
      <c r="AG708" t="str">
        <f>IF(OR($B708="",NOT(ISNUMBER(J708))),"",IF(COUNTIF(K708:$T708,J708)&gt;0,0,IF(COUNTIF($G708:$T708,"&gt;"&amp;J708)=0,"",SMALL($G708:$T708,COUNTIF($G708:$T708,"&lt;="&amp;J708)+1)-J708)))</f>
        <v/>
      </c>
      <c r="AH708" t="str">
        <f>IF(OR($B708="",NOT(ISNUMBER(K708))),"",IF(COUNTIF(L708:$T708,K708)&gt;0,0,IF(COUNTIF($G708:$T708,"&gt;"&amp;K708)=0,"",SMALL($G708:$T708,COUNTIF($G708:$T708,"&lt;="&amp;K708)+1)-K708)))</f>
        <v/>
      </c>
      <c r="AI708" t="str">
        <f>IF(OR($B708="",NOT(ISNUMBER(L708))),"",IF(COUNTIF(M708:$T708,L708)&gt;0,0,IF(COUNTIF($G708:$T708,"&gt;"&amp;L708)=0,"",SMALL($G708:$T708,COUNTIF($G708:$T708,"&lt;="&amp;L708)+1)-L708)))</f>
        <v/>
      </c>
      <c r="AJ708" t="str">
        <f>IF(OR($B708="",NOT(ISNUMBER(M708))),"",IF(COUNTIF(N708:$T708,M708)&gt;0,0,IF(COUNTIF($G708:$T708,"&gt;"&amp;M708)=0,"",SMALL($G708:$T708,COUNTIF($G708:$T708,"&lt;="&amp;M708)+1)-M708)))</f>
        <v/>
      </c>
      <c r="AK708" t="str">
        <f>IF(OR($B708="",NOT(ISNUMBER(N708))),"",IF(COUNTIF(O708:$T708,N708)&gt;0,0,IF(COUNTIF($G708:$T708,"&gt;"&amp;N708)=0,"",SMALL($G708:$T708,COUNTIF($G708:$T708,"&lt;="&amp;N708)+1)-N708)))</f>
        <v/>
      </c>
      <c r="AL708" t="str">
        <f>IF(OR($B708="",NOT(ISNUMBER(O708))),"",IF(COUNTIF(P708:$T708,O708)&gt;0,0,IF(COUNTIF($G708:$T708,"&gt;"&amp;O708)=0,"",SMALL($G708:$T708,COUNTIF($G708:$T708,"&lt;="&amp;O708)+1)-O708)))</f>
        <v/>
      </c>
      <c r="AM708" t="str">
        <f>IF(OR($B708="",NOT(ISNUMBER(P708))),"",IF(COUNTIF(Q708:$T708,P708)&gt;0,0,IF(COUNTIF($G708:$T708,"&gt;"&amp;P708)=0,"",SMALL($G708:$T708,COUNTIF($G708:$T708,"&lt;="&amp;P708)+1)-P708)))</f>
        <v/>
      </c>
      <c r="AN708" t="str">
        <f>IF(OR($B708="",NOT(ISNUMBER(Q708))),"",IF(COUNTIF(R708:$T708,Q708)&gt;0,0,IF(COUNTIF($G708:$T708,"&gt;"&amp;Q708)=0,"",SMALL($G708:$T708,COUNTIF($G708:$T708,"&lt;="&amp;Q708)+1)-Q708)))</f>
        <v/>
      </c>
      <c r="AO708" t="str">
        <f>IF(OR($B708="",NOT(ISNUMBER(R708))),"",IF(COUNTIF(S708:$T708,R708)&gt;0,0,IF(COUNTIF($G708:$T708,"&gt;"&amp;R708)=0,"",SMALL($G708:$T708,COUNTIF($G708:$T708,"&lt;="&amp;R708)+1)-R708)))</f>
        <v/>
      </c>
      <c r="AP708">
        <f t="shared" ca="1" si="190"/>
        <v>0</v>
      </c>
      <c r="AQ708" s="25" t="str">
        <f t="shared" si="191"/>
        <v/>
      </c>
      <c r="AR708" s="25" t="str">
        <f t="shared" si="192"/>
        <v/>
      </c>
      <c r="AS708" s="25" t="str">
        <f t="shared" si="193"/>
        <v/>
      </c>
      <c r="AT708" s="25" t="str">
        <f t="shared" si="194"/>
        <v/>
      </c>
      <c r="AU708" s="25" t="str">
        <f t="shared" si="195"/>
        <v/>
      </c>
      <c r="AV708" s="25" t="str">
        <f t="shared" si="196"/>
        <v/>
      </c>
      <c r="AW708" s="25" t="str">
        <f t="shared" si="197"/>
        <v/>
      </c>
      <c r="AX708" s="25" t="str">
        <f t="shared" si="198"/>
        <v/>
      </c>
      <c r="AY708" s="25" t="str">
        <f t="shared" si="199"/>
        <v/>
      </c>
      <c r="AZ708" s="25" t="str">
        <f t="shared" si="200"/>
        <v/>
      </c>
      <c r="BA708" s="25" t="str">
        <f t="shared" si="201"/>
        <v/>
      </c>
      <c r="BB708" s="25" t="str">
        <f t="shared" si="202"/>
        <v/>
      </c>
      <c r="BC708" s="25" t="str">
        <f t="shared" si="203"/>
        <v/>
      </c>
    </row>
    <row r="709" spans="1:55" x14ac:dyDescent="0.25">
      <c r="A709" s="19" t="str">
        <f t="shared" si="188"/>
        <v/>
      </c>
      <c r="B709" s="19"/>
      <c r="C709" s="20"/>
      <c r="D709" s="19" t="str">
        <f t="shared" si="187"/>
        <v/>
      </c>
      <c r="E709" s="19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19"/>
      <c r="U709" s="19"/>
      <c r="V709" s="20"/>
      <c r="W709" s="22"/>
      <c r="X709" s="21"/>
      <c r="Y709" s="21"/>
      <c r="Z709" s="23" t="str">
        <f>IF(B709="","",IF(S709&lt;&gt;"","Sevk Edildi",IF(AND(X709&lt;&gt;"",Y709=""),"Reworkte",IF(T709&lt;&gt;"","Kapandı"&amp;IF(COUNT(G709:R709)=0,""," – "&amp;LOOKUP(2,1/(G709:R709=MAX(G709:R709)),{"Tasarım","Ply Cutter","Üretim","Kalite (Üretim sonrası)","Talaşlı","Kalite (Talaşlı sonrası)","Montaj","Kalite (Montaj sonrası)","Boya","Kalite (Boya sonrası)","Yarı Mamül","KM"})),IF(COUNT(G709:R709)=0,"Başlamadı",LOOKUP(2,1/(G709:R709=MAX(G709:R709)),{"Tasarımda","Ply Cutter'da","Üretimde","Kalitede (Üretim sonrası)","Talaşlıda","Kalitede (Talaşlı sonrası)","Montajda","Kalitede (Montaj sonrası)","Boyada","Kalitede (Boya sonrası)","Yarı Mamülde","KM'de"}))))))</f>
        <v/>
      </c>
      <c r="AA709" s="24" t="str">
        <f t="shared" ca="1" si="189"/>
        <v/>
      </c>
      <c r="AB709" s="22"/>
      <c r="AD709" t="str">
        <f>IF(OR($B709="",NOT(ISNUMBER(G709))),"",IF(COUNTIF(H709:$T709,G709)&gt;0,0,IF(COUNTIF($G709:$T709,"&gt;"&amp;G709)=0,"",SMALL($G709:$T709,COUNTIF($G709:$T709,"&lt;="&amp;G709)+1)-G709)))</f>
        <v/>
      </c>
      <c r="AE709" t="str">
        <f>IF(OR($B709="",NOT(ISNUMBER(H709))),"",IF(COUNTIF(I709:$T709,H709)&gt;0,0,IF(COUNTIF($G709:$T709,"&gt;"&amp;H709)=0,"",SMALL($G709:$T709,COUNTIF($G709:$T709,"&lt;="&amp;H709)+1)-H709)))</f>
        <v/>
      </c>
      <c r="AF709" t="str">
        <f>IF(OR($B709="",NOT(ISNUMBER(I709))),"",IF(COUNTIF(J709:$T709,I709)&gt;0,0,IF(COUNTIF($G709:$T709,"&gt;"&amp;I709)=0,"",SMALL($G709:$T709,COUNTIF($G709:$T709,"&lt;="&amp;I709)+1)-I709)))</f>
        <v/>
      </c>
      <c r="AG709" t="str">
        <f>IF(OR($B709="",NOT(ISNUMBER(J709))),"",IF(COUNTIF(K709:$T709,J709)&gt;0,0,IF(COUNTIF($G709:$T709,"&gt;"&amp;J709)=0,"",SMALL($G709:$T709,COUNTIF($G709:$T709,"&lt;="&amp;J709)+1)-J709)))</f>
        <v/>
      </c>
      <c r="AH709" t="str">
        <f>IF(OR($B709="",NOT(ISNUMBER(K709))),"",IF(COUNTIF(L709:$T709,K709)&gt;0,0,IF(COUNTIF($G709:$T709,"&gt;"&amp;K709)=0,"",SMALL($G709:$T709,COUNTIF($G709:$T709,"&lt;="&amp;K709)+1)-K709)))</f>
        <v/>
      </c>
      <c r="AI709" t="str">
        <f>IF(OR($B709="",NOT(ISNUMBER(L709))),"",IF(COUNTIF(M709:$T709,L709)&gt;0,0,IF(COUNTIF($G709:$T709,"&gt;"&amp;L709)=0,"",SMALL($G709:$T709,COUNTIF($G709:$T709,"&lt;="&amp;L709)+1)-L709)))</f>
        <v/>
      </c>
      <c r="AJ709" t="str">
        <f>IF(OR($B709="",NOT(ISNUMBER(M709))),"",IF(COUNTIF(N709:$T709,M709)&gt;0,0,IF(COUNTIF($G709:$T709,"&gt;"&amp;M709)=0,"",SMALL($G709:$T709,COUNTIF($G709:$T709,"&lt;="&amp;M709)+1)-M709)))</f>
        <v/>
      </c>
      <c r="AK709" t="str">
        <f>IF(OR($B709="",NOT(ISNUMBER(N709))),"",IF(COUNTIF(O709:$T709,N709)&gt;0,0,IF(COUNTIF($G709:$T709,"&gt;"&amp;N709)=0,"",SMALL($G709:$T709,COUNTIF($G709:$T709,"&lt;="&amp;N709)+1)-N709)))</f>
        <v/>
      </c>
      <c r="AL709" t="str">
        <f>IF(OR($B709="",NOT(ISNUMBER(O709))),"",IF(COUNTIF(P709:$T709,O709)&gt;0,0,IF(COUNTIF($G709:$T709,"&gt;"&amp;O709)=0,"",SMALL($G709:$T709,COUNTIF($G709:$T709,"&lt;="&amp;O709)+1)-O709)))</f>
        <v/>
      </c>
      <c r="AM709" t="str">
        <f>IF(OR($B709="",NOT(ISNUMBER(P709))),"",IF(COUNTIF(Q709:$T709,P709)&gt;0,0,IF(COUNTIF($G709:$T709,"&gt;"&amp;P709)=0,"",SMALL($G709:$T709,COUNTIF($G709:$T709,"&lt;="&amp;P709)+1)-P709)))</f>
        <v/>
      </c>
      <c r="AN709" t="str">
        <f>IF(OR($B709="",NOT(ISNUMBER(Q709))),"",IF(COUNTIF(R709:$T709,Q709)&gt;0,0,IF(COUNTIF($G709:$T709,"&gt;"&amp;Q709)=0,"",SMALL($G709:$T709,COUNTIF($G709:$T709,"&lt;="&amp;Q709)+1)-Q709)))</f>
        <v/>
      </c>
      <c r="AO709" t="str">
        <f>IF(OR($B709="",NOT(ISNUMBER(R709))),"",IF(COUNTIF(S709:$T709,R709)&gt;0,0,IF(COUNTIF($G709:$T709,"&gt;"&amp;R709)=0,"",SMALL($G709:$T709,COUNTIF($G709:$T709,"&lt;="&amp;R709)+1)-R709)))</f>
        <v/>
      </c>
      <c r="AP709">
        <f t="shared" ca="1" si="190"/>
        <v>0</v>
      </c>
      <c r="AQ709" s="25" t="str">
        <f t="shared" si="191"/>
        <v/>
      </c>
      <c r="AR709" s="25" t="str">
        <f t="shared" si="192"/>
        <v/>
      </c>
      <c r="AS709" s="25" t="str">
        <f t="shared" si="193"/>
        <v/>
      </c>
      <c r="AT709" s="25" t="str">
        <f t="shared" si="194"/>
        <v/>
      </c>
      <c r="AU709" s="25" t="str">
        <f t="shared" si="195"/>
        <v/>
      </c>
      <c r="AV709" s="25" t="str">
        <f t="shared" si="196"/>
        <v/>
      </c>
      <c r="AW709" s="25" t="str">
        <f t="shared" si="197"/>
        <v/>
      </c>
      <c r="AX709" s="25" t="str">
        <f t="shared" si="198"/>
        <v/>
      </c>
      <c r="AY709" s="25" t="str">
        <f t="shared" si="199"/>
        <v/>
      </c>
      <c r="AZ709" s="25" t="str">
        <f t="shared" si="200"/>
        <v/>
      </c>
      <c r="BA709" s="25" t="str">
        <f t="shared" si="201"/>
        <v/>
      </c>
      <c r="BB709" s="25" t="str">
        <f t="shared" si="202"/>
        <v/>
      </c>
      <c r="BC709" s="25" t="str">
        <f t="shared" si="203"/>
        <v/>
      </c>
    </row>
    <row r="710" spans="1:55" x14ac:dyDescent="0.25">
      <c r="A710" s="19" t="str">
        <f t="shared" si="188"/>
        <v/>
      </c>
      <c r="B710" s="19"/>
      <c r="C710" s="20"/>
      <c r="D710" s="19" t="str">
        <f t="shared" si="187"/>
        <v/>
      </c>
      <c r="E710" s="19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19"/>
      <c r="U710" s="19"/>
      <c r="V710" s="20"/>
      <c r="W710" s="22"/>
      <c r="X710" s="21"/>
      <c r="Y710" s="21"/>
      <c r="Z710" s="23" t="str">
        <f>IF(B710="","",IF(S710&lt;&gt;"","Sevk Edildi",IF(AND(X710&lt;&gt;"",Y710=""),"Reworkte",IF(T710&lt;&gt;"","Kapandı"&amp;IF(COUNT(G710:R710)=0,""," – "&amp;LOOKUP(2,1/(G710:R710=MAX(G710:R710)),{"Tasarım","Ply Cutter","Üretim","Kalite (Üretim sonrası)","Talaşlı","Kalite (Talaşlı sonrası)","Montaj","Kalite (Montaj sonrası)","Boya","Kalite (Boya sonrası)","Yarı Mamül","KM"})),IF(COUNT(G710:R710)=0,"Başlamadı",LOOKUP(2,1/(G710:R710=MAX(G710:R710)),{"Tasarımda","Ply Cutter'da","Üretimde","Kalitede (Üretim sonrası)","Talaşlıda","Kalitede (Talaşlı sonrası)","Montajda","Kalitede (Montaj sonrası)","Boyada","Kalitede (Boya sonrası)","Yarı Mamülde","KM'de"}))))))</f>
        <v/>
      </c>
      <c r="AA710" s="24" t="str">
        <f t="shared" ca="1" si="189"/>
        <v/>
      </c>
      <c r="AB710" s="22"/>
      <c r="AD710" t="str">
        <f>IF(OR($B710="",NOT(ISNUMBER(G710))),"",IF(COUNTIF(H710:$T710,G710)&gt;0,0,IF(COUNTIF($G710:$T710,"&gt;"&amp;G710)=0,"",SMALL($G710:$T710,COUNTIF($G710:$T710,"&lt;="&amp;G710)+1)-G710)))</f>
        <v/>
      </c>
      <c r="AE710" t="str">
        <f>IF(OR($B710="",NOT(ISNUMBER(H710))),"",IF(COUNTIF(I710:$T710,H710)&gt;0,0,IF(COUNTIF($G710:$T710,"&gt;"&amp;H710)=0,"",SMALL($G710:$T710,COUNTIF($G710:$T710,"&lt;="&amp;H710)+1)-H710)))</f>
        <v/>
      </c>
      <c r="AF710" t="str">
        <f>IF(OR($B710="",NOT(ISNUMBER(I710))),"",IF(COUNTIF(J710:$T710,I710)&gt;0,0,IF(COUNTIF($G710:$T710,"&gt;"&amp;I710)=0,"",SMALL($G710:$T710,COUNTIF($G710:$T710,"&lt;="&amp;I710)+1)-I710)))</f>
        <v/>
      </c>
      <c r="AG710" t="str">
        <f>IF(OR($B710="",NOT(ISNUMBER(J710))),"",IF(COUNTIF(K710:$T710,J710)&gt;0,0,IF(COUNTIF($G710:$T710,"&gt;"&amp;J710)=0,"",SMALL($G710:$T710,COUNTIF($G710:$T710,"&lt;="&amp;J710)+1)-J710)))</f>
        <v/>
      </c>
      <c r="AH710" t="str">
        <f>IF(OR($B710="",NOT(ISNUMBER(K710))),"",IF(COUNTIF(L710:$T710,K710)&gt;0,0,IF(COUNTIF($G710:$T710,"&gt;"&amp;K710)=0,"",SMALL($G710:$T710,COUNTIF($G710:$T710,"&lt;="&amp;K710)+1)-K710)))</f>
        <v/>
      </c>
      <c r="AI710" t="str">
        <f>IF(OR($B710="",NOT(ISNUMBER(L710))),"",IF(COUNTIF(M710:$T710,L710)&gt;0,0,IF(COUNTIF($G710:$T710,"&gt;"&amp;L710)=0,"",SMALL($G710:$T710,COUNTIF($G710:$T710,"&lt;="&amp;L710)+1)-L710)))</f>
        <v/>
      </c>
      <c r="AJ710" t="str">
        <f>IF(OR($B710="",NOT(ISNUMBER(M710))),"",IF(COUNTIF(N710:$T710,M710)&gt;0,0,IF(COUNTIF($G710:$T710,"&gt;"&amp;M710)=0,"",SMALL($G710:$T710,COUNTIF($G710:$T710,"&lt;="&amp;M710)+1)-M710)))</f>
        <v/>
      </c>
      <c r="AK710" t="str">
        <f>IF(OR($B710="",NOT(ISNUMBER(N710))),"",IF(COUNTIF(O710:$T710,N710)&gt;0,0,IF(COUNTIF($G710:$T710,"&gt;"&amp;N710)=0,"",SMALL($G710:$T710,COUNTIF($G710:$T710,"&lt;="&amp;N710)+1)-N710)))</f>
        <v/>
      </c>
      <c r="AL710" t="str">
        <f>IF(OR($B710="",NOT(ISNUMBER(O710))),"",IF(COUNTIF(P710:$T710,O710)&gt;0,0,IF(COUNTIF($G710:$T710,"&gt;"&amp;O710)=0,"",SMALL($G710:$T710,COUNTIF($G710:$T710,"&lt;="&amp;O710)+1)-O710)))</f>
        <v/>
      </c>
      <c r="AM710" t="str">
        <f>IF(OR($B710="",NOT(ISNUMBER(P710))),"",IF(COUNTIF(Q710:$T710,P710)&gt;0,0,IF(COUNTIF($G710:$T710,"&gt;"&amp;P710)=0,"",SMALL($G710:$T710,COUNTIF($G710:$T710,"&lt;="&amp;P710)+1)-P710)))</f>
        <v/>
      </c>
      <c r="AN710" t="str">
        <f>IF(OR($B710="",NOT(ISNUMBER(Q710))),"",IF(COUNTIF(R710:$T710,Q710)&gt;0,0,IF(COUNTIF($G710:$T710,"&gt;"&amp;Q710)=0,"",SMALL($G710:$T710,COUNTIF($G710:$T710,"&lt;="&amp;Q710)+1)-Q710)))</f>
        <v/>
      </c>
      <c r="AO710" t="str">
        <f>IF(OR($B710="",NOT(ISNUMBER(R710))),"",IF(COUNTIF(S710:$T710,R710)&gt;0,0,IF(COUNTIF($G710:$T710,"&gt;"&amp;R710)=0,"",SMALL($G710:$T710,COUNTIF($G710:$T710,"&lt;="&amp;R710)+1)-R710)))</f>
        <v/>
      </c>
      <c r="AP710">
        <f t="shared" ca="1" si="190"/>
        <v>0</v>
      </c>
      <c r="AQ710" s="25" t="str">
        <f t="shared" si="191"/>
        <v/>
      </c>
      <c r="AR710" s="25" t="str">
        <f t="shared" si="192"/>
        <v/>
      </c>
      <c r="AS710" s="25" t="str">
        <f t="shared" si="193"/>
        <v/>
      </c>
      <c r="AT710" s="25" t="str">
        <f t="shared" si="194"/>
        <v/>
      </c>
      <c r="AU710" s="25" t="str">
        <f t="shared" si="195"/>
        <v/>
      </c>
      <c r="AV710" s="25" t="str">
        <f t="shared" si="196"/>
        <v/>
      </c>
      <c r="AW710" s="25" t="str">
        <f t="shared" si="197"/>
        <v/>
      </c>
      <c r="AX710" s="25" t="str">
        <f t="shared" si="198"/>
        <v/>
      </c>
      <c r="AY710" s="25" t="str">
        <f t="shared" si="199"/>
        <v/>
      </c>
      <c r="AZ710" s="25" t="str">
        <f t="shared" si="200"/>
        <v/>
      </c>
      <c r="BA710" s="25" t="str">
        <f t="shared" si="201"/>
        <v/>
      </c>
      <c r="BB710" s="25" t="str">
        <f t="shared" si="202"/>
        <v/>
      </c>
      <c r="BC710" s="25" t="str">
        <f t="shared" si="203"/>
        <v/>
      </c>
    </row>
    <row r="711" spans="1:55" x14ac:dyDescent="0.25">
      <c r="A711" s="19" t="str">
        <f t="shared" si="188"/>
        <v/>
      </c>
      <c r="B711" s="19"/>
      <c r="C711" s="20"/>
      <c r="D711" s="19" t="str">
        <f t="shared" si="187"/>
        <v/>
      </c>
      <c r="E711" s="19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19"/>
      <c r="U711" s="19"/>
      <c r="V711" s="20"/>
      <c r="W711" s="22"/>
      <c r="X711" s="21"/>
      <c r="Y711" s="21"/>
      <c r="Z711" s="23" t="str">
        <f>IF(B711="","",IF(S711&lt;&gt;"","Sevk Edildi",IF(AND(X711&lt;&gt;"",Y711=""),"Reworkte",IF(T711&lt;&gt;"","Kapandı"&amp;IF(COUNT(G711:R711)=0,""," – "&amp;LOOKUP(2,1/(G711:R711=MAX(G711:R711)),{"Tasarım","Ply Cutter","Üretim","Kalite (Üretim sonrası)","Talaşlı","Kalite (Talaşlı sonrası)","Montaj","Kalite (Montaj sonrası)","Boya","Kalite (Boya sonrası)","Yarı Mamül","KM"})),IF(COUNT(G711:R711)=0,"Başlamadı",LOOKUP(2,1/(G711:R711=MAX(G711:R711)),{"Tasarımda","Ply Cutter'da","Üretimde","Kalitede (Üretim sonrası)","Talaşlıda","Kalitede (Talaşlı sonrası)","Montajda","Kalitede (Montaj sonrası)","Boyada","Kalitede (Boya sonrası)","Yarı Mamülde","KM'de"}))))))</f>
        <v/>
      </c>
      <c r="AA711" s="24" t="str">
        <f t="shared" ca="1" si="189"/>
        <v/>
      </c>
      <c r="AB711" s="22"/>
      <c r="AD711" t="str">
        <f>IF(OR($B711="",NOT(ISNUMBER(G711))),"",IF(COUNTIF(H711:$T711,G711)&gt;0,0,IF(COUNTIF($G711:$T711,"&gt;"&amp;G711)=0,"",SMALL($G711:$T711,COUNTIF($G711:$T711,"&lt;="&amp;G711)+1)-G711)))</f>
        <v/>
      </c>
      <c r="AE711" t="str">
        <f>IF(OR($B711="",NOT(ISNUMBER(H711))),"",IF(COUNTIF(I711:$T711,H711)&gt;0,0,IF(COUNTIF($G711:$T711,"&gt;"&amp;H711)=0,"",SMALL($G711:$T711,COUNTIF($G711:$T711,"&lt;="&amp;H711)+1)-H711)))</f>
        <v/>
      </c>
      <c r="AF711" t="str">
        <f>IF(OR($B711="",NOT(ISNUMBER(I711))),"",IF(COUNTIF(J711:$T711,I711)&gt;0,0,IF(COUNTIF($G711:$T711,"&gt;"&amp;I711)=0,"",SMALL($G711:$T711,COUNTIF($G711:$T711,"&lt;="&amp;I711)+1)-I711)))</f>
        <v/>
      </c>
      <c r="AG711" t="str">
        <f>IF(OR($B711="",NOT(ISNUMBER(J711))),"",IF(COUNTIF(K711:$T711,J711)&gt;0,0,IF(COUNTIF($G711:$T711,"&gt;"&amp;J711)=0,"",SMALL($G711:$T711,COUNTIF($G711:$T711,"&lt;="&amp;J711)+1)-J711)))</f>
        <v/>
      </c>
      <c r="AH711" t="str">
        <f>IF(OR($B711="",NOT(ISNUMBER(K711))),"",IF(COUNTIF(L711:$T711,K711)&gt;0,0,IF(COUNTIF($G711:$T711,"&gt;"&amp;K711)=0,"",SMALL($G711:$T711,COUNTIF($G711:$T711,"&lt;="&amp;K711)+1)-K711)))</f>
        <v/>
      </c>
      <c r="AI711" t="str">
        <f>IF(OR($B711="",NOT(ISNUMBER(L711))),"",IF(COUNTIF(M711:$T711,L711)&gt;0,0,IF(COUNTIF($G711:$T711,"&gt;"&amp;L711)=0,"",SMALL($G711:$T711,COUNTIF($G711:$T711,"&lt;="&amp;L711)+1)-L711)))</f>
        <v/>
      </c>
      <c r="AJ711" t="str">
        <f>IF(OR($B711="",NOT(ISNUMBER(M711))),"",IF(COUNTIF(N711:$T711,M711)&gt;0,0,IF(COUNTIF($G711:$T711,"&gt;"&amp;M711)=0,"",SMALL($G711:$T711,COUNTIF($G711:$T711,"&lt;="&amp;M711)+1)-M711)))</f>
        <v/>
      </c>
      <c r="AK711" t="str">
        <f>IF(OR($B711="",NOT(ISNUMBER(N711))),"",IF(COUNTIF(O711:$T711,N711)&gt;0,0,IF(COUNTIF($G711:$T711,"&gt;"&amp;N711)=0,"",SMALL($G711:$T711,COUNTIF($G711:$T711,"&lt;="&amp;N711)+1)-N711)))</f>
        <v/>
      </c>
      <c r="AL711" t="str">
        <f>IF(OR($B711="",NOT(ISNUMBER(O711))),"",IF(COUNTIF(P711:$T711,O711)&gt;0,0,IF(COUNTIF($G711:$T711,"&gt;"&amp;O711)=0,"",SMALL($G711:$T711,COUNTIF($G711:$T711,"&lt;="&amp;O711)+1)-O711)))</f>
        <v/>
      </c>
      <c r="AM711" t="str">
        <f>IF(OR($B711="",NOT(ISNUMBER(P711))),"",IF(COUNTIF(Q711:$T711,P711)&gt;0,0,IF(COUNTIF($G711:$T711,"&gt;"&amp;P711)=0,"",SMALL($G711:$T711,COUNTIF($G711:$T711,"&lt;="&amp;P711)+1)-P711)))</f>
        <v/>
      </c>
      <c r="AN711" t="str">
        <f>IF(OR($B711="",NOT(ISNUMBER(Q711))),"",IF(COUNTIF(R711:$T711,Q711)&gt;0,0,IF(COUNTIF($G711:$T711,"&gt;"&amp;Q711)=0,"",SMALL($G711:$T711,COUNTIF($G711:$T711,"&lt;="&amp;Q711)+1)-Q711)))</f>
        <v/>
      </c>
      <c r="AO711" t="str">
        <f>IF(OR($B711="",NOT(ISNUMBER(R711))),"",IF(COUNTIF(S711:$T711,R711)&gt;0,0,IF(COUNTIF($G711:$T711,"&gt;"&amp;R711)=0,"",SMALL($G711:$T711,COUNTIF($G711:$T711,"&lt;="&amp;R711)+1)-R711)))</f>
        <v/>
      </c>
      <c r="AP711">
        <f t="shared" ca="1" si="190"/>
        <v>0</v>
      </c>
      <c r="AQ711" s="25" t="str">
        <f t="shared" si="191"/>
        <v/>
      </c>
      <c r="AR711" s="25" t="str">
        <f t="shared" si="192"/>
        <v/>
      </c>
      <c r="AS711" s="25" t="str">
        <f t="shared" si="193"/>
        <v/>
      </c>
      <c r="AT711" s="25" t="str">
        <f t="shared" si="194"/>
        <v/>
      </c>
      <c r="AU711" s="25" t="str">
        <f t="shared" si="195"/>
        <v/>
      </c>
      <c r="AV711" s="25" t="str">
        <f t="shared" si="196"/>
        <v/>
      </c>
      <c r="AW711" s="25" t="str">
        <f t="shared" si="197"/>
        <v/>
      </c>
      <c r="AX711" s="25" t="str">
        <f t="shared" si="198"/>
        <v/>
      </c>
      <c r="AY711" s="25" t="str">
        <f t="shared" si="199"/>
        <v/>
      </c>
      <c r="AZ711" s="25" t="str">
        <f t="shared" si="200"/>
        <v/>
      </c>
      <c r="BA711" s="25" t="str">
        <f t="shared" si="201"/>
        <v/>
      </c>
      <c r="BB711" s="25" t="str">
        <f t="shared" si="202"/>
        <v/>
      </c>
      <c r="BC711" s="25" t="str">
        <f t="shared" si="203"/>
        <v/>
      </c>
    </row>
    <row r="712" spans="1:55" x14ac:dyDescent="0.25">
      <c r="A712" s="19" t="str">
        <f t="shared" si="188"/>
        <v/>
      </c>
      <c r="B712" s="19"/>
      <c r="C712" s="20"/>
      <c r="D712" s="19" t="str">
        <f t="shared" si="187"/>
        <v/>
      </c>
      <c r="E712" s="19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19"/>
      <c r="U712" s="19"/>
      <c r="V712" s="20"/>
      <c r="W712" s="22"/>
      <c r="X712" s="21"/>
      <c r="Y712" s="21"/>
      <c r="Z712" s="23" t="str">
        <f>IF(B712="","",IF(S712&lt;&gt;"","Sevk Edildi",IF(AND(X712&lt;&gt;"",Y712=""),"Reworkte",IF(T712&lt;&gt;"","Kapandı"&amp;IF(COUNT(G712:R712)=0,""," – "&amp;LOOKUP(2,1/(G712:R712=MAX(G712:R712)),{"Tasarım","Ply Cutter","Üretim","Kalite (Üretim sonrası)","Talaşlı","Kalite (Talaşlı sonrası)","Montaj","Kalite (Montaj sonrası)","Boya","Kalite (Boya sonrası)","Yarı Mamül","KM"})),IF(COUNT(G712:R712)=0,"Başlamadı",LOOKUP(2,1/(G712:R712=MAX(G712:R712)),{"Tasarımda","Ply Cutter'da","Üretimde","Kalitede (Üretim sonrası)","Talaşlıda","Kalitede (Talaşlı sonrası)","Montajda","Kalitede (Montaj sonrası)","Boyada","Kalitede (Boya sonrası)","Yarı Mamülde","KM'de"}))))))</f>
        <v/>
      </c>
      <c r="AA712" s="24" t="str">
        <f t="shared" ca="1" si="189"/>
        <v/>
      </c>
      <c r="AB712" s="22"/>
      <c r="AD712" t="str">
        <f>IF(OR($B712="",NOT(ISNUMBER(G712))),"",IF(COUNTIF(H712:$T712,G712)&gt;0,0,IF(COUNTIF($G712:$T712,"&gt;"&amp;G712)=0,"",SMALL($G712:$T712,COUNTIF($G712:$T712,"&lt;="&amp;G712)+1)-G712)))</f>
        <v/>
      </c>
      <c r="AE712" t="str">
        <f>IF(OR($B712="",NOT(ISNUMBER(H712))),"",IF(COUNTIF(I712:$T712,H712)&gt;0,0,IF(COUNTIF($G712:$T712,"&gt;"&amp;H712)=0,"",SMALL($G712:$T712,COUNTIF($G712:$T712,"&lt;="&amp;H712)+1)-H712)))</f>
        <v/>
      </c>
      <c r="AF712" t="str">
        <f>IF(OR($B712="",NOT(ISNUMBER(I712))),"",IF(COUNTIF(J712:$T712,I712)&gt;0,0,IF(COUNTIF($G712:$T712,"&gt;"&amp;I712)=0,"",SMALL($G712:$T712,COUNTIF($G712:$T712,"&lt;="&amp;I712)+1)-I712)))</f>
        <v/>
      </c>
      <c r="AG712" t="str">
        <f>IF(OR($B712="",NOT(ISNUMBER(J712))),"",IF(COUNTIF(K712:$T712,J712)&gt;0,0,IF(COUNTIF($G712:$T712,"&gt;"&amp;J712)=0,"",SMALL($G712:$T712,COUNTIF($G712:$T712,"&lt;="&amp;J712)+1)-J712)))</f>
        <v/>
      </c>
      <c r="AH712" t="str">
        <f>IF(OR($B712="",NOT(ISNUMBER(K712))),"",IF(COUNTIF(L712:$T712,K712)&gt;0,0,IF(COUNTIF($G712:$T712,"&gt;"&amp;K712)=0,"",SMALL($G712:$T712,COUNTIF($G712:$T712,"&lt;="&amp;K712)+1)-K712)))</f>
        <v/>
      </c>
      <c r="AI712" t="str">
        <f>IF(OR($B712="",NOT(ISNUMBER(L712))),"",IF(COUNTIF(M712:$T712,L712)&gt;0,0,IF(COUNTIF($G712:$T712,"&gt;"&amp;L712)=0,"",SMALL($G712:$T712,COUNTIF($G712:$T712,"&lt;="&amp;L712)+1)-L712)))</f>
        <v/>
      </c>
      <c r="AJ712" t="str">
        <f>IF(OR($B712="",NOT(ISNUMBER(M712))),"",IF(COUNTIF(N712:$T712,M712)&gt;0,0,IF(COUNTIF($G712:$T712,"&gt;"&amp;M712)=0,"",SMALL($G712:$T712,COUNTIF($G712:$T712,"&lt;="&amp;M712)+1)-M712)))</f>
        <v/>
      </c>
      <c r="AK712" t="str">
        <f>IF(OR($B712="",NOT(ISNUMBER(N712))),"",IF(COUNTIF(O712:$T712,N712)&gt;0,0,IF(COUNTIF($G712:$T712,"&gt;"&amp;N712)=0,"",SMALL($G712:$T712,COUNTIF($G712:$T712,"&lt;="&amp;N712)+1)-N712)))</f>
        <v/>
      </c>
      <c r="AL712" t="str">
        <f>IF(OR($B712="",NOT(ISNUMBER(O712))),"",IF(COUNTIF(P712:$T712,O712)&gt;0,0,IF(COUNTIF($G712:$T712,"&gt;"&amp;O712)=0,"",SMALL($G712:$T712,COUNTIF($G712:$T712,"&lt;="&amp;O712)+1)-O712)))</f>
        <v/>
      </c>
      <c r="AM712" t="str">
        <f>IF(OR($B712="",NOT(ISNUMBER(P712))),"",IF(COUNTIF(Q712:$T712,P712)&gt;0,0,IF(COUNTIF($G712:$T712,"&gt;"&amp;P712)=0,"",SMALL($G712:$T712,COUNTIF($G712:$T712,"&lt;="&amp;P712)+1)-P712)))</f>
        <v/>
      </c>
      <c r="AN712" t="str">
        <f>IF(OR($B712="",NOT(ISNUMBER(Q712))),"",IF(COUNTIF(R712:$T712,Q712)&gt;0,0,IF(COUNTIF($G712:$T712,"&gt;"&amp;Q712)=0,"",SMALL($G712:$T712,COUNTIF($G712:$T712,"&lt;="&amp;Q712)+1)-Q712)))</f>
        <v/>
      </c>
      <c r="AO712" t="str">
        <f>IF(OR($B712="",NOT(ISNUMBER(R712))),"",IF(COUNTIF(S712:$T712,R712)&gt;0,0,IF(COUNTIF($G712:$T712,"&gt;"&amp;R712)=0,"",SMALL($G712:$T712,COUNTIF($G712:$T712,"&lt;="&amp;R712)+1)-R712)))</f>
        <v/>
      </c>
      <c r="AP712">
        <f t="shared" ca="1" si="190"/>
        <v>0</v>
      </c>
      <c r="AQ712" s="25" t="str">
        <f t="shared" si="191"/>
        <v/>
      </c>
      <c r="AR712" s="25" t="str">
        <f t="shared" si="192"/>
        <v/>
      </c>
      <c r="AS712" s="25" t="str">
        <f t="shared" si="193"/>
        <v/>
      </c>
      <c r="AT712" s="25" t="str">
        <f t="shared" si="194"/>
        <v/>
      </c>
      <c r="AU712" s="25" t="str">
        <f t="shared" si="195"/>
        <v/>
      </c>
      <c r="AV712" s="25" t="str">
        <f t="shared" si="196"/>
        <v/>
      </c>
      <c r="AW712" s="25" t="str">
        <f t="shared" si="197"/>
        <v/>
      </c>
      <c r="AX712" s="25" t="str">
        <f t="shared" si="198"/>
        <v/>
      </c>
      <c r="AY712" s="25" t="str">
        <f t="shared" si="199"/>
        <v/>
      </c>
      <c r="AZ712" s="25" t="str">
        <f t="shared" si="200"/>
        <v/>
      </c>
      <c r="BA712" s="25" t="str">
        <f t="shared" si="201"/>
        <v/>
      </c>
      <c r="BB712" s="25" t="str">
        <f t="shared" si="202"/>
        <v/>
      </c>
      <c r="BC712" s="25" t="str">
        <f t="shared" si="203"/>
        <v/>
      </c>
    </row>
    <row r="713" spans="1:55" x14ac:dyDescent="0.25">
      <c r="A713" s="19" t="str">
        <f t="shared" si="188"/>
        <v/>
      </c>
      <c r="B713" s="19"/>
      <c r="C713" s="20"/>
      <c r="D713" s="19" t="str">
        <f t="shared" si="187"/>
        <v/>
      </c>
      <c r="E713" s="19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19"/>
      <c r="U713" s="19"/>
      <c r="V713" s="20"/>
      <c r="W713" s="22"/>
      <c r="X713" s="21"/>
      <c r="Y713" s="21"/>
      <c r="Z713" s="23" t="str">
        <f>IF(B713="","",IF(S713&lt;&gt;"","Sevk Edildi",IF(AND(X713&lt;&gt;"",Y713=""),"Reworkte",IF(T713&lt;&gt;"","Kapandı"&amp;IF(COUNT(G713:R713)=0,""," – "&amp;LOOKUP(2,1/(G713:R713=MAX(G713:R713)),{"Tasarım","Ply Cutter","Üretim","Kalite (Üretim sonrası)","Talaşlı","Kalite (Talaşlı sonrası)","Montaj","Kalite (Montaj sonrası)","Boya","Kalite (Boya sonrası)","Yarı Mamül","KM"})),IF(COUNT(G713:R713)=0,"Başlamadı",LOOKUP(2,1/(G713:R713=MAX(G713:R713)),{"Tasarımda","Ply Cutter'da","Üretimde","Kalitede (Üretim sonrası)","Talaşlıda","Kalitede (Talaşlı sonrası)","Montajda","Kalitede (Montaj sonrası)","Boyada","Kalitede (Boya sonrası)","Yarı Mamülde","KM'de"}))))))</f>
        <v/>
      </c>
      <c r="AA713" s="24" t="str">
        <f t="shared" ca="1" si="189"/>
        <v/>
      </c>
      <c r="AB713" s="22"/>
      <c r="AD713" t="str">
        <f>IF(OR($B713="",NOT(ISNUMBER(G713))),"",IF(COUNTIF(H713:$T713,G713)&gt;0,0,IF(COUNTIF($G713:$T713,"&gt;"&amp;G713)=0,"",SMALL($G713:$T713,COUNTIF($G713:$T713,"&lt;="&amp;G713)+1)-G713)))</f>
        <v/>
      </c>
      <c r="AE713" t="str">
        <f>IF(OR($B713="",NOT(ISNUMBER(H713))),"",IF(COUNTIF(I713:$T713,H713)&gt;0,0,IF(COUNTIF($G713:$T713,"&gt;"&amp;H713)=0,"",SMALL($G713:$T713,COUNTIF($G713:$T713,"&lt;="&amp;H713)+1)-H713)))</f>
        <v/>
      </c>
      <c r="AF713" t="str">
        <f>IF(OR($B713="",NOT(ISNUMBER(I713))),"",IF(COUNTIF(J713:$T713,I713)&gt;0,0,IF(COUNTIF($G713:$T713,"&gt;"&amp;I713)=0,"",SMALL($G713:$T713,COUNTIF($G713:$T713,"&lt;="&amp;I713)+1)-I713)))</f>
        <v/>
      </c>
      <c r="AG713" t="str">
        <f>IF(OR($B713="",NOT(ISNUMBER(J713))),"",IF(COUNTIF(K713:$T713,J713)&gt;0,0,IF(COUNTIF($G713:$T713,"&gt;"&amp;J713)=0,"",SMALL($G713:$T713,COUNTIF($G713:$T713,"&lt;="&amp;J713)+1)-J713)))</f>
        <v/>
      </c>
      <c r="AH713" t="str">
        <f>IF(OR($B713="",NOT(ISNUMBER(K713))),"",IF(COUNTIF(L713:$T713,K713)&gt;0,0,IF(COUNTIF($G713:$T713,"&gt;"&amp;K713)=0,"",SMALL($G713:$T713,COUNTIF($G713:$T713,"&lt;="&amp;K713)+1)-K713)))</f>
        <v/>
      </c>
      <c r="AI713" t="str">
        <f>IF(OR($B713="",NOT(ISNUMBER(L713))),"",IF(COUNTIF(M713:$T713,L713)&gt;0,0,IF(COUNTIF($G713:$T713,"&gt;"&amp;L713)=0,"",SMALL($G713:$T713,COUNTIF($G713:$T713,"&lt;="&amp;L713)+1)-L713)))</f>
        <v/>
      </c>
      <c r="AJ713" t="str">
        <f>IF(OR($B713="",NOT(ISNUMBER(M713))),"",IF(COUNTIF(N713:$T713,M713)&gt;0,0,IF(COUNTIF($G713:$T713,"&gt;"&amp;M713)=0,"",SMALL($G713:$T713,COUNTIF($G713:$T713,"&lt;="&amp;M713)+1)-M713)))</f>
        <v/>
      </c>
      <c r="AK713" t="str">
        <f>IF(OR($B713="",NOT(ISNUMBER(N713))),"",IF(COUNTIF(O713:$T713,N713)&gt;0,0,IF(COUNTIF($G713:$T713,"&gt;"&amp;N713)=0,"",SMALL($G713:$T713,COUNTIF($G713:$T713,"&lt;="&amp;N713)+1)-N713)))</f>
        <v/>
      </c>
      <c r="AL713" t="str">
        <f>IF(OR($B713="",NOT(ISNUMBER(O713))),"",IF(COUNTIF(P713:$T713,O713)&gt;0,0,IF(COUNTIF($G713:$T713,"&gt;"&amp;O713)=0,"",SMALL($G713:$T713,COUNTIF($G713:$T713,"&lt;="&amp;O713)+1)-O713)))</f>
        <v/>
      </c>
      <c r="AM713" t="str">
        <f>IF(OR($B713="",NOT(ISNUMBER(P713))),"",IF(COUNTIF(Q713:$T713,P713)&gt;0,0,IF(COUNTIF($G713:$T713,"&gt;"&amp;P713)=0,"",SMALL($G713:$T713,COUNTIF($G713:$T713,"&lt;="&amp;P713)+1)-P713)))</f>
        <v/>
      </c>
      <c r="AN713" t="str">
        <f>IF(OR($B713="",NOT(ISNUMBER(Q713))),"",IF(COUNTIF(R713:$T713,Q713)&gt;0,0,IF(COUNTIF($G713:$T713,"&gt;"&amp;Q713)=0,"",SMALL($G713:$T713,COUNTIF($G713:$T713,"&lt;="&amp;Q713)+1)-Q713)))</f>
        <v/>
      </c>
      <c r="AO713" t="str">
        <f>IF(OR($B713="",NOT(ISNUMBER(R713))),"",IF(COUNTIF(S713:$T713,R713)&gt;0,0,IF(COUNTIF($G713:$T713,"&gt;"&amp;R713)=0,"",SMALL($G713:$T713,COUNTIF($G713:$T713,"&lt;="&amp;R713)+1)-R713)))</f>
        <v/>
      </c>
      <c r="AP713">
        <f t="shared" ca="1" si="190"/>
        <v>0</v>
      </c>
      <c r="AQ713" s="25" t="str">
        <f t="shared" si="191"/>
        <v/>
      </c>
      <c r="AR713" s="25" t="str">
        <f t="shared" si="192"/>
        <v/>
      </c>
      <c r="AS713" s="25" t="str">
        <f t="shared" si="193"/>
        <v/>
      </c>
      <c r="AT713" s="25" t="str">
        <f t="shared" si="194"/>
        <v/>
      </c>
      <c r="AU713" s="25" t="str">
        <f t="shared" si="195"/>
        <v/>
      </c>
      <c r="AV713" s="25" t="str">
        <f t="shared" si="196"/>
        <v/>
      </c>
      <c r="AW713" s="25" t="str">
        <f t="shared" si="197"/>
        <v/>
      </c>
      <c r="AX713" s="25" t="str">
        <f t="shared" si="198"/>
        <v/>
      </c>
      <c r="AY713" s="25" t="str">
        <f t="shared" si="199"/>
        <v/>
      </c>
      <c r="AZ713" s="25" t="str">
        <f t="shared" si="200"/>
        <v/>
      </c>
      <c r="BA713" s="25" t="str">
        <f t="shared" si="201"/>
        <v/>
      </c>
      <c r="BB713" s="25" t="str">
        <f t="shared" si="202"/>
        <v/>
      </c>
      <c r="BC713" s="25" t="str">
        <f t="shared" si="203"/>
        <v/>
      </c>
    </row>
    <row r="714" spans="1:55" x14ac:dyDescent="0.25">
      <c r="A714" s="19" t="str">
        <f t="shared" si="188"/>
        <v/>
      </c>
      <c r="B714" s="19"/>
      <c r="C714" s="20"/>
      <c r="D714" s="19" t="str">
        <f t="shared" si="187"/>
        <v/>
      </c>
      <c r="E714" s="19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19"/>
      <c r="U714" s="19"/>
      <c r="V714" s="20"/>
      <c r="W714" s="22"/>
      <c r="X714" s="21"/>
      <c r="Y714" s="21"/>
      <c r="Z714" s="23" t="str">
        <f>IF(B714="","",IF(S714&lt;&gt;"","Sevk Edildi",IF(AND(X714&lt;&gt;"",Y714=""),"Reworkte",IF(T714&lt;&gt;"","Kapandı"&amp;IF(COUNT(G714:R714)=0,""," – "&amp;LOOKUP(2,1/(G714:R714=MAX(G714:R714)),{"Tasarım","Ply Cutter","Üretim","Kalite (Üretim sonrası)","Talaşlı","Kalite (Talaşlı sonrası)","Montaj","Kalite (Montaj sonrası)","Boya","Kalite (Boya sonrası)","Yarı Mamül","KM"})),IF(COUNT(G714:R714)=0,"Başlamadı",LOOKUP(2,1/(G714:R714=MAX(G714:R714)),{"Tasarımda","Ply Cutter'da","Üretimde","Kalitede (Üretim sonrası)","Talaşlıda","Kalitede (Talaşlı sonrası)","Montajda","Kalitede (Montaj sonrası)","Boyada","Kalitede (Boya sonrası)","Yarı Mamülde","KM'de"}))))))</f>
        <v/>
      </c>
      <c r="AA714" s="24" t="str">
        <f t="shared" ca="1" si="189"/>
        <v/>
      </c>
      <c r="AB714" s="22"/>
      <c r="AD714" t="str">
        <f>IF(OR($B714="",NOT(ISNUMBER(G714))),"",IF(COUNTIF(H714:$T714,G714)&gt;0,0,IF(COUNTIF($G714:$T714,"&gt;"&amp;G714)=0,"",SMALL($G714:$T714,COUNTIF($G714:$T714,"&lt;="&amp;G714)+1)-G714)))</f>
        <v/>
      </c>
      <c r="AE714" t="str">
        <f>IF(OR($B714="",NOT(ISNUMBER(H714))),"",IF(COUNTIF(I714:$T714,H714)&gt;0,0,IF(COUNTIF($G714:$T714,"&gt;"&amp;H714)=0,"",SMALL($G714:$T714,COUNTIF($G714:$T714,"&lt;="&amp;H714)+1)-H714)))</f>
        <v/>
      </c>
      <c r="AF714" t="str">
        <f>IF(OR($B714="",NOT(ISNUMBER(I714))),"",IF(COUNTIF(J714:$T714,I714)&gt;0,0,IF(COUNTIF($G714:$T714,"&gt;"&amp;I714)=0,"",SMALL($G714:$T714,COUNTIF($G714:$T714,"&lt;="&amp;I714)+1)-I714)))</f>
        <v/>
      </c>
      <c r="AG714" t="str">
        <f>IF(OR($B714="",NOT(ISNUMBER(J714))),"",IF(COUNTIF(K714:$T714,J714)&gt;0,0,IF(COUNTIF($G714:$T714,"&gt;"&amp;J714)=0,"",SMALL($G714:$T714,COUNTIF($G714:$T714,"&lt;="&amp;J714)+1)-J714)))</f>
        <v/>
      </c>
      <c r="AH714" t="str">
        <f>IF(OR($B714="",NOT(ISNUMBER(K714))),"",IF(COUNTIF(L714:$T714,K714)&gt;0,0,IF(COUNTIF($G714:$T714,"&gt;"&amp;K714)=0,"",SMALL($G714:$T714,COUNTIF($G714:$T714,"&lt;="&amp;K714)+1)-K714)))</f>
        <v/>
      </c>
      <c r="AI714" t="str">
        <f>IF(OR($B714="",NOT(ISNUMBER(L714))),"",IF(COUNTIF(M714:$T714,L714)&gt;0,0,IF(COUNTIF($G714:$T714,"&gt;"&amp;L714)=0,"",SMALL($G714:$T714,COUNTIF($G714:$T714,"&lt;="&amp;L714)+1)-L714)))</f>
        <v/>
      </c>
      <c r="AJ714" t="str">
        <f>IF(OR($B714="",NOT(ISNUMBER(M714))),"",IF(COUNTIF(N714:$T714,M714)&gt;0,0,IF(COUNTIF($G714:$T714,"&gt;"&amp;M714)=0,"",SMALL($G714:$T714,COUNTIF($G714:$T714,"&lt;="&amp;M714)+1)-M714)))</f>
        <v/>
      </c>
      <c r="AK714" t="str">
        <f>IF(OR($B714="",NOT(ISNUMBER(N714))),"",IF(COUNTIF(O714:$T714,N714)&gt;0,0,IF(COUNTIF($G714:$T714,"&gt;"&amp;N714)=0,"",SMALL($G714:$T714,COUNTIF($G714:$T714,"&lt;="&amp;N714)+1)-N714)))</f>
        <v/>
      </c>
      <c r="AL714" t="str">
        <f>IF(OR($B714="",NOT(ISNUMBER(O714))),"",IF(COUNTIF(P714:$T714,O714)&gt;0,0,IF(COUNTIF($G714:$T714,"&gt;"&amp;O714)=0,"",SMALL($G714:$T714,COUNTIF($G714:$T714,"&lt;="&amp;O714)+1)-O714)))</f>
        <v/>
      </c>
      <c r="AM714" t="str">
        <f>IF(OR($B714="",NOT(ISNUMBER(P714))),"",IF(COUNTIF(Q714:$T714,P714)&gt;0,0,IF(COUNTIF($G714:$T714,"&gt;"&amp;P714)=0,"",SMALL($G714:$T714,COUNTIF($G714:$T714,"&lt;="&amp;P714)+1)-P714)))</f>
        <v/>
      </c>
      <c r="AN714" t="str">
        <f>IF(OR($B714="",NOT(ISNUMBER(Q714))),"",IF(COUNTIF(R714:$T714,Q714)&gt;0,0,IF(COUNTIF($G714:$T714,"&gt;"&amp;Q714)=0,"",SMALL($G714:$T714,COUNTIF($G714:$T714,"&lt;="&amp;Q714)+1)-Q714)))</f>
        <v/>
      </c>
      <c r="AO714" t="str">
        <f>IF(OR($B714="",NOT(ISNUMBER(R714))),"",IF(COUNTIF(S714:$T714,R714)&gt;0,0,IF(COUNTIF($G714:$T714,"&gt;"&amp;R714)=0,"",SMALL($G714:$T714,COUNTIF($G714:$T714,"&lt;="&amp;R714)+1)-R714)))</f>
        <v/>
      </c>
      <c r="AP714">
        <f t="shared" ca="1" si="190"/>
        <v>0</v>
      </c>
      <c r="AQ714" s="25" t="str">
        <f t="shared" si="191"/>
        <v/>
      </c>
      <c r="AR714" s="25" t="str">
        <f t="shared" si="192"/>
        <v/>
      </c>
      <c r="AS714" s="25" t="str">
        <f t="shared" si="193"/>
        <v/>
      </c>
      <c r="AT714" s="25" t="str">
        <f t="shared" si="194"/>
        <v/>
      </c>
      <c r="AU714" s="25" t="str">
        <f t="shared" si="195"/>
        <v/>
      </c>
      <c r="AV714" s="25" t="str">
        <f t="shared" si="196"/>
        <v/>
      </c>
      <c r="AW714" s="25" t="str">
        <f t="shared" si="197"/>
        <v/>
      </c>
      <c r="AX714" s="25" t="str">
        <f t="shared" si="198"/>
        <v/>
      </c>
      <c r="AY714" s="25" t="str">
        <f t="shared" si="199"/>
        <v/>
      </c>
      <c r="AZ714" s="25" t="str">
        <f t="shared" si="200"/>
        <v/>
      </c>
      <c r="BA714" s="25" t="str">
        <f t="shared" si="201"/>
        <v/>
      </c>
      <c r="BB714" s="25" t="str">
        <f t="shared" si="202"/>
        <v/>
      </c>
      <c r="BC714" s="25" t="str">
        <f t="shared" si="203"/>
        <v/>
      </c>
    </row>
    <row r="715" spans="1:55" x14ac:dyDescent="0.25">
      <c r="A715" s="19" t="str">
        <f t="shared" si="188"/>
        <v/>
      </c>
      <c r="B715" s="19"/>
      <c r="C715" s="20"/>
      <c r="D715" s="19" t="str">
        <f t="shared" si="187"/>
        <v/>
      </c>
      <c r="E715" s="19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19"/>
      <c r="U715" s="19"/>
      <c r="V715" s="20"/>
      <c r="W715" s="22"/>
      <c r="X715" s="21"/>
      <c r="Y715" s="21"/>
      <c r="Z715" s="23" t="str">
        <f>IF(B715="","",IF(S715&lt;&gt;"","Sevk Edildi",IF(AND(X715&lt;&gt;"",Y715=""),"Reworkte",IF(T715&lt;&gt;"","Kapandı"&amp;IF(COUNT(G715:R715)=0,""," – "&amp;LOOKUP(2,1/(G715:R715=MAX(G715:R715)),{"Tasarım","Ply Cutter","Üretim","Kalite (Üretim sonrası)","Talaşlı","Kalite (Talaşlı sonrası)","Montaj","Kalite (Montaj sonrası)","Boya","Kalite (Boya sonrası)","Yarı Mamül","KM"})),IF(COUNT(G715:R715)=0,"Başlamadı",LOOKUP(2,1/(G715:R715=MAX(G715:R715)),{"Tasarımda","Ply Cutter'da","Üretimde","Kalitede (Üretim sonrası)","Talaşlıda","Kalitede (Talaşlı sonrası)","Montajda","Kalitede (Montaj sonrası)","Boyada","Kalitede (Boya sonrası)","Yarı Mamülde","KM'de"}))))))</f>
        <v/>
      </c>
      <c r="AA715" s="24" t="str">
        <f t="shared" ca="1" si="189"/>
        <v/>
      </c>
      <c r="AB715" s="22"/>
      <c r="AD715" t="str">
        <f>IF(OR($B715="",NOT(ISNUMBER(G715))),"",IF(COUNTIF(H715:$T715,G715)&gt;0,0,IF(COUNTIF($G715:$T715,"&gt;"&amp;G715)=0,"",SMALL($G715:$T715,COUNTIF($G715:$T715,"&lt;="&amp;G715)+1)-G715)))</f>
        <v/>
      </c>
      <c r="AE715" t="str">
        <f>IF(OR($B715="",NOT(ISNUMBER(H715))),"",IF(COUNTIF(I715:$T715,H715)&gt;0,0,IF(COUNTIF($G715:$T715,"&gt;"&amp;H715)=0,"",SMALL($G715:$T715,COUNTIF($G715:$T715,"&lt;="&amp;H715)+1)-H715)))</f>
        <v/>
      </c>
      <c r="AF715" t="str">
        <f>IF(OR($B715="",NOT(ISNUMBER(I715))),"",IF(COUNTIF(J715:$T715,I715)&gt;0,0,IF(COUNTIF($G715:$T715,"&gt;"&amp;I715)=0,"",SMALL($G715:$T715,COUNTIF($G715:$T715,"&lt;="&amp;I715)+1)-I715)))</f>
        <v/>
      </c>
      <c r="AG715" t="str">
        <f>IF(OR($B715="",NOT(ISNUMBER(J715))),"",IF(COUNTIF(K715:$T715,J715)&gt;0,0,IF(COUNTIF($G715:$T715,"&gt;"&amp;J715)=0,"",SMALL($G715:$T715,COUNTIF($G715:$T715,"&lt;="&amp;J715)+1)-J715)))</f>
        <v/>
      </c>
      <c r="AH715" t="str">
        <f>IF(OR($B715="",NOT(ISNUMBER(K715))),"",IF(COUNTIF(L715:$T715,K715)&gt;0,0,IF(COUNTIF($G715:$T715,"&gt;"&amp;K715)=0,"",SMALL($G715:$T715,COUNTIF($G715:$T715,"&lt;="&amp;K715)+1)-K715)))</f>
        <v/>
      </c>
      <c r="AI715" t="str">
        <f>IF(OR($B715="",NOT(ISNUMBER(L715))),"",IF(COUNTIF(M715:$T715,L715)&gt;0,0,IF(COUNTIF($G715:$T715,"&gt;"&amp;L715)=0,"",SMALL($G715:$T715,COUNTIF($G715:$T715,"&lt;="&amp;L715)+1)-L715)))</f>
        <v/>
      </c>
      <c r="AJ715" t="str">
        <f>IF(OR($B715="",NOT(ISNUMBER(M715))),"",IF(COUNTIF(N715:$T715,M715)&gt;0,0,IF(COUNTIF($G715:$T715,"&gt;"&amp;M715)=0,"",SMALL($G715:$T715,COUNTIF($G715:$T715,"&lt;="&amp;M715)+1)-M715)))</f>
        <v/>
      </c>
      <c r="AK715" t="str">
        <f>IF(OR($B715="",NOT(ISNUMBER(N715))),"",IF(COUNTIF(O715:$T715,N715)&gt;0,0,IF(COUNTIF($G715:$T715,"&gt;"&amp;N715)=0,"",SMALL($G715:$T715,COUNTIF($G715:$T715,"&lt;="&amp;N715)+1)-N715)))</f>
        <v/>
      </c>
      <c r="AL715" t="str">
        <f>IF(OR($B715="",NOT(ISNUMBER(O715))),"",IF(COUNTIF(P715:$T715,O715)&gt;0,0,IF(COUNTIF($G715:$T715,"&gt;"&amp;O715)=0,"",SMALL($G715:$T715,COUNTIF($G715:$T715,"&lt;="&amp;O715)+1)-O715)))</f>
        <v/>
      </c>
      <c r="AM715" t="str">
        <f>IF(OR($B715="",NOT(ISNUMBER(P715))),"",IF(COUNTIF(Q715:$T715,P715)&gt;0,0,IF(COUNTIF($G715:$T715,"&gt;"&amp;P715)=0,"",SMALL($G715:$T715,COUNTIF($G715:$T715,"&lt;="&amp;P715)+1)-P715)))</f>
        <v/>
      </c>
      <c r="AN715" t="str">
        <f>IF(OR($B715="",NOT(ISNUMBER(Q715))),"",IF(COUNTIF(R715:$T715,Q715)&gt;0,0,IF(COUNTIF($G715:$T715,"&gt;"&amp;Q715)=0,"",SMALL($G715:$T715,COUNTIF($G715:$T715,"&lt;="&amp;Q715)+1)-Q715)))</f>
        <v/>
      </c>
      <c r="AO715" t="str">
        <f>IF(OR($B715="",NOT(ISNUMBER(R715))),"",IF(COUNTIF(S715:$T715,R715)&gt;0,0,IF(COUNTIF($G715:$T715,"&gt;"&amp;R715)=0,"",SMALL($G715:$T715,COUNTIF($G715:$T715,"&lt;="&amp;R715)+1)-R715)))</f>
        <v/>
      </c>
      <c r="AP715">
        <f t="shared" ca="1" si="190"/>
        <v>0</v>
      </c>
      <c r="AQ715" s="25" t="str">
        <f t="shared" si="191"/>
        <v/>
      </c>
      <c r="AR715" s="25" t="str">
        <f t="shared" si="192"/>
        <v/>
      </c>
      <c r="AS715" s="25" t="str">
        <f t="shared" si="193"/>
        <v/>
      </c>
      <c r="AT715" s="25" t="str">
        <f t="shared" si="194"/>
        <v/>
      </c>
      <c r="AU715" s="25" t="str">
        <f t="shared" si="195"/>
        <v/>
      </c>
      <c r="AV715" s="25" t="str">
        <f t="shared" si="196"/>
        <v/>
      </c>
      <c r="AW715" s="25" t="str">
        <f t="shared" si="197"/>
        <v/>
      </c>
      <c r="AX715" s="25" t="str">
        <f t="shared" si="198"/>
        <v/>
      </c>
      <c r="AY715" s="25" t="str">
        <f t="shared" si="199"/>
        <v/>
      </c>
      <c r="AZ715" s="25" t="str">
        <f t="shared" si="200"/>
        <v/>
      </c>
      <c r="BA715" s="25" t="str">
        <f t="shared" si="201"/>
        <v/>
      </c>
      <c r="BB715" s="25" t="str">
        <f t="shared" si="202"/>
        <v/>
      </c>
      <c r="BC715" s="25" t="str">
        <f t="shared" si="203"/>
        <v/>
      </c>
    </row>
    <row r="716" spans="1:55" x14ac:dyDescent="0.25">
      <c r="A716" s="19" t="str">
        <f t="shared" si="188"/>
        <v/>
      </c>
      <c r="B716" s="19"/>
      <c r="C716" s="20"/>
      <c r="D716" s="19" t="str">
        <f t="shared" si="187"/>
        <v/>
      </c>
      <c r="E716" s="19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19"/>
      <c r="U716" s="19"/>
      <c r="V716" s="20"/>
      <c r="W716" s="22"/>
      <c r="X716" s="21"/>
      <c r="Y716" s="21"/>
      <c r="Z716" s="23" t="str">
        <f>IF(B716="","",IF(S716&lt;&gt;"","Sevk Edildi",IF(AND(X716&lt;&gt;"",Y716=""),"Reworkte",IF(T716&lt;&gt;"","Kapandı"&amp;IF(COUNT(G716:R716)=0,""," – "&amp;LOOKUP(2,1/(G716:R716=MAX(G716:R716)),{"Tasarım","Ply Cutter","Üretim","Kalite (Üretim sonrası)","Talaşlı","Kalite (Talaşlı sonrası)","Montaj","Kalite (Montaj sonrası)","Boya","Kalite (Boya sonrası)","Yarı Mamül","KM"})),IF(COUNT(G716:R716)=0,"Başlamadı",LOOKUP(2,1/(G716:R716=MAX(G716:R716)),{"Tasarımda","Ply Cutter'da","Üretimde","Kalitede (Üretim sonrası)","Talaşlıda","Kalitede (Talaşlı sonrası)","Montajda","Kalitede (Montaj sonrası)","Boyada","Kalitede (Boya sonrası)","Yarı Mamülde","KM'de"}))))))</f>
        <v/>
      </c>
      <c r="AA716" s="24" t="str">
        <f t="shared" ca="1" si="189"/>
        <v/>
      </c>
      <c r="AB716" s="22"/>
      <c r="AD716" t="str">
        <f>IF(OR($B716="",NOT(ISNUMBER(G716))),"",IF(COUNTIF(H716:$T716,G716)&gt;0,0,IF(COUNTIF($G716:$T716,"&gt;"&amp;G716)=0,"",SMALL($G716:$T716,COUNTIF($G716:$T716,"&lt;="&amp;G716)+1)-G716)))</f>
        <v/>
      </c>
      <c r="AE716" t="str">
        <f>IF(OR($B716="",NOT(ISNUMBER(H716))),"",IF(COUNTIF(I716:$T716,H716)&gt;0,0,IF(COUNTIF($G716:$T716,"&gt;"&amp;H716)=0,"",SMALL($G716:$T716,COUNTIF($G716:$T716,"&lt;="&amp;H716)+1)-H716)))</f>
        <v/>
      </c>
      <c r="AF716" t="str">
        <f>IF(OR($B716="",NOT(ISNUMBER(I716))),"",IF(COUNTIF(J716:$T716,I716)&gt;0,0,IF(COUNTIF($G716:$T716,"&gt;"&amp;I716)=0,"",SMALL($G716:$T716,COUNTIF($G716:$T716,"&lt;="&amp;I716)+1)-I716)))</f>
        <v/>
      </c>
      <c r="AG716" t="str">
        <f>IF(OR($B716="",NOT(ISNUMBER(J716))),"",IF(COUNTIF(K716:$T716,J716)&gt;0,0,IF(COUNTIF($G716:$T716,"&gt;"&amp;J716)=0,"",SMALL($G716:$T716,COUNTIF($G716:$T716,"&lt;="&amp;J716)+1)-J716)))</f>
        <v/>
      </c>
      <c r="AH716" t="str">
        <f>IF(OR($B716="",NOT(ISNUMBER(K716))),"",IF(COUNTIF(L716:$T716,K716)&gt;0,0,IF(COUNTIF($G716:$T716,"&gt;"&amp;K716)=0,"",SMALL($G716:$T716,COUNTIF($G716:$T716,"&lt;="&amp;K716)+1)-K716)))</f>
        <v/>
      </c>
      <c r="AI716" t="str">
        <f>IF(OR($B716="",NOT(ISNUMBER(L716))),"",IF(COUNTIF(M716:$T716,L716)&gt;0,0,IF(COUNTIF($G716:$T716,"&gt;"&amp;L716)=0,"",SMALL($G716:$T716,COUNTIF($G716:$T716,"&lt;="&amp;L716)+1)-L716)))</f>
        <v/>
      </c>
      <c r="AJ716" t="str">
        <f>IF(OR($B716="",NOT(ISNUMBER(M716))),"",IF(COUNTIF(N716:$T716,M716)&gt;0,0,IF(COUNTIF($G716:$T716,"&gt;"&amp;M716)=0,"",SMALL($G716:$T716,COUNTIF($G716:$T716,"&lt;="&amp;M716)+1)-M716)))</f>
        <v/>
      </c>
      <c r="AK716" t="str">
        <f>IF(OR($B716="",NOT(ISNUMBER(N716))),"",IF(COUNTIF(O716:$T716,N716)&gt;0,0,IF(COUNTIF($G716:$T716,"&gt;"&amp;N716)=0,"",SMALL($G716:$T716,COUNTIF($G716:$T716,"&lt;="&amp;N716)+1)-N716)))</f>
        <v/>
      </c>
      <c r="AL716" t="str">
        <f>IF(OR($B716="",NOT(ISNUMBER(O716))),"",IF(COUNTIF(P716:$T716,O716)&gt;0,0,IF(COUNTIF($G716:$T716,"&gt;"&amp;O716)=0,"",SMALL($G716:$T716,COUNTIF($G716:$T716,"&lt;="&amp;O716)+1)-O716)))</f>
        <v/>
      </c>
      <c r="AM716" t="str">
        <f>IF(OR($B716="",NOT(ISNUMBER(P716))),"",IF(COUNTIF(Q716:$T716,P716)&gt;0,0,IF(COUNTIF($G716:$T716,"&gt;"&amp;P716)=0,"",SMALL($G716:$T716,COUNTIF($G716:$T716,"&lt;="&amp;P716)+1)-P716)))</f>
        <v/>
      </c>
      <c r="AN716" t="str">
        <f>IF(OR($B716="",NOT(ISNUMBER(Q716))),"",IF(COUNTIF(R716:$T716,Q716)&gt;0,0,IF(COUNTIF($G716:$T716,"&gt;"&amp;Q716)=0,"",SMALL($G716:$T716,COUNTIF($G716:$T716,"&lt;="&amp;Q716)+1)-Q716)))</f>
        <v/>
      </c>
      <c r="AO716" t="str">
        <f>IF(OR($B716="",NOT(ISNUMBER(R716))),"",IF(COUNTIF(S716:$T716,R716)&gt;0,0,IF(COUNTIF($G716:$T716,"&gt;"&amp;R716)=0,"",SMALL($G716:$T716,COUNTIF($G716:$T716,"&lt;="&amp;R716)+1)-R716)))</f>
        <v/>
      </c>
      <c r="AP716">
        <f t="shared" ca="1" si="190"/>
        <v>0</v>
      </c>
      <c r="AQ716" s="25" t="str">
        <f t="shared" si="191"/>
        <v/>
      </c>
      <c r="AR716" s="25" t="str">
        <f t="shared" si="192"/>
        <v/>
      </c>
      <c r="AS716" s="25" t="str">
        <f t="shared" si="193"/>
        <v/>
      </c>
      <c r="AT716" s="25" t="str">
        <f t="shared" si="194"/>
        <v/>
      </c>
      <c r="AU716" s="25" t="str">
        <f t="shared" si="195"/>
        <v/>
      </c>
      <c r="AV716" s="25" t="str">
        <f t="shared" si="196"/>
        <v/>
      </c>
      <c r="AW716" s="25" t="str">
        <f t="shared" si="197"/>
        <v/>
      </c>
      <c r="AX716" s="25" t="str">
        <f t="shared" si="198"/>
        <v/>
      </c>
      <c r="AY716" s="25" t="str">
        <f t="shared" si="199"/>
        <v/>
      </c>
      <c r="AZ716" s="25" t="str">
        <f t="shared" si="200"/>
        <v/>
      </c>
      <c r="BA716" s="25" t="str">
        <f t="shared" si="201"/>
        <v/>
      </c>
      <c r="BB716" s="25" t="str">
        <f t="shared" si="202"/>
        <v/>
      </c>
      <c r="BC716" s="25" t="str">
        <f t="shared" si="203"/>
        <v/>
      </c>
    </row>
    <row r="717" spans="1:55" x14ac:dyDescent="0.25">
      <c r="A717" s="19" t="str">
        <f t="shared" si="188"/>
        <v/>
      </c>
      <c r="B717" s="19"/>
      <c r="C717" s="20"/>
      <c r="D717" s="19" t="str">
        <f t="shared" si="187"/>
        <v/>
      </c>
      <c r="E717" s="19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19"/>
      <c r="U717" s="19"/>
      <c r="V717" s="20"/>
      <c r="W717" s="22"/>
      <c r="X717" s="21"/>
      <c r="Y717" s="21"/>
      <c r="Z717" s="23" t="str">
        <f>IF(B717="","",IF(S717&lt;&gt;"","Sevk Edildi",IF(AND(X717&lt;&gt;"",Y717=""),"Reworkte",IF(T717&lt;&gt;"","Kapandı"&amp;IF(COUNT(G717:R717)=0,""," – "&amp;LOOKUP(2,1/(G717:R717=MAX(G717:R717)),{"Tasarım","Ply Cutter","Üretim","Kalite (Üretim sonrası)","Talaşlı","Kalite (Talaşlı sonrası)","Montaj","Kalite (Montaj sonrası)","Boya","Kalite (Boya sonrası)","Yarı Mamül","KM"})),IF(COUNT(G717:R717)=0,"Başlamadı",LOOKUP(2,1/(G717:R717=MAX(G717:R717)),{"Tasarımda","Ply Cutter'da","Üretimde","Kalitede (Üretim sonrası)","Talaşlıda","Kalitede (Talaşlı sonrası)","Montajda","Kalitede (Montaj sonrası)","Boyada","Kalitede (Boya sonrası)","Yarı Mamülde","KM'de"}))))))</f>
        <v/>
      </c>
      <c r="AA717" s="24" t="str">
        <f t="shared" ca="1" si="189"/>
        <v/>
      </c>
      <c r="AB717" s="22"/>
      <c r="AD717" t="str">
        <f>IF(OR($B717="",NOT(ISNUMBER(G717))),"",IF(COUNTIF(H717:$T717,G717)&gt;0,0,IF(COUNTIF($G717:$T717,"&gt;"&amp;G717)=0,"",SMALL($G717:$T717,COUNTIF($G717:$T717,"&lt;="&amp;G717)+1)-G717)))</f>
        <v/>
      </c>
      <c r="AE717" t="str">
        <f>IF(OR($B717="",NOT(ISNUMBER(H717))),"",IF(COUNTIF(I717:$T717,H717)&gt;0,0,IF(COUNTIF($G717:$T717,"&gt;"&amp;H717)=0,"",SMALL($G717:$T717,COUNTIF($G717:$T717,"&lt;="&amp;H717)+1)-H717)))</f>
        <v/>
      </c>
      <c r="AF717" t="str">
        <f>IF(OR($B717="",NOT(ISNUMBER(I717))),"",IF(COUNTIF(J717:$T717,I717)&gt;0,0,IF(COUNTIF($G717:$T717,"&gt;"&amp;I717)=0,"",SMALL($G717:$T717,COUNTIF($G717:$T717,"&lt;="&amp;I717)+1)-I717)))</f>
        <v/>
      </c>
      <c r="AG717" t="str">
        <f>IF(OR($B717="",NOT(ISNUMBER(J717))),"",IF(COUNTIF(K717:$T717,J717)&gt;0,0,IF(COUNTIF($G717:$T717,"&gt;"&amp;J717)=0,"",SMALL($G717:$T717,COUNTIF($G717:$T717,"&lt;="&amp;J717)+1)-J717)))</f>
        <v/>
      </c>
      <c r="AH717" t="str">
        <f>IF(OR($B717="",NOT(ISNUMBER(K717))),"",IF(COUNTIF(L717:$T717,K717)&gt;0,0,IF(COUNTIF($G717:$T717,"&gt;"&amp;K717)=0,"",SMALL($G717:$T717,COUNTIF($G717:$T717,"&lt;="&amp;K717)+1)-K717)))</f>
        <v/>
      </c>
      <c r="AI717" t="str">
        <f>IF(OR($B717="",NOT(ISNUMBER(L717))),"",IF(COUNTIF(M717:$T717,L717)&gt;0,0,IF(COUNTIF($G717:$T717,"&gt;"&amp;L717)=0,"",SMALL($G717:$T717,COUNTIF($G717:$T717,"&lt;="&amp;L717)+1)-L717)))</f>
        <v/>
      </c>
      <c r="AJ717" t="str">
        <f>IF(OR($B717="",NOT(ISNUMBER(M717))),"",IF(COUNTIF(N717:$T717,M717)&gt;0,0,IF(COUNTIF($G717:$T717,"&gt;"&amp;M717)=0,"",SMALL($G717:$T717,COUNTIF($G717:$T717,"&lt;="&amp;M717)+1)-M717)))</f>
        <v/>
      </c>
      <c r="AK717" t="str">
        <f>IF(OR($B717="",NOT(ISNUMBER(N717))),"",IF(COUNTIF(O717:$T717,N717)&gt;0,0,IF(COUNTIF($G717:$T717,"&gt;"&amp;N717)=0,"",SMALL($G717:$T717,COUNTIF($G717:$T717,"&lt;="&amp;N717)+1)-N717)))</f>
        <v/>
      </c>
      <c r="AL717" t="str">
        <f>IF(OR($B717="",NOT(ISNUMBER(O717))),"",IF(COUNTIF(P717:$T717,O717)&gt;0,0,IF(COUNTIF($G717:$T717,"&gt;"&amp;O717)=0,"",SMALL($G717:$T717,COUNTIF($G717:$T717,"&lt;="&amp;O717)+1)-O717)))</f>
        <v/>
      </c>
      <c r="AM717" t="str">
        <f>IF(OR($B717="",NOT(ISNUMBER(P717))),"",IF(COUNTIF(Q717:$T717,P717)&gt;0,0,IF(COUNTIF($G717:$T717,"&gt;"&amp;P717)=0,"",SMALL($G717:$T717,COUNTIF($G717:$T717,"&lt;="&amp;P717)+1)-P717)))</f>
        <v/>
      </c>
      <c r="AN717" t="str">
        <f>IF(OR($B717="",NOT(ISNUMBER(Q717))),"",IF(COUNTIF(R717:$T717,Q717)&gt;0,0,IF(COUNTIF($G717:$T717,"&gt;"&amp;Q717)=0,"",SMALL($G717:$T717,COUNTIF($G717:$T717,"&lt;="&amp;Q717)+1)-Q717)))</f>
        <v/>
      </c>
      <c r="AO717" t="str">
        <f>IF(OR($B717="",NOT(ISNUMBER(R717))),"",IF(COUNTIF(S717:$T717,R717)&gt;0,0,IF(COUNTIF($G717:$T717,"&gt;"&amp;R717)=0,"",SMALL($G717:$T717,COUNTIF($G717:$T717,"&lt;="&amp;R717)+1)-R717)))</f>
        <v/>
      </c>
      <c r="AP717">
        <f t="shared" ca="1" si="190"/>
        <v>0</v>
      </c>
      <c r="AQ717" s="25" t="str">
        <f t="shared" si="191"/>
        <v/>
      </c>
      <c r="AR717" s="25" t="str">
        <f t="shared" si="192"/>
        <v/>
      </c>
      <c r="AS717" s="25" t="str">
        <f t="shared" si="193"/>
        <v/>
      </c>
      <c r="AT717" s="25" t="str">
        <f t="shared" si="194"/>
        <v/>
      </c>
      <c r="AU717" s="25" t="str">
        <f t="shared" si="195"/>
        <v/>
      </c>
      <c r="AV717" s="25" t="str">
        <f t="shared" si="196"/>
        <v/>
      </c>
      <c r="AW717" s="25" t="str">
        <f t="shared" si="197"/>
        <v/>
      </c>
      <c r="AX717" s="25" t="str">
        <f t="shared" si="198"/>
        <v/>
      </c>
      <c r="AY717" s="25" t="str">
        <f t="shared" si="199"/>
        <v/>
      </c>
      <c r="AZ717" s="25" t="str">
        <f t="shared" si="200"/>
        <v/>
      </c>
      <c r="BA717" s="25" t="str">
        <f t="shared" si="201"/>
        <v/>
      </c>
      <c r="BB717" s="25" t="str">
        <f t="shared" si="202"/>
        <v/>
      </c>
      <c r="BC717" s="25" t="str">
        <f t="shared" si="203"/>
        <v/>
      </c>
    </row>
    <row r="718" spans="1:55" x14ac:dyDescent="0.25">
      <c r="A718" s="19" t="str">
        <f t="shared" si="188"/>
        <v/>
      </c>
      <c r="B718" s="19"/>
      <c r="C718" s="20"/>
      <c r="D718" s="19" t="str">
        <f t="shared" si="187"/>
        <v/>
      </c>
      <c r="E718" s="19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19"/>
      <c r="U718" s="19"/>
      <c r="V718" s="20"/>
      <c r="W718" s="22"/>
      <c r="X718" s="21"/>
      <c r="Y718" s="21"/>
      <c r="Z718" s="23" t="str">
        <f>IF(B718="","",IF(S718&lt;&gt;"","Sevk Edildi",IF(AND(X718&lt;&gt;"",Y718=""),"Reworkte",IF(T718&lt;&gt;"","Kapandı"&amp;IF(COUNT(G718:R718)=0,""," – "&amp;LOOKUP(2,1/(G718:R718=MAX(G718:R718)),{"Tasarım","Ply Cutter","Üretim","Kalite (Üretim sonrası)","Talaşlı","Kalite (Talaşlı sonrası)","Montaj","Kalite (Montaj sonrası)","Boya","Kalite (Boya sonrası)","Yarı Mamül","KM"})),IF(COUNT(G718:R718)=0,"Başlamadı",LOOKUP(2,1/(G718:R718=MAX(G718:R718)),{"Tasarımda","Ply Cutter'da","Üretimde","Kalitede (Üretim sonrası)","Talaşlıda","Kalitede (Talaşlı sonrası)","Montajda","Kalitede (Montaj sonrası)","Boyada","Kalitede (Boya sonrası)","Yarı Mamülde","KM'de"}))))))</f>
        <v/>
      </c>
      <c r="AA718" s="24" t="str">
        <f t="shared" ca="1" si="189"/>
        <v/>
      </c>
      <c r="AB718" s="22"/>
      <c r="AD718" t="str">
        <f>IF(OR($B718="",NOT(ISNUMBER(G718))),"",IF(COUNTIF(H718:$T718,G718)&gt;0,0,IF(COUNTIF($G718:$T718,"&gt;"&amp;G718)=0,"",SMALL($G718:$T718,COUNTIF($G718:$T718,"&lt;="&amp;G718)+1)-G718)))</f>
        <v/>
      </c>
      <c r="AE718" t="str">
        <f>IF(OR($B718="",NOT(ISNUMBER(H718))),"",IF(COUNTIF(I718:$T718,H718)&gt;0,0,IF(COUNTIF($G718:$T718,"&gt;"&amp;H718)=0,"",SMALL($G718:$T718,COUNTIF($G718:$T718,"&lt;="&amp;H718)+1)-H718)))</f>
        <v/>
      </c>
      <c r="AF718" t="str">
        <f>IF(OR($B718="",NOT(ISNUMBER(I718))),"",IF(COUNTIF(J718:$T718,I718)&gt;0,0,IF(COUNTIF($G718:$T718,"&gt;"&amp;I718)=0,"",SMALL($G718:$T718,COUNTIF($G718:$T718,"&lt;="&amp;I718)+1)-I718)))</f>
        <v/>
      </c>
      <c r="AG718" t="str">
        <f>IF(OR($B718="",NOT(ISNUMBER(J718))),"",IF(COUNTIF(K718:$T718,J718)&gt;0,0,IF(COUNTIF($G718:$T718,"&gt;"&amp;J718)=0,"",SMALL($G718:$T718,COUNTIF($G718:$T718,"&lt;="&amp;J718)+1)-J718)))</f>
        <v/>
      </c>
      <c r="AH718" t="str">
        <f>IF(OR($B718="",NOT(ISNUMBER(K718))),"",IF(COUNTIF(L718:$T718,K718)&gt;0,0,IF(COUNTIF($G718:$T718,"&gt;"&amp;K718)=0,"",SMALL($G718:$T718,COUNTIF($G718:$T718,"&lt;="&amp;K718)+1)-K718)))</f>
        <v/>
      </c>
      <c r="AI718" t="str">
        <f>IF(OR($B718="",NOT(ISNUMBER(L718))),"",IF(COUNTIF(M718:$T718,L718)&gt;0,0,IF(COUNTIF($G718:$T718,"&gt;"&amp;L718)=0,"",SMALL($G718:$T718,COUNTIF($G718:$T718,"&lt;="&amp;L718)+1)-L718)))</f>
        <v/>
      </c>
      <c r="AJ718" t="str">
        <f>IF(OR($B718="",NOT(ISNUMBER(M718))),"",IF(COUNTIF(N718:$T718,M718)&gt;0,0,IF(COUNTIF($G718:$T718,"&gt;"&amp;M718)=0,"",SMALL($G718:$T718,COUNTIF($G718:$T718,"&lt;="&amp;M718)+1)-M718)))</f>
        <v/>
      </c>
      <c r="AK718" t="str">
        <f>IF(OR($B718="",NOT(ISNUMBER(N718))),"",IF(COUNTIF(O718:$T718,N718)&gt;0,0,IF(COUNTIF($G718:$T718,"&gt;"&amp;N718)=0,"",SMALL($G718:$T718,COUNTIF($G718:$T718,"&lt;="&amp;N718)+1)-N718)))</f>
        <v/>
      </c>
      <c r="AL718" t="str">
        <f>IF(OR($B718="",NOT(ISNUMBER(O718))),"",IF(COUNTIF(P718:$T718,O718)&gt;0,0,IF(COUNTIF($G718:$T718,"&gt;"&amp;O718)=0,"",SMALL($G718:$T718,COUNTIF($G718:$T718,"&lt;="&amp;O718)+1)-O718)))</f>
        <v/>
      </c>
      <c r="AM718" t="str">
        <f>IF(OR($B718="",NOT(ISNUMBER(P718))),"",IF(COUNTIF(Q718:$T718,P718)&gt;0,0,IF(COUNTIF($G718:$T718,"&gt;"&amp;P718)=0,"",SMALL($G718:$T718,COUNTIF($G718:$T718,"&lt;="&amp;P718)+1)-P718)))</f>
        <v/>
      </c>
      <c r="AN718" t="str">
        <f>IF(OR($B718="",NOT(ISNUMBER(Q718))),"",IF(COUNTIF(R718:$T718,Q718)&gt;0,0,IF(COUNTIF($G718:$T718,"&gt;"&amp;Q718)=0,"",SMALL($G718:$T718,COUNTIF($G718:$T718,"&lt;="&amp;Q718)+1)-Q718)))</f>
        <v/>
      </c>
      <c r="AO718" t="str">
        <f>IF(OR($B718="",NOT(ISNUMBER(R718))),"",IF(COUNTIF(S718:$T718,R718)&gt;0,0,IF(COUNTIF($G718:$T718,"&gt;"&amp;R718)=0,"",SMALL($G718:$T718,COUNTIF($G718:$T718,"&lt;="&amp;R718)+1)-R718)))</f>
        <v/>
      </c>
      <c r="AP718">
        <f t="shared" ca="1" si="190"/>
        <v>0</v>
      </c>
      <c r="AQ718" s="25" t="str">
        <f t="shared" si="191"/>
        <v/>
      </c>
      <c r="AR718" s="25" t="str">
        <f t="shared" si="192"/>
        <v/>
      </c>
      <c r="AS718" s="25" t="str">
        <f t="shared" si="193"/>
        <v/>
      </c>
      <c r="AT718" s="25" t="str">
        <f t="shared" si="194"/>
        <v/>
      </c>
      <c r="AU718" s="25" t="str">
        <f t="shared" si="195"/>
        <v/>
      </c>
      <c r="AV718" s="25" t="str">
        <f t="shared" si="196"/>
        <v/>
      </c>
      <c r="AW718" s="25" t="str">
        <f t="shared" si="197"/>
        <v/>
      </c>
      <c r="AX718" s="25" t="str">
        <f t="shared" si="198"/>
        <v/>
      </c>
      <c r="AY718" s="25" t="str">
        <f t="shared" si="199"/>
        <v/>
      </c>
      <c r="AZ718" s="25" t="str">
        <f t="shared" si="200"/>
        <v/>
      </c>
      <c r="BA718" s="25" t="str">
        <f t="shared" si="201"/>
        <v/>
      </c>
      <c r="BB718" s="25" t="str">
        <f t="shared" si="202"/>
        <v/>
      </c>
      <c r="BC718" s="25" t="str">
        <f t="shared" si="203"/>
        <v/>
      </c>
    </row>
    <row r="719" spans="1:55" x14ac:dyDescent="0.25">
      <c r="A719" s="19" t="str">
        <f t="shared" si="188"/>
        <v/>
      </c>
      <c r="B719" s="19"/>
      <c r="C719" s="20"/>
      <c r="D719" s="19" t="str">
        <f t="shared" si="187"/>
        <v/>
      </c>
      <c r="E719" s="19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19"/>
      <c r="U719" s="19"/>
      <c r="V719" s="20"/>
      <c r="W719" s="22"/>
      <c r="X719" s="21"/>
      <c r="Y719" s="21"/>
      <c r="Z719" s="23" t="str">
        <f>IF(B719="","",IF(S719&lt;&gt;"","Sevk Edildi",IF(AND(X719&lt;&gt;"",Y719=""),"Reworkte",IF(T719&lt;&gt;"","Kapandı"&amp;IF(COUNT(G719:R719)=0,""," – "&amp;LOOKUP(2,1/(G719:R719=MAX(G719:R719)),{"Tasarım","Ply Cutter","Üretim","Kalite (Üretim sonrası)","Talaşlı","Kalite (Talaşlı sonrası)","Montaj","Kalite (Montaj sonrası)","Boya","Kalite (Boya sonrası)","Yarı Mamül","KM"})),IF(COUNT(G719:R719)=0,"Başlamadı",LOOKUP(2,1/(G719:R719=MAX(G719:R719)),{"Tasarımda","Ply Cutter'da","Üretimde","Kalitede (Üretim sonrası)","Talaşlıda","Kalitede (Talaşlı sonrası)","Montajda","Kalitede (Montaj sonrası)","Boyada","Kalitede (Boya sonrası)","Yarı Mamülde","KM'de"}))))))</f>
        <v/>
      </c>
      <c r="AA719" s="24" t="str">
        <f t="shared" ca="1" si="189"/>
        <v/>
      </c>
      <c r="AB719" s="22"/>
      <c r="AD719" t="str">
        <f>IF(OR($B719="",NOT(ISNUMBER(G719))),"",IF(COUNTIF(H719:$T719,G719)&gt;0,0,IF(COUNTIF($G719:$T719,"&gt;"&amp;G719)=0,"",SMALL($G719:$T719,COUNTIF($G719:$T719,"&lt;="&amp;G719)+1)-G719)))</f>
        <v/>
      </c>
      <c r="AE719" t="str">
        <f>IF(OR($B719="",NOT(ISNUMBER(H719))),"",IF(COUNTIF(I719:$T719,H719)&gt;0,0,IF(COUNTIF($G719:$T719,"&gt;"&amp;H719)=0,"",SMALL($G719:$T719,COUNTIF($G719:$T719,"&lt;="&amp;H719)+1)-H719)))</f>
        <v/>
      </c>
      <c r="AF719" t="str">
        <f>IF(OR($B719="",NOT(ISNUMBER(I719))),"",IF(COUNTIF(J719:$T719,I719)&gt;0,0,IF(COUNTIF($G719:$T719,"&gt;"&amp;I719)=0,"",SMALL($G719:$T719,COUNTIF($G719:$T719,"&lt;="&amp;I719)+1)-I719)))</f>
        <v/>
      </c>
      <c r="AG719" t="str">
        <f>IF(OR($B719="",NOT(ISNUMBER(J719))),"",IF(COUNTIF(K719:$T719,J719)&gt;0,0,IF(COUNTIF($G719:$T719,"&gt;"&amp;J719)=0,"",SMALL($G719:$T719,COUNTIF($G719:$T719,"&lt;="&amp;J719)+1)-J719)))</f>
        <v/>
      </c>
      <c r="AH719" t="str">
        <f>IF(OR($B719="",NOT(ISNUMBER(K719))),"",IF(COUNTIF(L719:$T719,K719)&gt;0,0,IF(COUNTIF($G719:$T719,"&gt;"&amp;K719)=0,"",SMALL($G719:$T719,COUNTIF($G719:$T719,"&lt;="&amp;K719)+1)-K719)))</f>
        <v/>
      </c>
      <c r="AI719" t="str">
        <f>IF(OR($B719="",NOT(ISNUMBER(L719))),"",IF(COUNTIF(M719:$T719,L719)&gt;0,0,IF(COUNTIF($G719:$T719,"&gt;"&amp;L719)=0,"",SMALL($G719:$T719,COUNTIF($G719:$T719,"&lt;="&amp;L719)+1)-L719)))</f>
        <v/>
      </c>
      <c r="AJ719" t="str">
        <f>IF(OR($B719="",NOT(ISNUMBER(M719))),"",IF(COUNTIF(N719:$T719,M719)&gt;0,0,IF(COUNTIF($G719:$T719,"&gt;"&amp;M719)=0,"",SMALL($G719:$T719,COUNTIF($G719:$T719,"&lt;="&amp;M719)+1)-M719)))</f>
        <v/>
      </c>
      <c r="AK719" t="str">
        <f>IF(OR($B719="",NOT(ISNUMBER(N719))),"",IF(COUNTIF(O719:$T719,N719)&gt;0,0,IF(COUNTIF($G719:$T719,"&gt;"&amp;N719)=0,"",SMALL($G719:$T719,COUNTIF($G719:$T719,"&lt;="&amp;N719)+1)-N719)))</f>
        <v/>
      </c>
      <c r="AL719" t="str">
        <f>IF(OR($B719="",NOT(ISNUMBER(O719))),"",IF(COUNTIF(P719:$T719,O719)&gt;0,0,IF(COUNTIF($G719:$T719,"&gt;"&amp;O719)=0,"",SMALL($G719:$T719,COUNTIF($G719:$T719,"&lt;="&amp;O719)+1)-O719)))</f>
        <v/>
      </c>
      <c r="AM719" t="str">
        <f>IF(OR($B719="",NOT(ISNUMBER(P719))),"",IF(COUNTIF(Q719:$T719,P719)&gt;0,0,IF(COUNTIF($G719:$T719,"&gt;"&amp;P719)=0,"",SMALL($G719:$T719,COUNTIF($G719:$T719,"&lt;="&amp;P719)+1)-P719)))</f>
        <v/>
      </c>
      <c r="AN719" t="str">
        <f>IF(OR($B719="",NOT(ISNUMBER(Q719))),"",IF(COUNTIF(R719:$T719,Q719)&gt;0,0,IF(COUNTIF($G719:$T719,"&gt;"&amp;Q719)=0,"",SMALL($G719:$T719,COUNTIF($G719:$T719,"&lt;="&amp;Q719)+1)-Q719)))</f>
        <v/>
      </c>
      <c r="AO719" t="str">
        <f>IF(OR($B719="",NOT(ISNUMBER(R719))),"",IF(COUNTIF(S719:$T719,R719)&gt;0,0,IF(COUNTIF($G719:$T719,"&gt;"&amp;R719)=0,"",SMALL($G719:$T719,COUNTIF($G719:$T719,"&lt;="&amp;R719)+1)-R719)))</f>
        <v/>
      </c>
      <c r="AP719">
        <f t="shared" ca="1" si="190"/>
        <v>0</v>
      </c>
      <c r="AQ719" s="25" t="str">
        <f t="shared" si="191"/>
        <v/>
      </c>
      <c r="AR719" s="25" t="str">
        <f t="shared" si="192"/>
        <v/>
      </c>
      <c r="AS719" s="25" t="str">
        <f t="shared" si="193"/>
        <v/>
      </c>
      <c r="AT719" s="25" t="str">
        <f t="shared" si="194"/>
        <v/>
      </c>
      <c r="AU719" s="25" t="str">
        <f t="shared" si="195"/>
        <v/>
      </c>
      <c r="AV719" s="25" t="str">
        <f t="shared" si="196"/>
        <v/>
      </c>
      <c r="AW719" s="25" t="str">
        <f t="shared" si="197"/>
        <v/>
      </c>
      <c r="AX719" s="25" t="str">
        <f t="shared" si="198"/>
        <v/>
      </c>
      <c r="AY719" s="25" t="str">
        <f t="shared" si="199"/>
        <v/>
      </c>
      <c r="AZ719" s="25" t="str">
        <f t="shared" si="200"/>
        <v/>
      </c>
      <c r="BA719" s="25" t="str">
        <f t="shared" si="201"/>
        <v/>
      </c>
      <c r="BB719" s="25" t="str">
        <f t="shared" si="202"/>
        <v/>
      </c>
      <c r="BC719" s="25" t="str">
        <f t="shared" si="203"/>
        <v/>
      </c>
    </row>
    <row r="720" spans="1:55" x14ac:dyDescent="0.25">
      <c r="A720" s="19" t="str">
        <f t="shared" si="188"/>
        <v/>
      </c>
      <c r="B720" s="19"/>
      <c r="C720" s="20"/>
      <c r="D720" s="19" t="str">
        <f t="shared" si="187"/>
        <v/>
      </c>
      <c r="E720" s="19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19"/>
      <c r="U720" s="19"/>
      <c r="V720" s="20"/>
      <c r="W720" s="22"/>
      <c r="X720" s="21"/>
      <c r="Y720" s="21"/>
      <c r="Z720" s="23" t="str">
        <f>IF(B720="","",IF(S720&lt;&gt;"","Sevk Edildi",IF(AND(X720&lt;&gt;"",Y720=""),"Reworkte",IF(T720&lt;&gt;"","Kapandı"&amp;IF(COUNT(G720:R720)=0,""," – "&amp;LOOKUP(2,1/(G720:R720=MAX(G720:R720)),{"Tasarım","Ply Cutter","Üretim","Kalite (Üretim sonrası)","Talaşlı","Kalite (Talaşlı sonrası)","Montaj","Kalite (Montaj sonrası)","Boya","Kalite (Boya sonrası)","Yarı Mamül","KM"})),IF(COUNT(G720:R720)=0,"Başlamadı",LOOKUP(2,1/(G720:R720=MAX(G720:R720)),{"Tasarımda","Ply Cutter'da","Üretimde","Kalitede (Üretim sonrası)","Talaşlıda","Kalitede (Talaşlı sonrası)","Montajda","Kalitede (Montaj sonrası)","Boyada","Kalitede (Boya sonrası)","Yarı Mamülde","KM'de"}))))))</f>
        <v/>
      </c>
      <c r="AA720" s="24" t="str">
        <f t="shared" ca="1" si="189"/>
        <v/>
      </c>
      <c r="AB720" s="22"/>
      <c r="AD720" t="str">
        <f>IF(OR($B720="",NOT(ISNUMBER(G720))),"",IF(COUNTIF(H720:$T720,G720)&gt;0,0,IF(COUNTIF($G720:$T720,"&gt;"&amp;G720)=0,"",SMALL($G720:$T720,COUNTIF($G720:$T720,"&lt;="&amp;G720)+1)-G720)))</f>
        <v/>
      </c>
      <c r="AE720" t="str">
        <f>IF(OR($B720="",NOT(ISNUMBER(H720))),"",IF(COUNTIF(I720:$T720,H720)&gt;0,0,IF(COUNTIF($G720:$T720,"&gt;"&amp;H720)=0,"",SMALL($G720:$T720,COUNTIF($G720:$T720,"&lt;="&amp;H720)+1)-H720)))</f>
        <v/>
      </c>
      <c r="AF720" t="str">
        <f>IF(OR($B720="",NOT(ISNUMBER(I720))),"",IF(COUNTIF(J720:$T720,I720)&gt;0,0,IF(COUNTIF($G720:$T720,"&gt;"&amp;I720)=0,"",SMALL($G720:$T720,COUNTIF($G720:$T720,"&lt;="&amp;I720)+1)-I720)))</f>
        <v/>
      </c>
      <c r="AG720" t="str">
        <f>IF(OR($B720="",NOT(ISNUMBER(J720))),"",IF(COUNTIF(K720:$T720,J720)&gt;0,0,IF(COUNTIF($G720:$T720,"&gt;"&amp;J720)=0,"",SMALL($G720:$T720,COUNTIF($G720:$T720,"&lt;="&amp;J720)+1)-J720)))</f>
        <v/>
      </c>
      <c r="AH720" t="str">
        <f>IF(OR($B720="",NOT(ISNUMBER(K720))),"",IF(COUNTIF(L720:$T720,K720)&gt;0,0,IF(COUNTIF($G720:$T720,"&gt;"&amp;K720)=0,"",SMALL($G720:$T720,COUNTIF($G720:$T720,"&lt;="&amp;K720)+1)-K720)))</f>
        <v/>
      </c>
      <c r="AI720" t="str">
        <f>IF(OR($B720="",NOT(ISNUMBER(L720))),"",IF(COUNTIF(M720:$T720,L720)&gt;0,0,IF(COUNTIF($G720:$T720,"&gt;"&amp;L720)=0,"",SMALL($G720:$T720,COUNTIF($G720:$T720,"&lt;="&amp;L720)+1)-L720)))</f>
        <v/>
      </c>
      <c r="AJ720" t="str">
        <f>IF(OR($B720="",NOT(ISNUMBER(M720))),"",IF(COUNTIF(N720:$T720,M720)&gt;0,0,IF(COUNTIF($G720:$T720,"&gt;"&amp;M720)=0,"",SMALL($G720:$T720,COUNTIF($G720:$T720,"&lt;="&amp;M720)+1)-M720)))</f>
        <v/>
      </c>
      <c r="AK720" t="str">
        <f>IF(OR($B720="",NOT(ISNUMBER(N720))),"",IF(COUNTIF(O720:$T720,N720)&gt;0,0,IF(COUNTIF($G720:$T720,"&gt;"&amp;N720)=0,"",SMALL($G720:$T720,COUNTIF($G720:$T720,"&lt;="&amp;N720)+1)-N720)))</f>
        <v/>
      </c>
      <c r="AL720" t="str">
        <f>IF(OR($B720="",NOT(ISNUMBER(O720))),"",IF(COUNTIF(P720:$T720,O720)&gt;0,0,IF(COUNTIF($G720:$T720,"&gt;"&amp;O720)=0,"",SMALL($G720:$T720,COUNTIF($G720:$T720,"&lt;="&amp;O720)+1)-O720)))</f>
        <v/>
      </c>
      <c r="AM720" t="str">
        <f>IF(OR($B720="",NOT(ISNUMBER(P720))),"",IF(COUNTIF(Q720:$T720,P720)&gt;0,0,IF(COUNTIF($G720:$T720,"&gt;"&amp;P720)=0,"",SMALL($G720:$T720,COUNTIF($G720:$T720,"&lt;="&amp;P720)+1)-P720)))</f>
        <v/>
      </c>
      <c r="AN720" t="str">
        <f>IF(OR($B720="",NOT(ISNUMBER(Q720))),"",IF(COUNTIF(R720:$T720,Q720)&gt;0,0,IF(COUNTIF($G720:$T720,"&gt;"&amp;Q720)=0,"",SMALL($G720:$T720,COUNTIF($G720:$T720,"&lt;="&amp;Q720)+1)-Q720)))</f>
        <v/>
      </c>
      <c r="AO720" t="str">
        <f>IF(OR($B720="",NOT(ISNUMBER(R720))),"",IF(COUNTIF(S720:$T720,R720)&gt;0,0,IF(COUNTIF($G720:$T720,"&gt;"&amp;R720)=0,"",SMALL($G720:$T720,COUNTIF($G720:$T720,"&lt;="&amp;R720)+1)-R720)))</f>
        <v/>
      </c>
      <c r="AP720">
        <f t="shared" ca="1" si="190"/>
        <v>0</v>
      </c>
      <c r="AQ720" s="25" t="str">
        <f t="shared" si="191"/>
        <v/>
      </c>
      <c r="AR720" s="25" t="str">
        <f t="shared" si="192"/>
        <v/>
      </c>
      <c r="AS720" s="25" t="str">
        <f t="shared" si="193"/>
        <v/>
      </c>
      <c r="AT720" s="25" t="str">
        <f t="shared" si="194"/>
        <v/>
      </c>
      <c r="AU720" s="25" t="str">
        <f t="shared" si="195"/>
        <v/>
      </c>
      <c r="AV720" s="25" t="str">
        <f t="shared" si="196"/>
        <v/>
      </c>
      <c r="AW720" s="25" t="str">
        <f t="shared" si="197"/>
        <v/>
      </c>
      <c r="AX720" s="25" t="str">
        <f t="shared" si="198"/>
        <v/>
      </c>
      <c r="AY720" s="25" t="str">
        <f t="shared" si="199"/>
        <v/>
      </c>
      <c r="AZ720" s="25" t="str">
        <f t="shared" si="200"/>
        <v/>
      </c>
      <c r="BA720" s="25" t="str">
        <f t="shared" si="201"/>
        <v/>
      </c>
      <c r="BB720" s="25" t="str">
        <f t="shared" si="202"/>
        <v/>
      </c>
      <c r="BC720" s="25" t="str">
        <f t="shared" si="203"/>
        <v/>
      </c>
    </row>
    <row r="721" spans="1:55" x14ac:dyDescent="0.25">
      <c r="A721" s="19" t="str">
        <f t="shared" si="188"/>
        <v/>
      </c>
      <c r="B721" s="19"/>
      <c r="C721" s="20"/>
      <c r="D721" s="19" t="str">
        <f t="shared" si="187"/>
        <v/>
      </c>
      <c r="E721" s="19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19"/>
      <c r="U721" s="19"/>
      <c r="V721" s="20"/>
      <c r="W721" s="22"/>
      <c r="X721" s="21"/>
      <c r="Y721" s="21"/>
      <c r="Z721" s="23" t="str">
        <f>IF(B721="","",IF(S721&lt;&gt;"","Sevk Edildi",IF(AND(X721&lt;&gt;"",Y721=""),"Reworkte",IF(T721&lt;&gt;"","Kapandı"&amp;IF(COUNT(G721:R721)=0,""," – "&amp;LOOKUP(2,1/(G721:R721=MAX(G721:R721)),{"Tasarım","Ply Cutter","Üretim","Kalite (Üretim sonrası)","Talaşlı","Kalite (Talaşlı sonrası)","Montaj","Kalite (Montaj sonrası)","Boya","Kalite (Boya sonrası)","Yarı Mamül","KM"})),IF(COUNT(G721:R721)=0,"Başlamadı",LOOKUP(2,1/(G721:R721=MAX(G721:R721)),{"Tasarımda","Ply Cutter'da","Üretimde","Kalitede (Üretim sonrası)","Talaşlıda","Kalitede (Talaşlı sonrası)","Montajda","Kalitede (Montaj sonrası)","Boyada","Kalitede (Boya sonrası)","Yarı Mamülde","KM'de"}))))))</f>
        <v/>
      </c>
      <c r="AA721" s="24" t="str">
        <f t="shared" ca="1" si="189"/>
        <v/>
      </c>
      <c r="AB721" s="22"/>
      <c r="AD721" t="str">
        <f>IF(OR($B721="",NOT(ISNUMBER(G721))),"",IF(COUNTIF(H721:$T721,G721)&gt;0,0,IF(COUNTIF($G721:$T721,"&gt;"&amp;G721)=0,"",SMALL($G721:$T721,COUNTIF($G721:$T721,"&lt;="&amp;G721)+1)-G721)))</f>
        <v/>
      </c>
      <c r="AE721" t="str">
        <f>IF(OR($B721="",NOT(ISNUMBER(H721))),"",IF(COUNTIF(I721:$T721,H721)&gt;0,0,IF(COUNTIF($G721:$T721,"&gt;"&amp;H721)=0,"",SMALL($G721:$T721,COUNTIF($G721:$T721,"&lt;="&amp;H721)+1)-H721)))</f>
        <v/>
      </c>
      <c r="AF721" t="str">
        <f>IF(OR($B721="",NOT(ISNUMBER(I721))),"",IF(COUNTIF(J721:$T721,I721)&gt;0,0,IF(COUNTIF($G721:$T721,"&gt;"&amp;I721)=0,"",SMALL($G721:$T721,COUNTIF($G721:$T721,"&lt;="&amp;I721)+1)-I721)))</f>
        <v/>
      </c>
      <c r="AG721" t="str">
        <f>IF(OR($B721="",NOT(ISNUMBER(J721))),"",IF(COUNTIF(K721:$T721,J721)&gt;0,0,IF(COUNTIF($G721:$T721,"&gt;"&amp;J721)=0,"",SMALL($G721:$T721,COUNTIF($G721:$T721,"&lt;="&amp;J721)+1)-J721)))</f>
        <v/>
      </c>
      <c r="AH721" t="str">
        <f>IF(OR($B721="",NOT(ISNUMBER(K721))),"",IF(COUNTIF(L721:$T721,K721)&gt;0,0,IF(COUNTIF($G721:$T721,"&gt;"&amp;K721)=0,"",SMALL($G721:$T721,COUNTIF($G721:$T721,"&lt;="&amp;K721)+1)-K721)))</f>
        <v/>
      </c>
      <c r="AI721" t="str">
        <f>IF(OR($B721="",NOT(ISNUMBER(L721))),"",IF(COUNTIF(M721:$T721,L721)&gt;0,0,IF(COUNTIF($G721:$T721,"&gt;"&amp;L721)=0,"",SMALL($G721:$T721,COUNTIF($G721:$T721,"&lt;="&amp;L721)+1)-L721)))</f>
        <v/>
      </c>
      <c r="AJ721" t="str">
        <f>IF(OR($B721="",NOT(ISNUMBER(M721))),"",IF(COUNTIF(N721:$T721,M721)&gt;0,0,IF(COUNTIF($G721:$T721,"&gt;"&amp;M721)=0,"",SMALL($G721:$T721,COUNTIF($G721:$T721,"&lt;="&amp;M721)+1)-M721)))</f>
        <v/>
      </c>
      <c r="AK721" t="str">
        <f>IF(OR($B721="",NOT(ISNUMBER(N721))),"",IF(COUNTIF(O721:$T721,N721)&gt;0,0,IF(COUNTIF($G721:$T721,"&gt;"&amp;N721)=0,"",SMALL($G721:$T721,COUNTIF($G721:$T721,"&lt;="&amp;N721)+1)-N721)))</f>
        <v/>
      </c>
      <c r="AL721" t="str">
        <f>IF(OR($B721="",NOT(ISNUMBER(O721))),"",IF(COUNTIF(P721:$T721,O721)&gt;0,0,IF(COUNTIF($G721:$T721,"&gt;"&amp;O721)=0,"",SMALL($G721:$T721,COUNTIF($G721:$T721,"&lt;="&amp;O721)+1)-O721)))</f>
        <v/>
      </c>
      <c r="AM721" t="str">
        <f>IF(OR($B721="",NOT(ISNUMBER(P721))),"",IF(COUNTIF(Q721:$T721,P721)&gt;0,0,IF(COUNTIF($G721:$T721,"&gt;"&amp;P721)=0,"",SMALL($G721:$T721,COUNTIF($G721:$T721,"&lt;="&amp;P721)+1)-P721)))</f>
        <v/>
      </c>
      <c r="AN721" t="str">
        <f>IF(OR($B721="",NOT(ISNUMBER(Q721))),"",IF(COUNTIF(R721:$T721,Q721)&gt;0,0,IF(COUNTIF($G721:$T721,"&gt;"&amp;Q721)=0,"",SMALL($G721:$T721,COUNTIF($G721:$T721,"&lt;="&amp;Q721)+1)-Q721)))</f>
        <v/>
      </c>
      <c r="AO721" t="str">
        <f>IF(OR($B721="",NOT(ISNUMBER(R721))),"",IF(COUNTIF(S721:$T721,R721)&gt;0,0,IF(COUNTIF($G721:$T721,"&gt;"&amp;R721)=0,"",SMALL($G721:$T721,COUNTIF($G721:$T721,"&lt;="&amp;R721)+1)-R721)))</f>
        <v/>
      </c>
      <c r="AP721">
        <f t="shared" ca="1" si="190"/>
        <v>0</v>
      </c>
      <c r="AQ721" s="25" t="str">
        <f t="shared" si="191"/>
        <v/>
      </c>
      <c r="AR721" s="25" t="str">
        <f t="shared" si="192"/>
        <v/>
      </c>
      <c r="AS721" s="25" t="str">
        <f t="shared" si="193"/>
        <v/>
      </c>
      <c r="AT721" s="25" t="str">
        <f t="shared" si="194"/>
        <v/>
      </c>
      <c r="AU721" s="25" t="str">
        <f t="shared" si="195"/>
        <v/>
      </c>
      <c r="AV721" s="25" t="str">
        <f t="shared" si="196"/>
        <v/>
      </c>
      <c r="AW721" s="25" t="str">
        <f t="shared" si="197"/>
        <v/>
      </c>
      <c r="AX721" s="25" t="str">
        <f t="shared" si="198"/>
        <v/>
      </c>
      <c r="AY721" s="25" t="str">
        <f t="shared" si="199"/>
        <v/>
      </c>
      <c r="AZ721" s="25" t="str">
        <f t="shared" si="200"/>
        <v/>
      </c>
      <c r="BA721" s="25" t="str">
        <f t="shared" si="201"/>
        <v/>
      </c>
      <c r="BB721" s="25" t="str">
        <f t="shared" si="202"/>
        <v/>
      </c>
      <c r="BC721" s="25" t="str">
        <f t="shared" si="203"/>
        <v/>
      </c>
    </row>
    <row r="722" spans="1:55" x14ac:dyDescent="0.25">
      <c r="A722" s="19" t="str">
        <f t="shared" si="188"/>
        <v/>
      </c>
      <c r="B722" s="19"/>
      <c r="C722" s="20"/>
      <c r="D722" s="19" t="str">
        <f t="shared" si="187"/>
        <v/>
      </c>
      <c r="E722" s="19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19"/>
      <c r="U722" s="19"/>
      <c r="V722" s="20"/>
      <c r="W722" s="22"/>
      <c r="X722" s="21"/>
      <c r="Y722" s="21"/>
      <c r="Z722" s="23" t="str">
        <f>IF(B722="","",IF(S722&lt;&gt;"","Sevk Edildi",IF(AND(X722&lt;&gt;"",Y722=""),"Reworkte",IF(T722&lt;&gt;"","Kapandı"&amp;IF(COUNT(G722:R722)=0,""," – "&amp;LOOKUP(2,1/(G722:R722=MAX(G722:R722)),{"Tasarım","Ply Cutter","Üretim","Kalite (Üretim sonrası)","Talaşlı","Kalite (Talaşlı sonrası)","Montaj","Kalite (Montaj sonrası)","Boya","Kalite (Boya sonrası)","Yarı Mamül","KM"})),IF(COUNT(G722:R722)=0,"Başlamadı",LOOKUP(2,1/(G722:R722=MAX(G722:R722)),{"Tasarımda","Ply Cutter'da","Üretimde","Kalitede (Üretim sonrası)","Talaşlıda","Kalitede (Talaşlı sonrası)","Montajda","Kalitede (Montaj sonrası)","Boyada","Kalitede (Boya sonrası)","Yarı Mamülde","KM'de"}))))))</f>
        <v/>
      </c>
      <c r="AA722" s="24" t="str">
        <f t="shared" ca="1" si="189"/>
        <v/>
      </c>
      <c r="AB722" s="22"/>
      <c r="AD722" t="str">
        <f>IF(OR($B722="",NOT(ISNUMBER(G722))),"",IF(COUNTIF(H722:$T722,G722)&gt;0,0,IF(COUNTIF($G722:$T722,"&gt;"&amp;G722)=0,"",SMALL($G722:$T722,COUNTIF($G722:$T722,"&lt;="&amp;G722)+1)-G722)))</f>
        <v/>
      </c>
      <c r="AE722" t="str">
        <f>IF(OR($B722="",NOT(ISNUMBER(H722))),"",IF(COUNTIF(I722:$T722,H722)&gt;0,0,IF(COUNTIF($G722:$T722,"&gt;"&amp;H722)=0,"",SMALL($G722:$T722,COUNTIF($G722:$T722,"&lt;="&amp;H722)+1)-H722)))</f>
        <v/>
      </c>
      <c r="AF722" t="str">
        <f>IF(OR($B722="",NOT(ISNUMBER(I722))),"",IF(COUNTIF(J722:$T722,I722)&gt;0,0,IF(COUNTIF($G722:$T722,"&gt;"&amp;I722)=0,"",SMALL($G722:$T722,COUNTIF($G722:$T722,"&lt;="&amp;I722)+1)-I722)))</f>
        <v/>
      </c>
      <c r="AG722" t="str">
        <f>IF(OR($B722="",NOT(ISNUMBER(J722))),"",IF(COUNTIF(K722:$T722,J722)&gt;0,0,IF(COUNTIF($G722:$T722,"&gt;"&amp;J722)=0,"",SMALL($G722:$T722,COUNTIF($G722:$T722,"&lt;="&amp;J722)+1)-J722)))</f>
        <v/>
      </c>
      <c r="AH722" t="str">
        <f>IF(OR($B722="",NOT(ISNUMBER(K722))),"",IF(COUNTIF(L722:$T722,K722)&gt;0,0,IF(COUNTIF($G722:$T722,"&gt;"&amp;K722)=0,"",SMALL($G722:$T722,COUNTIF($G722:$T722,"&lt;="&amp;K722)+1)-K722)))</f>
        <v/>
      </c>
      <c r="AI722" t="str">
        <f>IF(OR($B722="",NOT(ISNUMBER(L722))),"",IF(COUNTIF(M722:$T722,L722)&gt;0,0,IF(COUNTIF($G722:$T722,"&gt;"&amp;L722)=0,"",SMALL($G722:$T722,COUNTIF($G722:$T722,"&lt;="&amp;L722)+1)-L722)))</f>
        <v/>
      </c>
      <c r="AJ722" t="str">
        <f>IF(OR($B722="",NOT(ISNUMBER(M722))),"",IF(COUNTIF(N722:$T722,M722)&gt;0,0,IF(COUNTIF($G722:$T722,"&gt;"&amp;M722)=0,"",SMALL($G722:$T722,COUNTIF($G722:$T722,"&lt;="&amp;M722)+1)-M722)))</f>
        <v/>
      </c>
      <c r="AK722" t="str">
        <f>IF(OR($B722="",NOT(ISNUMBER(N722))),"",IF(COUNTIF(O722:$T722,N722)&gt;0,0,IF(COUNTIF($G722:$T722,"&gt;"&amp;N722)=0,"",SMALL($G722:$T722,COUNTIF($G722:$T722,"&lt;="&amp;N722)+1)-N722)))</f>
        <v/>
      </c>
      <c r="AL722" t="str">
        <f>IF(OR($B722="",NOT(ISNUMBER(O722))),"",IF(COUNTIF(P722:$T722,O722)&gt;0,0,IF(COUNTIF($G722:$T722,"&gt;"&amp;O722)=0,"",SMALL($G722:$T722,COUNTIF($G722:$T722,"&lt;="&amp;O722)+1)-O722)))</f>
        <v/>
      </c>
      <c r="AM722" t="str">
        <f>IF(OR($B722="",NOT(ISNUMBER(P722))),"",IF(COUNTIF(Q722:$T722,P722)&gt;0,0,IF(COUNTIF($G722:$T722,"&gt;"&amp;P722)=0,"",SMALL($G722:$T722,COUNTIF($G722:$T722,"&lt;="&amp;P722)+1)-P722)))</f>
        <v/>
      </c>
      <c r="AN722" t="str">
        <f>IF(OR($B722="",NOT(ISNUMBER(Q722))),"",IF(COUNTIF(R722:$T722,Q722)&gt;0,0,IF(COUNTIF($G722:$T722,"&gt;"&amp;Q722)=0,"",SMALL($G722:$T722,COUNTIF($G722:$T722,"&lt;="&amp;Q722)+1)-Q722)))</f>
        <v/>
      </c>
      <c r="AO722" t="str">
        <f>IF(OR($B722="",NOT(ISNUMBER(R722))),"",IF(COUNTIF(S722:$T722,R722)&gt;0,0,IF(COUNTIF($G722:$T722,"&gt;"&amp;R722)=0,"",SMALL($G722:$T722,COUNTIF($G722:$T722,"&lt;="&amp;R722)+1)-R722)))</f>
        <v/>
      </c>
      <c r="AP722">
        <f t="shared" ca="1" si="190"/>
        <v>0</v>
      </c>
      <c r="AQ722" s="25" t="str">
        <f t="shared" si="191"/>
        <v/>
      </c>
      <c r="AR722" s="25" t="str">
        <f t="shared" si="192"/>
        <v/>
      </c>
      <c r="AS722" s="25" t="str">
        <f t="shared" si="193"/>
        <v/>
      </c>
      <c r="AT722" s="25" t="str">
        <f t="shared" si="194"/>
        <v/>
      </c>
      <c r="AU722" s="25" t="str">
        <f t="shared" si="195"/>
        <v/>
      </c>
      <c r="AV722" s="25" t="str">
        <f t="shared" si="196"/>
        <v/>
      </c>
      <c r="AW722" s="25" t="str">
        <f t="shared" si="197"/>
        <v/>
      </c>
      <c r="AX722" s="25" t="str">
        <f t="shared" si="198"/>
        <v/>
      </c>
      <c r="AY722" s="25" t="str">
        <f t="shared" si="199"/>
        <v/>
      </c>
      <c r="AZ722" s="25" t="str">
        <f t="shared" si="200"/>
        <v/>
      </c>
      <c r="BA722" s="25" t="str">
        <f t="shared" si="201"/>
        <v/>
      </c>
      <c r="BB722" s="25" t="str">
        <f t="shared" si="202"/>
        <v/>
      </c>
      <c r="BC722" s="25" t="str">
        <f t="shared" si="203"/>
        <v/>
      </c>
    </row>
    <row r="723" spans="1:55" x14ac:dyDescent="0.25">
      <c r="A723" s="19" t="str">
        <f t="shared" si="188"/>
        <v/>
      </c>
      <c r="B723" s="19"/>
      <c r="C723" s="20"/>
      <c r="D723" s="19" t="str">
        <f t="shared" si="187"/>
        <v/>
      </c>
      <c r="E723" s="19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19"/>
      <c r="U723" s="19"/>
      <c r="V723" s="20"/>
      <c r="W723" s="22"/>
      <c r="X723" s="21"/>
      <c r="Y723" s="21"/>
      <c r="Z723" s="23" t="str">
        <f>IF(B723="","",IF(S723&lt;&gt;"","Sevk Edildi",IF(AND(X723&lt;&gt;"",Y723=""),"Reworkte",IF(T723&lt;&gt;"","Kapandı"&amp;IF(COUNT(G723:R723)=0,""," – "&amp;LOOKUP(2,1/(G723:R723=MAX(G723:R723)),{"Tasarım","Ply Cutter","Üretim","Kalite (Üretim sonrası)","Talaşlı","Kalite (Talaşlı sonrası)","Montaj","Kalite (Montaj sonrası)","Boya","Kalite (Boya sonrası)","Yarı Mamül","KM"})),IF(COUNT(G723:R723)=0,"Başlamadı",LOOKUP(2,1/(G723:R723=MAX(G723:R723)),{"Tasarımda","Ply Cutter'da","Üretimde","Kalitede (Üretim sonrası)","Talaşlıda","Kalitede (Talaşlı sonrası)","Montajda","Kalitede (Montaj sonrası)","Boyada","Kalitede (Boya sonrası)","Yarı Mamülde","KM'de"}))))))</f>
        <v/>
      </c>
      <c r="AA723" s="24" t="str">
        <f t="shared" ca="1" si="189"/>
        <v/>
      </c>
      <c r="AB723" s="22"/>
      <c r="AD723" t="str">
        <f>IF(OR($B723="",NOT(ISNUMBER(G723))),"",IF(COUNTIF(H723:$T723,G723)&gt;0,0,IF(COUNTIF($G723:$T723,"&gt;"&amp;G723)=0,"",SMALL($G723:$T723,COUNTIF($G723:$T723,"&lt;="&amp;G723)+1)-G723)))</f>
        <v/>
      </c>
      <c r="AE723" t="str">
        <f>IF(OR($B723="",NOT(ISNUMBER(H723))),"",IF(COUNTIF(I723:$T723,H723)&gt;0,0,IF(COUNTIF($G723:$T723,"&gt;"&amp;H723)=0,"",SMALL($G723:$T723,COUNTIF($G723:$T723,"&lt;="&amp;H723)+1)-H723)))</f>
        <v/>
      </c>
      <c r="AF723" t="str">
        <f>IF(OR($B723="",NOT(ISNUMBER(I723))),"",IF(COUNTIF(J723:$T723,I723)&gt;0,0,IF(COUNTIF($G723:$T723,"&gt;"&amp;I723)=0,"",SMALL($G723:$T723,COUNTIF($G723:$T723,"&lt;="&amp;I723)+1)-I723)))</f>
        <v/>
      </c>
      <c r="AG723" t="str">
        <f>IF(OR($B723="",NOT(ISNUMBER(J723))),"",IF(COUNTIF(K723:$T723,J723)&gt;0,0,IF(COUNTIF($G723:$T723,"&gt;"&amp;J723)=0,"",SMALL($G723:$T723,COUNTIF($G723:$T723,"&lt;="&amp;J723)+1)-J723)))</f>
        <v/>
      </c>
      <c r="AH723" t="str">
        <f>IF(OR($B723="",NOT(ISNUMBER(K723))),"",IF(COUNTIF(L723:$T723,K723)&gt;0,0,IF(COUNTIF($G723:$T723,"&gt;"&amp;K723)=0,"",SMALL($G723:$T723,COUNTIF($G723:$T723,"&lt;="&amp;K723)+1)-K723)))</f>
        <v/>
      </c>
      <c r="AI723" t="str">
        <f>IF(OR($B723="",NOT(ISNUMBER(L723))),"",IF(COUNTIF(M723:$T723,L723)&gt;0,0,IF(COUNTIF($G723:$T723,"&gt;"&amp;L723)=0,"",SMALL($G723:$T723,COUNTIF($G723:$T723,"&lt;="&amp;L723)+1)-L723)))</f>
        <v/>
      </c>
      <c r="AJ723" t="str">
        <f>IF(OR($B723="",NOT(ISNUMBER(M723))),"",IF(COUNTIF(N723:$T723,M723)&gt;0,0,IF(COUNTIF($G723:$T723,"&gt;"&amp;M723)=0,"",SMALL($G723:$T723,COUNTIF($G723:$T723,"&lt;="&amp;M723)+1)-M723)))</f>
        <v/>
      </c>
      <c r="AK723" t="str">
        <f>IF(OR($B723="",NOT(ISNUMBER(N723))),"",IF(COUNTIF(O723:$T723,N723)&gt;0,0,IF(COUNTIF($G723:$T723,"&gt;"&amp;N723)=0,"",SMALL($G723:$T723,COUNTIF($G723:$T723,"&lt;="&amp;N723)+1)-N723)))</f>
        <v/>
      </c>
      <c r="AL723" t="str">
        <f>IF(OR($B723="",NOT(ISNUMBER(O723))),"",IF(COUNTIF(P723:$T723,O723)&gt;0,0,IF(COUNTIF($G723:$T723,"&gt;"&amp;O723)=0,"",SMALL($G723:$T723,COUNTIF($G723:$T723,"&lt;="&amp;O723)+1)-O723)))</f>
        <v/>
      </c>
      <c r="AM723" t="str">
        <f>IF(OR($B723="",NOT(ISNUMBER(P723))),"",IF(COUNTIF(Q723:$T723,P723)&gt;0,0,IF(COUNTIF($G723:$T723,"&gt;"&amp;P723)=0,"",SMALL($G723:$T723,COUNTIF($G723:$T723,"&lt;="&amp;P723)+1)-P723)))</f>
        <v/>
      </c>
      <c r="AN723" t="str">
        <f>IF(OR($B723="",NOT(ISNUMBER(Q723))),"",IF(COUNTIF(R723:$T723,Q723)&gt;0,0,IF(COUNTIF($G723:$T723,"&gt;"&amp;Q723)=0,"",SMALL($G723:$T723,COUNTIF($G723:$T723,"&lt;="&amp;Q723)+1)-Q723)))</f>
        <v/>
      </c>
      <c r="AO723" t="str">
        <f>IF(OR($B723="",NOT(ISNUMBER(R723))),"",IF(COUNTIF(S723:$T723,R723)&gt;0,0,IF(COUNTIF($G723:$T723,"&gt;"&amp;R723)=0,"",SMALL($G723:$T723,COUNTIF($G723:$T723,"&lt;="&amp;R723)+1)-R723)))</f>
        <v/>
      </c>
      <c r="AP723">
        <f t="shared" ca="1" si="190"/>
        <v>0</v>
      </c>
      <c r="AQ723" s="25" t="str">
        <f t="shared" si="191"/>
        <v/>
      </c>
      <c r="AR723" s="25" t="str">
        <f t="shared" si="192"/>
        <v/>
      </c>
      <c r="AS723" s="25" t="str">
        <f t="shared" si="193"/>
        <v/>
      </c>
      <c r="AT723" s="25" t="str">
        <f t="shared" si="194"/>
        <v/>
      </c>
      <c r="AU723" s="25" t="str">
        <f t="shared" si="195"/>
        <v/>
      </c>
      <c r="AV723" s="25" t="str">
        <f t="shared" si="196"/>
        <v/>
      </c>
      <c r="AW723" s="25" t="str">
        <f t="shared" si="197"/>
        <v/>
      </c>
      <c r="AX723" s="25" t="str">
        <f t="shared" si="198"/>
        <v/>
      </c>
      <c r="AY723" s="25" t="str">
        <f t="shared" si="199"/>
        <v/>
      </c>
      <c r="AZ723" s="25" t="str">
        <f t="shared" si="200"/>
        <v/>
      </c>
      <c r="BA723" s="25" t="str">
        <f t="shared" si="201"/>
        <v/>
      </c>
      <c r="BB723" s="25" t="str">
        <f t="shared" si="202"/>
        <v/>
      </c>
      <c r="BC723" s="25" t="str">
        <f t="shared" si="203"/>
        <v/>
      </c>
    </row>
    <row r="724" spans="1:55" x14ac:dyDescent="0.25">
      <c r="A724" s="19" t="str">
        <f t="shared" si="188"/>
        <v/>
      </c>
      <c r="B724" s="19"/>
      <c r="C724" s="20"/>
      <c r="D724" s="19" t="str">
        <f t="shared" si="187"/>
        <v/>
      </c>
      <c r="E724" s="19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19"/>
      <c r="U724" s="19"/>
      <c r="V724" s="20"/>
      <c r="W724" s="22"/>
      <c r="X724" s="21"/>
      <c r="Y724" s="21"/>
      <c r="Z724" s="23" t="str">
        <f>IF(B724="","",IF(S724&lt;&gt;"","Sevk Edildi",IF(AND(X724&lt;&gt;"",Y724=""),"Reworkte",IF(T724&lt;&gt;"","Kapandı"&amp;IF(COUNT(G724:R724)=0,""," – "&amp;LOOKUP(2,1/(G724:R724=MAX(G724:R724)),{"Tasarım","Ply Cutter","Üretim","Kalite (Üretim sonrası)","Talaşlı","Kalite (Talaşlı sonrası)","Montaj","Kalite (Montaj sonrası)","Boya","Kalite (Boya sonrası)","Yarı Mamül","KM"})),IF(COUNT(G724:R724)=0,"Başlamadı",LOOKUP(2,1/(G724:R724=MAX(G724:R724)),{"Tasarımda","Ply Cutter'da","Üretimde","Kalitede (Üretim sonrası)","Talaşlıda","Kalitede (Talaşlı sonrası)","Montajda","Kalitede (Montaj sonrası)","Boyada","Kalitede (Boya sonrası)","Yarı Mamülde","KM'de"}))))))</f>
        <v/>
      </c>
      <c r="AA724" s="24" t="str">
        <f t="shared" ca="1" si="189"/>
        <v/>
      </c>
      <c r="AB724" s="22"/>
      <c r="AD724" t="str">
        <f>IF(OR($B724="",NOT(ISNUMBER(G724))),"",IF(COUNTIF(H724:$T724,G724)&gt;0,0,IF(COUNTIF($G724:$T724,"&gt;"&amp;G724)=0,"",SMALL($G724:$T724,COUNTIF($G724:$T724,"&lt;="&amp;G724)+1)-G724)))</f>
        <v/>
      </c>
      <c r="AE724" t="str">
        <f>IF(OR($B724="",NOT(ISNUMBER(H724))),"",IF(COUNTIF(I724:$T724,H724)&gt;0,0,IF(COUNTIF($G724:$T724,"&gt;"&amp;H724)=0,"",SMALL($G724:$T724,COUNTIF($G724:$T724,"&lt;="&amp;H724)+1)-H724)))</f>
        <v/>
      </c>
      <c r="AF724" t="str">
        <f>IF(OR($B724="",NOT(ISNUMBER(I724))),"",IF(COUNTIF(J724:$T724,I724)&gt;0,0,IF(COUNTIF($G724:$T724,"&gt;"&amp;I724)=0,"",SMALL($G724:$T724,COUNTIF($G724:$T724,"&lt;="&amp;I724)+1)-I724)))</f>
        <v/>
      </c>
      <c r="AG724" t="str">
        <f>IF(OR($B724="",NOT(ISNUMBER(J724))),"",IF(COUNTIF(K724:$T724,J724)&gt;0,0,IF(COUNTIF($G724:$T724,"&gt;"&amp;J724)=0,"",SMALL($G724:$T724,COUNTIF($G724:$T724,"&lt;="&amp;J724)+1)-J724)))</f>
        <v/>
      </c>
      <c r="AH724" t="str">
        <f>IF(OR($B724="",NOT(ISNUMBER(K724))),"",IF(COUNTIF(L724:$T724,K724)&gt;0,0,IF(COUNTIF($G724:$T724,"&gt;"&amp;K724)=0,"",SMALL($G724:$T724,COUNTIF($G724:$T724,"&lt;="&amp;K724)+1)-K724)))</f>
        <v/>
      </c>
      <c r="AI724" t="str">
        <f>IF(OR($B724="",NOT(ISNUMBER(L724))),"",IF(COUNTIF(M724:$T724,L724)&gt;0,0,IF(COUNTIF($G724:$T724,"&gt;"&amp;L724)=0,"",SMALL($G724:$T724,COUNTIF($G724:$T724,"&lt;="&amp;L724)+1)-L724)))</f>
        <v/>
      </c>
      <c r="AJ724" t="str">
        <f>IF(OR($B724="",NOT(ISNUMBER(M724))),"",IF(COUNTIF(N724:$T724,M724)&gt;0,0,IF(COUNTIF($G724:$T724,"&gt;"&amp;M724)=0,"",SMALL($G724:$T724,COUNTIF($G724:$T724,"&lt;="&amp;M724)+1)-M724)))</f>
        <v/>
      </c>
      <c r="AK724" t="str">
        <f>IF(OR($B724="",NOT(ISNUMBER(N724))),"",IF(COUNTIF(O724:$T724,N724)&gt;0,0,IF(COUNTIF($G724:$T724,"&gt;"&amp;N724)=0,"",SMALL($G724:$T724,COUNTIF($G724:$T724,"&lt;="&amp;N724)+1)-N724)))</f>
        <v/>
      </c>
      <c r="AL724" t="str">
        <f>IF(OR($B724="",NOT(ISNUMBER(O724))),"",IF(COUNTIF(P724:$T724,O724)&gt;0,0,IF(COUNTIF($G724:$T724,"&gt;"&amp;O724)=0,"",SMALL($G724:$T724,COUNTIF($G724:$T724,"&lt;="&amp;O724)+1)-O724)))</f>
        <v/>
      </c>
      <c r="AM724" t="str">
        <f>IF(OR($B724="",NOT(ISNUMBER(P724))),"",IF(COUNTIF(Q724:$T724,P724)&gt;0,0,IF(COUNTIF($G724:$T724,"&gt;"&amp;P724)=0,"",SMALL($G724:$T724,COUNTIF($G724:$T724,"&lt;="&amp;P724)+1)-P724)))</f>
        <v/>
      </c>
      <c r="AN724" t="str">
        <f>IF(OR($B724="",NOT(ISNUMBER(Q724))),"",IF(COUNTIF(R724:$T724,Q724)&gt;0,0,IF(COUNTIF($G724:$T724,"&gt;"&amp;Q724)=0,"",SMALL($G724:$T724,COUNTIF($G724:$T724,"&lt;="&amp;Q724)+1)-Q724)))</f>
        <v/>
      </c>
      <c r="AO724" t="str">
        <f>IF(OR($B724="",NOT(ISNUMBER(R724))),"",IF(COUNTIF(S724:$T724,R724)&gt;0,0,IF(COUNTIF($G724:$T724,"&gt;"&amp;R724)=0,"",SMALL($G724:$T724,COUNTIF($G724:$T724,"&lt;="&amp;R724)+1)-R724)))</f>
        <v/>
      </c>
      <c r="AP724">
        <f t="shared" ca="1" si="190"/>
        <v>0</v>
      </c>
      <c r="AQ724" s="25" t="str">
        <f t="shared" si="191"/>
        <v/>
      </c>
      <c r="AR724" s="25" t="str">
        <f t="shared" si="192"/>
        <v/>
      </c>
      <c r="AS724" s="25" t="str">
        <f t="shared" si="193"/>
        <v/>
      </c>
      <c r="AT724" s="25" t="str">
        <f t="shared" si="194"/>
        <v/>
      </c>
      <c r="AU724" s="25" t="str">
        <f t="shared" si="195"/>
        <v/>
      </c>
      <c r="AV724" s="25" t="str">
        <f t="shared" si="196"/>
        <v/>
      </c>
      <c r="AW724" s="25" t="str">
        <f t="shared" si="197"/>
        <v/>
      </c>
      <c r="AX724" s="25" t="str">
        <f t="shared" si="198"/>
        <v/>
      </c>
      <c r="AY724" s="25" t="str">
        <f t="shared" si="199"/>
        <v/>
      </c>
      <c r="AZ724" s="25" t="str">
        <f t="shared" si="200"/>
        <v/>
      </c>
      <c r="BA724" s="25" t="str">
        <f t="shared" si="201"/>
        <v/>
      </c>
      <c r="BB724" s="25" t="str">
        <f t="shared" si="202"/>
        <v/>
      </c>
      <c r="BC724" s="25" t="str">
        <f t="shared" si="203"/>
        <v/>
      </c>
    </row>
    <row r="725" spans="1:55" x14ac:dyDescent="0.25">
      <c r="A725" s="19" t="str">
        <f t="shared" si="188"/>
        <v/>
      </c>
      <c r="B725" s="19"/>
      <c r="C725" s="20"/>
      <c r="D725" s="19" t="str">
        <f t="shared" si="187"/>
        <v/>
      </c>
      <c r="E725" s="19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19"/>
      <c r="U725" s="19"/>
      <c r="V725" s="20"/>
      <c r="W725" s="22"/>
      <c r="X725" s="21"/>
      <c r="Y725" s="21"/>
      <c r="Z725" s="23" t="str">
        <f>IF(B725="","",IF(S725&lt;&gt;"","Sevk Edildi",IF(AND(X725&lt;&gt;"",Y725=""),"Reworkte",IF(T725&lt;&gt;"","Kapandı"&amp;IF(COUNT(G725:R725)=0,""," – "&amp;LOOKUP(2,1/(G725:R725=MAX(G725:R725)),{"Tasarım","Ply Cutter","Üretim","Kalite (Üretim sonrası)","Talaşlı","Kalite (Talaşlı sonrası)","Montaj","Kalite (Montaj sonrası)","Boya","Kalite (Boya sonrası)","Yarı Mamül","KM"})),IF(COUNT(G725:R725)=0,"Başlamadı",LOOKUP(2,1/(G725:R725=MAX(G725:R725)),{"Tasarımda","Ply Cutter'da","Üretimde","Kalitede (Üretim sonrası)","Talaşlıda","Kalitede (Talaşlı sonrası)","Montajda","Kalitede (Montaj sonrası)","Boyada","Kalitede (Boya sonrası)","Yarı Mamülde","KM'de"}))))))</f>
        <v/>
      </c>
      <c r="AA725" s="24" t="str">
        <f t="shared" ca="1" si="189"/>
        <v/>
      </c>
      <c r="AB725" s="22"/>
      <c r="AD725" t="str">
        <f>IF(OR($B725="",NOT(ISNUMBER(G725))),"",IF(COUNTIF(H725:$T725,G725)&gt;0,0,IF(COUNTIF($G725:$T725,"&gt;"&amp;G725)=0,"",SMALL($G725:$T725,COUNTIF($G725:$T725,"&lt;="&amp;G725)+1)-G725)))</f>
        <v/>
      </c>
      <c r="AE725" t="str">
        <f>IF(OR($B725="",NOT(ISNUMBER(H725))),"",IF(COUNTIF(I725:$T725,H725)&gt;0,0,IF(COUNTIF($G725:$T725,"&gt;"&amp;H725)=0,"",SMALL($G725:$T725,COUNTIF($G725:$T725,"&lt;="&amp;H725)+1)-H725)))</f>
        <v/>
      </c>
      <c r="AF725" t="str">
        <f>IF(OR($B725="",NOT(ISNUMBER(I725))),"",IF(COUNTIF(J725:$T725,I725)&gt;0,0,IF(COUNTIF($G725:$T725,"&gt;"&amp;I725)=0,"",SMALL($G725:$T725,COUNTIF($G725:$T725,"&lt;="&amp;I725)+1)-I725)))</f>
        <v/>
      </c>
      <c r="AG725" t="str">
        <f>IF(OR($B725="",NOT(ISNUMBER(J725))),"",IF(COUNTIF(K725:$T725,J725)&gt;0,0,IF(COUNTIF($G725:$T725,"&gt;"&amp;J725)=0,"",SMALL($G725:$T725,COUNTIF($G725:$T725,"&lt;="&amp;J725)+1)-J725)))</f>
        <v/>
      </c>
      <c r="AH725" t="str">
        <f>IF(OR($B725="",NOT(ISNUMBER(K725))),"",IF(COUNTIF(L725:$T725,K725)&gt;0,0,IF(COUNTIF($G725:$T725,"&gt;"&amp;K725)=0,"",SMALL($G725:$T725,COUNTIF($G725:$T725,"&lt;="&amp;K725)+1)-K725)))</f>
        <v/>
      </c>
      <c r="AI725" t="str">
        <f>IF(OR($B725="",NOT(ISNUMBER(L725))),"",IF(COUNTIF(M725:$T725,L725)&gt;0,0,IF(COUNTIF($G725:$T725,"&gt;"&amp;L725)=0,"",SMALL($G725:$T725,COUNTIF($G725:$T725,"&lt;="&amp;L725)+1)-L725)))</f>
        <v/>
      </c>
      <c r="AJ725" t="str">
        <f>IF(OR($B725="",NOT(ISNUMBER(M725))),"",IF(COUNTIF(N725:$T725,M725)&gt;0,0,IF(COUNTIF($G725:$T725,"&gt;"&amp;M725)=0,"",SMALL($G725:$T725,COUNTIF($G725:$T725,"&lt;="&amp;M725)+1)-M725)))</f>
        <v/>
      </c>
      <c r="AK725" t="str">
        <f>IF(OR($B725="",NOT(ISNUMBER(N725))),"",IF(COUNTIF(O725:$T725,N725)&gt;0,0,IF(COUNTIF($G725:$T725,"&gt;"&amp;N725)=0,"",SMALL($G725:$T725,COUNTIF($G725:$T725,"&lt;="&amp;N725)+1)-N725)))</f>
        <v/>
      </c>
      <c r="AL725" t="str">
        <f>IF(OR($B725="",NOT(ISNUMBER(O725))),"",IF(COUNTIF(P725:$T725,O725)&gt;0,0,IF(COUNTIF($G725:$T725,"&gt;"&amp;O725)=0,"",SMALL($G725:$T725,COUNTIF($G725:$T725,"&lt;="&amp;O725)+1)-O725)))</f>
        <v/>
      </c>
      <c r="AM725" t="str">
        <f>IF(OR($B725="",NOT(ISNUMBER(P725))),"",IF(COUNTIF(Q725:$T725,P725)&gt;0,0,IF(COUNTIF($G725:$T725,"&gt;"&amp;P725)=0,"",SMALL($G725:$T725,COUNTIF($G725:$T725,"&lt;="&amp;P725)+1)-P725)))</f>
        <v/>
      </c>
      <c r="AN725" t="str">
        <f>IF(OR($B725="",NOT(ISNUMBER(Q725))),"",IF(COUNTIF(R725:$T725,Q725)&gt;0,0,IF(COUNTIF($G725:$T725,"&gt;"&amp;Q725)=0,"",SMALL($G725:$T725,COUNTIF($G725:$T725,"&lt;="&amp;Q725)+1)-Q725)))</f>
        <v/>
      </c>
      <c r="AO725" t="str">
        <f>IF(OR($B725="",NOT(ISNUMBER(R725))),"",IF(COUNTIF(S725:$T725,R725)&gt;0,0,IF(COUNTIF($G725:$T725,"&gt;"&amp;R725)=0,"",SMALL($G725:$T725,COUNTIF($G725:$T725,"&lt;="&amp;R725)+1)-R725)))</f>
        <v/>
      </c>
      <c r="AP725">
        <f t="shared" ca="1" si="190"/>
        <v>0</v>
      </c>
      <c r="AQ725" s="25" t="str">
        <f t="shared" si="191"/>
        <v/>
      </c>
      <c r="AR725" s="25" t="str">
        <f t="shared" si="192"/>
        <v/>
      </c>
      <c r="AS725" s="25" t="str">
        <f t="shared" si="193"/>
        <v/>
      </c>
      <c r="AT725" s="25" t="str">
        <f t="shared" si="194"/>
        <v/>
      </c>
      <c r="AU725" s="25" t="str">
        <f t="shared" si="195"/>
        <v/>
      </c>
      <c r="AV725" s="25" t="str">
        <f t="shared" si="196"/>
        <v/>
      </c>
      <c r="AW725" s="25" t="str">
        <f t="shared" si="197"/>
        <v/>
      </c>
      <c r="AX725" s="25" t="str">
        <f t="shared" si="198"/>
        <v/>
      </c>
      <c r="AY725" s="25" t="str">
        <f t="shared" si="199"/>
        <v/>
      </c>
      <c r="AZ725" s="25" t="str">
        <f t="shared" si="200"/>
        <v/>
      </c>
      <c r="BA725" s="25" t="str">
        <f t="shared" si="201"/>
        <v/>
      </c>
      <c r="BB725" s="25" t="str">
        <f t="shared" si="202"/>
        <v/>
      </c>
      <c r="BC725" s="25" t="str">
        <f t="shared" si="203"/>
        <v/>
      </c>
    </row>
    <row r="726" spans="1:55" x14ac:dyDescent="0.25">
      <c r="A726" s="19" t="str">
        <f t="shared" si="188"/>
        <v/>
      </c>
      <c r="B726" s="19"/>
      <c r="C726" s="20"/>
      <c r="D726" s="19" t="str">
        <f t="shared" si="187"/>
        <v/>
      </c>
      <c r="E726" s="19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19"/>
      <c r="U726" s="19"/>
      <c r="V726" s="20"/>
      <c r="W726" s="22"/>
      <c r="X726" s="21"/>
      <c r="Y726" s="21"/>
      <c r="Z726" s="23" t="str">
        <f>IF(B726="","",IF(S726&lt;&gt;"","Sevk Edildi",IF(AND(X726&lt;&gt;"",Y726=""),"Reworkte",IF(T726&lt;&gt;"","Kapandı"&amp;IF(COUNT(G726:R726)=0,""," – "&amp;LOOKUP(2,1/(G726:R726=MAX(G726:R726)),{"Tasarım","Ply Cutter","Üretim","Kalite (Üretim sonrası)","Talaşlı","Kalite (Talaşlı sonrası)","Montaj","Kalite (Montaj sonrası)","Boya","Kalite (Boya sonrası)","Yarı Mamül","KM"})),IF(COUNT(G726:R726)=0,"Başlamadı",LOOKUP(2,1/(G726:R726=MAX(G726:R726)),{"Tasarımda","Ply Cutter'da","Üretimde","Kalitede (Üretim sonrası)","Talaşlıda","Kalitede (Talaşlı sonrası)","Montajda","Kalitede (Montaj sonrası)","Boyada","Kalitede (Boya sonrası)","Yarı Mamülde","KM'de"}))))))</f>
        <v/>
      </c>
      <c r="AA726" s="24" t="str">
        <f t="shared" ca="1" si="189"/>
        <v/>
      </c>
      <c r="AB726" s="22"/>
      <c r="AD726" t="str">
        <f>IF(OR($B726="",NOT(ISNUMBER(G726))),"",IF(COUNTIF(H726:$T726,G726)&gt;0,0,IF(COUNTIF($G726:$T726,"&gt;"&amp;G726)=0,"",SMALL($G726:$T726,COUNTIF($G726:$T726,"&lt;="&amp;G726)+1)-G726)))</f>
        <v/>
      </c>
      <c r="AE726" t="str">
        <f>IF(OR($B726="",NOT(ISNUMBER(H726))),"",IF(COUNTIF(I726:$T726,H726)&gt;0,0,IF(COUNTIF($G726:$T726,"&gt;"&amp;H726)=0,"",SMALL($G726:$T726,COUNTIF($G726:$T726,"&lt;="&amp;H726)+1)-H726)))</f>
        <v/>
      </c>
      <c r="AF726" t="str">
        <f>IF(OR($B726="",NOT(ISNUMBER(I726))),"",IF(COUNTIF(J726:$T726,I726)&gt;0,0,IF(COUNTIF($G726:$T726,"&gt;"&amp;I726)=0,"",SMALL($G726:$T726,COUNTIF($G726:$T726,"&lt;="&amp;I726)+1)-I726)))</f>
        <v/>
      </c>
      <c r="AG726" t="str">
        <f>IF(OR($B726="",NOT(ISNUMBER(J726))),"",IF(COUNTIF(K726:$T726,J726)&gt;0,0,IF(COUNTIF($G726:$T726,"&gt;"&amp;J726)=0,"",SMALL($G726:$T726,COUNTIF($G726:$T726,"&lt;="&amp;J726)+1)-J726)))</f>
        <v/>
      </c>
      <c r="AH726" t="str">
        <f>IF(OR($B726="",NOT(ISNUMBER(K726))),"",IF(COUNTIF(L726:$T726,K726)&gt;0,0,IF(COUNTIF($G726:$T726,"&gt;"&amp;K726)=0,"",SMALL($G726:$T726,COUNTIF($G726:$T726,"&lt;="&amp;K726)+1)-K726)))</f>
        <v/>
      </c>
      <c r="AI726" t="str">
        <f>IF(OR($B726="",NOT(ISNUMBER(L726))),"",IF(COUNTIF(M726:$T726,L726)&gt;0,0,IF(COUNTIF($G726:$T726,"&gt;"&amp;L726)=0,"",SMALL($G726:$T726,COUNTIF($G726:$T726,"&lt;="&amp;L726)+1)-L726)))</f>
        <v/>
      </c>
      <c r="AJ726" t="str">
        <f>IF(OR($B726="",NOT(ISNUMBER(M726))),"",IF(COUNTIF(N726:$T726,M726)&gt;0,0,IF(COUNTIF($G726:$T726,"&gt;"&amp;M726)=0,"",SMALL($G726:$T726,COUNTIF($G726:$T726,"&lt;="&amp;M726)+1)-M726)))</f>
        <v/>
      </c>
      <c r="AK726" t="str">
        <f>IF(OR($B726="",NOT(ISNUMBER(N726))),"",IF(COUNTIF(O726:$T726,N726)&gt;0,0,IF(COUNTIF($G726:$T726,"&gt;"&amp;N726)=0,"",SMALL($G726:$T726,COUNTIF($G726:$T726,"&lt;="&amp;N726)+1)-N726)))</f>
        <v/>
      </c>
      <c r="AL726" t="str">
        <f>IF(OR($B726="",NOT(ISNUMBER(O726))),"",IF(COUNTIF(P726:$T726,O726)&gt;0,0,IF(COUNTIF($G726:$T726,"&gt;"&amp;O726)=0,"",SMALL($G726:$T726,COUNTIF($G726:$T726,"&lt;="&amp;O726)+1)-O726)))</f>
        <v/>
      </c>
      <c r="AM726" t="str">
        <f>IF(OR($B726="",NOT(ISNUMBER(P726))),"",IF(COUNTIF(Q726:$T726,P726)&gt;0,0,IF(COUNTIF($G726:$T726,"&gt;"&amp;P726)=0,"",SMALL($G726:$T726,COUNTIF($G726:$T726,"&lt;="&amp;P726)+1)-P726)))</f>
        <v/>
      </c>
      <c r="AN726" t="str">
        <f>IF(OR($B726="",NOT(ISNUMBER(Q726))),"",IF(COUNTIF(R726:$T726,Q726)&gt;0,0,IF(COUNTIF($G726:$T726,"&gt;"&amp;Q726)=0,"",SMALL($G726:$T726,COUNTIF($G726:$T726,"&lt;="&amp;Q726)+1)-Q726)))</f>
        <v/>
      </c>
      <c r="AO726" t="str">
        <f>IF(OR($B726="",NOT(ISNUMBER(R726))),"",IF(COUNTIF(S726:$T726,R726)&gt;0,0,IF(COUNTIF($G726:$T726,"&gt;"&amp;R726)=0,"",SMALL($G726:$T726,COUNTIF($G726:$T726,"&lt;="&amp;R726)+1)-R726)))</f>
        <v/>
      </c>
      <c r="AP726">
        <f t="shared" ca="1" si="190"/>
        <v>0</v>
      </c>
      <c r="AQ726" s="25" t="str">
        <f t="shared" si="191"/>
        <v/>
      </c>
      <c r="AR726" s="25" t="str">
        <f t="shared" si="192"/>
        <v/>
      </c>
      <c r="AS726" s="25" t="str">
        <f t="shared" si="193"/>
        <v/>
      </c>
      <c r="AT726" s="25" t="str">
        <f t="shared" si="194"/>
        <v/>
      </c>
      <c r="AU726" s="25" t="str">
        <f t="shared" si="195"/>
        <v/>
      </c>
      <c r="AV726" s="25" t="str">
        <f t="shared" si="196"/>
        <v/>
      </c>
      <c r="AW726" s="25" t="str">
        <f t="shared" si="197"/>
        <v/>
      </c>
      <c r="AX726" s="25" t="str">
        <f t="shared" si="198"/>
        <v/>
      </c>
      <c r="AY726" s="25" t="str">
        <f t="shared" si="199"/>
        <v/>
      </c>
      <c r="AZ726" s="25" t="str">
        <f t="shared" si="200"/>
        <v/>
      </c>
      <c r="BA726" s="25" t="str">
        <f t="shared" si="201"/>
        <v/>
      </c>
      <c r="BB726" s="25" t="str">
        <f t="shared" si="202"/>
        <v/>
      </c>
      <c r="BC726" s="25" t="str">
        <f t="shared" si="203"/>
        <v/>
      </c>
    </row>
    <row r="727" spans="1:55" x14ac:dyDescent="0.25">
      <c r="A727" s="19" t="str">
        <f t="shared" si="188"/>
        <v/>
      </c>
      <c r="B727" s="19"/>
      <c r="C727" s="20"/>
      <c r="D727" s="19" t="str">
        <f t="shared" si="187"/>
        <v/>
      </c>
      <c r="E727" s="19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19"/>
      <c r="U727" s="19"/>
      <c r="V727" s="20"/>
      <c r="W727" s="22"/>
      <c r="X727" s="21"/>
      <c r="Y727" s="21"/>
      <c r="Z727" s="23" t="str">
        <f>IF(B727="","",IF(S727&lt;&gt;"","Sevk Edildi",IF(AND(X727&lt;&gt;"",Y727=""),"Reworkte",IF(T727&lt;&gt;"","Kapandı"&amp;IF(COUNT(G727:R727)=0,""," – "&amp;LOOKUP(2,1/(G727:R727=MAX(G727:R727)),{"Tasarım","Ply Cutter","Üretim","Kalite (Üretim sonrası)","Talaşlı","Kalite (Talaşlı sonrası)","Montaj","Kalite (Montaj sonrası)","Boya","Kalite (Boya sonrası)","Yarı Mamül","KM"})),IF(COUNT(G727:R727)=0,"Başlamadı",LOOKUP(2,1/(G727:R727=MAX(G727:R727)),{"Tasarımda","Ply Cutter'da","Üretimde","Kalitede (Üretim sonrası)","Talaşlıda","Kalitede (Talaşlı sonrası)","Montajda","Kalitede (Montaj sonrası)","Boyada","Kalitede (Boya sonrası)","Yarı Mamülde","KM'de"}))))))</f>
        <v/>
      </c>
      <c r="AA727" s="24" t="str">
        <f t="shared" ca="1" si="189"/>
        <v/>
      </c>
      <c r="AB727" s="22"/>
      <c r="AD727" t="str">
        <f>IF(OR($B727="",NOT(ISNUMBER(G727))),"",IF(COUNTIF(H727:$T727,G727)&gt;0,0,IF(COUNTIF($G727:$T727,"&gt;"&amp;G727)=0,"",SMALL($G727:$T727,COUNTIF($G727:$T727,"&lt;="&amp;G727)+1)-G727)))</f>
        <v/>
      </c>
      <c r="AE727" t="str">
        <f>IF(OR($B727="",NOT(ISNUMBER(H727))),"",IF(COUNTIF(I727:$T727,H727)&gt;0,0,IF(COUNTIF($G727:$T727,"&gt;"&amp;H727)=0,"",SMALL($G727:$T727,COUNTIF($G727:$T727,"&lt;="&amp;H727)+1)-H727)))</f>
        <v/>
      </c>
      <c r="AF727" t="str">
        <f>IF(OR($B727="",NOT(ISNUMBER(I727))),"",IF(COUNTIF(J727:$T727,I727)&gt;0,0,IF(COUNTIF($G727:$T727,"&gt;"&amp;I727)=0,"",SMALL($G727:$T727,COUNTIF($G727:$T727,"&lt;="&amp;I727)+1)-I727)))</f>
        <v/>
      </c>
      <c r="AG727" t="str">
        <f>IF(OR($B727="",NOT(ISNUMBER(J727))),"",IF(COUNTIF(K727:$T727,J727)&gt;0,0,IF(COUNTIF($G727:$T727,"&gt;"&amp;J727)=0,"",SMALL($G727:$T727,COUNTIF($G727:$T727,"&lt;="&amp;J727)+1)-J727)))</f>
        <v/>
      </c>
      <c r="AH727" t="str">
        <f>IF(OR($B727="",NOT(ISNUMBER(K727))),"",IF(COUNTIF(L727:$T727,K727)&gt;0,0,IF(COUNTIF($G727:$T727,"&gt;"&amp;K727)=0,"",SMALL($G727:$T727,COUNTIF($G727:$T727,"&lt;="&amp;K727)+1)-K727)))</f>
        <v/>
      </c>
      <c r="AI727" t="str">
        <f>IF(OR($B727="",NOT(ISNUMBER(L727))),"",IF(COUNTIF(M727:$T727,L727)&gt;0,0,IF(COUNTIF($G727:$T727,"&gt;"&amp;L727)=0,"",SMALL($G727:$T727,COUNTIF($G727:$T727,"&lt;="&amp;L727)+1)-L727)))</f>
        <v/>
      </c>
      <c r="AJ727" t="str">
        <f>IF(OR($B727="",NOT(ISNUMBER(M727))),"",IF(COUNTIF(N727:$T727,M727)&gt;0,0,IF(COUNTIF($G727:$T727,"&gt;"&amp;M727)=0,"",SMALL($G727:$T727,COUNTIF($G727:$T727,"&lt;="&amp;M727)+1)-M727)))</f>
        <v/>
      </c>
      <c r="AK727" t="str">
        <f>IF(OR($B727="",NOT(ISNUMBER(N727))),"",IF(COUNTIF(O727:$T727,N727)&gt;0,0,IF(COUNTIF($G727:$T727,"&gt;"&amp;N727)=0,"",SMALL($G727:$T727,COUNTIF($G727:$T727,"&lt;="&amp;N727)+1)-N727)))</f>
        <v/>
      </c>
      <c r="AL727" t="str">
        <f>IF(OR($B727="",NOT(ISNUMBER(O727))),"",IF(COUNTIF(P727:$T727,O727)&gt;0,0,IF(COUNTIF($G727:$T727,"&gt;"&amp;O727)=0,"",SMALL($G727:$T727,COUNTIF($G727:$T727,"&lt;="&amp;O727)+1)-O727)))</f>
        <v/>
      </c>
      <c r="AM727" t="str">
        <f>IF(OR($B727="",NOT(ISNUMBER(P727))),"",IF(COUNTIF(Q727:$T727,P727)&gt;0,0,IF(COUNTIF($G727:$T727,"&gt;"&amp;P727)=0,"",SMALL($G727:$T727,COUNTIF($G727:$T727,"&lt;="&amp;P727)+1)-P727)))</f>
        <v/>
      </c>
      <c r="AN727" t="str">
        <f>IF(OR($B727="",NOT(ISNUMBER(Q727))),"",IF(COUNTIF(R727:$T727,Q727)&gt;0,0,IF(COUNTIF($G727:$T727,"&gt;"&amp;Q727)=0,"",SMALL($G727:$T727,COUNTIF($G727:$T727,"&lt;="&amp;Q727)+1)-Q727)))</f>
        <v/>
      </c>
      <c r="AO727" t="str">
        <f>IF(OR($B727="",NOT(ISNUMBER(R727))),"",IF(COUNTIF(S727:$T727,R727)&gt;0,0,IF(COUNTIF($G727:$T727,"&gt;"&amp;R727)=0,"",SMALL($G727:$T727,COUNTIF($G727:$T727,"&lt;="&amp;R727)+1)-R727)))</f>
        <v/>
      </c>
      <c r="AP727">
        <f t="shared" ca="1" si="190"/>
        <v>0</v>
      </c>
      <c r="AQ727" s="25" t="str">
        <f t="shared" si="191"/>
        <v/>
      </c>
      <c r="AR727" s="25" t="str">
        <f t="shared" si="192"/>
        <v/>
      </c>
      <c r="AS727" s="25" t="str">
        <f t="shared" si="193"/>
        <v/>
      </c>
      <c r="AT727" s="25" t="str">
        <f t="shared" si="194"/>
        <v/>
      </c>
      <c r="AU727" s="25" t="str">
        <f t="shared" si="195"/>
        <v/>
      </c>
      <c r="AV727" s="25" t="str">
        <f t="shared" si="196"/>
        <v/>
      </c>
      <c r="AW727" s="25" t="str">
        <f t="shared" si="197"/>
        <v/>
      </c>
      <c r="AX727" s="25" t="str">
        <f t="shared" si="198"/>
        <v/>
      </c>
      <c r="AY727" s="25" t="str">
        <f t="shared" si="199"/>
        <v/>
      </c>
      <c r="AZ727" s="25" t="str">
        <f t="shared" si="200"/>
        <v/>
      </c>
      <c r="BA727" s="25" t="str">
        <f t="shared" si="201"/>
        <v/>
      </c>
      <c r="BB727" s="25" t="str">
        <f t="shared" si="202"/>
        <v/>
      </c>
      <c r="BC727" s="25" t="str">
        <f t="shared" si="203"/>
        <v/>
      </c>
    </row>
    <row r="728" spans="1:55" x14ac:dyDescent="0.25">
      <c r="A728" s="19" t="str">
        <f t="shared" si="188"/>
        <v/>
      </c>
      <c r="B728" s="19"/>
      <c r="C728" s="20"/>
      <c r="D728" s="19" t="str">
        <f t="shared" si="187"/>
        <v/>
      </c>
      <c r="E728" s="19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19"/>
      <c r="U728" s="19"/>
      <c r="V728" s="20"/>
      <c r="W728" s="22"/>
      <c r="X728" s="21"/>
      <c r="Y728" s="21"/>
      <c r="Z728" s="23" t="str">
        <f>IF(B728="","",IF(S728&lt;&gt;"","Sevk Edildi",IF(AND(X728&lt;&gt;"",Y728=""),"Reworkte",IF(T728&lt;&gt;"","Kapandı"&amp;IF(COUNT(G728:R728)=0,""," – "&amp;LOOKUP(2,1/(G728:R728=MAX(G728:R728)),{"Tasarım","Ply Cutter","Üretim","Kalite (Üretim sonrası)","Talaşlı","Kalite (Talaşlı sonrası)","Montaj","Kalite (Montaj sonrası)","Boya","Kalite (Boya sonrası)","Yarı Mamül","KM"})),IF(COUNT(G728:R728)=0,"Başlamadı",LOOKUP(2,1/(G728:R728=MAX(G728:R728)),{"Tasarımda","Ply Cutter'da","Üretimde","Kalitede (Üretim sonrası)","Talaşlıda","Kalitede (Talaşlı sonrası)","Montajda","Kalitede (Montaj sonrası)","Boyada","Kalitede (Boya sonrası)","Yarı Mamülde","KM'de"}))))))</f>
        <v/>
      </c>
      <c r="AA728" s="24" t="str">
        <f t="shared" ca="1" si="189"/>
        <v/>
      </c>
      <c r="AB728" s="22"/>
      <c r="AD728" t="str">
        <f>IF(OR($B728="",NOT(ISNUMBER(G728))),"",IF(COUNTIF(H728:$T728,G728)&gt;0,0,IF(COUNTIF($G728:$T728,"&gt;"&amp;G728)=0,"",SMALL($G728:$T728,COUNTIF($G728:$T728,"&lt;="&amp;G728)+1)-G728)))</f>
        <v/>
      </c>
      <c r="AE728" t="str">
        <f>IF(OR($B728="",NOT(ISNUMBER(H728))),"",IF(COUNTIF(I728:$T728,H728)&gt;0,0,IF(COUNTIF($G728:$T728,"&gt;"&amp;H728)=0,"",SMALL($G728:$T728,COUNTIF($G728:$T728,"&lt;="&amp;H728)+1)-H728)))</f>
        <v/>
      </c>
      <c r="AF728" t="str">
        <f>IF(OR($B728="",NOT(ISNUMBER(I728))),"",IF(COUNTIF(J728:$T728,I728)&gt;0,0,IF(COUNTIF($G728:$T728,"&gt;"&amp;I728)=0,"",SMALL($G728:$T728,COUNTIF($G728:$T728,"&lt;="&amp;I728)+1)-I728)))</f>
        <v/>
      </c>
      <c r="AG728" t="str">
        <f>IF(OR($B728="",NOT(ISNUMBER(J728))),"",IF(COUNTIF(K728:$T728,J728)&gt;0,0,IF(COUNTIF($G728:$T728,"&gt;"&amp;J728)=0,"",SMALL($G728:$T728,COUNTIF($G728:$T728,"&lt;="&amp;J728)+1)-J728)))</f>
        <v/>
      </c>
      <c r="AH728" t="str">
        <f>IF(OR($B728="",NOT(ISNUMBER(K728))),"",IF(COUNTIF(L728:$T728,K728)&gt;0,0,IF(COUNTIF($G728:$T728,"&gt;"&amp;K728)=0,"",SMALL($G728:$T728,COUNTIF($G728:$T728,"&lt;="&amp;K728)+1)-K728)))</f>
        <v/>
      </c>
      <c r="AI728" t="str">
        <f>IF(OR($B728="",NOT(ISNUMBER(L728))),"",IF(COUNTIF(M728:$T728,L728)&gt;0,0,IF(COUNTIF($G728:$T728,"&gt;"&amp;L728)=0,"",SMALL($G728:$T728,COUNTIF($G728:$T728,"&lt;="&amp;L728)+1)-L728)))</f>
        <v/>
      </c>
      <c r="AJ728" t="str">
        <f>IF(OR($B728="",NOT(ISNUMBER(M728))),"",IF(COUNTIF(N728:$T728,M728)&gt;0,0,IF(COUNTIF($G728:$T728,"&gt;"&amp;M728)=0,"",SMALL($G728:$T728,COUNTIF($G728:$T728,"&lt;="&amp;M728)+1)-M728)))</f>
        <v/>
      </c>
      <c r="AK728" t="str">
        <f>IF(OR($B728="",NOT(ISNUMBER(N728))),"",IF(COUNTIF(O728:$T728,N728)&gt;0,0,IF(COUNTIF($G728:$T728,"&gt;"&amp;N728)=0,"",SMALL($G728:$T728,COUNTIF($G728:$T728,"&lt;="&amp;N728)+1)-N728)))</f>
        <v/>
      </c>
      <c r="AL728" t="str">
        <f>IF(OR($B728="",NOT(ISNUMBER(O728))),"",IF(COUNTIF(P728:$T728,O728)&gt;0,0,IF(COUNTIF($G728:$T728,"&gt;"&amp;O728)=0,"",SMALL($G728:$T728,COUNTIF($G728:$T728,"&lt;="&amp;O728)+1)-O728)))</f>
        <v/>
      </c>
      <c r="AM728" t="str">
        <f>IF(OR($B728="",NOT(ISNUMBER(P728))),"",IF(COUNTIF(Q728:$T728,P728)&gt;0,0,IF(COUNTIF($G728:$T728,"&gt;"&amp;P728)=0,"",SMALL($G728:$T728,COUNTIF($G728:$T728,"&lt;="&amp;P728)+1)-P728)))</f>
        <v/>
      </c>
      <c r="AN728" t="str">
        <f>IF(OR($B728="",NOT(ISNUMBER(Q728))),"",IF(COUNTIF(R728:$T728,Q728)&gt;0,0,IF(COUNTIF($G728:$T728,"&gt;"&amp;Q728)=0,"",SMALL($G728:$T728,COUNTIF($G728:$T728,"&lt;="&amp;Q728)+1)-Q728)))</f>
        <v/>
      </c>
      <c r="AO728" t="str">
        <f>IF(OR($B728="",NOT(ISNUMBER(R728))),"",IF(COUNTIF(S728:$T728,R728)&gt;0,0,IF(COUNTIF($G728:$T728,"&gt;"&amp;R728)=0,"",SMALL($G728:$T728,COUNTIF($G728:$T728,"&lt;="&amp;R728)+1)-R728)))</f>
        <v/>
      </c>
      <c r="AP728">
        <f t="shared" ca="1" si="190"/>
        <v>0</v>
      </c>
      <c r="AQ728" s="25" t="str">
        <f t="shared" si="191"/>
        <v/>
      </c>
      <c r="AR728" s="25" t="str">
        <f t="shared" si="192"/>
        <v/>
      </c>
      <c r="AS728" s="25" t="str">
        <f t="shared" si="193"/>
        <v/>
      </c>
      <c r="AT728" s="25" t="str">
        <f t="shared" si="194"/>
        <v/>
      </c>
      <c r="AU728" s="25" t="str">
        <f t="shared" si="195"/>
        <v/>
      </c>
      <c r="AV728" s="25" t="str">
        <f t="shared" si="196"/>
        <v/>
      </c>
      <c r="AW728" s="25" t="str">
        <f t="shared" si="197"/>
        <v/>
      </c>
      <c r="AX728" s="25" t="str">
        <f t="shared" si="198"/>
        <v/>
      </c>
      <c r="AY728" s="25" t="str">
        <f t="shared" si="199"/>
        <v/>
      </c>
      <c r="AZ728" s="25" t="str">
        <f t="shared" si="200"/>
        <v/>
      </c>
      <c r="BA728" s="25" t="str">
        <f t="shared" si="201"/>
        <v/>
      </c>
      <c r="BB728" s="25" t="str">
        <f t="shared" si="202"/>
        <v/>
      </c>
      <c r="BC728" s="25" t="str">
        <f t="shared" si="203"/>
        <v/>
      </c>
    </row>
    <row r="729" spans="1:55" x14ac:dyDescent="0.25">
      <c r="A729" s="19" t="str">
        <f t="shared" si="188"/>
        <v/>
      </c>
      <c r="B729" s="19"/>
      <c r="C729" s="20"/>
      <c r="D729" s="19" t="str">
        <f t="shared" si="187"/>
        <v/>
      </c>
      <c r="E729" s="19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19"/>
      <c r="U729" s="19"/>
      <c r="V729" s="20"/>
      <c r="W729" s="22"/>
      <c r="X729" s="21"/>
      <c r="Y729" s="21"/>
      <c r="Z729" s="23" t="str">
        <f>IF(B729="","",IF(S729&lt;&gt;"","Sevk Edildi",IF(AND(X729&lt;&gt;"",Y729=""),"Reworkte",IF(T729&lt;&gt;"","Kapandı"&amp;IF(COUNT(G729:R729)=0,""," – "&amp;LOOKUP(2,1/(G729:R729=MAX(G729:R729)),{"Tasarım","Ply Cutter","Üretim","Kalite (Üretim sonrası)","Talaşlı","Kalite (Talaşlı sonrası)","Montaj","Kalite (Montaj sonrası)","Boya","Kalite (Boya sonrası)","Yarı Mamül","KM"})),IF(COUNT(G729:R729)=0,"Başlamadı",LOOKUP(2,1/(G729:R729=MAX(G729:R729)),{"Tasarımda","Ply Cutter'da","Üretimde","Kalitede (Üretim sonrası)","Talaşlıda","Kalitede (Talaşlı sonrası)","Montajda","Kalitede (Montaj sonrası)","Boyada","Kalitede (Boya sonrası)","Yarı Mamülde","KM'de"}))))))</f>
        <v/>
      </c>
      <c r="AA729" s="24" t="str">
        <f t="shared" ca="1" si="189"/>
        <v/>
      </c>
      <c r="AB729" s="22"/>
      <c r="AD729" t="str">
        <f>IF(OR($B729="",NOT(ISNUMBER(G729))),"",IF(COUNTIF(H729:$T729,G729)&gt;0,0,IF(COUNTIF($G729:$T729,"&gt;"&amp;G729)=0,"",SMALL($G729:$T729,COUNTIF($G729:$T729,"&lt;="&amp;G729)+1)-G729)))</f>
        <v/>
      </c>
      <c r="AE729" t="str">
        <f>IF(OR($B729="",NOT(ISNUMBER(H729))),"",IF(COUNTIF(I729:$T729,H729)&gt;0,0,IF(COUNTIF($G729:$T729,"&gt;"&amp;H729)=0,"",SMALL($G729:$T729,COUNTIF($G729:$T729,"&lt;="&amp;H729)+1)-H729)))</f>
        <v/>
      </c>
      <c r="AF729" t="str">
        <f>IF(OR($B729="",NOT(ISNUMBER(I729))),"",IF(COUNTIF(J729:$T729,I729)&gt;0,0,IF(COUNTIF($G729:$T729,"&gt;"&amp;I729)=0,"",SMALL($G729:$T729,COUNTIF($G729:$T729,"&lt;="&amp;I729)+1)-I729)))</f>
        <v/>
      </c>
      <c r="AG729" t="str">
        <f>IF(OR($B729="",NOT(ISNUMBER(J729))),"",IF(COUNTIF(K729:$T729,J729)&gt;0,0,IF(COUNTIF($G729:$T729,"&gt;"&amp;J729)=0,"",SMALL($G729:$T729,COUNTIF($G729:$T729,"&lt;="&amp;J729)+1)-J729)))</f>
        <v/>
      </c>
      <c r="AH729" t="str">
        <f>IF(OR($B729="",NOT(ISNUMBER(K729))),"",IF(COUNTIF(L729:$T729,K729)&gt;0,0,IF(COUNTIF($G729:$T729,"&gt;"&amp;K729)=0,"",SMALL($G729:$T729,COUNTIF($G729:$T729,"&lt;="&amp;K729)+1)-K729)))</f>
        <v/>
      </c>
      <c r="AI729" t="str">
        <f>IF(OR($B729="",NOT(ISNUMBER(L729))),"",IF(COUNTIF(M729:$T729,L729)&gt;0,0,IF(COUNTIF($G729:$T729,"&gt;"&amp;L729)=0,"",SMALL($G729:$T729,COUNTIF($G729:$T729,"&lt;="&amp;L729)+1)-L729)))</f>
        <v/>
      </c>
      <c r="AJ729" t="str">
        <f>IF(OR($B729="",NOT(ISNUMBER(M729))),"",IF(COUNTIF(N729:$T729,M729)&gt;0,0,IF(COUNTIF($G729:$T729,"&gt;"&amp;M729)=0,"",SMALL($G729:$T729,COUNTIF($G729:$T729,"&lt;="&amp;M729)+1)-M729)))</f>
        <v/>
      </c>
      <c r="AK729" t="str">
        <f>IF(OR($B729="",NOT(ISNUMBER(N729))),"",IF(COUNTIF(O729:$T729,N729)&gt;0,0,IF(COUNTIF($G729:$T729,"&gt;"&amp;N729)=0,"",SMALL($G729:$T729,COUNTIF($G729:$T729,"&lt;="&amp;N729)+1)-N729)))</f>
        <v/>
      </c>
      <c r="AL729" t="str">
        <f>IF(OR($B729="",NOT(ISNUMBER(O729))),"",IF(COUNTIF(P729:$T729,O729)&gt;0,0,IF(COUNTIF($G729:$T729,"&gt;"&amp;O729)=0,"",SMALL($G729:$T729,COUNTIF($G729:$T729,"&lt;="&amp;O729)+1)-O729)))</f>
        <v/>
      </c>
      <c r="AM729" t="str">
        <f>IF(OR($B729="",NOT(ISNUMBER(P729))),"",IF(COUNTIF(Q729:$T729,P729)&gt;0,0,IF(COUNTIF($G729:$T729,"&gt;"&amp;P729)=0,"",SMALL($G729:$T729,COUNTIF($G729:$T729,"&lt;="&amp;P729)+1)-P729)))</f>
        <v/>
      </c>
      <c r="AN729" t="str">
        <f>IF(OR($B729="",NOT(ISNUMBER(Q729))),"",IF(COUNTIF(R729:$T729,Q729)&gt;0,0,IF(COUNTIF($G729:$T729,"&gt;"&amp;Q729)=0,"",SMALL($G729:$T729,COUNTIF($G729:$T729,"&lt;="&amp;Q729)+1)-Q729)))</f>
        <v/>
      </c>
      <c r="AO729" t="str">
        <f>IF(OR($B729="",NOT(ISNUMBER(R729))),"",IF(COUNTIF(S729:$T729,R729)&gt;0,0,IF(COUNTIF($G729:$T729,"&gt;"&amp;R729)=0,"",SMALL($G729:$T729,COUNTIF($G729:$T729,"&lt;="&amp;R729)+1)-R729)))</f>
        <v/>
      </c>
      <c r="AP729">
        <f t="shared" ca="1" si="190"/>
        <v>0</v>
      </c>
      <c r="AQ729" s="25" t="str">
        <f t="shared" si="191"/>
        <v/>
      </c>
      <c r="AR729" s="25" t="str">
        <f t="shared" si="192"/>
        <v/>
      </c>
      <c r="AS729" s="25" t="str">
        <f t="shared" si="193"/>
        <v/>
      </c>
      <c r="AT729" s="25" t="str">
        <f t="shared" si="194"/>
        <v/>
      </c>
      <c r="AU729" s="25" t="str">
        <f t="shared" si="195"/>
        <v/>
      </c>
      <c r="AV729" s="25" t="str">
        <f t="shared" si="196"/>
        <v/>
      </c>
      <c r="AW729" s="25" t="str">
        <f t="shared" si="197"/>
        <v/>
      </c>
      <c r="AX729" s="25" t="str">
        <f t="shared" si="198"/>
        <v/>
      </c>
      <c r="AY729" s="25" t="str">
        <f t="shared" si="199"/>
        <v/>
      </c>
      <c r="AZ729" s="25" t="str">
        <f t="shared" si="200"/>
        <v/>
      </c>
      <c r="BA729" s="25" t="str">
        <f t="shared" si="201"/>
        <v/>
      </c>
      <c r="BB729" s="25" t="str">
        <f t="shared" si="202"/>
        <v/>
      </c>
      <c r="BC729" s="25" t="str">
        <f t="shared" si="203"/>
        <v/>
      </c>
    </row>
    <row r="730" spans="1:55" x14ac:dyDescent="0.25">
      <c r="A730" s="19" t="str">
        <f t="shared" si="188"/>
        <v/>
      </c>
      <c r="B730" s="19"/>
      <c r="C730" s="20"/>
      <c r="D730" s="19" t="str">
        <f t="shared" si="187"/>
        <v/>
      </c>
      <c r="E730" s="19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19"/>
      <c r="U730" s="19"/>
      <c r="V730" s="20"/>
      <c r="W730" s="22"/>
      <c r="X730" s="21"/>
      <c r="Y730" s="21"/>
      <c r="Z730" s="23" t="str">
        <f>IF(B730="","",IF(S730&lt;&gt;"","Sevk Edildi",IF(AND(X730&lt;&gt;"",Y730=""),"Reworkte",IF(T730&lt;&gt;"","Kapandı"&amp;IF(COUNT(G730:R730)=0,""," – "&amp;LOOKUP(2,1/(G730:R730=MAX(G730:R730)),{"Tasarım","Ply Cutter","Üretim","Kalite (Üretim sonrası)","Talaşlı","Kalite (Talaşlı sonrası)","Montaj","Kalite (Montaj sonrası)","Boya","Kalite (Boya sonrası)","Yarı Mamül","KM"})),IF(COUNT(G730:R730)=0,"Başlamadı",LOOKUP(2,1/(G730:R730=MAX(G730:R730)),{"Tasarımda","Ply Cutter'da","Üretimde","Kalitede (Üretim sonrası)","Talaşlıda","Kalitede (Talaşlı sonrası)","Montajda","Kalitede (Montaj sonrası)","Boyada","Kalitede (Boya sonrası)","Yarı Mamülde","KM'de"}))))))</f>
        <v/>
      </c>
      <c r="AA730" s="24" t="str">
        <f t="shared" ca="1" si="189"/>
        <v/>
      </c>
      <c r="AB730" s="22"/>
      <c r="AD730" t="str">
        <f>IF(OR($B730="",NOT(ISNUMBER(G730))),"",IF(COUNTIF(H730:$T730,G730)&gt;0,0,IF(COUNTIF($G730:$T730,"&gt;"&amp;G730)=0,"",SMALL($G730:$T730,COUNTIF($G730:$T730,"&lt;="&amp;G730)+1)-G730)))</f>
        <v/>
      </c>
      <c r="AE730" t="str">
        <f>IF(OR($B730="",NOT(ISNUMBER(H730))),"",IF(COUNTIF(I730:$T730,H730)&gt;0,0,IF(COUNTIF($G730:$T730,"&gt;"&amp;H730)=0,"",SMALL($G730:$T730,COUNTIF($G730:$T730,"&lt;="&amp;H730)+1)-H730)))</f>
        <v/>
      </c>
      <c r="AF730" t="str">
        <f>IF(OR($B730="",NOT(ISNUMBER(I730))),"",IF(COUNTIF(J730:$T730,I730)&gt;0,0,IF(COUNTIF($G730:$T730,"&gt;"&amp;I730)=0,"",SMALL($G730:$T730,COUNTIF($G730:$T730,"&lt;="&amp;I730)+1)-I730)))</f>
        <v/>
      </c>
      <c r="AG730" t="str">
        <f>IF(OR($B730="",NOT(ISNUMBER(J730))),"",IF(COUNTIF(K730:$T730,J730)&gt;0,0,IF(COUNTIF($G730:$T730,"&gt;"&amp;J730)=0,"",SMALL($G730:$T730,COUNTIF($G730:$T730,"&lt;="&amp;J730)+1)-J730)))</f>
        <v/>
      </c>
      <c r="AH730" t="str">
        <f>IF(OR($B730="",NOT(ISNUMBER(K730))),"",IF(COUNTIF(L730:$T730,K730)&gt;0,0,IF(COUNTIF($G730:$T730,"&gt;"&amp;K730)=0,"",SMALL($G730:$T730,COUNTIF($G730:$T730,"&lt;="&amp;K730)+1)-K730)))</f>
        <v/>
      </c>
      <c r="AI730" t="str">
        <f>IF(OR($B730="",NOT(ISNUMBER(L730))),"",IF(COUNTIF(M730:$T730,L730)&gt;0,0,IF(COUNTIF($G730:$T730,"&gt;"&amp;L730)=0,"",SMALL($G730:$T730,COUNTIF($G730:$T730,"&lt;="&amp;L730)+1)-L730)))</f>
        <v/>
      </c>
      <c r="AJ730" t="str">
        <f>IF(OR($B730="",NOT(ISNUMBER(M730))),"",IF(COUNTIF(N730:$T730,M730)&gt;0,0,IF(COUNTIF($G730:$T730,"&gt;"&amp;M730)=0,"",SMALL($G730:$T730,COUNTIF($G730:$T730,"&lt;="&amp;M730)+1)-M730)))</f>
        <v/>
      </c>
      <c r="AK730" t="str">
        <f>IF(OR($B730="",NOT(ISNUMBER(N730))),"",IF(COUNTIF(O730:$T730,N730)&gt;0,0,IF(COUNTIF($G730:$T730,"&gt;"&amp;N730)=0,"",SMALL($G730:$T730,COUNTIF($G730:$T730,"&lt;="&amp;N730)+1)-N730)))</f>
        <v/>
      </c>
      <c r="AL730" t="str">
        <f>IF(OR($B730="",NOT(ISNUMBER(O730))),"",IF(COUNTIF(P730:$T730,O730)&gt;0,0,IF(COUNTIF($G730:$T730,"&gt;"&amp;O730)=0,"",SMALL($G730:$T730,COUNTIF($G730:$T730,"&lt;="&amp;O730)+1)-O730)))</f>
        <v/>
      </c>
      <c r="AM730" t="str">
        <f>IF(OR($B730="",NOT(ISNUMBER(P730))),"",IF(COUNTIF(Q730:$T730,P730)&gt;0,0,IF(COUNTIF($G730:$T730,"&gt;"&amp;P730)=0,"",SMALL($G730:$T730,COUNTIF($G730:$T730,"&lt;="&amp;P730)+1)-P730)))</f>
        <v/>
      </c>
      <c r="AN730" t="str">
        <f>IF(OR($B730="",NOT(ISNUMBER(Q730))),"",IF(COUNTIF(R730:$T730,Q730)&gt;0,0,IF(COUNTIF($G730:$T730,"&gt;"&amp;Q730)=0,"",SMALL($G730:$T730,COUNTIF($G730:$T730,"&lt;="&amp;Q730)+1)-Q730)))</f>
        <v/>
      </c>
      <c r="AO730" t="str">
        <f>IF(OR($B730="",NOT(ISNUMBER(R730))),"",IF(COUNTIF(S730:$T730,R730)&gt;0,0,IF(COUNTIF($G730:$T730,"&gt;"&amp;R730)=0,"",SMALL($G730:$T730,COUNTIF($G730:$T730,"&lt;="&amp;R730)+1)-R730)))</f>
        <v/>
      </c>
      <c r="AP730">
        <f t="shared" ca="1" si="190"/>
        <v>0</v>
      </c>
      <c r="AQ730" s="25" t="str">
        <f t="shared" si="191"/>
        <v/>
      </c>
      <c r="AR730" s="25" t="str">
        <f t="shared" si="192"/>
        <v/>
      </c>
      <c r="AS730" s="25" t="str">
        <f t="shared" si="193"/>
        <v/>
      </c>
      <c r="AT730" s="25" t="str">
        <f t="shared" si="194"/>
        <v/>
      </c>
      <c r="AU730" s="25" t="str">
        <f t="shared" si="195"/>
        <v/>
      </c>
      <c r="AV730" s="25" t="str">
        <f t="shared" si="196"/>
        <v/>
      </c>
      <c r="AW730" s="25" t="str">
        <f t="shared" si="197"/>
        <v/>
      </c>
      <c r="AX730" s="25" t="str">
        <f t="shared" si="198"/>
        <v/>
      </c>
      <c r="AY730" s="25" t="str">
        <f t="shared" si="199"/>
        <v/>
      </c>
      <c r="AZ730" s="25" t="str">
        <f t="shared" si="200"/>
        <v/>
      </c>
      <c r="BA730" s="25" t="str">
        <f t="shared" si="201"/>
        <v/>
      </c>
      <c r="BB730" s="25" t="str">
        <f t="shared" si="202"/>
        <v/>
      </c>
      <c r="BC730" s="25" t="str">
        <f t="shared" si="203"/>
        <v/>
      </c>
    </row>
    <row r="731" spans="1:55" x14ac:dyDescent="0.25">
      <c r="A731" s="19" t="str">
        <f t="shared" si="188"/>
        <v/>
      </c>
      <c r="B731" s="19"/>
      <c r="C731" s="20"/>
      <c r="D731" s="19" t="str">
        <f t="shared" si="187"/>
        <v/>
      </c>
      <c r="E731" s="19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19"/>
      <c r="U731" s="19"/>
      <c r="V731" s="20"/>
      <c r="W731" s="22"/>
      <c r="X731" s="21"/>
      <c r="Y731" s="21"/>
      <c r="Z731" s="23" t="str">
        <f>IF(B731="","",IF(S731&lt;&gt;"","Sevk Edildi",IF(AND(X731&lt;&gt;"",Y731=""),"Reworkte",IF(T731&lt;&gt;"","Kapandı"&amp;IF(COUNT(G731:R731)=0,""," – "&amp;LOOKUP(2,1/(G731:R731=MAX(G731:R731)),{"Tasarım","Ply Cutter","Üretim","Kalite (Üretim sonrası)","Talaşlı","Kalite (Talaşlı sonrası)","Montaj","Kalite (Montaj sonrası)","Boya","Kalite (Boya sonrası)","Yarı Mamül","KM"})),IF(COUNT(G731:R731)=0,"Başlamadı",LOOKUP(2,1/(G731:R731=MAX(G731:R731)),{"Tasarımda","Ply Cutter'da","Üretimde","Kalitede (Üretim sonrası)","Talaşlıda","Kalitede (Talaşlı sonrası)","Montajda","Kalitede (Montaj sonrası)","Boyada","Kalitede (Boya sonrası)","Yarı Mamülde","KM'de"}))))))</f>
        <v/>
      </c>
      <c r="AA731" s="24" t="str">
        <f t="shared" ca="1" si="189"/>
        <v/>
      </c>
      <c r="AB731" s="22"/>
      <c r="AD731" t="str">
        <f>IF(OR($B731="",NOT(ISNUMBER(G731))),"",IF(COUNTIF(H731:$T731,G731)&gt;0,0,IF(COUNTIF($G731:$T731,"&gt;"&amp;G731)=0,"",SMALL($G731:$T731,COUNTIF($G731:$T731,"&lt;="&amp;G731)+1)-G731)))</f>
        <v/>
      </c>
      <c r="AE731" t="str">
        <f>IF(OR($B731="",NOT(ISNUMBER(H731))),"",IF(COUNTIF(I731:$T731,H731)&gt;0,0,IF(COUNTIF($G731:$T731,"&gt;"&amp;H731)=0,"",SMALL($G731:$T731,COUNTIF($G731:$T731,"&lt;="&amp;H731)+1)-H731)))</f>
        <v/>
      </c>
      <c r="AF731" t="str">
        <f>IF(OR($B731="",NOT(ISNUMBER(I731))),"",IF(COUNTIF(J731:$T731,I731)&gt;0,0,IF(COUNTIF($G731:$T731,"&gt;"&amp;I731)=0,"",SMALL($G731:$T731,COUNTIF($G731:$T731,"&lt;="&amp;I731)+1)-I731)))</f>
        <v/>
      </c>
      <c r="AG731" t="str">
        <f>IF(OR($B731="",NOT(ISNUMBER(J731))),"",IF(COUNTIF(K731:$T731,J731)&gt;0,0,IF(COUNTIF($G731:$T731,"&gt;"&amp;J731)=0,"",SMALL($G731:$T731,COUNTIF($G731:$T731,"&lt;="&amp;J731)+1)-J731)))</f>
        <v/>
      </c>
      <c r="AH731" t="str">
        <f>IF(OR($B731="",NOT(ISNUMBER(K731))),"",IF(COUNTIF(L731:$T731,K731)&gt;0,0,IF(COUNTIF($G731:$T731,"&gt;"&amp;K731)=0,"",SMALL($G731:$T731,COUNTIF($G731:$T731,"&lt;="&amp;K731)+1)-K731)))</f>
        <v/>
      </c>
      <c r="AI731" t="str">
        <f>IF(OR($B731="",NOT(ISNUMBER(L731))),"",IF(COUNTIF(M731:$T731,L731)&gt;0,0,IF(COUNTIF($G731:$T731,"&gt;"&amp;L731)=0,"",SMALL($G731:$T731,COUNTIF($G731:$T731,"&lt;="&amp;L731)+1)-L731)))</f>
        <v/>
      </c>
      <c r="AJ731" t="str">
        <f>IF(OR($B731="",NOT(ISNUMBER(M731))),"",IF(COUNTIF(N731:$T731,M731)&gt;0,0,IF(COUNTIF($G731:$T731,"&gt;"&amp;M731)=0,"",SMALL($G731:$T731,COUNTIF($G731:$T731,"&lt;="&amp;M731)+1)-M731)))</f>
        <v/>
      </c>
      <c r="AK731" t="str">
        <f>IF(OR($B731="",NOT(ISNUMBER(N731))),"",IF(COUNTIF(O731:$T731,N731)&gt;0,0,IF(COUNTIF($G731:$T731,"&gt;"&amp;N731)=0,"",SMALL($G731:$T731,COUNTIF($G731:$T731,"&lt;="&amp;N731)+1)-N731)))</f>
        <v/>
      </c>
      <c r="AL731" t="str">
        <f>IF(OR($B731="",NOT(ISNUMBER(O731))),"",IF(COUNTIF(P731:$T731,O731)&gt;0,0,IF(COUNTIF($G731:$T731,"&gt;"&amp;O731)=0,"",SMALL($G731:$T731,COUNTIF($G731:$T731,"&lt;="&amp;O731)+1)-O731)))</f>
        <v/>
      </c>
      <c r="AM731" t="str">
        <f>IF(OR($B731="",NOT(ISNUMBER(P731))),"",IF(COUNTIF(Q731:$T731,P731)&gt;0,0,IF(COUNTIF($G731:$T731,"&gt;"&amp;P731)=0,"",SMALL($G731:$T731,COUNTIF($G731:$T731,"&lt;="&amp;P731)+1)-P731)))</f>
        <v/>
      </c>
      <c r="AN731" t="str">
        <f>IF(OR($B731="",NOT(ISNUMBER(Q731))),"",IF(COUNTIF(R731:$T731,Q731)&gt;0,0,IF(COUNTIF($G731:$T731,"&gt;"&amp;Q731)=0,"",SMALL($G731:$T731,COUNTIF($G731:$T731,"&lt;="&amp;Q731)+1)-Q731)))</f>
        <v/>
      </c>
      <c r="AO731" t="str">
        <f>IF(OR($B731="",NOT(ISNUMBER(R731))),"",IF(COUNTIF(S731:$T731,R731)&gt;0,0,IF(COUNTIF($G731:$T731,"&gt;"&amp;R731)=0,"",SMALL($G731:$T731,COUNTIF($G731:$T731,"&lt;="&amp;R731)+1)-R731)))</f>
        <v/>
      </c>
      <c r="AP731">
        <f t="shared" ca="1" si="190"/>
        <v>0</v>
      </c>
      <c r="AQ731" s="25" t="str">
        <f t="shared" si="191"/>
        <v/>
      </c>
      <c r="AR731" s="25" t="str">
        <f t="shared" si="192"/>
        <v/>
      </c>
      <c r="AS731" s="25" t="str">
        <f t="shared" si="193"/>
        <v/>
      </c>
      <c r="AT731" s="25" t="str">
        <f t="shared" si="194"/>
        <v/>
      </c>
      <c r="AU731" s="25" t="str">
        <f t="shared" si="195"/>
        <v/>
      </c>
      <c r="AV731" s="25" t="str">
        <f t="shared" si="196"/>
        <v/>
      </c>
      <c r="AW731" s="25" t="str">
        <f t="shared" si="197"/>
        <v/>
      </c>
      <c r="AX731" s="25" t="str">
        <f t="shared" si="198"/>
        <v/>
      </c>
      <c r="AY731" s="25" t="str">
        <f t="shared" si="199"/>
        <v/>
      </c>
      <c r="AZ731" s="25" t="str">
        <f t="shared" si="200"/>
        <v/>
      </c>
      <c r="BA731" s="25" t="str">
        <f t="shared" si="201"/>
        <v/>
      </c>
      <c r="BB731" s="25" t="str">
        <f t="shared" si="202"/>
        <v/>
      </c>
      <c r="BC731" s="25" t="str">
        <f t="shared" si="203"/>
        <v/>
      </c>
    </row>
    <row r="732" spans="1:55" x14ac:dyDescent="0.25">
      <c r="A732" s="19" t="str">
        <f t="shared" si="188"/>
        <v/>
      </c>
      <c r="B732" s="19"/>
      <c r="C732" s="20"/>
      <c r="D732" s="19" t="str">
        <f t="shared" si="187"/>
        <v/>
      </c>
      <c r="E732" s="19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19"/>
      <c r="U732" s="19"/>
      <c r="V732" s="20"/>
      <c r="W732" s="22"/>
      <c r="X732" s="21"/>
      <c r="Y732" s="21"/>
      <c r="Z732" s="23" t="str">
        <f>IF(B732="","",IF(S732&lt;&gt;"","Sevk Edildi",IF(AND(X732&lt;&gt;"",Y732=""),"Reworkte",IF(T732&lt;&gt;"","Kapandı"&amp;IF(COUNT(G732:R732)=0,""," – "&amp;LOOKUP(2,1/(G732:R732=MAX(G732:R732)),{"Tasarım","Ply Cutter","Üretim","Kalite (Üretim sonrası)","Talaşlı","Kalite (Talaşlı sonrası)","Montaj","Kalite (Montaj sonrası)","Boya","Kalite (Boya sonrası)","Yarı Mamül","KM"})),IF(COUNT(G732:R732)=0,"Başlamadı",LOOKUP(2,1/(G732:R732=MAX(G732:R732)),{"Tasarımda","Ply Cutter'da","Üretimde","Kalitede (Üretim sonrası)","Talaşlıda","Kalitede (Talaşlı sonrası)","Montajda","Kalitede (Montaj sonrası)","Boyada","Kalitede (Boya sonrası)","Yarı Mamülde","KM'de"}))))))</f>
        <v/>
      </c>
      <c r="AA732" s="24" t="str">
        <f t="shared" ca="1" si="189"/>
        <v/>
      </c>
      <c r="AB732" s="22"/>
      <c r="AD732" t="str">
        <f>IF(OR($B732="",NOT(ISNUMBER(G732))),"",IF(COUNTIF(H732:$T732,G732)&gt;0,0,IF(COUNTIF($G732:$T732,"&gt;"&amp;G732)=0,"",SMALL($G732:$T732,COUNTIF($G732:$T732,"&lt;="&amp;G732)+1)-G732)))</f>
        <v/>
      </c>
      <c r="AE732" t="str">
        <f>IF(OR($B732="",NOT(ISNUMBER(H732))),"",IF(COUNTIF(I732:$T732,H732)&gt;0,0,IF(COUNTIF($G732:$T732,"&gt;"&amp;H732)=0,"",SMALL($G732:$T732,COUNTIF($G732:$T732,"&lt;="&amp;H732)+1)-H732)))</f>
        <v/>
      </c>
      <c r="AF732" t="str">
        <f>IF(OR($B732="",NOT(ISNUMBER(I732))),"",IF(COUNTIF(J732:$T732,I732)&gt;0,0,IF(COUNTIF($G732:$T732,"&gt;"&amp;I732)=0,"",SMALL($G732:$T732,COUNTIF($G732:$T732,"&lt;="&amp;I732)+1)-I732)))</f>
        <v/>
      </c>
      <c r="AG732" t="str">
        <f>IF(OR($B732="",NOT(ISNUMBER(J732))),"",IF(COUNTIF(K732:$T732,J732)&gt;0,0,IF(COUNTIF($G732:$T732,"&gt;"&amp;J732)=0,"",SMALL($G732:$T732,COUNTIF($G732:$T732,"&lt;="&amp;J732)+1)-J732)))</f>
        <v/>
      </c>
      <c r="AH732" t="str">
        <f>IF(OR($B732="",NOT(ISNUMBER(K732))),"",IF(COUNTIF(L732:$T732,K732)&gt;0,0,IF(COUNTIF($G732:$T732,"&gt;"&amp;K732)=0,"",SMALL($G732:$T732,COUNTIF($G732:$T732,"&lt;="&amp;K732)+1)-K732)))</f>
        <v/>
      </c>
      <c r="AI732" t="str">
        <f>IF(OR($B732="",NOT(ISNUMBER(L732))),"",IF(COUNTIF(M732:$T732,L732)&gt;0,0,IF(COUNTIF($G732:$T732,"&gt;"&amp;L732)=0,"",SMALL($G732:$T732,COUNTIF($G732:$T732,"&lt;="&amp;L732)+1)-L732)))</f>
        <v/>
      </c>
      <c r="AJ732" t="str">
        <f>IF(OR($B732="",NOT(ISNUMBER(M732))),"",IF(COUNTIF(N732:$T732,M732)&gt;0,0,IF(COUNTIF($G732:$T732,"&gt;"&amp;M732)=0,"",SMALL($G732:$T732,COUNTIF($G732:$T732,"&lt;="&amp;M732)+1)-M732)))</f>
        <v/>
      </c>
      <c r="AK732" t="str">
        <f>IF(OR($B732="",NOT(ISNUMBER(N732))),"",IF(COUNTIF(O732:$T732,N732)&gt;0,0,IF(COUNTIF($G732:$T732,"&gt;"&amp;N732)=0,"",SMALL($G732:$T732,COUNTIF($G732:$T732,"&lt;="&amp;N732)+1)-N732)))</f>
        <v/>
      </c>
      <c r="AL732" t="str">
        <f>IF(OR($B732="",NOT(ISNUMBER(O732))),"",IF(COUNTIF(P732:$T732,O732)&gt;0,0,IF(COUNTIF($G732:$T732,"&gt;"&amp;O732)=0,"",SMALL($G732:$T732,COUNTIF($G732:$T732,"&lt;="&amp;O732)+1)-O732)))</f>
        <v/>
      </c>
      <c r="AM732" t="str">
        <f>IF(OR($B732="",NOT(ISNUMBER(P732))),"",IF(COUNTIF(Q732:$T732,P732)&gt;0,0,IF(COUNTIF($G732:$T732,"&gt;"&amp;P732)=0,"",SMALL($G732:$T732,COUNTIF($G732:$T732,"&lt;="&amp;P732)+1)-P732)))</f>
        <v/>
      </c>
      <c r="AN732" t="str">
        <f>IF(OR($B732="",NOT(ISNUMBER(Q732))),"",IF(COUNTIF(R732:$T732,Q732)&gt;0,0,IF(COUNTIF($G732:$T732,"&gt;"&amp;Q732)=0,"",SMALL($G732:$T732,COUNTIF($G732:$T732,"&lt;="&amp;Q732)+1)-Q732)))</f>
        <v/>
      </c>
      <c r="AO732" t="str">
        <f>IF(OR($B732="",NOT(ISNUMBER(R732))),"",IF(COUNTIF(S732:$T732,R732)&gt;0,0,IF(COUNTIF($G732:$T732,"&gt;"&amp;R732)=0,"",SMALL($G732:$T732,COUNTIF($G732:$T732,"&lt;="&amp;R732)+1)-R732)))</f>
        <v/>
      </c>
      <c r="AP732">
        <f t="shared" ca="1" si="190"/>
        <v>0</v>
      </c>
      <c r="AQ732" s="25" t="str">
        <f t="shared" si="191"/>
        <v/>
      </c>
      <c r="AR732" s="25" t="str">
        <f t="shared" si="192"/>
        <v/>
      </c>
      <c r="AS732" s="25" t="str">
        <f t="shared" si="193"/>
        <v/>
      </c>
      <c r="AT732" s="25" t="str">
        <f t="shared" si="194"/>
        <v/>
      </c>
      <c r="AU732" s="25" t="str">
        <f t="shared" si="195"/>
        <v/>
      </c>
      <c r="AV732" s="25" t="str">
        <f t="shared" si="196"/>
        <v/>
      </c>
      <c r="AW732" s="25" t="str">
        <f t="shared" si="197"/>
        <v/>
      </c>
      <c r="AX732" s="25" t="str">
        <f t="shared" si="198"/>
        <v/>
      </c>
      <c r="AY732" s="25" t="str">
        <f t="shared" si="199"/>
        <v/>
      </c>
      <c r="AZ732" s="25" t="str">
        <f t="shared" si="200"/>
        <v/>
      </c>
      <c r="BA732" s="25" t="str">
        <f t="shared" si="201"/>
        <v/>
      </c>
      <c r="BB732" s="25" t="str">
        <f t="shared" si="202"/>
        <v/>
      </c>
      <c r="BC732" s="25" t="str">
        <f t="shared" si="203"/>
        <v/>
      </c>
    </row>
    <row r="733" spans="1:55" x14ac:dyDescent="0.25">
      <c r="A733" s="19" t="str">
        <f t="shared" si="188"/>
        <v/>
      </c>
      <c r="B733" s="19"/>
      <c r="C733" s="20"/>
      <c r="D733" s="19" t="str">
        <f t="shared" si="187"/>
        <v/>
      </c>
      <c r="E733" s="19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19"/>
      <c r="U733" s="19"/>
      <c r="V733" s="20"/>
      <c r="W733" s="22"/>
      <c r="X733" s="21"/>
      <c r="Y733" s="21"/>
      <c r="Z733" s="23" t="str">
        <f>IF(B733="","",IF(S733&lt;&gt;"","Sevk Edildi",IF(AND(X733&lt;&gt;"",Y733=""),"Reworkte",IF(T733&lt;&gt;"","Kapandı"&amp;IF(COUNT(G733:R733)=0,""," – "&amp;LOOKUP(2,1/(G733:R733=MAX(G733:R733)),{"Tasarım","Ply Cutter","Üretim","Kalite (Üretim sonrası)","Talaşlı","Kalite (Talaşlı sonrası)","Montaj","Kalite (Montaj sonrası)","Boya","Kalite (Boya sonrası)","Yarı Mamül","KM"})),IF(COUNT(G733:R733)=0,"Başlamadı",LOOKUP(2,1/(G733:R733=MAX(G733:R733)),{"Tasarımda","Ply Cutter'da","Üretimde","Kalitede (Üretim sonrası)","Talaşlıda","Kalitede (Talaşlı sonrası)","Montajda","Kalitede (Montaj sonrası)","Boyada","Kalitede (Boya sonrası)","Yarı Mamülde","KM'de"}))))))</f>
        <v/>
      </c>
      <c r="AA733" s="24" t="str">
        <f t="shared" ca="1" si="189"/>
        <v/>
      </c>
      <c r="AB733" s="22"/>
      <c r="AD733" t="str">
        <f>IF(OR($B733="",NOT(ISNUMBER(G733))),"",IF(COUNTIF(H733:$T733,G733)&gt;0,0,IF(COUNTIF($G733:$T733,"&gt;"&amp;G733)=0,"",SMALL($G733:$T733,COUNTIF($G733:$T733,"&lt;="&amp;G733)+1)-G733)))</f>
        <v/>
      </c>
      <c r="AE733" t="str">
        <f>IF(OR($B733="",NOT(ISNUMBER(H733))),"",IF(COUNTIF(I733:$T733,H733)&gt;0,0,IF(COUNTIF($G733:$T733,"&gt;"&amp;H733)=0,"",SMALL($G733:$T733,COUNTIF($G733:$T733,"&lt;="&amp;H733)+1)-H733)))</f>
        <v/>
      </c>
      <c r="AF733" t="str">
        <f>IF(OR($B733="",NOT(ISNUMBER(I733))),"",IF(COUNTIF(J733:$T733,I733)&gt;0,0,IF(COUNTIF($G733:$T733,"&gt;"&amp;I733)=0,"",SMALL($G733:$T733,COUNTIF($G733:$T733,"&lt;="&amp;I733)+1)-I733)))</f>
        <v/>
      </c>
      <c r="AG733" t="str">
        <f>IF(OR($B733="",NOT(ISNUMBER(J733))),"",IF(COUNTIF(K733:$T733,J733)&gt;0,0,IF(COUNTIF($G733:$T733,"&gt;"&amp;J733)=0,"",SMALL($G733:$T733,COUNTIF($G733:$T733,"&lt;="&amp;J733)+1)-J733)))</f>
        <v/>
      </c>
      <c r="AH733" t="str">
        <f>IF(OR($B733="",NOT(ISNUMBER(K733))),"",IF(COUNTIF(L733:$T733,K733)&gt;0,0,IF(COUNTIF($G733:$T733,"&gt;"&amp;K733)=0,"",SMALL($G733:$T733,COUNTIF($G733:$T733,"&lt;="&amp;K733)+1)-K733)))</f>
        <v/>
      </c>
      <c r="AI733" t="str">
        <f>IF(OR($B733="",NOT(ISNUMBER(L733))),"",IF(COUNTIF(M733:$T733,L733)&gt;0,0,IF(COUNTIF($G733:$T733,"&gt;"&amp;L733)=0,"",SMALL($G733:$T733,COUNTIF($G733:$T733,"&lt;="&amp;L733)+1)-L733)))</f>
        <v/>
      </c>
      <c r="AJ733" t="str">
        <f>IF(OR($B733="",NOT(ISNUMBER(M733))),"",IF(COUNTIF(N733:$T733,M733)&gt;0,0,IF(COUNTIF($G733:$T733,"&gt;"&amp;M733)=0,"",SMALL($G733:$T733,COUNTIF($G733:$T733,"&lt;="&amp;M733)+1)-M733)))</f>
        <v/>
      </c>
      <c r="AK733" t="str">
        <f>IF(OR($B733="",NOT(ISNUMBER(N733))),"",IF(COUNTIF(O733:$T733,N733)&gt;0,0,IF(COUNTIF($G733:$T733,"&gt;"&amp;N733)=0,"",SMALL($G733:$T733,COUNTIF($G733:$T733,"&lt;="&amp;N733)+1)-N733)))</f>
        <v/>
      </c>
      <c r="AL733" t="str">
        <f>IF(OR($B733="",NOT(ISNUMBER(O733))),"",IF(COUNTIF(P733:$T733,O733)&gt;0,0,IF(COUNTIF($G733:$T733,"&gt;"&amp;O733)=0,"",SMALL($G733:$T733,COUNTIF($G733:$T733,"&lt;="&amp;O733)+1)-O733)))</f>
        <v/>
      </c>
      <c r="AM733" t="str">
        <f>IF(OR($B733="",NOT(ISNUMBER(P733))),"",IF(COUNTIF(Q733:$T733,P733)&gt;0,0,IF(COUNTIF($G733:$T733,"&gt;"&amp;P733)=0,"",SMALL($G733:$T733,COUNTIF($G733:$T733,"&lt;="&amp;P733)+1)-P733)))</f>
        <v/>
      </c>
      <c r="AN733" t="str">
        <f>IF(OR($B733="",NOT(ISNUMBER(Q733))),"",IF(COUNTIF(R733:$T733,Q733)&gt;0,0,IF(COUNTIF($G733:$T733,"&gt;"&amp;Q733)=0,"",SMALL($G733:$T733,COUNTIF($G733:$T733,"&lt;="&amp;Q733)+1)-Q733)))</f>
        <v/>
      </c>
      <c r="AO733" t="str">
        <f>IF(OR($B733="",NOT(ISNUMBER(R733))),"",IF(COUNTIF(S733:$T733,R733)&gt;0,0,IF(COUNTIF($G733:$T733,"&gt;"&amp;R733)=0,"",SMALL($G733:$T733,COUNTIF($G733:$T733,"&lt;="&amp;R733)+1)-R733)))</f>
        <v/>
      </c>
      <c r="AP733">
        <f t="shared" ca="1" si="190"/>
        <v>0</v>
      </c>
      <c r="AQ733" s="25" t="str">
        <f t="shared" si="191"/>
        <v/>
      </c>
      <c r="AR733" s="25" t="str">
        <f t="shared" si="192"/>
        <v/>
      </c>
      <c r="AS733" s="25" t="str">
        <f t="shared" si="193"/>
        <v/>
      </c>
      <c r="AT733" s="25" t="str">
        <f t="shared" si="194"/>
        <v/>
      </c>
      <c r="AU733" s="25" t="str">
        <f t="shared" si="195"/>
        <v/>
      </c>
      <c r="AV733" s="25" t="str">
        <f t="shared" si="196"/>
        <v/>
      </c>
      <c r="AW733" s="25" t="str">
        <f t="shared" si="197"/>
        <v/>
      </c>
      <c r="AX733" s="25" t="str">
        <f t="shared" si="198"/>
        <v/>
      </c>
      <c r="AY733" s="25" t="str">
        <f t="shared" si="199"/>
        <v/>
      </c>
      <c r="AZ733" s="25" t="str">
        <f t="shared" si="200"/>
        <v/>
      </c>
      <c r="BA733" s="25" t="str">
        <f t="shared" si="201"/>
        <v/>
      </c>
      <c r="BB733" s="25" t="str">
        <f t="shared" si="202"/>
        <v/>
      </c>
      <c r="BC733" s="25" t="str">
        <f t="shared" si="203"/>
        <v/>
      </c>
    </row>
    <row r="734" spans="1:55" x14ac:dyDescent="0.25">
      <c r="A734" s="19" t="str">
        <f t="shared" si="188"/>
        <v/>
      </c>
      <c r="B734" s="19"/>
      <c r="C734" s="20"/>
      <c r="D734" s="19" t="str">
        <f t="shared" si="187"/>
        <v/>
      </c>
      <c r="E734" s="19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19"/>
      <c r="U734" s="19"/>
      <c r="V734" s="20"/>
      <c r="W734" s="22"/>
      <c r="X734" s="21"/>
      <c r="Y734" s="21"/>
      <c r="Z734" s="23" t="str">
        <f>IF(B734="","",IF(S734&lt;&gt;"","Sevk Edildi",IF(AND(X734&lt;&gt;"",Y734=""),"Reworkte",IF(T734&lt;&gt;"","Kapandı"&amp;IF(COUNT(G734:R734)=0,""," – "&amp;LOOKUP(2,1/(G734:R734=MAX(G734:R734)),{"Tasarım","Ply Cutter","Üretim","Kalite (Üretim sonrası)","Talaşlı","Kalite (Talaşlı sonrası)","Montaj","Kalite (Montaj sonrası)","Boya","Kalite (Boya sonrası)","Yarı Mamül","KM"})),IF(COUNT(G734:R734)=0,"Başlamadı",LOOKUP(2,1/(G734:R734=MAX(G734:R734)),{"Tasarımda","Ply Cutter'da","Üretimde","Kalitede (Üretim sonrası)","Talaşlıda","Kalitede (Talaşlı sonrası)","Montajda","Kalitede (Montaj sonrası)","Boyada","Kalitede (Boya sonrası)","Yarı Mamülde","KM'de"}))))))</f>
        <v/>
      </c>
      <c r="AA734" s="24" t="str">
        <f t="shared" ca="1" si="189"/>
        <v/>
      </c>
      <c r="AB734" s="22"/>
      <c r="AD734" t="str">
        <f>IF(OR($B734="",NOT(ISNUMBER(G734))),"",IF(COUNTIF(H734:$T734,G734)&gt;0,0,IF(COUNTIF($G734:$T734,"&gt;"&amp;G734)=0,"",SMALL($G734:$T734,COUNTIF($G734:$T734,"&lt;="&amp;G734)+1)-G734)))</f>
        <v/>
      </c>
      <c r="AE734" t="str">
        <f>IF(OR($B734="",NOT(ISNUMBER(H734))),"",IF(COUNTIF(I734:$T734,H734)&gt;0,0,IF(COUNTIF($G734:$T734,"&gt;"&amp;H734)=0,"",SMALL($G734:$T734,COUNTIF($G734:$T734,"&lt;="&amp;H734)+1)-H734)))</f>
        <v/>
      </c>
      <c r="AF734" t="str">
        <f>IF(OR($B734="",NOT(ISNUMBER(I734))),"",IF(COUNTIF(J734:$T734,I734)&gt;0,0,IF(COUNTIF($G734:$T734,"&gt;"&amp;I734)=0,"",SMALL($G734:$T734,COUNTIF($G734:$T734,"&lt;="&amp;I734)+1)-I734)))</f>
        <v/>
      </c>
      <c r="AG734" t="str">
        <f>IF(OR($B734="",NOT(ISNUMBER(J734))),"",IF(COUNTIF(K734:$T734,J734)&gt;0,0,IF(COUNTIF($G734:$T734,"&gt;"&amp;J734)=0,"",SMALL($G734:$T734,COUNTIF($G734:$T734,"&lt;="&amp;J734)+1)-J734)))</f>
        <v/>
      </c>
      <c r="AH734" t="str">
        <f>IF(OR($B734="",NOT(ISNUMBER(K734))),"",IF(COUNTIF(L734:$T734,K734)&gt;0,0,IF(COUNTIF($G734:$T734,"&gt;"&amp;K734)=0,"",SMALL($G734:$T734,COUNTIF($G734:$T734,"&lt;="&amp;K734)+1)-K734)))</f>
        <v/>
      </c>
      <c r="AI734" t="str">
        <f>IF(OR($B734="",NOT(ISNUMBER(L734))),"",IF(COUNTIF(M734:$T734,L734)&gt;0,0,IF(COUNTIF($G734:$T734,"&gt;"&amp;L734)=0,"",SMALL($G734:$T734,COUNTIF($G734:$T734,"&lt;="&amp;L734)+1)-L734)))</f>
        <v/>
      </c>
      <c r="AJ734" t="str">
        <f>IF(OR($B734="",NOT(ISNUMBER(M734))),"",IF(COUNTIF(N734:$T734,M734)&gt;0,0,IF(COUNTIF($G734:$T734,"&gt;"&amp;M734)=0,"",SMALL($G734:$T734,COUNTIF($G734:$T734,"&lt;="&amp;M734)+1)-M734)))</f>
        <v/>
      </c>
      <c r="AK734" t="str">
        <f>IF(OR($B734="",NOT(ISNUMBER(N734))),"",IF(COUNTIF(O734:$T734,N734)&gt;0,0,IF(COUNTIF($G734:$T734,"&gt;"&amp;N734)=0,"",SMALL($G734:$T734,COUNTIF($G734:$T734,"&lt;="&amp;N734)+1)-N734)))</f>
        <v/>
      </c>
      <c r="AL734" t="str">
        <f>IF(OR($B734="",NOT(ISNUMBER(O734))),"",IF(COUNTIF(P734:$T734,O734)&gt;0,0,IF(COUNTIF($G734:$T734,"&gt;"&amp;O734)=0,"",SMALL($G734:$T734,COUNTIF($G734:$T734,"&lt;="&amp;O734)+1)-O734)))</f>
        <v/>
      </c>
      <c r="AM734" t="str">
        <f>IF(OR($B734="",NOT(ISNUMBER(P734))),"",IF(COUNTIF(Q734:$T734,P734)&gt;0,0,IF(COUNTIF($G734:$T734,"&gt;"&amp;P734)=0,"",SMALL($G734:$T734,COUNTIF($G734:$T734,"&lt;="&amp;P734)+1)-P734)))</f>
        <v/>
      </c>
      <c r="AN734" t="str">
        <f>IF(OR($B734="",NOT(ISNUMBER(Q734))),"",IF(COUNTIF(R734:$T734,Q734)&gt;0,0,IF(COUNTIF($G734:$T734,"&gt;"&amp;Q734)=0,"",SMALL($G734:$T734,COUNTIF($G734:$T734,"&lt;="&amp;Q734)+1)-Q734)))</f>
        <v/>
      </c>
      <c r="AO734" t="str">
        <f>IF(OR($B734="",NOT(ISNUMBER(R734))),"",IF(COUNTIF(S734:$T734,R734)&gt;0,0,IF(COUNTIF($G734:$T734,"&gt;"&amp;R734)=0,"",SMALL($G734:$T734,COUNTIF($G734:$T734,"&lt;="&amp;R734)+1)-R734)))</f>
        <v/>
      </c>
      <c r="AP734">
        <f t="shared" ca="1" si="190"/>
        <v>0</v>
      </c>
      <c r="AQ734" s="25" t="str">
        <f t="shared" si="191"/>
        <v/>
      </c>
      <c r="AR734" s="25" t="str">
        <f t="shared" si="192"/>
        <v/>
      </c>
      <c r="AS734" s="25" t="str">
        <f t="shared" si="193"/>
        <v/>
      </c>
      <c r="AT734" s="25" t="str">
        <f t="shared" si="194"/>
        <v/>
      </c>
      <c r="AU734" s="25" t="str">
        <f t="shared" si="195"/>
        <v/>
      </c>
      <c r="AV734" s="25" t="str">
        <f t="shared" si="196"/>
        <v/>
      </c>
      <c r="AW734" s="25" t="str">
        <f t="shared" si="197"/>
        <v/>
      </c>
      <c r="AX734" s="25" t="str">
        <f t="shared" si="198"/>
        <v/>
      </c>
      <c r="AY734" s="25" t="str">
        <f t="shared" si="199"/>
        <v/>
      </c>
      <c r="AZ734" s="25" t="str">
        <f t="shared" si="200"/>
        <v/>
      </c>
      <c r="BA734" s="25" t="str">
        <f t="shared" si="201"/>
        <v/>
      </c>
      <c r="BB734" s="25" t="str">
        <f t="shared" si="202"/>
        <v/>
      </c>
      <c r="BC734" s="25" t="str">
        <f t="shared" si="203"/>
        <v/>
      </c>
    </row>
    <row r="735" spans="1:55" x14ac:dyDescent="0.25">
      <c r="A735" s="19" t="str">
        <f t="shared" si="188"/>
        <v/>
      </c>
      <c r="B735" s="19"/>
      <c r="C735" s="20"/>
      <c r="D735" s="19" t="str">
        <f t="shared" si="187"/>
        <v/>
      </c>
      <c r="E735" s="19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19"/>
      <c r="U735" s="19"/>
      <c r="V735" s="20"/>
      <c r="W735" s="22"/>
      <c r="X735" s="21"/>
      <c r="Y735" s="21"/>
      <c r="Z735" s="23" t="str">
        <f>IF(B735="","",IF(S735&lt;&gt;"","Sevk Edildi",IF(AND(X735&lt;&gt;"",Y735=""),"Reworkte",IF(T735&lt;&gt;"","Kapandı"&amp;IF(COUNT(G735:R735)=0,""," – "&amp;LOOKUP(2,1/(G735:R735=MAX(G735:R735)),{"Tasarım","Ply Cutter","Üretim","Kalite (Üretim sonrası)","Talaşlı","Kalite (Talaşlı sonrası)","Montaj","Kalite (Montaj sonrası)","Boya","Kalite (Boya sonrası)","Yarı Mamül","KM"})),IF(COUNT(G735:R735)=0,"Başlamadı",LOOKUP(2,1/(G735:R735=MAX(G735:R735)),{"Tasarımda","Ply Cutter'da","Üretimde","Kalitede (Üretim sonrası)","Talaşlıda","Kalitede (Talaşlı sonrası)","Montajda","Kalitede (Montaj sonrası)","Boyada","Kalitede (Boya sonrası)","Yarı Mamülde","KM'de"}))))))</f>
        <v/>
      </c>
      <c r="AA735" s="24" t="str">
        <f t="shared" ca="1" si="189"/>
        <v/>
      </c>
      <c r="AB735" s="22"/>
      <c r="AD735" t="str">
        <f>IF(OR($B735="",NOT(ISNUMBER(G735))),"",IF(COUNTIF(H735:$T735,G735)&gt;0,0,IF(COUNTIF($G735:$T735,"&gt;"&amp;G735)=0,"",SMALL($G735:$T735,COUNTIF($G735:$T735,"&lt;="&amp;G735)+1)-G735)))</f>
        <v/>
      </c>
      <c r="AE735" t="str">
        <f>IF(OR($B735="",NOT(ISNUMBER(H735))),"",IF(COUNTIF(I735:$T735,H735)&gt;0,0,IF(COUNTIF($G735:$T735,"&gt;"&amp;H735)=0,"",SMALL($G735:$T735,COUNTIF($G735:$T735,"&lt;="&amp;H735)+1)-H735)))</f>
        <v/>
      </c>
      <c r="AF735" t="str">
        <f>IF(OR($B735="",NOT(ISNUMBER(I735))),"",IF(COUNTIF(J735:$T735,I735)&gt;0,0,IF(COUNTIF($G735:$T735,"&gt;"&amp;I735)=0,"",SMALL($G735:$T735,COUNTIF($G735:$T735,"&lt;="&amp;I735)+1)-I735)))</f>
        <v/>
      </c>
      <c r="AG735" t="str">
        <f>IF(OR($B735="",NOT(ISNUMBER(J735))),"",IF(COUNTIF(K735:$T735,J735)&gt;0,0,IF(COUNTIF($G735:$T735,"&gt;"&amp;J735)=0,"",SMALL($G735:$T735,COUNTIF($G735:$T735,"&lt;="&amp;J735)+1)-J735)))</f>
        <v/>
      </c>
      <c r="AH735" t="str">
        <f>IF(OR($B735="",NOT(ISNUMBER(K735))),"",IF(COUNTIF(L735:$T735,K735)&gt;0,0,IF(COUNTIF($G735:$T735,"&gt;"&amp;K735)=0,"",SMALL($G735:$T735,COUNTIF($G735:$T735,"&lt;="&amp;K735)+1)-K735)))</f>
        <v/>
      </c>
      <c r="AI735" t="str">
        <f>IF(OR($B735="",NOT(ISNUMBER(L735))),"",IF(COUNTIF(M735:$T735,L735)&gt;0,0,IF(COUNTIF($G735:$T735,"&gt;"&amp;L735)=0,"",SMALL($G735:$T735,COUNTIF($G735:$T735,"&lt;="&amp;L735)+1)-L735)))</f>
        <v/>
      </c>
      <c r="AJ735" t="str">
        <f>IF(OR($B735="",NOT(ISNUMBER(M735))),"",IF(COUNTIF(N735:$T735,M735)&gt;0,0,IF(COUNTIF($G735:$T735,"&gt;"&amp;M735)=0,"",SMALL($G735:$T735,COUNTIF($G735:$T735,"&lt;="&amp;M735)+1)-M735)))</f>
        <v/>
      </c>
      <c r="AK735" t="str">
        <f>IF(OR($B735="",NOT(ISNUMBER(N735))),"",IF(COUNTIF(O735:$T735,N735)&gt;0,0,IF(COUNTIF($G735:$T735,"&gt;"&amp;N735)=0,"",SMALL($G735:$T735,COUNTIF($G735:$T735,"&lt;="&amp;N735)+1)-N735)))</f>
        <v/>
      </c>
      <c r="AL735" t="str">
        <f>IF(OR($B735="",NOT(ISNUMBER(O735))),"",IF(COUNTIF(P735:$T735,O735)&gt;0,0,IF(COUNTIF($G735:$T735,"&gt;"&amp;O735)=0,"",SMALL($G735:$T735,COUNTIF($G735:$T735,"&lt;="&amp;O735)+1)-O735)))</f>
        <v/>
      </c>
      <c r="AM735" t="str">
        <f>IF(OR($B735="",NOT(ISNUMBER(P735))),"",IF(COUNTIF(Q735:$T735,P735)&gt;0,0,IF(COUNTIF($G735:$T735,"&gt;"&amp;P735)=0,"",SMALL($G735:$T735,COUNTIF($G735:$T735,"&lt;="&amp;P735)+1)-P735)))</f>
        <v/>
      </c>
      <c r="AN735" t="str">
        <f>IF(OR($B735="",NOT(ISNUMBER(Q735))),"",IF(COUNTIF(R735:$T735,Q735)&gt;0,0,IF(COUNTIF($G735:$T735,"&gt;"&amp;Q735)=0,"",SMALL($G735:$T735,COUNTIF($G735:$T735,"&lt;="&amp;Q735)+1)-Q735)))</f>
        <v/>
      </c>
      <c r="AO735" t="str">
        <f>IF(OR($B735="",NOT(ISNUMBER(R735))),"",IF(COUNTIF(S735:$T735,R735)&gt;0,0,IF(COUNTIF($G735:$T735,"&gt;"&amp;R735)=0,"",SMALL($G735:$T735,COUNTIF($G735:$T735,"&lt;="&amp;R735)+1)-R735)))</f>
        <v/>
      </c>
      <c r="AP735">
        <f t="shared" ca="1" si="190"/>
        <v>0</v>
      </c>
      <c r="AQ735" s="25" t="str">
        <f t="shared" si="191"/>
        <v/>
      </c>
      <c r="AR735" s="25" t="str">
        <f t="shared" si="192"/>
        <v/>
      </c>
      <c r="AS735" s="25" t="str">
        <f t="shared" si="193"/>
        <v/>
      </c>
      <c r="AT735" s="25" t="str">
        <f t="shared" si="194"/>
        <v/>
      </c>
      <c r="AU735" s="25" t="str">
        <f t="shared" si="195"/>
        <v/>
      </c>
      <c r="AV735" s="25" t="str">
        <f t="shared" si="196"/>
        <v/>
      </c>
      <c r="AW735" s="25" t="str">
        <f t="shared" si="197"/>
        <v/>
      </c>
      <c r="AX735" s="25" t="str">
        <f t="shared" si="198"/>
        <v/>
      </c>
      <c r="AY735" s="25" t="str">
        <f t="shared" si="199"/>
        <v/>
      </c>
      <c r="AZ735" s="25" t="str">
        <f t="shared" si="200"/>
        <v/>
      </c>
      <c r="BA735" s="25" t="str">
        <f t="shared" si="201"/>
        <v/>
      </c>
      <c r="BB735" s="25" t="str">
        <f t="shared" si="202"/>
        <v/>
      </c>
      <c r="BC735" s="25" t="str">
        <f t="shared" si="203"/>
        <v/>
      </c>
    </row>
    <row r="736" spans="1:55" x14ac:dyDescent="0.25">
      <c r="A736" s="19" t="str">
        <f t="shared" si="188"/>
        <v/>
      </c>
      <c r="B736" s="19"/>
      <c r="C736" s="20"/>
      <c r="D736" s="19" t="str">
        <f t="shared" si="187"/>
        <v/>
      </c>
      <c r="E736" s="19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19"/>
      <c r="U736" s="19"/>
      <c r="V736" s="20"/>
      <c r="W736" s="22"/>
      <c r="X736" s="21"/>
      <c r="Y736" s="21"/>
      <c r="Z736" s="23" t="str">
        <f>IF(B736="","",IF(S736&lt;&gt;"","Sevk Edildi",IF(AND(X736&lt;&gt;"",Y736=""),"Reworkte",IF(T736&lt;&gt;"","Kapandı"&amp;IF(COUNT(G736:R736)=0,""," – "&amp;LOOKUP(2,1/(G736:R736=MAX(G736:R736)),{"Tasarım","Ply Cutter","Üretim","Kalite (Üretim sonrası)","Talaşlı","Kalite (Talaşlı sonrası)","Montaj","Kalite (Montaj sonrası)","Boya","Kalite (Boya sonrası)","Yarı Mamül","KM"})),IF(COUNT(G736:R736)=0,"Başlamadı",LOOKUP(2,1/(G736:R736=MAX(G736:R736)),{"Tasarımda","Ply Cutter'da","Üretimde","Kalitede (Üretim sonrası)","Talaşlıda","Kalitede (Talaşlı sonrası)","Montajda","Kalitede (Montaj sonrası)","Boyada","Kalitede (Boya sonrası)","Yarı Mamülde","KM'de"}))))))</f>
        <v/>
      </c>
      <c r="AA736" s="24" t="str">
        <f t="shared" ca="1" si="189"/>
        <v/>
      </c>
      <c r="AB736" s="22"/>
      <c r="AD736" t="str">
        <f>IF(OR($B736="",NOT(ISNUMBER(G736))),"",IF(COUNTIF(H736:$T736,G736)&gt;0,0,IF(COUNTIF($G736:$T736,"&gt;"&amp;G736)=0,"",SMALL($G736:$T736,COUNTIF($G736:$T736,"&lt;="&amp;G736)+1)-G736)))</f>
        <v/>
      </c>
      <c r="AE736" t="str">
        <f>IF(OR($B736="",NOT(ISNUMBER(H736))),"",IF(COUNTIF(I736:$T736,H736)&gt;0,0,IF(COUNTIF($G736:$T736,"&gt;"&amp;H736)=0,"",SMALL($G736:$T736,COUNTIF($G736:$T736,"&lt;="&amp;H736)+1)-H736)))</f>
        <v/>
      </c>
      <c r="AF736" t="str">
        <f>IF(OR($B736="",NOT(ISNUMBER(I736))),"",IF(COUNTIF(J736:$T736,I736)&gt;0,0,IF(COUNTIF($G736:$T736,"&gt;"&amp;I736)=0,"",SMALL($G736:$T736,COUNTIF($G736:$T736,"&lt;="&amp;I736)+1)-I736)))</f>
        <v/>
      </c>
      <c r="AG736" t="str">
        <f>IF(OR($B736="",NOT(ISNUMBER(J736))),"",IF(COUNTIF(K736:$T736,J736)&gt;0,0,IF(COUNTIF($G736:$T736,"&gt;"&amp;J736)=0,"",SMALL($G736:$T736,COUNTIF($G736:$T736,"&lt;="&amp;J736)+1)-J736)))</f>
        <v/>
      </c>
      <c r="AH736" t="str">
        <f>IF(OR($B736="",NOT(ISNUMBER(K736))),"",IF(COUNTIF(L736:$T736,K736)&gt;0,0,IF(COUNTIF($G736:$T736,"&gt;"&amp;K736)=0,"",SMALL($G736:$T736,COUNTIF($G736:$T736,"&lt;="&amp;K736)+1)-K736)))</f>
        <v/>
      </c>
      <c r="AI736" t="str">
        <f>IF(OR($B736="",NOT(ISNUMBER(L736))),"",IF(COUNTIF(M736:$T736,L736)&gt;0,0,IF(COUNTIF($G736:$T736,"&gt;"&amp;L736)=0,"",SMALL($G736:$T736,COUNTIF($G736:$T736,"&lt;="&amp;L736)+1)-L736)))</f>
        <v/>
      </c>
      <c r="AJ736" t="str">
        <f>IF(OR($B736="",NOT(ISNUMBER(M736))),"",IF(COUNTIF(N736:$T736,M736)&gt;0,0,IF(COUNTIF($G736:$T736,"&gt;"&amp;M736)=0,"",SMALL($G736:$T736,COUNTIF($G736:$T736,"&lt;="&amp;M736)+1)-M736)))</f>
        <v/>
      </c>
      <c r="AK736" t="str">
        <f>IF(OR($B736="",NOT(ISNUMBER(N736))),"",IF(COUNTIF(O736:$T736,N736)&gt;0,0,IF(COUNTIF($G736:$T736,"&gt;"&amp;N736)=0,"",SMALL($G736:$T736,COUNTIF($G736:$T736,"&lt;="&amp;N736)+1)-N736)))</f>
        <v/>
      </c>
      <c r="AL736" t="str">
        <f>IF(OR($B736="",NOT(ISNUMBER(O736))),"",IF(COUNTIF(P736:$T736,O736)&gt;0,0,IF(COUNTIF($G736:$T736,"&gt;"&amp;O736)=0,"",SMALL($G736:$T736,COUNTIF($G736:$T736,"&lt;="&amp;O736)+1)-O736)))</f>
        <v/>
      </c>
      <c r="AM736" t="str">
        <f>IF(OR($B736="",NOT(ISNUMBER(P736))),"",IF(COUNTIF(Q736:$T736,P736)&gt;0,0,IF(COUNTIF($G736:$T736,"&gt;"&amp;P736)=0,"",SMALL($G736:$T736,COUNTIF($G736:$T736,"&lt;="&amp;P736)+1)-P736)))</f>
        <v/>
      </c>
      <c r="AN736" t="str">
        <f>IF(OR($B736="",NOT(ISNUMBER(Q736))),"",IF(COUNTIF(R736:$T736,Q736)&gt;0,0,IF(COUNTIF($G736:$T736,"&gt;"&amp;Q736)=0,"",SMALL($G736:$T736,COUNTIF($G736:$T736,"&lt;="&amp;Q736)+1)-Q736)))</f>
        <v/>
      </c>
      <c r="AO736" t="str">
        <f>IF(OR($B736="",NOT(ISNUMBER(R736))),"",IF(COUNTIF(S736:$T736,R736)&gt;0,0,IF(COUNTIF($G736:$T736,"&gt;"&amp;R736)=0,"",SMALL($G736:$T736,COUNTIF($G736:$T736,"&lt;="&amp;R736)+1)-R736)))</f>
        <v/>
      </c>
      <c r="AP736">
        <f t="shared" ca="1" si="190"/>
        <v>0</v>
      </c>
      <c r="AQ736" s="25" t="str">
        <f t="shared" si="191"/>
        <v/>
      </c>
      <c r="AR736" s="25" t="str">
        <f t="shared" si="192"/>
        <v/>
      </c>
      <c r="AS736" s="25" t="str">
        <f t="shared" si="193"/>
        <v/>
      </c>
      <c r="AT736" s="25" t="str">
        <f t="shared" si="194"/>
        <v/>
      </c>
      <c r="AU736" s="25" t="str">
        <f t="shared" si="195"/>
        <v/>
      </c>
      <c r="AV736" s="25" t="str">
        <f t="shared" si="196"/>
        <v/>
      </c>
      <c r="AW736" s="25" t="str">
        <f t="shared" si="197"/>
        <v/>
      </c>
      <c r="AX736" s="25" t="str">
        <f t="shared" si="198"/>
        <v/>
      </c>
      <c r="AY736" s="25" t="str">
        <f t="shared" si="199"/>
        <v/>
      </c>
      <c r="AZ736" s="25" t="str">
        <f t="shared" si="200"/>
        <v/>
      </c>
      <c r="BA736" s="25" t="str">
        <f t="shared" si="201"/>
        <v/>
      </c>
      <c r="BB736" s="25" t="str">
        <f t="shared" si="202"/>
        <v/>
      </c>
      <c r="BC736" s="25" t="str">
        <f t="shared" si="203"/>
        <v/>
      </c>
    </row>
    <row r="737" spans="1:55" x14ac:dyDescent="0.25">
      <c r="A737" s="19" t="str">
        <f t="shared" si="188"/>
        <v/>
      </c>
      <c r="B737" s="19"/>
      <c r="C737" s="20"/>
      <c r="D737" s="19" t="str">
        <f t="shared" si="187"/>
        <v/>
      </c>
      <c r="E737" s="19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19"/>
      <c r="U737" s="19"/>
      <c r="V737" s="20"/>
      <c r="W737" s="22"/>
      <c r="X737" s="21"/>
      <c r="Y737" s="21"/>
      <c r="Z737" s="23" t="str">
        <f>IF(B737="","",IF(S737&lt;&gt;"","Sevk Edildi",IF(AND(X737&lt;&gt;"",Y737=""),"Reworkte",IF(T737&lt;&gt;"","Kapandı"&amp;IF(COUNT(G737:R737)=0,""," – "&amp;LOOKUP(2,1/(G737:R737=MAX(G737:R737)),{"Tasarım","Ply Cutter","Üretim","Kalite (Üretim sonrası)","Talaşlı","Kalite (Talaşlı sonrası)","Montaj","Kalite (Montaj sonrası)","Boya","Kalite (Boya sonrası)","Yarı Mamül","KM"})),IF(COUNT(G737:R737)=0,"Başlamadı",LOOKUP(2,1/(G737:R737=MAX(G737:R737)),{"Tasarımda","Ply Cutter'da","Üretimde","Kalitede (Üretim sonrası)","Talaşlıda","Kalitede (Talaşlı sonrası)","Montajda","Kalitede (Montaj sonrası)","Boyada","Kalitede (Boya sonrası)","Yarı Mamülde","KM'de"}))))))</f>
        <v/>
      </c>
      <c r="AA737" s="24" t="str">
        <f t="shared" ca="1" si="189"/>
        <v/>
      </c>
      <c r="AB737" s="22"/>
      <c r="AD737" t="str">
        <f>IF(OR($B737="",NOT(ISNUMBER(G737))),"",IF(COUNTIF(H737:$T737,G737)&gt;0,0,IF(COUNTIF($G737:$T737,"&gt;"&amp;G737)=0,"",SMALL($G737:$T737,COUNTIF($G737:$T737,"&lt;="&amp;G737)+1)-G737)))</f>
        <v/>
      </c>
      <c r="AE737" t="str">
        <f>IF(OR($B737="",NOT(ISNUMBER(H737))),"",IF(COUNTIF(I737:$T737,H737)&gt;0,0,IF(COUNTIF($G737:$T737,"&gt;"&amp;H737)=0,"",SMALL($G737:$T737,COUNTIF($G737:$T737,"&lt;="&amp;H737)+1)-H737)))</f>
        <v/>
      </c>
      <c r="AF737" t="str">
        <f>IF(OR($B737="",NOT(ISNUMBER(I737))),"",IF(COUNTIF(J737:$T737,I737)&gt;0,0,IF(COUNTIF($G737:$T737,"&gt;"&amp;I737)=0,"",SMALL($G737:$T737,COUNTIF($G737:$T737,"&lt;="&amp;I737)+1)-I737)))</f>
        <v/>
      </c>
      <c r="AG737" t="str">
        <f>IF(OR($B737="",NOT(ISNUMBER(J737))),"",IF(COUNTIF(K737:$T737,J737)&gt;0,0,IF(COUNTIF($G737:$T737,"&gt;"&amp;J737)=0,"",SMALL($G737:$T737,COUNTIF($G737:$T737,"&lt;="&amp;J737)+1)-J737)))</f>
        <v/>
      </c>
      <c r="AH737" t="str">
        <f>IF(OR($B737="",NOT(ISNUMBER(K737))),"",IF(COUNTIF(L737:$T737,K737)&gt;0,0,IF(COUNTIF($G737:$T737,"&gt;"&amp;K737)=0,"",SMALL($G737:$T737,COUNTIF($G737:$T737,"&lt;="&amp;K737)+1)-K737)))</f>
        <v/>
      </c>
      <c r="AI737" t="str">
        <f>IF(OR($B737="",NOT(ISNUMBER(L737))),"",IF(COUNTIF(M737:$T737,L737)&gt;0,0,IF(COUNTIF($G737:$T737,"&gt;"&amp;L737)=0,"",SMALL($G737:$T737,COUNTIF($G737:$T737,"&lt;="&amp;L737)+1)-L737)))</f>
        <v/>
      </c>
      <c r="AJ737" t="str">
        <f>IF(OR($B737="",NOT(ISNUMBER(M737))),"",IF(COUNTIF(N737:$T737,M737)&gt;0,0,IF(COUNTIF($G737:$T737,"&gt;"&amp;M737)=0,"",SMALL($G737:$T737,COUNTIF($G737:$T737,"&lt;="&amp;M737)+1)-M737)))</f>
        <v/>
      </c>
      <c r="AK737" t="str">
        <f>IF(OR($B737="",NOT(ISNUMBER(N737))),"",IF(COUNTIF(O737:$T737,N737)&gt;0,0,IF(COUNTIF($G737:$T737,"&gt;"&amp;N737)=0,"",SMALL($G737:$T737,COUNTIF($G737:$T737,"&lt;="&amp;N737)+1)-N737)))</f>
        <v/>
      </c>
      <c r="AL737" t="str">
        <f>IF(OR($B737="",NOT(ISNUMBER(O737))),"",IF(COUNTIF(P737:$T737,O737)&gt;0,0,IF(COUNTIF($G737:$T737,"&gt;"&amp;O737)=0,"",SMALL($G737:$T737,COUNTIF($G737:$T737,"&lt;="&amp;O737)+1)-O737)))</f>
        <v/>
      </c>
      <c r="AM737" t="str">
        <f>IF(OR($B737="",NOT(ISNUMBER(P737))),"",IF(COUNTIF(Q737:$T737,P737)&gt;0,0,IF(COUNTIF($G737:$T737,"&gt;"&amp;P737)=0,"",SMALL($G737:$T737,COUNTIF($G737:$T737,"&lt;="&amp;P737)+1)-P737)))</f>
        <v/>
      </c>
      <c r="AN737" t="str">
        <f>IF(OR($B737="",NOT(ISNUMBER(Q737))),"",IF(COUNTIF(R737:$T737,Q737)&gt;0,0,IF(COUNTIF($G737:$T737,"&gt;"&amp;Q737)=0,"",SMALL($G737:$T737,COUNTIF($G737:$T737,"&lt;="&amp;Q737)+1)-Q737)))</f>
        <v/>
      </c>
      <c r="AO737" t="str">
        <f>IF(OR($B737="",NOT(ISNUMBER(R737))),"",IF(COUNTIF(S737:$T737,R737)&gt;0,0,IF(COUNTIF($G737:$T737,"&gt;"&amp;R737)=0,"",SMALL($G737:$T737,COUNTIF($G737:$T737,"&lt;="&amp;R737)+1)-R737)))</f>
        <v/>
      </c>
      <c r="AP737">
        <f t="shared" ca="1" si="190"/>
        <v>0</v>
      </c>
      <c r="AQ737" s="25" t="str">
        <f t="shared" si="191"/>
        <v/>
      </c>
      <c r="AR737" s="25" t="str">
        <f t="shared" si="192"/>
        <v/>
      </c>
      <c r="AS737" s="25" t="str">
        <f t="shared" si="193"/>
        <v/>
      </c>
      <c r="AT737" s="25" t="str">
        <f t="shared" si="194"/>
        <v/>
      </c>
      <c r="AU737" s="25" t="str">
        <f t="shared" si="195"/>
        <v/>
      </c>
      <c r="AV737" s="25" t="str">
        <f t="shared" si="196"/>
        <v/>
      </c>
      <c r="AW737" s="25" t="str">
        <f t="shared" si="197"/>
        <v/>
      </c>
      <c r="AX737" s="25" t="str">
        <f t="shared" si="198"/>
        <v/>
      </c>
      <c r="AY737" s="25" t="str">
        <f t="shared" si="199"/>
        <v/>
      </c>
      <c r="AZ737" s="25" t="str">
        <f t="shared" si="200"/>
        <v/>
      </c>
      <c r="BA737" s="25" t="str">
        <f t="shared" si="201"/>
        <v/>
      </c>
      <c r="BB737" s="25" t="str">
        <f t="shared" si="202"/>
        <v/>
      </c>
      <c r="BC737" s="25" t="str">
        <f t="shared" si="203"/>
        <v/>
      </c>
    </row>
    <row r="738" spans="1:55" x14ac:dyDescent="0.25">
      <c r="A738" s="19" t="str">
        <f t="shared" si="188"/>
        <v/>
      </c>
      <c r="B738" s="19"/>
      <c r="C738" s="20"/>
      <c r="D738" s="19" t="str">
        <f t="shared" si="187"/>
        <v/>
      </c>
      <c r="E738" s="19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19"/>
      <c r="U738" s="19"/>
      <c r="V738" s="20"/>
      <c r="W738" s="22"/>
      <c r="X738" s="21"/>
      <c r="Y738" s="21"/>
      <c r="Z738" s="23" t="str">
        <f>IF(B738="","",IF(S738&lt;&gt;"","Sevk Edildi",IF(AND(X738&lt;&gt;"",Y738=""),"Reworkte",IF(T738&lt;&gt;"","Kapandı"&amp;IF(COUNT(G738:R738)=0,""," – "&amp;LOOKUP(2,1/(G738:R738=MAX(G738:R738)),{"Tasarım","Ply Cutter","Üretim","Kalite (Üretim sonrası)","Talaşlı","Kalite (Talaşlı sonrası)","Montaj","Kalite (Montaj sonrası)","Boya","Kalite (Boya sonrası)","Yarı Mamül","KM"})),IF(COUNT(G738:R738)=0,"Başlamadı",LOOKUP(2,1/(G738:R738=MAX(G738:R738)),{"Tasarımda","Ply Cutter'da","Üretimde","Kalitede (Üretim sonrası)","Talaşlıda","Kalitede (Talaşlı sonrası)","Montajda","Kalitede (Montaj sonrası)","Boyada","Kalitede (Boya sonrası)","Yarı Mamülde","KM'de"}))))))</f>
        <v/>
      </c>
      <c r="AA738" s="24" t="str">
        <f t="shared" ca="1" si="189"/>
        <v/>
      </c>
      <c r="AB738" s="22"/>
      <c r="AD738" t="str">
        <f>IF(OR($B738="",NOT(ISNUMBER(G738))),"",IF(COUNTIF(H738:$T738,G738)&gt;0,0,IF(COUNTIF($G738:$T738,"&gt;"&amp;G738)=0,"",SMALL($G738:$T738,COUNTIF($G738:$T738,"&lt;="&amp;G738)+1)-G738)))</f>
        <v/>
      </c>
      <c r="AE738" t="str">
        <f>IF(OR($B738="",NOT(ISNUMBER(H738))),"",IF(COUNTIF(I738:$T738,H738)&gt;0,0,IF(COUNTIF($G738:$T738,"&gt;"&amp;H738)=0,"",SMALL($G738:$T738,COUNTIF($G738:$T738,"&lt;="&amp;H738)+1)-H738)))</f>
        <v/>
      </c>
      <c r="AF738" t="str">
        <f>IF(OR($B738="",NOT(ISNUMBER(I738))),"",IF(COUNTIF(J738:$T738,I738)&gt;0,0,IF(COUNTIF($G738:$T738,"&gt;"&amp;I738)=0,"",SMALL($G738:$T738,COUNTIF($G738:$T738,"&lt;="&amp;I738)+1)-I738)))</f>
        <v/>
      </c>
      <c r="AG738" t="str">
        <f>IF(OR($B738="",NOT(ISNUMBER(J738))),"",IF(COUNTIF(K738:$T738,J738)&gt;0,0,IF(COUNTIF($G738:$T738,"&gt;"&amp;J738)=0,"",SMALL($G738:$T738,COUNTIF($G738:$T738,"&lt;="&amp;J738)+1)-J738)))</f>
        <v/>
      </c>
      <c r="AH738" t="str">
        <f>IF(OR($B738="",NOT(ISNUMBER(K738))),"",IF(COUNTIF(L738:$T738,K738)&gt;0,0,IF(COUNTIF($G738:$T738,"&gt;"&amp;K738)=0,"",SMALL($G738:$T738,COUNTIF($G738:$T738,"&lt;="&amp;K738)+1)-K738)))</f>
        <v/>
      </c>
      <c r="AI738" t="str">
        <f>IF(OR($B738="",NOT(ISNUMBER(L738))),"",IF(COUNTIF(M738:$T738,L738)&gt;0,0,IF(COUNTIF($G738:$T738,"&gt;"&amp;L738)=0,"",SMALL($G738:$T738,COUNTIF($G738:$T738,"&lt;="&amp;L738)+1)-L738)))</f>
        <v/>
      </c>
      <c r="AJ738" t="str">
        <f>IF(OR($B738="",NOT(ISNUMBER(M738))),"",IF(COUNTIF(N738:$T738,M738)&gt;0,0,IF(COUNTIF($G738:$T738,"&gt;"&amp;M738)=0,"",SMALL($G738:$T738,COUNTIF($G738:$T738,"&lt;="&amp;M738)+1)-M738)))</f>
        <v/>
      </c>
      <c r="AK738" t="str">
        <f>IF(OR($B738="",NOT(ISNUMBER(N738))),"",IF(COUNTIF(O738:$T738,N738)&gt;0,0,IF(COUNTIF($G738:$T738,"&gt;"&amp;N738)=0,"",SMALL($G738:$T738,COUNTIF($G738:$T738,"&lt;="&amp;N738)+1)-N738)))</f>
        <v/>
      </c>
      <c r="AL738" t="str">
        <f>IF(OR($B738="",NOT(ISNUMBER(O738))),"",IF(COUNTIF(P738:$T738,O738)&gt;0,0,IF(COUNTIF($G738:$T738,"&gt;"&amp;O738)=0,"",SMALL($G738:$T738,COUNTIF($G738:$T738,"&lt;="&amp;O738)+1)-O738)))</f>
        <v/>
      </c>
      <c r="AM738" t="str">
        <f>IF(OR($B738="",NOT(ISNUMBER(P738))),"",IF(COUNTIF(Q738:$T738,P738)&gt;0,0,IF(COUNTIF($G738:$T738,"&gt;"&amp;P738)=0,"",SMALL($G738:$T738,COUNTIF($G738:$T738,"&lt;="&amp;P738)+1)-P738)))</f>
        <v/>
      </c>
      <c r="AN738" t="str">
        <f>IF(OR($B738="",NOT(ISNUMBER(Q738))),"",IF(COUNTIF(R738:$T738,Q738)&gt;0,0,IF(COUNTIF($G738:$T738,"&gt;"&amp;Q738)=0,"",SMALL($G738:$T738,COUNTIF($G738:$T738,"&lt;="&amp;Q738)+1)-Q738)))</f>
        <v/>
      </c>
      <c r="AO738" t="str">
        <f>IF(OR($B738="",NOT(ISNUMBER(R738))),"",IF(COUNTIF(S738:$T738,R738)&gt;0,0,IF(COUNTIF($G738:$T738,"&gt;"&amp;R738)=0,"",SMALL($G738:$T738,COUNTIF($G738:$T738,"&lt;="&amp;R738)+1)-R738)))</f>
        <v/>
      </c>
      <c r="AP738">
        <f t="shared" ca="1" si="190"/>
        <v>0</v>
      </c>
      <c r="AQ738" s="25" t="str">
        <f t="shared" si="191"/>
        <v/>
      </c>
      <c r="AR738" s="25" t="str">
        <f t="shared" si="192"/>
        <v/>
      </c>
      <c r="AS738" s="25" t="str">
        <f t="shared" si="193"/>
        <v/>
      </c>
      <c r="AT738" s="25" t="str">
        <f t="shared" si="194"/>
        <v/>
      </c>
      <c r="AU738" s="25" t="str">
        <f t="shared" si="195"/>
        <v/>
      </c>
      <c r="AV738" s="25" t="str">
        <f t="shared" si="196"/>
        <v/>
      </c>
      <c r="AW738" s="25" t="str">
        <f t="shared" si="197"/>
        <v/>
      </c>
      <c r="AX738" s="25" t="str">
        <f t="shared" si="198"/>
        <v/>
      </c>
      <c r="AY738" s="25" t="str">
        <f t="shared" si="199"/>
        <v/>
      </c>
      <c r="AZ738" s="25" t="str">
        <f t="shared" si="200"/>
        <v/>
      </c>
      <c r="BA738" s="25" t="str">
        <f t="shared" si="201"/>
        <v/>
      </c>
      <c r="BB738" s="25" t="str">
        <f t="shared" si="202"/>
        <v/>
      </c>
      <c r="BC738" s="25" t="str">
        <f t="shared" si="203"/>
        <v/>
      </c>
    </row>
    <row r="739" spans="1:55" x14ac:dyDescent="0.25">
      <c r="A739" s="19" t="str">
        <f t="shared" si="188"/>
        <v/>
      </c>
      <c r="B739" s="19"/>
      <c r="C739" s="20"/>
      <c r="D739" s="19" t="str">
        <f t="shared" si="187"/>
        <v/>
      </c>
      <c r="E739" s="19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19"/>
      <c r="U739" s="19"/>
      <c r="V739" s="20"/>
      <c r="W739" s="22"/>
      <c r="X739" s="21"/>
      <c r="Y739" s="21"/>
      <c r="Z739" s="23" t="str">
        <f>IF(B739="","",IF(S739&lt;&gt;"","Sevk Edildi",IF(AND(X739&lt;&gt;"",Y739=""),"Reworkte",IF(T739&lt;&gt;"","Kapandı"&amp;IF(COUNT(G739:R739)=0,""," – "&amp;LOOKUP(2,1/(G739:R739=MAX(G739:R739)),{"Tasarım","Ply Cutter","Üretim","Kalite (Üretim sonrası)","Talaşlı","Kalite (Talaşlı sonrası)","Montaj","Kalite (Montaj sonrası)","Boya","Kalite (Boya sonrası)","Yarı Mamül","KM"})),IF(COUNT(G739:R739)=0,"Başlamadı",LOOKUP(2,1/(G739:R739=MAX(G739:R739)),{"Tasarımda","Ply Cutter'da","Üretimde","Kalitede (Üretim sonrası)","Talaşlıda","Kalitede (Talaşlı sonrası)","Montajda","Kalitede (Montaj sonrası)","Boyada","Kalitede (Boya sonrası)","Yarı Mamülde","KM'de"}))))))</f>
        <v/>
      </c>
      <c r="AA739" s="24" t="str">
        <f t="shared" ca="1" si="189"/>
        <v/>
      </c>
      <c r="AB739" s="22"/>
      <c r="AD739" t="str">
        <f>IF(OR($B739="",NOT(ISNUMBER(G739))),"",IF(COUNTIF(H739:$T739,G739)&gt;0,0,IF(COUNTIF($G739:$T739,"&gt;"&amp;G739)=0,"",SMALL($G739:$T739,COUNTIF($G739:$T739,"&lt;="&amp;G739)+1)-G739)))</f>
        <v/>
      </c>
      <c r="AE739" t="str">
        <f>IF(OR($B739="",NOT(ISNUMBER(H739))),"",IF(COUNTIF(I739:$T739,H739)&gt;0,0,IF(COUNTIF($G739:$T739,"&gt;"&amp;H739)=0,"",SMALL($G739:$T739,COUNTIF($G739:$T739,"&lt;="&amp;H739)+1)-H739)))</f>
        <v/>
      </c>
      <c r="AF739" t="str">
        <f>IF(OR($B739="",NOT(ISNUMBER(I739))),"",IF(COUNTIF(J739:$T739,I739)&gt;0,0,IF(COUNTIF($G739:$T739,"&gt;"&amp;I739)=0,"",SMALL($G739:$T739,COUNTIF($G739:$T739,"&lt;="&amp;I739)+1)-I739)))</f>
        <v/>
      </c>
      <c r="AG739" t="str">
        <f>IF(OR($B739="",NOT(ISNUMBER(J739))),"",IF(COUNTIF(K739:$T739,J739)&gt;0,0,IF(COUNTIF($G739:$T739,"&gt;"&amp;J739)=0,"",SMALL($G739:$T739,COUNTIF($G739:$T739,"&lt;="&amp;J739)+1)-J739)))</f>
        <v/>
      </c>
      <c r="AH739" t="str">
        <f>IF(OR($B739="",NOT(ISNUMBER(K739))),"",IF(COUNTIF(L739:$T739,K739)&gt;0,0,IF(COUNTIF($G739:$T739,"&gt;"&amp;K739)=0,"",SMALL($G739:$T739,COUNTIF($G739:$T739,"&lt;="&amp;K739)+1)-K739)))</f>
        <v/>
      </c>
      <c r="AI739" t="str">
        <f>IF(OR($B739="",NOT(ISNUMBER(L739))),"",IF(COUNTIF(M739:$T739,L739)&gt;0,0,IF(COUNTIF($G739:$T739,"&gt;"&amp;L739)=0,"",SMALL($G739:$T739,COUNTIF($G739:$T739,"&lt;="&amp;L739)+1)-L739)))</f>
        <v/>
      </c>
      <c r="AJ739" t="str">
        <f>IF(OR($B739="",NOT(ISNUMBER(M739))),"",IF(COUNTIF(N739:$T739,M739)&gt;0,0,IF(COUNTIF($G739:$T739,"&gt;"&amp;M739)=0,"",SMALL($G739:$T739,COUNTIF($G739:$T739,"&lt;="&amp;M739)+1)-M739)))</f>
        <v/>
      </c>
      <c r="AK739" t="str">
        <f>IF(OR($B739="",NOT(ISNUMBER(N739))),"",IF(COUNTIF(O739:$T739,N739)&gt;0,0,IF(COUNTIF($G739:$T739,"&gt;"&amp;N739)=0,"",SMALL($G739:$T739,COUNTIF($G739:$T739,"&lt;="&amp;N739)+1)-N739)))</f>
        <v/>
      </c>
      <c r="AL739" t="str">
        <f>IF(OR($B739="",NOT(ISNUMBER(O739))),"",IF(COUNTIF(P739:$T739,O739)&gt;0,0,IF(COUNTIF($G739:$T739,"&gt;"&amp;O739)=0,"",SMALL($G739:$T739,COUNTIF($G739:$T739,"&lt;="&amp;O739)+1)-O739)))</f>
        <v/>
      </c>
      <c r="AM739" t="str">
        <f>IF(OR($B739="",NOT(ISNUMBER(P739))),"",IF(COUNTIF(Q739:$T739,P739)&gt;0,0,IF(COUNTIF($G739:$T739,"&gt;"&amp;P739)=0,"",SMALL($G739:$T739,COUNTIF($G739:$T739,"&lt;="&amp;P739)+1)-P739)))</f>
        <v/>
      </c>
      <c r="AN739" t="str">
        <f>IF(OR($B739="",NOT(ISNUMBER(Q739))),"",IF(COUNTIF(R739:$T739,Q739)&gt;0,0,IF(COUNTIF($G739:$T739,"&gt;"&amp;Q739)=0,"",SMALL($G739:$T739,COUNTIF($G739:$T739,"&lt;="&amp;Q739)+1)-Q739)))</f>
        <v/>
      </c>
      <c r="AO739" t="str">
        <f>IF(OR($B739="",NOT(ISNUMBER(R739))),"",IF(COUNTIF(S739:$T739,R739)&gt;0,0,IF(COUNTIF($G739:$T739,"&gt;"&amp;R739)=0,"",SMALL($G739:$T739,COUNTIF($G739:$T739,"&lt;="&amp;R739)+1)-R739)))</f>
        <v/>
      </c>
      <c r="AP739">
        <f t="shared" ca="1" si="190"/>
        <v>0</v>
      </c>
      <c r="AQ739" s="25" t="str">
        <f t="shared" si="191"/>
        <v/>
      </c>
      <c r="AR739" s="25" t="str">
        <f t="shared" si="192"/>
        <v/>
      </c>
      <c r="AS739" s="25" t="str">
        <f t="shared" si="193"/>
        <v/>
      </c>
      <c r="AT739" s="25" t="str">
        <f t="shared" si="194"/>
        <v/>
      </c>
      <c r="AU739" s="25" t="str">
        <f t="shared" si="195"/>
        <v/>
      </c>
      <c r="AV739" s="25" t="str">
        <f t="shared" si="196"/>
        <v/>
      </c>
      <c r="AW739" s="25" t="str">
        <f t="shared" si="197"/>
        <v/>
      </c>
      <c r="AX739" s="25" t="str">
        <f t="shared" si="198"/>
        <v/>
      </c>
      <c r="AY739" s="25" t="str">
        <f t="shared" si="199"/>
        <v/>
      </c>
      <c r="AZ739" s="25" t="str">
        <f t="shared" si="200"/>
        <v/>
      </c>
      <c r="BA739" s="25" t="str">
        <f t="shared" si="201"/>
        <v/>
      </c>
      <c r="BB739" s="25" t="str">
        <f t="shared" si="202"/>
        <v/>
      </c>
      <c r="BC739" s="25" t="str">
        <f t="shared" si="203"/>
        <v/>
      </c>
    </row>
    <row r="740" spans="1:55" x14ac:dyDescent="0.25">
      <c r="A740" s="19" t="str">
        <f t="shared" si="188"/>
        <v/>
      </c>
      <c r="B740" s="19"/>
      <c r="C740" s="20"/>
      <c r="D740" s="19" t="str">
        <f t="shared" si="187"/>
        <v/>
      </c>
      <c r="E740" s="19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19"/>
      <c r="U740" s="19"/>
      <c r="V740" s="20"/>
      <c r="W740" s="22"/>
      <c r="X740" s="21"/>
      <c r="Y740" s="21"/>
      <c r="Z740" s="23" t="str">
        <f>IF(B740="","",IF(S740&lt;&gt;"","Sevk Edildi",IF(AND(X740&lt;&gt;"",Y740=""),"Reworkte",IF(T740&lt;&gt;"","Kapandı"&amp;IF(COUNT(G740:R740)=0,""," – "&amp;LOOKUP(2,1/(G740:R740=MAX(G740:R740)),{"Tasarım","Ply Cutter","Üretim","Kalite (Üretim sonrası)","Talaşlı","Kalite (Talaşlı sonrası)","Montaj","Kalite (Montaj sonrası)","Boya","Kalite (Boya sonrası)","Yarı Mamül","KM"})),IF(COUNT(G740:R740)=0,"Başlamadı",LOOKUP(2,1/(G740:R740=MAX(G740:R740)),{"Tasarımda","Ply Cutter'da","Üretimde","Kalitede (Üretim sonrası)","Talaşlıda","Kalitede (Talaşlı sonrası)","Montajda","Kalitede (Montaj sonrası)","Boyada","Kalitede (Boya sonrası)","Yarı Mamülde","KM'de"}))))))</f>
        <v/>
      </c>
      <c r="AA740" s="24" t="str">
        <f t="shared" ca="1" si="189"/>
        <v/>
      </c>
      <c r="AB740" s="22"/>
      <c r="AD740" t="str">
        <f>IF(OR($B740="",NOT(ISNUMBER(G740))),"",IF(COUNTIF(H740:$T740,G740)&gt;0,0,IF(COUNTIF($G740:$T740,"&gt;"&amp;G740)=0,"",SMALL($G740:$T740,COUNTIF($G740:$T740,"&lt;="&amp;G740)+1)-G740)))</f>
        <v/>
      </c>
      <c r="AE740" t="str">
        <f>IF(OR($B740="",NOT(ISNUMBER(H740))),"",IF(COUNTIF(I740:$T740,H740)&gt;0,0,IF(COUNTIF($G740:$T740,"&gt;"&amp;H740)=0,"",SMALL($G740:$T740,COUNTIF($G740:$T740,"&lt;="&amp;H740)+1)-H740)))</f>
        <v/>
      </c>
      <c r="AF740" t="str">
        <f>IF(OR($B740="",NOT(ISNUMBER(I740))),"",IF(COUNTIF(J740:$T740,I740)&gt;0,0,IF(COUNTIF($G740:$T740,"&gt;"&amp;I740)=0,"",SMALL($G740:$T740,COUNTIF($G740:$T740,"&lt;="&amp;I740)+1)-I740)))</f>
        <v/>
      </c>
      <c r="AG740" t="str">
        <f>IF(OR($B740="",NOT(ISNUMBER(J740))),"",IF(COUNTIF(K740:$T740,J740)&gt;0,0,IF(COUNTIF($G740:$T740,"&gt;"&amp;J740)=0,"",SMALL($G740:$T740,COUNTIF($G740:$T740,"&lt;="&amp;J740)+1)-J740)))</f>
        <v/>
      </c>
      <c r="AH740" t="str">
        <f>IF(OR($B740="",NOT(ISNUMBER(K740))),"",IF(COUNTIF(L740:$T740,K740)&gt;0,0,IF(COUNTIF($G740:$T740,"&gt;"&amp;K740)=0,"",SMALL($G740:$T740,COUNTIF($G740:$T740,"&lt;="&amp;K740)+1)-K740)))</f>
        <v/>
      </c>
      <c r="AI740" t="str">
        <f>IF(OR($B740="",NOT(ISNUMBER(L740))),"",IF(COUNTIF(M740:$T740,L740)&gt;0,0,IF(COUNTIF($G740:$T740,"&gt;"&amp;L740)=0,"",SMALL($G740:$T740,COUNTIF($G740:$T740,"&lt;="&amp;L740)+1)-L740)))</f>
        <v/>
      </c>
      <c r="AJ740" t="str">
        <f>IF(OR($B740="",NOT(ISNUMBER(M740))),"",IF(COUNTIF(N740:$T740,M740)&gt;0,0,IF(COUNTIF($G740:$T740,"&gt;"&amp;M740)=0,"",SMALL($G740:$T740,COUNTIF($G740:$T740,"&lt;="&amp;M740)+1)-M740)))</f>
        <v/>
      </c>
      <c r="AK740" t="str">
        <f>IF(OR($B740="",NOT(ISNUMBER(N740))),"",IF(COUNTIF(O740:$T740,N740)&gt;0,0,IF(COUNTIF($G740:$T740,"&gt;"&amp;N740)=0,"",SMALL($G740:$T740,COUNTIF($G740:$T740,"&lt;="&amp;N740)+1)-N740)))</f>
        <v/>
      </c>
      <c r="AL740" t="str">
        <f>IF(OR($B740="",NOT(ISNUMBER(O740))),"",IF(COUNTIF(P740:$T740,O740)&gt;0,0,IF(COUNTIF($G740:$T740,"&gt;"&amp;O740)=0,"",SMALL($G740:$T740,COUNTIF($G740:$T740,"&lt;="&amp;O740)+1)-O740)))</f>
        <v/>
      </c>
      <c r="AM740" t="str">
        <f>IF(OR($B740="",NOT(ISNUMBER(P740))),"",IF(COUNTIF(Q740:$T740,P740)&gt;0,0,IF(COUNTIF($G740:$T740,"&gt;"&amp;P740)=0,"",SMALL($G740:$T740,COUNTIF($G740:$T740,"&lt;="&amp;P740)+1)-P740)))</f>
        <v/>
      </c>
      <c r="AN740" t="str">
        <f>IF(OR($B740="",NOT(ISNUMBER(Q740))),"",IF(COUNTIF(R740:$T740,Q740)&gt;0,0,IF(COUNTIF($G740:$T740,"&gt;"&amp;Q740)=0,"",SMALL($G740:$T740,COUNTIF($G740:$T740,"&lt;="&amp;Q740)+1)-Q740)))</f>
        <v/>
      </c>
      <c r="AO740" t="str">
        <f>IF(OR($B740="",NOT(ISNUMBER(R740))),"",IF(COUNTIF(S740:$T740,R740)&gt;0,0,IF(COUNTIF($G740:$T740,"&gt;"&amp;R740)=0,"",SMALL($G740:$T740,COUNTIF($G740:$T740,"&lt;="&amp;R740)+1)-R740)))</f>
        <v/>
      </c>
      <c r="AP740">
        <f t="shared" ca="1" si="190"/>
        <v>0</v>
      </c>
      <c r="AQ740" s="25" t="str">
        <f t="shared" si="191"/>
        <v/>
      </c>
      <c r="AR740" s="25" t="str">
        <f t="shared" si="192"/>
        <v/>
      </c>
      <c r="AS740" s="25" t="str">
        <f t="shared" si="193"/>
        <v/>
      </c>
      <c r="AT740" s="25" t="str">
        <f t="shared" si="194"/>
        <v/>
      </c>
      <c r="AU740" s="25" t="str">
        <f t="shared" si="195"/>
        <v/>
      </c>
      <c r="AV740" s="25" t="str">
        <f t="shared" si="196"/>
        <v/>
      </c>
      <c r="AW740" s="25" t="str">
        <f t="shared" si="197"/>
        <v/>
      </c>
      <c r="AX740" s="25" t="str">
        <f t="shared" si="198"/>
        <v/>
      </c>
      <c r="AY740" s="25" t="str">
        <f t="shared" si="199"/>
        <v/>
      </c>
      <c r="AZ740" s="25" t="str">
        <f t="shared" si="200"/>
        <v/>
      </c>
      <c r="BA740" s="25" t="str">
        <f t="shared" si="201"/>
        <v/>
      </c>
      <c r="BB740" s="25" t="str">
        <f t="shared" si="202"/>
        <v/>
      </c>
      <c r="BC740" s="25" t="str">
        <f t="shared" si="203"/>
        <v/>
      </c>
    </row>
    <row r="741" spans="1:55" x14ac:dyDescent="0.25">
      <c r="A741" s="19" t="str">
        <f t="shared" si="188"/>
        <v/>
      </c>
      <c r="B741" s="19"/>
      <c r="C741" s="20"/>
      <c r="D741" s="19" t="str">
        <f t="shared" si="187"/>
        <v/>
      </c>
      <c r="E741" s="19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19"/>
      <c r="U741" s="19"/>
      <c r="V741" s="20"/>
      <c r="W741" s="22"/>
      <c r="X741" s="21"/>
      <c r="Y741" s="21"/>
      <c r="Z741" s="23" t="str">
        <f>IF(B741="","",IF(S741&lt;&gt;"","Sevk Edildi",IF(AND(X741&lt;&gt;"",Y741=""),"Reworkte",IF(T741&lt;&gt;"","Kapandı"&amp;IF(COUNT(G741:R741)=0,""," – "&amp;LOOKUP(2,1/(G741:R741=MAX(G741:R741)),{"Tasarım","Ply Cutter","Üretim","Kalite (Üretim sonrası)","Talaşlı","Kalite (Talaşlı sonrası)","Montaj","Kalite (Montaj sonrası)","Boya","Kalite (Boya sonrası)","Yarı Mamül","KM"})),IF(COUNT(G741:R741)=0,"Başlamadı",LOOKUP(2,1/(G741:R741=MAX(G741:R741)),{"Tasarımda","Ply Cutter'da","Üretimde","Kalitede (Üretim sonrası)","Talaşlıda","Kalitede (Talaşlı sonrası)","Montajda","Kalitede (Montaj sonrası)","Boyada","Kalitede (Boya sonrası)","Yarı Mamülde","KM'de"}))))))</f>
        <v/>
      </c>
      <c r="AA741" s="24" t="str">
        <f t="shared" ca="1" si="189"/>
        <v/>
      </c>
      <c r="AB741" s="22"/>
      <c r="AD741" t="str">
        <f>IF(OR($B741="",NOT(ISNUMBER(G741))),"",IF(COUNTIF(H741:$T741,G741)&gt;0,0,IF(COUNTIF($G741:$T741,"&gt;"&amp;G741)=0,"",SMALL($G741:$T741,COUNTIF($G741:$T741,"&lt;="&amp;G741)+1)-G741)))</f>
        <v/>
      </c>
      <c r="AE741" t="str">
        <f>IF(OR($B741="",NOT(ISNUMBER(H741))),"",IF(COUNTIF(I741:$T741,H741)&gt;0,0,IF(COUNTIF($G741:$T741,"&gt;"&amp;H741)=0,"",SMALL($G741:$T741,COUNTIF($G741:$T741,"&lt;="&amp;H741)+1)-H741)))</f>
        <v/>
      </c>
      <c r="AF741" t="str">
        <f>IF(OR($B741="",NOT(ISNUMBER(I741))),"",IF(COUNTIF(J741:$T741,I741)&gt;0,0,IF(COUNTIF($G741:$T741,"&gt;"&amp;I741)=0,"",SMALL($G741:$T741,COUNTIF($G741:$T741,"&lt;="&amp;I741)+1)-I741)))</f>
        <v/>
      </c>
      <c r="AG741" t="str">
        <f>IF(OR($B741="",NOT(ISNUMBER(J741))),"",IF(COUNTIF(K741:$T741,J741)&gt;0,0,IF(COUNTIF($G741:$T741,"&gt;"&amp;J741)=0,"",SMALL($G741:$T741,COUNTIF($G741:$T741,"&lt;="&amp;J741)+1)-J741)))</f>
        <v/>
      </c>
      <c r="AH741" t="str">
        <f>IF(OR($B741="",NOT(ISNUMBER(K741))),"",IF(COUNTIF(L741:$T741,K741)&gt;0,0,IF(COUNTIF($G741:$T741,"&gt;"&amp;K741)=0,"",SMALL($G741:$T741,COUNTIF($G741:$T741,"&lt;="&amp;K741)+1)-K741)))</f>
        <v/>
      </c>
      <c r="AI741" t="str">
        <f>IF(OR($B741="",NOT(ISNUMBER(L741))),"",IF(COUNTIF(M741:$T741,L741)&gt;0,0,IF(COUNTIF($G741:$T741,"&gt;"&amp;L741)=0,"",SMALL($G741:$T741,COUNTIF($G741:$T741,"&lt;="&amp;L741)+1)-L741)))</f>
        <v/>
      </c>
      <c r="AJ741" t="str">
        <f>IF(OR($B741="",NOT(ISNUMBER(M741))),"",IF(COUNTIF(N741:$T741,M741)&gt;0,0,IF(COUNTIF($G741:$T741,"&gt;"&amp;M741)=0,"",SMALL($G741:$T741,COUNTIF($G741:$T741,"&lt;="&amp;M741)+1)-M741)))</f>
        <v/>
      </c>
      <c r="AK741" t="str">
        <f>IF(OR($B741="",NOT(ISNUMBER(N741))),"",IF(COUNTIF(O741:$T741,N741)&gt;0,0,IF(COUNTIF($G741:$T741,"&gt;"&amp;N741)=0,"",SMALL($G741:$T741,COUNTIF($G741:$T741,"&lt;="&amp;N741)+1)-N741)))</f>
        <v/>
      </c>
      <c r="AL741" t="str">
        <f>IF(OR($B741="",NOT(ISNUMBER(O741))),"",IF(COUNTIF(P741:$T741,O741)&gt;0,0,IF(COUNTIF($G741:$T741,"&gt;"&amp;O741)=0,"",SMALL($G741:$T741,COUNTIF($G741:$T741,"&lt;="&amp;O741)+1)-O741)))</f>
        <v/>
      </c>
      <c r="AM741" t="str">
        <f>IF(OR($B741="",NOT(ISNUMBER(P741))),"",IF(COUNTIF(Q741:$T741,P741)&gt;0,0,IF(COUNTIF($G741:$T741,"&gt;"&amp;P741)=0,"",SMALL($G741:$T741,COUNTIF($G741:$T741,"&lt;="&amp;P741)+1)-P741)))</f>
        <v/>
      </c>
      <c r="AN741" t="str">
        <f>IF(OR($B741="",NOT(ISNUMBER(Q741))),"",IF(COUNTIF(R741:$T741,Q741)&gt;0,0,IF(COUNTIF($G741:$T741,"&gt;"&amp;Q741)=0,"",SMALL($G741:$T741,COUNTIF($G741:$T741,"&lt;="&amp;Q741)+1)-Q741)))</f>
        <v/>
      </c>
      <c r="AO741" t="str">
        <f>IF(OR($B741="",NOT(ISNUMBER(R741))),"",IF(COUNTIF(S741:$T741,R741)&gt;0,0,IF(COUNTIF($G741:$T741,"&gt;"&amp;R741)=0,"",SMALL($G741:$T741,COUNTIF($G741:$T741,"&lt;="&amp;R741)+1)-R741)))</f>
        <v/>
      </c>
      <c r="AP741">
        <f t="shared" ca="1" si="190"/>
        <v>0</v>
      </c>
      <c r="AQ741" s="25" t="str">
        <f t="shared" si="191"/>
        <v/>
      </c>
      <c r="AR741" s="25" t="str">
        <f t="shared" si="192"/>
        <v/>
      </c>
      <c r="AS741" s="25" t="str">
        <f t="shared" si="193"/>
        <v/>
      </c>
      <c r="AT741" s="25" t="str">
        <f t="shared" si="194"/>
        <v/>
      </c>
      <c r="AU741" s="25" t="str">
        <f t="shared" si="195"/>
        <v/>
      </c>
      <c r="AV741" s="25" t="str">
        <f t="shared" si="196"/>
        <v/>
      </c>
      <c r="AW741" s="25" t="str">
        <f t="shared" si="197"/>
        <v/>
      </c>
      <c r="AX741" s="25" t="str">
        <f t="shared" si="198"/>
        <v/>
      </c>
      <c r="AY741" s="25" t="str">
        <f t="shared" si="199"/>
        <v/>
      </c>
      <c r="AZ741" s="25" t="str">
        <f t="shared" si="200"/>
        <v/>
      </c>
      <c r="BA741" s="25" t="str">
        <f t="shared" si="201"/>
        <v/>
      </c>
      <c r="BB741" s="25" t="str">
        <f t="shared" si="202"/>
        <v/>
      </c>
      <c r="BC741" s="25" t="str">
        <f t="shared" si="203"/>
        <v/>
      </c>
    </row>
    <row r="742" spans="1:55" x14ac:dyDescent="0.25">
      <c r="A742" s="19" t="str">
        <f t="shared" si="188"/>
        <v/>
      </c>
      <c r="B742" s="19"/>
      <c r="C742" s="20"/>
      <c r="D742" s="19" t="str">
        <f t="shared" si="187"/>
        <v/>
      </c>
      <c r="E742" s="19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19"/>
      <c r="U742" s="19"/>
      <c r="V742" s="20"/>
      <c r="W742" s="22"/>
      <c r="X742" s="21"/>
      <c r="Y742" s="21"/>
      <c r="Z742" s="23" t="str">
        <f>IF(B742="","",IF(S742&lt;&gt;"","Sevk Edildi",IF(AND(X742&lt;&gt;"",Y742=""),"Reworkte",IF(T742&lt;&gt;"","Kapandı"&amp;IF(COUNT(G742:R742)=0,""," – "&amp;LOOKUP(2,1/(G742:R742=MAX(G742:R742)),{"Tasarım","Ply Cutter","Üretim","Kalite (Üretim sonrası)","Talaşlı","Kalite (Talaşlı sonrası)","Montaj","Kalite (Montaj sonrası)","Boya","Kalite (Boya sonrası)","Yarı Mamül","KM"})),IF(COUNT(G742:R742)=0,"Başlamadı",LOOKUP(2,1/(G742:R742=MAX(G742:R742)),{"Tasarımda","Ply Cutter'da","Üretimde","Kalitede (Üretim sonrası)","Talaşlıda","Kalitede (Talaşlı sonrası)","Montajda","Kalitede (Montaj sonrası)","Boyada","Kalitede (Boya sonrası)","Yarı Mamülde","KM'de"}))))))</f>
        <v/>
      </c>
      <c r="AA742" s="24" t="str">
        <f t="shared" ca="1" si="189"/>
        <v/>
      </c>
      <c r="AB742" s="22"/>
      <c r="AD742" t="str">
        <f>IF(OR($B742="",NOT(ISNUMBER(G742))),"",IF(COUNTIF(H742:$T742,G742)&gt;0,0,IF(COUNTIF($G742:$T742,"&gt;"&amp;G742)=0,"",SMALL($G742:$T742,COUNTIF($G742:$T742,"&lt;="&amp;G742)+1)-G742)))</f>
        <v/>
      </c>
      <c r="AE742" t="str">
        <f>IF(OR($B742="",NOT(ISNUMBER(H742))),"",IF(COUNTIF(I742:$T742,H742)&gt;0,0,IF(COUNTIF($G742:$T742,"&gt;"&amp;H742)=0,"",SMALL($G742:$T742,COUNTIF($G742:$T742,"&lt;="&amp;H742)+1)-H742)))</f>
        <v/>
      </c>
      <c r="AF742" t="str">
        <f>IF(OR($B742="",NOT(ISNUMBER(I742))),"",IF(COUNTIF(J742:$T742,I742)&gt;0,0,IF(COUNTIF($G742:$T742,"&gt;"&amp;I742)=0,"",SMALL($G742:$T742,COUNTIF($G742:$T742,"&lt;="&amp;I742)+1)-I742)))</f>
        <v/>
      </c>
      <c r="AG742" t="str">
        <f>IF(OR($B742="",NOT(ISNUMBER(J742))),"",IF(COUNTIF(K742:$T742,J742)&gt;0,0,IF(COUNTIF($G742:$T742,"&gt;"&amp;J742)=0,"",SMALL($G742:$T742,COUNTIF($G742:$T742,"&lt;="&amp;J742)+1)-J742)))</f>
        <v/>
      </c>
      <c r="AH742" t="str">
        <f>IF(OR($B742="",NOT(ISNUMBER(K742))),"",IF(COUNTIF(L742:$T742,K742)&gt;0,0,IF(COUNTIF($G742:$T742,"&gt;"&amp;K742)=0,"",SMALL($G742:$T742,COUNTIF($G742:$T742,"&lt;="&amp;K742)+1)-K742)))</f>
        <v/>
      </c>
      <c r="AI742" t="str">
        <f>IF(OR($B742="",NOT(ISNUMBER(L742))),"",IF(COUNTIF(M742:$T742,L742)&gt;0,0,IF(COUNTIF($G742:$T742,"&gt;"&amp;L742)=0,"",SMALL($G742:$T742,COUNTIF($G742:$T742,"&lt;="&amp;L742)+1)-L742)))</f>
        <v/>
      </c>
      <c r="AJ742" t="str">
        <f>IF(OR($B742="",NOT(ISNUMBER(M742))),"",IF(COUNTIF(N742:$T742,M742)&gt;0,0,IF(COUNTIF($G742:$T742,"&gt;"&amp;M742)=0,"",SMALL($G742:$T742,COUNTIF($G742:$T742,"&lt;="&amp;M742)+1)-M742)))</f>
        <v/>
      </c>
      <c r="AK742" t="str">
        <f>IF(OR($B742="",NOT(ISNUMBER(N742))),"",IF(COUNTIF(O742:$T742,N742)&gt;0,0,IF(COUNTIF($G742:$T742,"&gt;"&amp;N742)=0,"",SMALL($G742:$T742,COUNTIF($G742:$T742,"&lt;="&amp;N742)+1)-N742)))</f>
        <v/>
      </c>
      <c r="AL742" t="str">
        <f>IF(OR($B742="",NOT(ISNUMBER(O742))),"",IF(COUNTIF(P742:$T742,O742)&gt;0,0,IF(COUNTIF($G742:$T742,"&gt;"&amp;O742)=0,"",SMALL($G742:$T742,COUNTIF($G742:$T742,"&lt;="&amp;O742)+1)-O742)))</f>
        <v/>
      </c>
      <c r="AM742" t="str">
        <f>IF(OR($B742="",NOT(ISNUMBER(P742))),"",IF(COUNTIF(Q742:$T742,P742)&gt;0,0,IF(COUNTIF($G742:$T742,"&gt;"&amp;P742)=0,"",SMALL($G742:$T742,COUNTIF($G742:$T742,"&lt;="&amp;P742)+1)-P742)))</f>
        <v/>
      </c>
      <c r="AN742" t="str">
        <f>IF(OR($B742="",NOT(ISNUMBER(Q742))),"",IF(COUNTIF(R742:$T742,Q742)&gt;0,0,IF(COUNTIF($G742:$T742,"&gt;"&amp;Q742)=0,"",SMALL($G742:$T742,COUNTIF($G742:$T742,"&lt;="&amp;Q742)+1)-Q742)))</f>
        <v/>
      </c>
      <c r="AO742" t="str">
        <f>IF(OR($B742="",NOT(ISNUMBER(R742))),"",IF(COUNTIF(S742:$T742,R742)&gt;0,0,IF(COUNTIF($G742:$T742,"&gt;"&amp;R742)=0,"",SMALL($G742:$T742,COUNTIF($G742:$T742,"&lt;="&amp;R742)+1)-R742)))</f>
        <v/>
      </c>
      <c r="AP742">
        <f t="shared" ca="1" si="190"/>
        <v>0</v>
      </c>
      <c r="AQ742" s="25" t="str">
        <f t="shared" si="191"/>
        <v/>
      </c>
      <c r="AR742" s="25" t="str">
        <f t="shared" si="192"/>
        <v/>
      </c>
      <c r="AS742" s="25" t="str">
        <f t="shared" si="193"/>
        <v/>
      </c>
      <c r="AT742" s="25" t="str">
        <f t="shared" si="194"/>
        <v/>
      </c>
      <c r="AU742" s="25" t="str">
        <f t="shared" si="195"/>
        <v/>
      </c>
      <c r="AV742" s="25" t="str">
        <f t="shared" si="196"/>
        <v/>
      </c>
      <c r="AW742" s="25" t="str">
        <f t="shared" si="197"/>
        <v/>
      </c>
      <c r="AX742" s="25" t="str">
        <f t="shared" si="198"/>
        <v/>
      </c>
      <c r="AY742" s="25" t="str">
        <f t="shared" si="199"/>
        <v/>
      </c>
      <c r="AZ742" s="25" t="str">
        <f t="shared" si="200"/>
        <v/>
      </c>
      <c r="BA742" s="25" t="str">
        <f t="shared" si="201"/>
        <v/>
      </c>
      <c r="BB742" s="25" t="str">
        <f t="shared" si="202"/>
        <v/>
      </c>
      <c r="BC742" s="25" t="str">
        <f t="shared" si="203"/>
        <v/>
      </c>
    </row>
    <row r="743" spans="1:55" x14ac:dyDescent="0.25">
      <c r="A743" s="19" t="str">
        <f t="shared" si="188"/>
        <v/>
      </c>
      <c r="B743" s="19"/>
      <c r="C743" s="20"/>
      <c r="D743" s="19" t="str">
        <f t="shared" si="187"/>
        <v/>
      </c>
      <c r="E743" s="19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19"/>
      <c r="U743" s="19"/>
      <c r="V743" s="20"/>
      <c r="W743" s="22"/>
      <c r="X743" s="21"/>
      <c r="Y743" s="21"/>
      <c r="Z743" s="23" t="str">
        <f>IF(B743="","",IF(S743&lt;&gt;"","Sevk Edildi",IF(AND(X743&lt;&gt;"",Y743=""),"Reworkte",IF(T743&lt;&gt;"","Kapandı"&amp;IF(COUNT(G743:R743)=0,""," – "&amp;LOOKUP(2,1/(G743:R743=MAX(G743:R743)),{"Tasarım","Ply Cutter","Üretim","Kalite (Üretim sonrası)","Talaşlı","Kalite (Talaşlı sonrası)","Montaj","Kalite (Montaj sonrası)","Boya","Kalite (Boya sonrası)","Yarı Mamül","KM"})),IF(COUNT(G743:R743)=0,"Başlamadı",LOOKUP(2,1/(G743:R743=MAX(G743:R743)),{"Tasarımda","Ply Cutter'da","Üretimde","Kalitede (Üretim sonrası)","Talaşlıda","Kalitede (Talaşlı sonrası)","Montajda","Kalitede (Montaj sonrası)","Boyada","Kalitede (Boya sonrası)","Yarı Mamülde","KM'de"}))))))</f>
        <v/>
      </c>
      <c r="AA743" s="24" t="str">
        <f t="shared" ca="1" si="189"/>
        <v/>
      </c>
      <c r="AB743" s="22"/>
      <c r="AD743" t="str">
        <f>IF(OR($B743="",NOT(ISNUMBER(G743))),"",IF(COUNTIF(H743:$T743,G743)&gt;0,0,IF(COUNTIF($G743:$T743,"&gt;"&amp;G743)=0,"",SMALL($G743:$T743,COUNTIF($G743:$T743,"&lt;="&amp;G743)+1)-G743)))</f>
        <v/>
      </c>
      <c r="AE743" t="str">
        <f>IF(OR($B743="",NOT(ISNUMBER(H743))),"",IF(COUNTIF(I743:$T743,H743)&gt;0,0,IF(COUNTIF($G743:$T743,"&gt;"&amp;H743)=0,"",SMALL($G743:$T743,COUNTIF($G743:$T743,"&lt;="&amp;H743)+1)-H743)))</f>
        <v/>
      </c>
      <c r="AF743" t="str">
        <f>IF(OR($B743="",NOT(ISNUMBER(I743))),"",IF(COUNTIF(J743:$T743,I743)&gt;0,0,IF(COUNTIF($G743:$T743,"&gt;"&amp;I743)=0,"",SMALL($G743:$T743,COUNTIF($G743:$T743,"&lt;="&amp;I743)+1)-I743)))</f>
        <v/>
      </c>
      <c r="AG743" t="str">
        <f>IF(OR($B743="",NOT(ISNUMBER(J743))),"",IF(COUNTIF(K743:$T743,J743)&gt;0,0,IF(COUNTIF($G743:$T743,"&gt;"&amp;J743)=0,"",SMALL($G743:$T743,COUNTIF($G743:$T743,"&lt;="&amp;J743)+1)-J743)))</f>
        <v/>
      </c>
      <c r="AH743" t="str">
        <f>IF(OR($B743="",NOT(ISNUMBER(K743))),"",IF(COUNTIF(L743:$T743,K743)&gt;0,0,IF(COUNTIF($G743:$T743,"&gt;"&amp;K743)=0,"",SMALL($G743:$T743,COUNTIF($G743:$T743,"&lt;="&amp;K743)+1)-K743)))</f>
        <v/>
      </c>
      <c r="AI743" t="str">
        <f>IF(OR($B743="",NOT(ISNUMBER(L743))),"",IF(COUNTIF(M743:$T743,L743)&gt;0,0,IF(COUNTIF($G743:$T743,"&gt;"&amp;L743)=0,"",SMALL($G743:$T743,COUNTIF($G743:$T743,"&lt;="&amp;L743)+1)-L743)))</f>
        <v/>
      </c>
      <c r="AJ743" t="str">
        <f>IF(OR($B743="",NOT(ISNUMBER(M743))),"",IF(COUNTIF(N743:$T743,M743)&gt;0,0,IF(COUNTIF($G743:$T743,"&gt;"&amp;M743)=0,"",SMALL($G743:$T743,COUNTIF($G743:$T743,"&lt;="&amp;M743)+1)-M743)))</f>
        <v/>
      </c>
      <c r="AK743" t="str">
        <f>IF(OR($B743="",NOT(ISNUMBER(N743))),"",IF(COUNTIF(O743:$T743,N743)&gt;0,0,IF(COUNTIF($G743:$T743,"&gt;"&amp;N743)=0,"",SMALL($G743:$T743,COUNTIF($G743:$T743,"&lt;="&amp;N743)+1)-N743)))</f>
        <v/>
      </c>
      <c r="AL743" t="str">
        <f>IF(OR($B743="",NOT(ISNUMBER(O743))),"",IF(COUNTIF(P743:$T743,O743)&gt;0,0,IF(COUNTIF($G743:$T743,"&gt;"&amp;O743)=0,"",SMALL($G743:$T743,COUNTIF($G743:$T743,"&lt;="&amp;O743)+1)-O743)))</f>
        <v/>
      </c>
      <c r="AM743" t="str">
        <f>IF(OR($B743="",NOT(ISNUMBER(P743))),"",IF(COUNTIF(Q743:$T743,P743)&gt;0,0,IF(COUNTIF($G743:$T743,"&gt;"&amp;P743)=0,"",SMALL($G743:$T743,COUNTIF($G743:$T743,"&lt;="&amp;P743)+1)-P743)))</f>
        <v/>
      </c>
      <c r="AN743" t="str">
        <f>IF(OR($B743="",NOT(ISNUMBER(Q743))),"",IF(COUNTIF(R743:$T743,Q743)&gt;0,0,IF(COUNTIF($G743:$T743,"&gt;"&amp;Q743)=0,"",SMALL($G743:$T743,COUNTIF($G743:$T743,"&lt;="&amp;Q743)+1)-Q743)))</f>
        <v/>
      </c>
      <c r="AO743" t="str">
        <f>IF(OR($B743="",NOT(ISNUMBER(R743))),"",IF(COUNTIF(S743:$T743,R743)&gt;0,0,IF(COUNTIF($G743:$T743,"&gt;"&amp;R743)=0,"",SMALL($G743:$T743,COUNTIF($G743:$T743,"&lt;="&amp;R743)+1)-R743)))</f>
        <v/>
      </c>
      <c r="AP743">
        <f t="shared" ca="1" si="190"/>
        <v>0</v>
      </c>
      <c r="AQ743" s="25" t="str">
        <f t="shared" si="191"/>
        <v/>
      </c>
      <c r="AR743" s="25" t="str">
        <f t="shared" si="192"/>
        <v/>
      </c>
      <c r="AS743" s="25" t="str">
        <f t="shared" si="193"/>
        <v/>
      </c>
      <c r="AT743" s="25" t="str">
        <f t="shared" si="194"/>
        <v/>
      </c>
      <c r="AU743" s="25" t="str">
        <f t="shared" si="195"/>
        <v/>
      </c>
      <c r="AV743" s="25" t="str">
        <f t="shared" si="196"/>
        <v/>
      </c>
      <c r="AW743" s="25" t="str">
        <f t="shared" si="197"/>
        <v/>
      </c>
      <c r="AX743" s="25" t="str">
        <f t="shared" si="198"/>
        <v/>
      </c>
      <c r="AY743" s="25" t="str">
        <f t="shared" si="199"/>
        <v/>
      </c>
      <c r="AZ743" s="25" t="str">
        <f t="shared" si="200"/>
        <v/>
      </c>
      <c r="BA743" s="25" t="str">
        <f t="shared" si="201"/>
        <v/>
      </c>
      <c r="BB743" s="25" t="str">
        <f t="shared" si="202"/>
        <v/>
      </c>
      <c r="BC743" s="25" t="str">
        <f t="shared" si="203"/>
        <v/>
      </c>
    </row>
    <row r="744" spans="1:55" x14ac:dyDescent="0.25">
      <c r="A744" s="19" t="str">
        <f t="shared" si="188"/>
        <v/>
      </c>
      <c r="B744" s="19"/>
      <c r="C744" s="20"/>
      <c r="D744" s="19" t="str">
        <f t="shared" si="187"/>
        <v/>
      </c>
      <c r="E744" s="19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19"/>
      <c r="U744" s="19"/>
      <c r="V744" s="20"/>
      <c r="W744" s="22"/>
      <c r="X744" s="21"/>
      <c r="Y744" s="21"/>
      <c r="Z744" s="23" t="str">
        <f>IF(B744="","",IF(S744&lt;&gt;"","Sevk Edildi",IF(AND(X744&lt;&gt;"",Y744=""),"Reworkte",IF(T744&lt;&gt;"","Kapandı"&amp;IF(COUNT(G744:R744)=0,""," – "&amp;LOOKUP(2,1/(G744:R744=MAX(G744:R744)),{"Tasarım","Ply Cutter","Üretim","Kalite (Üretim sonrası)","Talaşlı","Kalite (Talaşlı sonrası)","Montaj","Kalite (Montaj sonrası)","Boya","Kalite (Boya sonrası)","Yarı Mamül","KM"})),IF(COUNT(G744:R744)=0,"Başlamadı",LOOKUP(2,1/(G744:R744=MAX(G744:R744)),{"Tasarımda","Ply Cutter'da","Üretimde","Kalitede (Üretim sonrası)","Talaşlıda","Kalitede (Talaşlı sonrası)","Montajda","Kalitede (Montaj sonrası)","Boyada","Kalitede (Boya sonrası)","Yarı Mamülde","KM'de"}))))))</f>
        <v/>
      </c>
      <c r="AA744" s="24" t="str">
        <f t="shared" ca="1" si="189"/>
        <v/>
      </c>
      <c r="AB744" s="22"/>
      <c r="AD744" t="str">
        <f>IF(OR($B744="",NOT(ISNUMBER(G744))),"",IF(COUNTIF(H744:$T744,G744)&gt;0,0,IF(COUNTIF($G744:$T744,"&gt;"&amp;G744)=0,"",SMALL($G744:$T744,COUNTIF($G744:$T744,"&lt;="&amp;G744)+1)-G744)))</f>
        <v/>
      </c>
      <c r="AE744" t="str">
        <f>IF(OR($B744="",NOT(ISNUMBER(H744))),"",IF(COUNTIF(I744:$T744,H744)&gt;0,0,IF(COUNTIF($G744:$T744,"&gt;"&amp;H744)=0,"",SMALL($G744:$T744,COUNTIF($G744:$T744,"&lt;="&amp;H744)+1)-H744)))</f>
        <v/>
      </c>
      <c r="AF744" t="str">
        <f>IF(OR($B744="",NOT(ISNUMBER(I744))),"",IF(COUNTIF(J744:$T744,I744)&gt;0,0,IF(COUNTIF($G744:$T744,"&gt;"&amp;I744)=0,"",SMALL($G744:$T744,COUNTIF($G744:$T744,"&lt;="&amp;I744)+1)-I744)))</f>
        <v/>
      </c>
      <c r="AG744" t="str">
        <f>IF(OR($B744="",NOT(ISNUMBER(J744))),"",IF(COUNTIF(K744:$T744,J744)&gt;0,0,IF(COUNTIF($G744:$T744,"&gt;"&amp;J744)=0,"",SMALL($G744:$T744,COUNTIF($G744:$T744,"&lt;="&amp;J744)+1)-J744)))</f>
        <v/>
      </c>
      <c r="AH744" t="str">
        <f>IF(OR($B744="",NOT(ISNUMBER(K744))),"",IF(COUNTIF(L744:$T744,K744)&gt;0,0,IF(COUNTIF($G744:$T744,"&gt;"&amp;K744)=0,"",SMALL($G744:$T744,COUNTIF($G744:$T744,"&lt;="&amp;K744)+1)-K744)))</f>
        <v/>
      </c>
      <c r="AI744" t="str">
        <f>IF(OR($B744="",NOT(ISNUMBER(L744))),"",IF(COUNTIF(M744:$T744,L744)&gt;0,0,IF(COUNTIF($G744:$T744,"&gt;"&amp;L744)=0,"",SMALL($G744:$T744,COUNTIF($G744:$T744,"&lt;="&amp;L744)+1)-L744)))</f>
        <v/>
      </c>
      <c r="AJ744" t="str">
        <f>IF(OR($B744="",NOT(ISNUMBER(M744))),"",IF(COUNTIF(N744:$T744,M744)&gt;0,0,IF(COUNTIF($G744:$T744,"&gt;"&amp;M744)=0,"",SMALL($G744:$T744,COUNTIF($G744:$T744,"&lt;="&amp;M744)+1)-M744)))</f>
        <v/>
      </c>
      <c r="AK744" t="str">
        <f>IF(OR($B744="",NOT(ISNUMBER(N744))),"",IF(COUNTIF(O744:$T744,N744)&gt;0,0,IF(COUNTIF($G744:$T744,"&gt;"&amp;N744)=0,"",SMALL($G744:$T744,COUNTIF($G744:$T744,"&lt;="&amp;N744)+1)-N744)))</f>
        <v/>
      </c>
      <c r="AL744" t="str">
        <f>IF(OR($B744="",NOT(ISNUMBER(O744))),"",IF(COUNTIF(P744:$T744,O744)&gt;0,0,IF(COUNTIF($G744:$T744,"&gt;"&amp;O744)=0,"",SMALL($G744:$T744,COUNTIF($G744:$T744,"&lt;="&amp;O744)+1)-O744)))</f>
        <v/>
      </c>
      <c r="AM744" t="str">
        <f>IF(OR($B744="",NOT(ISNUMBER(P744))),"",IF(COUNTIF(Q744:$T744,P744)&gt;0,0,IF(COUNTIF($G744:$T744,"&gt;"&amp;P744)=0,"",SMALL($G744:$T744,COUNTIF($G744:$T744,"&lt;="&amp;P744)+1)-P744)))</f>
        <v/>
      </c>
      <c r="AN744" t="str">
        <f>IF(OR($B744="",NOT(ISNUMBER(Q744))),"",IF(COUNTIF(R744:$T744,Q744)&gt;0,0,IF(COUNTIF($G744:$T744,"&gt;"&amp;Q744)=0,"",SMALL($G744:$T744,COUNTIF($G744:$T744,"&lt;="&amp;Q744)+1)-Q744)))</f>
        <v/>
      </c>
      <c r="AO744" t="str">
        <f>IF(OR($B744="",NOT(ISNUMBER(R744))),"",IF(COUNTIF(S744:$T744,R744)&gt;0,0,IF(COUNTIF($G744:$T744,"&gt;"&amp;R744)=0,"",SMALL($G744:$T744,COUNTIF($G744:$T744,"&lt;="&amp;R744)+1)-R744)))</f>
        <v/>
      </c>
      <c r="AP744">
        <f t="shared" ca="1" si="190"/>
        <v>0</v>
      </c>
      <c r="AQ744" s="25" t="str">
        <f t="shared" si="191"/>
        <v/>
      </c>
      <c r="AR744" s="25" t="str">
        <f t="shared" si="192"/>
        <v/>
      </c>
      <c r="AS744" s="25" t="str">
        <f t="shared" si="193"/>
        <v/>
      </c>
      <c r="AT744" s="25" t="str">
        <f t="shared" si="194"/>
        <v/>
      </c>
      <c r="AU744" s="25" t="str">
        <f t="shared" si="195"/>
        <v/>
      </c>
      <c r="AV744" s="25" t="str">
        <f t="shared" si="196"/>
        <v/>
      </c>
      <c r="AW744" s="25" t="str">
        <f t="shared" si="197"/>
        <v/>
      </c>
      <c r="AX744" s="25" t="str">
        <f t="shared" si="198"/>
        <v/>
      </c>
      <c r="AY744" s="25" t="str">
        <f t="shared" si="199"/>
        <v/>
      </c>
      <c r="AZ744" s="25" t="str">
        <f t="shared" si="200"/>
        <v/>
      </c>
      <c r="BA744" s="25" t="str">
        <f t="shared" si="201"/>
        <v/>
      </c>
      <c r="BB744" s="25" t="str">
        <f t="shared" si="202"/>
        <v/>
      </c>
      <c r="BC744" s="25" t="str">
        <f t="shared" si="203"/>
        <v/>
      </c>
    </row>
    <row r="745" spans="1:55" x14ac:dyDescent="0.25">
      <c r="A745" s="19" t="str">
        <f t="shared" si="188"/>
        <v/>
      </c>
      <c r="B745" s="19"/>
      <c r="C745" s="20"/>
      <c r="D745" s="19" t="str">
        <f t="shared" si="187"/>
        <v/>
      </c>
      <c r="E745" s="19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19"/>
      <c r="U745" s="19"/>
      <c r="V745" s="20"/>
      <c r="W745" s="22"/>
      <c r="X745" s="21"/>
      <c r="Y745" s="21"/>
      <c r="Z745" s="23" t="str">
        <f>IF(B745="","",IF(S745&lt;&gt;"","Sevk Edildi",IF(AND(X745&lt;&gt;"",Y745=""),"Reworkte",IF(T745&lt;&gt;"","Kapandı"&amp;IF(COUNT(G745:R745)=0,""," – "&amp;LOOKUP(2,1/(G745:R745=MAX(G745:R745)),{"Tasarım","Ply Cutter","Üretim","Kalite (Üretim sonrası)","Talaşlı","Kalite (Talaşlı sonrası)","Montaj","Kalite (Montaj sonrası)","Boya","Kalite (Boya sonrası)","Yarı Mamül","KM"})),IF(COUNT(G745:R745)=0,"Başlamadı",LOOKUP(2,1/(G745:R745=MAX(G745:R745)),{"Tasarımda","Ply Cutter'da","Üretimde","Kalitede (Üretim sonrası)","Talaşlıda","Kalitede (Talaşlı sonrası)","Montajda","Kalitede (Montaj sonrası)","Boyada","Kalitede (Boya sonrası)","Yarı Mamülde","KM'de"}))))))</f>
        <v/>
      </c>
      <c r="AA745" s="24" t="str">
        <f t="shared" ca="1" si="189"/>
        <v/>
      </c>
      <c r="AB745" s="22"/>
      <c r="AD745" t="str">
        <f>IF(OR($B745="",NOT(ISNUMBER(G745))),"",IF(COUNTIF(H745:$T745,G745)&gt;0,0,IF(COUNTIF($G745:$T745,"&gt;"&amp;G745)=0,"",SMALL($G745:$T745,COUNTIF($G745:$T745,"&lt;="&amp;G745)+1)-G745)))</f>
        <v/>
      </c>
      <c r="AE745" t="str">
        <f>IF(OR($B745="",NOT(ISNUMBER(H745))),"",IF(COUNTIF(I745:$T745,H745)&gt;0,0,IF(COUNTIF($G745:$T745,"&gt;"&amp;H745)=0,"",SMALL($G745:$T745,COUNTIF($G745:$T745,"&lt;="&amp;H745)+1)-H745)))</f>
        <v/>
      </c>
      <c r="AF745" t="str">
        <f>IF(OR($B745="",NOT(ISNUMBER(I745))),"",IF(COUNTIF(J745:$T745,I745)&gt;0,0,IF(COUNTIF($G745:$T745,"&gt;"&amp;I745)=0,"",SMALL($G745:$T745,COUNTIF($G745:$T745,"&lt;="&amp;I745)+1)-I745)))</f>
        <v/>
      </c>
      <c r="AG745" t="str">
        <f>IF(OR($B745="",NOT(ISNUMBER(J745))),"",IF(COUNTIF(K745:$T745,J745)&gt;0,0,IF(COUNTIF($G745:$T745,"&gt;"&amp;J745)=0,"",SMALL($G745:$T745,COUNTIF($G745:$T745,"&lt;="&amp;J745)+1)-J745)))</f>
        <v/>
      </c>
      <c r="AH745" t="str">
        <f>IF(OR($B745="",NOT(ISNUMBER(K745))),"",IF(COUNTIF(L745:$T745,K745)&gt;0,0,IF(COUNTIF($G745:$T745,"&gt;"&amp;K745)=0,"",SMALL($G745:$T745,COUNTIF($G745:$T745,"&lt;="&amp;K745)+1)-K745)))</f>
        <v/>
      </c>
      <c r="AI745" t="str">
        <f>IF(OR($B745="",NOT(ISNUMBER(L745))),"",IF(COUNTIF(M745:$T745,L745)&gt;0,0,IF(COUNTIF($G745:$T745,"&gt;"&amp;L745)=0,"",SMALL($G745:$T745,COUNTIF($G745:$T745,"&lt;="&amp;L745)+1)-L745)))</f>
        <v/>
      </c>
      <c r="AJ745" t="str">
        <f>IF(OR($B745="",NOT(ISNUMBER(M745))),"",IF(COUNTIF(N745:$T745,M745)&gt;0,0,IF(COUNTIF($G745:$T745,"&gt;"&amp;M745)=0,"",SMALL($G745:$T745,COUNTIF($G745:$T745,"&lt;="&amp;M745)+1)-M745)))</f>
        <v/>
      </c>
      <c r="AK745" t="str">
        <f>IF(OR($B745="",NOT(ISNUMBER(N745))),"",IF(COUNTIF(O745:$T745,N745)&gt;0,0,IF(COUNTIF($G745:$T745,"&gt;"&amp;N745)=0,"",SMALL($G745:$T745,COUNTIF($G745:$T745,"&lt;="&amp;N745)+1)-N745)))</f>
        <v/>
      </c>
      <c r="AL745" t="str">
        <f>IF(OR($B745="",NOT(ISNUMBER(O745))),"",IF(COUNTIF(P745:$T745,O745)&gt;0,0,IF(COUNTIF($G745:$T745,"&gt;"&amp;O745)=0,"",SMALL($G745:$T745,COUNTIF($G745:$T745,"&lt;="&amp;O745)+1)-O745)))</f>
        <v/>
      </c>
      <c r="AM745" t="str">
        <f>IF(OR($B745="",NOT(ISNUMBER(P745))),"",IF(COUNTIF(Q745:$T745,P745)&gt;0,0,IF(COUNTIF($G745:$T745,"&gt;"&amp;P745)=0,"",SMALL($G745:$T745,COUNTIF($G745:$T745,"&lt;="&amp;P745)+1)-P745)))</f>
        <v/>
      </c>
      <c r="AN745" t="str">
        <f>IF(OR($B745="",NOT(ISNUMBER(Q745))),"",IF(COUNTIF(R745:$T745,Q745)&gt;0,0,IF(COUNTIF($G745:$T745,"&gt;"&amp;Q745)=0,"",SMALL($G745:$T745,COUNTIF($G745:$T745,"&lt;="&amp;Q745)+1)-Q745)))</f>
        <v/>
      </c>
      <c r="AO745" t="str">
        <f>IF(OR($B745="",NOT(ISNUMBER(R745))),"",IF(COUNTIF(S745:$T745,R745)&gt;0,0,IF(COUNTIF($G745:$T745,"&gt;"&amp;R745)=0,"",SMALL($G745:$T745,COUNTIF($G745:$T745,"&lt;="&amp;R745)+1)-R745)))</f>
        <v/>
      </c>
      <c r="AP745">
        <f t="shared" ca="1" si="190"/>
        <v>0</v>
      </c>
      <c r="AQ745" s="25" t="str">
        <f t="shared" si="191"/>
        <v/>
      </c>
      <c r="AR745" s="25" t="str">
        <f t="shared" si="192"/>
        <v/>
      </c>
      <c r="AS745" s="25" t="str">
        <f t="shared" si="193"/>
        <v/>
      </c>
      <c r="AT745" s="25" t="str">
        <f t="shared" si="194"/>
        <v/>
      </c>
      <c r="AU745" s="25" t="str">
        <f t="shared" si="195"/>
        <v/>
      </c>
      <c r="AV745" s="25" t="str">
        <f t="shared" si="196"/>
        <v/>
      </c>
      <c r="AW745" s="25" t="str">
        <f t="shared" si="197"/>
        <v/>
      </c>
      <c r="AX745" s="25" t="str">
        <f t="shared" si="198"/>
        <v/>
      </c>
      <c r="AY745" s="25" t="str">
        <f t="shared" si="199"/>
        <v/>
      </c>
      <c r="AZ745" s="25" t="str">
        <f t="shared" si="200"/>
        <v/>
      </c>
      <c r="BA745" s="25" t="str">
        <f t="shared" si="201"/>
        <v/>
      </c>
      <c r="BB745" s="25" t="str">
        <f t="shared" si="202"/>
        <v/>
      </c>
      <c r="BC745" s="25" t="str">
        <f t="shared" si="203"/>
        <v/>
      </c>
    </row>
    <row r="746" spans="1:55" x14ac:dyDescent="0.25">
      <c r="A746" s="19" t="str">
        <f t="shared" si="188"/>
        <v/>
      </c>
      <c r="B746" s="19"/>
      <c r="C746" s="20"/>
      <c r="D746" s="19" t="str">
        <f t="shared" si="187"/>
        <v/>
      </c>
      <c r="E746" s="19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19"/>
      <c r="U746" s="19"/>
      <c r="V746" s="20"/>
      <c r="W746" s="22"/>
      <c r="X746" s="21"/>
      <c r="Y746" s="21"/>
      <c r="Z746" s="23" t="str">
        <f>IF(B746="","",IF(S746&lt;&gt;"","Sevk Edildi",IF(AND(X746&lt;&gt;"",Y746=""),"Reworkte",IF(T746&lt;&gt;"","Kapandı"&amp;IF(COUNT(G746:R746)=0,""," – "&amp;LOOKUP(2,1/(G746:R746=MAX(G746:R746)),{"Tasarım","Ply Cutter","Üretim","Kalite (Üretim sonrası)","Talaşlı","Kalite (Talaşlı sonrası)","Montaj","Kalite (Montaj sonrası)","Boya","Kalite (Boya sonrası)","Yarı Mamül","KM"})),IF(COUNT(G746:R746)=0,"Başlamadı",LOOKUP(2,1/(G746:R746=MAX(G746:R746)),{"Tasarımda","Ply Cutter'da","Üretimde","Kalitede (Üretim sonrası)","Talaşlıda","Kalitede (Talaşlı sonrası)","Montajda","Kalitede (Montaj sonrası)","Boyada","Kalitede (Boya sonrası)","Yarı Mamülde","KM'de"}))))))</f>
        <v/>
      </c>
      <c r="AA746" s="24" t="str">
        <f t="shared" ca="1" si="189"/>
        <v/>
      </c>
      <c r="AB746" s="22"/>
      <c r="AD746" t="str">
        <f>IF(OR($B746="",NOT(ISNUMBER(G746))),"",IF(COUNTIF(H746:$T746,G746)&gt;0,0,IF(COUNTIF($G746:$T746,"&gt;"&amp;G746)=0,"",SMALL($G746:$T746,COUNTIF($G746:$T746,"&lt;="&amp;G746)+1)-G746)))</f>
        <v/>
      </c>
      <c r="AE746" t="str">
        <f>IF(OR($B746="",NOT(ISNUMBER(H746))),"",IF(COUNTIF(I746:$T746,H746)&gt;0,0,IF(COUNTIF($G746:$T746,"&gt;"&amp;H746)=0,"",SMALL($G746:$T746,COUNTIF($G746:$T746,"&lt;="&amp;H746)+1)-H746)))</f>
        <v/>
      </c>
      <c r="AF746" t="str">
        <f>IF(OR($B746="",NOT(ISNUMBER(I746))),"",IF(COUNTIF(J746:$T746,I746)&gt;0,0,IF(COUNTIF($G746:$T746,"&gt;"&amp;I746)=0,"",SMALL($G746:$T746,COUNTIF($G746:$T746,"&lt;="&amp;I746)+1)-I746)))</f>
        <v/>
      </c>
      <c r="AG746" t="str">
        <f>IF(OR($B746="",NOT(ISNUMBER(J746))),"",IF(COUNTIF(K746:$T746,J746)&gt;0,0,IF(COUNTIF($G746:$T746,"&gt;"&amp;J746)=0,"",SMALL($G746:$T746,COUNTIF($G746:$T746,"&lt;="&amp;J746)+1)-J746)))</f>
        <v/>
      </c>
      <c r="AH746" t="str">
        <f>IF(OR($B746="",NOT(ISNUMBER(K746))),"",IF(COUNTIF(L746:$T746,K746)&gt;0,0,IF(COUNTIF($G746:$T746,"&gt;"&amp;K746)=0,"",SMALL($G746:$T746,COUNTIF($G746:$T746,"&lt;="&amp;K746)+1)-K746)))</f>
        <v/>
      </c>
      <c r="AI746" t="str">
        <f>IF(OR($B746="",NOT(ISNUMBER(L746))),"",IF(COUNTIF(M746:$T746,L746)&gt;0,0,IF(COUNTIF($G746:$T746,"&gt;"&amp;L746)=0,"",SMALL($G746:$T746,COUNTIF($G746:$T746,"&lt;="&amp;L746)+1)-L746)))</f>
        <v/>
      </c>
      <c r="AJ746" t="str">
        <f>IF(OR($B746="",NOT(ISNUMBER(M746))),"",IF(COUNTIF(N746:$T746,M746)&gt;0,0,IF(COUNTIF($G746:$T746,"&gt;"&amp;M746)=0,"",SMALL($G746:$T746,COUNTIF($G746:$T746,"&lt;="&amp;M746)+1)-M746)))</f>
        <v/>
      </c>
      <c r="AK746" t="str">
        <f>IF(OR($B746="",NOT(ISNUMBER(N746))),"",IF(COUNTIF(O746:$T746,N746)&gt;0,0,IF(COUNTIF($G746:$T746,"&gt;"&amp;N746)=0,"",SMALL($G746:$T746,COUNTIF($G746:$T746,"&lt;="&amp;N746)+1)-N746)))</f>
        <v/>
      </c>
      <c r="AL746" t="str">
        <f>IF(OR($B746="",NOT(ISNUMBER(O746))),"",IF(COUNTIF(P746:$T746,O746)&gt;0,0,IF(COUNTIF($G746:$T746,"&gt;"&amp;O746)=0,"",SMALL($G746:$T746,COUNTIF($G746:$T746,"&lt;="&amp;O746)+1)-O746)))</f>
        <v/>
      </c>
      <c r="AM746" t="str">
        <f>IF(OR($B746="",NOT(ISNUMBER(P746))),"",IF(COUNTIF(Q746:$T746,P746)&gt;0,0,IF(COUNTIF($G746:$T746,"&gt;"&amp;P746)=0,"",SMALL($G746:$T746,COUNTIF($G746:$T746,"&lt;="&amp;P746)+1)-P746)))</f>
        <v/>
      </c>
      <c r="AN746" t="str">
        <f>IF(OR($B746="",NOT(ISNUMBER(Q746))),"",IF(COUNTIF(R746:$T746,Q746)&gt;0,0,IF(COUNTIF($G746:$T746,"&gt;"&amp;Q746)=0,"",SMALL($G746:$T746,COUNTIF($G746:$T746,"&lt;="&amp;Q746)+1)-Q746)))</f>
        <v/>
      </c>
      <c r="AO746" t="str">
        <f>IF(OR($B746="",NOT(ISNUMBER(R746))),"",IF(COUNTIF(S746:$T746,R746)&gt;0,0,IF(COUNTIF($G746:$T746,"&gt;"&amp;R746)=0,"",SMALL($G746:$T746,COUNTIF($G746:$T746,"&lt;="&amp;R746)+1)-R746)))</f>
        <v/>
      </c>
      <c r="AP746">
        <f t="shared" ca="1" si="190"/>
        <v>0</v>
      </c>
      <c r="AQ746" s="25" t="str">
        <f t="shared" si="191"/>
        <v/>
      </c>
      <c r="AR746" s="25" t="str">
        <f t="shared" si="192"/>
        <v/>
      </c>
      <c r="AS746" s="25" t="str">
        <f t="shared" si="193"/>
        <v/>
      </c>
      <c r="AT746" s="25" t="str">
        <f t="shared" si="194"/>
        <v/>
      </c>
      <c r="AU746" s="25" t="str">
        <f t="shared" si="195"/>
        <v/>
      </c>
      <c r="AV746" s="25" t="str">
        <f t="shared" si="196"/>
        <v/>
      </c>
      <c r="AW746" s="25" t="str">
        <f t="shared" si="197"/>
        <v/>
      </c>
      <c r="AX746" s="25" t="str">
        <f t="shared" si="198"/>
        <v/>
      </c>
      <c r="AY746" s="25" t="str">
        <f t="shared" si="199"/>
        <v/>
      </c>
      <c r="AZ746" s="25" t="str">
        <f t="shared" si="200"/>
        <v/>
      </c>
      <c r="BA746" s="25" t="str">
        <f t="shared" si="201"/>
        <v/>
      </c>
      <c r="BB746" s="25" t="str">
        <f t="shared" si="202"/>
        <v/>
      </c>
      <c r="BC746" s="25" t="str">
        <f t="shared" si="203"/>
        <v/>
      </c>
    </row>
    <row r="747" spans="1:55" x14ac:dyDescent="0.25">
      <c r="A747" s="19" t="str">
        <f t="shared" si="188"/>
        <v/>
      </c>
      <c r="B747" s="19"/>
      <c r="C747" s="20"/>
      <c r="D747" s="19" t="str">
        <f t="shared" si="187"/>
        <v/>
      </c>
      <c r="E747" s="19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19"/>
      <c r="U747" s="19"/>
      <c r="V747" s="20"/>
      <c r="W747" s="22"/>
      <c r="X747" s="21"/>
      <c r="Y747" s="21"/>
      <c r="Z747" s="23" t="str">
        <f>IF(B747="","",IF(S747&lt;&gt;"","Sevk Edildi",IF(AND(X747&lt;&gt;"",Y747=""),"Reworkte",IF(T747&lt;&gt;"","Kapandı"&amp;IF(COUNT(G747:R747)=0,""," – "&amp;LOOKUP(2,1/(G747:R747=MAX(G747:R747)),{"Tasarım","Ply Cutter","Üretim","Kalite (Üretim sonrası)","Talaşlı","Kalite (Talaşlı sonrası)","Montaj","Kalite (Montaj sonrası)","Boya","Kalite (Boya sonrası)","Yarı Mamül","KM"})),IF(COUNT(G747:R747)=0,"Başlamadı",LOOKUP(2,1/(G747:R747=MAX(G747:R747)),{"Tasarımda","Ply Cutter'da","Üretimde","Kalitede (Üretim sonrası)","Talaşlıda","Kalitede (Talaşlı sonrası)","Montajda","Kalitede (Montaj sonrası)","Boyada","Kalitede (Boya sonrası)","Yarı Mamülde","KM'de"}))))))</f>
        <v/>
      </c>
      <c r="AA747" s="24" t="str">
        <f t="shared" ca="1" si="189"/>
        <v/>
      </c>
      <c r="AB747" s="22"/>
      <c r="AD747" t="str">
        <f>IF(OR($B747="",NOT(ISNUMBER(G747))),"",IF(COUNTIF(H747:$T747,G747)&gt;0,0,IF(COUNTIF($G747:$T747,"&gt;"&amp;G747)=0,"",SMALL($G747:$T747,COUNTIF($G747:$T747,"&lt;="&amp;G747)+1)-G747)))</f>
        <v/>
      </c>
      <c r="AE747" t="str">
        <f>IF(OR($B747="",NOT(ISNUMBER(H747))),"",IF(COUNTIF(I747:$T747,H747)&gt;0,0,IF(COUNTIF($G747:$T747,"&gt;"&amp;H747)=0,"",SMALL($G747:$T747,COUNTIF($G747:$T747,"&lt;="&amp;H747)+1)-H747)))</f>
        <v/>
      </c>
      <c r="AF747" t="str">
        <f>IF(OR($B747="",NOT(ISNUMBER(I747))),"",IF(COUNTIF(J747:$T747,I747)&gt;0,0,IF(COUNTIF($G747:$T747,"&gt;"&amp;I747)=0,"",SMALL($G747:$T747,COUNTIF($G747:$T747,"&lt;="&amp;I747)+1)-I747)))</f>
        <v/>
      </c>
      <c r="AG747" t="str">
        <f>IF(OR($B747="",NOT(ISNUMBER(J747))),"",IF(COUNTIF(K747:$T747,J747)&gt;0,0,IF(COUNTIF($G747:$T747,"&gt;"&amp;J747)=0,"",SMALL($G747:$T747,COUNTIF($G747:$T747,"&lt;="&amp;J747)+1)-J747)))</f>
        <v/>
      </c>
      <c r="AH747" t="str">
        <f>IF(OR($B747="",NOT(ISNUMBER(K747))),"",IF(COUNTIF(L747:$T747,K747)&gt;0,0,IF(COUNTIF($G747:$T747,"&gt;"&amp;K747)=0,"",SMALL($G747:$T747,COUNTIF($G747:$T747,"&lt;="&amp;K747)+1)-K747)))</f>
        <v/>
      </c>
      <c r="AI747" t="str">
        <f>IF(OR($B747="",NOT(ISNUMBER(L747))),"",IF(COUNTIF(M747:$T747,L747)&gt;0,0,IF(COUNTIF($G747:$T747,"&gt;"&amp;L747)=0,"",SMALL($G747:$T747,COUNTIF($G747:$T747,"&lt;="&amp;L747)+1)-L747)))</f>
        <v/>
      </c>
      <c r="AJ747" t="str">
        <f>IF(OR($B747="",NOT(ISNUMBER(M747))),"",IF(COUNTIF(N747:$T747,M747)&gt;0,0,IF(COUNTIF($G747:$T747,"&gt;"&amp;M747)=0,"",SMALL($G747:$T747,COUNTIF($G747:$T747,"&lt;="&amp;M747)+1)-M747)))</f>
        <v/>
      </c>
      <c r="AK747" t="str">
        <f>IF(OR($B747="",NOT(ISNUMBER(N747))),"",IF(COUNTIF(O747:$T747,N747)&gt;0,0,IF(COUNTIF($G747:$T747,"&gt;"&amp;N747)=0,"",SMALL($G747:$T747,COUNTIF($G747:$T747,"&lt;="&amp;N747)+1)-N747)))</f>
        <v/>
      </c>
      <c r="AL747" t="str">
        <f>IF(OR($B747="",NOT(ISNUMBER(O747))),"",IF(COUNTIF(P747:$T747,O747)&gt;0,0,IF(COUNTIF($G747:$T747,"&gt;"&amp;O747)=0,"",SMALL($G747:$T747,COUNTIF($G747:$T747,"&lt;="&amp;O747)+1)-O747)))</f>
        <v/>
      </c>
      <c r="AM747" t="str">
        <f>IF(OR($B747="",NOT(ISNUMBER(P747))),"",IF(COUNTIF(Q747:$T747,P747)&gt;0,0,IF(COUNTIF($G747:$T747,"&gt;"&amp;P747)=0,"",SMALL($G747:$T747,COUNTIF($G747:$T747,"&lt;="&amp;P747)+1)-P747)))</f>
        <v/>
      </c>
      <c r="AN747" t="str">
        <f>IF(OR($B747="",NOT(ISNUMBER(Q747))),"",IF(COUNTIF(R747:$T747,Q747)&gt;0,0,IF(COUNTIF($G747:$T747,"&gt;"&amp;Q747)=0,"",SMALL($G747:$T747,COUNTIF($G747:$T747,"&lt;="&amp;Q747)+1)-Q747)))</f>
        <v/>
      </c>
      <c r="AO747" t="str">
        <f>IF(OR($B747="",NOT(ISNUMBER(R747))),"",IF(COUNTIF(S747:$T747,R747)&gt;0,0,IF(COUNTIF($G747:$T747,"&gt;"&amp;R747)=0,"",SMALL($G747:$T747,COUNTIF($G747:$T747,"&lt;="&amp;R747)+1)-R747)))</f>
        <v/>
      </c>
      <c r="AP747">
        <f t="shared" ca="1" si="190"/>
        <v>0</v>
      </c>
      <c r="AQ747" s="25" t="str">
        <f t="shared" si="191"/>
        <v/>
      </c>
      <c r="AR747" s="25" t="str">
        <f t="shared" si="192"/>
        <v/>
      </c>
      <c r="AS747" s="25" t="str">
        <f t="shared" si="193"/>
        <v/>
      </c>
      <c r="AT747" s="25" t="str">
        <f t="shared" si="194"/>
        <v/>
      </c>
      <c r="AU747" s="25" t="str">
        <f t="shared" si="195"/>
        <v/>
      </c>
      <c r="AV747" s="25" t="str">
        <f t="shared" si="196"/>
        <v/>
      </c>
      <c r="AW747" s="25" t="str">
        <f t="shared" si="197"/>
        <v/>
      </c>
      <c r="AX747" s="25" t="str">
        <f t="shared" si="198"/>
        <v/>
      </c>
      <c r="AY747" s="25" t="str">
        <f t="shared" si="199"/>
        <v/>
      </c>
      <c r="AZ747" s="25" t="str">
        <f t="shared" si="200"/>
        <v/>
      </c>
      <c r="BA747" s="25" t="str">
        <f t="shared" si="201"/>
        <v/>
      </c>
      <c r="BB747" s="25" t="str">
        <f t="shared" si="202"/>
        <v/>
      </c>
      <c r="BC747" s="25" t="str">
        <f t="shared" si="203"/>
        <v/>
      </c>
    </row>
    <row r="748" spans="1:55" x14ac:dyDescent="0.25">
      <c r="A748" s="19" t="str">
        <f t="shared" si="188"/>
        <v/>
      </c>
      <c r="B748" s="19"/>
      <c r="C748" s="20"/>
      <c r="D748" s="19" t="str">
        <f t="shared" si="187"/>
        <v/>
      </c>
      <c r="E748" s="19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19"/>
      <c r="U748" s="19"/>
      <c r="V748" s="20"/>
      <c r="W748" s="22"/>
      <c r="X748" s="21"/>
      <c r="Y748" s="21"/>
      <c r="Z748" s="23" t="str">
        <f>IF(B748="","",IF(S748&lt;&gt;"","Sevk Edildi",IF(AND(X748&lt;&gt;"",Y748=""),"Reworkte",IF(T748&lt;&gt;"","Kapandı"&amp;IF(COUNT(G748:R748)=0,""," – "&amp;LOOKUP(2,1/(G748:R748=MAX(G748:R748)),{"Tasarım","Ply Cutter","Üretim","Kalite (Üretim sonrası)","Talaşlı","Kalite (Talaşlı sonrası)","Montaj","Kalite (Montaj sonrası)","Boya","Kalite (Boya sonrası)","Yarı Mamül","KM"})),IF(COUNT(G748:R748)=0,"Başlamadı",LOOKUP(2,1/(G748:R748=MAX(G748:R748)),{"Tasarımda","Ply Cutter'da","Üretimde","Kalitede (Üretim sonrası)","Talaşlıda","Kalitede (Talaşlı sonrası)","Montajda","Kalitede (Montaj sonrası)","Boyada","Kalitede (Boya sonrası)","Yarı Mamülde","KM'de"}))))))</f>
        <v/>
      </c>
      <c r="AA748" s="24" t="str">
        <f t="shared" ca="1" si="189"/>
        <v/>
      </c>
      <c r="AB748" s="22"/>
      <c r="AD748" t="str">
        <f>IF(OR($B748="",NOT(ISNUMBER(G748))),"",IF(COUNTIF(H748:$T748,G748)&gt;0,0,IF(COUNTIF($G748:$T748,"&gt;"&amp;G748)=0,"",SMALL($G748:$T748,COUNTIF($G748:$T748,"&lt;="&amp;G748)+1)-G748)))</f>
        <v/>
      </c>
      <c r="AE748" t="str">
        <f>IF(OR($B748="",NOT(ISNUMBER(H748))),"",IF(COUNTIF(I748:$T748,H748)&gt;0,0,IF(COUNTIF($G748:$T748,"&gt;"&amp;H748)=0,"",SMALL($G748:$T748,COUNTIF($G748:$T748,"&lt;="&amp;H748)+1)-H748)))</f>
        <v/>
      </c>
      <c r="AF748" t="str">
        <f>IF(OR($B748="",NOT(ISNUMBER(I748))),"",IF(COUNTIF(J748:$T748,I748)&gt;0,0,IF(COUNTIF($G748:$T748,"&gt;"&amp;I748)=0,"",SMALL($G748:$T748,COUNTIF($G748:$T748,"&lt;="&amp;I748)+1)-I748)))</f>
        <v/>
      </c>
      <c r="AG748" t="str">
        <f>IF(OR($B748="",NOT(ISNUMBER(J748))),"",IF(COUNTIF(K748:$T748,J748)&gt;0,0,IF(COUNTIF($G748:$T748,"&gt;"&amp;J748)=0,"",SMALL($G748:$T748,COUNTIF($G748:$T748,"&lt;="&amp;J748)+1)-J748)))</f>
        <v/>
      </c>
      <c r="AH748" t="str">
        <f>IF(OR($B748="",NOT(ISNUMBER(K748))),"",IF(COUNTIF(L748:$T748,K748)&gt;0,0,IF(COUNTIF($G748:$T748,"&gt;"&amp;K748)=0,"",SMALL($G748:$T748,COUNTIF($G748:$T748,"&lt;="&amp;K748)+1)-K748)))</f>
        <v/>
      </c>
      <c r="AI748" t="str">
        <f>IF(OR($B748="",NOT(ISNUMBER(L748))),"",IF(COUNTIF(M748:$T748,L748)&gt;0,0,IF(COUNTIF($G748:$T748,"&gt;"&amp;L748)=0,"",SMALL($G748:$T748,COUNTIF($G748:$T748,"&lt;="&amp;L748)+1)-L748)))</f>
        <v/>
      </c>
      <c r="AJ748" t="str">
        <f>IF(OR($B748="",NOT(ISNUMBER(M748))),"",IF(COUNTIF(N748:$T748,M748)&gt;0,0,IF(COUNTIF($G748:$T748,"&gt;"&amp;M748)=0,"",SMALL($G748:$T748,COUNTIF($G748:$T748,"&lt;="&amp;M748)+1)-M748)))</f>
        <v/>
      </c>
      <c r="AK748" t="str">
        <f>IF(OR($B748="",NOT(ISNUMBER(N748))),"",IF(COUNTIF(O748:$T748,N748)&gt;0,0,IF(COUNTIF($G748:$T748,"&gt;"&amp;N748)=0,"",SMALL($G748:$T748,COUNTIF($G748:$T748,"&lt;="&amp;N748)+1)-N748)))</f>
        <v/>
      </c>
      <c r="AL748" t="str">
        <f>IF(OR($B748="",NOT(ISNUMBER(O748))),"",IF(COUNTIF(P748:$T748,O748)&gt;0,0,IF(COUNTIF($G748:$T748,"&gt;"&amp;O748)=0,"",SMALL($G748:$T748,COUNTIF($G748:$T748,"&lt;="&amp;O748)+1)-O748)))</f>
        <v/>
      </c>
      <c r="AM748" t="str">
        <f>IF(OR($B748="",NOT(ISNUMBER(P748))),"",IF(COUNTIF(Q748:$T748,P748)&gt;0,0,IF(COUNTIF($G748:$T748,"&gt;"&amp;P748)=0,"",SMALL($G748:$T748,COUNTIF($G748:$T748,"&lt;="&amp;P748)+1)-P748)))</f>
        <v/>
      </c>
      <c r="AN748" t="str">
        <f>IF(OR($B748="",NOT(ISNUMBER(Q748))),"",IF(COUNTIF(R748:$T748,Q748)&gt;0,0,IF(COUNTIF($G748:$T748,"&gt;"&amp;Q748)=0,"",SMALL($G748:$T748,COUNTIF($G748:$T748,"&lt;="&amp;Q748)+1)-Q748)))</f>
        <v/>
      </c>
      <c r="AO748" t="str">
        <f>IF(OR($B748="",NOT(ISNUMBER(R748))),"",IF(COUNTIF(S748:$T748,R748)&gt;0,0,IF(COUNTIF($G748:$T748,"&gt;"&amp;R748)=0,"",SMALL($G748:$T748,COUNTIF($G748:$T748,"&lt;="&amp;R748)+1)-R748)))</f>
        <v/>
      </c>
      <c r="AP748">
        <f t="shared" ca="1" si="190"/>
        <v>0</v>
      </c>
      <c r="AQ748" s="25" t="str">
        <f t="shared" si="191"/>
        <v/>
      </c>
      <c r="AR748" s="25" t="str">
        <f t="shared" si="192"/>
        <v/>
      </c>
      <c r="AS748" s="25" t="str">
        <f t="shared" si="193"/>
        <v/>
      </c>
      <c r="AT748" s="25" t="str">
        <f t="shared" si="194"/>
        <v/>
      </c>
      <c r="AU748" s="25" t="str">
        <f t="shared" si="195"/>
        <v/>
      </c>
      <c r="AV748" s="25" t="str">
        <f t="shared" si="196"/>
        <v/>
      </c>
      <c r="AW748" s="25" t="str">
        <f t="shared" si="197"/>
        <v/>
      </c>
      <c r="AX748" s="25" t="str">
        <f t="shared" si="198"/>
        <v/>
      </c>
      <c r="AY748" s="25" t="str">
        <f t="shared" si="199"/>
        <v/>
      </c>
      <c r="AZ748" s="25" t="str">
        <f t="shared" si="200"/>
        <v/>
      </c>
      <c r="BA748" s="25" t="str">
        <f t="shared" si="201"/>
        <v/>
      </c>
      <c r="BB748" s="25" t="str">
        <f t="shared" si="202"/>
        <v/>
      </c>
      <c r="BC748" s="25" t="str">
        <f t="shared" si="203"/>
        <v/>
      </c>
    </row>
    <row r="749" spans="1:55" x14ac:dyDescent="0.25">
      <c r="A749" s="19" t="str">
        <f t="shared" si="188"/>
        <v/>
      </c>
      <c r="B749" s="19"/>
      <c r="C749" s="20"/>
      <c r="D749" s="19" t="str">
        <f t="shared" si="187"/>
        <v/>
      </c>
      <c r="E749" s="19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19"/>
      <c r="U749" s="19"/>
      <c r="V749" s="20"/>
      <c r="W749" s="22"/>
      <c r="X749" s="21"/>
      <c r="Y749" s="21"/>
      <c r="Z749" s="23" t="str">
        <f>IF(B749="","",IF(S749&lt;&gt;"","Sevk Edildi",IF(AND(X749&lt;&gt;"",Y749=""),"Reworkte",IF(T749&lt;&gt;"","Kapandı"&amp;IF(COUNT(G749:R749)=0,""," – "&amp;LOOKUP(2,1/(G749:R749=MAX(G749:R749)),{"Tasarım","Ply Cutter","Üretim","Kalite (Üretim sonrası)","Talaşlı","Kalite (Talaşlı sonrası)","Montaj","Kalite (Montaj sonrası)","Boya","Kalite (Boya sonrası)","Yarı Mamül","KM"})),IF(COUNT(G749:R749)=0,"Başlamadı",LOOKUP(2,1/(G749:R749=MAX(G749:R749)),{"Tasarımda","Ply Cutter'da","Üretimde","Kalitede (Üretim sonrası)","Talaşlıda","Kalitede (Talaşlı sonrası)","Montajda","Kalitede (Montaj sonrası)","Boyada","Kalitede (Boya sonrası)","Yarı Mamülde","KM'de"}))))))</f>
        <v/>
      </c>
      <c r="AA749" s="24" t="str">
        <f t="shared" ca="1" si="189"/>
        <v/>
      </c>
      <c r="AB749" s="22"/>
      <c r="AD749" t="str">
        <f>IF(OR($B749="",NOT(ISNUMBER(G749))),"",IF(COUNTIF(H749:$T749,G749)&gt;0,0,IF(COUNTIF($G749:$T749,"&gt;"&amp;G749)=0,"",SMALL($G749:$T749,COUNTIF($G749:$T749,"&lt;="&amp;G749)+1)-G749)))</f>
        <v/>
      </c>
      <c r="AE749" t="str">
        <f>IF(OR($B749="",NOT(ISNUMBER(H749))),"",IF(COUNTIF(I749:$T749,H749)&gt;0,0,IF(COUNTIF($G749:$T749,"&gt;"&amp;H749)=0,"",SMALL($G749:$T749,COUNTIF($G749:$T749,"&lt;="&amp;H749)+1)-H749)))</f>
        <v/>
      </c>
      <c r="AF749" t="str">
        <f>IF(OR($B749="",NOT(ISNUMBER(I749))),"",IF(COUNTIF(J749:$T749,I749)&gt;0,0,IF(COUNTIF($G749:$T749,"&gt;"&amp;I749)=0,"",SMALL($G749:$T749,COUNTIF($G749:$T749,"&lt;="&amp;I749)+1)-I749)))</f>
        <v/>
      </c>
      <c r="AG749" t="str">
        <f>IF(OR($B749="",NOT(ISNUMBER(J749))),"",IF(COUNTIF(K749:$T749,J749)&gt;0,0,IF(COUNTIF($G749:$T749,"&gt;"&amp;J749)=0,"",SMALL($G749:$T749,COUNTIF($G749:$T749,"&lt;="&amp;J749)+1)-J749)))</f>
        <v/>
      </c>
      <c r="AH749" t="str">
        <f>IF(OR($B749="",NOT(ISNUMBER(K749))),"",IF(COUNTIF(L749:$T749,K749)&gt;0,0,IF(COUNTIF($G749:$T749,"&gt;"&amp;K749)=0,"",SMALL($G749:$T749,COUNTIF($G749:$T749,"&lt;="&amp;K749)+1)-K749)))</f>
        <v/>
      </c>
      <c r="AI749" t="str">
        <f>IF(OR($B749="",NOT(ISNUMBER(L749))),"",IF(COUNTIF(M749:$T749,L749)&gt;0,0,IF(COUNTIF($G749:$T749,"&gt;"&amp;L749)=0,"",SMALL($G749:$T749,COUNTIF($G749:$T749,"&lt;="&amp;L749)+1)-L749)))</f>
        <v/>
      </c>
      <c r="AJ749" t="str">
        <f>IF(OR($B749="",NOT(ISNUMBER(M749))),"",IF(COUNTIF(N749:$T749,M749)&gt;0,0,IF(COUNTIF($G749:$T749,"&gt;"&amp;M749)=0,"",SMALL($G749:$T749,COUNTIF($G749:$T749,"&lt;="&amp;M749)+1)-M749)))</f>
        <v/>
      </c>
      <c r="AK749" t="str">
        <f>IF(OR($B749="",NOT(ISNUMBER(N749))),"",IF(COUNTIF(O749:$T749,N749)&gt;0,0,IF(COUNTIF($G749:$T749,"&gt;"&amp;N749)=0,"",SMALL($G749:$T749,COUNTIF($G749:$T749,"&lt;="&amp;N749)+1)-N749)))</f>
        <v/>
      </c>
      <c r="AL749" t="str">
        <f>IF(OR($B749="",NOT(ISNUMBER(O749))),"",IF(COUNTIF(P749:$T749,O749)&gt;0,0,IF(COUNTIF($G749:$T749,"&gt;"&amp;O749)=0,"",SMALL($G749:$T749,COUNTIF($G749:$T749,"&lt;="&amp;O749)+1)-O749)))</f>
        <v/>
      </c>
      <c r="AM749" t="str">
        <f>IF(OR($B749="",NOT(ISNUMBER(P749))),"",IF(COUNTIF(Q749:$T749,P749)&gt;0,0,IF(COUNTIF($G749:$T749,"&gt;"&amp;P749)=0,"",SMALL($G749:$T749,COUNTIF($G749:$T749,"&lt;="&amp;P749)+1)-P749)))</f>
        <v/>
      </c>
      <c r="AN749" t="str">
        <f>IF(OR($B749="",NOT(ISNUMBER(Q749))),"",IF(COUNTIF(R749:$T749,Q749)&gt;0,0,IF(COUNTIF($G749:$T749,"&gt;"&amp;Q749)=0,"",SMALL($G749:$T749,COUNTIF($G749:$T749,"&lt;="&amp;Q749)+1)-Q749)))</f>
        <v/>
      </c>
      <c r="AO749" t="str">
        <f>IF(OR($B749="",NOT(ISNUMBER(R749))),"",IF(COUNTIF(S749:$T749,R749)&gt;0,0,IF(COUNTIF($G749:$T749,"&gt;"&amp;R749)=0,"",SMALL($G749:$T749,COUNTIF($G749:$T749,"&lt;="&amp;R749)+1)-R749)))</f>
        <v/>
      </c>
      <c r="AP749">
        <f t="shared" ca="1" si="190"/>
        <v>0</v>
      </c>
      <c r="AQ749" s="25" t="str">
        <f t="shared" si="191"/>
        <v/>
      </c>
      <c r="AR749" s="25" t="str">
        <f t="shared" si="192"/>
        <v/>
      </c>
      <c r="AS749" s="25" t="str">
        <f t="shared" si="193"/>
        <v/>
      </c>
      <c r="AT749" s="25" t="str">
        <f t="shared" si="194"/>
        <v/>
      </c>
      <c r="AU749" s="25" t="str">
        <f t="shared" si="195"/>
        <v/>
      </c>
      <c r="AV749" s="25" t="str">
        <f t="shared" si="196"/>
        <v/>
      </c>
      <c r="AW749" s="25" t="str">
        <f t="shared" si="197"/>
        <v/>
      </c>
      <c r="AX749" s="25" t="str">
        <f t="shared" si="198"/>
        <v/>
      </c>
      <c r="AY749" s="25" t="str">
        <f t="shared" si="199"/>
        <v/>
      </c>
      <c r="AZ749" s="25" t="str">
        <f t="shared" si="200"/>
        <v/>
      </c>
      <c r="BA749" s="25" t="str">
        <f t="shared" si="201"/>
        <v/>
      </c>
      <c r="BB749" s="25" t="str">
        <f t="shared" si="202"/>
        <v/>
      </c>
      <c r="BC749" s="25" t="str">
        <f t="shared" si="203"/>
        <v/>
      </c>
    </row>
    <row r="750" spans="1:55" x14ac:dyDescent="0.25">
      <c r="A750" s="19" t="str">
        <f t="shared" si="188"/>
        <v/>
      </c>
      <c r="B750" s="19"/>
      <c r="C750" s="20"/>
      <c r="D750" s="19" t="str">
        <f t="shared" si="187"/>
        <v/>
      </c>
      <c r="E750" s="19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19"/>
      <c r="U750" s="19"/>
      <c r="V750" s="20"/>
      <c r="W750" s="22"/>
      <c r="X750" s="21"/>
      <c r="Y750" s="21"/>
      <c r="Z750" s="23" t="str">
        <f>IF(B750="","",IF(S750&lt;&gt;"","Sevk Edildi",IF(AND(X750&lt;&gt;"",Y750=""),"Reworkte",IF(T750&lt;&gt;"","Kapandı"&amp;IF(COUNT(G750:R750)=0,""," – "&amp;LOOKUP(2,1/(G750:R750=MAX(G750:R750)),{"Tasarım","Ply Cutter","Üretim","Kalite (Üretim sonrası)","Talaşlı","Kalite (Talaşlı sonrası)","Montaj","Kalite (Montaj sonrası)","Boya","Kalite (Boya sonrası)","Yarı Mamül","KM"})),IF(COUNT(G750:R750)=0,"Başlamadı",LOOKUP(2,1/(G750:R750=MAX(G750:R750)),{"Tasarımda","Ply Cutter'da","Üretimde","Kalitede (Üretim sonrası)","Talaşlıda","Kalitede (Talaşlı sonrası)","Montajda","Kalitede (Montaj sonrası)","Boyada","Kalitede (Boya sonrası)","Yarı Mamülde","KM'de"}))))))</f>
        <v/>
      </c>
      <c r="AA750" s="24" t="str">
        <f t="shared" ca="1" si="189"/>
        <v/>
      </c>
      <c r="AB750" s="22"/>
      <c r="AD750" t="str">
        <f>IF(OR($B750="",NOT(ISNUMBER(G750))),"",IF(COUNTIF(H750:$T750,G750)&gt;0,0,IF(COUNTIF($G750:$T750,"&gt;"&amp;G750)=0,"",SMALL($G750:$T750,COUNTIF($G750:$T750,"&lt;="&amp;G750)+1)-G750)))</f>
        <v/>
      </c>
      <c r="AE750" t="str">
        <f>IF(OR($B750="",NOT(ISNUMBER(H750))),"",IF(COUNTIF(I750:$T750,H750)&gt;0,0,IF(COUNTIF($G750:$T750,"&gt;"&amp;H750)=0,"",SMALL($G750:$T750,COUNTIF($G750:$T750,"&lt;="&amp;H750)+1)-H750)))</f>
        <v/>
      </c>
      <c r="AF750" t="str">
        <f>IF(OR($B750="",NOT(ISNUMBER(I750))),"",IF(COUNTIF(J750:$T750,I750)&gt;0,0,IF(COUNTIF($G750:$T750,"&gt;"&amp;I750)=0,"",SMALL($G750:$T750,COUNTIF($G750:$T750,"&lt;="&amp;I750)+1)-I750)))</f>
        <v/>
      </c>
      <c r="AG750" t="str">
        <f>IF(OR($B750="",NOT(ISNUMBER(J750))),"",IF(COUNTIF(K750:$T750,J750)&gt;0,0,IF(COUNTIF($G750:$T750,"&gt;"&amp;J750)=0,"",SMALL($G750:$T750,COUNTIF($G750:$T750,"&lt;="&amp;J750)+1)-J750)))</f>
        <v/>
      </c>
      <c r="AH750" t="str">
        <f>IF(OR($B750="",NOT(ISNUMBER(K750))),"",IF(COUNTIF(L750:$T750,K750)&gt;0,0,IF(COUNTIF($G750:$T750,"&gt;"&amp;K750)=0,"",SMALL($G750:$T750,COUNTIF($G750:$T750,"&lt;="&amp;K750)+1)-K750)))</f>
        <v/>
      </c>
      <c r="AI750" t="str">
        <f>IF(OR($B750="",NOT(ISNUMBER(L750))),"",IF(COUNTIF(M750:$T750,L750)&gt;0,0,IF(COUNTIF($G750:$T750,"&gt;"&amp;L750)=0,"",SMALL($G750:$T750,COUNTIF($G750:$T750,"&lt;="&amp;L750)+1)-L750)))</f>
        <v/>
      </c>
      <c r="AJ750" t="str">
        <f>IF(OR($B750="",NOT(ISNUMBER(M750))),"",IF(COUNTIF(N750:$T750,M750)&gt;0,0,IF(COUNTIF($G750:$T750,"&gt;"&amp;M750)=0,"",SMALL($G750:$T750,COUNTIF($G750:$T750,"&lt;="&amp;M750)+1)-M750)))</f>
        <v/>
      </c>
      <c r="AK750" t="str">
        <f>IF(OR($B750="",NOT(ISNUMBER(N750))),"",IF(COUNTIF(O750:$T750,N750)&gt;0,0,IF(COUNTIF($G750:$T750,"&gt;"&amp;N750)=0,"",SMALL($G750:$T750,COUNTIF($G750:$T750,"&lt;="&amp;N750)+1)-N750)))</f>
        <v/>
      </c>
      <c r="AL750" t="str">
        <f>IF(OR($B750="",NOT(ISNUMBER(O750))),"",IF(COUNTIF(P750:$T750,O750)&gt;0,0,IF(COUNTIF($G750:$T750,"&gt;"&amp;O750)=0,"",SMALL($G750:$T750,COUNTIF($G750:$T750,"&lt;="&amp;O750)+1)-O750)))</f>
        <v/>
      </c>
      <c r="AM750" t="str">
        <f>IF(OR($B750="",NOT(ISNUMBER(P750))),"",IF(COUNTIF(Q750:$T750,P750)&gt;0,0,IF(COUNTIF($G750:$T750,"&gt;"&amp;P750)=0,"",SMALL($G750:$T750,COUNTIF($G750:$T750,"&lt;="&amp;P750)+1)-P750)))</f>
        <v/>
      </c>
      <c r="AN750" t="str">
        <f>IF(OR($B750="",NOT(ISNUMBER(Q750))),"",IF(COUNTIF(R750:$T750,Q750)&gt;0,0,IF(COUNTIF($G750:$T750,"&gt;"&amp;Q750)=0,"",SMALL($G750:$T750,COUNTIF($G750:$T750,"&lt;="&amp;Q750)+1)-Q750)))</f>
        <v/>
      </c>
      <c r="AO750" t="str">
        <f>IF(OR($B750="",NOT(ISNUMBER(R750))),"",IF(COUNTIF(S750:$T750,R750)&gt;0,0,IF(COUNTIF($G750:$T750,"&gt;"&amp;R750)=0,"",SMALL($G750:$T750,COUNTIF($G750:$T750,"&lt;="&amp;R750)+1)-R750)))</f>
        <v/>
      </c>
      <c r="AP750">
        <f t="shared" ca="1" si="190"/>
        <v>0</v>
      </c>
      <c r="AQ750" s="25" t="str">
        <f t="shared" si="191"/>
        <v/>
      </c>
      <c r="AR750" s="25" t="str">
        <f t="shared" si="192"/>
        <v/>
      </c>
      <c r="AS750" s="25" t="str">
        <f t="shared" si="193"/>
        <v/>
      </c>
      <c r="AT750" s="25" t="str">
        <f t="shared" si="194"/>
        <v/>
      </c>
      <c r="AU750" s="25" t="str">
        <f t="shared" si="195"/>
        <v/>
      </c>
      <c r="AV750" s="25" t="str">
        <f t="shared" si="196"/>
        <v/>
      </c>
      <c r="AW750" s="25" t="str">
        <f t="shared" si="197"/>
        <v/>
      </c>
      <c r="AX750" s="25" t="str">
        <f t="shared" si="198"/>
        <v/>
      </c>
      <c r="AY750" s="25" t="str">
        <f t="shared" si="199"/>
        <v/>
      </c>
      <c r="AZ750" s="25" t="str">
        <f t="shared" si="200"/>
        <v/>
      </c>
      <c r="BA750" s="25" t="str">
        <f t="shared" si="201"/>
        <v/>
      </c>
      <c r="BB750" s="25" t="str">
        <f t="shared" si="202"/>
        <v/>
      </c>
      <c r="BC750" s="25" t="str">
        <f t="shared" si="203"/>
        <v/>
      </c>
    </row>
    <row r="751" spans="1:55" x14ac:dyDescent="0.25">
      <c r="A751" s="19" t="str">
        <f t="shared" si="188"/>
        <v/>
      </c>
      <c r="B751" s="19"/>
      <c r="C751" s="20"/>
      <c r="D751" s="19" t="str">
        <f t="shared" si="187"/>
        <v/>
      </c>
      <c r="E751" s="19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19"/>
      <c r="U751" s="19"/>
      <c r="V751" s="20"/>
      <c r="W751" s="22"/>
      <c r="X751" s="21"/>
      <c r="Y751" s="21"/>
      <c r="Z751" s="23" t="str">
        <f>IF(B751="","",IF(S751&lt;&gt;"","Sevk Edildi",IF(AND(X751&lt;&gt;"",Y751=""),"Reworkte",IF(T751&lt;&gt;"","Kapandı"&amp;IF(COUNT(G751:R751)=0,""," – "&amp;LOOKUP(2,1/(G751:R751=MAX(G751:R751)),{"Tasarım","Ply Cutter","Üretim","Kalite (Üretim sonrası)","Talaşlı","Kalite (Talaşlı sonrası)","Montaj","Kalite (Montaj sonrası)","Boya","Kalite (Boya sonrası)","Yarı Mamül","KM"})),IF(COUNT(G751:R751)=0,"Başlamadı",LOOKUP(2,1/(G751:R751=MAX(G751:R751)),{"Tasarımda","Ply Cutter'da","Üretimde","Kalitede (Üretim sonrası)","Talaşlıda","Kalitede (Talaşlı sonrası)","Montajda","Kalitede (Montaj sonrası)","Boyada","Kalitede (Boya sonrası)","Yarı Mamülde","KM'de"}))))))</f>
        <v/>
      </c>
      <c r="AA751" s="24" t="str">
        <f t="shared" ca="1" si="189"/>
        <v/>
      </c>
      <c r="AB751" s="22"/>
      <c r="AD751" t="str">
        <f>IF(OR($B751="",NOT(ISNUMBER(G751))),"",IF(COUNTIF(H751:$T751,G751)&gt;0,0,IF(COUNTIF($G751:$T751,"&gt;"&amp;G751)=0,"",SMALL($G751:$T751,COUNTIF($G751:$T751,"&lt;="&amp;G751)+1)-G751)))</f>
        <v/>
      </c>
      <c r="AE751" t="str">
        <f>IF(OR($B751="",NOT(ISNUMBER(H751))),"",IF(COUNTIF(I751:$T751,H751)&gt;0,0,IF(COUNTIF($G751:$T751,"&gt;"&amp;H751)=0,"",SMALL($G751:$T751,COUNTIF($G751:$T751,"&lt;="&amp;H751)+1)-H751)))</f>
        <v/>
      </c>
      <c r="AF751" t="str">
        <f>IF(OR($B751="",NOT(ISNUMBER(I751))),"",IF(COUNTIF(J751:$T751,I751)&gt;0,0,IF(COUNTIF($G751:$T751,"&gt;"&amp;I751)=0,"",SMALL($G751:$T751,COUNTIF($G751:$T751,"&lt;="&amp;I751)+1)-I751)))</f>
        <v/>
      </c>
      <c r="AG751" t="str">
        <f>IF(OR($B751="",NOT(ISNUMBER(J751))),"",IF(COUNTIF(K751:$T751,J751)&gt;0,0,IF(COUNTIF($G751:$T751,"&gt;"&amp;J751)=0,"",SMALL($G751:$T751,COUNTIF($G751:$T751,"&lt;="&amp;J751)+1)-J751)))</f>
        <v/>
      </c>
      <c r="AH751" t="str">
        <f>IF(OR($B751="",NOT(ISNUMBER(K751))),"",IF(COUNTIF(L751:$T751,K751)&gt;0,0,IF(COUNTIF($G751:$T751,"&gt;"&amp;K751)=0,"",SMALL($G751:$T751,COUNTIF($G751:$T751,"&lt;="&amp;K751)+1)-K751)))</f>
        <v/>
      </c>
      <c r="AI751" t="str">
        <f>IF(OR($B751="",NOT(ISNUMBER(L751))),"",IF(COUNTIF(M751:$T751,L751)&gt;0,0,IF(COUNTIF($G751:$T751,"&gt;"&amp;L751)=0,"",SMALL($G751:$T751,COUNTIF($G751:$T751,"&lt;="&amp;L751)+1)-L751)))</f>
        <v/>
      </c>
      <c r="AJ751" t="str">
        <f>IF(OR($B751="",NOT(ISNUMBER(M751))),"",IF(COUNTIF(N751:$T751,M751)&gt;0,0,IF(COUNTIF($G751:$T751,"&gt;"&amp;M751)=0,"",SMALL($G751:$T751,COUNTIF($G751:$T751,"&lt;="&amp;M751)+1)-M751)))</f>
        <v/>
      </c>
      <c r="AK751" t="str">
        <f>IF(OR($B751="",NOT(ISNUMBER(N751))),"",IF(COUNTIF(O751:$T751,N751)&gt;0,0,IF(COUNTIF($G751:$T751,"&gt;"&amp;N751)=0,"",SMALL($G751:$T751,COUNTIF($G751:$T751,"&lt;="&amp;N751)+1)-N751)))</f>
        <v/>
      </c>
      <c r="AL751" t="str">
        <f>IF(OR($B751="",NOT(ISNUMBER(O751))),"",IF(COUNTIF(P751:$T751,O751)&gt;0,0,IF(COUNTIF($G751:$T751,"&gt;"&amp;O751)=0,"",SMALL($G751:$T751,COUNTIF($G751:$T751,"&lt;="&amp;O751)+1)-O751)))</f>
        <v/>
      </c>
      <c r="AM751" t="str">
        <f>IF(OR($B751="",NOT(ISNUMBER(P751))),"",IF(COUNTIF(Q751:$T751,P751)&gt;0,0,IF(COUNTIF($G751:$T751,"&gt;"&amp;P751)=0,"",SMALL($G751:$T751,COUNTIF($G751:$T751,"&lt;="&amp;P751)+1)-P751)))</f>
        <v/>
      </c>
      <c r="AN751" t="str">
        <f>IF(OR($B751="",NOT(ISNUMBER(Q751))),"",IF(COUNTIF(R751:$T751,Q751)&gt;0,0,IF(COUNTIF($G751:$T751,"&gt;"&amp;Q751)=0,"",SMALL($G751:$T751,COUNTIF($G751:$T751,"&lt;="&amp;Q751)+1)-Q751)))</f>
        <v/>
      </c>
      <c r="AO751" t="str">
        <f>IF(OR($B751="",NOT(ISNUMBER(R751))),"",IF(COUNTIF(S751:$T751,R751)&gt;0,0,IF(COUNTIF($G751:$T751,"&gt;"&amp;R751)=0,"",SMALL($G751:$T751,COUNTIF($G751:$T751,"&lt;="&amp;R751)+1)-R751)))</f>
        <v/>
      </c>
      <c r="AP751">
        <f t="shared" ca="1" si="190"/>
        <v>0</v>
      </c>
      <c r="AQ751" s="25" t="str">
        <f t="shared" si="191"/>
        <v/>
      </c>
      <c r="AR751" s="25" t="str">
        <f t="shared" si="192"/>
        <v/>
      </c>
      <c r="AS751" s="25" t="str">
        <f t="shared" si="193"/>
        <v/>
      </c>
      <c r="AT751" s="25" t="str">
        <f t="shared" si="194"/>
        <v/>
      </c>
      <c r="AU751" s="25" t="str">
        <f t="shared" si="195"/>
        <v/>
      </c>
      <c r="AV751" s="25" t="str">
        <f t="shared" si="196"/>
        <v/>
      </c>
      <c r="AW751" s="25" t="str">
        <f t="shared" si="197"/>
        <v/>
      </c>
      <c r="AX751" s="25" t="str">
        <f t="shared" si="198"/>
        <v/>
      </c>
      <c r="AY751" s="25" t="str">
        <f t="shared" si="199"/>
        <v/>
      </c>
      <c r="AZ751" s="25" t="str">
        <f t="shared" si="200"/>
        <v/>
      </c>
      <c r="BA751" s="25" t="str">
        <f t="shared" si="201"/>
        <v/>
      </c>
      <c r="BB751" s="25" t="str">
        <f t="shared" si="202"/>
        <v/>
      </c>
      <c r="BC751" s="25" t="str">
        <f t="shared" si="203"/>
        <v/>
      </c>
    </row>
    <row r="752" spans="1:55" x14ac:dyDescent="0.25">
      <c r="A752" s="19" t="str">
        <f t="shared" si="188"/>
        <v/>
      </c>
      <c r="B752" s="19"/>
      <c r="C752" s="20"/>
      <c r="D752" s="19" t="str">
        <f t="shared" si="187"/>
        <v/>
      </c>
      <c r="E752" s="19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19"/>
      <c r="U752" s="19"/>
      <c r="V752" s="20"/>
      <c r="W752" s="22"/>
      <c r="X752" s="21"/>
      <c r="Y752" s="21"/>
      <c r="Z752" s="23" t="str">
        <f>IF(B752="","",IF(S752&lt;&gt;"","Sevk Edildi",IF(AND(X752&lt;&gt;"",Y752=""),"Reworkte",IF(T752&lt;&gt;"","Kapandı"&amp;IF(COUNT(G752:R752)=0,""," – "&amp;LOOKUP(2,1/(G752:R752=MAX(G752:R752)),{"Tasarım","Ply Cutter","Üretim","Kalite (Üretim sonrası)","Talaşlı","Kalite (Talaşlı sonrası)","Montaj","Kalite (Montaj sonrası)","Boya","Kalite (Boya sonrası)","Yarı Mamül","KM"})),IF(COUNT(G752:R752)=0,"Başlamadı",LOOKUP(2,1/(G752:R752=MAX(G752:R752)),{"Tasarımda","Ply Cutter'da","Üretimde","Kalitede (Üretim sonrası)","Talaşlıda","Kalitede (Talaşlı sonrası)","Montajda","Kalitede (Montaj sonrası)","Boyada","Kalitede (Boya sonrası)","Yarı Mamülde","KM'de"}))))))</f>
        <v/>
      </c>
      <c r="AA752" s="24" t="str">
        <f t="shared" ca="1" si="189"/>
        <v/>
      </c>
      <c r="AB752" s="22"/>
      <c r="AD752" t="str">
        <f>IF(OR($B752="",NOT(ISNUMBER(G752))),"",IF(COUNTIF(H752:$T752,G752)&gt;0,0,IF(COUNTIF($G752:$T752,"&gt;"&amp;G752)=0,"",SMALL($G752:$T752,COUNTIF($G752:$T752,"&lt;="&amp;G752)+1)-G752)))</f>
        <v/>
      </c>
      <c r="AE752" t="str">
        <f>IF(OR($B752="",NOT(ISNUMBER(H752))),"",IF(COUNTIF(I752:$T752,H752)&gt;0,0,IF(COUNTIF($G752:$T752,"&gt;"&amp;H752)=0,"",SMALL($G752:$T752,COUNTIF($G752:$T752,"&lt;="&amp;H752)+1)-H752)))</f>
        <v/>
      </c>
      <c r="AF752" t="str">
        <f>IF(OR($B752="",NOT(ISNUMBER(I752))),"",IF(COUNTIF(J752:$T752,I752)&gt;0,0,IF(COUNTIF($G752:$T752,"&gt;"&amp;I752)=0,"",SMALL($G752:$T752,COUNTIF($G752:$T752,"&lt;="&amp;I752)+1)-I752)))</f>
        <v/>
      </c>
      <c r="AG752" t="str">
        <f>IF(OR($B752="",NOT(ISNUMBER(J752))),"",IF(COUNTIF(K752:$T752,J752)&gt;0,0,IF(COUNTIF($G752:$T752,"&gt;"&amp;J752)=0,"",SMALL($G752:$T752,COUNTIF($G752:$T752,"&lt;="&amp;J752)+1)-J752)))</f>
        <v/>
      </c>
      <c r="AH752" t="str">
        <f>IF(OR($B752="",NOT(ISNUMBER(K752))),"",IF(COUNTIF(L752:$T752,K752)&gt;0,0,IF(COUNTIF($G752:$T752,"&gt;"&amp;K752)=0,"",SMALL($G752:$T752,COUNTIF($G752:$T752,"&lt;="&amp;K752)+1)-K752)))</f>
        <v/>
      </c>
      <c r="AI752" t="str">
        <f>IF(OR($B752="",NOT(ISNUMBER(L752))),"",IF(COUNTIF(M752:$T752,L752)&gt;0,0,IF(COUNTIF($G752:$T752,"&gt;"&amp;L752)=0,"",SMALL($G752:$T752,COUNTIF($G752:$T752,"&lt;="&amp;L752)+1)-L752)))</f>
        <v/>
      </c>
      <c r="AJ752" t="str">
        <f>IF(OR($B752="",NOT(ISNUMBER(M752))),"",IF(COUNTIF(N752:$T752,M752)&gt;0,0,IF(COUNTIF($G752:$T752,"&gt;"&amp;M752)=0,"",SMALL($G752:$T752,COUNTIF($G752:$T752,"&lt;="&amp;M752)+1)-M752)))</f>
        <v/>
      </c>
      <c r="AK752" t="str">
        <f>IF(OR($B752="",NOT(ISNUMBER(N752))),"",IF(COUNTIF(O752:$T752,N752)&gt;0,0,IF(COUNTIF($G752:$T752,"&gt;"&amp;N752)=0,"",SMALL($G752:$T752,COUNTIF($G752:$T752,"&lt;="&amp;N752)+1)-N752)))</f>
        <v/>
      </c>
      <c r="AL752" t="str">
        <f>IF(OR($B752="",NOT(ISNUMBER(O752))),"",IF(COUNTIF(P752:$T752,O752)&gt;0,0,IF(COUNTIF($G752:$T752,"&gt;"&amp;O752)=0,"",SMALL($G752:$T752,COUNTIF($G752:$T752,"&lt;="&amp;O752)+1)-O752)))</f>
        <v/>
      </c>
      <c r="AM752" t="str">
        <f>IF(OR($B752="",NOT(ISNUMBER(P752))),"",IF(COUNTIF(Q752:$T752,P752)&gt;0,0,IF(COUNTIF($G752:$T752,"&gt;"&amp;P752)=0,"",SMALL($G752:$T752,COUNTIF($G752:$T752,"&lt;="&amp;P752)+1)-P752)))</f>
        <v/>
      </c>
      <c r="AN752" t="str">
        <f>IF(OR($B752="",NOT(ISNUMBER(Q752))),"",IF(COUNTIF(R752:$T752,Q752)&gt;0,0,IF(COUNTIF($G752:$T752,"&gt;"&amp;Q752)=0,"",SMALL($G752:$T752,COUNTIF($G752:$T752,"&lt;="&amp;Q752)+1)-Q752)))</f>
        <v/>
      </c>
      <c r="AO752" t="str">
        <f>IF(OR($B752="",NOT(ISNUMBER(R752))),"",IF(COUNTIF(S752:$T752,R752)&gt;0,0,IF(COUNTIF($G752:$T752,"&gt;"&amp;R752)=0,"",SMALL($G752:$T752,COUNTIF($G752:$T752,"&lt;="&amp;R752)+1)-R752)))</f>
        <v/>
      </c>
      <c r="AP752">
        <f t="shared" ca="1" si="190"/>
        <v>0</v>
      </c>
      <c r="AQ752" s="25" t="str">
        <f t="shared" si="191"/>
        <v/>
      </c>
      <c r="AR752" s="25" t="str">
        <f t="shared" si="192"/>
        <v/>
      </c>
      <c r="AS752" s="25" t="str">
        <f t="shared" si="193"/>
        <v/>
      </c>
      <c r="AT752" s="25" t="str">
        <f t="shared" si="194"/>
        <v/>
      </c>
      <c r="AU752" s="25" t="str">
        <f t="shared" si="195"/>
        <v/>
      </c>
      <c r="AV752" s="25" t="str">
        <f t="shared" si="196"/>
        <v/>
      </c>
      <c r="AW752" s="25" t="str">
        <f t="shared" si="197"/>
        <v/>
      </c>
      <c r="AX752" s="25" t="str">
        <f t="shared" si="198"/>
        <v/>
      </c>
      <c r="AY752" s="25" t="str">
        <f t="shared" si="199"/>
        <v/>
      </c>
      <c r="AZ752" s="25" t="str">
        <f t="shared" si="200"/>
        <v/>
      </c>
      <c r="BA752" s="25" t="str">
        <f t="shared" si="201"/>
        <v/>
      </c>
      <c r="BB752" s="25" t="str">
        <f t="shared" si="202"/>
        <v/>
      </c>
      <c r="BC752" s="25" t="str">
        <f t="shared" si="203"/>
        <v/>
      </c>
    </row>
    <row r="753" spans="1:55" x14ac:dyDescent="0.25">
      <c r="A753" s="19" t="str">
        <f t="shared" si="188"/>
        <v/>
      </c>
      <c r="B753" s="19"/>
      <c r="C753" s="20"/>
      <c r="D753" s="19" t="str">
        <f t="shared" si="187"/>
        <v/>
      </c>
      <c r="E753" s="19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19"/>
      <c r="U753" s="19"/>
      <c r="V753" s="20"/>
      <c r="W753" s="22"/>
      <c r="X753" s="21"/>
      <c r="Y753" s="21"/>
      <c r="Z753" s="23" t="str">
        <f>IF(B753="","",IF(S753&lt;&gt;"","Sevk Edildi",IF(AND(X753&lt;&gt;"",Y753=""),"Reworkte",IF(T753&lt;&gt;"","Kapandı"&amp;IF(COUNT(G753:R753)=0,""," – "&amp;LOOKUP(2,1/(G753:R753=MAX(G753:R753)),{"Tasarım","Ply Cutter","Üretim","Kalite (Üretim sonrası)","Talaşlı","Kalite (Talaşlı sonrası)","Montaj","Kalite (Montaj sonrası)","Boya","Kalite (Boya sonrası)","Yarı Mamül","KM"})),IF(COUNT(G753:R753)=0,"Başlamadı",LOOKUP(2,1/(G753:R753=MAX(G753:R753)),{"Tasarımda","Ply Cutter'da","Üretimde","Kalitede (Üretim sonrası)","Talaşlıda","Kalitede (Talaşlı sonrası)","Montajda","Kalitede (Montaj sonrası)","Boyada","Kalitede (Boya sonrası)","Yarı Mamülde","KM'de"}))))))</f>
        <v/>
      </c>
      <c r="AA753" s="24" t="str">
        <f t="shared" ca="1" si="189"/>
        <v/>
      </c>
      <c r="AB753" s="22"/>
      <c r="AD753" t="str">
        <f>IF(OR($B753="",NOT(ISNUMBER(G753))),"",IF(COUNTIF(H753:$T753,G753)&gt;0,0,IF(COUNTIF($G753:$T753,"&gt;"&amp;G753)=0,"",SMALL($G753:$T753,COUNTIF($G753:$T753,"&lt;="&amp;G753)+1)-G753)))</f>
        <v/>
      </c>
      <c r="AE753" t="str">
        <f>IF(OR($B753="",NOT(ISNUMBER(H753))),"",IF(COUNTIF(I753:$T753,H753)&gt;0,0,IF(COUNTIF($G753:$T753,"&gt;"&amp;H753)=0,"",SMALL($G753:$T753,COUNTIF($G753:$T753,"&lt;="&amp;H753)+1)-H753)))</f>
        <v/>
      </c>
      <c r="AF753" t="str">
        <f>IF(OR($B753="",NOT(ISNUMBER(I753))),"",IF(COUNTIF(J753:$T753,I753)&gt;0,0,IF(COUNTIF($G753:$T753,"&gt;"&amp;I753)=0,"",SMALL($G753:$T753,COUNTIF($G753:$T753,"&lt;="&amp;I753)+1)-I753)))</f>
        <v/>
      </c>
      <c r="AG753" t="str">
        <f>IF(OR($B753="",NOT(ISNUMBER(J753))),"",IF(COUNTIF(K753:$T753,J753)&gt;0,0,IF(COUNTIF($G753:$T753,"&gt;"&amp;J753)=0,"",SMALL($G753:$T753,COUNTIF($G753:$T753,"&lt;="&amp;J753)+1)-J753)))</f>
        <v/>
      </c>
      <c r="AH753" t="str">
        <f>IF(OR($B753="",NOT(ISNUMBER(K753))),"",IF(COUNTIF(L753:$T753,K753)&gt;0,0,IF(COUNTIF($G753:$T753,"&gt;"&amp;K753)=0,"",SMALL($G753:$T753,COUNTIF($G753:$T753,"&lt;="&amp;K753)+1)-K753)))</f>
        <v/>
      </c>
      <c r="AI753" t="str">
        <f>IF(OR($B753="",NOT(ISNUMBER(L753))),"",IF(COUNTIF(M753:$T753,L753)&gt;0,0,IF(COUNTIF($G753:$T753,"&gt;"&amp;L753)=0,"",SMALL($G753:$T753,COUNTIF($G753:$T753,"&lt;="&amp;L753)+1)-L753)))</f>
        <v/>
      </c>
      <c r="AJ753" t="str">
        <f>IF(OR($B753="",NOT(ISNUMBER(M753))),"",IF(COUNTIF(N753:$T753,M753)&gt;0,0,IF(COUNTIF($G753:$T753,"&gt;"&amp;M753)=0,"",SMALL($G753:$T753,COUNTIF($G753:$T753,"&lt;="&amp;M753)+1)-M753)))</f>
        <v/>
      </c>
      <c r="AK753" t="str">
        <f>IF(OR($B753="",NOT(ISNUMBER(N753))),"",IF(COUNTIF(O753:$T753,N753)&gt;0,0,IF(COUNTIF($G753:$T753,"&gt;"&amp;N753)=0,"",SMALL($G753:$T753,COUNTIF($G753:$T753,"&lt;="&amp;N753)+1)-N753)))</f>
        <v/>
      </c>
      <c r="AL753" t="str">
        <f>IF(OR($B753="",NOT(ISNUMBER(O753))),"",IF(COUNTIF(P753:$T753,O753)&gt;0,0,IF(COUNTIF($G753:$T753,"&gt;"&amp;O753)=0,"",SMALL($G753:$T753,COUNTIF($G753:$T753,"&lt;="&amp;O753)+1)-O753)))</f>
        <v/>
      </c>
      <c r="AM753" t="str">
        <f>IF(OR($B753="",NOT(ISNUMBER(P753))),"",IF(COUNTIF(Q753:$T753,P753)&gt;0,0,IF(COUNTIF($G753:$T753,"&gt;"&amp;P753)=0,"",SMALL($G753:$T753,COUNTIF($G753:$T753,"&lt;="&amp;P753)+1)-P753)))</f>
        <v/>
      </c>
      <c r="AN753" t="str">
        <f>IF(OR($B753="",NOT(ISNUMBER(Q753))),"",IF(COUNTIF(R753:$T753,Q753)&gt;0,0,IF(COUNTIF($G753:$T753,"&gt;"&amp;Q753)=0,"",SMALL($G753:$T753,COUNTIF($G753:$T753,"&lt;="&amp;Q753)+1)-Q753)))</f>
        <v/>
      </c>
      <c r="AO753" t="str">
        <f>IF(OR($B753="",NOT(ISNUMBER(R753))),"",IF(COUNTIF(S753:$T753,R753)&gt;0,0,IF(COUNTIF($G753:$T753,"&gt;"&amp;R753)=0,"",SMALL($G753:$T753,COUNTIF($G753:$T753,"&lt;="&amp;R753)+1)-R753)))</f>
        <v/>
      </c>
      <c r="AP753">
        <f t="shared" ca="1" si="190"/>
        <v>0</v>
      </c>
      <c r="AQ753" s="25" t="str">
        <f t="shared" si="191"/>
        <v/>
      </c>
      <c r="AR753" s="25" t="str">
        <f t="shared" si="192"/>
        <v/>
      </c>
      <c r="AS753" s="25" t="str">
        <f t="shared" si="193"/>
        <v/>
      </c>
      <c r="AT753" s="25" t="str">
        <f t="shared" si="194"/>
        <v/>
      </c>
      <c r="AU753" s="25" t="str">
        <f t="shared" si="195"/>
        <v/>
      </c>
      <c r="AV753" s="25" t="str">
        <f t="shared" si="196"/>
        <v/>
      </c>
      <c r="AW753" s="25" t="str">
        <f t="shared" si="197"/>
        <v/>
      </c>
      <c r="AX753" s="25" t="str">
        <f t="shared" si="198"/>
        <v/>
      </c>
      <c r="AY753" s="25" t="str">
        <f t="shared" si="199"/>
        <v/>
      </c>
      <c r="AZ753" s="25" t="str">
        <f t="shared" si="200"/>
        <v/>
      </c>
      <c r="BA753" s="25" t="str">
        <f t="shared" si="201"/>
        <v/>
      </c>
      <c r="BB753" s="25" t="str">
        <f t="shared" si="202"/>
        <v/>
      </c>
      <c r="BC753" s="25" t="str">
        <f t="shared" si="203"/>
        <v/>
      </c>
    </row>
    <row r="754" spans="1:55" x14ac:dyDescent="0.25">
      <c r="A754" s="19" t="str">
        <f t="shared" si="188"/>
        <v/>
      </c>
      <c r="B754" s="19"/>
      <c r="C754" s="20"/>
      <c r="D754" s="19" t="str">
        <f t="shared" si="187"/>
        <v/>
      </c>
      <c r="E754" s="19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19"/>
      <c r="U754" s="19"/>
      <c r="V754" s="20"/>
      <c r="W754" s="22"/>
      <c r="X754" s="21"/>
      <c r="Y754" s="21"/>
      <c r="Z754" s="23" t="str">
        <f>IF(B754="","",IF(S754&lt;&gt;"","Sevk Edildi",IF(AND(X754&lt;&gt;"",Y754=""),"Reworkte",IF(T754&lt;&gt;"","Kapandı"&amp;IF(COUNT(G754:R754)=0,""," – "&amp;LOOKUP(2,1/(G754:R754=MAX(G754:R754)),{"Tasarım","Ply Cutter","Üretim","Kalite (Üretim sonrası)","Talaşlı","Kalite (Talaşlı sonrası)","Montaj","Kalite (Montaj sonrası)","Boya","Kalite (Boya sonrası)","Yarı Mamül","KM"})),IF(COUNT(G754:R754)=0,"Başlamadı",LOOKUP(2,1/(G754:R754=MAX(G754:R754)),{"Tasarımda","Ply Cutter'da","Üretimde","Kalitede (Üretim sonrası)","Talaşlıda","Kalitede (Talaşlı sonrası)","Montajda","Kalitede (Montaj sonrası)","Boyada","Kalitede (Boya sonrası)","Yarı Mamülde","KM'de"}))))))</f>
        <v/>
      </c>
      <c r="AA754" s="24" t="str">
        <f t="shared" ca="1" si="189"/>
        <v/>
      </c>
      <c r="AB754" s="22"/>
      <c r="AD754" t="str">
        <f>IF(OR($B754="",NOT(ISNUMBER(G754))),"",IF(COUNTIF(H754:$T754,G754)&gt;0,0,IF(COUNTIF($G754:$T754,"&gt;"&amp;G754)=0,"",SMALL($G754:$T754,COUNTIF($G754:$T754,"&lt;="&amp;G754)+1)-G754)))</f>
        <v/>
      </c>
      <c r="AE754" t="str">
        <f>IF(OR($B754="",NOT(ISNUMBER(H754))),"",IF(COUNTIF(I754:$T754,H754)&gt;0,0,IF(COUNTIF($G754:$T754,"&gt;"&amp;H754)=0,"",SMALL($G754:$T754,COUNTIF($G754:$T754,"&lt;="&amp;H754)+1)-H754)))</f>
        <v/>
      </c>
      <c r="AF754" t="str">
        <f>IF(OR($B754="",NOT(ISNUMBER(I754))),"",IF(COUNTIF(J754:$T754,I754)&gt;0,0,IF(COUNTIF($G754:$T754,"&gt;"&amp;I754)=0,"",SMALL($G754:$T754,COUNTIF($G754:$T754,"&lt;="&amp;I754)+1)-I754)))</f>
        <v/>
      </c>
      <c r="AG754" t="str">
        <f>IF(OR($B754="",NOT(ISNUMBER(J754))),"",IF(COUNTIF(K754:$T754,J754)&gt;0,0,IF(COUNTIF($G754:$T754,"&gt;"&amp;J754)=0,"",SMALL($G754:$T754,COUNTIF($G754:$T754,"&lt;="&amp;J754)+1)-J754)))</f>
        <v/>
      </c>
      <c r="AH754" t="str">
        <f>IF(OR($B754="",NOT(ISNUMBER(K754))),"",IF(COUNTIF(L754:$T754,K754)&gt;0,0,IF(COUNTIF($G754:$T754,"&gt;"&amp;K754)=0,"",SMALL($G754:$T754,COUNTIF($G754:$T754,"&lt;="&amp;K754)+1)-K754)))</f>
        <v/>
      </c>
      <c r="AI754" t="str">
        <f>IF(OR($B754="",NOT(ISNUMBER(L754))),"",IF(COUNTIF(M754:$T754,L754)&gt;0,0,IF(COUNTIF($G754:$T754,"&gt;"&amp;L754)=0,"",SMALL($G754:$T754,COUNTIF($G754:$T754,"&lt;="&amp;L754)+1)-L754)))</f>
        <v/>
      </c>
      <c r="AJ754" t="str">
        <f>IF(OR($B754="",NOT(ISNUMBER(M754))),"",IF(COUNTIF(N754:$T754,M754)&gt;0,0,IF(COUNTIF($G754:$T754,"&gt;"&amp;M754)=0,"",SMALL($G754:$T754,COUNTIF($G754:$T754,"&lt;="&amp;M754)+1)-M754)))</f>
        <v/>
      </c>
      <c r="AK754" t="str">
        <f>IF(OR($B754="",NOT(ISNUMBER(N754))),"",IF(COUNTIF(O754:$T754,N754)&gt;0,0,IF(COUNTIF($G754:$T754,"&gt;"&amp;N754)=0,"",SMALL($G754:$T754,COUNTIF($G754:$T754,"&lt;="&amp;N754)+1)-N754)))</f>
        <v/>
      </c>
      <c r="AL754" t="str">
        <f>IF(OR($B754="",NOT(ISNUMBER(O754))),"",IF(COUNTIF(P754:$T754,O754)&gt;0,0,IF(COUNTIF($G754:$T754,"&gt;"&amp;O754)=0,"",SMALL($G754:$T754,COUNTIF($G754:$T754,"&lt;="&amp;O754)+1)-O754)))</f>
        <v/>
      </c>
      <c r="AM754" t="str">
        <f>IF(OR($B754="",NOT(ISNUMBER(P754))),"",IF(COUNTIF(Q754:$T754,P754)&gt;0,0,IF(COUNTIF($G754:$T754,"&gt;"&amp;P754)=0,"",SMALL($G754:$T754,COUNTIF($G754:$T754,"&lt;="&amp;P754)+1)-P754)))</f>
        <v/>
      </c>
      <c r="AN754" t="str">
        <f>IF(OR($B754="",NOT(ISNUMBER(Q754))),"",IF(COUNTIF(R754:$T754,Q754)&gt;0,0,IF(COUNTIF($G754:$T754,"&gt;"&amp;Q754)=0,"",SMALL($G754:$T754,COUNTIF($G754:$T754,"&lt;="&amp;Q754)+1)-Q754)))</f>
        <v/>
      </c>
      <c r="AO754" t="str">
        <f>IF(OR($B754="",NOT(ISNUMBER(R754))),"",IF(COUNTIF(S754:$T754,R754)&gt;0,0,IF(COUNTIF($G754:$T754,"&gt;"&amp;R754)=0,"",SMALL($G754:$T754,COUNTIF($G754:$T754,"&lt;="&amp;R754)+1)-R754)))</f>
        <v/>
      </c>
      <c r="AP754">
        <f t="shared" ca="1" si="190"/>
        <v>0</v>
      </c>
      <c r="AQ754" s="25" t="str">
        <f t="shared" si="191"/>
        <v/>
      </c>
      <c r="AR754" s="25" t="str">
        <f t="shared" si="192"/>
        <v/>
      </c>
      <c r="AS754" s="25" t="str">
        <f t="shared" si="193"/>
        <v/>
      </c>
      <c r="AT754" s="25" t="str">
        <f t="shared" si="194"/>
        <v/>
      </c>
      <c r="AU754" s="25" t="str">
        <f t="shared" si="195"/>
        <v/>
      </c>
      <c r="AV754" s="25" t="str">
        <f t="shared" si="196"/>
        <v/>
      </c>
      <c r="AW754" s="25" t="str">
        <f t="shared" si="197"/>
        <v/>
      </c>
      <c r="AX754" s="25" t="str">
        <f t="shared" si="198"/>
        <v/>
      </c>
      <c r="AY754" s="25" t="str">
        <f t="shared" si="199"/>
        <v/>
      </c>
      <c r="AZ754" s="25" t="str">
        <f t="shared" si="200"/>
        <v/>
      </c>
      <c r="BA754" s="25" t="str">
        <f t="shared" si="201"/>
        <v/>
      </c>
      <c r="BB754" s="25" t="str">
        <f t="shared" si="202"/>
        <v/>
      </c>
      <c r="BC754" s="25" t="str">
        <f t="shared" si="203"/>
        <v/>
      </c>
    </row>
    <row r="755" spans="1:55" x14ac:dyDescent="0.25">
      <c r="A755" s="19" t="str">
        <f t="shared" si="188"/>
        <v/>
      </c>
      <c r="B755" s="19"/>
      <c r="C755" s="20"/>
      <c r="D755" s="19" t="str">
        <f t="shared" si="187"/>
        <v/>
      </c>
      <c r="E755" s="19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19"/>
      <c r="U755" s="19"/>
      <c r="V755" s="20"/>
      <c r="W755" s="22"/>
      <c r="X755" s="21"/>
      <c r="Y755" s="21"/>
      <c r="Z755" s="23" t="str">
        <f>IF(B755="","",IF(S755&lt;&gt;"","Sevk Edildi",IF(AND(X755&lt;&gt;"",Y755=""),"Reworkte",IF(T755&lt;&gt;"","Kapandı"&amp;IF(COUNT(G755:R755)=0,""," – "&amp;LOOKUP(2,1/(G755:R755=MAX(G755:R755)),{"Tasarım","Ply Cutter","Üretim","Kalite (Üretim sonrası)","Talaşlı","Kalite (Talaşlı sonrası)","Montaj","Kalite (Montaj sonrası)","Boya","Kalite (Boya sonrası)","Yarı Mamül","KM"})),IF(COUNT(G755:R755)=0,"Başlamadı",LOOKUP(2,1/(G755:R755=MAX(G755:R755)),{"Tasarımda","Ply Cutter'da","Üretimde","Kalitede (Üretim sonrası)","Talaşlıda","Kalitede (Talaşlı sonrası)","Montajda","Kalitede (Montaj sonrası)","Boyada","Kalitede (Boya sonrası)","Yarı Mamülde","KM'de"}))))))</f>
        <v/>
      </c>
      <c r="AA755" s="24" t="str">
        <f t="shared" ca="1" si="189"/>
        <v/>
      </c>
      <c r="AB755" s="22"/>
      <c r="AD755" t="str">
        <f>IF(OR($B755="",NOT(ISNUMBER(G755))),"",IF(COUNTIF(H755:$T755,G755)&gt;0,0,IF(COUNTIF($G755:$T755,"&gt;"&amp;G755)=0,"",SMALL($G755:$T755,COUNTIF($G755:$T755,"&lt;="&amp;G755)+1)-G755)))</f>
        <v/>
      </c>
      <c r="AE755" t="str">
        <f>IF(OR($B755="",NOT(ISNUMBER(H755))),"",IF(COUNTIF(I755:$T755,H755)&gt;0,0,IF(COUNTIF($G755:$T755,"&gt;"&amp;H755)=0,"",SMALL($G755:$T755,COUNTIF($G755:$T755,"&lt;="&amp;H755)+1)-H755)))</f>
        <v/>
      </c>
      <c r="AF755" t="str">
        <f>IF(OR($B755="",NOT(ISNUMBER(I755))),"",IF(COUNTIF(J755:$T755,I755)&gt;0,0,IF(COUNTIF($G755:$T755,"&gt;"&amp;I755)=0,"",SMALL($G755:$T755,COUNTIF($G755:$T755,"&lt;="&amp;I755)+1)-I755)))</f>
        <v/>
      </c>
      <c r="AG755" t="str">
        <f>IF(OR($B755="",NOT(ISNUMBER(J755))),"",IF(COUNTIF(K755:$T755,J755)&gt;0,0,IF(COUNTIF($G755:$T755,"&gt;"&amp;J755)=0,"",SMALL($G755:$T755,COUNTIF($G755:$T755,"&lt;="&amp;J755)+1)-J755)))</f>
        <v/>
      </c>
      <c r="AH755" t="str">
        <f>IF(OR($B755="",NOT(ISNUMBER(K755))),"",IF(COUNTIF(L755:$T755,K755)&gt;0,0,IF(COUNTIF($G755:$T755,"&gt;"&amp;K755)=0,"",SMALL($G755:$T755,COUNTIF($G755:$T755,"&lt;="&amp;K755)+1)-K755)))</f>
        <v/>
      </c>
      <c r="AI755" t="str">
        <f>IF(OR($B755="",NOT(ISNUMBER(L755))),"",IF(COUNTIF(M755:$T755,L755)&gt;0,0,IF(COUNTIF($G755:$T755,"&gt;"&amp;L755)=0,"",SMALL($G755:$T755,COUNTIF($G755:$T755,"&lt;="&amp;L755)+1)-L755)))</f>
        <v/>
      </c>
      <c r="AJ755" t="str">
        <f>IF(OR($B755="",NOT(ISNUMBER(M755))),"",IF(COUNTIF(N755:$T755,M755)&gt;0,0,IF(COUNTIF($G755:$T755,"&gt;"&amp;M755)=0,"",SMALL($G755:$T755,COUNTIF($G755:$T755,"&lt;="&amp;M755)+1)-M755)))</f>
        <v/>
      </c>
      <c r="AK755" t="str">
        <f>IF(OR($B755="",NOT(ISNUMBER(N755))),"",IF(COUNTIF(O755:$T755,N755)&gt;0,0,IF(COUNTIF($G755:$T755,"&gt;"&amp;N755)=0,"",SMALL($G755:$T755,COUNTIF($G755:$T755,"&lt;="&amp;N755)+1)-N755)))</f>
        <v/>
      </c>
      <c r="AL755" t="str">
        <f>IF(OR($B755="",NOT(ISNUMBER(O755))),"",IF(COUNTIF(P755:$T755,O755)&gt;0,0,IF(COUNTIF($G755:$T755,"&gt;"&amp;O755)=0,"",SMALL($G755:$T755,COUNTIF($G755:$T755,"&lt;="&amp;O755)+1)-O755)))</f>
        <v/>
      </c>
      <c r="AM755" t="str">
        <f>IF(OR($B755="",NOT(ISNUMBER(P755))),"",IF(COUNTIF(Q755:$T755,P755)&gt;0,0,IF(COUNTIF($G755:$T755,"&gt;"&amp;P755)=0,"",SMALL($G755:$T755,COUNTIF($G755:$T755,"&lt;="&amp;P755)+1)-P755)))</f>
        <v/>
      </c>
      <c r="AN755" t="str">
        <f>IF(OR($B755="",NOT(ISNUMBER(Q755))),"",IF(COUNTIF(R755:$T755,Q755)&gt;0,0,IF(COUNTIF($G755:$T755,"&gt;"&amp;Q755)=0,"",SMALL($G755:$T755,COUNTIF($G755:$T755,"&lt;="&amp;Q755)+1)-Q755)))</f>
        <v/>
      </c>
      <c r="AO755" t="str">
        <f>IF(OR($B755="",NOT(ISNUMBER(R755))),"",IF(COUNTIF(S755:$T755,R755)&gt;0,0,IF(COUNTIF($G755:$T755,"&gt;"&amp;R755)=0,"",SMALL($G755:$T755,COUNTIF($G755:$T755,"&lt;="&amp;R755)+1)-R755)))</f>
        <v/>
      </c>
      <c r="AP755">
        <f t="shared" ca="1" si="190"/>
        <v>0</v>
      </c>
      <c r="AQ755" s="25" t="str">
        <f t="shared" si="191"/>
        <v/>
      </c>
      <c r="AR755" s="25" t="str">
        <f t="shared" si="192"/>
        <v/>
      </c>
      <c r="AS755" s="25" t="str">
        <f t="shared" si="193"/>
        <v/>
      </c>
      <c r="AT755" s="25" t="str">
        <f t="shared" si="194"/>
        <v/>
      </c>
      <c r="AU755" s="25" t="str">
        <f t="shared" si="195"/>
        <v/>
      </c>
      <c r="AV755" s="25" t="str">
        <f t="shared" si="196"/>
        <v/>
      </c>
      <c r="AW755" s="25" t="str">
        <f t="shared" si="197"/>
        <v/>
      </c>
      <c r="AX755" s="25" t="str">
        <f t="shared" si="198"/>
        <v/>
      </c>
      <c r="AY755" s="25" t="str">
        <f t="shared" si="199"/>
        <v/>
      </c>
      <c r="AZ755" s="25" t="str">
        <f t="shared" si="200"/>
        <v/>
      </c>
      <c r="BA755" s="25" t="str">
        <f t="shared" si="201"/>
        <v/>
      </c>
      <c r="BB755" s="25" t="str">
        <f t="shared" si="202"/>
        <v/>
      </c>
      <c r="BC755" s="25" t="str">
        <f t="shared" si="203"/>
        <v/>
      </c>
    </row>
    <row r="756" spans="1:55" x14ac:dyDescent="0.25">
      <c r="A756" s="19" t="str">
        <f t="shared" si="188"/>
        <v/>
      </c>
      <c r="B756" s="19"/>
      <c r="C756" s="20"/>
      <c r="D756" s="19" t="str">
        <f t="shared" si="187"/>
        <v/>
      </c>
      <c r="E756" s="19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19"/>
      <c r="U756" s="19"/>
      <c r="V756" s="20"/>
      <c r="W756" s="22"/>
      <c r="X756" s="21"/>
      <c r="Y756" s="21"/>
      <c r="Z756" s="23" t="str">
        <f>IF(B756="","",IF(S756&lt;&gt;"","Sevk Edildi",IF(AND(X756&lt;&gt;"",Y756=""),"Reworkte",IF(T756&lt;&gt;"","Kapandı"&amp;IF(COUNT(G756:R756)=0,""," – "&amp;LOOKUP(2,1/(G756:R756=MAX(G756:R756)),{"Tasarım","Ply Cutter","Üretim","Kalite (Üretim sonrası)","Talaşlı","Kalite (Talaşlı sonrası)","Montaj","Kalite (Montaj sonrası)","Boya","Kalite (Boya sonrası)","Yarı Mamül","KM"})),IF(COUNT(G756:R756)=0,"Başlamadı",LOOKUP(2,1/(G756:R756=MAX(G756:R756)),{"Tasarımda","Ply Cutter'da","Üretimde","Kalitede (Üretim sonrası)","Talaşlıda","Kalitede (Talaşlı sonrası)","Montajda","Kalitede (Montaj sonrası)","Boyada","Kalitede (Boya sonrası)","Yarı Mamülde","KM'de"}))))))</f>
        <v/>
      </c>
      <c r="AA756" s="24" t="str">
        <f t="shared" ca="1" si="189"/>
        <v/>
      </c>
      <c r="AB756" s="22"/>
      <c r="AD756" t="str">
        <f>IF(OR($B756="",NOT(ISNUMBER(G756))),"",IF(COUNTIF(H756:$T756,G756)&gt;0,0,IF(COUNTIF($G756:$T756,"&gt;"&amp;G756)=0,"",SMALL($G756:$T756,COUNTIF($G756:$T756,"&lt;="&amp;G756)+1)-G756)))</f>
        <v/>
      </c>
      <c r="AE756" t="str">
        <f>IF(OR($B756="",NOT(ISNUMBER(H756))),"",IF(COUNTIF(I756:$T756,H756)&gt;0,0,IF(COUNTIF($G756:$T756,"&gt;"&amp;H756)=0,"",SMALL($G756:$T756,COUNTIF($G756:$T756,"&lt;="&amp;H756)+1)-H756)))</f>
        <v/>
      </c>
      <c r="AF756" t="str">
        <f>IF(OR($B756="",NOT(ISNUMBER(I756))),"",IF(COUNTIF(J756:$T756,I756)&gt;0,0,IF(COUNTIF($G756:$T756,"&gt;"&amp;I756)=0,"",SMALL($G756:$T756,COUNTIF($G756:$T756,"&lt;="&amp;I756)+1)-I756)))</f>
        <v/>
      </c>
      <c r="AG756" t="str">
        <f>IF(OR($B756="",NOT(ISNUMBER(J756))),"",IF(COUNTIF(K756:$T756,J756)&gt;0,0,IF(COUNTIF($G756:$T756,"&gt;"&amp;J756)=0,"",SMALL($G756:$T756,COUNTIF($G756:$T756,"&lt;="&amp;J756)+1)-J756)))</f>
        <v/>
      </c>
      <c r="AH756" t="str">
        <f>IF(OR($B756="",NOT(ISNUMBER(K756))),"",IF(COUNTIF(L756:$T756,K756)&gt;0,0,IF(COUNTIF($G756:$T756,"&gt;"&amp;K756)=0,"",SMALL($G756:$T756,COUNTIF($G756:$T756,"&lt;="&amp;K756)+1)-K756)))</f>
        <v/>
      </c>
      <c r="AI756" t="str">
        <f>IF(OR($B756="",NOT(ISNUMBER(L756))),"",IF(COUNTIF(M756:$T756,L756)&gt;0,0,IF(COUNTIF($G756:$T756,"&gt;"&amp;L756)=0,"",SMALL($G756:$T756,COUNTIF($G756:$T756,"&lt;="&amp;L756)+1)-L756)))</f>
        <v/>
      </c>
      <c r="AJ756" t="str">
        <f>IF(OR($B756="",NOT(ISNUMBER(M756))),"",IF(COUNTIF(N756:$T756,M756)&gt;0,0,IF(COUNTIF($G756:$T756,"&gt;"&amp;M756)=0,"",SMALL($G756:$T756,COUNTIF($G756:$T756,"&lt;="&amp;M756)+1)-M756)))</f>
        <v/>
      </c>
      <c r="AK756" t="str">
        <f>IF(OR($B756="",NOT(ISNUMBER(N756))),"",IF(COUNTIF(O756:$T756,N756)&gt;0,0,IF(COUNTIF($G756:$T756,"&gt;"&amp;N756)=0,"",SMALL($G756:$T756,COUNTIF($G756:$T756,"&lt;="&amp;N756)+1)-N756)))</f>
        <v/>
      </c>
      <c r="AL756" t="str">
        <f>IF(OR($B756="",NOT(ISNUMBER(O756))),"",IF(COUNTIF(P756:$T756,O756)&gt;0,0,IF(COUNTIF($G756:$T756,"&gt;"&amp;O756)=0,"",SMALL($G756:$T756,COUNTIF($G756:$T756,"&lt;="&amp;O756)+1)-O756)))</f>
        <v/>
      </c>
      <c r="AM756" t="str">
        <f>IF(OR($B756="",NOT(ISNUMBER(P756))),"",IF(COUNTIF(Q756:$T756,P756)&gt;0,0,IF(COUNTIF($G756:$T756,"&gt;"&amp;P756)=0,"",SMALL($G756:$T756,COUNTIF($G756:$T756,"&lt;="&amp;P756)+1)-P756)))</f>
        <v/>
      </c>
      <c r="AN756" t="str">
        <f>IF(OR($B756="",NOT(ISNUMBER(Q756))),"",IF(COUNTIF(R756:$T756,Q756)&gt;0,0,IF(COUNTIF($G756:$T756,"&gt;"&amp;Q756)=0,"",SMALL($G756:$T756,COUNTIF($G756:$T756,"&lt;="&amp;Q756)+1)-Q756)))</f>
        <v/>
      </c>
      <c r="AO756" t="str">
        <f>IF(OR($B756="",NOT(ISNUMBER(R756))),"",IF(COUNTIF(S756:$T756,R756)&gt;0,0,IF(COUNTIF($G756:$T756,"&gt;"&amp;R756)=0,"",SMALL($G756:$T756,COUNTIF($G756:$T756,"&lt;="&amp;R756)+1)-R756)))</f>
        <v/>
      </c>
      <c r="AP756">
        <f t="shared" ca="1" si="190"/>
        <v>0</v>
      </c>
      <c r="AQ756" s="25" t="str">
        <f t="shared" si="191"/>
        <v/>
      </c>
      <c r="AR756" s="25" t="str">
        <f t="shared" si="192"/>
        <v/>
      </c>
      <c r="AS756" s="25" t="str">
        <f t="shared" si="193"/>
        <v/>
      </c>
      <c r="AT756" s="25" t="str">
        <f t="shared" si="194"/>
        <v/>
      </c>
      <c r="AU756" s="25" t="str">
        <f t="shared" si="195"/>
        <v/>
      </c>
      <c r="AV756" s="25" t="str">
        <f t="shared" si="196"/>
        <v/>
      </c>
      <c r="AW756" s="25" t="str">
        <f t="shared" si="197"/>
        <v/>
      </c>
      <c r="AX756" s="25" t="str">
        <f t="shared" si="198"/>
        <v/>
      </c>
      <c r="AY756" s="25" t="str">
        <f t="shared" si="199"/>
        <v/>
      </c>
      <c r="AZ756" s="25" t="str">
        <f t="shared" si="200"/>
        <v/>
      </c>
      <c r="BA756" s="25" t="str">
        <f t="shared" si="201"/>
        <v/>
      </c>
      <c r="BB756" s="25" t="str">
        <f t="shared" si="202"/>
        <v/>
      </c>
      <c r="BC756" s="25" t="str">
        <f t="shared" si="203"/>
        <v/>
      </c>
    </row>
    <row r="757" spans="1:55" x14ac:dyDescent="0.25">
      <c r="A757" s="19" t="str">
        <f t="shared" si="188"/>
        <v/>
      </c>
      <c r="B757" s="19"/>
      <c r="C757" s="20"/>
      <c r="D757" s="19" t="str">
        <f t="shared" si="187"/>
        <v/>
      </c>
      <c r="E757" s="19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19"/>
      <c r="U757" s="19"/>
      <c r="V757" s="20"/>
      <c r="W757" s="22"/>
      <c r="X757" s="21"/>
      <c r="Y757" s="21"/>
      <c r="Z757" s="23" t="str">
        <f>IF(B757="","",IF(S757&lt;&gt;"","Sevk Edildi",IF(AND(X757&lt;&gt;"",Y757=""),"Reworkte",IF(T757&lt;&gt;"","Kapandı"&amp;IF(COUNT(G757:R757)=0,""," – "&amp;LOOKUP(2,1/(G757:R757=MAX(G757:R757)),{"Tasarım","Ply Cutter","Üretim","Kalite (Üretim sonrası)","Talaşlı","Kalite (Talaşlı sonrası)","Montaj","Kalite (Montaj sonrası)","Boya","Kalite (Boya sonrası)","Yarı Mamül","KM"})),IF(COUNT(G757:R757)=0,"Başlamadı",LOOKUP(2,1/(G757:R757=MAX(G757:R757)),{"Tasarımda","Ply Cutter'da","Üretimde","Kalitede (Üretim sonrası)","Talaşlıda","Kalitede (Talaşlı sonrası)","Montajda","Kalitede (Montaj sonrası)","Boyada","Kalitede (Boya sonrası)","Yarı Mamülde","KM'de"}))))))</f>
        <v/>
      </c>
      <c r="AA757" s="24" t="str">
        <f t="shared" ca="1" si="189"/>
        <v/>
      </c>
      <c r="AB757" s="22"/>
      <c r="AD757" t="str">
        <f>IF(OR($B757="",NOT(ISNUMBER(G757))),"",IF(COUNTIF(H757:$T757,G757)&gt;0,0,IF(COUNTIF($G757:$T757,"&gt;"&amp;G757)=0,"",SMALL($G757:$T757,COUNTIF($G757:$T757,"&lt;="&amp;G757)+1)-G757)))</f>
        <v/>
      </c>
      <c r="AE757" t="str">
        <f>IF(OR($B757="",NOT(ISNUMBER(H757))),"",IF(COUNTIF(I757:$T757,H757)&gt;0,0,IF(COUNTIF($G757:$T757,"&gt;"&amp;H757)=0,"",SMALL($G757:$T757,COUNTIF($G757:$T757,"&lt;="&amp;H757)+1)-H757)))</f>
        <v/>
      </c>
      <c r="AF757" t="str">
        <f>IF(OR($B757="",NOT(ISNUMBER(I757))),"",IF(COUNTIF(J757:$T757,I757)&gt;0,0,IF(COUNTIF($G757:$T757,"&gt;"&amp;I757)=0,"",SMALL($G757:$T757,COUNTIF($G757:$T757,"&lt;="&amp;I757)+1)-I757)))</f>
        <v/>
      </c>
      <c r="AG757" t="str">
        <f>IF(OR($B757="",NOT(ISNUMBER(J757))),"",IF(COUNTIF(K757:$T757,J757)&gt;0,0,IF(COUNTIF($G757:$T757,"&gt;"&amp;J757)=0,"",SMALL($G757:$T757,COUNTIF($G757:$T757,"&lt;="&amp;J757)+1)-J757)))</f>
        <v/>
      </c>
      <c r="AH757" t="str">
        <f>IF(OR($B757="",NOT(ISNUMBER(K757))),"",IF(COUNTIF(L757:$T757,K757)&gt;0,0,IF(COUNTIF($G757:$T757,"&gt;"&amp;K757)=0,"",SMALL($G757:$T757,COUNTIF($G757:$T757,"&lt;="&amp;K757)+1)-K757)))</f>
        <v/>
      </c>
      <c r="AI757" t="str">
        <f>IF(OR($B757="",NOT(ISNUMBER(L757))),"",IF(COUNTIF(M757:$T757,L757)&gt;0,0,IF(COUNTIF($G757:$T757,"&gt;"&amp;L757)=0,"",SMALL($G757:$T757,COUNTIF($G757:$T757,"&lt;="&amp;L757)+1)-L757)))</f>
        <v/>
      </c>
      <c r="AJ757" t="str">
        <f>IF(OR($B757="",NOT(ISNUMBER(M757))),"",IF(COUNTIF(N757:$T757,M757)&gt;0,0,IF(COUNTIF($G757:$T757,"&gt;"&amp;M757)=0,"",SMALL($G757:$T757,COUNTIF($G757:$T757,"&lt;="&amp;M757)+1)-M757)))</f>
        <v/>
      </c>
      <c r="AK757" t="str">
        <f>IF(OR($B757="",NOT(ISNUMBER(N757))),"",IF(COUNTIF(O757:$T757,N757)&gt;0,0,IF(COUNTIF($G757:$T757,"&gt;"&amp;N757)=0,"",SMALL($G757:$T757,COUNTIF($G757:$T757,"&lt;="&amp;N757)+1)-N757)))</f>
        <v/>
      </c>
      <c r="AL757" t="str">
        <f>IF(OR($B757="",NOT(ISNUMBER(O757))),"",IF(COUNTIF(P757:$T757,O757)&gt;0,0,IF(COUNTIF($G757:$T757,"&gt;"&amp;O757)=0,"",SMALL($G757:$T757,COUNTIF($G757:$T757,"&lt;="&amp;O757)+1)-O757)))</f>
        <v/>
      </c>
      <c r="AM757" t="str">
        <f>IF(OR($B757="",NOT(ISNUMBER(P757))),"",IF(COUNTIF(Q757:$T757,P757)&gt;0,0,IF(COUNTIF($G757:$T757,"&gt;"&amp;P757)=0,"",SMALL($G757:$T757,COUNTIF($G757:$T757,"&lt;="&amp;P757)+1)-P757)))</f>
        <v/>
      </c>
      <c r="AN757" t="str">
        <f>IF(OR($B757="",NOT(ISNUMBER(Q757))),"",IF(COUNTIF(R757:$T757,Q757)&gt;0,0,IF(COUNTIF($G757:$T757,"&gt;"&amp;Q757)=0,"",SMALL($G757:$T757,COUNTIF($G757:$T757,"&lt;="&amp;Q757)+1)-Q757)))</f>
        <v/>
      </c>
      <c r="AO757" t="str">
        <f>IF(OR($B757="",NOT(ISNUMBER(R757))),"",IF(COUNTIF(S757:$T757,R757)&gt;0,0,IF(COUNTIF($G757:$T757,"&gt;"&amp;R757)=0,"",SMALL($G757:$T757,COUNTIF($G757:$T757,"&lt;="&amp;R757)+1)-R757)))</f>
        <v/>
      </c>
      <c r="AP757">
        <f t="shared" ca="1" si="190"/>
        <v>0</v>
      </c>
      <c r="AQ757" s="25" t="str">
        <f t="shared" si="191"/>
        <v/>
      </c>
      <c r="AR757" s="25" t="str">
        <f t="shared" si="192"/>
        <v/>
      </c>
      <c r="AS757" s="25" t="str">
        <f t="shared" si="193"/>
        <v/>
      </c>
      <c r="AT757" s="25" t="str">
        <f t="shared" si="194"/>
        <v/>
      </c>
      <c r="AU757" s="25" t="str">
        <f t="shared" si="195"/>
        <v/>
      </c>
      <c r="AV757" s="25" t="str">
        <f t="shared" si="196"/>
        <v/>
      </c>
      <c r="AW757" s="25" t="str">
        <f t="shared" si="197"/>
        <v/>
      </c>
      <c r="AX757" s="25" t="str">
        <f t="shared" si="198"/>
        <v/>
      </c>
      <c r="AY757" s="25" t="str">
        <f t="shared" si="199"/>
        <v/>
      </c>
      <c r="AZ757" s="25" t="str">
        <f t="shared" si="200"/>
        <v/>
      </c>
      <c r="BA757" s="25" t="str">
        <f t="shared" si="201"/>
        <v/>
      </c>
      <c r="BB757" s="25" t="str">
        <f t="shared" si="202"/>
        <v/>
      </c>
      <c r="BC757" s="25" t="str">
        <f t="shared" si="203"/>
        <v/>
      </c>
    </row>
    <row r="758" spans="1:55" x14ac:dyDescent="0.25">
      <c r="A758" s="19" t="str">
        <f t="shared" si="188"/>
        <v/>
      </c>
      <c r="B758" s="19"/>
      <c r="C758" s="20"/>
      <c r="D758" s="19" t="str">
        <f t="shared" si="187"/>
        <v/>
      </c>
      <c r="E758" s="19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19"/>
      <c r="U758" s="19"/>
      <c r="V758" s="20"/>
      <c r="W758" s="22"/>
      <c r="X758" s="21"/>
      <c r="Y758" s="21"/>
      <c r="Z758" s="23" t="str">
        <f>IF(B758="","",IF(S758&lt;&gt;"","Sevk Edildi",IF(AND(X758&lt;&gt;"",Y758=""),"Reworkte",IF(T758&lt;&gt;"","Kapandı"&amp;IF(COUNT(G758:R758)=0,""," – "&amp;LOOKUP(2,1/(G758:R758=MAX(G758:R758)),{"Tasarım","Ply Cutter","Üretim","Kalite (Üretim sonrası)","Talaşlı","Kalite (Talaşlı sonrası)","Montaj","Kalite (Montaj sonrası)","Boya","Kalite (Boya sonrası)","Yarı Mamül","KM"})),IF(COUNT(G758:R758)=0,"Başlamadı",LOOKUP(2,1/(G758:R758=MAX(G758:R758)),{"Tasarımda","Ply Cutter'da","Üretimde","Kalitede (Üretim sonrası)","Talaşlıda","Kalitede (Talaşlı sonrası)","Montajda","Kalitede (Montaj sonrası)","Boyada","Kalitede (Boya sonrası)","Yarı Mamülde","KM'de"}))))))</f>
        <v/>
      </c>
      <c r="AA758" s="24" t="str">
        <f t="shared" ca="1" si="189"/>
        <v/>
      </c>
      <c r="AB758" s="22"/>
      <c r="AD758" t="str">
        <f>IF(OR($B758="",NOT(ISNUMBER(G758))),"",IF(COUNTIF(H758:$T758,G758)&gt;0,0,IF(COUNTIF($G758:$T758,"&gt;"&amp;G758)=0,"",SMALL($G758:$T758,COUNTIF($G758:$T758,"&lt;="&amp;G758)+1)-G758)))</f>
        <v/>
      </c>
      <c r="AE758" t="str">
        <f>IF(OR($B758="",NOT(ISNUMBER(H758))),"",IF(COUNTIF(I758:$T758,H758)&gt;0,0,IF(COUNTIF($G758:$T758,"&gt;"&amp;H758)=0,"",SMALL($G758:$T758,COUNTIF($G758:$T758,"&lt;="&amp;H758)+1)-H758)))</f>
        <v/>
      </c>
      <c r="AF758" t="str">
        <f>IF(OR($B758="",NOT(ISNUMBER(I758))),"",IF(COUNTIF(J758:$T758,I758)&gt;0,0,IF(COUNTIF($G758:$T758,"&gt;"&amp;I758)=0,"",SMALL($G758:$T758,COUNTIF($G758:$T758,"&lt;="&amp;I758)+1)-I758)))</f>
        <v/>
      </c>
      <c r="AG758" t="str">
        <f>IF(OR($B758="",NOT(ISNUMBER(J758))),"",IF(COUNTIF(K758:$T758,J758)&gt;0,0,IF(COUNTIF($G758:$T758,"&gt;"&amp;J758)=0,"",SMALL($G758:$T758,COUNTIF($G758:$T758,"&lt;="&amp;J758)+1)-J758)))</f>
        <v/>
      </c>
      <c r="AH758" t="str">
        <f>IF(OR($B758="",NOT(ISNUMBER(K758))),"",IF(COUNTIF(L758:$T758,K758)&gt;0,0,IF(COUNTIF($G758:$T758,"&gt;"&amp;K758)=0,"",SMALL($G758:$T758,COUNTIF($G758:$T758,"&lt;="&amp;K758)+1)-K758)))</f>
        <v/>
      </c>
      <c r="AI758" t="str">
        <f>IF(OR($B758="",NOT(ISNUMBER(L758))),"",IF(COUNTIF(M758:$T758,L758)&gt;0,0,IF(COUNTIF($G758:$T758,"&gt;"&amp;L758)=0,"",SMALL($G758:$T758,COUNTIF($G758:$T758,"&lt;="&amp;L758)+1)-L758)))</f>
        <v/>
      </c>
      <c r="AJ758" t="str">
        <f>IF(OR($B758="",NOT(ISNUMBER(M758))),"",IF(COUNTIF(N758:$T758,M758)&gt;0,0,IF(COUNTIF($G758:$T758,"&gt;"&amp;M758)=0,"",SMALL($G758:$T758,COUNTIF($G758:$T758,"&lt;="&amp;M758)+1)-M758)))</f>
        <v/>
      </c>
      <c r="AK758" t="str">
        <f>IF(OR($B758="",NOT(ISNUMBER(N758))),"",IF(COUNTIF(O758:$T758,N758)&gt;0,0,IF(COUNTIF($G758:$T758,"&gt;"&amp;N758)=0,"",SMALL($G758:$T758,COUNTIF($G758:$T758,"&lt;="&amp;N758)+1)-N758)))</f>
        <v/>
      </c>
      <c r="AL758" t="str">
        <f>IF(OR($B758="",NOT(ISNUMBER(O758))),"",IF(COUNTIF(P758:$T758,O758)&gt;0,0,IF(COUNTIF($G758:$T758,"&gt;"&amp;O758)=0,"",SMALL($G758:$T758,COUNTIF($G758:$T758,"&lt;="&amp;O758)+1)-O758)))</f>
        <v/>
      </c>
      <c r="AM758" t="str">
        <f>IF(OR($B758="",NOT(ISNUMBER(P758))),"",IF(COUNTIF(Q758:$T758,P758)&gt;0,0,IF(COUNTIF($G758:$T758,"&gt;"&amp;P758)=0,"",SMALL($G758:$T758,COUNTIF($G758:$T758,"&lt;="&amp;P758)+1)-P758)))</f>
        <v/>
      </c>
      <c r="AN758" t="str">
        <f>IF(OR($B758="",NOT(ISNUMBER(Q758))),"",IF(COUNTIF(R758:$T758,Q758)&gt;0,0,IF(COUNTIF($G758:$T758,"&gt;"&amp;Q758)=0,"",SMALL($G758:$T758,COUNTIF($G758:$T758,"&lt;="&amp;Q758)+1)-Q758)))</f>
        <v/>
      </c>
      <c r="AO758" t="str">
        <f>IF(OR($B758="",NOT(ISNUMBER(R758))),"",IF(COUNTIF(S758:$T758,R758)&gt;0,0,IF(COUNTIF($G758:$T758,"&gt;"&amp;R758)=0,"",SMALL($G758:$T758,COUNTIF($G758:$T758,"&lt;="&amp;R758)+1)-R758)))</f>
        <v/>
      </c>
      <c r="AP758">
        <f t="shared" ca="1" si="190"/>
        <v>0</v>
      </c>
      <c r="AQ758" s="25" t="str">
        <f t="shared" si="191"/>
        <v/>
      </c>
      <c r="AR758" s="25" t="str">
        <f t="shared" si="192"/>
        <v/>
      </c>
      <c r="AS758" s="25" t="str">
        <f t="shared" si="193"/>
        <v/>
      </c>
      <c r="AT758" s="25" t="str">
        <f t="shared" si="194"/>
        <v/>
      </c>
      <c r="AU758" s="25" t="str">
        <f t="shared" si="195"/>
        <v/>
      </c>
      <c r="AV758" s="25" t="str">
        <f t="shared" si="196"/>
        <v/>
      </c>
      <c r="AW758" s="25" t="str">
        <f t="shared" si="197"/>
        <v/>
      </c>
      <c r="AX758" s="25" t="str">
        <f t="shared" si="198"/>
        <v/>
      </c>
      <c r="AY758" s="25" t="str">
        <f t="shared" si="199"/>
        <v/>
      </c>
      <c r="AZ758" s="25" t="str">
        <f t="shared" si="200"/>
        <v/>
      </c>
      <c r="BA758" s="25" t="str">
        <f t="shared" si="201"/>
        <v/>
      </c>
      <c r="BB758" s="25" t="str">
        <f t="shared" si="202"/>
        <v/>
      </c>
      <c r="BC758" s="25" t="str">
        <f t="shared" si="203"/>
        <v/>
      </c>
    </row>
    <row r="759" spans="1:55" x14ac:dyDescent="0.25">
      <c r="A759" s="19" t="str">
        <f t="shared" si="188"/>
        <v/>
      </c>
      <c r="B759" s="19"/>
      <c r="C759" s="20"/>
      <c r="D759" s="19" t="str">
        <f t="shared" si="187"/>
        <v/>
      </c>
      <c r="E759" s="19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19"/>
      <c r="U759" s="19"/>
      <c r="V759" s="20"/>
      <c r="W759" s="22"/>
      <c r="X759" s="21"/>
      <c r="Y759" s="21"/>
      <c r="Z759" s="23" t="str">
        <f>IF(B759="","",IF(S759&lt;&gt;"","Sevk Edildi",IF(AND(X759&lt;&gt;"",Y759=""),"Reworkte",IF(T759&lt;&gt;"","Kapandı"&amp;IF(COUNT(G759:R759)=0,""," – "&amp;LOOKUP(2,1/(G759:R759=MAX(G759:R759)),{"Tasarım","Ply Cutter","Üretim","Kalite (Üretim sonrası)","Talaşlı","Kalite (Talaşlı sonrası)","Montaj","Kalite (Montaj sonrası)","Boya","Kalite (Boya sonrası)","Yarı Mamül","KM"})),IF(COUNT(G759:R759)=0,"Başlamadı",LOOKUP(2,1/(G759:R759=MAX(G759:R759)),{"Tasarımda","Ply Cutter'da","Üretimde","Kalitede (Üretim sonrası)","Talaşlıda","Kalitede (Talaşlı sonrası)","Montajda","Kalitede (Montaj sonrası)","Boyada","Kalitede (Boya sonrası)","Yarı Mamülde","KM'de"}))))))</f>
        <v/>
      </c>
      <c r="AA759" s="24" t="str">
        <f t="shared" ca="1" si="189"/>
        <v/>
      </c>
      <c r="AB759" s="22"/>
      <c r="AD759" t="str">
        <f>IF(OR($B759="",NOT(ISNUMBER(G759))),"",IF(COUNTIF(H759:$T759,G759)&gt;0,0,IF(COUNTIF($G759:$T759,"&gt;"&amp;G759)=0,"",SMALL($G759:$T759,COUNTIF($G759:$T759,"&lt;="&amp;G759)+1)-G759)))</f>
        <v/>
      </c>
      <c r="AE759" t="str">
        <f>IF(OR($B759="",NOT(ISNUMBER(H759))),"",IF(COUNTIF(I759:$T759,H759)&gt;0,0,IF(COUNTIF($G759:$T759,"&gt;"&amp;H759)=0,"",SMALL($G759:$T759,COUNTIF($G759:$T759,"&lt;="&amp;H759)+1)-H759)))</f>
        <v/>
      </c>
      <c r="AF759" t="str">
        <f>IF(OR($B759="",NOT(ISNUMBER(I759))),"",IF(COUNTIF(J759:$T759,I759)&gt;0,0,IF(COUNTIF($G759:$T759,"&gt;"&amp;I759)=0,"",SMALL($G759:$T759,COUNTIF($G759:$T759,"&lt;="&amp;I759)+1)-I759)))</f>
        <v/>
      </c>
      <c r="AG759" t="str">
        <f>IF(OR($B759="",NOT(ISNUMBER(J759))),"",IF(COUNTIF(K759:$T759,J759)&gt;0,0,IF(COUNTIF($G759:$T759,"&gt;"&amp;J759)=0,"",SMALL($G759:$T759,COUNTIF($G759:$T759,"&lt;="&amp;J759)+1)-J759)))</f>
        <v/>
      </c>
      <c r="AH759" t="str">
        <f>IF(OR($B759="",NOT(ISNUMBER(K759))),"",IF(COUNTIF(L759:$T759,K759)&gt;0,0,IF(COUNTIF($G759:$T759,"&gt;"&amp;K759)=0,"",SMALL($G759:$T759,COUNTIF($G759:$T759,"&lt;="&amp;K759)+1)-K759)))</f>
        <v/>
      </c>
      <c r="AI759" t="str">
        <f>IF(OR($B759="",NOT(ISNUMBER(L759))),"",IF(COUNTIF(M759:$T759,L759)&gt;0,0,IF(COUNTIF($G759:$T759,"&gt;"&amp;L759)=0,"",SMALL($G759:$T759,COUNTIF($G759:$T759,"&lt;="&amp;L759)+1)-L759)))</f>
        <v/>
      </c>
      <c r="AJ759" t="str">
        <f>IF(OR($B759="",NOT(ISNUMBER(M759))),"",IF(COUNTIF(N759:$T759,M759)&gt;0,0,IF(COUNTIF($G759:$T759,"&gt;"&amp;M759)=0,"",SMALL($G759:$T759,COUNTIF($G759:$T759,"&lt;="&amp;M759)+1)-M759)))</f>
        <v/>
      </c>
      <c r="AK759" t="str">
        <f>IF(OR($B759="",NOT(ISNUMBER(N759))),"",IF(COUNTIF(O759:$T759,N759)&gt;0,0,IF(COUNTIF($G759:$T759,"&gt;"&amp;N759)=0,"",SMALL($G759:$T759,COUNTIF($G759:$T759,"&lt;="&amp;N759)+1)-N759)))</f>
        <v/>
      </c>
      <c r="AL759" t="str">
        <f>IF(OR($B759="",NOT(ISNUMBER(O759))),"",IF(COUNTIF(P759:$T759,O759)&gt;0,0,IF(COUNTIF($G759:$T759,"&gt;"&amp;O759)=0,"",SMALL($G759:$T759,COUNTIF($G759:$T759,"&lt;="&amp;O759)+1)-O759)))</f>
        <v/>
      </c>
      <c r="AM759" t="str">
        <f>IF(OR($B759="",NOT(ISNUMBER(P759))),"",IF(COUNTIF(Q759:$T759,P759)&gt;0,0,IF(COUNTIF($G759:$T759,"&gt;"&amp;P759)=0,"",SMALL($G759:$T759,COUNTIF($G759:$T759,"&lt;="&amp;P759)+1)-P759)))</f>
        <v/>
      </c>
      <c r="AN759" t="str">
        <f>IF(OR($B759="",NOT(ISNUMBER(Q759))),"",IF(COUNTIF(R759:$T759,Q759)&gt;0,0,IF(COUNTIF($G759:$T759,"&gt;"&amp;Q759)=0,"",SMALL($G759:$T759,COUNTIF($G759:$T759,"&lt;="&amp;Q759)+1)-Q759)))</f>
        <v/>
      </c>
      <c r="AO759" t="str">
        <f>IF(OR($B759="",NOT(ISNUMBER(R759))),"",IF(COUNTIF(S759:$T759,R759)&gt;0,0,IF(COUNTIF($G759:$T759,"&gt;"&amp;R759)=0,"",SMALL($G759:$T759,COUNTIF($G759:$T759,"&lt;="&amp;R759)+1)-R759)))</f>
        <v/>
      </c>
      <c r="AP759">
        <f t="shared" ca="1" si="190"/>
        <v>0</v>
      </c>
      <c r="AQ759" s="25" t="str">
        <f t="shared" si="191"/>
        <v/>
      </c>
      <c r="AR759" s="25" t="str">
        <f t="shared" si="192"/>
        <v/>
      </c>
      <c r="AS759" s="25" t="str">
        <f t="shared" si="193"/>
        <v/>
      </c>
      <c r="AT759" s="25" t="str">
        <f t="shared" si="194"/>
        <v/>
      </c>
      <c r="AU759" s="25" t="str">
        <f t="shared" si="195"/>
        <v/>
      </c>
      <c r="AV759" s="25" t="str">
        <f t="shared" si="196"/>
        <v/>
      </c>
      <c r="AW759" s="25" t="str">
        <f t="shared" si="197"/>
        <v/>
      </c>
      <c r="AX759" s="25" t="str">
        <f t="shared" si="198"/>
        <v/>
      </c>
      <c r="AY759" s="25" t="str">
        <f t="shared" si="199"/>
        <v/>
      </c>
      <c r="AZ759" s="25" t="str">
        <f t="shared" si="200"/>
        <v/>
      </c>
      <c r="BA759" s="25" t="str">
        <f t="shared" si="201"/>
        <v/>
      </c>
      <c r="BB759" s="25" t="str">
        <f t="shared" si="202"/>
        <v/>
      </c>
      <c r="BC759" s="25" t="str">
        <f t="shared" si="203"/>
        <v/>
      </c>
    </row>
    <row r="760" spans="1:55" x14ac:dyDescent="0.25">
      <c r="A760" s="19" t="str">
        <f t="shared" si="188"/>
        <v/>
      </c>
      <c r="B760" s="19"/>
      <c r="C760" s="20"/>
      <c r="D760" s="19" t="str">
        <f t="shared" si="187"/>
        <v/>
      </c>
      <c r="E760" s="19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19"/>
      <c r="U760" s="19"/>
      <c r="V760" s="20"/>
      <c r="W760" s="22"/>
      <c r="X760" s="21"/>
      <c r="Y760" s="21"/>
      <c r="Z760" s="23" t="str">
        <f>IF(B760="","",IF(S760&lt;&gt;"","Sevk Edildi",IF(AND(X760&lt;&gt;"",Y760=""),"Reworkte",IF(T760&lt;&gt;"","Kapandı"&amp;IF(COUNT(G760:R760)=0,""," – "&amp;LOOKUP(2,1/(G760:R760=MAX(G760:R760)),{"Tasarım","Ply Cutter","Üretim","Kalite (Üretim sonrası)","Talaşlı","Kalite (Talaşlı sonrası)","Montaj","Kalite (Montaj sonrası)","Boya","Kalite (Boya sonrası)","Yarı Mamül","KM"})),IF(COUNT(G760:R760)=0,"Başlamadı",LOOKUP(2,1/(G760:R760=MAX(G760:R760)),{"Tasarımda","Ply Cutter'da","Üretimde","Kalitede (Üretim sonrası)","Talaşlıda","Kalitede (Talaşlı sonrası)","Montajda","Kalitede (Montaj sonrası)","Boyada","Kalitede (Boya sonrası)","Yarı Mamülde","KM'de"}))))))</f>
        <v/>
      </c>
      <c r="AA760" s="24" t="str">
        <f t="shared" ca="1" si="189"/>
        <v/>
      </c>
      <c r="AB760" s="22"/>
      <c r="AD760" t="str">
        <f>IF(OR($B760="",NOT(ISNUMBER(G760))),"",IF(COUNTIF(H760:$T760,G760)&gt;0,0,IF(COUNTIF($G760:$T760,"&gt;"&amp;G760)=0,"",SMALL($G760:$T760,COUNTIF($G760:$T760,"&lt;="&amp;G760)+1)-G760)))</f>
        <v/>
      </c>
      <c r="AE760" t="str">
        <f>IF(OR($B760="",NOT(ISNUMBER(H760))),"",IF(COUNTIF(I760:$T760,H760)&gt;0,0,IF(COUNTIF($G760:$T760,"&gt;"&amp;H760)=0,"",SMALL($G760:$T760,COUNTIF($G760:$T760,"&lt;="&amp;H760)+1)-H760)))</f>
        <v/>
      </c>
      <c r="AF760" t="str">
        <f>IF(OR($B760="",NOT(ISNUMBER(I760))),"",IF(COUNTIF(J760:$T760,I760)&gt;0,0,IF(COUNTIF($G760:$T760,"&gt;"&amp;I760)=0,"",SMALL($G760:$T760,COUNTIF($G760:$T760,"&lt;="&amp;I760)+1)-I760)))</f>
        <v/>
      </c>
      <c r="AG760" t="str">
        <f>IF(OR($B760="",NOT(ISNUMBER(J760))),"",IF(COUNTIF(K760:$T760,J760)&gt;0,0,IF(COUNTIF($G760:$T760,"&gt;"&amp;J760)=0,"",SMALL($G760:$T760,COUNTIF($G760:$T760,"&lt;="&amp;J760)+1)-J760)))</f>
        <v/>
      </c>
      <c r="AH760" t="str">
        <f>IF(OR($B760="",NOT(ISNUMBER(K760))),"",IF(COUNTIF(L760:$T760,K760)&gt;0,0,IF(COUNTIF($G760:$T760,"&gt;"&amp;K760)=0,"",SMALL($G760:$T760,COUNTIF($G760:$T760,"&lt;="&amp;K760)+1)-K760)))</f>
        <v/>
      </c>
      <c r="AI760" t="str">
        <f>IF(OR($B760="",NOT(ISNUMBER(L760))),"",IF(COUNTIF(M760:$T760,L760)&gt;0,0,IF(COUNTIF($G760:$T760,"&gt;"&amp;L760)=0,"",SMALL($G760:$T760,COUNTIF($G760:$T760,"&lt;="&amp;L760)+1)-L760)))</f>
        <v/>
      </c>
      <c r="AJ760" t="str">
        <f>IF(OR($B760="",NOT(ISNUMBER(M760))),"",IF(COUNTIF(N760:$T760,M760)&gt;0,0,IF(COUNTIF($G760:$T760,"&gt;"&amp;M760)=0,"",SMALL($G760:$T760,COUNTIF($G760:$T760,"&lt;="&amp;M760)+1)-M760)))</f>
        <v/>
      </c>
      <c r="AK760" t="str">
        <f>IF(OR($B760="",NOT(ISNUMBER(N760))),"",IF(COUNTIF(O760:$T760,N760)&gt;0,0,IF(COUNTIF($G760:$T760,"&gt;"&amp;N760)=0,"",SMALL($G760:$T760,COUNTIF($G760:$T760,"&lt;="&amp;N760)+1)-N760)))</f>
        <v/>
      </c>
      <c r="AL760" t="str">
        <f>IF(OR($B760="",NOT(ISNUMBER(O760))),"",IF(COUNTIF(P760:$T760,O760)&gt;0,0,IF(COUNTIF($G760:$T760,"&gt;"&amp;O760)=0,"",SMALL($G760:$T760,COUNTIF($G760:$T760,"&lt;="&amp;O760)+1)-O760)))</f>
        <v/>
      </c>
      <c r="AM760" t="str">
        <f>IF(OR($B760="",NOT(ISNUMBER(P760))),"",IF(COUNTIF(Q760:$T760,P760)&gt;0,0,IF(COUNTIF($G760:$T760,"&gt;"&amp;P760)=0,"",SMALL($G760:$T760,COUNTIF($G760:$T760,"&lt;="&amp;P760)+1)-P760)))</f>
        <v/>
      </c>
      <c r="AN760" t="str">
        <f>IF(OR($B760="",NOT(ISNUMBER(Q760))),"",IF(COUNTIF(R760:$T760,Q760)&gt;0,0,IF(COUNTIF($G760:$T760,"&gt;"&amp;Q760)=0,"",SMALL($G760:$T760,COUNTIF($G760:$T760,"&lt;="&amp;Q760)+1)-Q760)))</f>
        <v/>
      </c>
      <c r="AO760" t="str">
        <f>IF(OR($B760="",NOT(ISNUMBER(R760))),"",IF(COUNTIF(S760:$T760,R760)&gt;0,0,IF(COUNTIF($G760:$T760,"&gt;"&amp;R760)=0,"",SMALL($G760:$T760,COUNTIF($G760:$T760,"&lt;="&amp;R760)+1)-R760)))</f>
        <v/>
      </c>
      <c r="AP760">
        <f t="shared" ca="1" si="190"/>
        <v>0</v>
      </c>
      <c r="AQ760" s="25" t="str">
        <f t="shared" si="191"/>
        <v/>
      </c>
      <c r="AR760" s="25" t="str">
        <f t="shared" si="192"/>
        <v/>
      </c>
      <c r="AS760" s="25" t="str">
        <f t="shared" si="193"/>
        <v/>
      </c>
      <c r="AT760" s="25" t="str">
        <f t="shared" si="194"/>
        <v/>
      </c>
      <c r="AU760" s="25" t="str">
        <f t="shared" si="195"/>
        <v/>
      </c>
      <c r="AV760" s="25" t="str">
        <f t="shared" si="196"/>
        <v/>
      </c>
      <c r="AW760" s="25" t="str">
        <f t="shared" si="197"/>
        <v/>
      </c>
      <c r="AX760" s="25" t="str">
        <f t="shared" si="198"/>
        <v/>
      </c>
      <c r="AY760" s="25" t="str">
        <f t="shared" si="199"/>
        <v/>
      </c>
      <c r="AZ760" s="25" t="str">
        <f t="shared" si="200"/>
        <v/>
      </c>
      <c r="BA760" s="25" t="str">
        <f t="shared" si="201"/>
        <v/>
      </c>
      <c r="BB760" s="25" t="str">
        <f t="shared" si="202"/>
        <v/>
      </c>
      <c r="BC760" s="25" t="str">
        <f t="shared" si="203"/>
        <v/>
      </c>
    </row>
    <row r="761" spans="1:55" x14ac:dyDescent="0.25">
      <c r="A761" s="19" t="str">
        <f t="shared" si="188"/>
        <v/>
      </c>
      <c r="B761" s="19"/>
      <c r="C761" s="20"/>
      <c r="D761" s="19" t="str">
        <f t="shared" si="187"/>
        <v/>
      </c>
      <c r="E761" s="19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19"/>
      <c r="U761" s="19"/>
      <c r="V761" s="20"/>
      <c r="W761" s="22"/>
      <c r="X761" s="21"/>
      <c r="Y761" s="21"/>
      <c r="Z761" s="23" t="str">
        <f>IF(B761="","",IF(S761&lt;&gt;"","Sevk Edildi",IF(AND(X761&lt;&gt;"",Y761=""),"Reworkte",IF(T761&lt;&gt;"","Kapandı"&amp;IF(COUNT(G761:R761)=0,""," – "&amp;LOOKUP(2,1/(G761:R761=MAX(G761:R761)),{"Tasarım","Ply Cutter","Üretim","Kalite (Üretim sonrası)","Talaşlı","Kalite (Talaşlı sonrası)","Montaj","Kalite (Montaj sonrası)","Boya","Kalite (Boya sonrası)","Yarı Mamül","KM"})),IF(COUNT(G761:R761)=0,"Başlamadı",LOOKUP(2,1/(G761:R761=MAX(G761:R761)),{"Tasarımda","Ply Cutter'da","Üretimde","Kalitede (Üretim sonrası)","Talaşlıda","Kalitede (Talaşlı sonrası)","Montajda","Kalitede (Montaj sonrası)","Boyada","Kalitede (Boya sonrası)","Yarı Mamülde","KM'de"}))))))</f>
        <v/>
      </c>
      <c r="AA761" s="24" t="str">
        <f t="shared" ca="1" si="189"/>
        <v/>
      </c>
      <c r="AB761" s="22"/>
      <c r="AD761" t="str">
        <f>IF(OR($B761="",NOT(ISNUMBER(G761))),"",IF(COUNTIF(H761:$T761,G761)&gt;0,0,IF(COUNTIF($G761:$T761,"&gt;"&amp;G761)=0,"",SMALL($G761:$T761,COUNTIF($G761:$T761,"&lt;="&amp;G761)+1)-G761)))</f>
        <v/>
      </c>
      <c r="AE761" t="str">
        <f>IF(OR($B761="",NOT(ISNUMBER(H761))),"",IF(COUNTIF(I761:$T761,H761)&gt;0,0,IF(COUNTIF($G761:$T761,"&gt;"&amp;H761)=0,"",SMALL($G761:$T761,COUNTIF($G761:$T761,"&lt;="&amp;H761)+1)-H761)))</f>
        <v/>
      </c>
      <c r="AF761" t="str">
        <f>IF(OR($B761="",NOT(ISNUMBER(I761))),"",IF(COUNTIF(J761:$T761,I761)&gt;0,0,IF(COUNTIF($G761:$T761,"&gt;"&amp;I761)=0,"",SMALL($G761:$T761,COUNTIF($G761:$T761,"&lt;="&amp;I761)+1)-I761)))</f>
        <v/>
      </c>
      <c r="AG761" t="str">
        <f>IF(OR($B761="",NOT(ISNUMBER(J761))),"",IF(COUNTIF(K761:$T761,J761)&gt;0,0,IF(COUNTIF($G761:$T761,"&gt;"&amp;J761)=0,"",SMALL($G761:$T761,COUNTIF($G761:$T761,"&lt;="&amp;J761)+1)-J761)))</f>
        <v/>
      </c>
      <c r="AH761" t="str">
        <f>IF(OR($B761="",NOT(ISNUMBER(K761))),"",IF(COUNTIF(L761:$T761,K761)&gt;0,0,IF(COUNTIF($G761:$T761,"&gt;"&amp;K761)=0,"",SMALL($G761:$T761,COUNTIF($G761:$T761,"&lt;="&amp;K761)+1)-K761)))</f>
        <v/>
      </c>
      <c r="AI761" t="str">
        <f>IF(OR($B761="",NOT(ISNUMBER(L761))),"",IF(COUNTIF(M761:$T761,L761)&gt;0,0,IF(COUNTIF($G761:$T761,"&gt;"&amp;L761)=0,"",SMALL($G761:$T761,COUNTIF($G761:$T761,"&lt;="&amp;L761)+1)-L761)))</f>
        <v/>
      </c>
      <c r="AJ761" t="str">
        <f>IF(OR($B761="",NOT(ISNUMBER(M761))),"",IF(COUNTIF(N761:$T761,M761)&gt;0,0,IF(COUNTIF($G761:$T761,"&gt;"&amp;M761)=0,"",SMALL($G761:$T761,COUNTIF($G761:$T761,"&lt;="&amp;M761)+1)-M761)))</f>
        <v/>
      </c>
      <c r="AK761" t="str">
        <f>IF(OR($B761="",NOT(ISNUMBER(N761))),"",IF(COUNTIF(O761:$T761,N761)&gt;0,0,IF(COUNTIF($G761:$T761,"&gt;"&amp;N761)=0,"",SMALL($G761:$T761,COUNTIF($G761:$T761,"&lt;="&amp;N761)+1)-N761)))</f>
        <v/>
      </c>
      <c r="AL761" t="str">
        <f>IF(OR($B761="",NOT(ISNUMBER(O761))),"",IF(COUNTIF(P761:$T761,O761)&gt;0,0,IF(COUNTIF($G761:$T761,"&gt;"&amp;O761)=0,"",SMALL($G761:$T761,COUNTIF($G761:$T761,"&lt;="&amp;O761)+1)-O761)))</f>
        <v/>
      </c>
      <c r="AM761" t="str">
        <f>IF(OR($B761="",NOT(ISNUMBER(P761))),"",IF(COUNTIF(Q761:$T761,P761)&gt;0,0,IF(COUNTIF($G761:$T761,"&gt;"&amp;P761)=0,"",SMALL($G761:$T761,COUNTIF($G761:$T761,"&lt;="&amp;P761)+1)-P761)))</f>
        <v/>
      </c>
      <c r="AN761" t="str">
        <f>IF(OR($B761="",NOT(ISNUMBER(Q761))),"",IF(COUNTIF(R761:$T761,Q761)&gt;0,0,IF(COUNTIF($G761:$T761,"&gt;"&amp;Q761)=0,"",SMALL($G761:$T761,COUNTIF($G761:$T761,"&lt;="&amp;Q761)+1)-Q761)))</f>
        <v/>
      </c>
      <c r="AO761" t="str">
        <f>IF(OR($B761="",NOT(ISNUMBER(R761))),"",IF(COUNTIF(S761:$T761,R761)&gt;0,0,IF(COUNTIF($G761:$T761,"&gt;"&amp;R761)=0,"",SMALL($G761:$T761,COUNTIF($G761:$T761,"&lt;="&amp;R761)+1)-R761)))</f>
        <v/>
      </c>
      <c r="AP761">
        <f t="shared" ca="1" si="190"/>
        <v>0</v>
      </c>
      <c r="AQ761" s="25" t="str">
        <f t="shared" si="191"/>
        <v/>
      </c>
      <c r="AR761" s="25" t="str">
        <f t="shared" si="192"/>
        <v/>
      </c>
      <c r="AS761" s="25" t="str">
        <f t="shared" si="193"/>
        <v/>
      </c>
      <c r="AT761" s="25" t="str">
        <f t="shared" si="194"/>
        <v/>
      </c>
      <c r="AU761" s="25" t="str">
        <f t="shared" si="195"/>
        <v/>
      </c>
      <c r="AV761" s="25" t="str">
        <f t="shared" si="196"/>
        <v/>
      </c>
      <c r="AW761" s="25" t="str">
        <f t="shared" si="197"/>
        <v/>
      </c>
      <c r="AX761" s="25" t="str">
        <f t="shared" si="198"/>
        <v/>
      </c>
      <c r="AY761" s="25" t="str">
        <f t="shared" si="199"/>
        <v/>
      </c>
      <c r="AZ761" s="25" t="str">
        <f t="shared" si="200"/>
        <v/>
      </c>
      <c r="BA761" s="25" t="str">
        <f t="shared" si="201"/>
        <v/>
      </c>
      <c r="BB761" s="25" t="str">
        <f t="shared" si="202"/>
        <v/>
      </c>
      <c r="BC761" s="25" t="str">
        <f t="shared" si="203"/>
        <v/>
      </c>
    </row>
    <row r="762" spans="1:55" x14ac:dyDescent="0.25">
      <c r="A762" s="19" t="str">
        <f t="shared" si="188"/>
        <v/>
      </c>
      <c r="B762" s="19"/>
      <c r="C762" s="20"/>
      <c r="D762" s="19" t="str">
        <f t="shared" si="187"/>
        <v/>
      </c>
      <c r="E762" s="19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19"/>
      <c r="U762" s="19"/>
      <c r="V762" s="20"/>
      <c r="W762" s="22"/>
      <c r="X762" s="21"/>
      <c r="Y762" s="21"/>
      <c r="Z762" s="23" t="str">
        <f>IF(B762="","",IF(S762&lt;&gt;"","Sevk Edildi",IF(AND(X762&lt;&gt;"",Y762=""),"Reworkte",IF(T762&lt;&gt;"","Kapandı"&amp;IF(COUNT(G762:R762)=0,""," – "&amp;LOOKUP(2,1/(G762:R762=MAX(G762:R762)),{"Tasarım","Ply Cutter","Üretim","Kalite (Üretim sonrası)","Talaşlı","Kalite (Talaşlı sonrası)","Montaj","Kalite (Montaj sonrası)","Boya","Kalite (Boya sonrası)","Yarı Mamül","KM"})),IF(COUNT(G762:R762)=0,"Başlamadı",LOOKUP(2,1/(G762:R762=MAX(G762:R762)),{"Tasarımda","Ply Cutter'da","Üretimde","Kalitede (Üretim sonrası)","Talaşlıda","Kalitede (Talaşlı sonrası)","Montajda","Kalitede (Montaj sonrası)","Boyada","Kalitede (Boya sonrası)","Yarı Mamülde","KM'de"}))))))</f>
        <v/>
      </c>
      <c r="AA762" s="24" t="str">
        <f t="shared" ca="1" si="189"/>
        <v/>
      </c>
      <c r="AB762" s="22"/>
      <c r="AD762" t="str">
        <f>IF(OR($B762="",NOT(ISNUMBER(G762))),"",IF(COUNTIF(H762:$T762,G762)&gt;0,0,IF(COUNTIF($G762:$T762,"&gt;"&amp;G762)=0,"",SMALL($G762:$T762,COUNTIF($G762:$T762,"&lt;="&amp;G762)+1)-G762)))</f>
        <v/>
      </c>
      <c r="AE762" t="str">
        <f>IF(OR($B762="",NOT(ISNUMBER(H762))),"",IF(COUNTIF(I762:$T762,H762)&gt;0,0,IF(COUNTIF($G762:$T762,"&gt;"&amp;H762)=0,"",SMALL($G762:$T762,COUNTIF($G762:$T762,"&lt;="&amp;H762)+1)-H762)))</f>
        <v/>
      </c>
      <c r="AF762" t="str">
        <f>IF(OR($B762="",NOT(ISNUMBER(I762))),"",IF(COUNTIF(J762:$T762,I762)&gt;0,0,IF(COUNTIF($G762:$T762,"&gt;"&amp;I762)=0,"",SMALL($G762:$T762,COUNTIF($G762:$T762,"&lt;="&amp;I762)+1)-I762)))</f>
        <v/>
      </c>
      <c r="AG762" t="str">
        <f>IF(OR($B762="",NOT(ISNUMBER(J762))),"",IF(COUNTIF(K762:$T762,J762)&gt;0,0,IF(COUNTIF($G762:$T762,"&gt;"&amp;J762)=0,"",SMALL($G762:$T762,COUNTIF($G762:$T762,"&lt;="&amp;J762)+1)-J762)))</f>
        <v/>
      </c>
      <c r="AH762" t="str">
        <f>IF(OR($B762="",NOT(ISNUMBER(K762))),"",IF(COUNTIF(L762:$T762,K762)&gt;0,0,IF(COUNTIF($G762:$T762,"&gt;"&amp;K762)=0,"",SMALL($G762:$T762,COUNTIF($G762:$T762,"&lt;="&amp;K762)+1)-K762)))</f>
        <v/>
      </c>
      <c r="AI762" t="str">
        <f>IF(OR($B762="",NOT(ISNUMBER(L762))),"",IF(COUNTIF(M762:$T762,L762)&gt;0,0,IF(COUNTIF($G762:$T762,"&gt;"&amp;L762)=0,"",SMALL($G762:$T762,COUNTIF($G762:$T762,"&lt;="&amp;L762)+1)-L762)))</f>
        <v/>
      </c>
      <c r="AJ762" t="str">
        <f>IF(OR($B762="",NOT(ISNUMBER(M762))),"",IF(COUNTIF(N762:$T762,M762)&gt;0,0,IF(COUNTIF($G762:$T762,"&gt;"&amp;M762)=0,"",SMALL($G762:$T762,COUNTIF($G762:$T762,"&lt;="&amp;M762)+1)-M762)))</f>
        <v/>
      </c>
      <c r="AK762" t="str">
        <f>IF(OR($B762="",NOT(ISNUMBER(N762))),"",IF(COUNTIF(O762:$T762,N762)&gt;0,0,IF(COUNTIF($G762:$T762,"&gt;"&amp;N762)=0,"",SMALL($G762:$T762,COUNTIF($G762:$T762,"&lt;="&amp;N762)+1)-N762)))</f>
        <v/>
      </c>
      <c r="AL762" t="str">
        <f>IF(OR($B762="",NOT(ISNUMBER(O762))),"",IF(COUNTIF(P762:$T762,O762)&gt;0,0,IF(COUNTIF($G762:$T762,"&gt;"&amp;O762)=0,"",SMALL($G762:$T762,COUNTIF($G762:$T762,"&lt;="&amp;O762)+1)-O762)))</f>
        <v/>
      </c>
      <c r="AM762" t="str">
        <f>IF(OR($B762="",NOT(ISNUMBER(P762))),"",IF(COUNTIF(Q762:$T762,P762)&gt;0,0,IF(COUNTIF($G762:$T762,"&gt;"&amp;P762)=0,"",SMALL($G762:$T762,COUNTIF($G762:$T762,"&lt;="&amp;P762)+1)-P762)))</f>
        <v/>
      </c>
      <c r="AN762" t="str">
        <f>IF(OR($B762="",NOT(ISNUMBER(Q762))),"",IF(COUNTIF(R762:$T762,Q762)&gt;0,0,IF(COUNTIF($G762:$T762,"&gt;"&amp;Q762)=0,"",SMALL($G762:$T762,COUNTIF($G762:$T762,"&lt;="&amp;Q762)+1)-Q762)))</f>
        <v/>
      </c>
      <c r="AO762" t="str">
        <f>IF(OR($B762="",NOT(ISNUMBER(R762))),"",IF(COUNTIF(S762:$T762,R762)&gt;0,0,IF(COUNTIF($G762:$T762,"&gt;"&amp;R762)=0,"",SMALL($G762:$T762,COUNTIF($G762:$T762,"&lt;="&amp;R762)+1)-R762)))</f>
        <v/>
      </c>
      <c r="AP762">
        <f t="shared" ca="1" si="190"/>
        <v>0</v>
      </c>
      <c r="AQ762" s="25" t="str">
        <f t="shared" si="191"/>
        <v/>
      </c>
      <c r="AR762" s="25" t="str">
        <f t="shared" si="192"/>
        <v/>
      </c>
      <c r="AS762" s="25" t="str">
        <f t="shared" si="193"/>
        <v/>
      </c>
      <c r="AT762" s="25" t="str">
        <f t="shared" si="194"/>
        <v/>
      </c>
      <c r="AU762" s="25" t="str">
        <f t="shared" si="195"/>
        <v/>
      </c>
      <c r="AV762" s="25" t="str">
        <f t="shared" si="196"/>
        <v/>
      </c>
      <c r="AW762" s="25" t="str">
        <f t="shared" si="197"/>
        <v/>
      </c>
      <c r="AX762" s="25" t="str">
        <f t="shared" si="198"/>
        <v/>
      </c>
      <c r="AY762" s="25" t="str">
        <f t="shared" si="199"/>
        <v/>
      </c>
      <c r="AZ762" s="25" t="str">
        <f t="shared" si="200"/>
        <v/>
      </c>
      <c r="BA762" s="25" t="str">
        <f t="shared" si="201"/>
        <v/>
      </c>
      <c r="BB762" s="25" t="str">
        <f t="shared" si="202"/>
        <v/>
      </c>
      <c r="BC762" s="25" t="str">
        <f t="shared" si="203"/>
        <v/>
      </c>
    </row>
    <row r="763" spans="1:55" x14ac:dyDescent="0.25">
      <c r="A763" s="19" t="str">
        <f t="shared" si="188"/>
        <v/>
      </c>
      <c r="B763" s="19"/>
      <c r="C763" s="20"/>
      <c r="D763" s="19" t="str">
        <f t="shared" si="187"/>
        <v/>
      </c>
      <c r="E763" s="19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19"/>
      <c r="U763" s="19"/>
      <c r="V763" s="20"/>
      <c r="W763" s="22"/>
      <c r="X763" s="21"/>
      <c r="Y763" s="21"/>
      <c r="Z763" s="23" t="str">
        <f>IF(B763="","",IF(S763&lt;&gt;"","Sevk Edildi",IF(AND(X763&lt;&gt;"",Y763=""),"Reworkte",IF(T763&lt;&gt;"","Kapandı"&amp;IF(COUNT(G763:R763)=0,""," – "&amp;LOOKUP(2,1/(G763:R763=MAX(G763:R763)),{"Tasarım","Ply Cutter","Üretim","Kalite (Üretim sonrası)","Talaşlı","Kalite (Talaşlı sonrası)","Montaj","Kalite (Montaj sonrası)","Boya","Kalite (Boya sonrası)","Yarı Mamül","KM"})),IF(COUNT(G763:R763)=0,"Başlamadı",LOOKUP(2,1/(G763:R763=MAX(G763:R763)),{"Tasarımda","Ply Cutter'da","Üretimde","Kalitede (Üretim sonrası)","Talaşlıda","Kalitede (Talaşlı sonrası)","Montajda","Kalitede (Montaj sonrası)","Boyada","Kalitede (Boya sonrası)","Yarı Mamülde","KM'de"}))))))</f>
        <v/>
      </c>
      <c r="AA763" s="24" t="str">
        <f t="shared" ca="1" si="189"/>
        <v/>
      </c>
      <c r="AB763" s="22"/>
      <c r="AD763" t="str">
        <f>IF(OR($B763="",NOT(ISNUMBER(G763))),"",IF(COUNTIF(H763:$T763,G763)&gt;0,0,IF(COUNTIF($G763:$T763,"&gt;"&amp;G763)=0,"",SMALL($G763:$T763,COUNTIF($G763:$T763,"&lt;="&amp;G763)+1)-G763)))</f>
        <v/>
      </c>
      <c r="AE763" t="str">
        <f>IF(OR($B763="",NOT(ISNUMBER(H763))),"",IF(COUNTIF(I763:$T763,H763)&gt;0,0,IF(COUNTIF($G763:$T763,"&gt;"&amp;H763)=0,"",SMALL($G763:$T763,COUNTIF($G763:$T763,"&lt;="&amp;H763)+1)-H763)))</f>
        <v/>
      </c>
      <c r="AF763" t="str">
        <f>IF(OR($B763="",NOT(ISNUMBER(I763))),"",IF(COUNTIF(J763:$T763,I763)&gt;0,0,IF(COUNTIF($G763:$T763,"&gt;"&amp;I763)=0,"",SMALL($G763:$T763,COUNTIF($G763:$T763,"&lt;="&amp;I763)+1)-I763)))</f>
        <v/>
      </c>
      <c r="AG763" t="str">
        <f>IF(OR($B763="",NOT(ISNUMBER(J763))),"",IF(COUNTIF(K763:$T763,J763)&gt;0,0,IF(COUNTIF($G763:$T763,"&gt;"&amp;J763)=0,"",SMALL($G763:$T763,COUNTIF($G763:$T763,"&lt;="&amp;J763)+1)-J763)))</f>
        <v/>
      </c>
      <c r="AH763" t="str">
        <f>IF(OR($B763="",NOT(ISNUMBER(K763))),"",IF(COUNTIF(L763:$T763,K763)&gt;0,0,IF(COUNTIF($G763:$T763,"&gt;"&amp;K763)=0,"",SMALL($G763:$T763,COUNTIF($G763:$T763,"&lt;="&amp;K763)+1)-K763)))</f>
        <v/>
      </c>
      <c r="AI763" t="str">
        <f>IF(OR($B763="",NOT(ISNUMBER(L763))),"",IF(COUNTIF(M763:$T763,L763)&gt;0,0,IF(COUNTIF($G763:$T763,"&gt;"&amp;L763)=0,"",SMALL($G763:$T763,COUNTIF($G763:$T763,"&lt;="&amp;L763)+1)-L763)))</f>
        <v/>
      </c>
      <c r="AJ763" t="str">
        <f>IF(OR($B763="",NOT(ISNUMBER(M763))),"",IF(COUNTIF(N763:$T763,M763)&gt;0,0,IF(COUNTIF($G763:$T763,"&gt;"&amp;M763)=0,"",SMALL($G763:$T763,COUNTIF($G763:$T763,"&lt;="&amp;M763)+1)-M763)))</f>
        <v/>
      </c>
      <c r="AK763" t="str">
        <f>IF(OR($B763="",NOT(ISNUMBER(N763))),"",IF(COUNTIF(O763:$T763,N763)&gt;0,0,IF(COUNTIF($G763:$T763,"&gt;"&amp;N763)=0,"",SMALL($G763:$T763,COUNTIF($G763:$T763,"&lt;="&amp;N763)+1)-N763)))</f>
        <v/>
      </c>
      <c r="AL763" t="str">
        <f>IF(OR($B763="",NOT(ISNUMBER(O763))),"",IF(COUNTIF(P763:$T763,O763)&gt;0,0,IF(COUNTIF($G763:$T763,"&gt;"&amp;O763)=0,"",SMALL($G763:$T763,COUNTIF($G763:$T763,"&lt;="&amp;O763)+1)-O763)))</f>
        <v/>
      </c>
      <c r="AM763" t="str">
        <f>IF(OR($B763="",NOT(ISNUMBER(P763))),"",IF(COUNTIF(Q763:$T763,P763)&gt;0,0,IF(COUNTIF($G763:$T763,"&gt;"&amp;P763)=0,"",SMALL($G763:$T763,COUNTIF($G763:$T763,"&lt;="&amp;P763)+1)-P763)))</f>
        <v/>
      </c>
      <c r="AN763" t="str">
        <f>IF(OR($B763="",NOT(ISNUMBER(Q763))),"",IF(COUNTIF(R763:$T763,Q763)&gt;0,0,IF(COUNTIF($G763:$T763,"&gt;"&amp;Q763)=0,"",SMALL($G763:$T763,COUNTIF($G763:$T763,"&lt;="&amp;Q763)+1)-Q763)))</f>
        <v/>
      </c>
      <c r="AO763" t="str">
        <f>IF(OR($B763="",NOT(ISNUMBER(R763))),"",IF(COUNTIF(S763:$T763,R763)&gt;0,0,IF(COUNTIF($G763:$T763,"&gt;"&amp;R763)=0,"",SMALL($G763:$T763,COUNTIF($G763:$T763,"&lt;="&amp;R763)+1)-R763)))</f>
        <v/>
      </c>
      <c r="AP763">
        <f t="shared" ca="1" si="190"/>
        <v>0</v>
      </c>
      <c r="AQ763" s="25" t="str">
        <f t="shared" si="191"/>
        <v/>
      </c>
      <c r="AR763" s="25" t="str">
        <f t="shared" si="192"/>
        <v/>
      </c>
      <c r="AS763" s="25" t="str">
        <f t="shared" si="193"/>
        <v/>
      </c>
      <c r="AT763" s="25" t="str">
        <f t="shared" si="194"/>
        <v/>
      </c>
      <c r="AU763" s="25" t="str">
        <f t="shared" si="195"/>
        <v/>
      </c>
      <c r="AV763" s="25" t="str">
        <f t="shared" si="196"/>
        <v/>
      </c>
      <c r="AW763" s="25" t="str">
        <f t="shared" si="197"/>
        <v/>
      </c>
      <c r="AX763" s="25" t="str">
        <f t="shared" si="198"/>
        <v/>
      </c>
      <c r="AY763" s="25" t="str">
        <f t="shared" si="199"/>
        <v/>
      </c>
      <c r="AZ763" s="25" t="str">
        <f t="shared" si="200"/>
        <v/>
      </c>
      <c r="BA763" s="25" t="str">
        <f t="shared" si="201"/>
        <v/>
      </c>
      <c r="BB763" s="25" t="str">
        <f t="shared" si="202"/>
        <v/>
      </c>
      <c r="BC763" s="25" t="str">
        <f t="shared" si="203"/>
        <v/>
      </c>
    </row>
    <row r="764" spans="1:55" x14ac:dyDescent="0.25">
      <c r="A764" s="19" t="str">
        <f t="shared" si="188"/>
        <v/>
      </c>
      <c r="B764" s="19"/>
      <c r="C764" s="20"/>
      <c r="D764" s="19" t="str">
        <f t="shared" si="187"/>
        <v/>
      </c>
      <c r="E764" s="19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19"/>
      <c r="U764" s="19"/>
      <c r="V764" s="20"/>
      <c r="W764" s="22"/>
      <c r="X764" s="21"/>
      <c r="Y764" s="21"/>
      <c r="Z764" s="23" t="str">
        <f>IF(B764="","",IF(S764&lt;&gt;"","Sevk Edildi",IF(AND(X764&lt;&gt;"",Y764=""),"Reworkte",IF(T764&lt;&gt;"","Kapandı"&amp;IF(COUNT(G764:R764)=0,""," – "&amp;LOOKUP(2,1/(G764:R764=MAX(G764:R764)),{"Tasarım","Ply Cutter","Üretim","Kalite (Üretim sonrası)","Talaşlı","Kalite (Talaşlı sonrası)","Montaj","Kalite (Montaj sonrası)","Boya","Kalite (Boya sonrası)","Yarı Mamül","KM"})),IF(COUNT(G764:R764)=0,"Başlamadı",LOOKUP(2,1/(G764:R764=MAX(G764:R764)),{"Tasarımda","Ply Cutter'da","Üretimde","Kalitede (Üretim sonrası)","Talaşlıda","Kalitede (Talaşlı sonrası)","Montajda","Kalitede (Montaj sonrası)","Boyada","Kalitede (Boya sonrası)","Yarı Mamülde","KM'de"}))))))</f>
        <v/>
      </c>
      <c r="AA764" s="24" t="str">
        <f t="shared" ca="1" si="189"/>
        <v/>
      </c>
      <c r="AB764" s="22"/>
      <c r="AD764" t="str">
        <f>IF(OR($B764="",NOT(ISNUMBER(G764))),"",IF(COUNTIF(H764:$T764,G764)&gt;0,0,IF(COUNTIF($G764:$T764,"&gt;"&amp;G764)=0,"",SMALL($G764:$T764,COUNTIF($G764:$T764,"&lt;="&amp;G764)+1)-G764)))</f>
        <v/>
      </c>
      <c r="AE764" t="str">
        <f>IF(OR($B764="",NOT(ISNUMBER(H764))),"",IF(COUNTIF(I764:$T764,H764)&gt;0,0,IF(COUNTIF($G764:$T764,"&gt;"&amp;H764)=0,"",SMALL($G764:$T764,COUNTIF($G764:$T764,"&lt;="&amp;H764)+1)-H764)))</f>
        <v/>
      </c>
      <c r="AF764" t="str">
        <f>IF(OR($B764="",NOT(ISNUMBER(I764))),"",IF(COUNTIF(J764:$T764,I764)&gt;0,0,IF(COUNTIF($G764:$T764,"&gt;"&amp;I764)=0,"",SMALL($G764:$T764,COUNTIF($G764:$T764,"&lt;="&amp;I764)+1)-I764)))</f>
        <v/>
      </c>
      <c r="AG764" t="str">
        <f>IF(OR($B764="",NOT(ISNUMBER(J764))),"",IF(COUNTIF(K764:$T764,J764)&gt;0,0,IF(COUNTIF($G764:$T764,"&gt;"&amp;J764)=0,"",SMALL($G764:$T764,COUNTIF($G764:$T764,"&lt;="&amp;J764)+1)-J764)))</f>
        <v/>
      </c>
      <c r="AH764" t="str">
        <f>IF(OR($B764="",NOT(ISNUMBER(K764))),"",IF(COUNTIF(L764:$T764,K764)&gt;0,0,IF(COUNTIF($G764:$T764,"&gt;"&amp;K764)=0,"",SMALL($G764:$T764,COUNTIF($G764:$T764,"&lt;="&amp;K764)+1)-K764)))</f>
        <v/>
      </c>
      <c r="AI764" t="str">
        <f>IF(OR($B764="",NOT(ISNUMBER(L764))),"",IF(COUNTIF(M764:$T764,L764)&gt;0,0,IF(COUNTIF($G764:$T764,"&gt;"&amp;L764)=0,"",SMALL($G764:$T764,COUNTIF($G764:$T764,"&lt;="&amp;L764)+1)-L764)))</f>
        <v/>
      </c>
      <c r="AJ764" t="str">
        <f>IF(OR($B764="",NOT(ISNUMBER(M764))),"",IF(COUNTIF(N764:$T764,M764)&gt;0,0,IF(COUNTIF($G764:$T764,"&gt;"&amp;M764)=0,"",SMALL($G764:$T764,COUNTIF($G764:$T764,"&lt;="&amp;M764)+1)-M764)))</f>
        <v/>
      </c>
      <c r="AK764" t="str">
        <f>IF(OR($B764="",NOT(ISNUMBER(N764))),"",IF(COUNTIF(O764:$T764,N764)&gt;0,0,IF(COUNTIF($G764:$T764,"&gt;"&amp;N764)=0,"",SMALL($G764:$T764,COUNTIF($G764:$T764,"&lt;="&amp;N764)+1)-N764)))</f>
        <v/>
      </c>
      <c r="AL764" t="str">
        <f>IF(OR($B764="",NOT(ISNUMBER(O764))),"",IF(COUNTIF(P764:$T764,O764)&gt;0,0,IF(COUNTIF($G764:$T764,"&gt;"&amp;O764)=0,"",SMALL($G764:$T764,COUNTIF($G764:$T764,"&lt;="&amp;O764)+1)-O764)))</f>
        <v/>
      </c>
      <c r="AM764" t="str">
        <f>IF(OR($B764="",NOT(ISNUMBER(P764))),"",IF(COUNTIF(Q764:$T764,P764)&gt;0,0,IF(COUNTIF($G764:$T764,"&gt;"&amp;P764)=0,"",SMALL($G764:$T764,COUNTIF($G764:$T764,"&lt;="&amp;P764)+1)-P764)))</f>
        <v/>
      </c>
      <c r="AN764" t="str">
        <f>IF(OR($B764="",NOT(ISNUMBER(Q764))),"",IF(COUNTIF(R764:$T764,Q764)&gt;0,0,IF(COUNTIF($G764:$T764,"&gt;"&amp;Q764)=0,"",SMALL($G764:$T764,COUNTIF($G764:$T764,"&lt;="&amp;Q764)+1)-Q764)))</f>
        <v/>
      </c>
      <c r="AO764" t="str">
        <f>IF(OR($B764="",NOT(ISNUMBER(R764))),"",IF(COUNTIF(S764:$T764,R764)&gt;0,0,IF(COUNTIF($G764:$T764,"&gt;"&amp;R764)=0,"",SMALL($G764:$T764,COUNTIF($G764:$T764,"&lt;="&amp;R764)+1)-R764)))</f>
        <v/>
      </c>
      <c r="AP764">
        <f t="shared" ca="1" si="190"/>
        <v>0</v>
      </c>
      <c r="AQ764" s="25" t="str">
        <f t="shared" si="191"/>
        <v/>
      </c>
      <c r="AR764" s="25" t="str">
        <f t="shared" si="192"/>
        <v/>
      </c>
      <c r="AS764" s="25" t="str">
        <f t="shared" si="193"/>
        <v/>
      </c>
      <c r="AT764" s="25" t="str">
        <f t="shared" si="194"/>
        <v/>
      </c>
      <c r="AU764" s="25" t="str">
        <f t="shared" si="195"/>
        <v/>
      </c>
      <c r="AV764" s="25" t="str">
        <f t="shared" si="196"/>
        <v/>
      </c>
      <c r="AW764" s="25" t="str">
        <f t="shared" si="197"/>
        <v/>
      </c>
      <c r="AX764" s="25" t="str">
        <f t="shared" si="198"/>
        <v/>
      </c>
      <c r="AY764" s="25" t="str">
        <f t="shared" si="199"/>
        <v/>
      </c>
      <c r="AZ764" s="25" t="str">
        <f t="shared" si="200"/>
        <v/>
      </c>
      <c r="BA764" s="25" t="str">
        <f t="shared" si="201"/>
        <v/>
      </c>
      <c r="BB764" s="25" t="str">
        <f t="shared" si="202"/>
        <v/>
      </c>
      <c r="BC764" s="25" t="str">
        <f t="shared" si="203"/>
        <v/>
      </c>
    </row>
    <row r="765" spans="1:55" x14ac:dyDescent="0.25">
      <c r="A765" s="19" t="str">
        <f t="shared" si="188"/>
        <v/>
      </c>
      <c r="B765" s="19"/>
      <c r="C765" s="20"/>
      <c r="D765" s="19" t="str">
        <f t="shared" si="187"/>
        <v/>
      </c>
      <c r="E765" s="19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19"/>
      <c r="U765" s="19"/>
      <c r="V765" s="20"/>
      <c r="W765" s="22"/>
      <c r="X765" s="21"/>
      <c r="Y765" s="21"/>
      <c r="Z765" s="23" t="str">
        <f>IF(B765="","",IF(S765&lt;&gt;"","Sevk Edildi",IF(AND(X765&lt;&gt;"",Y765=""),"Reworkte",IF(T765&lt;&gt;"","Kapandı"&amp;IF(COUNT(G765:R765)=0,""," – "&amp;LOOKUP(2,1/(G765:R765=MAX(G765:R765)),{"Tasarım","Ply Cutter","Üretim","Kalite (Üretim sonrası)","Talaşlı","Kalite (Talaşlı sonrası)","Montaj","Kalite (Montaj sonrası)","Boya","Kalite (Boya sonrası)","Yarı Mamül","KM"})),IF(COUNT(G765:R765)=0,"Başlamadı",LOOKUP(2,1/(G765:R765=MAX(G765:R765)),{"Tasarımda","Ply Cutter'da","Üretimde","Kalitede (Üretim sonrası)","Talaşlıda","Kalitede (Talaşlı sonrası)","Montajda","Kalitede (Montaj sonrası)","Boyada","Kalitede (Boya sonrası)","Yarı Mamülde","KM'de"}))))))</f>
        <v/>
      </c>
      <c r="AA765" s="24" t="str">
        <f t="shared" ca="1" si="189"/>
        <v/>
      </c>
      <c r="AB765" s="22"/>
      <c r="AD765" t="str">
        <f>IF(OR($B765="",NOT(ISNUMBER(G765))),"",IF(COUNTIF(H765:$T765,G765)&gt;0,0,IF(COUNTIF($G765:$T765,"&gt;"&amp;G765)=0,"",SMALL($G765:$T765,COUNTIF($G765:$T765,"&lt;="&amp;G765)+1)-G765)))</f>
        <v/>
      </c>
      <c r="AE765" t="str">
        <f>IF(OR($B765="",NOT(ISNUMBER(H765))),"",IF(COUNTIF(I765:$T765,H765)&gt;0,0,IF(COUNTIF($G765:$T765,"&gt;"&amp;H765)=0,"",SMALL($G765:$T765,COUNTIF($G765:$T765,"&lt;="&amp;H765)+1)-H765)))</f>
        <v/>
      </c>
      <c r="AF765" t="str">
        <f>IF(OR($B765="",NOT(ISNUMBER(I765))),"",IF(COUNTIF(J765:$T765,I765)&gt;0,0,IF(COUNTIF($G765:$T765,"&gt;"&amp;I765)=0,"",SMALL($G765:$T765,COUNTIF($G765:$T765,"&lt;="&amp;I765)+1)-I765)))</f>
        <v/>
      </c>
      <c r="AG765" t="str">
        <f>IF(OR($B765="",NOT(ISNUMBER(J765))),"",IF(COUNTIF(K765:$T765,J765)&gt;0,0,IF(COUNTIF($G765:$T765,"&gt;"&amp;J765)=0,"",SMALL($G765:$T765,COUNTIF($G765:$T765,"&lt;="&amp;J765)+1)-J765)))</f>
        <v/>
      </c>
      <c r="AH765" t="str">
        <f>IF(OR($B765="",NOT(ISNUMBER(K765))),"",IF(COUNTIF(L765:$T765,K765)&gt;0,0,IF(COUNTIF($G765:$T765,"&gt;"&amp;K765)=0,"",SMALL($G765:$T765,COUNTIF($G765:$T765,"&lt;="&amp;K765)+1)-K765)))</f>
        <v/>
      </c>
      <c r="AI765" t="str">
        <f>IF(OR($B765="",NOT(ISNUMBER(L765))),"",IF(COUNTIF(M765:$T765,L765)&gt;0,0,IF(COUNTIF($G765:$T765,"&gt;"&amp;L765)=0,"",SMALL($G765:$T765,COUNTIF($G765:$T765,"&lt;="&amp;L765)+1)-L765)))</f>
        <v/>
      </c>
      <c r="AJ765" t="str">
        <f>IF(OR($B765="",NOT(ISNUMBER(M765))),"",IF(COUNTIF(N765:$T765,M765)&gt;0,0,IF(COUNTIF($G765:$T765,"&gt;"&amp;M765)=0,"",SMALL($G765:$T765,COUNTIF($G765:$T765,"&lt;="&amp;M765)+1)-M765)))</f>
        <v/>
      </c>
      <c r="AK765" t="str">
        <f>IF(OR($B765="",NOT(ISNUMBER(N765))),"",IF(COUNTIF(O765:$T765,N765)&gt;0,0,IF(COUNTIF($G765:$T765,"&gt;"&amp;N765)=0,"",SMALL($G765:$T765,COUNTIF($G765:$T765,"&lt;="&amp;N765)+1)-N765)))</f>
        <v/>
      </c>
      <c r="AL765" t="str">
        <f>IF(OR($B765="",NOT(ISNUMBER(O765))),"",IF(COUNTIF(P765:$T765,O765)&gt;0,0,IF(COUNTIF($G765:$T765,"&gt;"&amp;O765)=0,"",SMALL($G765:$T765,COUNTIF($G765:$T765,"&lt;="&amp;O765)+1)-O765)))</f>
        <v/>
      </c>
      <c r="AM765" t="str">
        <f>IF(OR($B765="",NOT(ISNUMBER(P765))),"",IF(COUNTIF(Q765:$T765,P765)&gt;0,0,IF(COUNTIF($G765:$T765,"&gt;"&amp;P765)=0,"",SMALL($G765:$T765,COUNTIF($G765:$T765,"&lt;="&amp;P765)+1)-P765)))</f>
        <v/>
      </c>
      <c r="AN765" t="str">
        <f>IF(OR($B765="",NOT(ISNUMBER(Q765))),"",IF(COUNTIF(R765:$T765,Q765)&gt;0,0,IF(COUNTIF($G765:$T765,"&gt;"&amp;Q765)=0,"",SMALL($G765:$T765,COUNTIF($G765:$T765,"&lt;="&amp;Q765)+1)-Q765)))</f>
        <v/>
      </c>
      <c r="AO765" t="str">
        <f>IF(OR($B765="",NOT(ISNUMBER(R765))),"",IF(COUNTIF(S765:$T765,R765)&gt;0,0,IF(COUNTIF($G765:$T765,"&gt;"&amp;R765)=0,"",SMALL($G765:$T765,COUNTIF($G765:$T765,"&lt;="&amp;R765)+1)-R765)))</f>
        <v/>
      </c>
      <c r="AP765">
        <f t="shared" ca="1" si="190"/>
        <v>0</v>
      </c>
      <c r="AQ765" s="25" t="str">
        <f t="shared" si="191"/>
        <v/>
      </c>
      <c r="AR765" s="25" t="str">
        <f t="shared" si="192"/>
        <v/>
      </c>
      <c r="AS765" s="25" t="str">
        <f t="shared" si="193"/>
        <v/>
      </c>
      <c r="AT765" s="25" t="str">
        <f t="shared" si="194"/>
        <v/>
      </c>
      <c r="AU765" s="25" t="str">
        <f t="shared" si="195"/>
        <v/>
      </c>
      <c r="AV765" s="25" t="str">
        <f t="shared" si="196"/>
        <v/>
      </c>
      <c r="AW765" s="25" t="str">
        <f t="shared" si="197"/>
        <v/>
      </c>
      <c r="AX765" s="25" t="str">
        <f t="shared" si="198"/>
        <v/>
      </c>
      <c r="AY765" s="25" t="str">
        <f t="shared" si="199"/>
        <v/>
      </c>
      <c r="AZ765" s="25" t="str">
        <f t="shared" si="200"/>
        <v/>
      </c>
      <c r="BA765" s="25" t="str">
        <f t="shared" si="201"/>
        <v/>
      </c>
      <c r="BB765" s="25" t="str">
        <f t="shared" si="202"/>
        <v/>
      </c>
      <c r="BC765" s="25" t="str">
        <f t="shared" si="203"/>
        <v/>
      </c>
    </row>
    <row r="766" spans="1:55" x14ac:dyDescent="0.25">
      <c r="A766" s="19" t="str">
        <f t="shared" si="188"/>
        <v/>
      </c>
      <c r="B766" s="19"/>
      <c r="C766" s="20"/>
      <c r="D766" s="19" t="str">
        <f t="shared" si="187"/>
        <v/>
      </c>
      <c r="E766" s="19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19"/>
      <c r="U766" s="19"/>
      <c r="V766" s="20"/>
      <c r="W766" s="22"/>
      <c r="X766" s="21"/>
      <c r="Y766" s="21"/>
      <c r="Z766" s="23" t="str">
        <f>IF(B766="","",IF(S766&lt;&gt;"","Sevk Edildi",IF(AND(X766&lt;&gt;"",Y766=""),"Reworkte",IF(T766&lt;&gt;"","Kapandı"&amp;IF(COUNT(G766:R766)=0,""," – "&amp;LOOKUP(2,1/(G766:R766=MAX(G766:R766)),{"Tasarım","Ply Cutter","Üretim","Kalite (Üretim sonrası)","Talaşlı","Kalite (Talaşlı sonrası)","Montaj","Kalite (Montaj sonrası)","Boya","Kalite (Boya sonrası)","Yarı Mamül","KM"})),IF(COUNT(G766:R766)=0,"Başlamadı",LOOKUP(2,1/(G766:R766=MAX(G766:R766)),{"Tasarımda","Ply Cutter'da","Üretimde","Kalitede (Üretim sonrası)","Talaşlıda","Kalitede (Talaşlı sonrası)","Montajda","Kalitede (Montaj sonrası)","Boyada","Kalitede (Boya sonrası)","Yarı Mamülde","KM'de"}))))))</f>
        <v/>
      </c>
      <c r="AA766" s="24" t="str">
        <f t="shared" ca="1" si="189"/>
        <v/>
      </c>
      <c r="AB766" s="22"/>
      <c r="AD766" t="str">
        <f>IF(OR($B766="",NOT(ISNUMBER(G766))),"",IF(COUNTIF(H766:$T766,G766)&gt;0,0,IF(COUNTIF($G766:$T766,"&gt;"&amp;G766)=0,"",SMALL($G766:$T766,COUNTIF($G766:$T766,"&lt;="&amp;G766)+1)-G766)))</f>
        <v/>
      </c>
      <c r="AE766" t="str">
        <f>IF(OR($B766="",NOT(ISNUMBER(H766))),"",IF(COUNTIF(I766:$T766,H766)&gt;0,0,IF(COUNTIF($G766:$T766,"&gt;"&amp;H766)=0,"",SMALL($G766:$T766,COUNTIF($G766:$T766,"&lt;="&amp;H766)+1)-H766)))</f>
        <v/>
      </c>
      <c r="AF766" t="str">
        <f>IF(OR($B766="",NOT(ISNUMBER(I766))),"",IF(COUNTIF(J766:$T766,I766)&gt;0,0,IF(COUNTIF($G766:$T766,"&gt;"&amp;I766)=0,"",SMALL($G766:$T766,COUNTIF($G766:$T766,"&lt;="&amp;I766)+1)-I766)))</f>
        <v/>
      </c>
      <c r="AG766" t="str">
        <f>IF(OR($B766="",NOT(ISNUMBER(J766))),"",IF(COUNTIF(K766:$T766,J766)&gt;0,0,IF(COUNTIF($G766:$T766,"&gt;"&amp;J766)=0,"",SMALL($G766:$T766,COUNTIF($G766:$T766,"&lt;="&amp;J766)+1)-J766)))</f>
        <v/>
      </c>
      <c r="AH766" t="str">
        <f>IF(OR($B766="",NOT(ISNUMBER(K766))),"",IF(COUNTIF(L766:$T766,K766)&gt;0,0,IF(COUNTIF($G766:$T766,"&gt;"&amp;K766)=0,"",SMALL($G766:$T766,COUNTIF($G766:$T766,"&lt;="&amp;K766)+1)-K766)))</f>
        <v/>
      </c>
      <c r="AI766" t="str">
        <f>IF(OR($B766="",NOT(ISNUMBER(L766))),"",IF(COUNTIF(M766:$T766,L766)&gt;0,0,IF(COUNTIF($G766:$T766,"&gt;"&amp;L766)=0,"",SMALL($G766:$T766,COUNTIF($G766:$T766,"&lt;="&amp;L766)+1)-L766)))</f>
        <v/>
      </c>
      <c r="AJ766" t="str">
        <f>IF(OR($B766="",NOT(ISNUMBER(M766))),"",IF(COUNTIF(N766:$T766,M766)&gt;0,0,IF(COUNTIF($G766:$T766,"&gt;"&amp;M766)=0,"",SMALL($G766:$T766,COUNTIF($G766:$T766,"&lt;="&amp;M766)+1)-M766)))</f>
        <v/>
      </c>
      <c r="AK766" t="str">
        <f>IF(OR($B766="",NOT(ISNUMBER(N766))),"",IF(COUNTIF(O766:$T766,N766)&gt;0,0,IF(COUNTIF($G766:$T766,"&gt;"&amp;N766)=0,"",SMALL($G766:$T766,COUNTIF($G766:$T766,"&lt;="&amp;N766)+1)-N766)))</f>
        <v/>
      </c>
      <c r="AL766" t="str">
        <f>IF(OR($B766="",NOT(ISNUMBER(O766))),"",IF(COUNTIF(P766:$T766,O766)&gt;0,0,IF(COUNTIF($G766:$T766,"&gt;"&amp;O766)=0,"",SMALL($G766:$T766,COUNTIF($G766:$T766,"&lt;="&amp;O766)+1)-O766)))</f>
        <v/>
      </c>
      <c r="AM766" t="str">
        <f>IF(OR($B766="",NOT(ISNUMBER(P766))),"",IF(COUNTIF(Q766:$T766,P766)&gt;0,0,IF(COUNTIF($G766:$T766,"&gt;"&amp;P766)=0,"",SMALL($G766:$T766,COUNTIF($G766:$T766,"&lt;="&amp;P766)+1)-P766)))</f>
        <v/>
      </c>
      <c r="AN766" t="str">
        <f>IF(OR($B766="",NOT(ISNUMBER(Q766))),"",IF(COUNTIF(R766:$T766,Q766)&gt;0,0,IF(COUNTIF($G766:$T766,"&gt;"&amp;Q766)=0,"",SMALL($G766:$T766,COUNTIF($G766:$T766,"&lt;="&amp;Q766)+1)-Q766)))</f>
        <v/>
      </c>
      <c r="AO766" t="str">
        <f>IF(OR($B766="",NOT(ISNUMBER(R766))),"",IF(COUNTIF(S766:$T766,R766)&gt;0,0,IF(COUNTIF($G766:$T766,"&gt;"&amp;R766)=0,"",SMALL($G766:$T766,COUNTIF($G766:$T766,"&lt;="&amp;R766)+1)-R766)))</f>
        <v/>
      </c>
      <c r="AP766">
        <f t="shared" ca="1" si="190"/>
        <v>0</v>
      </c>
      <c r="AQ766" s="25" t="str">
        <f t="shared" si="191"/>
        <v/>
      </c>
      <c r="AR766" s="25" t="str">
        <f t="shared" si="192"/>
        <v/>
      </c>
      <c r="AS766" s="25" t="str">
        <f t="shared" si="193"/>
        <v/>
      </c>
      <c r="AT766" s="25" t="str">
        <f t="shared" si="194"/>
        <v/>
      </c>
      <c r="AU766" s="25" t="str">
        <f t="shared" si="195"/>
        <v/>
      </c>
      <c r="AV766" s="25" t="str">
        <f t="shared" si="196"/>
        <v/>
      </c>
      <c r="AW766" s="25" t="str">
        <f t="shared" si="197"/>
        <v/>
      </c>
      <c r="AX766" s="25" t="str">
        <f t="shared" si="198"/>
        <v/>
      </c>
      <c r="AY766" s="25" t="str">
        <f t="shared" si="199"/>
        <v/>
      </c>
      <c r="AZ766" s="25" t="str">
        <f t="shared" si="200"/>
        <v/>
      </c>
      <c r="BA766" s="25" t="str">
        <f t="shared" si="201"/>
        <v/>
      </c>
      <c r="BB766" s="25" t="str">
        <f t="shared" si="202"/>
        <v/>
      </c>
      <c r="BC766" s="25" t="str">
        <f t="shared" si="203"/>
        <v/>
      </c>
    </row>
    <row r="767" spans="1:55" x14ac:dyDescent="0.25">
      <c r="A767" s="19" t="str">
        <f t="shared" si="188"/>
        <v/>
      </c>
      <c r="B767" s="19"/>
      <c r="C767" s="20"/>
      <c r="D767" s="19" t="str">
        <f t="shared" ref="D767:D830" si="204">IFERROR(VALUE(TRIM(MID(C767,FIND(" - ",C767)+3,FIND(" - ",C767,FIND(" - ",C767)+3)-FIND(" - ",C767)-3))),"")</f>
        <v/>
      </c>
      <c r="E767" s="19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19"/>
      <c r="U767" s="19"/>
      <c r="V767" s="20"/>
      <c r="W767" s="22"/>
      <c r="X767" s="21"/>
      <c r="Y767" s="21"/>
      <c r="Z767" s="23" t="str">
        <f>IF(B767="","",IF(S767&lt;&gt;"","Sevk Edildi",IF(AND(X767&lt;&gt;"",Y767=""),"Reworkte",IF(T767&lt;&gt;"","Kapandı"&amp;IF(COUNT(G767:R767)=0,""," – "&amp;LOOKUP(2,1/(G767:R767=MAX(G767:R767)),{"Tasarım","Ply Cutter","Üretim","Kalite (Üretim sonrası)","Talaşlı","Kalite (Talaşlı sonrası)","Montaj","Kalite (Montaj sonrası)","Boya","Kalite (Boya sonrası)","Yarı Mamül","KM"})),IF(COUNT(G767:R767)=0,"Başlamadı",LOOKUP(2,1/(G767:R767=MAX(G767:R767)),{"Tasarımda","Ply Cutter'da","Üretimde","Kalitede (Üretim sonrası)","Talaşlıda","Kalitede (Talaşlı sonrası)","Montajda","Kalitede (Montaj sonrası)","Boyada","Kalitede (Boya sonrası)","Yarı Mamülde","KM'de"}))))))</f>
        <v/>
      </c>
      <c r="AA767" s="24" t="str">
        <f t="shared" ca="1" si="189"/>
        <v/>
      </c>
      <c r="AB767" s="22"/>
      <c r="AD767" t="str">
        <f>IF(OR($B767="",NOT(ISNUMBER(G767))),"",IF(COUNTIF(H767:$T767,G767)&gt;0,0,IF(COUNTIF($G767:$T767,"&gt;"&amp;G767)=0,"",SMALL($G767:$T767,COUNTIF($G767:$T767,"&lt;="&amp;G767)+1)-G767)))</f>
        <v/>
      </c>
      <c r="AE767" t="str">
        <f>IF(OR($B767="",NOT(ISNUMBER(H767))),"",IF(COUNTIF(I767:$T767,H767)&gt;0,0,IF(COUNTIF($G767:$T767,"&gt;"&amp;H767)=0,"",SMALL($G767:$T767,COUNTIF($G767:$T767,"&lt;="&amp;H767)+1)-H767)))</f>
        <v/>
      </c>
      <c r="AF767" t="str">
        <f>IF(OR($B767="",NOT(ISNUMBER(I767))),"",IF(COUNTIF(J767:$T767,I767)&gt;0,0,IF(COUNTIF($G767:$T767,"&gt;"&amp;I767)=0,"",SMALL($G767:$T767,COUNTIF($G767:$T767,"&lt;="&amp;I767)+1)-I767)))</f>
        <v/>
      </c>
      <c r="AG767" t="str">
        <f>IF(OR($B767="",NOT(ISNUMBER(J767))),"",IF(COUNTIF(K767:$T767,J767)&gt;0,0,IF(COUNTIF($G767:$T767,"&gt;"&amp;J767)=0,"",SMALL($G767:$T767,COUNTIF($G767:$T767,"&lt;="&amp;J767)+1)-J767)))</f>
        <v/>
      </c>
      <c r="AH767" t="str">
        <f>IF(OR($B767="",NOT(ISNUMBER(K767))),"",IF(COUNTIF(L767:$T767,K767)&gt;0,0,IF(COUNTIF($G767:$T767,"&gt;"&amp;K767)=0,"",SMALL($G767:$T767,COUNTIF($G767:$T767,"&lt;="&amp;K767)+1)-K767)))</f>
        <v/>
      </c>
      <c r="AI767" t="str">
        <f>IF(OR($B767="",NOT(ISNUMBER(L767))),"",IF(COUNTIF(M767:$T767,L767)&gt;0,0,IF(COUNTIF($G767:$T767,"&gt;"&amp;L767)=0,"",SMALL($G767:$T767,COUNTIF($G767:$T767,"&lt;="&amp;L767)+1)-L767)))</f>
        <v/>
      </c>
      <c r="AJ767" t="str">
        <f>IF(OR($B767="",NOT(ISNUMBER(M767))),"",IF(COUNTIF(N767:$T767,M767)&gt;0,0,IF(COUNTIF($G767:$T767,"&gt;"&amp;M767)=0,"",SMALL($G767:$T767,COUNTIF($G767:$T767,"&lt;="&amp;M767)+1)-M767)))</f>
        <v/>
      </c>
      <c r="AK767" t="str">
        <f>IF(OR($B767="",NOT(ISNUMBER(N767))),"",IF(COUNTIF(O767:$T767,N767)&gt;0,0,IF(COUNTIF($G767:$T767,"&gt;"&amp;N767)=0,"",SMALL($G767:$T767,COUNTIF($G767:$T767,"&lt;="&amp;N767)+1)-N767)))</f>
        <v/>
      </c>
      <c r="AL767" t="str">
        <f>IF(OR($B767="",NOT(ISNUMBER(O767))),"",IF(COUNTIF(P767:$T767,O767)&gt;0,0,IF(COUNTIF($G767:$T767,"&gt;"&amp;O767)=0,"",SMALL($G767:$T767,COUNTIF($G767:$T767,"&lt;="&amp;O767)+1)-O767)))</f>
        <v/>
      </c>
      <c r="AM767" t="str">
        <f>IF(OR($B767="",NOT(ISNUMBER(P767))),"",IF(COUNTIF(Q767:$T767,P767)&gt;0,0,IF(COUNTIF($G767:$T767,"&gt;"&amp;P767)=0,"",SMALL($G767:$T767,COUNTIF($G767:$T767,"&lt;="&amp;P767)+1)-P767)))</f>
        <v/>
      </c>
      <c r="AN767" t="str">
        <f>IF(OR($B767="",NOT(ISNUMBER(Q767))),"",IF(COUNTIF(R767:$T767,Q767)&gt;0,0,IF(COUNTIF($G767:$T767,"&gt;"&amp;Q767)=0,"",SMALL($G767:$T767,COUNTIF($G767:$T767,"&lt;="&amp;Q767)+1)-Q767)))</f>
        <v/>
      </c>
      <c r="AO767" t="str">
        <f>IF(OR($B767="",NOT(ISNUMBER(R767))),"",IF(COUNTIF(S767:$T767,R767)&gt;0,0,IF(COUNTIF($G767:$T767,"&gt;"&amp;R767)=0,"",SMALL($G767:$T767,COUNTIF($G767:$T767,"&lt;="&amp;R767)+1)-R767)))</f>
        <v/>
      </c>
      <c r="AP767">
        <f t="shared" ca="1" si="190"/>
        <v>0</v>
      </c>
      <c r="AQ767" s="25" t="str">
        <f t="shared" si="191"/>
        <v/>
      </c>
      <c r="AR767" s="25" t="str">
        <f t="shared" si="192"/>
        <v/>
      </c>
      <c r="AS767" s="25" t="str">
        <f t="shared" si="193"/>
        <v/>
      </c>
      <c r="AT767" s="25" t="str">
        <f t="shared" si="194"/>
        <v/>
      </c>
      <c r="AU767" s="25" t="str">
        <f t="shared" si="195"/>
        <v/>
      </c>
      <c r="AV767" s="25" t="str">
        <f t="shared" si="196"/>
        <v/>
      </c>
      <c r="AW767" s="25" t="str">
        <f t="shared" si="197"/>
        <v/>
      </c>
      <c r="AX767" s="25" t="str">
        <f t="shared" si="198"/>
        <v/>
      </c>
      <c r="AY767" s="25" t="str">
        <f t="shared" si="199"/>
        <v/>
      </c>
      <c r="AZ767" s="25" t="str">
        <f t="shared" si="200"/>
        <v/>
      </c>
      <c r="BA767" s="25" t="str">
        <f t="shared" si="201"/>
        <v/>
      </c>
      <c r="BB767" s="25" t="str">
        <f t="shared" si="202"/>
        <v/>
      </c>
      <c r="BC767" s="25" t="str">
        <f t="shared" si="203"/>
        <v/>
      </c>
    </row>
    <row r="768" spans="1:55" x14ac:dyDescent="0.25">
      <c r="A768" s="19" t="str">
        <f t="shared" si="188"/>
        <v/>
      </c>
      <c r="B768" s="19"/>
      <c r="C768" s="20"/>
      <c r="D768" s="19" t="str">
        <f t="shared" si="204"/>
        <v/>
      </c>
      <c r="E768" s="19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19"/>
      <c r="U768" s="19"/>
      <c r="V768" s="20"/>
      <c r="W768" s="22"/>
      <c r="X768" s="21"/>
      <c r="Y768" s="21"/>
      <c r="Z768" s="23" t="str">
        <f>IF(B768="","",IF(S768&lt;&gt;"","Sevk Edildi",IF(AND(X768&lt;&gt;"",Y768=""),"Reworkte",IF(T768&lt;&gt;"","Kapandı"&amp;IF(COUNT(G768:R768)=0,""," – "&amp;LOOKUP(2,1/(G768:R768=MAX(G768:R768)),{"Tasarım","Ply Cutter","Üretim","Kalite (Üretim sonrası)","Talaşlı","Kalite (Talaşlı sonrası)","Montaj","Kalite (Montaj sonrası)","Boya","Kalite (Boya sonrası)","Yarı Mamül","KM"})),IF(COUNT(G768:R768)=0,"Başlamadı",LOOKUP(2,1/(G768:R768=MAX(G768:R768)),{"Tasarımda","Ply Cutter'da","Üretimde","Kalitede (Üretim sonrası)","Talaşlıda","Kalitede (Talaşlı sonrası)","Montajda","Kalitede (Montaj sonrası)","Boyada","Kalitede (Boya sonrası)","Yarı Mamülde","KM'de"}))))))</f>
        <v/>
      </c>
      <c r="AA768" s="24" t="str">
        <f t="shared" ca="1" si="189"/>
        <v/>
      </c>
      <c r="AB768" s="22"/>
      <c r="AD768" t="str">
        <f>IF(OR($B768="",NOT(ISNUMBER(G768))),"",IF(COUNTIF(H768:$T768,G768)&gt;0,0,IF(COUNTIF($G768:$T768,"&gt;"&amp;G768)=0,"",SMALL($G768:$T768,COUNTIF($G768:$T768,"&lt;="&amp;G768)+1)-G768)))</f>
        <v/>
      </c>
      <c r="AE768" t="str">
        <f>IF(OR($B768="",NOT(ISNUMBER(H768))),"",IF(COUNTIF(I768:$T768,H768)&gt;0,0,IF(COUNTIF($G768:$T768,"&gt;"&amp;H768)=0,"",SMALL($G768:$T768,COUNTIF($G768:$T768,"&lt;="&amp;H768)+1)-H768)))</f>
        <v/>
      </c>
      <c r="AF768" t="str">
        <f>IF(OR($B768="",NOT(ISNUMBER(I768))),"",IF(COUNTIF(J768:$T768,I768)&gt;0,0,IF(COUNTIF($G768:$T768,"&gt;"&amp;I768)=0,"",SMALL($G768:$T768,COUNTIF($G768:$T768,"&lt;="&amp;I768)+1)-I768)))</f>
        <v/>
      </c>
      <c r="AG768" t="str">
        <f>IF(OR($B768="",NOT(ISNUMBER(J768))),"",IF(COUNTIF(K768:$T768,J768)&gt;0,0,IF(COUNTIF($G768:$T768,"&gt;"&amp;J768)=0,"",SMALL($G768:$T768,COUNTIF($G768:$T768,"&lt;="&amp;J768)+1)-J768)))</f>
        <v/>
      </c>
      <c r="AH768" t="str">
        <f>IF(OR($B768="",NOT(ISNUMBER(K768))),"",IF(COUNTIF(L768:$T768,K768)&gt;0,0,IF(COUNTIF($G768:$T768,"&gt;"&amp;K768)=0,"",SMALL($G768:$T768,COUNTIF($G768:$T768,"&lt;="&amp;K768)+1)-K768)))</f>
        <v/>
      </c>
      <c r="AI768" t="str">
        <f>IF(OR($B768="",NOT(ISNUMBER(L768))),"",IF(COUNTIF(M768:$T768,L768)&gt;0,0,IF(COUNTIF($G768:$T768,"&gt;"&amp;L768)=0,"",SMALL($G768:$T768,COUNTIF($G768:$T768,"&lt;="&amp;L768)+1)-L768)))</f>
        <v/>
      </c>
      <c r="AJ768" t="str">
        <f>IF(OR($B768="",NOT(ISNUMBER(M768))),"",IF(COUNTIF(N768:$T768,M768)&gt;0,0,IF(COUNTIF($G768:$T768,"&gt;"&amp;M768)=0,"",SMALL($G768:$T768,COUNTIF($G768:$T768,"&lt;="&amp;M768)+1)-M768)))</f>
        <v/>
      </c>
      <c r="AK768" t="str">
        <f>IF(OR($B768="",NOT(ISNUMBER(N768))),"",IF(COUNTIF(O768:$T768,N768)&gt;0,0,IF(COUNTIF($G768:$T768,"&gt;"&amp;N768)=0,"",SMALL($G768:$T768,COUNTIF($G768:$T768,"&lt;="&amp;N768)+1)-N768)))</f>
        <v/>
      </c>
      <c r="AL768" t="str">
        <f>IF(OR($B768="",NOT(ISNUMBER(O768))),"",IF(COUNTIF(P768:$T768,O768)&gt;0,0,IF(COUNTIF($G768:$T768,"&gt;"&amp;O768)=0,"",SMALL($G768:$T768,COUNTIF($G768:$T768,"&lt;="&amp;O768)+1)-O768)))</f>
        <v/>
      </c>
      <c r="AM768" t="str">
        <f>IF(OR($B768="",NOT(ISNUMBER(P768))),"",IF(COUNTIF(Q768:$T768,P768)&gt;0,0,IF(COUNTIF($G768:$T768,"&gt;"&amp;P768)=0,"",SMALL($G768:$T768,COUNTIF($G768:$T768,"&lt;="&amp;P768)+1)-P768)))</f>
        <v/>
      </c>
      <c r="AN768" t="str">
        <f>IF(OR($B768="",NOT(ISNUMBER(Q768))),"",IF(COUNTIF(R768:$T768,Q768)&gt;0,0,IF(COUNTIF($G768:$T768,"&gt;"&amp;Q768)=0,"",SMALL($G768:$T768,COUNTIF($G768:$T768,"&lt;="&amp;Q768)+1)-Q768)))</f>
        <v/>
      </c>
      <c r="AO768" t="str">
        <f>IF(OR($B768="",NOT(ISNUMBER(R768))),"",IF(COUNTIF(S768:$T768,R768)&gt;0,0,IF(COUNTIF($G768:$T768,"&gt;"&amp;R768)=0,"",SMALL($G768:$T768,COUNTIF($G768:$T768,"&lt;="&amp;R768)+1)-R768)))</f>
        <v/>
      </c>
      <c r="AP768">
        <f t="shared" ca="1" si="190"/>
        <v>0</v>
      </c>
      <c r="AQ768" s="25" t="str">
        <f t="shared" si="191"/>
        <v/>
      </c>
      <c r="AR768" s="25" t="str">
        <f t="shared" si="192"/>
        <v/>
      </c>
      <c r="AS768" s="25" t="str">
        <f t="shared" si="193"/>
        <v/>
      </c>
      <c r="AT768" s="25" t="str">
        <f t="shared" si="194"/>
        <v/>
      </c>
      <c r="AU768" s="25" t="str">
        <f t="shared" si="195"/>
        <v/>
      </c>
      <c r="AV768" s="25" t="str">
        <f t="shared" si="196"/>
        <v/>
      </c>
      <c r="AW768" s="25" t="str">
        <f t="shared" si="197"/>
        <v/>
      </c>
      <c r="AX768" s="25" t="str">
        <f t="shared" si="198"/>
        <v/>
      </c>
      <c r="AY768" s="25" t="str">
        <f t="shared" si="199"/>
        <v/>
      </c>
      <c r="AZ768" s="25" t="str">
        <f t="shared" si="200"/>
        <v/>
      </c>
      <c r="BA768" s="25" t="str">
        <f t="shared" si="201"/>
        <v/>
      </c>
      <c r="BB768" s="25" t="str">
        <f t="shared" si="202"/>
        <v/>
      </c>
      <c r="BC768" s="25" t="str">
        <f t="shared" si="203"/>
        <v/>
      </c>
    </row>
    <row r="769" spans="1:55" x14ac:dyDescent="0.25">
      <c r="A769" s="19" t="str">
        <f t="shared" si="188"/>
        <v/>
      </c>
      <c r="B769" s="19"/>
      <c r="C769" s="20"/>
      <c r="D769" s="19" t="str">
        <f t="shared" si="204"/>
        <v/>
      </c>
      <c r="E769" s="19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19"/>
      <c r="U769" s="19"/>
      <c r="V769" s="20"/>
      <c r="W769" s="22"/>
      <c r="X769" s="21"/>
      <c r="Y769" s="21"/>
      <c r="Z769" s="23" t="str">
        <f>IF(B769="","",IF(S769&lt;&gt;"","Sevk Edildi",IF(AND(X769&lt;&gt;"",Y769=""),"Reworkte",IF(T769&lt;&gt;"","Kapandı"&amp;IF(COUNT(G769:R769)=0,""," – "&amp;LOOKUP(2,1/(G769:R769=MAX(G769:R769)),{"Tasarım","Ply Cutter","Üretim","Kalite (Üretim sonrası)","Talaşlı","Kalite (Talaşlı sonrası)","Montaj","Kalite (Montaj sonrası)","Boya","Kalite (Boya sonrası)","Yarı Mamül","KM"})),IF(COUNT(G769:R769)=0,"Başlamadı",LOOKUP(2,1/(G769:R769=MAX(G769:R769)),{"Tasarımda","Ply Cutter'da","Üretimde","Kalitede (Üretim sonrası)","Talaşlıda","Kalitede (Talaşlı sonrası)","Montajda","Kalitede (Montaj sonrası)","Boyada","Kalitede (Boya sonrası)","Yarı Mamülde","KM'de"}))))))</f>
        <v/>
      </c>
      <c r="AA769" s="24" t="str">
        <f t="shared" ca="1" si="189"/>
        <v/>
      </c>
      <c r="AB769" s="22"/>
      <c r="AD769" t="str">
        <f>IF(OR($B769="",NOT(ISNUMBER(G769))),"",IF(COUNTIF(H769:$T769,G769)&gt;0,0,IF(COUNTIF($G769:$T769,"&gt;"&amp;G769)=0,"",SMALL($G769:$T769,COUNTIF($G769:$T769,"&lt;="&amp;G769)+1)-G769)))</f>
        <v/>
      </c>
      <c r="AE769" t="str">
        <f>IF(OR($B769="",NOT(ISNUMBER(H769))),"",IF(COUNTIF(I769:$T769,H769)&gt;0,0,IF(COUNTIF($G769:$T769,"&gt;"&amp;H769)=0,"",SMALL($G769:$T769,COUNTIF($G769:$T769,"&lt;="&amp;H769)+1)-H769)))</f>
        <v/>
      </c>
      <c r="AF769" t="str">
        <f>IF(OR($B769="",NOT(ISNUMBER(I769))),"",IF(COUNTIF(J769:$T769,I769)&gt;0,0,IF(COUNTIF($G769:$T769,"&gt;"&amp;I769)=0,"",SMALL($G769:$T769,COUNTIF($G769:$T769,"&lt;="&amp;I769)+1)-I769)))</f>
        <v/>
      </c>
      <c r="AG769" t="str">
        <f>IF(OR($B769="",NOT(ISNUMBER(J769))),"",IF(COUNTIF(K769:$T769,J769)&gt;0,0,IF(COUNTIF($G769:$T769,"&gt;"&amp;J769)=0,"",SMALL($G769:$T769,COUNTIF($G769:$T769,"&lt;="&amp;J769)+1)-J769)))</f>
        <v/>
      </c>
      <c r="AH769" t="str">
        <f>IF(OR($B769="",NOT(ISNUMBER(K769))),"",IF(COUNTIF(L769:$T769,K769)&gt;0,0,IF(COUNTIF($G769:$T769,"&gt;"&amp;K769)=0,"",SMALL($G769:$T769,COUNTIF($G769:$T769,"&lt;="&amp;K769)+1)-K769)))</f>
        <v/>
      </c>
      <c r="AI769" t="str">
        <f>IF(OR($B769="",NOT(ISNUMBER(L769))),"",IF(COUNTIF(M769:$T769,L769)&gt;0,0,IF(COUNTIF($G769:$T769,"&gt;"&amp;L769)=0,"",SMALL($G769:$T769,COUNTIF($G769:$T769,"&lt;="&amp;L769)+1)-L769)))</f>
        <v/>
      </c>
      <c r="AJ769" t="str">
        <f>IF(OR($B769="",NOT(ISNUMBER(M769))),"",IF(COUNTIF(N769:$T769,M769)&gt;0,0,IF(COUNTIF($G769:$T769,"&gt;"&amp;M769)=0,"",SMALL($G769:$T769,COUNTIF($G769:$T769,"&lt;="&amp;M769)+1)-M769)))</f>
        <v/>
      </c>
      <c r="AK769" t="str">
        <f>IF(OR($B769="",NOT(ISNUMBER(N769))),"",IF(COUNTIF(O769:$T769,N769)&gt;0,0,IF(COUNTIF($G769:$T769,"&gt;"&amp;N769)=0,"",SMALL($G769:$T769,COUNTIF($G769:$T769,"&lt;="&amp;N769)+1)-N769)))</f>
        <v/>
      </c>
      <c r="AL769" t="str">
        <f>IF(OR($B769="",NOT(ISNUMBER(O769))),"",IF(COUNTIF(P769:$T769,O769)&gt;0,0,IF(COUNTIF($G769:$T769,"&gt;"&amp;O769)=0,"",SMALL($G769:$T769,COUNTIF($G769:$T769,"&lt;="&amp;O769)+1)-O769)))</f>
        <v/>
      </c>
      <c r="AM769" t="str">
        <f>IF(OR($B769="",NOT(ISNUMBER(P769))),"",IF(COUNTIF(Q769:$T769,P769)&gt;0,0,IF(COUNTIF($G769:$T769,"&gt;"&amp;P769)=0,"",SMALL($G769:$T769,COUNTIF($G769:$T769,"&lt;="&amp;P769)+1)-P769)))</f>
        <v/>
      </c>
      <c r="AN769" t="str">
        <f>IF(OR($B769="",NOT(ISNUMBER(Q769))),"",IF(COUNTIF(R769:$T769,Q769)&gt;0,0,IF(COUNTIF($G769:$T769,"&gt;"&amp;Q769)=0,"",SMALL($G769:$T769,COUNTIF($G769:$T769,"&lt;="&amp;Q769)+1)-Q769)))</f>
        <v/>
      </c>
      <c r="AO769" t="str">
        <f>IF(OR($B769="",NOT(ISNUMBER(R769))),"",IF(COUNTIF(S769:$T769,R769)&gt;0,0,IF(COUNTIF($G769:$T769,"&gt;"&amp;R769)=0,"",SMALL($G769:$T769,COUNTIF($G769:$T769,"&lt;="&amp;R769)+1)-R769)))</f>
        <v/>
      </c>
      <c r="AP769">
        <f t="shared" ca="1" si="190"/>
        <v>0</v>
      </c>
      <c r="AQ769" s="25" t="str">
        <f t="shared" si="191"/>
        <v/>
      </c>
      <c r="AR769" s="25" t="str">
        <f t="shared" si="192"/>
        <v/>
      </c>
      <c r="AS769" s="25" t="str">
        <f t="shared" si="193"/>
        <v/>
      </c>
      <c r="AT769" s="25" t="str">
        <f t="shared" si="194"/>
        <v/>
      </c>
      <c r="AU769" s="25" t="str">
        <f t="shared" si="195"/>
        <v/>
      </c>
      <c r="AV769" s="25" t="str">
        <f t="shared" si="196"/>
        <v/>
      </c>
      <c r="AW769" s="25" t="str">
        <f t="shared" si="197"/>
        <v/>
      </c>
      <c r="AX769" s="25" t="str">
        <f t="shared" si="198"/>
        <v/>
      </c>
      <c r="AY769" s="25" t="str">
        <f t="shared" si="199"/>
        <v/>
      </c>
      <c r="AZ769" s="25" t="str">
        <f t="shared" si="200"/>
        <v/>
      </c>
      <c r="BA769" s="25" t="str">
        <f t="shared" si="201"/>
        <v/>
      </c>
      <c r="BB769" s="25" t="str">
        <f t="shared" si="202"/>
        <v/>
      </c>
      <c r="BC769" s="25" t="str">
        <f t="shared" si="203"/>
        <v/>
      </c>
    </row>
    <row r="770" spans="1:55" x14ac:dyDescent="0.25">
      <c r="A770" s="19" t="str">
        <f t="shared" si="188"/>
        <v/>
      </c>
      <c r="B770" s="19"/>
      <c r="C770" s="20"/>
      <c r="D770" s="19" t="str">
        <f t="shared" si="204"/>
        <v/>
      </c>
      <c r="E770" s="19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19"/>
      <c r="U770" s="19"/>
      <c r="V770" s="20"/>
      <c r="W770" s="22"/>
      <c r="X770" s="21"/>
      <c r="Y770" s="21"/>
      <c r="Z770" s="23" t="str">
        <f>IF(B770="","",IF(S770&lt;&gt;"","Sevk Edildi",IF(AND(X770&lt;&gt;"",Y770=""),"Reworkte",IF(T770&lt;&gt;"","Kapandı"&amp;IF(COUNT(G770:R770)=0,""," – "&amp;LOOKUP(2,1/(G770:R770=MAX(G770:R770)),{"Tasarım","Ply Cutter","Üretim","Kalite (Üretim sonrası)","Talaşlı","Kalite (Talaşlı sonrası)","Montaj","Kalite (Montaj sonrası)","Boya","Kalite (Boya sonrası)","Yarı Mamül","KM"})),IF(COUNT(G770:R770)=0,"Başlamadı",LOOKUP(2,1/(G770:R770=MAX(G770:R770)),{"Tasarımda","Ply Cutter'da","Üretimde","Kalitede (Üretim sonrası)","Talaşlıda","Kalitede (Talaşlı sonrası)","Montajda","Kalitede (Montaj sonrası)","Boyada","Kalitede (Boya sonrası)","Yarı Mamülde","KM'de"}))))))</f>
        <v/>
      </c>
      <c r="AA770" s="24" t="str">
        <f t="shared" ca="1" si="189"/>
        <v/>
      </c>
      <c r="AB770" s="22"/>
      <c r="AD770" t="str">
        <f>IF(OR($B770="",NOT(ISNUMBER(G770))),"",IF(COUNTIF(H770:$T770,G770)&gt;0,0,IF(COUNTIF($G770:$T770,"&gt;"&amp;G770)=0,"",SMALL($G770:$T770,COUNTIF($G770:$T770,"&lt;="&amp;G770)+1)-G770)))</f>
        <v/>
      </c>
      <c r="AE770" t="str">
        <f>IF(OR($B770="",NOT(ISNUMBER(H770))),"",IF(COUNTIF(I770:$T770,H770)&gt;0,0,IF(COUNTIF($G770:$T770,"&gt;"&amp;H770)=0,"",SMALL($G770:$T770,COUNTIF($G770:$T770,"&lt;="&amp;H770)+1)-H770)))</f>
        <v/>
      </c>
      <c r="AF770" t="str">
        <f>IF(OR($B770="",NOT(ISNUMBER(I770))),"",IF(COUNTIF(J770:$T770,I770)&gt;0,0,IF(COUNTIF($G770:$T770,"&gt;"&amp;I770)=0,"",SMALL($G770:$T770,COUNTIF($G770:$T770,"&lt;="&amp;I770)+1)-I770)))</f>
        <v/>
      </c>
      <c r="AG770" t="str">
        <f>IF(OR($B770="",NOT(ISNUMBER(J770))),"",IF(COUNTIF(K770:$T770,J770)&gt;0,0,IF(COUNTIF($G770:$T770,"&gt;"&amp;J770)=0,"",SMALL($G770:$T770,COUNTIF($G770:$T770,"&lt;="&amp;J770)+1)-J770)))</f>
        <v/>
      </c>
      <c r="AH770" t="str">
        <f>IF(OR($B770="",NOT(ISNUMBER(K770))),"",IF(COUNTIF(L770:$T770,K770)&gt;0,0,IF(COUNTIF($G770:$T770,"&gt;"&amp;K770)=0,"",SMALL($G770:$T770,COUNTIF($G770:$T770,"&lt;="&amp;K770)+1)-K770)))</f>
        <v/>
      </c>
      <c r="AI770" t="str">
        <f>IF(OR($B770="",NOT(ISNUMBER(L770))),"",IF(COUNTIF(M770:$T770,L770)&gt;0,0,IF(COUNTIF($G770:$T770,"&gt;"&amp;L770)=0,"",SMALL($G770:$T770,COUNTIF($G770:$T770,"&lt;="&amp;L770)+1)-L770)))</f>
        <v/>
      </c>
      <c r="AJ770" t="str">
        <f>IF(OR($B770="",NOT(ISNUMBER(M770))),"",IF(COUNTIF(N770:$T770,M770)&gt;0,0,IF(COUNTIF($G770:$T770,"&gt;"&amp;M770)=0,"",SMALL($G770:$T770,COUNTIF($G770:$T770,"&lt;="&amp;M770)+1)-M770)))</f>
        <v/>
      </c>
      <c r="AK770" t="str">
        <f>IF(OR($B770="",NOT(ISNUMBER(N770))),"",IF(COUNTIF(O770:$T770,N770)&gt;0,0,IF(COUNTIF($G770:$T770,"&gt;"&amp;N770)=0,"",SMALL($G770:$T770,COUNTIF($G770:$T770,"&lt;="&amp;N770)+1)-N770)))</f>
        <v/>
      </c>
      <c r="AL770" t="str">
        <f>IF(OR($B770="",NOT(ISNUMBER(O770))),"",IF(COUNTIF(P770:$T770,O770)&gt;0,0,IF(COUNTIF($G770:$T770,"&gt;"&amp;O770)=0,"",SMALL($G770:$T770,COUNTIF($G770:$T770,"&lt;="&amp;O770)+1)-O770)))</f>
        <v/>
      </c>
      <c r="AM770" t="str">
        <f>IF(OR($B770="",NOT(ISNUMBER(P770))),"",IF(COUNTIF(Q770:$T770,P770)&gt;0,0,IF(COUNTIF($G770:$T770,"&gt;"&amp;P770)=0,"",SMALL($G770:$T770,COUNTIF($G770:$T770,"&lt;="&amp;P770)+1)-P770)))</f>
        <v/>
      </c>
      <c r="AN770" t="str">
        <f>IF(OR($B770="",NOT(ISNUMBER(Q770))),"",IF(COUNTIF(R770:$T770,Q770)&gt;0,0,IF(COUNTIF($G770:$T770,"&gt;"&amp;Q770)=0,"",SMALL($G770:$T770,COUNTIF($G770:$T770,"&lt;="&amp;Q770)+1)-Q770)))</f>
        <v/>
      </c>
      <c r="AO770" t="str">
        <f>IF(OR($B770="",NOT(ISNUMBER(R770))),"",IF(COUNTIF(S770:$T770,R770)&gt;0,0,IF(COUNTIF($G770:$T770,"&gt;"&amp;R770)=0,"",SMALL($G770:$T770,COUNTIF($G770:$T770,"&lt;="&amp;R770)+1)-R770)))</f>
        <v/>
      </c>
      <c r="AP770">
        <f t="shared" ca="1" si="190"/>
        <v>0</v>
      </c>
      <c r="AQ770" s="25" t="str">
        <f t="shared" si="191"/>
        <v/>
      </c>
      <c r="AR770" s="25" t="str">
        <f t="shared" si="192"/>
        <v/>
      </c>
      <c r="AS770" s="25" t="str">
        <f t="shared" si="193"/>
        <v/>
      </c>
      <c r="AT770" s="25" t="str">
        <f t="shared" si="194"/>
        <v/>
      </c>
      <c r="AU770" s="25" t="str">
        <f t="shared" si="195"/>
        <v/>
      </c>
      <c r="AV770" s="25" t="str">
        <f t="shared" si="196"/>
        <v/>
      </c>
      <c r="AW770" s="25" t="str">
        <f t="shared" si="197"/>
        <v/>
      </c>
      <c r="AX770" s="25" t="str">
        <f t="shared" si="198"/>
        <v/>
      </c>
      <c r="AY770" s="25" t="str">
        <f t="shared" si="199"/>
        <v/>
      </c>
      <c r="AZ770" s="25" t="str">
        <f t="shared" si="200"/>
        <v/>
      </c>
      <c r="BA770" s="25" t="str">
        <f t="shared" si="201"/>
        <v/>
      </c>
      <c r="BB770" s="25" t="str">
        <f t="shared" si="202"/>
        <v/>
      </c>
      <c r="BC770" s="25" t="str">
        <f t="shared" si="203"/>
        <v/>
      </c>
    </row>
    <row r="771" spans="1:55" x14ac:dyDescent="0.25">
      <c r="A771" s="19" t="str">
        <f t="shared" ref="A771:A834" si="205">IF(B771="","",ROW()-2)</f>
        <v/>
      </c>
      <c r="B771" s="19"/>
      <c r="C771" s="20"/>
      <c r="D771" s="19" t="str">
        <f t="shared" si="204"/>
        <v/>
      </c>
      <c r="E771" s="19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19"/>
      <c r="U771" s="19"/>
      <c r="V771" s="20"/>
      <c r="W771" s="22"/>
      <c r="X771" s="21"/>
      <c r="Y771" s="21"/>
      <c r="Z771" s="23" t="str">
        <f>IF(B771="","",IF(S771&lt;&gt;"","Sevk Edildi",IF(AND(X771&lt;&gt;"",Y771=""),"Reworkte",IF(T771&lt;&gt;"","Kapandı"&amp;IF(COUNT(G771:R771)=0,""," – "&amp;LOOKUP(2,1/(G771:R771=MAX(G771:R771)),{"Tasarım","Ply Cutter","Üretim","Kalite (Üretim sonrası)","Talaşlı","Kalite (Talaşlı sonrası)","Montaj","Kalite (Montaj sonrası)","Boya","Kalite (Boya sonrası)","Yarı Mamül","KM"})),IF(COUNT(G771:R771)=0,"Başlamadı",LOOKUP(2,1/(G771:R771=MAX(G771:R771)),{"Tasarımda","Ply Cutter'da","Üretimde","Kalitede (Üretim sonrası)","Talaşlıda","Kalitede (Talaşlı sonrası)","Montajda","Kalitede (Montaj sonrası)","Boyada","Kalitede (Boya sonrası)","Yarı Mamülde","KM'de"}))))))</f>
        <v/>
      </c>
      <c r="AA771" s="24" t="str">
        <f t="shared" ref="AA771:AA834" ca="1" si="206">IF(OR(B771="",F771=""),"",IFERROR(IF(S771&lt;&gt;"",S771-F771,IF(T771&lt;&gt;"",T771-F771,TODAY()-F771)),""))</f>
        <v/>
      </c>
      <c r="AB771" s="22"/>
      <c r="AD771" t="str">
        <f>IF(OR($B771="",NOT(ISNUMBER(G771))),"",IF(COUNTIF(H771:$T771,G771)&gt;0,0,IF(COUNTIF($G771:$T771,"&gt;"&amp;G771)=0,"",SMALL($G771:$T771,COUNTIF($G771:$T771,"&lt;="&amp;G771)+1)-G771)))</f>
        <v/>
      </c>
      <c r="AE771" t="str">
        <f>IF(OR($B771="",NOT(ISNUMBER(H771))),"",IF(COUNTIF(I771:$T771,H771)&gt;0,0,IF(COUNTIF($G771:$T771,"&gt;"&amp;H771)=0,"",SMALL($G771:$T771,COUNTIF($G771:$T771,"&lt;="&amp;H771)+1)-H771)))</f>
        <v/>
      </c>
      <c r="AF771" t="str">
        <f>IF(OR($B771="",NOT(ISNUMBER(I771))),"",IF(COUNTIF(J771:$T771,I771)&gt;0,0,IF(COUNTIF($G771:$T771,"&gt;"&amp;I771)=0,"",SMALL($G771:$T771,COUNTIF($G771:$T771,"&lt;="&amp;I771)+1)-I771)))</f>
        <v/>
      </c>
      <c r="AG771" t="str">
        <f>IF(OR($B771="",NOT(ISNUMBER(J771))),"",IF(COUNTIF(K771:$T771,J771)&gt;0,0,IF(COUNTIF($G771:$T771,"&gt;"&amp;J771)=0,"",SMALL($G771:$T771,COUNTIF($G771:$T771,"&lt;="&amp;J771)+1)-J771)))</f>
        <v/>
      </c>
      <c r="AH771" t="str">
        <f>IF(OR($B771="",NOT(ISNUMBER(K771))),"",IF(COUNTIF(L771:$T771,K771)&gt;0,0,IF(COUNTIF($G771:$T771,"&gt;"&amp;K771)=0,"",SMALL($G771:$T771,COUNTIF($G771:$T771,"&lt;="&amp;K771)+1)-K771)))</f>
        <v/>
      </c>
      <c r="AI771" t="str">
        <f>IF(OR($B771="",NOT(ISNUMBER(L771))),"",IF(COUNTIF(M771:$T771,L771)&gt;0,0,IF(COUNTIF($G771:$T771,"&gt;"&amp;L771)=0,"",SMALL($G771:$T771,COUNTIF($G771:$T771,"&lt;="&amp;L771)+1)-L771)))</f>
        <v/>
      </c>
      <c r="AJ771" t="str">
        <f>IF(OR($B771="",NOT(ISNUMBER(M771))),"",IF(COUNTIF(N771:$T771,M771)&gt;0,0,IF(COUNTIF($G771:$T771,"&gt;"&amp;M771)=0,"",SMALL($G771:$T771,COUNTIF($G771:$T771,"&lt;="&amp;M771)+1)-M771)))</f>
        <v/>
      </c>
      <c r="AK771" t="str">
        <f>IF(OR($B771="",NOT(ISNUMBER(N771))),"",IF(COUNTIF(O771:$T771,N771)&gt;0,0,IF(COUNTIF($G771:$T771,"&gt;"&amp;N771)=0,"",SMALL($G771:$T771,COUNTIF($G771:$T771,"&lt;="&amp;N771)+1)-N771)))</f>
        <v/>
      </c>
      <c r="AL771" t="str">
        <f>IF(OR($B771="",NOT(ISNUMBER(O771))),"",IF(COUNTIF(P771:$T771,O771)&gt;0,0,IF(COUNTIF($G771:$T771,"&gt;"&amp;O771)=0,"",SMALL($G771:$T771,COUNTIF($G771:$T771,"&lt;="&amp;O771)+1)-O771)))</f>
        <v/>
      </c>
      <c r="AM771" t="str">
        <f>IF(OR($B771="",NOT(ISNUMBER(P771))),"",IF(COUNTIF(Q771:$T771,P771)&gt;0,0,IF(COUNTIF($G771:$T771,"&gt;"&amp;P771)=0,"",SMALL($G771:$T771,COUNTIF($G771:$T771,"&lt;="&amp;P771)+1)-P771)))</f>
        <v/>
      </c>
      <c r="AN771" t="str">
        <f>IF(OR($B771="",NOT(ISNUMBER(Q771))),"",IF(COUNTIF(R771:$T771,Q771)&gt;0,0,IF(COUNTIF($G771:$T771,"&gt;"&amp;Q771)=0,"",SMALL($G771:$T771,COUNTIF($G771:$T771,"&lt;="&amp;Q771)+1)-Q771)))</f>
        <v/>
      </c>
      <c r="AO771" t="str">
        <f>IF(OR($B771="",NOT(ISNUMBER(R771))),"",IF(COUNTIF(S771:$T771,R771)&gt;0,0,IF(COUNTIF($G771:$T771,"&gt;"&amp;R771)=0,"",SMALL($G771:$T771,COUNTIF($G771:$T771,"&lt;="&amp;R771)+1)-R771)))</f>
        <v/>
      </c>
      <c r="AP771">
        <f t="shared" ref="AP771:AP834" ca="1" si="207">IF(OR($B771="",Z771="",Z771="Başlamadı",Z771="Sevk Edildi",Z771="Reworkte",LEFT(Z771,7)="Kapandı"),0,TODAY()-MAX($G771:$R771))</f>
        <v>0</v>
      </c>
      <c r="AQ771" s="25" t="str">
        <f t="shared" ref="AQ771:AQ834" si="208">IF(AND(ISNUMBER(G771),ISNUMBER(AD771)),G771+AD771,"")</f>
        <v/>
      </c>
      <c r="AR771" s="25" t="str">
        <f t="shared" ref="AR771:AR834" si="209">IF(AND(ISNUMBER(H771),ISNUMBER(AE771)),H771+AE771,"")</f>
        <v/>
      </c>
      <c r="AS771" s="25" t="str">
        <f t="shared" ref="AS771:AS834" si="210">IF(AND(ISNUMBER(I771),ISNUMBER(AF771)),I771+AF771,"")</f>
        <v/>
      </c>
      <c r="AT771" s="25" t="str">
        <f t="shared" ref="AT771:AT834" si="211">IF(AND(ISNUMBER(J771),ISNUMBER(AG771)),J771+AG771,"")</f>
        <v/>
      </c>
      <c r="AU771" s="25" t="str">
        <f t="shared" ref="AU771:AU834" si="212">IF(AND(ISNUMBER(K771),ISNUMBER(AH771)),K771+AH771,"")</f>
        <v/>
      </c>
      <c r="AV771" s="25" t="str">
        <f t="shared" ref="AV771:AV834" si="213">IF(AND(ISNUMBER(L771),ISNUMBER(AI771)),L771+AI771,"")</f>
        <v/>
      </c>
      <c r="AW771" s="25" t="str">
        <f t="shared" ref="AW771:AW834" si="214">IF(AND(ISNUMBER(M771),ISNUMBER(AJ771)),M771+AJ771,"")</f>
        <v/>
      </c>
      <c r="AX771" s="25" t="str">
        <f t="shared" ref="AX771:AX834" si="215">IF(AND(ISNUMBER(N771),ISNUMBER(AK771)),N771+AK771,"")</f>
        <v/>
      </c>
      <c r="AY771" s="25" t="str">
        <f t="shared" ref="AY771:AY834" si="216">IF(AND(ISNUMBER(O771),ISNUMBER(AL771)),O771+AL771,"")</f>
        <v/>
      </c>
      <c r="AZ771" s="25" t="str">
        <f t="shared" ref="AZ771:AZ834" si="217">IF(AND(ISNUMBER(P771),ISNUMBER(AM771)),P771+AM771,"")</f>
        <v/>
      </c>
      <c r="BA771" s="25" t="str">
        <f t="shared" ref="BA771:BA834" si="218">IF(AND(ISNUMBER(Q771),ISNUMBER(AN771)),Q771+AN771,"")</f>
        <v/>
      </c>
      <c r="BB771" s="25" t="str">
        <f t="shared" ref="BB771:BB834" si="219">IF(AND(ISNUMBER(R771),ISNUMBER(AO771)),R771+AO771,"")</f>
        <v/>
      </c>
      <c r="BC771" s="25" t="str">
        <f t="shared" ref="BC771:BC834" si="220">IF(AND(S771="",T771=""),"",MIN(S771,T771))</f>
        <v/>
      </c>
    </row>
    <row r="772" spans="1:55" x14ac:dyDescent="0.25">
      <c r="A772" s="19" t="str">
        <f t="shared" si="205"/>
        <v/>
      </c>
      <c r="B772" s="19"/>
      <c r="C772" s="20"/>
      <c r="D772" s="19" t="str">
        <f t="shared" si="204"/>
        <v/>
      </c>
      <c r="E772" s="19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19"/>
      <c r="U772" s="19"/>
      <c r="V772" s="20"/>
      <c r="W772" s="22"/>
      <c r="X772" s="21"/>
      <c r="Y772" s="21"/>
      <c r="Z772" s="23" t="str">
        <f>IF(B772="","",IF(S772&lt;&gt;"","Sevk Edildi",IF(AND(X772&lt;&gt;"",Y772=""),"Reworkte",IF(T772&lt;&gt;"","Kapandı"&amp;IF(COUNT(G772:R772)=0,""," – "&amp;LOOKUP(2,1/(G772:R772=MAX(G772:R772)),{"Tasarım","Ply Cutter","Üretim","Kalite (Üretim sonrası)","Talaşlı","Kalite (Talaşlı sonrası)","Montaj","Kalite (Montaj sonrası)","Boya","Kalite (Boya sonrası)","Yarı Mamül","KM"})),IF(COUNT(G772:R772)=0,"Başlamadı",LOOKUP(2,1/(G772:R772=MAX(G772:R772)),{"Tasarımda","Ply Cutter'da","Üretimde","Kalitede (Üretim sonrası)","Talaşlıda","Kalitede (Talaşlı sonrası)","Montajda","Kalitede (Montaj sonrası)","Boyada","Kalitede (Boya sonrası)","Yarı Mamülde","KM'de"}))))))</f>
        <v/>
      </c>
      <c r="AA772" s="24" t="str">
        <f t="shared" ca="1" si="206"/>
        <v/>
      </c>
      <c r="AB772" s="22"/>
      <c r="AD772" t="str">
        <f>IF(OR($B772="",NOT(ISNUMBER(G772))),"",IF(COUNTIF(H772:$T772,G772)&gt;0,0,IF(COUNTIF($G772:$T772,"&gt;"&amp;G772)=0,"",SMALL($G772:$T772,COUNTIF($G772:$T772,"&lt;="&amp;G772)+1)-G772)))</f>
        <v/>
      </c>
      <c r="AE772" t="str">
        <f>IF(OR($B772="",NOT(ISNUMBER(H772))),"",IF(COUNTIF(I772:$T772,H772)&gt;0,0,IF(COUNTIF($G772:$T772,"&gt;"&amp;H772)=0,"",SMALL($G772:$T772,COUNTIF($G772:$T772,"&lt;="&amp;H772)+1)-H772)))</f>
        <v/>
      </c>
      <c r="AF772" t="str">
        <f>IF(OR($B772="",NOT(ISNUMBER(I772))),"",IF(COUNTIF(J772:$T772,I772)&gt;0,0,IF(COUNTIF($G772:$T772,"&gt;"&amp;I772)=0,"",SMALL($G772:$T772,COUNTIF($G772:$T772,"&lt;="&amp;I772)+1)-I772)))</f>
        <v/>
      </c>
      <c r="AG772" t="str">
        <f>IF(OR($B772="",NOT(ISNUMBER(J772))),"",IF(COUNTIF(K772:$T772,J772)&gt;0,0,IF(COUNTIF($G772:$T772,"&gt;"&amp;J772)=0,"",SMALL($G772:$T772,COUNTIF($G772:$T772,"&lt;="&amp;J772)+1)-J772)))</f>
        <v/>
      </c>
      <c r="AH772" t="str">
        <f>IF(OR($B772="",NOT(ISNUMBER(K772))),"",IF(COUNTIF(L772:$T772,K772)&gt;0,0,IF(COUNTIF($G772:$T772,"&gt;"&amp;K772)=0,"",SMALL($G772:$T772,COUNTIF($G772:$T772,"&lt;="&amp;K772)+1)-K772)))</f>
        <v/>
      </c>
      <c r="AI772" t="str">
        <f>IF(OR($B772="",NOT(ISNUMBER(L772))),"",IF(COUNTIF(M772:$T772,L772)&gt;0,0,IF(COUNTIF($G772:$T772,"&gt;"&amp;L772)=0,"",SMALL($G772:$T772,COUNTIF($G772:$T772,"&lt;="&amp;L772)+1)-L772)))</f>
        <v/>
      </c>
      <c r="AJ772" t="str">
        <f>IF(OR($B772="",NOT(ISNUMBER(M772))),"",IF(COUNTIF(N772:$T772,M772)&gt;0,0,IF(COUNTIF($G772:$T772,"&gt;"&amp;M772)=0,"",SMALL($G772:$T772,COUNTIF($G772:$T772,"&lt;="&amp;M772)+1)-M772)))</f>
        <v/>
      </c>
      <c r="AK772" t="str">
        <f>IF(OR($B772="",NOT(ISNUMBER(N772))),"",IF(COUNTIF(O772:$T772,N772)&gt;0,0,IF(COUNTIF($G772:$T772,"&gt;"&amp;N772)=0,"",SMALL($G772:$T772,COUNTIF($G772:$T772,"&lt;="&amp;N772)+1)-N772)))</f>
        <v/>
      </c>
      <c r="AL772" t="str">
        <f>IF(OR($B772="",NOT(ISNUMBER(O772))),"",IF(COUNTIF(P772:$T772,O772)&gt;0,0,IF(COUNTIF($G772:$T772,"&gt;"&amp;O772)=0,"",SMALL($G772:$T772,COUNTIF($G772:$T772,"&lt;="&amp;O772)+1)-O772)))</f>
        <v/>
      </c>
      <c r="AM772" t="str">
        <f>IF(OR($B772="",NOT(ISNUMBER(P772))),"",IF(COUNTIF(Q772:$T772,P772)&gt;0,0,IF(COUNTIF($G772:$T772,"&gt;"&amp;P772)=0,"",SMALL($G772:$T772,COUNTIF($G772:$T772,"&lt;="&amp;P772)+1)-P772)))</f>
        <v/>
      </c>
      <c r="AN772" t="str">
        <f>IF(OR($B772="",NOT(ISNUMBER(Q772))),"",IF(COUNTIF(R772:$T772,Q772)&gt;0,0,IF(COUNTIF($G772:$T772,"&gt;"&amp;Q772)=0,"",SMALL($G772:$T772,COUNTIF($G772:$T772,"&lt;="&amp;Q772)+1)-Q772)))</f>
        <v/>
      </c>
      <c r="AO772" t="str">
        <f>IF(OR($B772="",NOT(ISNUMBER(R772))),"",IF(COUNTIF(S772:$T772,R772)&gt;0,0,IF(COUNTIF($G772:$T772,"&gt;"&amp;R772)=0,"",SMALL($G772:$T772,COUNTIF($G772:$T772,"&lt;="&amp;R772)+1)-R772)))</f>
        <v/>
      </c>
      <c r="AP772">
        <f t="shared" ca="1" si="207"/>
        <v>0</v>
      </c>
      <c r="AQ772" s="25" t="str">
        <f t="shared" si="208"/>
        <v/>
      </c>
      <c r="AR772" s="25" t="str">
        <f t="shared" si="209"/>
        <v/>
      </c>
      <c r="AS772" s="25" t="str">
        <f t="shared" si="210"/>
        <v/>
      </c>
      <c r="AT772" s="25" t="str">
        <f t="shared" si="211"/>
        <v/>
      </c>
      <c r="AU772" s="25" t="str">
        <f t="shared" si="212"/>
        <v/>
      </c>
      <c r="AV772" s="25" t="str">
        <f t="shared" si="213"/>
        <v/>
      </c>
      <c r="AW772" s="25" t="str">
        <f t="shared" si="214"/>
        <v/>
      </c>
      <c r="AX772" s="25" t="str">
        <f t="shared" si="215"/>
        <v/>
      </c>
      <c r="AY772" s="25" t="str">
        <f t="shared" si="216"/>
        <v/>
      </c>
      <c r="AZ772" s="25" t="str">
        <f t="shared" si="217"/>
        <v/>
      </c>
      <c r="BA772" s="25" t="str">
        <f t="shared" si="218"/>
        <v/>
      </c>
      <c r="BB772" s="25" t="str">
        <f t="shared" si="219"/>
        <v/>
      </c>
      <c r="BC772" s="25" t="str">
        <f t="shared" si="220"/>
        <v/>
      </c>
    </row>
    <row r="773" spans="1:55" x14ac:dyDescent="0.25">
      <c r="A773" s="19" t="str">
        <f t="shared" si="205"/>
        <v/>
      </c>
      <c r="B773" s="19"/>
      <c r="C773" s="20"/>
      <c r="D773" s="19" t="str">
        <f t="shared" si="204"/>
        <v/>
      </c>
      <c r="E773" s="19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19"/>
      <c r="U773" s="19"/>
      <c r="V773" s="20"/>
      <c r="W773" s="22"/>
      <c r="X773" s="21"/>
      <c r="Y773" s="21"/>
      <c r="Z773" s="23" t="str">
        <f>IF(B773="","",IF(S773&lt;&gt;"","Sevk Edildi",IF(AND(X773&lt;&gt;"",Y773=""),"Reworkte",IF(T773&lt;&gt;"","Kapandı"&amp;IF(COUNT(G773:R773)=0,""," – "&amp;LOOKUP(2,1/(G773:R773=MAX(G773:R773)),{"Tasarım","Ply Cutter","Üretim","Kalite (Üretim sonrası)","Talaşlı","Kalite (Talaşlı sonrası)","Montaj","Kalite (Montaj sonrası)","Boya","Kalite (Boya sonrası)","Yarı Mamül","KM"})),IF(COUNT(G773:R773)=0,"Başlamadı",LOOKUP(2,1/(G773:R773=MAX(G773:R773)),{"Tasarımda","Ply Cutter'da","Üretimde","Kalitede (Üretim sonrası)","Talaşlıda","Kalitede (Talaşlı sonrası)","Montajda","Kalitede (Montaj sonrası)","Boyada","Kalitede (Boya sonrası)","Yarı Mamülde","KM'de"}))))))</f>
        <v/>
      </c>
      <c r="AA773" s="24" t="str">
        <f t="shared" ca="1" si="206"/>
        <v/>
      </c>
      <c r="AB773" s="22"/>
      <c r="AD773" t="str">
        <f>IF(OR($B773="",NOT(ISNUMBER(G773))),"",IF(COUNTIF(H773:$T773,G773)&gt;0,0,IF(COUNTIF($G773:$T773,"&gt;"&amp;G773)=0,"",SMALL($G773:$T773,COUNTIF($G773:$T773,"&lt;="&amp;G773)+1)-G773)))</f>
        <v/>
      </c>
      <c r="AE773" t="str">
        <f>IF(OR($B773="",NOT(ISNUMBER(H773))),"",IF(COUNTIF(I773:$T773,H773)&gt;0,0,IF(COUNTIF($G773:$T773,"&gt;"&amp;H773)=0,"",SMALL($G773:$T773,COUNTIF($G773:$T773,"&lt;="&amp;H773)+1)-H773)))</f>
        <v/>
      </c>
      <c r="AF773" t="str">
        <f>IF(OR($B773="",NOT(ISNUMBER(I773))),"",IF(COUNTIF(J773:$T773,I773)&gt;0,0,IF(COUNTIF($G773:$T773,"&gt;"&amp;I773)=0,"",SMALL($G773:$T773,COUNTIF($G773:$T773,"&lt;="&amp;I773)+1)-I773)))</f>
        <v/>
      </c>
      <c r="AG773" t="str">
        <f>IF(OR($B773="",NOT(ISNUMBER(J773))),"",IF(COUNTIF(K773:$T773,J773)&gt;0,0,IF(COUNTIF($G773:$T773,"&gt;"&amp;J773)=0,"",SMALL($G773:$T773,COUNTIF($G773:$T773,"&lt;="&amp;J773)+1)-J773)))</f>
        <v/>
      </c>
      <c r="AH773" t="str">
        <f>IF(OR($B773="",NOT(ISNUMBER(K773))),"",IF(COUNTIF(L773:$T773,K773)&gt;0,0,IF(COUNTIF($G773:$T773,"&gt;"&amp;K773)=0,"",SMALL($G773:$T773,COUNTIF($G773:$T773,"&lt;="&amp;K773)+1)-K773)))</f>
        <v/>
      </c>
      <c r="AI773" t="str">
        <f>IF(OR($B773="",NOT(ISNUMBER(L773))),"",IF(COUNTIF(M773:$T773,L773)&gt;0,0,IF(COUNTIF($G773:$T773,"&gt;"&amp;L773)=0,"",SMALL($G773:$T773,COUNTIF($G773:$T773,"&lt;="&amp;L773)+1)-L773)))</f>
        <v/>
      </c>
      <c r="AJ773" t="str">
        <f>IF(OR($B773="",NOT(ISNUMBER(M773))),"",IF(COUNTIF(N773:$T773,M773)&gt;0,0,IF(COUNTIF($G773:$T773,"&gt;"&amp;M773)=0,"",SMALL($G773:$T773,COUNTIF($G773:$T773,"&lt;="&amp;M773)+1)-M773)))</f>
        <v/>
      </c>
      <c r="AK773" t="str">
        <f>IF(OR($B773="",NOT(ISNUMBER(N773))),"",IF(COUNTIF(O773:$T773,N773)&gt;0,0,IF(COUNTIF($G773:$T773,"&gt;"&amp;N773)=0,"",SMALL($G773:$T773,COUNTIF($G773:$T773,"&lt;="&amp;N773)+1)-N773)))</f>
        <v/>
      </c>
      <c r="AL773" t="str">
        <f>IF(OR($B773="",NOT(ISNUMBER(O773))),"",IF(COUNTIF(P773:$T773,O773)&gt;0,0,IF(COUNTIF($G773:$T773,"&gt;"&amp;O773)=0,"",SMALL($G773:$T773,COUNTIF($G773:$T773,"&lt;="&amp;O773)+1)-O773)))</f>
        <v/>
      </c>
      <c r="AM773" t="str">
        <f>IF(OR($B773="",NOT(ISNUMBER(P773))),"",IF(COUNTIF(Q773:$T773,P773)&gt;0,0,IF(COUNTIF($G773:$T773,"&gt;"&amp;P773)=0,"",SMALL($G773:$T773,COUNTIF($G773:$T773,"&lt;="&amp;P773)+1)-P773)))</f>
        <v/>
      </c>
      <c r="AN773" t="str">
        <f>IF(OR($B773="",NOT(ISNUMBER(Q773))),"",IF(COUNTIF(R773:$T773,Q773)&gt;0,0,IF(COUNTIF($G773:$T773,"&gt;"&amp;Q773)=0,"",SMALL($G773:$T773,COUNTIF($G773:$T773,"&lt;="&amp;Q773)+1)-Q773)))</f>
        <v/>
      </c>
      <c r="AO773" t="str">
        <f>IF(OR($B773="",NOT(ISNUMBER(R773))),"",IF(COUNTIF(S773:$T773,R773)&gt;0,0,IF(COUNTIF($G773:$T773,"&gt;"&amp;R773)=0,"",SMALL($G773:$T773,COUNTIF($G773:$T773,"&lt;="&amp;R773)+1)-R773)))</f>
        <v/>
      </c>
      <c r="AP773">
        <f t="shared" ca="1" si="207"/>
        <v>0</v>
      </c>
      <c r="AQ773" s="25" t="str">
        <f t="shared" si="208"/>
        <v/>
      </c>
      <c r="AR773" s="25" t="str">
        <f t="shared" si="209"/>
        <v/>
      </c>
      <c r="AS773" s="25" t="str">
        <f t="shared" si="210"/>
        <v/>
      </c>
      <c r="AT773" s="25" t="str">
        <f t="shared" si="211"/>
        <v/>
      </c>
      <c r="AU773" s="25" t="str">
        <f t="shared" si="212"/>
        <v/>
      </c>
      <c r="AV773" s="25" t="str">
        <f t="shared" si="213"/>
        <v/>
      </c>
      <c r="AW773" s="25" t="str">
        <f t="shared" si="214"/>
        <v/>
      </c>
      <c r="AX773" s="25" t="str">
        <f t="shared" si="215"/>
        <v/>
      </c>
      <c r="AY773" s="25" t="str">
        <f t="shared" si="216"/>
        <v/>
      </c>
      <c r="AZ773" s="25" t="str">
        <f t="shared" si="217"/>
        <v/>
      </c>
      <c r="BA773" s="25" t="str">
        <f t="shared" si="218"/>
        <v/>
      </c>
      <c r="BB773" s="25" t="str">
        <f t="shared" si="219"/>
        <v/>
      </c>
      <c r="BC773" s="25" t="str">
        <f t="shared" si="220"/>
        <v/>
      </c>
    </row>
    <row r="774" spans="1:55" x14ac:dyDescent="0.25">
      <c r="A774" s="19" t="str">
        <f t="shared" si="205"/>
        <v/>
      </c>
      <c r="B774" s="19"/>
      <c r="C774" s="20"/>
      <c r="D774" s="19" t="str">
        <f t="shared" si="204"/>
        <v/>
      </c>
      <c r="E774" s="19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19"/>
      <c r="U774" s="19"/>
      <c r="V774" s="20"/>
      <c r="W774" s="22"/>
      <c r="X774" s="21"/>
      <c r="Y774" s="21"/>
      <c r="Z774" s="23" t="str">
        <f>IF(B774="","",IF(S774&lt;&gt;"","Sevk Edildi",IF(AND(X774&lt;&gt;"",Y774=""),"Reworkte",IF(T774&lt;&gt;"","Kapandı"&amp;IF(COUNT(G774:R774)=0,""," – "&amp;LOOKUP(2,1/(G774:R774=MAX(G774:R774)),{"Tasarım","Ply Cutter","Üretim","Kalite (Üretim sonrası)","Talaşlı","Kalite (Talaşlı sonrası)","Montaj","Kalite (Montaj sonrası)","Boya","Kalite (Boya sonrası)","Yarı Mamül","KM"})),IF(COUNT(G774:R774)=0,"Başlamadı",LOOKUP(2,1/(G774:R774=MAX(G774:R774)),{"Tasarımda","Ply Cutter'da","Üretimde","Kalitede (Üretim sonrası)","Talaşlıda","Kalitede (Talaşlı sonrası)","Montajda","Kalitede (Montaj sonrası)","Boyada","Kalitede (Boya sonrası)","Yarı Mamülde","KM'de"}))))))</f>
        <v/>
      </c>
      <c r="AA774" s="24" t="str">
        <f t="shared" ca="1" si="206"/>
        <v/>
      </c>
      <c r="AB774" s="22"/>
      <c r="AD774" t="str">
        <f>IF(OR($B774="",NOT(ISNUMBER(G774))),"",IF(COUNTIF(H774:$T774,G774)&gt;0,0,IF(COUNTIF($G774:$T774,"&gt;"&amp;G774)=0,"",SMALL($G774:$T774,COUNTIF($G774:$T774,"&lt;="&amp;G774)+1)-G774)))</f>
        <v/>
      </c>
      <c r="AE774" t="str">
        <f>IF(OR($B774="",NOT(ISNUMBER(H774))),"",IF(COUNTIF(I774:$T774,H774)&gt;0,0,IF(COUNTIF($G774:$T774,"&gt;"&amp;H774)=0,"",SMALL($G774:$T774,COUNTIF($G774:$T774,"&lt;="&amp;H774)+1)-H774)))</f>
        <v/>
      </c>
      <c r="AF774" t="str">
        <f>IF(OR($B774="",NOT(ISNUMBER(I774))),"",IF(COUNTIF(J774:$T774,I774)&gt;0,0,IF(COUNTIF($G774:$T774,"&gt;"&amp;I774)=0,"",SMALL($G774:$T774,COUNTIF($G774:$T774,"&lt;="&amp;I774)+1)-I774)))</f>
        <v/>
      </c>
      <c r="AG774" t="str">
        <f>IF(OR($B774="",NOT(ISNUMBER(J774))),"",IF(COUNTIF(K774:$T774,J774)&gt;0,0,IF(COUNTIF($G774:$T774,"&gt;"&amp;J774)=0,"",SMALL($G774:$T774,COUNTIF($G774:$T774,"&lt;="&amp;J774)+1)-J774)))</f>
        <v/>
      </c>
      <c r="AH774" t="str">
        <f>IF(OR($B774="",NOT(ISNUMBER(K774))),"",IF(COUNTIF(L774:$T774,K774)&gt;0,0,IF(COUNTIF($G774:$T774,"&gt;"&amp;K774)=0,"",SMALL($G774:$T774,COUNTIF($G774:$T774,"&lt;="&amp;K774)+1)-K774)))</f>
        <v/>
      </c>
      <c r="AI774" t="str">
        <f>IF(OR($B774="",NOT(ISNUMBER(L774))),"",IF(COUNTIF(M774:$T774,L774)&gt;0,0,IF(COUNTIF($G774:$T774,"&gt;"&amp;L774)=0,"",SMALL($G774:$T774,COUNTIF($G774:$T774,"&lt;="&amp;L774)+1)-L774)))</f>
        <v/>
      </c>
      <c r="AJ774" t="str">
        <f>IF(OR($B774="",NOT(ISNUMBER(M774))),"",IF(COUNTIF(N774:$T774,M774)&gt;0,0,IF(COUNTIF($G774:$T774,"&gt;"&amp;M774)=0,"",SMALL($G774:$T774,COUNTIF($G774:$T774,"&lt;="&amp;M774)+1)-M774)))</f>
        <v/>
      </c>
      <c r="AK774" t="str">
        <f>IF(OR($B774="",NOT(ISNUMBER(N774))),"",IF(COUNTIF(O774:$T774,N774)&gt;0,0,IF(COUNTIF($G774:$T774,"&gt;"&amp;N774)=0,"",SMALL($G774:$T774,COUNTIF($G774:$T774,"&lt;="&amp;N774)+1)-N774)))</f>
        <v/>
      </c>
      <c r="AL774" t="str">
        <f>IF(OR($B774="",NOT(ISNUMBER(O774))),"",IF(COUNTIF(P774:$T774,O774)&gt;0,0,IF(COUNTIF($G774:$T774,"&gt;"&amp;O774)=0,"",SMALL($G774:$T774,COUNTIF($G774:$T774,"&lt;="&amp;O774)+1)-O774)))</f>
        <v/>
      </c>
      <c r="AM774" t="str">
        <f>IF(OR($B774="",NOT(ISNUMBER(P774))),"",IF(COUNTIF(Q774:$T774,P774)&gt;0,0,IF(COUNTIF($G774:$T774,"&gt;"&amp;P774)=0,"",SMALL($G774:$T774,COUNTIF($G774:$T774,"&lt;="&amp;P774)+1)-P774)))</f>
        <v/>
      </c>
      <c r="AN774" t="str">
        <f>IF(OR($B774="",NOT(ISNUMBER(Q774))),"",IF(COUNTIF(R774:$T774,Q774)&gt;0,0,IF(COUNTIF($G774:$T774,"&gt;"&amp;Q774)=0,"",SMALL($G774:$T774,COUNTIF($G774:$T774,"&lt;="&amp;Q774)+1)-Q774)))</f>
        <v/>
      </c>
      <c r="AO774" t="str">
        <f>IF(OR($B774="",NOT(ISNUMBER(R774))),"",IF(COUNTIF(S774:$T774,R774)&gt;0,0,IF(COUNTIF($G774:$T774,"&gt;"&amp;R774)=0,"",SMALL($G774:$T774,COUNTIF($G774:$T774,"&lt;="&amp;R774)+1)-R774)))</f>
        <v/>
      </c>
      <c r="AP774">
        <f t="shared" ca="1" si="207"/>
        <v>0</v>
      </c>
      <c r="AQ774" s="25" t="str">
        <f t="shared" si="208"/>
        <v/>
      </c>
      <c r="AR774" s="25" t="str">
        <f t="shared" si="209"/>
        <v/>
      </c>
      <c r="AS774" s="25" t="str">
        <f t="shared" si="210"/>
        <v/>
      </c>
      <c r="AT774" s="25" t="str">
        <f t="shared" si="211"/>
        <v/>
      </c>
      <c r="AU774" s="25" t="str">
        <f t="shared" si="212"/>
        <v/>
      </c>
      <c r="AV774" s="25" t="str">
        <f t="shared" si="213"/>
        <v/>
      </c>
      <c r="AW774" s="25" t="str">
        <f t="shared" si="214"/>
        <v/>
      </c>
      <c r="AX774" s="25" t="str">
        <f t="shared" si="215"/>
        <v/>
      </c>
      <c r="AY774" s="25" t="str">
        <f t="shared" si="216"/>
        <v/>
      </c>
      <c r="AZ774" s="25" t="str">
        <f t="shared" si="217"/>
        <v/>
      </c>
      <c r="BA774" s="25" t="str">
        <f t="shared" si="218"/>
        <v/>
      </c>
      <c r="BB774" s="25" t="str">
        <f t="shared" si="219"/>
        <v/>
      </c>
      <c r="BC774" s="25" t="str">
        <f t="shared" si="220"/>
        <v/>
      </c>
    </row>
    <row r="775" spans="1:55" x14ac:dyDescent="0.25">
      <c r="A775" s="19" t="str">
        <f t="shared" si="205"/>
        <v/>
      </c>
      <c r="B775" s="19"/>
      <c r="C775" s="20"/>
      <c r="D775" s="19" t="str">
        <f t="shared" si="204"/>
        <v/>
      </c>
      <c r="E775" s="19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19"/>
      <c r="U775" s="19"/>
      <c r="V775" s="20"/>
      <c r="W775" s="22"/>
      <c r="X775" s="21"/>
      <c r="Y775" s="21"/>
      <c r="Z775" s="23" t="str">
        <f>IF(B775="","",IF(S775&lt;&gt;"","Sevk Edildi",IF(AND(X775&lt;&gt;"",Y775=""),"Reworkte",IF(T775&lt;&gt;"","Kapandı"&amp;IF(COUNT(G775:R775)=0,""," – "&amp;LOOKUP(2,1/(G775:R775=MAX(G775:R775)),{"Tasarım","Ply Cutter","Üretim","Kalite (Üretim sonrası)","Talaşlı","Kalite (Talaşlı sonrası)","Montaj","Kalite (Montaj sonrası)","Boya","Kalite (Boya sonrası)","Yarı Mamül","KM"})),IF(COUNT(G775:R775)=0,"Başlamadı",LOOKUP(2,1/(G775:R775=MAX(G775:R775)),{"Tasarımda","Ply Cutter'da","Üretimde","Kalitede (Üretim sonrası)","Talaşlıda","Kalitede (Talaşlı sonrası)","Montajda","Kalitede (Montaj sonrası)","Boyada","Kalitede (Boya sonrası)","Yarı Mamülde","KM'de"}))))))</f>
        <v/>
      </c>
      <c r="AA775" s="24" t="str">
        <f t="shared" ca="1" si="206"/>
        <v/>
      </c>
      <c r="AB775" s="22"/>
      <c r="AD775" t="str">
        <f>IF(OR($B775="",NOT(ISNUMBER(G775))),"",IF(COUNTIF(H775:$T775,G775)&gt;0,0,IF(COUNTIF($G775:$T775,"&gt;"&amp;G775)=0,"",SMALL($G775:$T775,COUNTIF($G775:$T775,"&lt;="&amp;G775)+1)-G775)))</f>
        <v/>
      </c>
      <c r="AE775" t="str">
        <f>IF(OR($B775="",NOT(ISNUMBER(H775))),"",IF(COUNTIF(I775:$T775,H775)&gt;0,0,IF(COUNTIF($G775:$T775,"&gt;"&amp;H775)=0,"",SMALL($G775:$T775,COUNTIF($G775:$T775,"&lt;="&amp;H775)+1)-H775)))</f>
        <v/>
      </c>
      <c r="AF775" t="str">
        <f>IF(OR($B775="",NOT(ISNUMBER(I775))),"",IF(COUNTIF(J775:$T775,I775)&gt;0,0,IF(COUNTIF($G775:$T775,"&gt;"&amp;I775)=0,"",SMALL($G775:$T775,COUNTIF($G775:$T775,"&lt;="&amp;I775)+1)-I775)))</f>
        <v/>
      </c>
      <c r="AG775" t="str">
        <f>IF(OR($B775="",NOT(ISNUMBER(J775))),"",IF(COUNTIF(K775:$T775,J775)&gt;0,0,IF(COUNTIF($G775:$T775,"&gt;"&amp;J775)=0,"",SMALL($G775:$T775,COUNTIF($G775:$T775,"&lt;="&amp;J775)+1)-J775)))</f>
        <v/>
      </c>
      <c r="AH775" t="str">
        <f>IF(OR($B775="",NOT(ISNUMBER(K775))),"",IF(COUNTIF(L775:$T775,K775)&gt;0,0,IF(COUNTIF($G775:$T775,"&gt;"&amp;K775)=0,"",SMALL($G775:$T775,COUNTIF($G775:$T775,"&lt;="&amp;K775)+1)-K775)))</f>
        <v/>
      </c>
      <c r="AI775" t="str">
        <f>IF(OR($B775="",NOT(ISNUMBER(L775))),"",IF(COUNTIF(M775:$T775,L775)&gt;0,0,IF(COUNTIF($G775:$T775,"&gt;"&amp;L775)=0,"",SMALL($G775:$T775,COUNTIF($G775:$T775,"&lt;="&amp;L775)+1)-L775)))</f>
        <v/>
      </c>
      <c r="AJ775" t="str">
        <f>IF(OR($B775="",NOT(ISNUMBER(M775))),"",IF(COUNTIF(N775:$T775,M775)&gt;0,0,IF(COUNTIF($G775:$T775,"&gt;"&amp;M775)=0,"",SMALL($G775:$T775,COUNTIF($G775:$T775,"&lt;="&amp;M775)+1)-M775)))</f>
        <v/>
      </c>
      <c r="AK775" t="str">
        <f>IF(OR($B775="",NOT(ISNUMBER(N775))),"",IF(COUNTIF(O775:$T775,N775)&gt;0,0,IF(COUNTIF($G775:$T775,"&gt;"&amp;N775)=0,"",SMALL($G775:$T775,COUNTIF($G775:$T775,"&lt;="&amp;N775)+1)-N775)))</f>
        <v/>
      </c>
      <c r="AL775" t="str">
        <f>IF(OR($B775="",NOT(ISNUMBER(O775))),"",IF(COUNTIF(P775:$T775,O775)&gt;0,0,IF(COUNTIF($G775:$T775,"&gt;"&amp;O775)=0,"",SMALL($G775:$T775,COUNTIF($G775:$T775,"&lt;="&amp;O775)+1)-O775)))</f>
        <v/>
      </c>
      <c r="AM775" t="str">
        <f>IF(OR($B775="",NOT(ISNUMBER(P775))),"",IF(COUNTIF(Q775:$T775,P775)&gt;0,0,IF(COUNTIF($G775:$T775,"&gt;"&amp;P775)=0,"",SMALL($G775:$T775,COUNTIF($G775:$T775,"&lt;="&amp;P775)+1)-P775)))</f>
        <v/>
      </c>
      <c r="AN775" t="str">
        <f>IF(OR($B775="",NOT(ISNUMBER(Q775))),"",IF(COUNTIF(R775:$T775,Q775)&gt;0,0,IF(COUNTIF($G775:$T775,"&gt;"&amp;Q775)=0,"",SMALL($G775:$T775,COUNTIF($G775:$T775,"&lt;="&amp;Q775)+1)-Q775)))</f>
        <v/>
      </c>
      <c r="AO775" t="str">
        <f>IF(OR($B775="",NOT(ISNUMBER(R775))),"",IF(COUNTIF(S775:$T775,R775)&gt;0,0,IF(COUNTIF($G775:$T775,"&gt;"&amp;R775)=0,"",SMALL($G775:$T775,COUNTIF($G775:$T775,"&lt;="&amp;R775)+1)-R775)))</f>
        <v/>
      </c>
      <c r="AP775">
        <f t="shared" ca="1" si="207"/>
        <v>0</v>
      </c>
      <c r="AQ775" s="25" t="str">
        <f t="shared" si="208"/>
        <v/>
      </c>
      <c r="AR775" s="25" t="str">
        <f t="shared" si="209"/>
        <v/>
      </c>
      <c r="AS775" s="25" t="str">
        <f t="shared" si="210"/>
        <v/>
      </c>
      <c r="AT775" s="25" t="str">
        <f t="shared" si="211"/>
        <v/>
      </c>
      <c r="AU775" s="25" t="str">
        <f t="shared" si="212"/>
        <v/>
      </c>
      <c r="AV775" s="25" t="str">
        <f t="shared" si="213"/>
        <v/>
      </c>
      <c r="AW775" s="25" t="str">
        <f t="shared" si="214"/>
        <v/>
      </c>
      <c r="AX775" s="25" t="str">
        <f t="shared" si="215"/>
        <v/>
      </c>
      <c r="AY775" s="25" t="str">
        <f t="shared" si="216"/>
        <v/>
      </c>
      <c r="AZ775" s="25" t="str">
        <f t="shared" si="217"/>
        <v/>
      </c>
      <c r="BA775" s="25" t="str">
        <f t="shared" si="218"/>
        <v/>
      </c>
      <c r="BB775" s="25" t="str">
        <f t="shared" si="219"/>
        <v/>
      </c>
      <c r="BC775" s="25" t="str">
        <f t="shared" si="220"/>
        <v/>
      </c>
    </row>
    <row r="776" spans="1:55" x14ac:dyDescent="0.25">
      <c r="A776" s="19" t="str">
        <f t="shared" si="205"/>
        <v/>
      </c>
      <c r="B776" s="19"/>
      <c r="C776" s="20"/>
      <c r="D776" s="19" t="str">
        <f t="shared" si="204"/>
        <v/>
      </c>
      <c r="E776" s="19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19"/>
      <c r="U776" s="19"/>
      <c r="V776" s="20"/>
      <c r="W776" s="22"/>
      <c r="X776" s="21"/>
      <c r="Y776" s="21"/>
      <c r="Z776" s="23" t="str">
        <f>IF(B776="","",IF(S776&lt;&gt;"","Sevk Edildi",IF(AND(X776&lt;&gt;"",Y776=""),"Reworkte",IF(T776&lt;&gt;"","Kapandı"&amp;IF(COUNT(G776:R776)=0,""," – "&amp;LOOKUP(2,1/(G776:R776=MAX(G776:R776)),{"Tasarım","Ply Cutter","Üretim","Kalite (Üretim sonrası)","Talaşlı","Kalite (Talaşlı sonrası)","Montaj","Kalite (Montaj sonrası)","Boya","Kalite (Boya sonrası)","Yarı Mamül","KM"})),IF(COUNT(G776:R776)=0,"Başlamadı",LOOKUP(2,1/(G776:R776=MAX(G776:R776)),{"Tasarımda","Ply Cutter'da","Üretimde","Kalitede (Üretim sonrası)","Talaşlıda","Kalitede (Talaşlı sonrası)","Montajda","Kalitede (Montaj sonrası)","Boyada","Kalitede (Boya sonrası)","Yarı Mamülde","KM'de"}))))))</f>
        <v/>
      </c>
      <c r="AA776" s="24" t="str">
        <f t="shared" ca="1" si="206"/>
        <v/>
      </c>
      <c r="AB776" s="22"/>
      <c r="AD776" t="str">
        <f>IF(OR($B776="",NOT(ISNUMBER(G776))),"",IF(COUNTIF(H776:$T776,G776)&gt;0,0,IF(COUNTIF($G776:$T776,"&gt;"&amp;G776)=0,"",SMALL($G776:$T776,COUNTIF($G776:$T776,"&lt;="&amp;G776)+1)-G776)))</f>
        <v/>
      </c>
      <c r="AE776" t="str">
        <f>IF(OR($B776="",NOT(ISNUMBER(H776))),"",IF(COUNTIF(I776:$T776,H776)&gt;0,0,IF(COUNTIF($G776:$T776,"&gt;"&amp;H776)=0,"",SMALL($G776:$T776,COUNTIF($G776:$T776,"&lt;="&amp;H776)+1)-H776)))</f>
        <v/>
      </c>
      <c r="AF776" t="str">
        <f>IF(OR($B776="",NOT(ISNUMBER(I776))),"",IF(COUNTIF(J776:$T776,I776)&gt;0,0,IF(COUNTIF($G776:$T776,"&gt;"&amp;I776)=0,"",SMALL($G776:$T776,COUNTIF($G776:$T776,"&lt;="&amp;I776)+1)-I776)))</f>
        <v/>
      </c>
      <c r="AG776" t="str">
        <f>IF(OR($B776="",NOT(ISNUMBER(J776))),"",IF(COUNTIF(K776:$T776,J776)&gt;0,0,IF(COUNTIF($G776:$T776,"&gt;"&amp;J776)=0,"",SMALL($G776:$T776,COUNTIF($G776:$T776,"&lt;="&amp;J776)+1)-J776)))</f>
        <v/>
      </c>
      <c r="AH776" t="str">
        <f>IF(OR($B776="",NOT(ISNUMBER(K776))),"",IF(COUNTIF(L776:$T776,K776)&gt;0,0,IF(COUNTIF($G776:$T776,"&gt;"&amp;K776)=0,"",SMALL($G776:$T776,COUNTIF($G776:$T776,"&lt;="&amp;K776)+1)-K776)))</f>
        <v/>
      </c>
      <c r="AI776" t="str">
        <f>IF(OR($B776="",NOT(ISNUMBER(L776))),"",IF(COUNTIF(M776:$T776,L776)&gt;0,0,IF(COUNTIF($G776:$T776,"&gt;"&amp;L776)=0,"",SMALL($G776:$T776,COUNTIF($G776:$T776,"&lt;="&amp;L776)+1)-L776)))</f>
        <v/>
      </c>
      <c r="AJ776" t="str">
        <f>IF(OR($B776="",NOT(ISNUMBER(M776))),"",IF(COUNTIF(N776:$T776,M776)&gt;0,0,IF(COUNTIF($G776:$T776,"&gt;"&amp;M776)=0,"",SMALL($G776:$T776,COUNTIF($G776:$T776,"&lt;="&amp;M776)+1)-M776)))</f>
        <v/>
      </c>
      <c r="AK776" t="str">
        <f>IF(OR($B776="",NOT(ISNUMBER(N776))),"",IF(COUNTIF(O776:$T776,N776)&gt;0,0,IF(COUNTIF($G776:$T776,"&gt;"&amp;N776)=0,"",SMALL($G776:$T776,COUNTIF($G776:$T776,"&lt;="&amp;N776)+1)-N776)))</f>
        <v/>
      </c>
      <c r="AL776" t="str">
        <f>IF(OR($B776="",NOT(ISNUMBER(O776))),"",IF(COUNTIF(P776:$T776,O776)&gt;0,0,IF(COUNTIF($G776:$T776,"&gt;"&amp;O776)=0,"",SMALL($G776:$T776,COUNTIF($G776:$T776,"&lt;="&amp;O776)+1)-O776)))</f>
        <v/>
      </c>
      <c r="AM776" t="str">
        <f>IF(OR($B776="",NOT(ISNUMBER(P776))),"",IF(COUNTIF(Q776:$T776,P776)&gt;0,0,IF(COUNTIF($G776:$T776,"&gt;"&amp;P776)=0,"",SMALL($G776:$T776,COUNTIF($G776:$T776,"&lt;="&amp;P776)+1)-P776)))</f>
        <v/>
      </c>
      <c r="AN776" t="str">
        <f>IF(OR($B776="",NOT(ISNUMBER(Q776))),"",IF(COUNTIF(R776:$T776,Q776)&gt;0,0,IF(COUNTIF($G776:$T776,"&gt;"&amp;Q776)=0,"",SMALL($G776:$T776,COUNTIF($G776:$T776,"&lt;="&amp;Q776)+1)-Q776)))</f>
        <v/>
      </c>
      <c r="AO776" t="str">
        <f>IF(OR($B776="",NOT(ISNUMBER(R776))),"",IF(COUNTIF(S776:$T776,R776)&gt;0,0,IF(COUNTIF($G776:$T776,"&gt;"&amp;R776)=0,"",SMALL($G776:$T776,COUNTIF($G776:$T776,"&lt;="&amp;R776)+1)-R776)))</f>
        <v/>
      </c>
      <c r="AP776">
        <f t="shared" ca="1" si="207"/>
        <v>0</v>
      </c>
      <c r="AQ776" s="25" t="str">
        <f t="shared" si="208"/>
        <v/>
      </c>
      <c r="AR776" s="25" t="str">
        <f t="shared" si="209"/>
        <v/>
      </c>
      <c r="AS776" s="25" t="str">
        <f t="shared" si="210"/>
        <v/>
      </c>
      <c r="AT776" s="25" t="str">
        <f t="shared" si="211"/>
        <v/>
      </c>
      <c r="AU776" s="25" t="str">
        <f t="shared" si="212"/>
        <v/>
      </c>
      <c r="AV776" s="25" t="str">
        <f t="shared" si="213"/>
        <v/>
      </c>
      <c r="AW776" s="25" t="str">
        <f t="shared" si="214"/>
        <v/>
      </c>
      <c r="AX776" s="25" t="str">
        <f t="shared" si="215"/>
        <v/>
      </c>
      <c r="AY776" s="25" t="str">
        <f t="shared" si="216"/>
        <v/>
      </c>
      <c r="AZ776" s="25" t="str">
        <f t="shared" si="217"/>
        <v/>
      </c>
      <c r="BA776" s="25" t="str">
        <f t="shared" si="218"/>
        <v/>
      </c>
      <c r="BB776" s="25" t="str">
        <f t="shared" si="219"/>
        <v/>
      </c>
      <c r="BC776" s="25" t="str">
        <f t="shared" si="220"/>
        <v/>
      </c>
    </row>
    <row r="777" spans="1:55" x14ac:dyDescent="0.25">
      <c r="A777" s="19" t="str">
        <f t="shared" si="205"/>
        <v/>
      </c>
      <c r="B777" s="19"/>
      <c r="C777" s="20"/>
      <c r="D777" s="19" t="str">
        <f t="shared" si="204"/>
        <v/>
      </c>
      <c r="E777" s="19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19"/>
      <c r="U777" s="19"/>
      <c r="V777" s="20"/>
      <c r="W777" s="22"/>
      <c r="X777" s="21"/>
      <c r="Y777" s="21"/>
      <c r="Z777" s="23" t="str">
        <f>IF(B777="","",IF(S777&lt;&gt;"","Sevk Edildi",IF(AND(X777&lt;&gt;"",Y777=""),"Reworkte",IF(T777&lt;&gt;"","Kapandı"&amp;IF(COUNT(G777:R777)=0,""," – "&amp;LOOKUP(2,1/(G777:R777=MAX(G777:R777)),{"Tasarım","Ply Cutter","Üretim","Kalite (Üretim sonrası)","Talaşlı","Kalite (Talaşlı sonrası)","Montaj","Kalite (Montaj sonrası)","Boya","Kalite (Boya sonrası)","Yarı Mamül","KM"})),IF(COUNT(G777:R777)=0,"Başlamadı",LOOKUP(2,1/(G777:R777=MAX(G777:R777)),{"Tasarımda","Ply Cutter'da","Üretimde","Kalitede (Üretim sonrası)","Talaşlıda","Kalitede (Talaşlı sonrası)","Montajda","Kalitede (Montaj sonrası)","Boyada","Kalitede (Boya sonrası)","Yarı Mamülde","KM'de"}))))))</f>
        <v/>
      </c>
      <c r="AA777" s="24" t="str">
        <f t="shared" ca="1" si="206"/>
        <v/>
      </c>
      <c r="AB777" s="22"/>
      <c r="AD777" t="str">
        <f>IF(OR($B777="",NOT(ISNUMBER(G777))),"",IF(COUNTIF(H777:$T777,G777)&gt;0,0,IF(COUNTIF($G777:$T777,"&gt;"&amp;G777)=0,"",SMALL($G777:$T777,COUNTIF($G777:$T777,"&lt;="&amp;G777)+1)-G777)))</f>
        <v/>
      </c>
      <c r="AE777" t="str">
        <f>IF(OR($B777="",NOT(ISNUMBER(H777))),"",IF(COUNTIF(I777:$T777,H777)&gt;0,0,IF(COUNTIF($G777:$T777,"&gt;"&amp;H777)=0,"",SMALL($G777:$T777,COUNTIF($G777:$T777,"&lt;="&amp;H777)+1)-H777)))</f>
        <v/>
      </c>
      <c r="AF777" t="str">
        <f>IF(OR($B777="",NOT(ISNUMBER(I777))),"",IF(COUNTIF(J777:$T777,I777)&gt;0,0,IF(COUNTIF($G777:$T777,"&gt;"&amp;I777)=0,"",SMALL($G777:$T777,COUNTIF($G777:$T777,"&lt;="&amp;I777)+1)-I777)))</f>
        <v/>
      </c>
      <c r="AG777" t="str">
        <f>IF(OR($B777="",NOT(ISNUMBER(J777))),"",IF(COUNTIF(K777:$T777,J777)&gt;0,0,IF(COUNTIF($G777:$T777,"&gt;"&amp;J777)=0,"",SMALL($G777:$T777,COUNTIF($G777:$T777,"&lt;="&amp;J777)+1)-J777)))</f>
        <v/>
      </c>
      <c r="AH777" t="str">
        <f>IF(OR($B777="",NOT(ISNUMBER(K777))),"",IF(COUNTIF(L777:$T777,K777)&gt;0,0,IF(COUNTIF($G777:$T777,"&gt;"&amp;K777)=0,"",SMALL($G777:$T777,COUNTIF($G777:$T777,"&lt;="&amp;K777)+1)-K777)))</f>
        <v/>
      </c>
      <c r="AI777" t="str">
        <f>IF(OR($B777="",NOT(ISNUMBER(L777))),"",IF(COUNTIF(M777:$T777,L777)&gt;0,0,IF(COUNTIF($G777:$T777,"&gt;"&amp;L777)=0,"",SMALL($G777:$T777,COUNTIF($G777:$T777,"&lt;="&amp;L777)+1)-L777)))</f>
        <v/>
      </c>
      <c r="AJ777" t="str">
        <f>IF(OR($B777="",NOT(ISNUMBER(M777))),"",IF(COUNTIF(N777:$T777,M777)&gt;0,0,IF(COUNTIF($G777:$T777,"&gt;"&amp;M777)=0,"",SMALL($G777:$T777,COUNTIF($G777:$T777,"&lt;="&amp;M777)+1)-M777)))</f>
        <v/>
      </c>
      <c r="AK777" t="str">
        <f>IF(OR($B777="",NOT(ISNUMBER(N777))),"",IF(COUNTIF(O777:$T777,N777)&gt;0,0,IF(COUNTIF($G777:$T777,"&gt;"&amp;N777)=0,"",SMALL($G777:$T777,COUNTIF($G777:$T777,"&lt;="&amp;N777)+1)-N777)))</f>
        <v/>
      </c>
      <c r="AL777" t="str">
        <f>IF(OR($B777="",NOT(ISNUMBER(O777))),"",IF(COUNTIF(P777:$T777,O777)&gt;0,0,IF(COUNTIF($G777:$T777,"&gt;"&amp;O777)=0,"",SMALL($G777:$T777,COUNTIF($G777:$T777,"&lt;="&amp;O777)+1)-O777)))</f>
        <v/>
      </c>
      <c r="AM777" t="str">
        <f>IF(OR($B777="",NOT(ISNUMBER(P777))),"",IF(COUNTIF(Q777:$T777,P777)&gt;0,0,IF(COUNTIF($G777:$T777,"&gt;"&amp;P777)=0,"",SMALL($G777:$T777,COUNTIF($G777:$T777,"&lt;="&amp;P777)+1)-P777)))</f>
        <v/>
      </c>
      <c r="AN777" t="str">
        <f>IF(OR($B777="",NOT(ISNUMBER(Q777))),"",IF(COUNTIF(R777:$T777,Q777)&gt;0,0,IF(COUNTIF($G777:$T777,"&gt;"&amp;Q777)=0,"",SMALL($G777:$T777,COUNTIF($G777:$T777,"&lt;="&amp;Q777)+1)-Q777)))</f>
        <v/>
      </c>
      <c r="AO777" t="str">
        <f>IF(OR($B777="",NOT(ISNUMBER(R777))),"",IF(COUNTIF(S777:$T777,R777)&gt;0,0,IF(COUNTIF($G777:$T777,"&gt;"&amp;R777)=0,"",SMALL($G777:$T777,COUNTIF($G777:$T777,"&lt;="&amp;R777)+1)-R777)))</f>
        <v/>
      </c>
      <c r="AP777">
        <f t="shared" ca="1" si="207"/>
        <v>0</v>
      </c>
      <c r="AQ777" s="25" t="str">
        <f t="shared" si="208"/>
        <v/>
      </c>
      <c r="AR777" s="25" t="str">
        <f t="shared" si="209"/>
        <v/>
      </c>
      <c r="AS777" s="25" t="str">
        <f t="shared" si="210"/>
        <v/>
      </c>
      <c r="AT777" s="25" t="str">
        <f t="shared" si="211"/>
        <v/>
      </c>
      <c r="AU777" s="25" t="str">
        <f t="shared" si="212"/>
        <v/>
      </c>
      <c r="AV777" s="25" t="str">
        <f t="shared" si="213"/>
        <v/>
      </c>
      <c r="AW777" s="25" t="str">
        <f t="shared" si="214"/>
        <v/>
      </c>
      <c r="AX777" s="25" t="str">
        <f t="shared" si="215"/>
        <v/>
      </c>
      <c r="AY777" s="25" t="str">
        <f t="shared" si="216"/>
        <v/>
      </c>
      <c r="AZ777" s="25" t="str">
        <f t="shared" si="217"/>
        <v/>
      </c>
      <c r="BA777" s="25" t="str">
        <f t="shared" si="218"/>
        <v/>
      </c>
      <c r="BB777" s="25" t="str">
        <f t="shared" si="219"/>
        <v/>
      </c>
      <c r="BC777" s="25" t="str">
        <f t="shared" si="220"/>
        <v/>
      </c>
    </row>
    <row r="778" spans="1:55" x14ac:dyDescent="0.25">
      <c r="A778" s="19" t="str">
        <f t="shared" si="205"/>
        <v/>
      </c>
      <c r="B778" s="19"/>
      <c r="C778" s="20"/>
      <c r="D778" s="19" t="str">
        <f t="shared" si="204"/>
        <v/>
      </c>
      <c r="E778" s="19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19"/>
      <c r="U778" s="19"/>
      <c r="V778" s="20"/>
      <c r="W778" s="22"/>
      <c r="X778" s="21"/>
      <c r="Y778" s="21"/>
      <c r="Z778" s="23" t="str">
        <f>IF(B778="","",IF(S778&lt;&gt;"","Sevk Edildi",IF(AND(X778&lt;&gt;"",Y778=""),"Reworkte",IF(T778&lt;&gt;"","Kapandı"&amp;IF(COUNT(G778:R778)=0,""," – "&amp;LOOKUP(2,1/(G778:R778=MAX(G778:R778)),{"Tasarım","Ply Cutter","Üretim","Kalite (Üretim sonrası)","Talaşlı","Kalite (Talaşlı sonrası)","Montaj","Kalite (Montaj sonrası)","Boya","Kalite (Boya sonrası)","Yarı Mamül","KM"})),IF(COUNT(G778:R778)=0,"Başlamadı",LOOKUP(2,1/(G778:R778=MAX(G778:R778)),{"Tasarımda","Ply Cutter'da","Üretimde","Kalitede (Üretim sonrası)","Talaşlıda","Kalitede (Talaşlı sonrası)","Montajda","Kalitede (Montaj sonrası)","Boyada","Kalitede (Boya sonrası)","Yarı Mamülde","KM'de"}))))))</f>
        <v/>
      </c>
      <c r="AA778" s="24" t="str">
        <f t="shared" ca="1" si="206"/>
        <v/>
      </c>
      <c r="AB778" s="22"/>
      <c r="AD778" t="str">
        <f>IF(OR($B778="",NOT(ISNUMBER(G778))),"",IF(COUNTIF(H778:$T778,G778)&gt;0,0,IF(COUNTIF($G778:$T778,"&gt;"&amp;G778)=0,"",SMALL($G778:$T778,COUNTIF($G778:$T778,"&lt;="&amp;G778)+1)-G778)))</f>
        <v/>
      </c>
      <c r="AE778" t="str">
        <f>IF(OR($B778="",NOT(ISNUMBER(H778))),"",IF(COUNTIF(I778:$T778,H778)&gt;0,0,IF(COUNTIF($G778:$T778,"&gt;"&amp;H778)=0,"",SMALL($G778:$T778,COUNTIF($G778:$T778,"&lt;="&amp;H778)+1)-H778)))</f>
        <v/>
      </c>
      <c r="AF778" t="str">
        <f>IF(OR($B778="",NOT(ISNUMBER(I778))),"",IF(COUNTIF(J778:$T778,I778)&gt;0,0,IF(COUNTIF($G778:$T778,"&gt;"&amp;I778)=0,"",SMALL($G778:$T778,COUNTIF($G778:$T778,"&lt;="&amp;I778)+1)-I778)))</f>
        <v/>
      </c>
      <c r="AG778" t="str">
        <f>IF(OR($B778="",NOT(ISNUMBER(J778))),"",IF(COUNTIF(K778:$T778,J778)&gt;0,0,IF(COUNTIF($G778:$T778,"&gt;"&amp;J778)=0,"",SMALL($G778:$T778,COUNTIF($G778:$T778,"&lt;="&amp;J778)+1)-J778)))</f>
        <v/>
      </c>
      <c r="AH778" t="str">
        <f>IF(OR($B778="",NOT(ISNUMBER(K778))),"",IF(COUNTIF(L778:$T778,K778)&gt;0,0,IF(COUNTIF($G778:$T778,"&gt;"&amp;K778)=0,"",SMALL($G778:$T778,COUNTIF($G778:$T778,"&lt;="&amp;K778)+1)-K778)))</f>
        <v/>
      </c>
      <c r="AI778" t="str">
        <f>IF(OR($B778="",NOT(ISNUMBER(L778))),"",IF(COUNTIF(M778:$T778,L778)&gt;0,0,IF(COUNTIF($G778:$T778,"&gt;"&amp;L778)=0,"",SMALL($G778:$T778,COUNTIF($G778:$T778,"&lt;="&amp;L778)+1)-L778)))</f>
        <v/>
      </c>
      <c r="AJ778" t="str">
        <f>IF(OR($B778="",NOT(ISNUMBER(M778))),"",IF(COUNTIF(N778:$T778,M778)&gt;0,0,IF(COUNTIF($G778:$T778,"&gt;"&amp;M778)=0,"",SMALL($G778:$T778,COUNTIF($G778:$T778,"&lt;="&amp;M778)+1)-M778)))</f>
        <v/>
      </c>
      <c r="AK778" t="str">
        <f>IF(OR($B778="",NOT(ISNUMBER(N778))),"",IF(COUNTIF(O778:$T778,N778)&gt;0,0,IF(COUNTIF($G778:$T778,"&gt;"&amp;N778)=0,"",SMALL($G778:$T778,COUNTIF($G778:$T778,"&lt;="&amp;N778)+1)-N778)))</f>
        <v/>
      </c>
      <c r="AL778" t="str">
        <f>IF(OR($B778="",NOT(ISNUMBER(O778))),"",IF(COUNTIF(P778:$T778,O778)&gt;0,0,IF(COUNTIF($G778:$T778,"&gt;"&amp;O778)=0,"",SMALL($G778:$T778,COUNTIF($G778:$T778,"&lt;="&amp;O778)+1)-O778)))</f>
        <v/>
      </c>
      <c r="AM778" t="str">
        <f>IF(OR($B778="",NOT(ISNUMBER(P778))),"",IF(COUNTIF(Q778:$T778,P778)&gt;0,0,IF(COUNTIF($G778:$T778,"&gt;"&amp;P778)=0,"",SMALL($G778:$T778,COUNTIF($G778:$T778,"&lt;="&amp;P778)+1)-P778)))</f>
        <v/>
      </c>
      <c r="AN778" t="str">
        <f>IF(OR($B778="",NOT(ISNUMBER(Q778))),"",IF(COUNTIF(R778:$T778,Q778)&gt;0,0,IF(COUNTIF($G778:$T778,"&gt;"&amp;Q778)=0,"",SMALL($G778:$T778,COUNTIF($G778:$T778,"&lt;="&amp;Q778)+1)-Q778)))</f>
        <v/>
      </c>
      <c r="AO778" t="str">
        <f>IF(OR($B778="",NOT(ISNUMBER(R778))),"",IF(COUNTIF(S778:$T778,R778)&gt;0,0,IF(COUNTIF($G778:$T778,"&gt;"&amp;R778)=0,"",SMALL($G778:$T778,COUNTIF($G778:$T778,"&lt;="&amp;R778)+1)-R778)))</f>
        <v/>
      </c>
      <c r="AP778">
        <f t="shared" ca="1" si="207"/>
        <v>0</v>
      </c>
      <c r="AQ778" s="25" t="str">
        <f t="shared" si="208"/>
        <v/>
      </c>
      <c r="AR778" s="25" t="str">
        <f t="shared" si="209"/>
        <v/>
      </c>
      <c r="AS778" s="25" t="str">
        <f t="shared" si="210"/>
        <v/>
      </c>
      <c r="AT778" s="25" t="str">
        <f t="shared" si="211"/>
        <v/>
      </c>
      <c r="AU778" s="25" t="str">
        <f t="shared" si="212"/>
        <v/>
      </c>
      <c r="AV778" s="25" t="str">
        <f t="shared" si="213"/>
        <v/>
      </c>
      <c r="AW778" s="25" t="str">
        <f t="shared" si="214"/>
        <v/>
      </c>
      <c r="AX778" s="25" t="str">
        <f t="shared" si="215"/>
        <v/>
      </c>
      <c r="AY778" s="25" t="str">
        <f t="shared" si="216"/>
        <v/>
      </c>
      <c r="AZ778" s="25" t="str">
        <f t="shared" si="217"/>
        <v/>
      </c>
      <c r="BA778" s="25" t="str">
        <f t="shared" si="218"/>
        <v/>
      </c>
      <c r="BB778" s="25" t="str">
        <f t="shared" si="219"/>
        <v/>
      </c>
      <c r="BC778" s="25" t="str">
        <f t="shared" si="220"/>
        <v/>
      </c>
    </row>
    <row r="779" spans="1:55" x14ac:dyDescent="0.25">
      <c r="A779" s="19" t="str">
        <f t="shared" si="205"/>
        <v/>
      </c>
      <c r="B779" s="19"/>
      <c r="C779" s="20"/>
      <c r="D779" s="19" t="str">
        <f t="shared" si="204"/>
        <v/>
      </c>
      <c r="E779" s="19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19"/>
      <c r="U779" s="19"/>
      <c r="V779" s="20"/>
      <c r="W779" s="22"/>
      <c r="X779" s="21"/>
      <c r="Y779" s="21"/>
      <c r="Z779" s="23" t="str">
        <f>IF(B779="","",IF(S779&lt;&gt;"","Sevk Edildi",IF(AND(X779&lt;&gt;"",Y779=""),"Reworkte",IF(T779&lt;&gt;"","Kapandı"&amp;IF(COUNT(G779:R779)=0,""," – "&amp;LOOKUP(2,1/(G779:R779=MAX(G779:R779)),{"Tasarım","Ply Cutter","Üretim","Kalite (Üretim sonrası)","Talaşlı","Kalite (Talaşlı sonrası)","Montaj","Kalite (Montaj sonrası)","Boya","Kalite (Boya sonrası)","Yarı Mamül","KM"})),IF(COUNT(G779:R779)=0,"Başlamadı",LOOKUP(2,1/(G779:R779=MAX(G779:R779)),{"Tasarımda","Ply Cutter'da","Üretimde","Kalitede (Üretim sonrası)","Talaşlıda","Kalitede (Talaşlı sonrası)","Montajda","Kalitede (Montaj sonrası)","Boyada","Kalitede (Boya sonrası)","Yarı Mamülde","KM'de"}))))))</f>
        <v/>
      </c>
      <c r="AA779" s="24" t="str">
        <f t="shared" ca="1" si="206"/>
        <v/>
      </c>
      <c r="AB779" s="22"/>
      <c r="AD779" t="str">
        <f>IF(OR($B779="",NOT(ISNUMBER(G779))),"",IF(COUNTIF(H779:$T779,G779)&gt;0,0,IF(COUNTIF($G779:$T779,"&gt;"&amp;G779)=0,"",SMALL($G779:$T779,COUNTIF($G779:$T779,"&lt;="&amp;G779)+1)-G779)))</f>
        <v/>
      </c>
      <c r="AE779" t="str">
        <f>IF(OR($B779="",NOT(ISNUMBER(H779))),"",IF(COUNTIF(I779:$T779,H779)&gt;0,0,IF(COUNTIF($G779:$T779,"&gt;"&amp;H779)=0,"",SMALL($G779:$T779,COUNTIF($G779:$T779,"&lt;="&amp;H779)+1)-H779)))</f>
        <v/>
      </c>
      <c r="AF779" t="str">
        <f>IF(OR($B779="",NOT(ISNUMBER(I779))),"",IF(COUNTIF(J779:$T779,I779)&gt;0,0,IF(COUNTIF($G779:$T779,"&gt;"&amp;I779)=0,"",SMALL($G779:$T779,COUNTIF($G779:$T779,"&lt;="&amp;I779)+1)-I779)))</f>
        <v/>
      </c>
      <c r="AG779" t="str">
        <f>IF(OR($B779="",NOT(ISNUMBER(J779))),"",IF(COUNTIF(K779:$T779,J779)&gt;0,0,IF(COUNTIF($G779:$T779,"&gt;"&amp;J779)=0,"",SMALL($G779:$T779,COUNTIF($G779:$T779,"&lt;="&amp;J779)+1)-J779)))</f>
        <v/>
      </c>
      <c r="AH779" t="str">
        <f>IF(OR($B779="",NOT(ISNUMBER(K779))),"",IF(COUNTIF(L779:$T779,K779)&gt;0,0,IF(COUNTIF($G779:$T779,"&gt;"&amp;K779)=0,"",SMALL($G779:$T779,COUNTIF($G779:$T779,"&lt;="&amp;K779)+1)-K779)))</f>
        <v/>
      </c>
      <c r="AI779" t="str">
        <f>IF(OR($B779="",NOT(ISNUMBER(L779))),"",IF(COUNTIF(M779:$T779,L779)&gt;0,0,IF(COUNTIF($G779:$T779,"&gt;"&amp;L779)=0,"",SMALL($G779:$T779,COUNTIF($G779:$T779,"&lt;="&amp;L779)+1)-L779)))</f>
        <v/>
      </c>
      <c r="AJ779" t="str">
        <f>IF(OR($B779="",NOT(ISNUMBER(M779))),"",IF(COUNTIF(N779:$T779,M779)&gt;0,0,IF(COUNTIF($G779:$T779,"&gt;"&amp;M779)=0,"",SMALL($G779:$T779,COUNTIF($G779:$T779,"&lt;="&amp;M779)+1)-M779)))</f>
        <v/>
      </c>
      <c r="AK779" t="str">
        <f>IF(OR($B779="",NOT(ISNUMBER(N779))),"",IF(COUNTIF(O779:$T779,N779)&gt;0,0,IF(COUNTIF($G779:$T779,"&gt;"&amp;N779)=0,"",SMALL($G779:$T779,COUNTIF($G779:$T779,"&lt;="&amp;N779)+1)-N779)))</f>
        <v/>
      </c>
      <c r="AL779" t="str">
        <f>IF(OR($B779="",NOT(ISNUMBER(O779))),"",IF(COUNTIF(P779:$T779,O779)&gt;0,0,IF(COUNTIF($G779:$T779,"&gt;"&amp;O779)=0,"",SMALL($G779:$T779,COUNTIF($G779:$T779,"&lt;="&amp;O779)+1)-O779)))</f>
        <v/>
      </c>
      <c r="AM779" t="str">
        <f>IF(OR($B779="",NOT(ISNUMBER(P779))),"",IF(COUNTIF(Q779:$T779,P779)&gt;0,0,IF(COUNTIF($G779:$T779,"&gt;"&amp;P779)=0,"",SMALL($G779:$T779,COUNTIF($G779:$T779,"&lt;="&amp;P779)+1)-P779)))</f>
        <v/>
      </c>
      <c r="AN779" t="str">
        <f>IF(OR($B779="",NOT(ISNUMBER(Q779))),"",IF(COUNTIF(R779:$T779,Q779)&gt;0,0,IF(COUNTIF($G779:$T779,"&gt;"&amp;Q779)=0,"",SMALL($G779:$T779,COUNTIF($G779:$T779,"&lt;="&amp;Q779)+1)-Q779)))</f>
        <v/>
      </c>
      <c r="AO779" t="str">
        <f>IF(OR($B779="",NOT(ISNUMBER(R779))),"",IF(COUNTIF(S779:$T779,R779)&gt;0,0,IF(COUNTIF($G779:$T779,"&gt;"&amp;R779)=0,"",SMALL($G779:$T779,COUNTIF($G779:$T779,"&lt;="&amp;R779)+1)-R779)))</f>
        <v/>
      </c>
      <c r="AP779">
        <f t="shared" ca="1" si="207"/>
        <v>0</v>
      </c>
      <c r="AQ779" s="25" t="str">
        <f t="shared" si="208"/>
        <v/>
      </c>
      <c r="AR779" s="25" t="str">
        <f t="shared" si="209"/>
        <v/>
      </c>
      <c r="AS779" s="25" t="str">
        <f t="shared" si="210"/>
        <v/>
      </c>
      <c r="AT779" s="25" t="str">
        <f t="shared" si="211"/>
        <v/>
      </c>
      <c r="AU779" s="25" t="str">
        <f t="shared" si="212"/>
        <v/>
      </c>
      <c r="AV779" s="25" t="str">
        <f t="shared" si="213"/>
        <v/>
      </c>
      <c r="AW779" s="25" t="str">
        <f t="shared" si="214"/>
        <v/>
      </c>
      <c r="AX779" s="25" t="str">
        <f t="shared" si="215"/>
        <v/>
      </c>
      <c r="AY779" s="25" t="str">
        <f t="shared" si="216"/>
        <v/>
      </c>
      <c r="AZ779" s="25" t="str">
        <f t="shared" si="217"/>
        <v/>
      </c>
      <c r="BA779" s="25" t="str">
        <f t="shared" si="218"/>
        <v/>
      </c>
      <c r="BB779" s="25" t="str">
        <f t="shared" si="219"/>
        <v/>
      </c>
      <c r="BC779" s="25" t="str">
        <f t="shared" si="220"/>
        <v/>
      </c>
    </row>
    <row r="780" spans="1:55" x14ac:dyDescent="0.25">
      <c r="A780" s="19" t="str">
        <f t="shared" si="205"/>
        <v/>
      </c>
      <c r="B780" s="19"/>
      <c r="C780" s="20"/>
      <c r="D780" s="19" t="str">
        <f t="shared" si="204"/>
        <v/>
      </c>
      <c r="E780" s="19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19"/>
      <c r="U780" s="19"/>
      <c r="V780" s="20"/>
      <c r="W780" s="22"/>
      <c r="X780" s="21"/>
      <c r="Y780" s="21"/>
      <c r="Z780" s="23" t="str">
        <f>IF(B780="","",IF(S780&lt;&gt;"","Sevk Edildi",IF(AND(X780&lt;&gt;"",Y780=""),"Reworkte",IF(T780&lt;&gt;"","Kapandı"&amp;IF(COUNT(G780:R780)=0,""," – "&amp;LOOKUP(2,1/(G780:R780=MAX(G780:R780)),{"Tasarım","Ply Cutter","Üretim","Kalite (Üretim sonrası)","Talaşlı","Kalite (Talaşlı sonrası)","Montaj","Kalite (Montaj sonrası)","Boya","Kalite (Boya sonrası)","Yarı Mamül","KM"})),IF(COUNT(G780:R780)=0,"Başlamadı",LOOKUP(2,1/(G780:R780=MAX(G780:R780)),{"Tasarımda","Ply Cutter'da","Üretimde","Kalitede (Üretim sonrası)","Talaşlıda","Kalitede (Talaşlı sonrası)","Montajda","Kalitede (Montaj sonrası)","Boyada","Kalitede (Boya sonrası)","Yarı Mamülde","KM'de"}))))))</f>
        <v/>
      </c>
      <c r="AA780" s="24" t="str">
        <f t="shared" ca="1" si="206"/>
        <v/>
      </c>
      <c r="AB780" s="22"/>
      <c r="AD780" t="str">
        <f>IF(OR($B780="",NOT(ISNUMBER(G780))),"",IF(COUNTIF(H780:$T780,G780)&gt;0,0,IF(COUNTIF($G780:$T780,"&gt;"&amp;G780)=0,"",SMALL($G780:$T780,COUNTIF($G780:$T780,"&lt;="&amp;G780)+1)-G780)))</f>
        <v/>
      </c>
      <c r="AE780" t="str">
        <f>IF(OR($B780="",NOT(ISNUMBER(H780))),"",IF(COUNTIF(I780:$T780,H780)&gt;0,0,IF(COUNTIF($G780:$T780,"&gt;"&amp;H780)=0,"",SMALL($G780:$T780,COUNTIF($G780:$T780,"&lt;="&amp;H780)+1)-H780)))</f>
        <v/>
      </c>
      <c r="AF780" t="str">
        <f>IF(OR($B780="",NOT(ISNUMBER(I780))),"",IF(COUNTIF(J780:$T780,I780)&gt;0,0,IF(COUNTIF($G780:$T780,"&gt;"&amp;I780)=0,"",SMALL($G780:$T780,COUNTIF($G780:$T780,"&lt;="&amp;I780)+1)-I780)))</f>
        <v/>
      </c>
      <c r="AG780" t="str">
        <f>IF(OR($B780="",NOT(ISNUMBER(J780))),"",IF(COUNTIF(K780:$T780,J780)&gt;0,0,IF(COUNTIF($G780:$T780,"&gt;"&amp;J780)=0,"",SMALL($G780:$T780,COUNTIF($G780:$T780,"&lt;="&amp;J780)+1)-J780)))</f>
        <v/>
      </c>
      <c r="AH780" t="str">
        <f>IF(OR($B780="",NOT(ISNUMBER(K780))),"",IF(COUNTIF(L780:$T780,K780)&gt;0,0,IF(COUNTIF($G780:$T780,"&gt;"&amp;K780)=0,"",SMALL($G780:$T780,COUNTIF($G780:$T780,"&lt;="&amp;K780)+1)-K780)))</f>
        <v/>
      </c>
      <c r="AI780" t="str">
        <f>IF(OR($B780="",NOT(ISNUMBER(L780))),"",IF(COUNTIF(M780:$T780,L780)&gt;0,0,IF(COUNTIF($G780:$T780,"&gt;"&amp;L780)=0,"",SMALL($G780:$T780,COUNTIF($G780:$T780,"&lt;="&amp;L780)+1)-L780)))</f>
        <v/>
      </c>
      <c r="AJ780" t="str">
        <f>IF(OR($B780="",NOT(ISNUMBER(M780))),"",IF(COUNTIF(N780:$T780,M780)&gt;0,0,IF(COUNTIF($G780:$T780,"&gt;"&amp;M780)=0,"",SMALL($G780:$T780,COUNTIF($G780:$T780,"&lt;="&amp;M780)+1)-M780)))</f>
        <v/>
      </c>
      <c r="AK780" t="str">
        <f>IF(OR($B780="",NOT(ISNUMBER(N780))),"",IF(COUNTIF(O780:$T780,N780)&gt;0,0,IF(COUNTIF($G780:$T780,"&gt;"&amp;N780)=0,"",SMALL($G780:$T780,COUNTIF($G780:$T780,"&lt;="&amp;N780)+1)-N780)))</f>
        <v/>
      </c>
      <c r="AL780" t="str">
        <f>IF(OR($B780="",NOT(ISNUMBER(O780))),"",IF(COUNTIF(P780:$T780,O780)&gt;0,0,IF(COUNTIF($G780:$T780,"&gt;"&amp;O780)=0,"",SMALL($G780:$T780,COUNTIF($G780:$T780,"&lt;="&amp;O780)+1)-O780)))</f>
        <v/>
      </c>
      <c r="AM780" t="str">
        <f>IF(OR($B780="",NOT(ISNUMBER(P780))),"",IF(COUNTIF(Q780:$T780,P780)&gt;0,0,IF(COUNTIF($G780:$T780,"&gt;"&amp;P780)=0,"",SMALL($G780:$T780,COUNTIF($G780:$T780,"&lt;="&amp;P780)+1)-P780)))</f>
        <v/>
      </c>
      <c r="AN780" t="str">
        <f>IF(OR($B780="",NOT(ISNUMBER(Q780))),"",IF(COUNTIF(R780:$T780,Q780)&gt;0,0,IF(COUNTIF($G780:$T780,"&gt;"&amp;Q780)=0,"",SMALL($G780:$T780,COUNTIF($G780:$T780,"&lt;="&amp;Q780)+1)-Q780)))</f>
        <v/>
      </c>
      <c r="AO780" t="str">
        <f>IF(OR($B780="",NOT(ISNUMBER(R780))),"",IF(COUNTIF(S780:$T780,R780)&gt;0,0,IF(COUNTIF($G780:$T780,"&gt;"&amp;R780)=0,"",SMALL($G780:$T780,COUNTIF($G780:$T780,"&lt;="&amp;R780)+1)-R780)))</f>
        <v/>
      </c>
      <c r="AP780">
        <f t="shared" ca="1" si="207"/>
        <v>0</v>
      </c>
      <c r="AQ780" s="25" t="str">
        <f t="shared" si="208"/>
        <v/>
      </c>
      <c r="AR780" s="25" t="str">
        <f t="shared" si="209"/>
        <v/>
      </c>
      <c r="AS780" s="25" t="str">
        <f t="shared" si="210"/>
        <v/>
      </c>
      <c r="AT780" s="25" t="str">
        <f t="shared" si="211"/>
        <v/>
      </c>
      <c r="AU780" s="25" t="str">
        <f t="shared" si="212"/>
        <v/>
      </c>
      <c r="AV780" s="25" t="str">
        <f t="shared" si="213"/>
        <v/>
      </c>
      <c r="AW780" s="25" t="str">
        <f t="shared" si="214"/>
        <v/>
      </c>
      <c r="AX780" s="25" t="str">
        <f t="shared" si="215"/>
        <v/>
      </c>
      <c r="AY780" s="25" t="str">
        <f t="shared" si="216"/>
        <v/>
      </c>
      <c r="AZ780" s="25" t="str">
        <f t="shared" si="217"/>
        <v/>
      </c>
      <c r="BA780" s="25" t="str">
        <f t="shared" si="218"/>
        <v/>
      </c>
      <c r="BB780" s="25" t="str">
        <f t="shared" si="219"/>
        <v/>
      </c>
      <c r="BC780" s="25" t="str">
        <f t="shared" si="220"/>
        <v/>
      </c>
    </row>
    <row r="781" spans="1:55" x14ac:dyDescent="0.25">
      <c r="A781" s="19" t="str">
        <f t="shared" si="205"/>
        <v/>
      </c>
      <c r="B781" s="19"/>
      <c r="C781" s="20"/>
      <c r="D781" s="19" t="str">
        <f t="shared" si="204"/>
        <v/>
      </c>
      <c r="E781" s="19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19"/>
      <c r="U781" s="19"/>
      <c r="V781" s="20"/>
      <c r="W781" s="22"/>
      <c r="X781" s="21"/>
      <c r="Y781" s="21"/>
      <c r="Z781" s="23" t="str">
        <f>IF(B781="","",IF(S781&lt;&gt;"","Sevk Edildi",IF(AND(X781&lt;&gt;"",Y781=""),"Reworkte",IF(T781&lt;&gt;"","Kapandı"&amp;IF(COUNT(G781:R781)=0,""," – "&amp;LOOKUP(2,1/(G781:R781=MAX(G781:R781)),{"Tasarım","Ply Cutter","Üretim","Kalite (Üretim sonrası)","Talaşlı","Kalite (Talaşlı sonrası)","Montaj","Kalite (Montaj sonrası)","Boya","Kalite (Boya sonrası)","Yarı Mamül","KM"})),IF(COUNT(G781:R781)=0,"Başlamadı",LOOKUP(2,1/(G781:R781=MAX(G781:R781)),{"Tasarımda","Ply Cutter'da","Üretimde","Kalitede (Üretim sonrası)","Talaşlıda","Kalitede (Talaşlı sonrası)","Montajda","Kalitede (Montaj sonrası)","Boyada","Kalitede (Boya sonrası)","Yarı Mamülde","KM'de"}))))))</f>
        <v/>
      </c>
      <c r="AA781" s="24" t="str">
        <f t="shared" ca="1" si="206"/>
        <v/>
      </c>
      <c r="AB781" s="22"/>
      <c r="AD781" t="str">
        <f>IF(OR($B781="",NOT(ISNUMBER(G781))),"",IF(COUNTIF(H781:$T781,G781)&gt;0,0,IF(COUNTIF($G781:$T781,"&gt;"&amp;G781)=0,"",SMALL($G781:$T781,COUNTIF($G781:$T781,"&lt;="&amp;G781)+1)-G781)))</f>
        <v/>
      </c>
      <c r="AE781" t="str">
        <f>IF(OR($B781="",NOT(ISNUMBER(H781))),"",IF(COUNTIF(I781:$T781,H781)&gt;0,0,IF(COUNTIF($G781:$T781,"&gt;"&amp;H781)=0,"",SMALL($G781:$T781,COUNTIF($G781:$T781,"&lt;="&amp;H781)+1)-H781)))</f>
        <v/>
      </c>
      <c r="AF781" t="str">
        <f>IF(OR($B781="",NOT(ISNUMBER(I781))),"",IF(COUNTIF(J781:$T781,I781)&gt;0,0,IF(COUNTIF($G781:$T781,"&gt;"&amp;I781)=0,"",SMALL($G781:$T781,COUNTIF($G781:$T781,"&lt;="&amp;I781)+1)-I781)))</f>
        <v/>
      </c>
      <c r="AG781" t="str">
        <f>IF(OR($B781="",NOT(ISNUMBER(J781))),"",IF(COUNTIF(K781:$T781,J781)&gt;0,0,IF(COUNTIF($G781:$T781,"&gt;"&amp;J781)=0,"",SMALL($G781:$T781,COUNTIF($G781:$T781,"&lt;="&amp;J781)+1)-J781)))</f>
        <v/>
      </c>
      <c r="AH781" t="str">
        <f>IF(OR($B781="",NOT(ISNUMBER(K781))),"",IF(COUNTIF(L781:$T781,K781)&gt;0,0,IF(COUNTIF($G781:$T781,"&gt;"&amp;K781)=0,"",SMALL($G781:$T781,COUNTIF($G781:$T781,"&lt;="&amp;K781)+1)-K781)))</f>
        <v/>
      </c>
      <c r="AI781" t="str">
        <f>IF(OR($B781="",NOT(ISNUMBER(L781))),"",IF(COUNTIF(M781:$T781,L781)&gt;0,0,IF(COUNTIF($G781:$T781,"&gt;"&amp;L781)=0,"",SMALL($G781:$T781,COUNTIF($G781:$T781,"&lt;="&amp;L781)+1)-L781)))</f>
        <v/>
      </c>
      <c r="AJ781" t="str">
        <f>IF(OR($B781="",NOT(ISNUMBER(M781))),"",IF(COUNTIF(N781:$T781,M781)&gt;0,0,IF(COUNTIF($G781:$T781,"&gt;"&amp;M781)=0,"",SMALL($G781:$T781,COUNTIF($G781:$T781,"&lt;="&amp;M781)+1)-M781)))</f>
        <v/>
      </c>
      <c r="AK781" t="str">
        <f>IF(OR($B781="",NOT(ISNUMBER(N781))),"",IF(COUNTIF(O781:$T781,N781)&gt;0,0,IF(COUNTIF($G781:$T781,"&gt;"&amp;N781)=0,"",SMALL($G781:$T781,COUNTIF($G781:$T781,"&lt;="&amp;N781)+1)-N781)))</f>
        <v/>
      </c>
      <c r="AL781" t="str">
        <f>IF(OR($B781="",NOT(ISNUMBER(O781))),"",IF(COUNTIF(P781:$T781,O781)&gt;0,0,IF(COUNTIF($G781:$T781,"&gt;"&amp;O781)=0,"",SMALL($G781:$T781,COUNTIF($G781:$T781,"&lt;="&amp;O781)+1)-O781)))</f>
        <v/>
      </c>
      <c r="AM781" t="str">
        <f>IF(OR($B781="",NOT(ISNUMBER(P781))),"",IF(COUNTIF(Q781:$T781,P781)&gt;0,0,IF(COUNTIF($G781:$T781,"&gt;"&amp;P781)=0,"",SMALL($G781:$T781,COUNTIF($G781:$T781,"&lt;="&amp;P781)+1)-P781)))</f>
        <v/>
      </c>
      <c r="AN781" t="str">
        <f>IF(OR($B781="",NOT(ISNUMBER(Q781))),"",IF(COUNTIF(R781:$T781,Q781)&gt;0,0,IF(COUNTIF($G781:$T781,"&gt;"&amp;Q781)=0,"",SMALL($G781:$T781,COUNTIF($G781:$T781,"&lt;="&amp;Q781)+1)-Q781)))</f>
        <v/>
      </c>
      <c r="AO781" t="str">
        <f>IF(OR($B781="",NOT(ISNUMBER(R781))),"",IF(COUNTIF(S781:$T781,R781)&gt;0,0,IF(COUNTIF($G781:$T781,"&gt;"&amp;R781)=0,"",SMALL($G781:$T781,COUNTIF($G781:$T781,"&lt;="&amp;R781)+1)-R781)))</f>
        <v/>
      </c>
      <c r="AP781">
        <f t="shared" ca="1" si="207"/>
        <v>0</v>
      </c>
      <c r="AQ781" s="25" t="str">
        <f t="shared" si="208"/>
        <v/>
      </c>
      <c r="AR781" s="25" t="str">
        <f t="shared" si="209"/>
        <v/>
      </c>
      <c r="AS781" s="25" t="str">
        <f t="shared" si="210"/>
        <v/>
      </c>
      <c r="AT781" s="25" t="str">
        <f t="shared" si="211"/>
        <v/>
      </c>
      <c r="AU781" s="25" t="str">
        <f t="shared" si="212"/>
        <v/>
      </c>
      <c r="AV781" s="25" t="str">
        <f t="shared" si="213"/>
        <v/>
      </c>
      <c r="AW781" s="25" t="str">
        <f t="shared" si="214"/>
        <v/>
      </c>
      <c r="AX781" s="25" t="str">
        <f t="shared" si="215"/>
        <v/>
      </c>
      <c r="AY781" s="25" t="str">
        <f t="shared" si="216"/>
        <v/>
      </c>
      <c r="AZ781" s="25" t="str">
        <f t="shared" si="217"/>
        <v/>
      </c>
      <c r="BA781" s="25" t="str">
        <f t="shared" si="218"/>
        <v/>
      </c>
      <c r="BB781" s="25" t="str">
        <f t="shared" si="219"/>
        <v/>
      </c>
      <c r="BC781" s="25" t="str">
        <f t="shared" si="220"/>
        <v/>
      </c>
    </row>
    <row r="782" spans="1:55" x14ac:dyDescent="0.25">
      <c r="A782" s="19" t="str">
        <f t="shared" si="205"/>
        <v/>
      </c>
      <c r="B782" s="19"/>
      <c r="C782" s="20"/>
      <c r="D782" s="19" t="str">
        <f t="shared" si="204"/>
        <v/>
      </c>
      <c r="E782" s="19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19"/>
      <c r="U782" s="19"/>
      <c r="V782" s="20"/>
      <c r="W782" s="22"/>
      <c r="X782" s="21"/>
      <c r="Y782" s="21"/>
      <c r="Z782" s="23" t="str">
        <f>IF(B782="","",IF(S782&lt;&gt;"","Sevk Edildi",IF(AND(X782&lt;&gt;"",Y782=""),"Reworkte",IF(T782&lt;&gt;"","Kapandı"&amp;IF(COUNT(G782:R782)=0,""," – "&amp;LOOKUP(2,1/(G782:R782=MAX(G782:R782)),{"Tasarım","Ply Cutter","Üretim","Kalite (Üretim sonrası)","Talaşlı","Kalite (Talaşlı sonrası)","Montaj","Kalite (Montaj sonrası)","Boya","Kalite (Boya sonrası)","Yarı Mamül","KM"})),IF(COUNT(G782:R782)=0,"Başlamadı",LOOKUP(2,1/(G782:R782=MAX(G782:R782)),{"Tasarımda","Ply Cutter'da","Üretimde","Kalitede (Üretim sonrası)","Talaşlıda","Kalitede (Talaşlı sonrası)","Montajda","Kalitede (Montaj sonrası)","Boyada","Kalitede (Boya sonrası)","Yarı Mamülde","KM'de"}))))))</f>
        <v/>
      </c>
      <c r="AA782" s="24" t="str">
        <f t="shared" ca="1" si="206"/>
        <v/>
      </c>
      <c r="AB782" s="22"/>
      <c r="AD782" t="str">
        <f>IF(OR($B782="",NOT(ISNUMBER(G782))),"",IF(COUNTIF(H782:$T782,G782)&gt;0,0,IF(COUNTIF($G782:$T782,"&gt;"&amp;G782)=0,"",SMALL($G782:$T782,COUNTIF($G782:$T782,"&lt;="&amp;G782)+1)-G782)))</f>
        <v/>
      </c>
      <c r="AE782" t="str">
        <f>IF(OR($B782="",NOT(ISNUMBER(H782))),"",IF(COUNTIF(I782:$T782,H782)&gt;0,0,IF(COUNTIF($G782:$T782,"&gt;"&amp;H782)=0,"",SMALL($G782:$T782,COUNTIF($G782:$T782,"&lt;="&amp;H782)+1)-H782)))</f>
        <v/>
      </c>
      <c r="AF782" t="str">
        <f>IF(OR($B782="",NOT(ISNUMBER(I782))),"",IF(COUNTIF(J782:$T782,I782)&gt;0,0,IF(COUNTIF($G782:$T782,"&gt;"&amp;I782)=0,"",SMALL($G782:$T782,COUNTIF($G782:$T782,"&lt;="&amp;I782)+1)-I782)))</f>
        <v/>
      </c>
      <c r="AG782" t="str">
        <f>IF(OR($B782="",NOT(ISNUMBER(J782))),"",IF(COUNTIF(K782:$T782,J782)&gt;0,0,IF(COUNTIF($G782:$T782,"&gt;"&amp;J782)=0,"",SMALL($G782:$T782,COUNTIF($G782:$T782,"&lt;="&amp;J782)+1)-J782)))</f>
        <v/>
      </c>
      <c r="AH782" t="str">
        <f>IF(OR($B782="",NOT(ISNUMBER(K782))),"",IF(COUNTIF(L782:$T782,K782)&gt;0,0,IF(COUNTIF($G782:$T782,"&gt;"&amp;K782)=0,"",SMALL($G782:$T782,COUNTIF($G782:$T782,"&lt;="&amp;K782)+1)-K782)))</f>
        <v/>
      </c>
      <c r="AI782" t="str">
        <f>IF(OR($B782="",NOT(ISNUMBER(L782))),"",IF(COUNTIF(M782:$T782,L782)&gt;0,0,IF(COUNTIF($G782:$T782,"&gt;"&amp;L782)=0,"",SMALL($G782:$T782,COUNTIF($G782:$T782,"&lt;="&amp;L782)+1)-L782)))</f>
        <v/>
      </c>
      <c r="AJ782" t="str">
        <f>IF(OR($B782="",NOT(ISNUMBER(M782))),"",IF(COUNTIF(N782:$T782,M782)&gt;0,0,IF(COUNTIF($G782:$T782,"&gt;"&amp;M782)=0,"",SMALL($G782:$T782,COUNTIF($G782:$T782,"&lt;="&amp;M782)+1)-M782)))</f>
        <v/>
      </c>
      <c r="AK782" t="str">
        <f>IF(OR($B782="",NOT(ISNUMBER(N782))),"",IF(COUNTIF(O782:$T782,N782)&gt;0,0,IF(COUNTIF($G782:$T782,"&gt;"&amp;N782)=0,"",SMALL($G782:$T782,COUNTIF($G782:$T782,"&lt;="&amp;N782)+1)-N782)))</f>
        <v/>
      </c>
      <c r="AL782" t="str">
        <f>IF(OR($B782="",NOT(ISNUMBER(O782))),"",IF(COUNTIF(P782:$T782,O782)&gt;0,0,IF(COUNTIF($G782:$T782,"&gt;"&amp;O782)=0,"",SMALL($G782:$T782,COUNTIF($G782:$T782,"&lt;="&amp;O782)+1)-O782)))</f>
        <v/>
      </c>
      <c r="AM782" t="str">
        <f>IF(OR($B782="",NOT(ISNUMBER(P782))),"",IF(COUNTIF(Q782:$T782,P782)&gt;0,0,IF(COUNTIF($G782:$T782,"&gt;"&amp;P782)=0,"",SMALL($G782:$T782,COUNTIF($G782:$T782,"&lt;="&amp;P782)+1)-P782)))</f>
        <v/>
      </c>
      <c r="AN782" t="str">
        <f>IF(OR($B782="",NOT(ISNUMBER(Q782))),"",IF(COUNTIF(R782:$T782,Q782)&gt;0,0,IF(COUNTIF($G782:$T782,"&gt;"&amp;Q782)=0,"",SMALL($G782:$T782,COUNTIF($G782:$T782,"&lt;="&amp;Q782)+1)-Q782)))</f>
        <v/>
      </c>
      <c r="AO782" t="str">
        <f>IF(OR($B782="",NOT(ISNUMBER(R782))),"",IF(COUNTIF(S782:$T782,R782)&gt;0,0,IF(COUNTIF($G782:$T782,"&gt;"&amp;R782)=0,"",SMALL($G782:$T782,COUNTIF($G782:$T782,"&lt;="&amp;R782)+1)-R782)))</f>
        <v/>
      </c>
      <c r="AP782">
        <f t="shared" ca="1" si="207"/>
        <v>0</v>
      </c>
      <c r="AQ782" s="25" t="str">
        <f t="shared" si="208"/>
        <v/>
      </c>
      <c r="AR782" s="25" t="str">
        <f t="shared" si="209"/>
        <v/>
      </c>
      <c r="AS782" s="25" t="str">
        <f t="shared" si="210"/>
        <v/>
      </c>
      <c r="AT782" s="25" t="str">
        <f t="shared" si="211"/>
        <v/>
      </c>
      <c r="AU782" s="25" t="str">
        <f t="shared" si="212"/>
        <v/>
      </c>
      <c r="AV782" s="25" t="str">
        <f t="shared" si="213"/>
        <v/>
      </c>
      <c r="AW782" s="25" t="str">
        <f t="shared" si="214"/>
        <v/>
      </c>
      <c r="AX782" s="25" t="str">
        <f t="shared" si="215"/>
        <v/>
      </c>
      <c r="AY782" s="25" t="str">
        <f t="shared" si="216"/>
        <v/>
      </c>
      <c r="AZ782" s="25" t="str">
        <f t="shared" si="217"/>
        <v/>
      </c>
      <c r="BA782" s="25" t="str">
        <f t="shared" si="218"/>
        <v/>
      </c>
      <c r="BB782" s="25" t="str">
        <f t="shared" si="219"/>
        <v/>
      </c>
      <c r="BC782" s="25" t="str">
        <f t="shared" si="220"/>
        <v/>
      </c>
    </row>
    <row r="783" spans="1:55" x14ac:dyDescent="0.25">
      <c r="A783" s="19" t="str">
        <f t="shared" si="205"/>
        <v/>
      </c>
      <c r="B783" s="19"/>
      <c r="C783" s="20"/>
      <c r="D783" s="19" t="str">
        <f t="shared" si="204"/>
        <v/>
      </c>
      <c r="E783" s="19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19"/>
      <c r="U783" s="19"/>
      <c r="V783" s="20"/>
      <c r="W783" s="22"/>
      <c r="X783" s="21"/>
      <c r="Y783" s="21"/>
      <c r="Z783" s="23" t="str">
        <f>IF(B783="","",IF(S783&lt;&gt;"","Sevk Edildi",IF(AND(X783&lt;&gt;"",Y783=""),"Reworkte",IF(T783&lt;&gt;"","Kapandı"&amp;IF(COUNT(G783:R783)=0,""," – "&amp;LOOKUP(2,1/(G783:R783=MAX(G783:R783)),{"Tasarım","Ply Cutter","Üretim","Kalite (Üretim sonrası)","Talaşlı","Kalite (Talaşlı sonrası)","Montaj","Kalite (Montaj sonrası)","Boya","Kalite (Boya sonrası)","Yarı Mamül","KM"})),IF(COUNT(G783:R783)=0,"Başlamadı",LOOKUP(2,1/(G783:R783=MAX(G783:R783)),{"Tasarımda","Ply Cutter'da","Üretimde","Kalitede (Üretim sonrası)","Talaşlıda","Kalitede (Talaşlı sonrası)","Montajda","Kalitede (Montaj sonrası)","Boyada","Kalitede (Boya sonrası)","Yarı Mamülde","KM'de"}))))))</f>
        <v/>
      </c>
      <c r="AA783" s="24" t="str">
        <f t="shared" ca="1" si="206"/>
        <v/>
      </c>
      <c r="AB783" s="22"/>
      <c r="AD783" t="str">
        <f>IF(OR($B783="",NOT(ISNUMBER(G783))),"",IF(COUNTIF(H783:$T783,G783)&gt;0,0,IF(COUNTIF($G783:$T783,"&gt;"&amp;G783)=0,"",SMALL($G783:$T783,COUNTIF($G783:$T783,"&lt;="&amp;G783)+1)-G783)))</f>
        <v/>
      </c>
      <c r="AE783" t="str">
        <f>IF(OR($B783="",NOT(ISNUMBER(H783))),"",IF(COUNTIF(I783:$T783,H783)&gt;0,0,IF(COUNTIF($G783:$T783,"&gt;"&amp;H783)=0,"",SMALL($G783:$T783,COUNTIF($G783:$T783,"&lt;="&amp;H783)+1)-H783)))</f>
        <v/>
      </c>
      <c r="AF783" t="str">
        <f>IF(OR($B783="",NOT(ISNUMBER(I783))),"",IF(COUNTIF(J783:$T783,I783)&gt;0,0,IF(COUNTIF($G783:$T783,"&gt;"&amp;I783)=0,"",SMALL($G783:$T783,COUNTIF($G783:$T783,"&lt;="&amp;I783)+1)-I783)))</f>
        <v/>
      </c>
      <c r="AG783" t="str">
        <f>IF(OR($B783="",NOT(ISNUMBER(J783))),"",IF(COUNTIF(K783:$T783,J783)&gt;0,0,IF(COUNTIF($G783:$T783,"&gt;"&amp;J783)=0,"",SMALL($G783:$T783,COUNTIF($G783:$T783,"&lt;="&amp;J783)+1)-J783)))</f>
        <v/>
      </c>
      <c r="AH783" t="str">
        <f>IF(OR($B783="",NOT(ISNUMBER(K783))),"",IF(COUNTIF(L783:$T783,K783)&gt;0,0,IF(COUNTIF($G783:$T783,"&gt;"&amp;K783)=0,"",SMALL($G783:$T783,COUNTIF($G783:$T783,"&lt;="&amp;K783)+1)-K783)))</f>
        <v/>
      </c>
      <c r="AI783" t="str">
        <f>IF(OR($B783="",NOT(ISNUMBER(L783))),"",IF(COUNTIF(M783:$T783,L783)&gt;0,0,IF(COUNTIF($G783:$T783,"&gt;"&amp;L783)=0,"",SMALL($G783:$T783,COUNTIF($G783:$T783,"&lt;="&amp;L783)+1)-L783)))</f>
        <v/>
      </c>
      <c r="AJ783" t="str">
        <f>IF(OR($B783="",NOT(ISNUMBER(M783))),"",IF(COUNTIF(N783:$T783,M783)&gt;0,0,IF(COUNTIF($G783:$T783,"&gt;"&amp;M783)=0,"",SMALL($G783:$T783,COUNTIF($G783:$T783,"&lt;="&amp;M783)+1)-M783)))</f>
        <v/>
      </c>
      <c r="AK783" t="str">
        <f>IF(OR($B783="",NOT(ISNUMBER(N783))),"",IF(COUNTIF(O783:$T783,N783)&gt;0,0,IF(COUNTIF($G783:$T783,"&gt;"&amp;N783)=0,"",SMALL($G783:$T783,COUNTIF($G783:$T783,"&lt;="&amp;N783)+1)-N783)))</f>
        <v/>
      </c>
      <c r="AL783" t="str">
        <f>IF(OR($B783="",NOT(ISNUMBER(O783))),"",IF(COUNTIF(P783:$T783,O783)&gt;0,0,IF(COUNTIF($G783:$T783,"&gt;"&amp;O783)=0,"",SMALL($G783:$T783,COUNTIF($G783:$T783,"&lt;="&amp;O783)+1)-O783)))</f>
        <v/>
      </c>
      <c r="AM783" t="str">
        <f>IF(OR($B783="",NOT(ISNUMBER(P783))),"",IF(COUNTIF(Q783:$T783,P783)&gt;0,0,IF(COUNTIF($G783:$T783,"&gt;"&amp;P783)=0,"",SMALL($G783:$T783,COUNTIF($G783:$T783,"&lt;="&amp;P783)+1)-P783)))</f>
        <v/>
      </c>
      <c r="AN783" t="str">
        <f>IF(OR($B783="",NOT(ISNUMBER(Q783))),"",IF(COUNTIF(R783:$T783,Q783)&gt;0,0,IF(COUNTIF($G783:$T783,"&gt;"&amp;Q783)=0,"",SMALL($G783:$T783,COUNTIF($G783:$T783,"&lt;="&amp;Q783)+1)-Q783)))</f>
        <v/>
      </c>
      <c r="AO783" t="str">
        <f>IF(OR($B783="",NOT(ISNUMBER(R783))),"",IF(COUNTIF(S783:$T783,R783)&gt;0,0,IF(COUNTIF($G783:$T783,"&gt;"&amp;R783)=0,"",SMALL($G783:$T783,COUNTIF($G783:$T783,"&lt;="&amp;R783)+1)-R783)))</f>
        <v/>
      </c>
      <c r="AP783">
        <f t="shared" ca="1" si="207"/>
        <v>0</v>
      </c>
      <c r="AQ783" s="25" t="str">
        <f t="shared" si="208"/>
        <v/>
      </c>
      <c r="AR783" s="25" t="str">
        <f t="shared" si="209"/>
        <v/>
      </c>
      <c r="AS783" s="25" t="str">
        <f t="shared" si="210"/>
        <v/>
      </c>
      <c r="AT783" s="25" t="str">
        <f t="shared" si="211"/>
        <v/>
      </c>
      <c r="AU783" s="25" t="str">
        <f t="shared" si="212"/>
        <v/>
      </c>
      <c r="AV783" s="25" t="str">
        <f t="shared" si="213"/>
        <v/>
      </c>
      <c r="AW783" s="25" t="str">
        <f t="shared" si="214"/>
        <v/>
      </c>
      <c r="AX783" s="25" t="str">
        <f t="shared" si="215"/>
        <v/>
      </c>
      <c r="AY783" s="25" t="str">
        <f t="shared" si="216"/>
        <v/>
      </c>
      <c r="AZ783" s="25" t="str">
        <f t="shared" si="217"/>
        <v/>
      </c>
      <c r="BA783" s="25" t="str">
        <f t="shared" si="218"/>
        <v/>
      </c>
      <c r="BB783" s="25" t="str">
        <f t="shared" si="219"/>
        <v/>
      </c>
      <c r="BC783" s="25" t="str">
        <f t="shared" si="220"/>
        <v/>
      </c>
    </row>
    <row r="784" spans="1:55" x14ac:dyDescent="0.25">
      <c r="A784" s="19" t="str">
        <f t="shared" si="205"/>
        <v/>
      </c>
      <c r="B784" s="19"/>
      <c r="C784" s="20"/>
      <c r="D784" s="19" t="str">
        <f t="shared" si="204"/>
        <v/>
      </c>
      <c r="E784" s="19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19"/>
      <c r="U784" s="19"/>
      <c r="V784" s="20"/>
      <c r="W784" s="22"/>
      <c r="X784" s="21"/>
      <c r="Y784" s="21"/>
      <c r="Z784" s="23" t="str">
        <f>IF(B784="","",IF(S784&lt;&gt;"","Sevk Edildi",IF(AND(X784&lt;&gt;"",Y784=""),"Reworkte",IF(T784&lt;&gt;"","Kapandı"&amp;IF(COUNT(G784:R784)=0,""," – "&amp;LOOKUP(2,1/(G784:R784=MAX(G784:R784)),{"Tasarım","Ply Cutter","Üretim","Kalite (Üretim sonrası)","Talaşlı","Kalite (Talaşlı sonrası)","Montaj","Kalite (Montaj sonrası)","Boya","Kalite (Boya sonrası)","Yarı Mamül","KM"})),IF(COUNT(G784:R784)=0,"Başlamadı",LOOKUP(2,1/(G784:R784=MAX(G784:R784)),{"Tasarımda","Ply Cutter'da","Üretimde","Kalitede (Üretim sonrası)","Talaşlıda","Kalitede (Talaşlı sonrası)","Montajda","Kalitede (Montaj sonrası)","Boyada","Kalitede (Boya sonrası)","Yarı Mamülde","KM'de"}))))))</f>
        <v/>
      </c>
      <c r="AA784" s="24" t="str">
        <f t="shared" ca="1" si="206"/>
        <v/>
      </c>
      <c r="AB784" s="22"/>
      <c r="AD784" t="str">
        <f>IF(OR($B784="",NOT(ISNUMBER(G784))),"",IF(COUNTIF(H784:$T784,G784)&gt;0,0,IF(COUNTIF($G784:$T784,"&gt;"&amp;G784)=0,"",SMALL($G784:$T784,COUNTIF($G784:$T784,"&lt;="&amp;G784)+1)-G784)))</f>
        <v/>
      </c>
      <c r="AE784" t="str">
        <f>IF(OR($B784="",NOT(ISNUMBER(H784))),"",IF(COUNTIF(I784:$T784,H784)&gt;0,0,IF(COUNTIF($G784:$T784,"&gt;"&amp;H784)=0,"",SMALL($G784:$T784,COUNTIF($G784:$T784,"&lt;="&amp;H784)+1)-H784)))</f>
        <v/>
      </c>
      <c r="AF784" t="str">
        <f>IF(OR($B784="",NOT(ISNUMBER(I784))),"",IF(COUNTIF(J784:$T784,I784)&gt;0,0,IF(COUNTIF($G784:$T784,"&gt;"&amp;I784)=0,"",SMALL($G784:$T784,COUNTIF($G784:$T784,"&lt;="&amp;I784)+1)-I784)))</f>
        <v/>
      </c>
      <c r="AG784" t="str">
        <f>IF(OR($B784="",NOT(ISNUMBER(J784))),"",IF(COUNTIF(K784:$T784,J784)&gt;0,0,IF(COUNTIF($G784:$T784,"&gt;"&amp;J784)=0,"",SMALL($G784:$T784,COUNTIF($G784:$T784,"&lt;="&amp;J784)+1)-J784)))</f>
        <v/>
      </c>
      <c r="AH784" t="str">
        <f>IF(OR($B784="",NOT(ISNUMBER(K784))),"",IF(COUNTIF(L784:$T784,K784)&gt;0,0,IF(COUNTIF($G784:$T784,"&gt;"&amp;K784)=0,"",SMALL($G784:$T784,COUNTIF($G784:$T784,"&lt;="&amp;K784)+1)-K784)))</f>
        <v/>
      </c>
      <c r="AI784" t="str">
        <f>IF(OR($B784="",NOT(ISNUMBER(L784))),"",IF(COUNTIF(M784:$T784,L784)&gt;0,0,IF(COUNTIF($G784:$T784,"&gt;"&amp;L784)=0,"",SMALL($G784:$T784,COUNTIF($G784:$T784,"&lt;="&amp;L784)+1)-L784)))</f>
        <v/>
      </c>
      <c r="AJ784" t="str">
        <f>IF(OR($B784="",NOT(ISNUMBER(M784))),"",IF(COUNTIF(N784:$T784,M784)&gt;0,0,IF(COUNTIF($G784:$T784,"&gt;"&amp;M784)=0,"",SMALL($G784:$T784,COUNTIF($G784:$T784,"&lt;="&amp;M784)+1)-M784)))</f>
        <v/>
      </c>
      <c r="AK784" t="str">
        <f>IF(OR($B784="",NOT(ISNUMBER(N784))),"",IF(COUNTIF(O784:$T784,N784)&gt;0,0,IF(COUNTIF($G784:$T784,"&gt;"&amp;N784)=0,"",SMALL($G784:$T784,COUNTIF($G784:$T784,"&lt;="&amp;N784)+1)-N784)))</f>
        <v/>
      </c>
      <c r="AL784" t="str">
        <f>IF(OR($B784="",NOT(ISNUMBER(O784))),"",IF(COUNTIF(P784:$T784,O784)&gt;0,0,IF(COUNTIF($G784:$T784,"&gt;"&amp;O784)=0,"",SMALL($G784:$T784,COUNTIF($G784:$T784,"&lt;="&amp;O784)+1)-O784)))</f>
        <v/>
      </c>
      <c r="AM784" t="str">
        <f>IF(OR($B784="",NOT(ISNUMBER(P784))),"",IF(COUNTIF(Q784:$T784,P784)&gt;0,0,IF(COUNTIF($G784:$T784,"&gt;"&amp;P784)=0,"",SMALL($G784:$T784,COUNTIF($G784:$T784,"&lt;="&amp;P784)+1)-P784)))</f>
        <v/>
      </c>
      <c r="AN784" t="str">
        <f>IF(OR($B784="",NOT(ISNUMBER(Q784))),"",IF(COUNTIF(R784:$T784,Q784)&gt;0,0,IF(COUNTIF($G784:$T784,"&gt;"&amp;Q784)=0,"",SMALL($G784:$T784,COUNTIF($G784:$T784,"&lt;="&amp;Q784)+1)-Q784)))</f>
        <v/>
      </c>
      <c r="AO784" t="str">
        <f>IF(OR($B784="",NOT(ISNUMBER(R784))),"",IF(COUNTIF(S784:$T784,R784)&gt;0,0,IF(COUNTIF($G784:$T784,"&gt;"&amp;R784)=0,"",SMALL($G784:$T784,COUNTIF($G784:$T784,"&lt;="&amp;R784)+1)-R784)))</f>
        <v/>
      </c>
      <c r="AP784">
        <f t="shared" ca="1" si="207"/>
        <v>0</v>
      </c>
      <c r="AQ784" s="25" t="str">
        <f t="shared" si="208"/>
        <v/>
      </c>
      <c r="AR784" s="25" t="str">
        <f t="shared" si="209"/>
        <v/>
      </c>
      <c r="AS784" s="25" t="str">
        <f t="shared" si="210"/>
        <v/>
      </c>
      <c r="AT784" s="25" t="str">
        <f t="shared" si="211"/>
        <v/>
      </c>
      <c r="AU784" s="25" t="str">
        <f t="shared" si="212"/>
        <v/>
      </c>
      <c r="AV784" s="25" t="str">
        <f t="shared" si="213"/>
        <v/>
      </c>
      <c r="AW784" s="25" t="str">
        <f t="shared" si="214"/>
        <v/>
      </c>
      <c r="AX784" s="25" t="str">
        <f t="shared" si="215"/>
        <v/>
      </c>
      <c r="AY784" s="25" t="str">
        <f t="shared" si="216"/>
        <v/>
      </c>
      <c r="AZ784" s="25" t="str">
        <f t="shared" si="217"/>
        <v/>
      </c>
      <c r="BA784" s="25" t="str">
        <f t="shared" si="218"/>
        <v/>
      </c>
      <c r="BB784" s="25" t="str">
        <f t="shared" si="219"/>
        <v/>
      </c>
      <c r="BC784" s="25" t="str">
        <f t="shared" si="220"/>
        <v/>
      </c>
    </row>
    <row r="785" spans="1:55" x14ac:dyDescent="0.25">
      <c r="A785" s="19" t="str">
        <f t="shared" si="205"/>
        <v/>
      </c>
      <c r="B785" s="19"/>
      <c r="C785" s="20"/>
      <c r="D785" s="19" t="str">
        <f t="shared" si="204"/>
        <v/>
      </c>
      <c r="E785" s="19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19"/>
      <c r="U785" s="19"/>
      <c r="V785" s="20"/>
      <c r="W785" s="22"/>
      <c r="X785" s="21"/>
      <c r="Y785" s="21"/>
      <c r="Z785" s="23" t="str">
        <f>IF(B785="","",IF(S785&lt;&gt;"","Sevk Edildi",IF(AND(X785&lt;&gt;"",Y785=""),"Reworkte",IF(T785&lt;&gt;"","Kapandı"&amp;IF(COUNT(G785:R785)=0,""," – "&amp;LOOKUP(2,1/(G785:R785=MAX(G785:R785)),{"Tasarım","Ply Cutter","Üretim","Kalite (Üretim sonrası)","Talaşlı","Kalite (Talaşlı sonrası)","Montaj","Kalite (Montaj sonrası)","Boya","Kalite (Boya sonrası)","Yarı Mamül","KM"})),IF(COUNT(G785:R785)=0,"Başlamadı",LOOKUP(2,1/(G785:R785=MAX(G785:R785)),{"Tasarımda","Ply Cutter'da","Üretimde","Kalitede (Üretim sonrası)","Talaşlıda","Kalitede (Talaşlı sonrası)","Montajda","Kalitede (Montaj sonrası)","Boyada","Kalitede (Boya sonrası)","Yarı Mamülde","KM'de"}))))))</f>
        <v/>
      </c>
      <c r="AA785" s="24" t="str">
        <f t="shared" ca="1" si="206"/>
        <v/>
      </c>
      <c r="AB785" s="22"/>
      <c r="AD785" t="str">
        <f>IF(OR($B785="",NOT(ISNUMBER(G785))),"",IF(COUNTIF(H785:$T785,G785)&gt;0,0,IF(COUNTIF($G785:$T785,"&gt;"&amp;G785)=0,"",SMALL($G785:$T785,COUNTIF($G785:$T785,"&lt;="&amp;G785)+1)-G785)))</f>
        <v/>
      </c>
      <c r="AE785" t="str">
        <f>IF(OR($B785="",NOT(ISNUMBER(H785))),"",IF(COUNTIF(I785:$T785,H785)&gt;0,0,IF(COUNTIF($G785:$T785,"&gt;"&amp;H785)=0,"",SMALL($G785:$T785,COUNTIF($G785:$T785,"&lt;="&amp;H785)+1)-H785)))</f>
        <v/>
      </c>
      <c r="AF785" t="str">
        <f>IF(OR($B785="",NOT(ISNUMBER(I785))),"",IF(COUNTIF(J785:$T785,I785)&gt;0,0,IF(COUNTIF($G785:$T785,"&gt;"&amp;I785)=0,"",SMALL($G785:$T785,COUNTIF($G785:$T785,"&lt;="&amp;I785)+1)-I785)))</f>
        <v/>
      </c>
      <c r="AG785" t="str">
        <f>IF(OR($B785="",NOT(ISNUMBER(J785))),"",IF(COUNTIF(K785:$T785,J785)&gt;0,0,IF(COUNTIF($G785:$T785,"&gt;"&amp;J785)=0,"",SMALL($G785:$T785,COUNTIF($G785:$T785,"&lt;="&amp;J785)+1)-J785)))</f>
        <v/>
      </c>
      <c r="AH785" t="str">
        <f>IF(OR($B785="",NOT(ISNUMBER(K785))),"",IF(COUNTIF(L785:$T785,K785)&gt;0,0,IF(COUNTIF($G785:$T785,"&gt;"&amp;K785)=0,"",SMALL($G785:$T785,COUNTIF($G785:$T785,"&lt;="&amp;K785)+1)-K785)))</f>
        <v/>
      </c>
      <c r="AI785" t="str">
        <f>IF(OR($B785="",NOT(ISNUMBER(L785))),"",IF(COUNTIF(M785:$T785,L785)&gt;0,0,IF(COUNTIF($G785:$T785,"&gt;"&amp;L785)=0,"",SMALL($G785:$T785,COUNTIF($G785:$T785,"&lt;="&amp;L785)+1)-L785)))</f>
        <v/>
      </c>
      <c r="AJ785" t="str">
        <f>IF(OR($B785="",NOT(ISNUMBER(M785))),"",IF(COUNTIF(N785:$T785,M785)&gt;0,0,IF(COUNTIF($G785:$T785,"&gt;"&amp;M785)=0,"",SMALL($G785:$T785,COUNTIF($G785:$T785,"&lt;="&amp;M785)+1)-M785)))</f>
        <v/>
      </c>
      <c r="AK785" t="str">
        <f>IF(OR($B785="",NOT(ISNUMBER(N785))),"",IF(COUNTIF(O785:$T785,N785)&gt;0,0,IF(COUNTIF($G785:$T785,"&gt;"&amp;N785)=0,"",SMALL($G785:$T785,COUNTIF($G785:$T785,"&lt;="&amp;N785)+1)-N785)))</f>
        <v/>
      </c>
      <c r="AL785" t="str">
        <f>IF(OR($B785="",NOT(ISNUMBER(O785))),"",IF(COUNTIF(P785:$T785,O785)&gt;0,0,IF(COUNTIF($G785:$T785,"&gt;"&amp;O785)=0,"",SMALL($G785:$T785,COUNTIF($G785:$T785,"&lt;="&amp;O785)+1)-O785)))</f>
        <v/>
      </c>
      <c r="AM785" t="str">
        <f>IF(OR($B785="",NOT(ISNUMBER(P785))),"",IF(COUNTIF(Q785:$T785,P785)&gt;0,0,IF(COUNTIF($G785:$T785,"&gt;"&amp;P785)=0,"",SMALL($G785:$T785,COUNTIF($G785:$T785,"&lt;="&amp;P785)+1)-P785)))</f>
        <v/>
      </c>
      <c r="AN785" t="str">
        <f>IF(OR($B785="",NOT(ISNUMBER(Q785))),"",IF(COUNTIF(R785:$T785,Q785)&gt;0,0,IF(COUNTIF($G785:$T785,"&gt;"&amp;Q785)=0,"",SMALL($G785:$T785,COUNTIF($G785:$T785,"&lt;="&amp;Q785)+1)-Q785)))</f>
        <v/>
      </c>
      <c r="AO785" t="str">
        <f>IF(OR($B785="",NOT(ISNUMBER(R785))),"",IF(COUNTIF(S785:$T785,R785)&gt;0,0,IF(COUNTIF($G785:$T785,"&gt;"&amp;R785)=0,"",SMALL($G785:$T785,COUNTIF($G785:$T785,"&lt;="&amp;R785)+1)-R785)))</f>
        <v/>
      </c>
      <c r="AP785">
        <f t="shared" ca="1" si="207"/>
        <v>0</v>
      </c>
      <c r="AQ785" s="25" t="str">
        <f t="shared" si="208"/>
        <v/>
      </c>
      <c r="AR785" s="25" t="str">
        <f t="shared" si="209"/>
        <v/>
      </c>
      <c r="AS785" s="25" t="str">
        <f t="shared" si="210"/>
        <v/>
      </c>
      <c r="AT785" s="25" t="str">
        <f t="shared" si="211"/>
        <v/>
      </c>
      <c r="AU785" s="25" t="str">
        <f t="shared" si="212"/>
        <v/>
      </c>
      <c r="AV785" s="25" t="str">
        <f t="shared" si="213"/>
        <v/>
      </c>
      <c r="AW785" s="25" t="str">
        <f t="shared" si="214"/>
        <v/>
      </c>
      <c r="AX785" s="25" t="str">
        <f t="shared" si="215"/>
        <v/>
      </c>
      <c r="AY785" s="25" t="str">
        <f t="shared" si="216"/>
        <v/>
      </c>
      <c r="AZ785" s="25" t="str">
        <f t="shared" si="217"/>
        <v/>
      </c>
      <c r="BA785" s="25" t="str">
        <f t="shared" si="218"/>
        <v/>
      </c>
      <c r="BB785" s="25" t="str">
        <f t="shared" si="219"/>
        <v/>
      </c>
      <c r="BC785" s="25" t="str">
        <f t="shared" si="220"/>
        <v/>
      </c>
    </row>
    <row r="786" spans="1:55" x14ac:dyDescent="0.25">
      <c r="A786" s="19" t="str">
        <f t="shared" si="205"/>
        <v/>
      </c>
      <c r="B786" s="19"/>
      <c r="C786" s="20"/>
      <c r="D786" s="19" t="str">
        <f t="shared" si="204"/>
        <v/>
      </c>
      <c r="E786" s="19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19"/>
      <c r="U786" s="19"/>
      <c r="V786" s="20"/>
      <c r="W786" s="22"/>
      <c r="X786" s="21"/>
      <c r="Y786" s="21"/>
      <c r="Z786" s="23" t="str">
        <f>IF(B786="","",IF(S786&lt;&gt;"","Sevk Edildi",IF(AND(X786&lt;&gt;"",Y786=""),"Reworkte",IF(T786&lt;&gt;"","Kapandı"&amp;IF(COUNT(G786:R786)=0,""," – "&amp;LOOKUP(2,1/(G786:R786=MAX(G786:R786)),{"Tasarım","Ply Cutter","Üretim","Kalite (Üretim sonrası)","Talaşlı","Kalite (Talaşlı sonrası)","Montaj","Kalite (Montaj sonrası)","Boya","Kalite (Boya sonrası)","Yarı Mamül","KM"})),IF(COUNT(G786:R786)=0,"Başlamadı",LOOKUP(2,1/(G786:R786=MAX(G786:R786)),{"Tasarımda","Ply Cutter'da","Üretimde","Kalitede (Üretim sonrası)","Talaşlıda","Kalitede (Talaşlı sonrası)","Montajda","Kalitede (Montaj sonrası)","Boyada","Kalitede (Boya sonrası)","Yarı Mamülde","KM'de"}))))))</f>
        <v/>
      </c>
      <c r="AA786" s="24" t="str">
        <f t="shared" ca="1" si="206"/>
        <v/>
      </c>
      <c r="AB786" s="22"/>
      <c r="AD786" t="str">
        <f>IF(OR($B786="",NOT(ISNUMBER(G786))),"",IF(COUNTIF(H786:$T786,G786)&gt;0,0,IF(COUNTIF($G786:$T786,"&gt;"&amp;G786)=0,"",SMALL($G786:$T786,COUNTIF($G786:$T786,"&lt;="&amp;G786)+1)-G786)))</f>
        <v/>
      </c>
      <c r="AE786" t="str">
        <f>IF(OR($B786="",NOT(ISNUMBER(H786))),"",IF(COUNTIF(I786:$T786,H786)&gt;0,0,IF(COUNTIF($G786:$T786,"&gt;"&amp;H786)=0,"",SMALL($G786:$T786,COUNTIF($G786:$T786,"&lt;="&amp;H786)+1)-H786)))</f>
        <v/>
      </c>
      <c r="AF786" t="str">
        <f>IF(OR($B786="",NOT(ISNUMBER(I786))),"",IF(COUNTIF(J786:$T786,I786)&gt;0,0,IF(COUNTIF($G786:$T786,"&gt;"&amp;I786)=0,"",SMALL($G786:$T786,COUNTIF($G786:$T786,"&lt;="&amp;I786)+1)-I786)))</f>
        <v/>
      </c>
      <c r="AG786" t="str">
        <f>IF(OR($B786="",NOT(ISNUMBER(J786))),"",IF(COUNTIF(K786:$T786,J786)&gt;0,0,IF(COUNTIF($G786:$T786,"&gt;"&amp;J786)=0,"",SMALL($G786:$T786,COUNTIF($G786:$T786,"&lt;="&amp;J786)+1)-J786)))</f>
        <v/>
      </c>
      <c r="AH786" t="str">
        <f>IF(OR($B786="",NOT(ISNUMBER(K786))),"",IF(COUNTIF(L786:$T786,K786)&gt;0,0,IF(COUNTIF($G786:$T786,"&gt;"&amp;K786)=0,"",SMALL($G786:$T786,COUNTIF($G786:$T786,"&lt;="&amp;K786)+1)-K786)))</f>
        <v/>
      </c>
      <c r="AI786" t="str">
        <f>IF(OR($B786="",NOT(ISNUMBER(L786))),"",IF(COUNTIF(M786:$T786,L786)&gt;0,0,IF(COUNTIF($G786:$T786,"&gt;"&amp;L786)=0,"",SMALL($G786:$T786,COUNTIF($G786:$T786,"&lt;="&amp;L786)+1)-L786)))</f>
        <v/>
      </c>
      <c r="AJ786" t="str">
        <f>IF(OR($B786="",NOT(ISNUMBER(M786))),"",IF(COUNTIF(N786:$T786,M786)&gt;0,0,IF(COUNTIF($G786:$T786,"&gt;"&amp;M786)=0,"",SMALL($G786:$T786,COUNTIF($G786:$T786,"&lt;="&amp;M786)+1)-M786)))</f>
        <v/>
      </c>
      <c r="AK786" t="str">
        <f>IF(OR($B786="",NOT(ISNUMBER(N786))),"",IF(COUNTIF(O786:$T786,N786)&gt;0,0,IF(COUNTIF($G786:$T786,"&gt;"&amp;N786)=0,"",SMALL($G786:$T786,COUNTIF($G786:$T786,"&lt;="&amp;N786)+1)-N786)))</f>
        <v/>
      </c>
      <c r="AL786" t="str">
        <f>IF(OR($B786="",NOT(ISNUMBER(O786))),"",IF(COUNTIF(P786:$T786,O786)&gt;0,0,IF(COUNTIF($G786:$T786,"&gt;"&amp;O786)=0,"",SMALL($G786:$T786,COUNTIF($G786:$T786,"&lt;="&amp;O786)+1)-O786)))</f>
        <v/>
      </c>
      <c r="AM786" t="str">
        <f>IF(OR($B786="",NOT(ISNUMBER(P786))),"",IF(COUNTIF(Q786:$T786,P786)&gt;0,0,IF(COUNTIF($G786:$T786,"&gt;"&amp;P786)=0,"",SMALL($G786:$T786,COUNTIF($G786:$T786,"&lt;="&amp;P786)+1)-P786)))</f>
        <v/>
      </c>
      <c r="AN786" t="str">
        <f>IF(OR($B786="",NOT(ISNUMBER(Q786))),"",IF(COUNTIF(R786:$T786,Q786)&gt;0,0,IF(COUNTIF($G786:$T786,"&gt;"&amp;Q786)=0,"",SMALL($G786:$T786,COUNTIF($G786:$T786,"&lt;="&amp;Q786)+1)-Q786)))</f>
        <v/>
      </c>
      <c r="AO786" t="str">
        <f>IF(OR($B786="",NOT(ISNUMBER(R786))),"",IF(COUNTIF(S786:$T786,R786)&gt;0,0,IF(COUNTIF($G786:$T786,"&gt;"&amp;R786)=0,"",SMALL($G786:$T786,COUNTIF($G786:$T786,"&lt;="&amp;R786)+1)-R786)))</f>
        <v/>
      </c>
      <c r="AP786">
        <f t="shared" ca="1" si="207"/>
        <v>0</v>
      </c>
      <c r="AQ786" s="25" t="str">
        <f t="shared" si="208"/>
        <v/>
      </c>
      <c r="AR786" s="25" t="str">
        <f t="shared" si="209"/>
        <v/>
      </c>
      <c r="AS786" s="25" t="str">
        <f t="shared" si="210"/>
        <v/>
      </c>
      <c r="AT786" s="25" t="str">
        <f t="shared" si="211"/>
        <v/>
      </c>
      <c r="AU786" s="25" t="str">
        <f t="shared" si="212"/>
        <v/>
      </c>
      <c r="AV786" s="25" t="str">
        <f t="shared" si="213"/>
        <v/>
      </c>
      <c r="AW786" s="25" t="str">
        <f t="shared" si="214"/>
        <v/>
      </c>
      <c r="AX786" s="25" t="str">
        <f t="shared" si="215"/>
        <v/>
      </c>
      <c r="AY786" s="25" t="str">
        <f t="shared" si="216"/>
        <v/>
      </c>
      <c r="AZ786" s="25" t="str">
        <f t="shared" si="217"/>
        <v/>
      </c>
      <c r="BA786" s="25" t="str">
        <f t="shared" si="218"/>
        <v/>
      </c>
      <c r="BB786" s="25" t="str">
        <f t="shared" si="219"/>
        <v/>
      </c>
      <c r="BC786" s="25" t="str">
        <f t="shared" si="220"/>
        <v/>
      </c>
    </row>
    <row r="787" spans="1:55" x14ac:dyDescent="0.25">
      <c r="A787" s="19" t="str">
        <f t="shared" si="205"/>
        <v/>
      </c>
      <c r="B787" s="19"/>
      <c r="C787" s="20"/>
      <c r="D787" s="19" t="str">
        <f t="shared" si="204"/>
        <v/>
      </c>
      <c r="E787" s="19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19"/>
      <c r="U787" s="19"/>
      <c r="V787" s="20"/>
      <c r="W787" s="22"/>
      <c r="X787" s="21"/>
      <c r="Y787" s="21"/>
      <c r="Z787" s="23" t="str">
        <f>IF(B787="","",IF(S787&lt;&gt;"","Sevk Edildi",IF(AND(X787&lt;&gt;"",Y787=""),"Reworkte",IF(T787&lt;&gt;"","Kapandı"&amp;IF(COUNT(G787:R787)=0,""," – "&amp;LOOKUP(2,1/(G787:R787=MAX(G787:R787)),{"Tasarım","Ply Cutter","Üretim","Kalite (Üretim sonrası)","Talaşlı","Kalite (Talaşlı sonrası)","Montaj","Kalite (Montaj sonrası)","Boya","Kalite (Boya sonrası)","Yarı Mamül","KM"})),IF(COUNT(G787:R787)=0,"Başlamadı",LOOKUP(2,1/(G787:R787=MAX(G787:R787)),{"Tasarımda","Ply Cutter'da","Üretimde","Kalitede (Üretim sonrası)","Talaşlıda","Kalitede (Talaşlı sonrası)","Montajda","Kalitede (Montaj sonrası)","Boyada","Kalitede (Boya sonrası)","Yarı Mamülde","KM'de"}))))))</f>
        <v/>
      </c>
      <c r="AA787" s="24" t="str">
        <f t="shared" ca="1" si="206"/>
        <v/>
      </c>
      <c r="AB787" s="22"/>
      <c r="AD787" t="str">
        <f>IF(OR($B787="",NOT(ISNUMBER(G787))),"",IF(COUNTIF(H787:$T787,G787)&gt;0,0,IF(COUNTIF($G787:$T787,"&gt;"&amp;G787)=0,"",SMALL($G787:$T787,COUNTIF($G787:$T787,"&lt;="&amp;G787)+1)-G787)))</f>
        <v/>
      </c>
      <c r="AE787" t="str">
        <f>IF(OR($B787="",NOT(ISNUMBER(H787))),"",IF(COUNTIF(I787:$T787,H787)&gt;0,0,IF(COUNTIF($G787:$T787,"&gt;"&amp;H787)=0,"",SMALL($G787:$T787,COUNTIF($G787:$T787,"&lt;="&amp;H787)+1)-H787)))</f>
        <v/>
      </c>
      <c r="AF787" t="str">
        <f>IF(OR($B787="",NOT(ISNUMBER(I787))),"",IF(COUNTIF(J787:$T787,I787)&gt;0,0,IF(COUNTIF($G787:$T787,"&gt;"&amp;I787)=0,"",SMALL($G787:$T787,COUNTIF($G787:$T787,"&lt;="&amp;I787)+1)-I787)))</f>
        <v/>
      </c>
      <c r="AG787" t="str">
        <f>IF(OR($B787="",NOT(ISNUMBER(J787))),"",IF(COUNTIF(K787:$T787,J787)&gt;0,0,IF(COUNTIF($G787:$T787,"&gt;"&amp;J787)=0,"",SMALL($G787:$T787,COUNTIF($G787:$T787,"&lt;="&amp;J787)+1)-J787)))</f>
        <v/>
      </c>
      <c r="AH787" t="str">
        <f>IF(OR($B787="",NOT(ISNUMBER(K787))),"",IF(COUNTIF(L787:$T787,K787)&gt;0,0,IF(COUNTIF($G787:$T787,"&gt;"&amp;K787)=0,"",SMALL($G787:$T787,COUNTIF($G787:$T787,"&lt;="&amp;K787)+1)-K787)))</f>
        <v/>
      </c>
      <c r="AI787" t="str">
        <f>IF(OR($B787="",NOT(ISNUMBER(L787))),"",IF(COUNTIF(M787:$T787,L787)&gt;0,0,IF(COUNTIF($G787:$T787,"&gt;"&amp;L787)=0,"",SMALL($G787:$T787,COUNTIF($G787:$T787,"&lt;="&amp;L787)+1)-L787)))</f>
        <v/>
      </c>
      <c r="AJ787" t="str">
        <f>IF(OR($B787="",NOT(ISNUMBER(M787))),"",IF(COUNTIF(N787:$T787,M787)&gt;0,0,IF(COUNTIF($G787:$T787,"&gt;"&amp;M787)=0,"",SMALL($G787:$T787,COUNTIF($G787:$T787,"&lt;="&amp;M787)+1)-M787)))</f>
        <v/>
      </c>
      <c r="AK787" t="str">
        <f>IF(OR($B787="",NOT(ISNUMBER(N787))),"",IF(COUNTIF(O787:$T787,N787)&gt;0,0,IF(COUNTIF($G787:$T787,"&gt;"&amp;N787)=0,"",SMALL($G787:$T787,COUNTIF($G787:$T787,"&lt;="&amp;N787)+1)-N787)))</f>
        <v/>
      </c>
      <c r="AL787" t="str">
        <f>IF(OR($B787="",NOT(ISNUMBER(O787))),"",IF(COUNTIF(P787:$T787,O787)&gt;0,0,IF(COUNTIF($G787:$T787,"&gt;"&amp;O787)=0,"",SMALL($G787:$T787,COUNTIF($G787:$T787,"&lt;="&amp;O787)+1)-O787)))</f>
        <v/>
      </c>
      <c r="AM787" t="str">
        <f>IF(OR($B787="",NOT(ISNUMBER(P787))),"",IF(COUNTIF(Q787:$T787,P787)&gt;0,0,IF(COUNTIF($G787:$T787,"&gt;"&amp;P787)=0,"",SMALL($G787:$T787,COUNTIF($G787:$T787,"&lt;="&amp;P787)+1)-P787)))</f>
        <v/>
      </c>
      <c r="AN787" t="str">
        <f>IF(OR($B787="",NOT(ISNUMBER(Q787))),"",IF(COUNTIF(R787:$T787,Q787)&gt;0,0,IF(COUNTIF($G787:$T787,"&gt;"&amp;Q787)=0,"",SMALL($G787:$T787,COUNTIF($G787:$T787,"&lt;="&amp;Q787)+1)-Q787)))</f>
        <v/>
      </c>
      <c r="AO787" t="str">
        <f>IF(OR($B787="",NOT(ISNUMBER(R787))),"",IF(COUNTIF(S787:$T787,R787)&gt;0,0,IF(COUNTIF($G787:$T787,"&gt;"&amp;R787)=0,"",SMALL($G787:$T787,COUNTIF($G787:$T787,"&lt;="&amp;R787)+1)-R787)))</f>
        <v/>
      </c>
      <c r="AP787">
        <f t="shared" ca="1" si="207"/>
        <v>0</v>
      </c>
      <c r="AQ787" s="25" t="str">
        <f t="shared" si="208"/>
        <v/>
      </c>
      <c r="AR787" s="25" t="str">
        <f t="shared" si="209"/>
        <v/>
      </c>
      <c r="AS787" s="25" t="str">
        <f t="shared" si="210"/>
        <v/>
      </c>
      <c r="AT787" s="25" t="str">
        <f t="shared" si="211"/>
        <v/>
      </c>
      <c r="AU787" s="25" t="str">
        <f t="shared" si="212"/>
        <v/>
      </c>
      <c r="AV787" s="25" t="str">
        <f t="shared" si="213"/>
        <v/>
      </c>
      <c r="AW787" s="25" t="str">
        <f t="shared" si="214"/>
        <v/>
      </c>
      <c r="AX787" s="25" t="str">
        <f t="shared" si="215"/>
        <v/>
      </c>
      <c r="AY787" s="25" t="str">
        <f t="shared" si="216"/>
        <v/>
      </c>
      <c r="AZ787" s="25" t="str">
        <f t="shared" si="217"/>
        <v/>
      </c>
      <c r="BA787" s="25" t="str">
        <f t="shared" si="218"/>
        <v/>
      </c>
      <c r="BB787" s="25" t="str">
        <f t="shared" si="219"/>
        <v/>
      </c>
      <c r="BC787" s="25" t="str">
        <f t="shared" si="220"/>
        <v/>
      </c>
    </row>
    <row r="788" spans="1:55" x14ac:dyDescent="0.25">
      <c r="A788" s="19" t="str">
        <f t="shared" si="205"/>
        <v/>
      </c>
      <c r="B788" s="19"/>
      <c r="C788" s="20"/>
      <c r="D788" s="19" t="str">
        <f t="shared" si="204"/>
        <v/>
      </c>
      <c r="E788" s="19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19"/>
      <c r="U788" s="19"/>
      <c r="V788" s="20"/>
      <c r="W788" s="22"/>
      <c r="X788" s="21"/>
      <c r="Y788" s="21"/>
      <c r="Z788" s="23" t="str">
        <f>IF(B788="","",IF(S788&lt;&gt;"","Sevk Edildi",IF(AND(X788&lt;&gt;"",Y788=""),"Reworkte",IF(T788&lt;&gt;"","Kapandı"&amp;IF(COUNT(G788:R788)=0,""," – "&amp;LOOKUP(2,1/(G788:R788=MAX(G788:R788)),{"Tasarım","Ply Cutter","Üretim","Kalite (Üretim sonrası)","Talaşlı","Kalite (Talaşlı sonrası)","Montaj","Kalite (Montaj sonrası)","Boya","Kalite (Boya sonrası)","Yarı Mamül","KM"})),IF(COUNT(G788:R788)=0,"Başlamadı",LOOKUP(2,1/(G788:R788=MAX(G788:R788)),{"Tasarımda","Ply Cutter'da","Üretimde","Kalitede (Üretim sonrası)","Talaşlıda","Kalitede (Talaşlı sonrası)","Montajda","Kalitede (Montaj sonrası)","Boyada","Kalitede (Boya sonrası)","Yarı Mamülde","KM'de"}))))))</f>
        <v/>
      </c>
      <c r="AA788" s="24" t="str">
        <f t="shared" ca="1" si="206"/>
        <v/>
      </c>
      <c r="AB788" s="22"/>
      <c r="AD788" t="str">
        <f>IF(OR($B788="",NOT(ISNUMBER(G788))),"",IF(COUNTIF(H788:$T788,G788)&gt;0,0,IF(COUNTIF($G788:$T788,"&gt;"&amp;G788)=0,"",SMALL($G788:$T788,COUNTIF($G788:$T788,"&lt;="&amp;G788)+1)-G788)))</f>
        <v/>
      </c>
      <c r="AE788" t="str">
        <f>IF(OR($B788="",NOT(ISNUMBER(H788))),"",IF(COUNTIF(I788:$T788,H788)&gt;0,0,IF(COUNTIF($G788:$T788,"&gt;"&amp;H788)=0,"",SMALL($G788:$T788,COUNTIF($G788:$T788,"&lt;="&amp;H788)+1)-H788)))</f>
        <v/>
      </c>
      <c r="AF788" t="str">
        <f>IF(OR($B788="",NOT(ISNUMBER(I788))),"",IF(COUNTIF(J788:$T788,I788)&gt;0,0,IF(COUNTIF($G788:$T788,"&gt;"&amp;I788)=0,"",SMALL($G788:$T788,COUNTIF($G788:$T788,"&lt;="&amp;I788)+1)-I788)))</f>
        <v/>
      </c>
      <c r="AG788" t="str">
        <f>IF(OR($B788="",NOT(ISNUMBER(J788))),"",IF(COUNTIF(K788:$T788,J788)&gt;0,0,IF(COUNTIF($G788:$T788,"&gt;"&amp;J788)=0,"",SMALL($G788:$T788,COUNTIF($G788:$T788,"&lt;="&amp;J788)+1)-J788)))</f>
        <v/>
      </c>
      <c r="AH788" t="str">
        <f>IF(OR($B788="",NOT(ISNUMBER(K788))),"",IF(COUNTIF(L788:$T788,K788)&gt;0,0,IF(COUNTIF($G788:$T788,"&gt;"&amp;K788)=0,"",SMALL($G788:$T788,COUNTIF($G788:$T788,"&lt;="&amp;K788)+1)-K788)))</f>
        <v/>
      </c>
      <c r="AI788" t="str">
        <f>IF(OR($B788="",NOT(ISNUMBER(L788))),"",IF(COUNTIF(M788:$T788,L788)&gt;0,0,IF(COUNTIF($G788:$T788,"&gt;"&amp;L788)=0,"",SMALL($G788:$T788,COUNTIF($G788:$T788,"&lt;="&amp;L788)+1)-L788)))</f>
        <v/>
      </c>
      <c r="AJ788" t="str">
        <f>IF(OR($B788="",NOT(ISNUMBER(M788))),"",IF(COUNTIF(N788:$T788,M788)&gt;0,0,IF(COUNTIF($G788:$T788,"&gt;"&amp;M788)=0,"",SMALL($G788:$T788,COUNTIF($G788:$T788,"&lt;="&amp;M788)+1)-M788)))</f>
        <v/>
      </c>
      <c r="AK788" t="str">
        <f>IF(OR($B788="",NOT(ISNUMBER(N788))),"",IF(COUNTIF(O788:$T788,N788)&gt;0,0,IF(COUNTIF($G788:$T788,"&gt;"&amp;N788)=0,"",SMALL($G788:$T788,COUNTIF($G788:$T788,"&lt;="&amp;N788)+1)-N788)))</f>
        <v/>
      </c>
      <c r="AL788" t="str">
        <f>IF(OR($B788="",NOT(ISNUMBER(O788))),"",IF(COUNTIF(P788:$T788,O788)&gt;0,0,IF(COUNTIF($G788:$T788,"&gt;"&amp;O788)=0,"",SMALL($G788:$T788,COUNTIF($G788:$T788,"&lt;="&amp;O788)+1)-O788)))</f>
        <v/>
      </c>
      <c r="AM788" t="str">
        <f>IF(OR($B788="",NOT(ISNUMBER(P788))),"",IF(COUNTIF(Q788:$T788,P788)&gt;0,0,IF(COUNTIF($G788:$T788,"&gt;"&amp;P788)=0,"",SMALL($G788:$T788,COUNTIF($G788:$T788,"&lt;="&amp;P788)+1)-P788)))</f>
        <v/>
      </c>
      <c r="AN788" t="str">
        <f>IF(OR($B788="",NOT(ISNUMBER(Q788))),"",IF(COUNTIF(R788:$T788,Q788)&gt;0,0,IF(COUNTIF($G788:$T788,"&gt;"&amp;Q788)=0,"",SMALL($G788:$T788,COUNTIF($G788:$T788,"&lt;="&amp;Q788)+1)-Q788)))</f>
        <v/>
      </c>
      <c r="AO788" t="str">
        <f>IF(OR($B788="",NOT(ISNUMBER(R788))),"",IF(COUNTIF(S788:$T788,R788)&gt;0,0,IF(COUNTIF($G788:$T788,"&gt;"&amp;R788)=0,"",SMALL($G788:$T788,COUNTIF($G788:$T788,"&lt;="&amp;R788)+1)-R788)))</f>
        <v/>
      </c>
      <c r="AP788">
        <f t="shared" ca="1" si="207"/>
        <v>0</v>
      </c>
      <c r="AQ788" s="25" t="str">
        <f t="shared" si="208"/>
        <v/>
      </c>
      <c r="AR788" s="25" t="str">
        <f t="shared" si="209"/>
        <v/>
      </c>
      <c r="AS788" s="25" t="str">
        <f t="shared" si="210"/>
        <v/>
      </c>
      <c r="AT788" s="25" t="str">
        <f t="shared" si="211"/>
        <v/>
      </c>
      <c r="AU788" s="25" t="str">
        <f t="shared" si="212"/>
        <v/>
      </c>
      <c r="AV788" s="25" t="str">
        <f t="shared" si="213"/>
        <v/>
      </c>
      <c r="AW788" s="25" t="str">
        <f t="shared" si="214"/>
        <v/>
      </c>
      <c r="AX788" s="25" t="str">
        <f t="shared" si="215"/>
        <v/>
      </c>
      <c r="AY788" s="25" t="str">
        <f t="shared" si="216"/>
        <v/>
      </c>
      <c r="AZ788" s="25" t="str">
        <f t="shared" si="217"/>
        <v/>
      </c>
      <c r="BA788" s="25" t="str">
        <f t="shared" si="218"/>
        <v/>
      </c>
      <c r="BB788" s="25" t="str">
        <f t="shared" si="219"/>
        <v/>
      </c>
      <c r="BC788" s="25" t="str">
        <f t="shared" si="220"/>
        <v/>
      </c>
    </row>
    <row r="789" spans="1:55" x14ac:dyDescent="0.25">
      <c r="A789" s="19" t="str">
        <f t="shared" si="205"/>
        <v/>
      </c>
      <c r="B789" s="19"/>
      <c r="C789" s="20"/>
      <c r="D789" s="19" t="str">
        <f t="shared" si="204"/>
        <v/>
      </c>
      <c r="E789" s="19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19"/>
      <c r="U789" s="19"/>
      <c r="V789" s="20"/>
      <c r="W789" s="22"/>
      <c r="X789" s="21"/>
      <c r="Y789" s="21"/>
      <c r="Z789" s="23" t="str">
        <f>IF(B789="","",IF(S789&lt;&gt;"","Sevk Edildi",IF(AND(X789&lt;&gt;"",Y789=""),"Reworkte",IF(T789&lt;&gt;"","Kapandı"&amp;IF(COUNT(G789:R789)=0,""," – "&amp;LOOKUP(2,1/(G789:R789=MAX(G789:R789)),{"Tasarım","Ply Cutter","Üretim","Kalite (Üretim sonrası)","Talaşlı","Kalite (Talaşlı sonrası)","Montaj","Kalite (Montaj sonrası)","Boya","Kalite (Boya sonrası)","Yarı Mamül","KM"})),IF(COUNT(G789:R789)=0,"Başlamadı",LOOKUP(2,1/(G789:R789=MAX(G789:R789)),{"Tasarımda","Ply Cutter'da","Üretimde","Kalitede (Üretim sonrası)","Talaşlıda","Kalitede (Talaşlı sonrası)","Montajda","Kalitede (Montaj sonrası)","Boyada","Kalitede (Boya sonrası)","Yarı Mamülde","KM'de"}))))))</f>
        <v/>
      </c>
      <c r="AA789" s="24" t="str">
        <f t="shared" ca="1" si="206"/>
        <v/>
      </c>
      <c r="AB789" s="22"/>
      <c r="AD789" t="str">
        <f>IF(OR($B789="",NOT(ISNUMBER(G789))),"",IF(COUNTIF(H789:$T789,G789)&gt;0,0,IF(COUNTIF($G789:$T789,"&gt;"&amp;G789)=0,"",SMALL($G789:$T789,COUNTIF($G789:$T789,"&lt;="&amp;G789)+1)-G789)))</f>
        <v/>
      </c>
      <c r="AE789" t="str">
        <f>IF(OR($B789="",NOT(ISNUMBER(H789))),"",IF(COUNTIF(I789:$T789,H789)&gt;0,0,IF(COUNTIF($G789:$T789,"&gt;"&amp;H789)=0,"",SMALL($G789:$T789,COUNTIF($G789:$T789,"&lt;="&amp;H789)+1)-H789)))</f>
        <v/>
      </c>
      <c r="AF789" t="str">
        <f>IF(OR($B789="",NOT(ISNUMBER(I789))),"",IF(COUNTIF(J789:$T789,I789)&gt;0,0,IF(COUNTIF($G789:$T789,"&gt;"&amp;I789)=0,"",SMALL($G789:$T789,COUNTIF($G789:$T789,"&lt;="&amp;I789)+1)-I789)))</f>
        <v/>
      </c>
      <c r="AG789" t="str">
        <f>IF(OR($B789="",NOT(ISNUMBER(J789))),"",IF(COUNTIF(K789:$T789,J789)&gt;0,0,IF(COUNTIF($G789:$T789,"&gt;"&amp;J789)=0,"",SMALL($G789:$T789,COUNTIF($G789:$T789,"&lt;="&amp;J789)+1)-J789)))</f>
        <v/>
      </c>
      <c r="AH789" t="str">
        <f>IF(OR($B789="",NOT(ISNUMBER(K789))),"",IF(COUNTIF(L789:$T789,K789)&gt;0,0,IF(COUNTIF($G789:$T789,"&gt;"&amp;K789)=0,"",SMALL($G789:$T789,COUNTIF($G789:$T789,"&lt;="&amp;K789)+1)-K789)))</f>
        <v/>
      </c>
      <c r="AI789" t="str">
        <f>IF(OR($B789="",NOT(ISNUMBER(L789))),"",IF(COUNTIF(M789:$T789,L789)&gt;0,0,IF(COUNTIF($G789:$T789,"&gt;"&amp;L789)=0,"",SMALL($G789:$T789,COUNTIF($G789:$T789,"&lt;="&amp;L789)+1)-L789)))</f>
        <v/>
      </c>
      <c r="AJ789" t="str">
        <f>IF(OR($B789="",NOT(ISNUMBER(M789))),"",IF(COUNTIF(N789:$T789,M789)&gt;0,0,IF(COUNTIF($G789:$T789,"&gt;"&amp;M789)=0,"",SMALL($G789:$T789,COUNTIF($G789:$T789,"&lt;="&amp;M789)+1)-M789)))</f>
        <v/>
      </c>
      <c r="AK789" t="str">
        <f>IF(OR($B789="",NOT(ISNUMBER(N789))),"",IF(COUNTIF(O789:$T789,N789)&gt;0,0,IF(COUNTIF($G789:$T789,"&gt;"&amp;N789)=0,"",SMALL($G789:$T789,COUNTIF($G789:$T789,"&lt;="&amp;N789)+1)-N789)))</f>
        <v/>
      </c>
      <c r="AL789" t="str">
        <f>IF(OR($B789="",NOT(ISNUMBER(O789))),"",IF(COUNTIF(P789:$T789,O789)&gt;0,0,IF(COUNTIF($G789:$T789,"&gt;"&amp;O789)=0,"",SMALL($G789:$T789,COUNTIF($G789:$T789,"&lt;="&amp;O789)+1)-O789)))</f>
        <v/>
      </c>
      <c r="AM789" t="str">
        <f>IF(OR($B789="",NOT(ISNUMBER(P789))),"",IF(COUNTIF(Q789:$T789,P789)&gt;0,0,IF(COUNTIF($G789:$T789,"&gt;"&amp;P789)=0,"",SMALL($G789:$T789,COUNTIF($G789:$T789,"&lt;="&amp;P789)+1)-P789)))</f>
        <v/>
      </c>
      <c r="AN789" t="str">
        <f>IF(OR($B789="",NOT(ISNUMBER(Q789))),"",IF(COUNTIF(R789:$T789,Q789)&gt;0,0,IF(COUNTIF($G789:$T789,"&gt;"&amp;Q789)=0,"",SMALL($G789:$T789,COUNTIF($G789:$T789,"&lt;="&amp;Q789)+1)-Q789)))</f>
        <v/>
      </c>
      <c r="AO789" t="str">
        <f>IF(OR($B789="",NOT(ISNUMBER(R789))),"",IF(COUNTIF(S789:$T789,R789)&gt;0,0,IF(COUNTIF($G789:$T789,"&gt;"&amp;R789)=0,"",SMALL($G789:$T789,COUNTIF($G789:$T789,"&lt;="&amp;R789)+1)-R789)))</f>
        <v/>
      </c>
      <c r="AP789">
        <f t="shared" ca="1" si="207"/>
        <v>0</v>
      </c>
      <c r="AQ789" s="25" t="str">
        <f t="shared" si="208"/>
        <v/>
      </c>
      <c r="AR789" s="25" t="str">
        <f t="shared" si="209"/>
        <v/>
      </c>
      <c r="AS789" s="25" t="str">
        <f t="shared" si="210"/>
        <v/>
      </c>
      <c r="AT789" s="25" t="str">
        <f t="shared" si="211"/>
        <v/>
      </c>
      <c r="AU789" s="25" t="str">
        <f t="shared" si="212"/>
        <v/>
      </c>
      <c r="AV789" s="25" t="str">
        <f t="shared" si="213"/>
        <v/>
      </c>
      <c r="AW789" s="25" t="str">
        <f t="shared" si="214"/>
        <v/>
      </c>
      <c r="AX789" s="25" t="str">
        <f t="shared" si="215"/>
        <v/>
      </c>
      <c r="AY789" s="25" t="str">
        <f t="shared" si="216"/>
        <v/>
      </c>
      <c r="AZ789" s="25" t="str">
        <f t="shared" si="217"/>
        <v/>
      </c>
      <c r="BA789" s="25" t="str">
        <f t="shared" si="218"/>
        <v/>
      </c>
      <c r="BB789" s="25" t="str">
        <f t="shared" si="219"/>
        <v/>
      </c>
      <c r="BC789" s="25" t="str">
        <f t="shared" si="220"/>
        <v/>
      </c>
    </row>
    <row r="790" spans="1:55" x14ac:dyDescent="0.25">
      <c r="A790" s="19" t="str">
        <f t="shared" si="205"/>
        <v/>
      </c>
      <c r="B790" s="19"/>
      <c r="C790" s="20"/>
      <c r="D790" s="19" t="str">
        <f t="shared" si="204"/>
        <v/>
      </c>
      <c r="E790" s="19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19"/>
      <c r="U790" s="19"/>
      <c r="V790" s="20"/>
      <c r="W790" s="22"/>
      <c r="X790" s="21"/>
      <c r="Y790" s="21"/>
      <c r="Z790" s="23" t="str">
        <f>IF(B790="","",IF(S790&lt;&gt;"","Sevk Edildi",IF(AND(X790&lt;&gt;"",Y790=""),"Reworkte",IF(T790&lt;&gt;"","Kapandı"&amp;IF(COUNT(G790:R790)=0,""," – "&amp;LOOKUP(2,1/(G790:R790=MAX(G790:R790)),{"Tasarım","Ply Cutter","Üretim","Kalite (Üretim sonrası)","Talaşlı","Kalite (Talaşlı sonrası)","Montaj","Kalite (Montaj sonrası)","Boya","Kalite (Boya sonrası)","Yarı Mamül","KM"})),IF(COUNT(G790:R790)=0,"Başlamadı",LOOKUP(2,1/(G790:R790=MAX(G790:R790)),{"Tasarımda","Ply Cutter'da","Üretimde","Kalitede (Üretim sonrası)","Talaşlıda","Kalitede (Talaşlı sonrası)","Montajda","Kalitede (Montaj sonrası)","Boyada","Kalitede (Boya sonrası)","Yarı Mamülde","KM'de"}))))))</f>
        <v/>
      </c>
      <c r="AA790" s="24" t="str">
        <f t="shared" ca="1" si="206"/>
        <v/>
      </c>
      <c r="AB790" s="22"/>
      <c r="AD790" t="str">
        <f>IF(OR($B790="",NOT(ISNUMBER(G790))),"",IF(COUNTIF(H790:$T790,G790)&gt;0,0,IF(COUNTIF($G790:$T790,"&gt;"&amp;G790)=0,"",SMALL($G790:$T790,COUNTIF($G790:$T790,"&lt;="&amp;G790)+1)-G790)))</f>
        <v/>
      </c>
      <c r="AE790" t="str">
        <f>IF(OR($B790="",NOT(ISNUMBER(H790))),"",IF(COUNTIF(I790:$T790,H790)&gt;0,0,IF(COUNTIF($G790:$T790,"&gt;"&amp;H790)=0,"",SMALL($G790:$T790,COUNTIF($G790:$T790,"&lt;="&amp;H790)+1)-H790)))</f>
        <v/>
      </c>
      <c r="AF790" t="str">
        <f>IF(OR($B790="",NOT(ISNUMBER(I790))),"",IF(COUNTIF(J790:$T790,I790)&gt;0,0,IF(COUNTIF($G790:$T790,"&gt;"&amp;I790)=0,"",SMALL($G790:$T790,COUNTIF($G790:$T790,"&lt;="&amp;I790)+1)-I790)))</f>
        <v/>
      </c>
      <c r="AG790" t="str">
        <f>IF(OR($B790="",NOT(ISNUMBER(J790))),"",IF(COUNTIF(K790:$T790,J790)&gt;0,0,IF(COUNTIF($G790:$T790,"&gt;"&amp;J790)=0,"",SMALL($G790:$T790,COUNTIF($G790:$T790,"&lt;="&amp;J790)+1)-J790)))</f>
        <v/>
      </c>
      <c r="AH790" t="str">
        <f>IF(OR($B790="",NOT(ISNUMBER(K790))),"",IF(COUNTIF(L790:$T790,K790)&gt;0,0,IF(COUNTIF($G790:$T790,"&gt;"&amp;K790)=0,"",SMALL($G790:$T790,COUNTIF($G790:$T790,"&lt;="&amp;K790)+1)-K790)))</f>
        <v/>
      </c>
      <c r="AI790" t="str">
        <f>IF(OR($B790="",NOT(ISNUMBER(L790))),"",IF(COUNTIF(M790:$T790,L790)&gt;0,0,IF(COUNTIF($G790:$T790,"&gt;"&amp;L790)=0,"",SMALL($G790:$T790,COUNTIF($G790:$T790,"&lt;="&amp;L790)+1)-L790)))</f>
        <v/>
      </c>
      <c r="AJ790" t="str">
        <f>IF(OR($B790="",NOT(ISNUMBER(M790))),"",IF(COUNTIF(N790:$T790,M790)&gt;0,0,IF(COUNTIF($G790:$T790,"&gt;"&amp;M790)=0,"",SMALL($G790:$T790,COUNTIF($G790:$T790,"&lt;="&amp;M790)+1)-M790)))</f>
        <v/>
      </c>
      <c r="AK790" t="str">
        <f>IF(OR($B790="",NOT(ISNUMBER(N790))),"",IF(COUNTIF(O790:$T790,N790)&gt;0,0,IF(COUNTIF($G790:$T790,"&gt;"&amp;N790)=0,"",SMALL($G790:$T790,COUNTIF($G790:$T790,"&lt;="&amp;N790)+1)-N790)))</f>
        <v/>
      </c>
      <c r="AL790" t="str">
        <f>IF(OR($B790="",NOT(ISNUMBER(O790))),"",IF(COUNTIF(P790:$T790,O790)&gt;0,0,IF(COUNTIF($G790:$T790,"&gt;"&amp;O790)=0,"",SMALL($G790:$T790,COUNTIF($G790:$T790,"&lt;="&amp;O790)+1)-O790)))</f>
        <v/>
      </c>
      <c r="AM790" t="str">
        <f>IF(OR($B790="",NOT(ISNUMBER(P790))),"",IF(COUNTIF(Q790:$T790,P790)&gt;0,0,IF(COUNTIF($G790:$T790,"&gt;"&amp;P790)=0,"",SMALL($G790:$T790,COUNTIF($G790:$T790,"&lt;="&amp;P790)+1)-P790)))</f>
        <v/>
      </c>
      <c r="AN790" t="str">
        <f>IF(OR($B790="",NOT(ISNUMBER(Q790))),"",IF(COUNTIF(R790:$T790,Q790)&gt;0,0,IF(COUNTIF($G790:$T790,"&gt;"&amp;Q790)=0,"",SMALL($G790:$T790,COUNTIF($G790:$T790,"&lt;="&amp;Q790)+1)-Q790)))</f>
        <v/>
      </c>
      <c r="AO790" t="str">
        <f>IF(OR($B790="",NOT(ISNUMBER(R790))),"",IF(COUNTIF(S790:$T790,R790)&gt;0,0,IF(COUNTIF($G790:$T790,"&gt;"&amp;R790)=0,"",SMALL($G790:$T790,COUNTIF($G790:$T790,"&lt;="&amp;R790)+1)-R790)))</f>
        <v/>
      </c>
      <c r="AP790">
        <f t="shared" ca="1" si="207"/>
        <v>0</v>
      </c>
      <c r="AQ790" s="25" t="str">
        <f t="shared" si="208"/>
        <v/>
      </c>
      <c r="AR790" s="25" t="str">
        <f t="shared" si="209"/>
        <v/>
      </c>
      <c r="AS790" s="25" t="str">
        <f t="shared" si="210"/>
        <v/>
      </c>
      <c r="AT790" s="25" t="str">
        <f t="shared" si="211"/>
        <v/>
      </c>
      <c r="AU790" s="25" t="str">
        <f t="shared" si="212"/>
        <v/>
      </c>
      <c r="AV790" s="25" t="str">
        <f t="shared" si="213"/>
        <v/>
      </c>
      <c r="AW790" s="25" t="str">
        <f t="shared" si="214"/>
        <v/>
      </c>
      <c r="AX790" s="25" t="str">
        <f t="shared" si="215"/>
        <v/>
      </c>
      <c r="AY790" s="25" t="str">
        <f t="shared" si="216"/>
        <v/>
      </c>
      <c r="AZ790" s="25" t="str">
        <f t="shared" si="217"/>
        <v/>
      </c>
      <c r="BA790" s="25" t="str">
        <f t="shared" si="218"/>
        <v/>
      </c>
      <c r="BB790" s="25" t="str">
        <f t="shared" si="219"/>
        <v/>
      </c>
      <c r="BC790" s="25" t="str">
        <f t="shared" si="220"/>
        <v/>
      </c>
    </row>
    <row r="791" spans="1:55" x14ac:dyDescent="0.25">
      <c r="A791" s="19" t="str">
        <f t="shared" si="205"/>
        <v/>
      </c>
      <c r="B791" s="19"/>
      <c r="C791" s="20"/>
      <c r="D791" s="19" t="str">
        <f t="shared" si="204"/>
        <v/>
      </c>
      <c r="E791" s="19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19"/>
      <c r="U791" s="19"/>
      <c r="V791" s="20"/>
      <c r="W791" s="22"/>
      <c r="X791" s="21"/>
      <c r="Y791" s="21"/>
      <c r="Z791" s="23" t="str">
        <f>IF(B791="","",IF(S791&lt;&gt;"","Sevk Edildi",IF(AND(X791&lt;&gt;"",Y791=""),"Reworkte",IF(T791&lt;&gt;"","Kapandı"&amp;IF(COUNT(G791:R791)=0,""," – "&amp;LOOKUP(2,1/(G791:R791=MAX(G791:R791)),{"Tasarım","Ply Cutter","Üretim","Kalite (Üretim sonrası)","Talaşlı","Kalite (Talaşlı sonrası)","Montaj","Kalite (Montaj sonrası)","Boya","Kalite (Boya sonrası)","Yarı Mamül","KM"})),IF(COUNT(G791:R791)=0,"Başlamadı",LOOKUP(2,1/(G791:R791=MAX(G791:R791)),{"Tasarımda","Ply Cutter'da","Üretimde","Kalitede (Üretim sonrası)","Talaşlıda","Kalitede (Talaşlı sonrası)","Montajda","Kalitede (Montaj sonrası)","Boyada","Kalitede (Boya sonrası)","Yarı Mamülde","KM'de"}))))))</f>
        <v/>
      </c>
      <c r="AA791" s="24" t="str">
        <f t="shared" ca="1" si="206"/>
        <v/>
      </c>
      <c r="AB791" s="22"/>
      <c r="AD791" t="str">
        <f>IF(OR($B791="",NOT(ISNUMBER(G791))),"",IF(COUNTIF(H791:$T791,G791)&gt;0,0,IF(COUNTIF($G791:$T791,"&gt;"&amp;G791)=0,"",SMALL($G791:$T791,COUNTIF($G791:$T791,"&lt;="&amp;G791)+1)-G791)))</f>
        <v/>
      </c>
      <c r="AE791" t="str">
        <f>IF(OR($B791="",NOT(ISNUMBER(H791))),"",IF(COUNTIF(I791:$T791,H791)&gt;0,0,IF(COUNTIF($G791:$T791,"&gt;"&amp;H791)=0,"",SMALL($G791:$T791,COUNTIF($G791:$T791,"&lt;="&amp;H791)+1)-H791)))</f>
        <v/>
      </c>
      <c r="AF791" t="str">
        <f>IF(OR($B791="",NOT(ISNUMBER(I791))),"",IF(COUNTIF(J791:$T791,I791)&gt;0,0,IF(COUNTIF($G791:$T791,"&gt;"&amp;I791)=0,"",SMALL($G791:$T791,COUNTIF($G791:$T791,"&lt;="&amp;I791)+1)-I791)))</f>
        <v/>
      </c>
      <c r="AG791" t="str">
        <f>IF(OR($B791="",NOT(ISNUMBER(J791))),"",IF(COUNTIF(K791:$T791,J791)&gt;0,0,IF(COUNTIF($G791:$T791,"&gt;"&amp;J791)=0,"",SMALL($G791:$T791,COUNTIF($G791:$T791,"&lt;="&amp;J791)+1)-J791)))</f>
        <v/>
      </c>
      <c r="AH791" t="str">
        <f>IF(OR($B791="",NOT(ISNUMBER(K791))),"",IF(COUNTIF(L791:$T791,K791)&gt;0,0,IF(COUNTIF($G791:$T791,"&gt;"&amp;K791)=0,"",SMALL($G791:$T791,COUNTIF($G791:$T791,"&lt;="&amp;K791)+1)-K791)))</f>
        <v/>
      </c>
      <c r="AI791" t="str">
        <f>IF(OR($B791="",NOT(ISNUMBER(L791))),"",IF(COUNTIF(M791:$T791,L791)&gt;0,0,IF(COUNTIF($G791:$T791,"&gt;"&amp;L791)=0,"",SMALL($G791:$T791,COUNTIF($G791:$T791,"&lt;="&amp;L791)+1)-L791)))</f>
        <v/>
      </c>
      <c r="AJ791" t="str">
        <f>IF(OR($B791="",NOT(ISNUMBER(M791))),"",IF(COUNTIF(N791:$T791,M791)&gt;0,0,IF(COUNTIF($G791:$T791,"&gt;"&amp;M791)=0,"",SMALL($G791:$T791,COUNTIF($G791:$T791,"&lt;="&amp;M791)+1)-M791)))</f>
        <v/>
      </c>
      <c r="AK791" t="str">
        <f>IF(OR($B791="",NOT(ISNUMBER(N791))),"",IF(COUNTIF(O791:$T791,N791)&gt;0,0,IF(COUNTIF($G791:$T791,"&gt;"&amp;N791)=0,"",SMALL($G791:$T791,COUNTIF($G791:$T791,"&lt;="&amp;N791)+1)-N791)))</f>
        <v/>
      </c>
      <c r="AL791" t="str">
        <f>IF(OR($B791="",NOT(ISNUMBER(O791))),"",IF(COUNTIF(P791:$T791,O791)&gt;0,0,IF(COUNTIF($G791:$T791,"&gt;"&amp;O791)=0,"",SMALL($G791:$T791,COUNTIF($G791:$T791,"&lt;="&amp;O791)+1)-O791)))</f>
        <v/>
      </c>
      <c r="AM791" t="str">
        <f>IF(OR($B791="",NOT(ISNUMBER(P791))),"",IF(COUNTIF(Q791:$T791,P791)&gt;0,0,IF(COUNTIF($G791:$T791,"&gt;"&amp;P791)=0,"",SMALL($G791:$T791,COUNTIF($G791:$T791,"&lt;="&amp;P791)+1)-P791)))</f>
        <v/>
      </c>
      <c r="AN791" t="str">
        <f>IF(OR($B791="",NOT(ISNUMBER(Q791))),"",IF(COUNTIF(R791:$T791,Q791)&gt;0,0,IF(COUNTIF($G791:$T791,"&gt;"&amp;Q791)=0,"",SMALL($G791:$T791,COUNTIF($G791:$T791,"&lt;="&amp;Q791)+1)-Q791)))</f>
        <v/>
      </c>
      <c r="AO791" t="str">
        <f>IF(OR($B791="",NOT(ISNUMBER(R791))),"",IF(COUNTIF(S791:$T791,R791)&gt;0,0,IF(COUNTIF($G791:$T791,"&gt;"&amp;R791)=0,"",SMALL($G791:$T791,COUNTIF($G791:$T791,"&lt;="&amp;R791)+1)-R791)))</f>
        <v/>
      </c>
      <c r="AP791">
        <f t="shared" ca="1" si="207"/>
        <v>0</v>
      </c>
      <c r="AQ791" s="25" t="str">
        <f t="shared" si="208"/>
        <v/>
      </c>
      <c r="AR791" s="25" t="str">
        <f t="shared" si="209"/>
        <v/>
      </c>
      <c r="AS791" s="25" t="str">
        <f t="shared" si="210"/>
        <v/>
      </c>
      <c r="AT791" s="25" t="str">
        <f t="shared" si="211"/>
        <v/>
      </c>
      <c r="AU791" s="25" t="str">
        <f t="shared" si="212"/>
        <v/>
      </c>
      <c r="AV791" s="25" t="str">
        <f t="shared" si="213"/>
        <v/>
      </c>
      <c r="AW791" s="25" t="str">
        <f t="shared" si="214"/>
        <v/>
      </c>
      <c r="AX791" s="25" t="str">
        <f t="shared" si="215"/>
        <v/>
      </c>
      <c r="AY791" s="25" t="str">
        <f t="shared" si="216"/>
        <v/>
      </c>
      <c r="AZ791" s="25" t="str">
        <f t="shared" si="217"/>
        <v/>
      </c>
      <c r="BA791" s="25" t="str">
        <f t="shared" si="218"/>
        <v/>
      </c>
      <c r="BB791" s="25" t="str">
        <f t="shared" si="219"/>
        <v/>
      </c>
      <c r="BC791" s="25" t="str">
        <f t="shared" si="220"/>
        <v/>
      </c>
    </row>
    <row r="792" spans="1:55" x14ac:dyDescent="0.25">
      <c r="A792" s="19" t="str">
        <f t="shared" si="205"/>
        <v/>
      </c>
      <c r="B792" s="19"/>
      <c r="C792" s="20"/>
      <c r="D792" s="19" t="str">
        <f t="shared" si="204"/>
        <v/>
      </c>
      <c r="E792" s="19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19"/>
      <c r="U792" s="19"/>
      <c r="V792" s="20"/>
      <c r="W792" s="22"/>
      <c r="X792" s="21"/>
      <c r="Y792" s="21"/>
      <c r="Z792" s="23" t="str">
        <f>IF(B792="","",IF(S792&lt;&gt;"","Sevk Edildi",IF(AND(X792&lt;&gt;"",Y792=""),"Reworkte",IF(T792&lt;&gt;"","Kapandı"&amp;IF(COUNT(G792:R792)=0,""," – "&amp;LOOKUP(2,1/(G792:R792=MAX(G792:R792)),{"Tasarım","Ply Cutter","Üretim","Kalite (Üretim sonrası)","Talaşlı","Kalite (Talaşlı sonrası)","Montaj","Kalite (Montaj sonrası)","Boya","Kalite (Boya sonrası)","Yarı Mamül","KM"})),IF(COUNT(G792:R792)=0,"Başlamadı",LOOKUP(2,1/(G792:R792=MAX(G792:R792)),{"Tasarımda","Ply Cutter'da","Üretimde","Kalitede (Üretim sonrası)","Talaşlıda","Kalitede (Talaşlı sonrası)","Montajda","Kalitede (Montaj sonrası)","Boyada","Kalitede (Boya sonrası)","Yarı Mamülde","KM'de"}))))))</f>
        <v/>
      </c>
      <c r="AA792" s="24" t="str">
        <f t="shared" ca="1" si="206"/>
        <v/>
      </c>
      <c r="AB792" s="22"/>
      <c r="AD792" t="str">
        <f>IF(OR($B792="",NOT(ISNUMBER(G792))),"",IF(COUNTIF(H792:$T792,G792)&gt;0,0,IF(COUNTIF($G792:$T792,"&gt;"&amp;G792)=0,"",SMALL($G792:$T792,COUNTIF($G792:$T792,"&lt;="&amp;G792)+1)-G792)))</f>
        <v/>
      </c>
      <c r="AE792" t="str">
        <f>IF(OR($B792="",NOT(ISNUMBER(H792))),"",IF(COUNTIF(I792:$T792,H792)&gt;0,0,IF(COUNTIF($G792:$T792,"&gt;"&amp;H792)=0,"",SMALL($G792:$T792,COUNTIF($G792:$T792,"&lt;="&amp;H792)+1)-H792)))</f>
        <v/>
      </c>
      <c r="AF792" t="str">
        <f>IF(OR($B792="",NOT(ISNUMBER(I792))),"",IF(COUNTIF(J792:$T792,I792)&gt;0,0,IF(COUNTIF($G792:$T792,"&gt;"&amp;I792)=0,"",SMALL($G792:$T792,COUNTIF($G792:$T792,"&lt;="&amp;I792)+1)-I792)))</f>
        <v/>
      </c>
      <c r="AG792" t="str">
        <f>IF(OR($B792="",NOT(ISNUMBER(J792))),"",IF(COUNTIF(K792:$T792,J792)&gt;0,0,IF(COUNTIF($G792:$T792,"&gt;"&amp;J792)=0,"",SMALL($G792:$T792,COUNTIF($G792:$T792,"&lt;="&amp;J792)+1)-J792)))</f>
        <v/>
      </c>
      <c r="AH792" t="str">
        <f>IF(OR($B792="",NOT(ISNUMBER(K792))),"",IF(COUNTIF(L792:$T792,K792)&gt;0,0,IF(COUNTIF($G792:$T792,"&gt;"&amp;K792)=0,"",SMALL($G792:$T792,COUNTIF($G792:$T792,"&lt;="&amp;K792)+1)-K792)))</f>
        <v/>
      </c>
      <c r="AI792" t="str">
        <f>IF(OR($B792="",NOT(ISNUMBER(L792))),"",IF(COUNTIF(M792:$T792,L792)&gt;0,0,IF(COUNTIF($G792:$T792,"&gt;"&amp;L792)=0,"",SMALL($G792:$T792,COUNTIF($G792:$T792,"&lt;="&amp;L792)+1)-L792)))</f>
        <v/>
      </c>
      <c r="AJ792" t="str">
        <f>IF(OR($B792="",NOT(ISNUMBER(M792))),"",IF(COUNTIF(N792:$T792,M792)&gt;0,0,IF(COUNTIF($G792:$T792,"&gt;"&amp;M792)=0,"",SMALL($G792:$T792,COUNTIF($G792:$T792,"&lt;="&amp;M792)+1)-M792)))</f>
        <v/>
      </c>
      <c r="AK792" t="str">
        <f>IF(OR($B792="",NOT(ISNUMBER(N792))),"",IF(COUNTIF(O792:$T792,N792)&gt;0,0,IF(COUNTIF($G792:$T792,"&gt;"&amp;N792)=0,"",SMALL($G792:$T792,COUNTIF($G792:$T792,"&lt;="&amp;N792)+1)-N792)))</f>
        <v/>
      </c>
      <c r="AL792" t="str">
        <f>IF(OR($B792="",NOT(ISNUMBER(O792))),"",IF(COUNTIF(P792:$T792,O792)&gt;0,0,IF(COUNTIF($G792:$T792,"&gt;"&amp;O792)=0,"",SMALL($G792:$T792,COUNTIF($G792:$T792,"&lt;="&amp;O792)+1)-O792)))</f>
        <v/>
      </c>
      <c r="AM792" t="str">
        <f>IF(OR($B792="",NOT(ISNUMBER(P792))),"",IF(COUNTIF(Q792:$T792,P792)&gt;0,0,IF(COUNTIF($G792:$T792,"&gt;"&amp;P792)=0,"",SMALL($G792:$T792,COUNTIF($G792:$T792,"&lt;="&amp;P792)+1)-P792)))</f>
        <v/>
      </c>
      <c r="AN792" t="str">
        <f>IF(OR($B792="",NOT(ISNUMBER(Q792))),"",IF(COUNTIF(R792:$T792,Q792)&gt;0,0,IF(COUNTIF($G792:$T792,"&gt;"&amp;Q792)=0,"",SMALL($G792:$T792,COUNTIF($G792:$T792,"&lt;="&amp;Q792)+1)-Q792)))</f>
        <v/>
      </c>
      <c r="AO792" t="str">
        <f>IF(OR($B792="",NOT(ISNUMBER(R792))),"",IF(COUNTIF(S792:$T792,R792)&gt;0,0,IF(COUNTIF($G792:$T792,"&gt;"&amp;R792)=0,"",SMALL($G792:$T792,COUNTIF($G792:$T792,"&lt;="&amp;R792)+1)-R792)))</f>
        <v/>
      </c>
      <c r="AP792">
        <f t="shared" ca="1" si="207"/>
        <v>0</v>
      </c>
      <c r="AQ792" s="25" t="str">
        <f t="shared" si="208"/>
        <v/>
      </c>
      <c r="AR792" s="25" t="str">
        <f t="shared" si="209"/>
        <v/>
      </c>
      <c r="AS792" s="25" t="str">
        <f t="shared" si="210"/>
        <v/>
      </c>
      <c r="AT792" s="25" t="str">
        <f t="shared" si="211"/>
        <v/>
      </c>
      <c r="AU792" s="25" t="str">
        <f t="shared" si="212"/>
        <v/>
      </c>
      <c r="AV792" s="25" t="str">
        <f t="shared" si="213"/>
        <v/>
      </c>
      <c r="AW792" s="25" t="str">
        <f t="shared" si="214"/>
        <v/>
      </c>
      <c r="AX792" s="25" t="str">
        <f t="shared" si="215"/>
        <v/>
      </c>
      <c r="AY792" s="25" t="str">
        <f t="shared" si="216"/>
        <v/>
      </c>
      <c r="AZ792" s="25" t="str">
        <f t="shared" si="217"/>
        <v/>
      </c>
      <c r="BA792" s="25" t="str">
        <f t="shared" si="218"/>
        <v/>
      </c>
      <c r="BB792" s="25" t="str">
        <f t="shared" si="219"/>
        <v/>
      </c>
      <c r="BC792" s="25" t="str">
        <f t="shared" si="220"/>
        <v/>
      </c>
    </row>
    <row r="793" spans="1:55" x14ac:dyDescent="0.25">
      <c r="A793" s="19" t="str">
        <f t="shared" si="205"/>
        <v/>
      </c>
      <c r="B793" s="19"/>
      <c r="C793" s="20"/>
      <c r="D793" s="19" t="str">
        <f t="shared" si="204"/>
        <v/>
      </c>
      <c r="E793" s="19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19"/>
      <c r="U793" s="19"/>
      <c r="V793" s="20"/>
      <c r="W793" s="22"/>
      <c r="X793" s="21"/>
      <c r="Y793" s="21"/>
      <c r="Z793" s="23" t="str">
        <f>IF(B793="","",IF(S793&lt;&gt;"","Sevk Edildi",IF(AND(X793&lt;&gt;"",Y793=""),"Reworkte",IF(T793&lt;&gt;"","Kapandı"&amp;IF(COUNT(G793:R793)=0,""," – "&amp;LOOKUP(2,1/(G793:R793=MAX(G793:R793)),{"Tasarım","Ply Cutter","Üretim","Kalite (Üretim sonrası)","Talaşlı","Kalite (Talaşlı sonrası)","Montaj","Kalite (Montaj sonrası)","Boya","Kalite (Boya sonrası)","Yarı Mamül","KM"})),IF(COUNT(G793:R793)=0,"Başlamadı",LOOKUP(2,1/(G793:R793=MAX(G793:R793)),{"Tasarımda","Ply Cutter'da","Üretimde","Kalitede (Üretim sonrası)","Talaşlıda","Kalitede (Talaşlı sonrası)","Montajda","Kalitede (Montaj sonrası)","Boyada","Kalitede (Boya sonrası)","Yarı Mamülde","KM'de"}))))))</f>
        <v/>
      </c>
      <c r="AA793" s="24" t="str">
        <f t="shared" ca="1" si="206"/>
        <v/>
      </c>
      <c r="AB793" s="22"/>
      <c r="AD793" t="str">
        <f>IF(OR($B793="",NOT(ISNUMBER(G793))),"",IF(COUNTIF(H793:$T793,G793)&gt;0,0,IF(COUNTIF($G793:$T793,"&gt;"&amp;G793)=0,"",SMALL($G793:$T793,COUNTIF($G793:$T793,"&lt;="&amp;G793)+1)-G793)))</f>
        <v/>
      </c>
      <c r="AE793" t="str">
        <f>IF(OR($B793="",NOT(ISNUMBER(H793))),"",IF(COUNTIF(I793:$T793,H793)&gt;0,0,IF(COUNTIF($G793:$T793,"&gt;"&amp;H793)=0,"",SMALL($G793:$T793,COUNTIF($G793:$T793,"&lt;="&amp;H793)+1)-H793)))</f>
        <v/>
      </c>
      <c r="AF793" t="str">
        <f>IF(OR($B793="",NOT(ISNUMBER(I793))),"",IF(COUNTIF(J793:$T793,I793)&gt;0,0,IF(COUNTIF($G793:$T793,"&gt;"&amp;I793)=0,"",SMALL($G793:$T793,COUNTIF($G793:$T793,"&lt;="&amp;I793)+1)-I793)))</f>
        <v/>
      </c>
      <c r="AG793" t="str">
        <f>IF(OR($B793="",NOT(ISNUMBER(J793))),"",IF(COUNTIF(K793:$T793,J793)&gt;0,0,IF(COUNTIF($G793:$T793,"&gt;"&amp;J793)=0,"",SMALL($G793:$T793,COUNTIF($G793:$T793,"&lt;="&amp;J793)+1)-J793)))</f>
        <v/>
      </c>
      <c r="AH793" t="str">
        <f>IF(OR($B793="",NOT(ISNUMBER(K793))),"",IF(COUNTIF(L793:$T793,K793)&gt;0,0,IF(COUNTIF($G793:$T793,"&gt;"&amp;K793)=0,"",SMALL($G793:$T793,COUNTIF($G793:$T793,"&lt;="&amp;K793)+1)-K793)))</f>
        <v/>
      </c>
      <c r="AI793" t="str">
        <f>IF(OR($B793="",NOT(ISNUMBER(L793))),"",IF(COUNTIF(M793:$T793,L793)&gt;0,0,IF(COUNTIF($G793:$T793,"&gt;"&amp;L793)=0,"",SMALL($G793:$T793,COUNTIF($G793:$T793,"&lt;="&amp;L793)+1)-L793)))</f>
        <v/>
      </c>
      <c r="AJ793" t="str">
        <f>IF(OR($B793="",NOT(ISNUMBER(M793))),"",IF(COUNTIF(N793:$T793,M793)&gt;0,0,IF(COUNTIF($G793:$T793,"&gt;"&amp;M793)=0,"",SMALL($G793:$T793,COUNTIF($G793:$T793,"&lt;="&amp;M793)+1)-M793)))</f>
        <v/>
      </c>
      <c r="AK793" t="str">
        <f>IF(OR($B793="",NOT(ISNUMBER(N793))),"",IF(COUNTIF(O793:$T793,N793)&gt;0,0,IF(COUNTIF($G793:$T793,"&gt;"&amp;N793)=0,"",SMALL($G793:$T793,COUNTIF($G793:$T793,"&lt;="&amp;N793)+1)-N793)))</f>
        <v/>
      </c>
      <c r="AL793" t="str">
        <f>IF(OR($B793="",NOT(ISNUMBER(O793))),"",IF(COUNTIF(P793:$T793,O793)&gt;0,0,IF(COUNTIF($G793:$T793,"&gt;"&amp;O793)=0,"",SMALL($G793:$T793,COUNTIF($G793:$T793,"&lt;="&amp;O793)+1)-O793)))</f>
        <v/>
      </c>
      <c r="AM793" t="str">
        <f>IF(OR($B793="",NOT(ISNUMBER(P793))),"",IF(COUNTIF(Q793:$T793,P793)&gt;0,0,IF(COUNTIF($G793:$T793,"&gt;"&amp;P793)=0,"",SMALL($G793:$T793,COUNTIF($G793:$T793,"&lt;="&amp;P793)+1)-P793)))</f>
        <v/>
      </c>
      <c r="AN793" t="str">
        <f>IF(OR($B793="",NOT(ISNUMBER(Q793))),"",IF(COUNTIF(R793:$T793,Q793)&gt;0,0,IF(COUNTIF($G793:$T793,"&gt;"&amp;Q793)=0,"",SMALL($G793:$T793,COUNTIF($G793:$T793,"&lt;="&amp;Q793)+1)-Q793)))</f>
        <v/>
      </c>
      <c r="AO793" t="str">
        <f>IF(OR($B793="",NOT(ISNUMBER(R793))),"",IF(COUNTIF(S793:$T793,R793)&gt;0,0,IF(COUNTIF($G793:$T793,"&gt;"&amp;R793)=0,"",SMALL($G793:$T793,COUNTIF($G793:$T793,"&lt;="&amp;R793)+1)-R793)))</f>
        <v/>
      </c>
      <c r="AP793">
        <f t="shared" ca="1" si="207"/>
        <v>0</v>
      </c>
      <c r="AQ793" s="25" t="str">
        <f t="shared" si="208"/>
        <v/>
      </c>
      <c r="AR793" s="25" t="str">
        <f t="shared" si="209"/>
        <v/>
      </c>
      <c r="AS793" s="25" t="str">
        <f t="shared" si="210"/>
        <v/>
      </c>
      <c r="AT793" s="25" t="str">
        <f t="shared" si="211"/>
        <v/>
      </c>
      <c r="AU793" s="25" t="str">
        <f t="shared" si="212"/>
        <v/>
      </c>
      <c r="AV793" s="25" t="str">
        <f t="shared" si="213"/>
        <v/>
      </c>
      <c r="AW793" s="25" t="str">
        <f t="shared" si="214"/>
        <v/>
      </c>
      <c r="AX793" s="25" t="str">
        <f t="shared" si="215"/>
        <v/>
      </c>
      <c r="AY793" s="25" t="str">
        <f t="shared" si="216"/>
        <v/>
      </c>
      <c r="AZ793" s="25" t="str">
        <f t="shared" si="217"/>
        <v/>
      </c>
      <c r="BA793" s="25" t="str">
        <f t="shared" si="218"/>
        <v/>
      </c>
      <c r="BB793" s="25" t="str">
        <f t="shared" si="219"/>
        <v/>
      </c>
      <c r="BC793" s="25" t="str">
        <f t="shared" si="220"/>
        <v/>
      </c>
    </row>
    <row r="794" spans="1:55" x14ac:dyDescent="0.25">
      <c r="A794" s="19" t="str">
        <f t="shared" si="205"/>
        <v/>
      </c>
      <c r="B794" s="19"/>
      <c r="C794" s="20"/>
      <c r="D794" s="19" t="str">
        <f t="shared" si="204"/>
        <v/>
      </c>
      <c r="E794" s="19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19"/>
      <c r="U794" s="19"/>
      <c r="V794" s="20"/>
      <c r="W794" s="22"/>
      <c r="X794" s="21"/>
      <c r="Y794" s="21"/>
      <c r="Z794" s="23" t="str">
        <f>IF(B794="","",IF(S794&lt;&gt;"","Sevk Edildi",IF(AND(X794&lt;&gt;"",Y794=""),"Reworkte",IF(T794&lt;&gt;"","Kapandı"&amp;IF(COUNT(G794:R794)=0,""," – "&amp;LOOKUP(2,1/(G794:R794=MAX(G794:R794)),{"Tasarım","Ply Cutter","Üretim","Kalite (Üretim sonrası)","Talaşlı","Kalite (Talaşlı sonrası)","Montaj","Kalite (Montaj sonrası)","Boya","Kalite (Boya sonrası)","Yarı Mamül","KM"})),IF(COUNT(G794:R794)=0,"Başlamadı",LOOKUP(2,1/(G794:R794=MAX(G794:R794)),{"Tasarımda","Ply Cutter'da","Üretimde","Kalitede (Üretim sonrası)","Talaşlıda","Kalitede (Talaşlı sonrası)","Montajda","Kalitede (Montaj sonrası)","Boyada","Kalitede (Boya sonrası)","Yarı Mamülde","KM'de"}))))))</f>
        <v/>
      </c>
      <c r="AA794" s="24" t="str">
        <f t="shared" ca="1" si="206"/>
        <v/>
      </c>
      <c r="AB794" s="22"/>
      <c r="AD794" t="str">
        <f>IF(OR($B794="",NOT(ISNUMBER(G794))),"",IF(COUNTIF(H794:$T794,G794)&gt;0,0,IF(COUNTIF($G794:$T794,"&gt;"&amp;G794)=0,"",SMALL($G794:$T794,COUNTIF($G794:$T794,"&lt;="&amp;G794)+1)-G794)))</f>
        <v/>
      </c>
      <c r="AE794" t="str">
        <f>IF(OR($B794="",NOT(ISNUMBER(H794))),"",IF(COUNTIF(I794:$T794,H794)&gt;0,0,IF(COUNTIF($G794:$T794,"&gt;"&amp;H794)=0,"",SMALL($G794:$T794,COUNTIF($G794:$T794,"&lt;="&amp;H794)+1)-H794)))</f>
        <v/>
      </c>
      <c r="AF794" t="str">
        <f>IF(OR($B794="",NOT(ISNUMBER(I794))),"",IF(COUNTIF(J794:$T794,I794)&gt;0,0,IF(COUNTIF($G794:$T794,"&gt;"&amp;I794)=0,"",SMALL($G794:$T794,COUNTIF($G794:$T794,"&lt;="&amp;I794)+1)-I794)))</f>
        <v/>
      </c>
      <c r="AG794" t="str">
        <f>IF(OR($B794="",NOT(ISNUMBER(J794))),"",IF(COUNTIF(K794:$T794,J794)&gt;0,0,IF(COUNTIF($G794:$T794,"&gt;"&amp;J794)=0,"",SMALL($G794:$T794,COUNTIF($G794:$T794,"&lt;="&amp;J794)+1)-J794)))</f>
        <v/>
      </c>
      <c r="AH794" t="str">
        <f>IF(OR($B794="",NOT(ISNUMBER(K794))),"",IF(COUNTIF(L794:$T794,K794)&gt;0,0,IF(COUNTIF($G794:$T794,"&gt;"&amp;K794)=0,"",SMALL($G794:$T794,COUNTIF($G794:$T794,"&lt;="&amp;K794)+1)-K794)))</f>
        <v/>
      </c>
      <c r="AI794" t="str">
        <f>IF(OR($B794="",NOT(ISNUMBER(L794))),"",IF(COUNTIF(M794:$T794,L794)&gt;0,0,IF(COUNTIF($G794:$T794,"&gt;"&amp;L794)=0,"",SMALL($G794:$T794,COUNTIF($G794:$T794,"&lt;="&amp;L794)+1)-L794)))</f>
        <v/>
      </c>
      <c r="AJ794" t="str">
        <f>IF(OR($B794="",NOT(ISNUMBER(M794))),"",IF(COUNTIF(N794:$T794,M794)&gt;0,0,IF(COUNTIF($G794:$T794,"&gt;"&amp;M794)=0,"",SMALL($G794:$T794,COUNTIF($G794:$T794,"&lt;="&amp;M794)+1)-M794)))</f>
        <v/>
      </c>
      <c r="AK794" t="str">
        <f>IF(OR($B794="",NOT(ISNUMBER(N794))),"",IF(COUNTIF(O794:$T794,N794)&gt;0,0,IF(COUNTIF($G794:$T794,"&gt;"&amp;N794)=0,"",SMALL($G794:$T794,COUNTIF($G794:$T794,"&lt;="&amp;N794)+1)-N794)))</f>
        <v/>
      </c>
      <c r="AL794" t="str">
        <f>IF(OR($B794="",NOT(ISNUMBER(O794))),"",IF(COUNTIF(P794:$T794,O794)&gt;0,0,IF(COUNTIF($G794:$T794,"&gt;"&amp;O794)=0,"",SMALL($G794:$T794,COUNTIF($G794:$T794,"&lt;="&amp;O794)+1)-O794)))</f>
        <v/>
      </c>
      <c r="AM794" t="str">
        <f>IF(OR($B794="",NOT(ISNUMBER(P794))),"",IF(COUNTIF(Q794:$T794,P794)&gt;0,0,IF(COUNTIF($G794:$T794,"&gt;"&amp;P794)=0,"",SMALL($G794:$T794,COUNTIF($G794:$T794,"&lt;="&amp;P794)+1)-P794)))</f>
        <v/>
      </c>
      <c r="AN794" t="str">
        <f>IF(OR($B794="",NOT(ISNUMBER(Q794))),"",IF(COUNTIF(R794:$T794,Q794)&gt;0,0,IF(COUNTIF($G794:$T794,"&gt;"&amp;Q794)=0,"",SMALL($G794:$T794,COUNTIF($G794:$T794,"&lt;="&amp;Q794)+1)-Q794)))</f>
        <v/>
      </c>
      <c r="AO794" t="str">
        <f>IF(OR($B794="",NOT(ISNUMBER(R794))),"",IF(COUNTIF(S794:$T794,R794)&gt;0,0,IF(COUNTIF($G794:$T794,"&gt;"&amp;R794)=0,"",SMALL($G794:$T794,COUNTIF($G794:$T794,"&lt;="&amp;R794)+1)-R794)))</f>
        <v/>
      </c>
      <c r="AP794">
        <f t="shared" ca="1" si="207"/>
        <v>0</v>
      </c>
      <c r="AQ794" s="25" t="str">
        <f t="shared" si="208"/>
        <v/>
      </c>
      <c r="AR794" s="25" t="str">
        <f t="shared" si="209"/>
        <v/>
      </c>
      <c r="AS794" s="25" t="str">
        <f t="shared" si="210"/>
        <v/>
      </c>
      <c r="AT794" s="25" t="str">
        <f t="shared" si="211"/>
        <v/>
      </c>
      <c r="AU794" s="25" t="str">
        <f t="shared" si="212"/>
        <v/>
      </c>
      <c r="AV794" s="25" t="str">
        <f t="shared" si="213"/>
        <v/>
      </c>
      <c r="AW794" s="25" t="str">
        <f t="shared" si="214"/>
        <v/>
      </c>
      <c r="AX794" s="25" t="str">
        <f t="shared" si="215"/>
        <v/>
      </c>
      <c r="AY794" s="25" t="str">
        <f t="shared" si="216"/>
        <v/>
      </c>
      <c r="AZ794" s="25" t="str">
        <f t="shared" si="217"/>
        <v/>
      </c>
      <c r="BA794" s="25" t="str">
        <f t="shared" si="218"/>
        <v/>
      </c>
      <c r="BB794" s="25" t="str">
        <f t="shared" si="219"/>
        <v/>
      </c>
      <c r="BC794" s="25" t="str">
        <f t="shared" si="220"/>
        <v/>
      </c>
    </row>
    <row r="795" spans="1:55" x14ac:dyDescent="0.25">
      <c r="A795" s="19" t="str">
        <f t="shared" si="205"/>
        <v/>
      </c>
      <c r="B795" s="19"/>
      <c r="C795" s="20"/>
      <c r="D795" s="19" t="str">
        <f t="shared" si="204"/>
        <v/>
      </c>
      <c r="E795" s="19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19"/>
      <c r="U795" s="19"/>
      <c r="V795" s="20"/>
      <c r="W795" s="22"/>
      <c r="X795" s="21"/>
      <c r="Y795" s="21"/>
      <c r="Z795" s="23" t="str">
        <f>IF(B795="","",IF(S795&lt;&gt;"","Sevk Edildi",IF(AND(X795&lt;&gt;"",Y795=""),"Reworkte",IF(T795&lt;&gt;"","Kapandı"&amp;IF(COUNT(G795:R795)=0,""," – "&amp;LOOKUP(2,1/(G795:R795=MAX(G795:R795)),{"Tasarım","Ply Cutter","Üretim","Kalite (Üretim sonrası)","Talaşlı","Kalite (Talaşlı sonrası)","Montaj","Kalite (Montaj sonrası)","Boya","Kalite (Boya sonrası)","Yarı Mamül","KM"})),IF(COUNT(G795:R795)=0,"Başlamadı",LOOKUP(2,1/(G795:R795=MAX(G795:R795)),{"Tasarımda","Ply Cutter'da","Üretimde","Kalitede (Üretim sonrası)","Talaşlıda","Kalitede (Talaşlı sonrası)","Montajda","Kalitede (Montaj sonrası)","Boyada","Kalitede (Boya sonrası)","Yarı Mamülde","KM'de"}))))))</f>
        <v/>
      </c>
      <c r="AA795" s="24" t="str">
        <f t="shared" ca="1" si="206"/>
        <v/>
      </c>
      <c r="AB795" s="22"/>
      <c r="AD795" t="str">
        <f>IF(OR($B795="",NOT(ISNUMBER(G795))),"",IF(COUNTIF(H795:$T795,G795)&gt;0,0,IF(COUNTIF($G795:$T795,"&gt;"&amp;G795)=0,"",SMALL($G795:$T795,COUNTIF($G795:$T795,"&lt;="&amp;G795)+1)-G795)))</f>
        <v/>
      </c>
      <c r="AE795" t="str">
        <f>IF(OR($B795="",NOT(ISNUMBER(H795))),"",IF(COUNTIF(I795:$T795,H795)&gt;0,0,IF(COUNTIF($G795:$T795,"&gt;"&amp;H795)=0,"",SMALL($G795:$T795,COUNTIF($G795:$T795,"&lt;="&amp;H795)+1)-H795)))</f>
        <v/>
      </c>
      <c r="AF795" t="str">
        <f>IF(OR($B795="",NOT(ISNUMBER(I795))),"",IF(COUNTIF(J795:$T795,I795)&gt;0,0,IF(COUNTIF($G795:$T795,"&gt;"&amp;I795)=0,"",SMALL($G795:$T795,COUNTIF($G795:$T795,"&lt;="&amp;I795)+1)-I795)))</f>
        <v/>
      </c>
      <c r="AG795" t="str">
        <f>IF(OR($B795="",NOT(ISNUMBER(J795))),"",IF(COUNTIF(K795:$T795,J795)&gt;0,0,IF(COUNTIF($G795:$T795,"&gt;"&amp;J795)=0,"",SMALL($G795:$T795,COUNTIF($G795:$T795,"&lt;="&amp;J795)+1)-J795)))</f>
        <v/>
      </c>
      <c r="AH795" t="str">
        <f>IF(OR($B795="",NOT(ISNUMBER(K795))),"",IF(COUNTIF(L795:$T795,K795)&gt;0,0,IF(COUNTIF($G795:$T795,"&gt;"&amp;K795)=0,"",SMALL($G795:$T795,COUNTIF($G795:$T795,"&lt;="&amp;K795)+1)-K795)))</f>
        <v/>
      </c>
      <c r="AI795" t="str">
        <f>IF(OR($B795="",NOT(ISNUMBER(L795))),"",IF(COUNTIF(M795:$T795,L795)&gt;0,0,IF(COUNTIF($G795:$T795,"&gt;"&amp;L795)=0,"",SMALL($G795:$T795,COUNTIF($G795:$T795,"&lt;="&amp;L795)+1)-L795)))</f>
        <v/>
      </c>
      <c r="AJ795" t="str">
        <f>IF(OR($B795="",NOT(ISNUMBER(M795))),"",IF(COUNTIF(N795:$T795,M795)&gt;0,0,IF(COUNTIF($G795:$T795,"&gt;"&amp;M795)=0,"",SMALL($G795:$T795,COUNTIF($G795:$T795,"&lt;="&amp;M795)+1)-M795)))</f>
        <v/>
      </c>
      <c r="AK795" t="str">
        <f>IF(OR($B795="",NOT(ISNUMBER(N795))),"",IF(COUNTIF(O795:$T795,N795)&gt;0,0,IF(COUNTIF($G795:$T795,"&gt;"&amp;N795)=0,"",SMALL($G795:$T795,COUNTIF($G795:$T795,"&lt;="&amp;N795)+1)-N795)))</f>
        <v/>
      </c>
      <c r="AL795" t="str">
        <f>IF(OR($B795="",NOT(ISNUMBER(O795))),"",IF(COUNTIF(P795:$T795,O795)&gt;0,0,IF(COUNTIF($G795:$T795,"&gt;"&amp;O795)=0,"",SMALL($G795:$T795,COUNTIF($G795:$T795,"&lt;="&amp;O795)+1)-O795)))</f>
        <v/>
      </c>
      <c r="AM795" t="str">
        <f>IF(OR($B795="",NOT(ISNUMBER(P795))),"",IF(COUNTIF(Q795:$T795,P795)&gt;0,0,IF(COUNTIF($G795:$T795,"&gt;"&amp;P795)=0,"",SMALL($G795:$T795,COUNTIF($G795:$T795,"&lt;="&amp;P795)+1)-P795)))</f>
        <v/>
      </c>
      <c r="AN795" t="str">
        <f>IF(OR($B795="",NOT(ISNUMBER(Q795))),"",IF(COUNTIF(R795:$T795,Q795)&gt;0,0,IF(COUNTIF($G795:$T795,"&gt;"&amp;Q795)=0,"",SMALL($G795:$T795,COUNTIF($G795:$T795,"&lt;="&amp;Q795)+1)-Q795)))</f>
        <v/>
      </c>
      <c r="AO795" t="str">
        <f>IF(OR($B795="",NOT(ISNUMBER(R795))),"",IF(COUNTIF(S795:$T795,R795)&gt;0,0,IF(COUNTIF($G795:$T795,"&gt;"&amp;R795)=0,"",SMALL($G795:$T795,COUNTIF($G795:$T795,"&lt;="&amp;R795)+1)-R795)))</f>
        <v/>
      </c>
      <c r="AP795">
        <f t="shared" ca="1" si="207"/>
        <v>0</v>
      </c>
      <c r="AQ795" s="25" t="str">
        <f t="shared" si="208"/>
        <v/>
      </c>
      <c r="AR795" s="25" t="str">
        <f t="shared" si="209"/>
        <v/>
      </c>
      <c r="AS795" s="25" t="str">
        <f t="shared" si="210"/>
        <v/>
      </c>
      <c r="AT795" s="25" t="str">
        <f t="shared" si="211"/>
        <v/>
      </c>
      <c r="AU795" s="25" t="str">
        <f t="shared" si="212"/>
        <v/>
      </c>
      <c r="AV795" s="25" t="str">
        <f t="shared" si="213"/>
        <v/>
      </c>
      <c r="AW795" s="25" t="str">
        <f t="shared" si="214"/>
        <v/>
      </c>
      <c r="AX795" s="25" t="str">
        <f t="shared" si="215"/>
        <v/>
      </c>
      <c r="AY795" s="25" t="str">
        <f t="shared" si="216"/>
        <v/>
      </c>
      <c r="AZ795" s="25" t="str">
        <f t="shared" si="217"/>
        <v/>
      </c>
      <c r="BA795" s="25" t="str">
        <f t="shared" si="218"/>
        <v/>
      </c>
      <c r="BB795" s="25" t="str">
        <f t="shared" si="219"/>
        <v/>
      </c>
      <c r="BC795" s="25" t="str">
        <f t="shared" si="220"/>
        <v/>
      </c>
    </row>
    <row r="796" spans="1:55" x14ac:dyDescent="0.25">
      <c r="A796" s="19" t="str">
        <f t="shared" si="205"/>
        <v/>
      </c>
      <c r="B796" s="19"/>
      <c r="C796" s="20"/>
      <c r="D796" s="19" t="str">
        <f t="shared" si="204"/>
        <v/>
      </c>
      <c r="E796" s="19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19"/>
      <c r="U796" s="19"/>
      <c r="V796" s="20"/>
      <c r="W796" s="22"/>
      <c r="X796" s="21"/>
      <c r="Y796" s="21"/>
      <c r="Z796" s="23" t="str">
        <f>IF(B796="","",IF(S796&lt;&gt;"","Sevk Edildi",IF(AND(X796&lt;&gt;"",Y796=""),"Reworkte",IF(T796&lt;&gt;"","Kapandı"&amp;IF(COUNT(G796:R796)=0,""," – "&amp;LOOKUP(2,1/(G796:R796=MAX(G796:R796)),{"Tasarım","Ply Cutter","Üretim","Kalite (Üretim sonrası)","Talaşlı","Kalite (Talaşlı sonrası)","Montaj","Kalite (Montaj sonrası)","Boya","Kalite (Boya sonrası)","Yarı Mamül","KM"})),IF(COUNT(G796:R796)=0,"Başlamadı",LOOKUP(2,1/(G796:R796=MAX(G796:R796)),{"Tasarımda","Ply Cutter'da","Üretimde","Kalitede (Üretim sonrası)","Talaşlıda","Kalitede (Talaşlı sonrası)","Montajda","Kalitede (Montaj sonrası)","Boyada","Kalitede (Boya sonrası)","Yarı Mamülde","KM'de"}))))))</f>
        <v/>
      </c>
      <c r="AA796" s="24" t="str">
        <f t="shared" ca="1" si="206"/>
        <v/>
      </c>
      <c r="AB796" s="22"/>
      <c r="AD796" t="str">
        <f>IF(OR($B796="",NOT(ISNUMBER(G796))),"",IF(COUNTIF(H796:$T796,G796)&gt;0,0,IF(COUNTIF($G796:$T796,"&gt;"&amp;G796)=0,"",SMALL($G796:$T796,COUNTIF($G796:$T796,"&lt;="&amp;G796)+1)-G796)))</f>
        <v/>
      </c>
      <c r="AE796" t="str">
        <f>IF(OR($B796="",NOT(ISNUMBER(H796))),"",IF(COUNTIF(I796:$T796,H796)&gt;0,0,IF(COUNTIF($G796:$T796,"&gt;"&amp;H796)=0,"",SMALL($G796:$T796,COUNTIF($G796:$T796,"&lt;="&amp;H796)+1)-H796)))</f>
        <v/>
      </c>
      <c r="AF796" t="str">
        <f>IF(OR($B796="",NOT(ISNUMBER(I796))),"",IF(COUNTIF(J796:$T796,I796)&gt;0,0,IF(COUNTIF($G796:$T796,"&gt;"&amp;I796)=0,"",SMALL($G796:$T796,COUNTIF($G796:$T796,"&lt;="&amp;I796)+1)-I796)))</f>
        <v/>
      </c>
      <c r="AG796" t="str">
        <f>IF(OR($B796="",NOT(ISNUMBER(J796))),"",IF(COUNTIF(K796:$T796,J796)&gt;0,0,IF(COUNTIF($G796:$T796,"&gt;"&amp;J796)=0,"",SMALL($G796:$T796,COUNTIF($G796:$T796,"&lt;="&amp;J796)+1)-J796)))</f>
        <v/>
      </c>
      <c r="AH796" t="str">
        <f>IF(OR($B796="",NOT(ISNUMBER(K796))),"",IF(COUNTIF(L796:$T796,K796)&gt;0,0,IF(COUNTIF($G796:$T796,"&gt;"&amp;K796)=0,"",SMALL($G796:$T796,COUNTIF($G796:$T796,"&lt;="&amp;K796)+1)-K796)))</f>
        <v/>
      </c>
      <c r="AI796" t="str">
        <f>IF(OR($B796="",NOT(ISNUMBER(L796))),"",IF(COUNTIF(M796:$T796,L796)&gt;0,0,IF(COUNTIF($G796:$T796,"&gt;"&amp;L796)=0,"",SMALL($G796:$T796,COUNTIF($G796:$T796,"&lt;="&amp;L796)+1)-L796)))</f>
        <v/>
      </c>
      <c r="AJ796" t="str">
        <f>IF(OR($B796="",NOT(ISNUMBER(M796))),"",IF(COUNTIF(N796:$T796,M796)&gt;0,0,IF(COUNTIF($G796:$T796,"&gt;"&amp;M796)=0,"",SMALL($G796:$T796,COUNTIF($G796:$T796,"&lt;="&amp;M796)+1)-M796)))</f>
        <v/>
      </c>
      <c r="AK796" t="str">
        <f>IF(OR($B796="",NOT(ISNUMBER(N796))),"",IF(COUNTIF(O796:$T796,N796)&gt;0,0,IF(COUNTIF($G796:$T796,"&gt;"&amp;N796)=0,"",SMALL($G796:$T796,COUNTIF($G796:$T796,"&lt;="&amp;N796)+1)-N796)))</f>
        <v/>
      </c>
      <c r="AL796" t="str">
        <f>IF(OR($B796="",NOT(ISNUMBER(O796))),"",IF(COUNTIF(P796:$T796,O796)&gt;0,0,IF(COUNTIF($G796:$T796,"&gt;"&amp;O796)=0,"",SMALL($G796:$T796,COUNTIF($G796:$T796,"&lt;="&amp;O796)+1)-O796)))</f>
        <v/>
      </c>
      <c r="AM796" t="str">
        <f>IF(OR($B796="",NOT(ISNUMBER(P796))),"",IF(COUNTIF(Q796:$T796,P796)&gt;0,0,IF(COUNTIF($G796:$T796,"&gt;"&amp;P796)=0,"",SMALL($G796:$T796,COUNTIF($G796:$T796,"&lt;="&amp;P796)+1)-P796)))</f>
        <v/>
      </c>
      <c r="AN796" t="str">
        <f>IF(OR($B796="",NOT(ISNUMBER(Q796))),"",IF(COUNTIF(R796:$T796,Q796)&gt;0,0,IF(COUNTIF($G796:$T796,"&gt;"&amp;Q796)=0,"",SMALL($G796:$T796,COUNTIF($G796:$T796,"&lt;="&amp;Q796)+1)-Q796)))</f>
        <v/>
      </c>
      <c r="AO796" t="str">
        <f>IF(OR($B796="",NOT(ISNUMBER(R796))),"",IF(COUNTIF(S796:$T796,R796)&gt;0,0,IF(COUNTIF($G796:$T796,"&gt;"&amp;R796)=0,"",SMALL($G796:$T796,COUNTIF($G796:$T796,"&lt;="&amp;R796)+1)-R796)))</f>
        <v/>
      </c>
      <c r="AP796">
        <f t="shared" ca="1" si="207"/>
        <v>0</v>
      </c>
      <c r="AQ796" s="25" t="str">
        <f t="shared" si="208"/>
        <v/>
      </c>
      <c r="AR796" s="25" t="str">
        <f t="shared" si="209"/>
        <v/>
      </c>
      <c r="AS796" s="25" t="str">
        <f t="shared" si="210"/>
        <v/>
      </c>
      <c r="AT796" s="25" t="str">
        <f t="shared" si="211"/>
        <v/>
      </c>
      <c r="AU796" s="25" t="str">
        <f t="shared" si="212"/>
        <v/>
      </c>
      <c r="AV796" s="25" t="str">
        <f t="shared" si="213"/>
        <v/>
      </c>
      <c r="AW796" s="25" t="str">
        <f t="shared" si="214"/>
        <v/>
      </c>
      <c r="AX796" s="25" t="str">
        <f t="shared" si="215"/>
        <v/>
      </c>
      <c r="AY796" s="25" t="str">
        <f t="shared" si="216"/>
        <v/>
      </c>
      <c r="AZ796" s="25" t="str">
        <f t="shared" si="217"/>
        <v/>
      </c>
      <c r="BA796" s="25" t="str">
        <f t="shared" si="218"/>
        <v/>
      </c>
      <c r="BB796" s="25" t="str">
        <f t="shared" si="219"/>
        <v/>
      </c>
      <c r="BC796" s="25" t="str">
        <f t="shared" si="220"/>
        <v/>
      </c>
    </row>
    <row r="797" spans="1:55" x14ac:dyDescent="0.25">
      <c r="A797" s="19" t="str">
        <f t="shared" si="205"/>
        <v/>
      </c>
      <c r="B797" s="19"/>
      <c r="C797" s="20"/>
      <c r="D797" s="19" t="str">
        <f t="shared" si="204"/>
        <v/>
      </c>
      <c r="E797" s="19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19"/>
      <c r="U797" s="19"/>
      <c r="V797" s="20"/>
      <c r="W797" s="22"/>
      <c r="X797" s="21"/>
      <c r="Y797" s="21"/>
      <c r="Z797" s="23" t="str">
        <f>IF(B797="","",IF(S797&lt;&gt;"","Sevk Edildi",IF(AND(X797&lt;&gt;"",Y797=""),"Reworkte",IF(T797&lt;&gt;"","Kapandı"&amp;IF(COUNT(G797:R797)=0,""," – "&amp;LOOKUP(2,1/(G797:R797=MAX(G797:R797)),{"Tasarım","Ply Cutter","Üretim","Kalite (Üretim sonrası)","Talaşlı","Kalite (Talaşlı sonrası)","Montaj","Kalite (Montaj sonrası)","Boya","Kalite (Boya sonrası)","Yarı Mamül","KM"})),IF(COUNT(G797:R797)=0,"Başlamadı",LOOKUP(2,1/(G797:R797=MAX(G797:R797)),{"Tasarımda","Ply Cutter'da","Üretimde","Kalitede (Üretim sonrası)","Talaşlıda","Kalitede (Talaşlı sonrası)","Montajda","Kalitede (Montaj sonrası)","Boyada","Kalitede (Boya sonrası)","Yarı Mamülde","KM'de"}))))))</f>
        <v/>
      </c>
      <c r="AA797" s="24" t="str">
        <f t="shared" ca="1" si="206"/>
        <v/>
      </c>
      <c r="AB797" s="22"/>
      <c r="AD797" t="str">
        <f>IF(OR($B797="",NOT(ISNUMBER(G797))),"",IF(COUNTIF(H797:$T797,G797)&gt;0,0,IF(COUNTIF($G797:$T797,"&gt;"&amp;G797)=0,"",SMALL($G797:$T797,COUNTIF($G797:$T797,"&lt;="&amp;G797)+1)-G797)))</f>
        <v/>
      </c>
      <c r="AE797" t="str">
        <f>IF(OR($B797="",NOT(ISNUMBER(H797))),"",IF(COUNTIF(I797:$T797,H797)&gt;0,0,IF(COUNTIF($G797:$T797,"&gt;"&amp;H797)=0,"",SMALL($G797:$T797,COUNTIF($G797:$T797,"&lt;="&amp;H797)+1)-H797)))</f>
        <v/>
      </c>
      <c r="AF797" t="str">
        <f>IF(OR($B797="",NOT(ISNUMBER(I797))),"",IF(COUNTIF(J797:$T797,I797)&gt;0,0,IF(COUNTIF($G797:$T797,"&gt;"&amp;I797)=0,"",SMALL($G797:$T797,COUNTIF($G797:$T797,"&lt;="&amp;I797)+1)-I797)))</f>
        <v/>
      </c>
      <c r="AG797" t="str">
        <f>IF(OR($B797="",NOT(ISNUMBER(J797))),"",IF(COUNTIF(K797:$T797,J797)&gt;0,0,IF(COUNTIF($G797:$T797,"&gt;"&amp;J797)=0,"",SMALL($G797:$T797,COUNTIF($G797:$T797,"&lt;="&amp;J797)+1)-J797)))</f>
        <v/>
      </c>
      <c r="AH797" t="str">
        <f>IF(OR($B797="",NOT(ISNUMBER(K797))),"",IF(COUNTIF(L797:$T797,K797)&gt;0,0,IF(COUNTIF($G797:$T797,"&gt;"&amp;K797)=0,"",SMALL($G797:$T797,COUNTIF($G797:$T797,"&lt;="&amp;K797)+1)-K797)))</f>
        <v/>
      </c>
      <c r="AI797" t="str">
        <f>IF(OR($B797="",NOT(ISNUMBER(L797))),"",IF(COUNTIF(M797:$T797,L797)&gt;0,0,IF(COUNTIF($G797:$T797,"&gt;"&amp;L797)=0,"",SMALL($G797:$T797,COUNTIF($G797:$T797,"&lt;="&amp;L797)+1)-L797)))</f>
        <v/>
      </c>
      <c r="AJ797" t="str">
        <f>IF(OR($B797="",NOT(ISNUMBER(M797))),"",IF(COUNTIF(N797:$T797,M797)&gt;0,0,IF(COUNTIF($G797:$T797,"&gt;"&amp;M797)=0,"",SMALL($G797:$T797,COUNTIF($G797:$T797,"&lt;="&amp;M797)+1)-M797)))</f>
        <v/>
      </c>
      <c r="AK797" t="str">
        <f>IF(OR($B797="",NOT(ISNUMBER(N797))),"",IF(COUNTIF(O797:$T797,N797)&gt;0,0,IF(COUNTIF($G797:$T797,"&gt;"&amp;N797)=0,"",SMALL($G797:$T797,COUNTIF($G797:$T797,"&lt;="&amp;N797)+1)-N797)))</f>
        <v/>
      </c>
      <c r="AL797" t="str">
        <f>IF(OR($B797="",NOT(ISNUMBER(O797))),"",IF(COUNTIF(P797:$T797,O797)&gt;0,0,IF(COUNTIF($G797:$T797,"&gt;"&amp;O797)=0,"",SMALL($G797:$T797,COUNTIF($G797:$T797,"&lt;="&amp;O797)+1)-O797)))</f>
        <v/>
      </c>
      <c r="AM797" t="str">
        <f>IF(OR($B797="",NOT(ISNUMBER(P797))),"",IF(COUNTIF(Q797:$T797,P797)&gt;0,0,IF(COUNTIF($G797:$T797,"&gt;"&amp;P797)=0,"",SMALL($G797:$T797,COUNTIF($G797:$T797,"&lt;="&amp;P797)+1)-P797)))</f>
        <v/>
      </c>
      <c r="AN797" t="str">
        <f>IF(OR($B797="",NOT(ISNUMBER(Q797))),"",IF(COUNTIF(R797:$T797,Q797)&gt;0,0,IF(COUNTIF($G797:$T797,"&gt;"&amp;Q797)=0,"",SMALL($G797:$T797,COUNTIF($G797:$T797,"&lt;="&amp;Q797)+1)-Q797)))</f>
        <v/>
      </c>
      <c r="AO797" t="str">
        <f>IF(OR($B797="",NOT(ISNUMBER(R797))),"",IF(COUNTIF(S797:$T797,R797)&gt;0,0,IF(COUNTIF($G797:$T797,"&gt;"&amp;R797)=0,"",SMALL($G797:$T797,COUNTIF($G797:$T797,"&lt;="&amp;R797)+1)-R797)))</f>
        <v/>
      </c>
      <c r="AP797">
        <f t="shared" ca="1" si="207"/>
        <v>0</v>
      </c>
      <c r="AQ797" s="25" t="str">
        <f t="shared" si="208"/>
        <v/>
      </c>
      <c r="AR797" s="25" t="str">
        <f t="shared" si="209"/>
        <v/>
      </c>
      <c r="AS797" s="25" t="str">
        <f t="shared" si="210"/>
        <v/>
      </c>
      <c r="AT797" s="25" t="str">
        <f t="shared" si="211"/>
        <v/>
      </c>
      <c r="AU797" s="25" t="str">
        <f t="shared" si="212"/>
        <v/>
      </c>
      <c r="AV797" s="25" t="str">
        <f t="shared" si="213"/>
        <v/>
      </c>
      <c r="AW797" s="25" t="str">
        <f t="shared" si="214"/>
        <v/>
      </c>
      <c r="AX797" s="25" t="str">
        <f t="shared" si="215"/>
        <v/>
      </c>
      <c r="AY797" s="25" t="str">
        <f t="shared" si="216"/>
        <v/>
      </c>
      <c r="AZ797" s="25" t="str">
        <f t="shared" si="217"/>
        <v/>
      </c>
      <c r="BA797" s="25" t="str">
        <f t="shared" si="218"/>
        <v/>
      </c>
      <c r="BB797" s="25" t="str">
        <f t="shared" si="219"/>
        <v/>
      </c>
      <c r="BC797" s="25" t="str">
        <f t="shared" si="220"/>
        <v/>
      </c>
    </row>
    <row r="798" spans="1:55" x14ac:dyDescent="0.25">
      <c r="A798" s="19" t="str">
        <f t="shared" si="205"/>
        <v/>
      </c>
      <c r="B798" s="19"/>
      <c r="C798" s="20"/>
      <c r="D798" s="19" t="str">
        <f t="shared" si="204"/>
        <v/>
      </c>
      <c r="E798" s="19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19"/>
      <c r="U798" s="19"/>
      <c r="V798" s="20"/>
      <c r="W798" s="22"/>
      <c r="X798" s="21"/>
      <c r="Y798" s="21"/>
      <c r="Z798" s="23" t="str">
        <f>IF(B798="","",IF(S798&lt;&gt;"","Sevk Edildi",IF(AND(X798&lt;&gt;"",Y798=""),"Reworkte",IF(T798&lt;&gt;"","Kapandı"&amp;IF(COUNT(G798:R798)=0,""," – "&amp;LOOKUP(2,1/(G798:R798=MAX(G798:R798)),{"Tasarım","Ply Cutter","Üretim","Kalite (Üretim sonrası)","Talaşlı","Kalite (Talaşlı sonrası)","Montaj","Kalite (Montaj sonrası)","Boya","Kalite (Boya sonrası)","Yarı Mamül","KM"})),IF(COUNT(G798:R798)=0,"Başlamadı",LOOKUP(2,1/(G798:R798=MAX(G798:R798)),{"Tasarımda","Ply Cutter'da","Üretimde","Kalitede (Üretim sonrası)","Talaşlıda","Kalitede (Talaşlı sonrası)","Montajda","Kalitede (Montaj sonrası)","Boyada","Kalitede (Boya sonrası)","Yarı Mamülde","KM'de"}))))))</f>
        <v/>
      </c>
      <c r="AA798" s="24" t="str">
        <f t="shared" ca="1" si="206"/>
        <v/>
      </c>
      <c r="AB798" s="22"/>
      <c r="AD798" t="str">
        <f>IF(OR($B798="",NOT(ISNUMBER(G798))),"",IF(COUNTIF(H798:$T798,G798)&gt;0,0,IF(COUNTIF($G798:$T798,"&gt;"&amp;G798)=0,"",SMALL($G798:$T798,COUNTIF($G798:$T798,"&lt;="&amp;G798)+1)-G798)))</f>
        <v/>
      </c>
      <c r="AE798" t="str">
        <f>IF(OR($B798="",NOT(ISNUMBER(H798))),"",IF(COUNTIF(I798:$T798,H798)&gt;0,0,IF(COUNTIF($G798:$T798,"&gt;"&amp;H798)=0,"",SMALL($G798:$T798,COUNTIF($G798:$T798,"&lt;="&amp;H798)+1)-H798)))</f>
        <v/>
      </c>
      <c r="AF798" t="str">
        <f>IF(OR($B798="",NOT(ISNUMBER(I798))),"",IF(COUNTIF(J798:$T798,I798)&gt;0,0,IF(COUNTIF($G798:$T798,"&gt;"&amp;I798)=0,"",SMALL($G798:$T798,COUNTIF($G798:$T798,"&lt;="&amp;I798)+1)-I798)))</f>
        <v/>
      </c>
      <c r="AG798" t="str">
        <f>IF(OR($B798="",NOT(ISNUMBER(J798))),"",IF(COUNTIF(K798:$T798,J798)&gt;0,0,IF(COUNTIF($G798:$T798,"&gt;"&amp;J798)=0,"",SMALL($G798:$T798,COUNTIF($G798:$T798,"&lt;="&amp;J798)+1)-J798)))</f>
        <v/>
      </c>
      <c r="AH798" t="str">
        <f>IF(OR($B798="",NOT(ISNUMBER(K798))),"",IF(COUNTIF(L798:$T798,K798)&gt;0,0,IF(COUNTIF($G798:$T798,"&gt;"&amp;K798)=0,"",SMALL($G798:$T798,COUNTIF($G798:$T798,"&lt;="&amp;K798)+1)-K798)))</f>
        <v/>
      </c>
      <c r="AI798" t="str">
        <f>IF(OR($B798="",NOT(ISNUMBER(L798))),"",IF(COUNTIF(M798:$T798,L798)&gt;0,0,IF(COUNTIF($G798:$T798,"&gt;"&amp;L798)=0,"",SMALL($G798:$T798,COUNTIF($G798:$T798,"&lt;="&amp;L798)+1)-L798)))</f>
        <v/>
      </c>
      <c r="AJ798" t="str">
        <f>IF(OR($B798="",NOT(ISNUMBER(M798))),"",IF(COUNTIF(N798:$T798,M798)&gt;0,0,IF(COUNTIF($G798:$T798,"&gt;"&amp;M798)=0,"",SMALL($G798:$T798,COUNTIF($G798:$T798,"&lt;="&amp;M798)+1)-M798)))</f>
        <v/>
      </c>
      <c r="AK798" t="str">
        <f>IF(OR($B798="",NOT(ISNUMBER(N798))),"",IF(COUNTIF(O798:$T798,N798)&gt;0,0,IF(COUNTIF($G798:$T798,"&gt;"&amp;N798)=0,"",SMALL($G798:$T798,COUNTIF($G798:$T798,"&lt;="&amp;N798)+1)-N798)))</f>
        <v/>
      </c>
      <c r="AL798" t="str">
        <f>IF(OR($B798="",NOT(ISNUMBER(O798))),"",IF(COUNTIF(P798:$T798,O798)&gt;0,0,IF(COUNTIF($G798:$T798,"&gt;"&amp;O798)=0,"",SMALL($G798:$T798,COUNTIF($G798:$T798,"&lt;="&amp;O798)+1)-O798)))</f>
        <v/>
      </c>
      <c r="AM798" t="str">
        <f>IF(OR($B798="",NOT(ISNUMBER(P798))),"",IF(COUNTIF(Q798:$T798,P798)&gt;0,0,IF(COUNTIF($G798:$T798,"&gt;"&amp;P798)=0,"",SMALL($G798:$T798,COUNTIF($G798:$T798,"&lt;="&amp;P798)+1)-P798)))</f>
        <v/>
      </c>
      <c r="AN798" t="str">
        <f>IF(OR($B798="",NOT(ISNUMBER(Q798))),"",IF(COUNTIF(R798:$T798,Q798)&gt;0,0,IF(COUNTIF($G798:$T798,"&gt;"&amp;Q798)=0,"",SMALL($G798:$T798,COUNTIF($G798:$T798,"&lt;="&amp;Q798)+1)-Q798)))</f>
        <v/>
      </c>
      <c r="AO798" t="str">
        <f>IF(OR($B798="",NOT(ISNUMBER(R798))),"",IF(COUNTIF(S798:$T798,R798)&gt;0,0,IF(COUNTIF($G798:$T798,"&gt;"&amp;R798)=0,"",SMALL($G798:$T798,COUNTIF($G798:$T798,"&lt;="&amp;R798)+1)-R798)))</f>
        <v/>
      </c>
      <c r="AP798">
        <f t="shared" ca="1" si="207"/>
        <v>0</v>
      </c>
      <c r="AQ798" s="25" t="str">
        <f t="shared" si="208"/>
        <v/>
      </c>
      <c r="AR798" s="25" t="str">
        <f t="shared" si="209"/>
        <v/>
      </c>
      <c r="AS798" s="25" t="str">
        <f t="shared" si="210"/>
        <v/>
      </c>
      <c r="AT798" s="25" t="str">
        <f t="shared" si="211"/>
        <v/>
      </c>
      <c r="AU798" s="25" t="str">
        <f t="shared" si="212"/>
        <v/>
      </c>
      <c r="AV798" s="25" t="str">
        <f t="shared" si="213"/>
        <v/>
      </c>
      <c r="AW798" s="25" t="str">
        <f t="shared" si="214"/>
        <v/>
      </c>
      <c r="AX798" s="25" t="str">
        <f t="shared" si="215"/>
        <v/>
      </c>
      <c r="AY798" s="25" t="str">
        <f t="shared" si="216"/>
        <v/>
      </c>
      <c r="AZ798" s="25" t="str">
        <f t="shared" si="217"/>
        <v/>
      </c>
      <c r="BA798" s="25" t="str">
        <f t="shared" si="218"/>
        <v/>
      </c>
      <c r="BB798" s="25" t="str">
        <f t="shared" si="219"/>
        <v/>
      </c>
      <c r="BC798" s="25" t="str">
        <f t="shared" si="220"/>
        <v/>
      </c>
    </row>
    <row r="799" spans="1:55" x14ac:dyDescent="0.25">
      <c r="A799" s="19" t="str">
        <f t="shared" si="205"/>
        <v/>
      </c>
      <c r="B799" s="19"/>
      <c r="C799" s="20"/>
      <c r="D799" s="19" t="str">
        <f t="shared" si="204"/>
        <v/>
      </c>
      <c r="E799" s="19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19"/>
      <c r="U799" s="19"/>
      <c r="V799" s="20"/>
      <c r="W799" s="22"/>
      <c r="X799" s="21"/>
      <c r="Y799" s="21"/>
      <c r="Z799" s="23" t="str">
        <f>IF(B799="","",IF(S799&lt;&gt;"","Sevk Edildi",IF(AND(X799&lt;&gt;"",Y799=""),"Reworkte",IF(T799&lt;&gt;"","Kapandı"&amp;IF(COUNT(G799:R799)=0,""," – "&amp;LOOKUP(2,1/(G799:R799=MAX(G799:R799)),{"Tasarım","Ply Cutter","Üretim","Kalite (Üretim sonrası)","Talaşlı","Kalite (Talaşlı sonrası)","Montaj","Kalite (Montaj sonrası)","Boya","Kalite (Boya sonrası)","Yarı Mamül","KM"})),IF(COUNT(G799:R799)=0,"Başlamadı",LOOKUP(2,1/(G799:R799=MAX(G799:R799)),{"Tasarımda","Ply Cutter'da","Üretimde","Kalitede (Üretim sonrası)","Talaşlıda","Kalitede (Talaşlı sonrası)","Montajda","Kalitede (Montaj sonrası)","Boyada","Kalitede (Boya sonrası)","Yarı Mamülde","KM'de"}))))))</f>
        <v/>
      </c>
      <c r="AA799" s="24" t="str">
        <f t="shared" ca="1" si="206"/>
        <v/>
      </c>
      <c r="AB799" s="22"/>
      <c r="AD799" t="str">
        <f>IF(OR($B799="",NOT(ISNUMBER(G799))),"",IF(COUNTIF(H799:$T799,G799)&gt;0,0,IF(COUNTIF($G799:$T799,"&gt;"&amp;G799)=0,"",SMALL($G799:$T799,COUNTIF($G799:$T799,"&lt;="&amp;G799)+1)-G799)))</f>
        <v/>
      </c>
      <c r="AE799" t="str">
        <f>IF(OR($B799="",NOT(ISNUMBER(H799))),"",IF(COUNTIF(I799:$T799,H799)&gt;0,0,IF(COUNTIF($G799:$T799,"&gt;"&amp;H799)=0,"",SMALL($G799:$T799,COUNTIF($G799:$T799,"&lt;="&amp;H799)+1)-H799)))</f>
        <v/>
      </c>
      <c r="AF799" t="str">
        <f>IF(OR($B799="",NOT(ISNUMBER(I799))),"",IF(COUNTIF(J799:$T799,I799)&gt;0,0,IF(COUNTIF($G799:$T799,"&gt;"&amp;I799)=0,"",SMALL($G799:$T799,COUNTIF($G799:$T799,"&lt;="&amp;I799)+1)-I799)))</f>
        <v/>
      </c>
      <c r="AG799" t="str">
        <f>IF(OR($B799="",NOT(ISNUMBER(J799))),"",IF(COUNTIF(K799:$T799,J799)&gt;0,0,IF(COUNTIF($G799:$T799,"&gt;"&amp;J799)=0,"",SMALL($G799:$T799,COUNTIF($G799:$T799,"&lt;="&amp;J799)+1)-J799)))</f>
        <v/>
      </c>
      <c r="AH799" t="str">
        <f>IF(OR($B799="",NOT(ISNUMBER(K799))),"",IF(COUNTIF(L799:$T799,K799)&gt;0,0,IF(COUNTIF($G799:$T799,"&gt;"&amp;K799)=0,"",SMALL($G799:$T799,COUNTIF($G799:$T799,"&lt;="&amp;K799)+1)-K799)))</f>
        <v/>
      </c>
      <c r="AI799" t="str">
        <f>IF(OR($B799="",NOT(ISNUMBER(L799))),"",IF(COUNTIF(M799:$T799,L799)&gt;0,0,IF(COUNTIF($G799:$T799,"&gt;"&amp;L799)=0,"",SMALL($G799:$T799,COUNTIF($G799:$T799,"&lt;="&amp;L799)+1)-L799)))</f>
        <v/>
      </c>
      <c r="AJ799" t="str">
        <f>IF(OR($B799="",NOT(ISNUMBER(M799))),"",IF(COUNTIF(N799:$T799,M799)&gt;0,0,IF(COUNTIF($G799:$T799,"&gt;"&amp;M799)=0,"",SMALL($G799:$T799,COUNTIF($G799:$T799,"&lt;="&amp;M799)+1)-M799)))</f>
        <v/>
      </c>
      <c r="AK799" t="str">
        <f>IF(OR($B799="",NOT(ISNUMBER(N799))),"",IF(COUNTIF(O799:$T799,N799)&gt;0,0,IF(COUNTIF($G799:$T799,"&gt;"&amp;N799)=0,"",SMALL($G799:$T799,COUNTIF($G799:$T799,"&lt;="&amp;N799)+1)-N799)))</f>
        <v/>
      </c>
      <c r="AL799" t="str">
        <f>IF(OR($B799="",NOT(ISNUMBER(O799))),"",IF(COUNTIF(P799:$T799,O799)&gt;0,0,IF(COUNTIF($G799:$T799,"&gt;"&amp;O799)=0,"",SMALL($G799:$T799,COUNTIF($G799:$T799,"&lt;="&amp;O799)+1)-O799)))</f>
        <v/>
      </c>
      <c r="AM799" t="str">
        <f>IF(OR($B799="",NOT(ISNUMBER(P799))),"",IF(COUNTIF(Q799:$T799,P799)&gt;0,0,IF(COUNTIF($G799:$T799,"&gt;"&amp;P799)=0,"",SMALL($G799:$T799,COUNTIF($G799:$T799,"&lt;="&amp;P799)+1)-P799)))</f>
        <v/>
      </c>
      <c r="AN799" t="str">
        <f>IF(OR($B799="",NOT(ISNUMBER(Q799))),"",IF(COUNTIF(R799:$T799,Q799)&gt;0,0,IF(COUNTIF($G799:$T799,"&gt;"&amp;Q799)=0,"",SMALL($G799:$T799,COUNTIF($G799:$T799,"&lt;="&amp;Q799)+1)-Q799)))</f>
        <v/>
      </c>
      <c r="AO799" t="str">
        <f>IF(OR($B799="",NOT(ISNUMBER(R799))),"",IF(COUNTIF(S799:$T799,R799)&gt;0,0,IF(COUNTIF($G799:$T799,"&gt;"&amp;R799)=0,"",SMALL($G799:$T799,COUNTIF($G799:$T799,"&lt;="&amp;R799)+1)-R799)))</f>
        <v/>
      </c>
      <c r="AP799">
        <f t="shared" ca="1" si="207"/>
        <v>0</v>
      </c>
      <c r="AQ799" s="25" t="str">
        <f t="shared" si="208"/>
        <v/>
      </c>
      <c r="AR799" s="25" t="str">
        <f t="shared" si="209"/>
        <v/>
      </c>
      <c r="AS799" s="25" t="str">
        <f t="shared" si="210"/>
        <v/>
      </c>
      <c r="AT799" s="25" t="str">
        <f t="shared" si="211"/>
        <v/>
      </c>
      <c r="AU799" s="25" t="str">
        <f t="shared" si="212"/>
        <v/>
      </c>
      <c r="AV799" s="25" t="str">
        <f t="shared" si="213"/>
        <v/>
      </c>
      <c r="AW799" s="25" t="str">
        <f t="shared" si="214"/>
        <v/>
      </c>
      <c r="AX799" s="25" t="str">
        <f t="shared" si="215"/>
        <v/>
      </c>
      <c r="AY799" s="25" t="str">
        <f t="shared" si="216"/>
        <v/>
      </c>
      <c r="AZ799" s="25" t="str">
        <f t="shared" si="217"/>
        <v/>
      </c>
      <c r="BA799" s="25" t="str">
        <f t="shared" si="218"/>
        <v/>
      </c>
      <c r="BB799" s="25" t="str">
        <f t="shared" si="219"/>
        <v/>
      </c>
      <c r="BC799" s="25" t="str">
        <f t="shared" si="220"/>
        <v/>
      </c>
    </row>
    <row r="800" spans="1:55" x14ac:dyDescent="0.25">
      <c r="A800" s="19" t="str">
        <f t="shared" si="205"/>
        <v/>
      </c>
      <c r="B800" s="19"/>
      <c r="C800" s="20"/>
      <c r="D800" s="19" t="str">
        <f t="shared" si="204"/>
        <v/>
      </c>
      <c r="E800" s="19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19"/>
      <c r="U800" s="19"/>
      <c r="V800" s="20"/>
      <c r="W800" s="22"/>
      <c r="X800" s="21"/>
      <c r="Y800" s="21"/>
      <c r="Z800" s="23" t="str">
        <f>IF(B800="","",IF(S800&lt;&gt;"","Sevk Edildi",IF(AND(X800&lt;&gt;"",Y800=""),"Reworkte",IF(T800&lt;&gt;"","Kapandı"&amp;IF(COUNT(G800:R800)=0,""," – "&amp;LOOKUP(2,1/(G800:R800=MAX(G800:R800)),{"Tasarım","Ply Cutter","Üretim","Kalite (Üretim sonrası)","Talaşlı","Kalite (Talaşlı sonrası)","Montaj","Kalite (Montaj sonrası)","Boya","Kalite (Boya sonrası)","Yarı Mamül","KM"})),IF(COUNT(G800:R800)=0,"Başlamadı",LOOKUP(2,1/(G800:R800=MAX(G800:R800)),{"Tasarımda","Ply Cutter'da","Üretimde","Kalitede (Üretim sonrası)","Talaşlıda","Kalitede (Talaşlı sonrası)","Montajda","Kalitede (Montaj sonrası)","Boyada","Kalitede (Boya sonrası)","Yarı Mamülde","KM'de"}))))))</f>
        <v/>
      </c>
      <c r="AA800" s="24" t="str">
        <f t="shared" ca="1" si="206"/>
        <v/>
      </c>
      <c r="AB800" s="22"/>
      <c r="AD800" t="str">
        <f>IF(OR($B800="",NOT(ISNUMBER(G800))),"",IF(COUNTIF(H800:$T800,G800)&gt;0,0,IF(COUNTIF($G800:$T800,"&gt;"&amp;G800)=0,"",SMALL($G800:$T800,COUNTIF($G800:$T800,"&lt;="&amp;G800)+1)-G800)))</f>
        <v/>
      </c>
      <c r="AE800" t="str">
        <f>IF(OR($B800="",NOT(ISNUMBER(H800))),"",IF(COUNTIF(I800:$T800,H800)&gt;0,0,IF(COUNTIF($G800:$T800,"&gt;"&amp;H800)=0,"",SMALL($G800:$T800,COUNTIF($G800:$T800,"&lt;="&amp;H800)+1)-H800)))</f>
        <v/>
      </c>
      <c r="AF800" t="str">
        <f>IF(OR($B800="",NOT(ISNUMBER(I800))),"",IF(COUNTIF(J800:$T800,I800)&gt;0,0,IF(COUNTIF($G800:$T800,"&gt;"&amp;I800)=0,"",SMALL($G800:$T800,COUNTIF($G800:$T800,"&lt;="&amp;I800)+1)-I800)))</f>
        <v/>
      </c>
      <c r="AG800" t="str">
        <f>IF(OR($B800="",NOT(ISNUMBER(J800))),"",IF(COUNTIF(K800:$T800,J800)&gt;0,0,IF(COUNTIF($G800:$T800,"&gt;"&amp;J800)=0,"",SMALL($G800:$T800,COUNTIF($G800:$T800,"&lt;="&amp;J800)+1)-J800)))</f>
        <v/>
      </c>
      <c r="AH800" t="str">
        <f>IF(OR($B800="",NOT(ISNUMBER(K800))),"",IF(COUNTIF(L800:$T800,K800)&gt;0,0,IF(COUNTIF($G800:$T800,"&gt;"&amp;K800)=0,"",SMALL($G800:$T800,COUNTIF($G800:$T800,"&lt;="&amp;K800)+1)-K800)))</f>
        <v/>
      </c>
      <c r="AI800" t="str">
        <f>IF(OR($B800="",NOT(ISNUMBER(L800))),"",IF(COUNTIF(M800:$T800,L800)&gt;0,0,IF(COUNTIF($G800:$T800,"&gt;"&amp;L800)=0,"",SMALL($G800:$T800,COUNTIF($G800:$T800,"&lt;="&amp;L800)+1)-L800)))</f>
        <v/>
      </c>
      <c r="AJ800" t="str">
        <f>IF(OR($B800="",NOT(ISNUMBER(M800))),"",IF(COUNTIF(N800:$T800,M800)&gt;0,0,IF(COUNTIF($G800:$T800,"&gt;"&amp;M800)=0,"",SMALL($G800:$T800,COUNTIF($G800:$T800,"&lt;="&amp;M800)+1)-M800)))</f>
        <v/>
      </c>
      <c r="AK800" t="str">
        <f>IF(OR($B800="",NOT(ISNUMBER(N800))),"",IF(COUNTIF(O800:$T800,N800)&gt;0,0,IF(COUNTIF($G800:$T800,"&gt;"&amp;N800)=0,"",SMALL($G800:$T800,COUNTIF($G800:$T800,"&lt;="&amp;N800)+1)-N800)))</f>
        <v/>
      </c>
      <c r="AL800" t="str">
        <f>IF(OR($B800="",NOT(ISNUMBER(O800))),"",IF(COUNTIF(P800:$T800,O800)&gt;0,0,IF(COUNTIF($G800:$T800,"&gt;"&amp;O800)=0,"",SMALL($G800:$T800,COUNTIF($G800:$T800,"&lt;="&amp;O800)+1)-O800)))</f>
        <v/>
      </c>
      <c r="AM800" t="str">
        <f>IF(OR($B800="",NOT(ISNUMBER(P800))),"",IF(COUNTIF(Q800:$T800,P800)&gt;0,0,IF(COUNTIF($G800:$T800,"&gt;"&amp;P800)=0,"",SMALL($G800:$T800,COUNTIF($G800:$T800,"&lt;="&amp;P800)+1)-P800)))</f>
        <v/>
      </c>
      <c r="AN800" t="str">
        <f>IF(OR($B800="",NOT(ISNUMBER(Q800))),"",IF(COUNTIF(R800:$T800,Q800)&gt;0,0,IF(COUNTIF($G800:$T800,"&gt;"&amp;Q800)=0,"",SMALL($G800:$T800,COUNTIF($G800:$T800,"&lt;="&amp;Q800)+1)-Q800)))</f>
        <v/>
      </c>
      <c r="AO800" t="str">
        <f>IF(OR($B800="",NOT(ISNUMBER(R800))),"",IF(COUNTIF(S800:$T800,R800)&gt;0,0,IF(COUNTIF($G800:$T800,"&gt;"&amp;R800)=0,"",SMALL($G800:$T800,COUNTIF($G800:$T800,"&lt;="&amp;R800)+1)-R800)))</f>
        <v/>
      </c>
      <c r="AP800">
        <f t="shared" ca="1" si="207"/>
        <v>0</v>
      </c>
      <c r="AQ800" s="25" t="str">
        <f t="shared" si="208"/>
        <v/>
      </c>
      <c r="AR800" s="25" t="str">
        <f t="shared" si="209"/>
        <v/>
      </c>
      <c r="AS800" s="25" t="str">
        <f t="shared" si="210"/>
        <v/>
      </c>
      <c r="AT800" s="25" t="str">
        <f t="shared" si="211"/>
        <v/>
      </c>
      <c r="AU800" s="25" t="str">
        <f t="shared" si="212"/>
        <v/>
      </c>
      <c r="AV800" s="25" t="str">
        <f t="shared" si="213"/>
        <v/>
      </c>
      <c r="AW800" s="25" t="str">
        <f t="shared" si="214"/>
        <v/>
      </c>
      <c r="AX800" s="25" t="str">
        <f t="shared" si="215"/>
        <v/>
      </c>
      <c r="AY800" s="25" t="str">
        <f t="shared" si="216"/>
        <v/>
      </c>
      <c r="AZ800" s="25" t="str">
        <f t="shared" si="217"/>
        <v/>
      </c>
      <c r="BA800" s="25" t="str">
        <f t="shared" si="218"/>
        <v/>
      </c>
      <c r="BB800" s="25" t="str">
        <f t="shared" si="219"/>
        <v/>
      </c>
      <c r="BC800" s="25" t="str">
        <f t="shared" si="220"/>
        <v/>
      </c>
    </row>
    <row r="801" spans="1:55" x14ac:dyDescent="0.25">
      <c r="A801" s="19" t="str">
        <f t="shared" si="205"/>
        <v/>
      </c>
      <c r="B801" s="19"/>
      <c r="C801" s="20"/>
      <c r="D801" s="19" t="str">
        <f t="shared" si="204"/>
        <v/>
      </c>
      <c r="E801" s="19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19"/>
      <c r="U801" s="19"/>
      <c r="V801" s="20"/>
      <c r="W801" s="22"/>
      <c r="X801" s="21"/>
      <c r="Y801" s="21"/>
      <c r="Z801" s="23" t="str">
        <f>IF(B801="","",IF(S801&lt;&gt;"","Sevk Edildi",IF(AND(X801&lt;&gt;"",Y801=""),"Reworkte",IF(T801&lt;&gt;"","Kapandı"&amp;IF(COUNT(G801:R801)=0,""," – "&amp;LOOKUP(2,1/(G801:R801=MAX(G801:R801)),{"Tasarım","Ply Cutter","Üretim","Kalite (Üretim sonrası)","Talaşlı","Kalite (Talaşlı sonrası)","Montaj","Kalite (Montaj sonrası)","Boya","Kalite (Boya sonrası)","Yarı Mamül","KM"})),IF(COUNT(G801:R801)=0,"Başlamadı",LOOKUP(2,1/(G801:R801=MAX(G801:R801)),{"Tasarımda","Ply Cutter'da","Üretimde","Kalitede (Üretim sonrası)","Talaşlıda","Kalitede (Talaşlı sonrası)","Montajda","Kalitede (Montaj sonrası)","Boyada","Kalitede (Boya sonrası)","Yarı Mamülde","KM'de"}))))))</f>
        <v/>
      </c>
      <c r="AA801" s="24" t="str">
        <f t="shared" ca="1" si="206"/>
        <v/>
      </c>
      <c r="AB801" s="22"/>
      <c r="AD801" t="str">
        <f>IF(OR($B801="",NOT(ISNUMBER(G801))),"",IF(COUNTIF(H801:$T801,G801)&gt;0,0,IF(COUNTIF($G801:$T801,"&gt;"&amp;G801)=0,"",SMALL($G801:$T801,COUNTIF($G801:$T801,"&lt;="&amp;G801)+1)-G801)))</f>
        <v/>
      </c>
      <c r="AE801" t="str">
        <f>IF(OR($B801="",NOT(ISNUMBER(H801))),"",IF(COUNTIF(I801:$T801,H801)&gt;0,0,IF(COUNTIF($G801:$T801,"&gt;"&amp;H801)=0,"",SMALL($G801:$T801,COUNTIF($G801:$T801,"&lt;="&amp;H801)+1)-H801)))</f>
        <v/>
      </c>
      <c r="AF801" t="str">
        <f>IF(OR($B801="",NOT(ISNUMBER(I801))),"",IF(COUNTIF(J801:$T801,I801)&gt;0,0,IF(COUNTIF($G801:$T801,"&gt;"&amp;I801)=0,"",SMALL($G801:$T801,COUNTIF($G801:$T801,"&lt;="&amp;I801)+1)-I801)))</f>
        <v/>
      </c>
      <c r="AG801" t="str">
        <f>IF(OR($B801="",NOT(ISNUMBER(J801))),"",IF(COUNTIF(K801:$T801,J801)&gt;0,0,IF(COUNTIF($G801:$T801,"&gt;"&amp;J801)=0,"",SMALL($G801:$T801,COUNTIF($G801:$T801,"&lt;="&amp;J801)+1)-J801)))</f>
        <v/>
      </c>
      <c r="AH801" t="str">
        <f>IF(OR($B801="",NOT(ISNUMBER(K801))),"",IF(COUNTIF(L801:$T801,K801)&gt;0,0,IF(COUNTIF($G801:$T801,"&gt;"&amp;K801)=0,"",SMALL($G801:$T801,COUNTIF($G801:$T801,"&lt;="&amp;K801)+1)-K801)))</f>
        <v/>
      </c>
      <c r="AI801" t="str">
        <f>IF(OR($B801="",NOT(ISNUMBER(L801))),"",IF(COUNTIF(M801:$T801,L801)&gt;0,0,IF(COUNTIF($G801:$T801,"&gt;"&amp;L801)=0,"",SMALL($G801:$T801,COUNTIF($G801:$T801,"&lt;="&amp;L801)+1)-L801)))</f>
        <v/>
      </c>
      <c r="AJ801" t="str">
        <f>IF(OR($B801="",NOT(ISNUMBER(M801))),"",IF(COUNTIF(N801:$T801,M801)&gt;0,0,IF(COUNTIF($G801:$T801,"&gt;"&amp;M801)=0,"",SMALL($G801:$T801,COUNTIF($G801:$T801,"&lt;="&amp;M801)+1)-M801)))</f>
        <v/>
      </c>
      <c r="AK801" t="str">
        <f>IF(OR($B801="",NOT(ISNUMBER(N801))),"",IF(COUNTIF(O801:$T801,N801)&gt;0,0,IF(COUNTIF($G801:$T801,"&gt;"&amp;N801)=0,"",SMALL($G801:$T801,COUNTIF($G801:$T801,"&lt;="&amp;N801)+1)-N801)))</f>
        <v/>
      </c>
      <c r="AL801" t="str">
        <f>IF(OR($B801="",NOT(ISNUMBER(O801))),"",IF(COUNTIF(P801:$T801,O801)&gt;0,0,IF(COUNTIF($G801:$T801,"&gt;"&amp;O801)=0,"",SMALL($G801:$T801,COUNTIF($G801:$T801,"&lt;="&amp;O801)+1)-O801)))</f>
        <v/>
      </c>
      <c r="AM801" t="str">
        <f>IF(OR($B801="",NOT(ISNUMBER(P801))),"",IF(COUNTIF(Q801:$T801,P801)&gt;0,0,IF(COUNTIF($G801:$T801,"&gt;"&amp;P801)=0,"",SMALL($G801:$T801,COUNTIF($G801:$T801,"&lt;="&amp;P801)+1)-P801)))</f>
        <v/>
      </c>
      <c r="AN801" t="str">
        <f>IF(OR($B801="",NOT(ISNUMBER(Q801))),"",IF(COUNTIF(R801:$T801,Q801)&gt;0,0,IF(COUNTIF($G801:$T801,"&gt;"&amp;Q801)=0,"",SMALL($G801:$T801,COUNTIF($G801:$T801,"&lt;="&amp;Q801)+1)-Q801)))</f>
        <v/>
      </c>
      <c r="AO801" t="str">
        <f>IF(OR($B801="",NOT(ISNUMBER(R801))),"",IF(COUNTIF(S801:$T801,R801)&gt;0,0,IF(COUNTIF($G801:$T801,"&gt;"&amp;R801)=0,"",SMALL($G801:$T801,COUNTIF($G801:$T801,"&lt;="&amp;R801)+1)-R801)))</f>
        <v/>
      </c>
      <c r="AP801">
        <f t="shared" ca="1" si="207"/>
        <v>0</v>
      </c>
      <c r="AQ801" s="25" t="str">
        <f t="shared" si="208"/>
        <v/>
      </c>
      <c r="AR801" s="25" t="str">
        <f t="shared" si="209"/>
        <v/>
      </c>
      <c r="AS801" s="25" t="str">
        <f t="shared" si="210"/>
        <v/>
      </c>
      <c r="AT801" s="25" t="str">
        <f t="shared" si="211"/>
        <v/>
      </c>
      <c r="AU801" s="25" t="str">
        <f t="shared" si="212"/>
        <v/>
      </c>
      <c r="AV801" s="25" t="str">
        <f t="shared" si="213"/>
        <v/>
      </c>
      <c r="AW801" s="25" t="str">
        <f t="shared" si="214"/>
        <v/>
      </c>
      <c r="AX801" s="25" t="str">
        <f t="shared" si="215"/>
        <v/>
      </c>
      <c r="AY801" s="25" t="str">
        <f t="shared" si="216"/>
        <v/>
      </c>
      <c r="AZ801" s="25" t="str">
        <f t="shared" si="217"/>
        <v/>
      </c>
      <c r="BA801" s="25" t="str">
        <f t="shared" si="218"/>
        <v/>
      </c>
      <c r="BB801" s="25" t="str">
        <f t="shared" si="219"/>
        <v/>
      </c>
      <c r="BC801" s="25" t="str">
        <f t="shared" si="220"/>
        <v/>
      </c>
    </row>
    <row r="802" spans="1:55" x14ac:dyDescent="0.25">
      <c r="A802" s="19" t="str">
        <f t="shared" si="205"/>
        <v/>
      </c>
      <c r="B802" s="19"/>
      <c r="C802" s="20"/>
      <c r="D802" s="19" t="str">
        <f t="shared" si="204"/>
        <v/>
      </c>
      <c r="E802" s="19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19"/>
      <c r="U802" s="19"/>
      <c r="V802" s="20"/>
      <c r="W802" s="22"/>
      <c r="X802" s="21"/>
      <c r="Y802" s="21"/>
      <c r="Z802" s="23" t="str">
        <f>IF(B802="","",IF(S802&lt;&gt;"","Sevk Edildi",IF(AND(X802&lt;&gt;"",Y802=""),"Reworkte",IF(T802&lt;&gt;"","Kapandı"&amp;IF(COUNT(G802:R802)=0,""," – "&amp;LOOKUP(2,1/(G802:R802=MAX(G802:R802)),{"Tasarım","Ply Cutter","Üretim","Kalite (Üretim sonrası)","Talaşlı","Kalite (Talaşlı sonrası)","Montaj","Kalite (Montaj sonrası)","Boya","Kalite (Boya sonrası)","Yarı Mamül","KM"})),IF(COUNT(G802:R802)=0,"Başlamadı",LOOKUP(2,1/(G802:R802=MAX(G802:R802)),{"Tasarımda","Ply Cutter'da","Üretimde","Kalitede (Üretim sonrası)","Talaşlıda","Kalitede (Talaşlı sonrası)","Montajda","Kalitede (Montaj sonrası)","Boyada","Kalitede (Boya sonrası)","Yarı Mamülde","KM'de"}))))))</f>
        <v/>
      </c>
      <c r="AA802" s="24" t="str">
        <f t="shared" ca="1" si="206"/>
        <v/>
      </c>
      <c r="AB802" s="22"/>
      <c r="AD802" t="str">
        <f>IF(OR($B802="",NOT(ISNUMBER(G802))),"",IF(COUNTIF(H802:$T802,G802)&gt;0,0,IF(COUNTIF($G802:$T802,"&gt;"&amp;G802)=0,"",SMALL($G802:$T802,COUNTIF($G802:$T802,"&lt;="&amp;G802)+1)-G802)))</f>
        <v/>
      </c>
      <c r="AE802" t="str">
        <f>IF(OR($B802="",NOT(ISNUMBER(H802))),"",IF(COUNTIF(I802:$T802,H802)&gt;0,0,IF(COUNTIF($G802:$T802,"&gt;"&amp;H802)=0,"",SMALL($G802:$T802,COUNTIF($G802:$T802,"&lt;="&amp;H802)+1)-H802)))</f>
        <v/>
      </c>
      <c r="AF802" t="str">
        <f>IF(OR($B802="",NOT(ISNUMBER(I802))),"",IF(COUNTIF(J802:$T802,I802)&gt;0,0,IF(COUNTIF($G802:$T802,"&gt;"&amp;I802)=0,"",SMALL($G802:$T802,COUNTIF($G802:$T802,"&lt;="&amp;I802)+1)-I802)))</f>
        <v/>
      </c>
      <c r="AG802" t="str">
        <f>IF(OR($B802="",NOT(ISNUMBER(J802))),"",IF(COUNTIF(K802:$T802,J802)&gt;0,0,IF(COUNTIF($G802:$T802,"&gt;"&amp;J802)=0,"",SMALL($G802:$T802,COUNTIF($G802:$T802,"&lt;="&amp;J802)+1)-J802)))</f>
        <v/>
      </c>
      <c r="AH802" t="str">
        <f>IF(OR($B802="",NOT(ISNUMBER(K802))),"",IF(COUNTIF(L802:$T802,K802)&gt;0,0,IF(COUNTIF($G802:$T802,"&gt;"&amp;K802)=0,"",SMALL($G802:$T802,COUNTIF($G802:$T802,"&lt;="&amp;K802)+1)-K802)))</f>
        <v/>
      </c>
      <c r="AI802" t="str">
        <f>IF(OR($B802="",NOT(ISNUMBER(L802))),"",IF(COUNTIF(M802:$T802,L802)&gt;0,0,IF(COUNTIF($G802:$T802,"&gt;"&amp;L802)=0,"",SMALL($G802:$T802,COUNTIF($G802:$T802,"&lt;="&amp;L802)+1)-L802)))</f>
        <v/>
      </c>
      <c r="AJ802" t="str">
        <f>IF(OR($B802="",NOT(ISNUMBER(M802))),"",IF(COUNTIF(N802:$T802,M802)&gt;0,0,IF(COUNTIF($G802:$T802,"&gt;"&amp;M802)=0,"",SMALL($G802:$T802,COUNTIF($G802:$T802,"&lt;="&amp;M802)+1)-M802)))</f>
        <v/>
      </c>
      <c r="AK802" t="str">
        <f>IF(OR($B802="",NOT(ISNUMBER(N802))),"",IF(COUNTIF(O802:$T802,N802)&gt;0,0,IF(COUNTIF($G802:$T802,"&gt;"&amp;N802)=0,"",SMALL($G802:$T802,COUNTIF($G802:$T802,"&lt;="&amp;N802)+1)-N802)))</f>
        <v/>
      </c>
      <c r="AL802" t="str">
        <f>IF(OR($B802="",NOT(ISNUMBER(O802))),"",IF(COUNTIF(P802:$T802,O802)&gt;0,0,IF(COUNTIF($G802:$T802,"&gt;"&amp;O802)=0,"",SMALL($G802:$T802,COUNTIF($G802:$T802,"&lt;="&amp;O802)+1)-O802)))</f>
        <v/>
      </c>
      <c r="AM802" t="str">
        <f>IF(OR($B802="",NOT(ISNUMBER(P802))),"",IF(COUNTIF(Q802:$T802,P802)&gt;0,0,IF(COUNTIF($G802:$T802,"&gt;"&amp;P802)=0,"",SMALL($G802:$T802,COUNTIF($G802:$T802,"&lt;="&amp;P802)+1)-P802)))</f>
        <v/>
      </c>
      <c r="AN802" t="str">
        <f>IF(OR($B802="",NOT(ISNUMBER(Q802))),"",IF(COUNTIF(R802:$T802,Q802)&gt;0,0,IF(COUNTIF($G802:$T802,"&gt;"&amp;Q802)=0,"",SMALL($G802:$T802,COUNTIF($G802:$T802,"&lt;="&amp;Q802)+1)-Q802)))</f>
        <v/>
      </c>
      <c r="AO802" t="str">
        <f>IF(OR($B802="",NOT(ISNUMBER(R802))),"",IF(COUNTIF(S802:$T802,R802)&gt;0,0,IF(COUNTIF($G802:$T802,"&gt;"&amp;R802)=0,"",SMALL($G802:$T802,COUNTIF($G802:$T802,"&lt;="&amp;R802)+1)-R802)))</f>
        <v/>
      </c>
      <c r="AP802">
        <f t="shared" ca="1" si="207"/>
        <v>0</v>
      </c>
      <c r="AQ802" s="25" t="str">
        <f t="shared" si="208"/>
        <v/>
      </c>
      <c r="AR802" s="25" t="str">
        <f t="shared" si="209"/>
        <v/>
      </c>
      <c r="AS802" s="25" t="str">
        <f t="shared" si="210"/>
        <v/>
      </c>
      <c r="AT802" s="25" t="str">
        <f t="shared" si="211"/>
        <v/>
      </c>
      <c r="AU802" s="25" t="str">
        <f t="shared" si="212"/>
        <v/>
      </c>
      <c r="AV802" s="25" t="str">
        <f t="shared" si="213"/>
        <v/>
      </c>
      <c r="AW802" s="25" t="str">
        <f t="shared" si="214"/>
        <v/>
      </c>
      <c r="AX802" s="25" t="str">
        <f t="shared" si="215"/>
        <v/>
      </c>
      <c r="AY802" s="25" t="str">
        <f t="shared" si="216"/>
        <v/>
      </c>
      <c r="AZ802" s="25" t="str">
        <f t="shared" si="217"/>
        <v/>
      </c>
      <c r="BA802" s="25" t="str">
        <f t="shared" si="218"/>
        <v/>
      </c>
      <c r="BB802" s="25" t="str">
        <f t="shared" si="219"/>
        <v/>
      </c>
      <c r="BC802" s="25" t="str">
        <f t="shared" si="220"/>
        <v/>
      </c>
    </row>
    <row r="803" spans="1:55" x14ac:dyDescent="0.25">
      <c r="A803" s="19" t="str">
        <f t="shared" si="205"/>
        <v/>
      </c>
      <c r="B803" s="19"/>
      <c r="C803" s="20"/>
      <c r="D803" s="19" t="str">
        <f t="shared" si="204"/>
        <v/>
      </c>
      <c r="E803" s="19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19"/>
      <c r="U803" s="19"/>
      <c r="V803" s="20"/>
      <c r="W803" s="22"/>
      <c r="X803" s="21"/>
      <c r="Y803" s="21"/>
      <c r="Z803" s="23" t="str">
        <f>IF(B803="","",IF(S803&lt;&gt;"","Sevk Edildi",IF(AND(X803&lt;&gt;"",Y803=""),"Reworkte",IF(T803&lt;&gt;"","Kapandı"&amp;IF(COUNT(G803:R803)=0,""," – "&amp;LOOKUP(2,1/(G803:R803=MAX(G803:R803)),{"Tasarım","Ply Cutter","Üretim","Kalite (Üretim sonrası)","Talaşlı","Kalite (Talaşlı sonrası)","Montaj","Kalite (Montaj sonrası)","Boya","Kalite (Boya sonrası)","Yarı Mamül","KM"})),IF(COUNT(G803:R803)=0,"Başlamadı",LOOKUP(2,1/(G803:R803=MAX(G803:R803)),{"Tasarımda","Ply Cutter'da","Üretimde","Kalitede (Üretim sonrası)","Talaşlıda","Kalitede (Talaşlı sonrası)","Montajda","Kalitede (Montaj sonrası)","Boyada","Kalitede (Boya sonrası)","Yarı Mamülde","KM'de"}))))))</f>
        <v/>
      </c>
      <c r="AA803" s="24" t="str">
        <f t="shared" ca="1" si="206"/>
        <v/>
      </c>
      <c r="AB803" s="22"/>
      <c r="AD803" t="str">
        <f>IF(OR($B803="",NOT(ISNUMBER(G803))),"",IF(COUNTIF(H803:$T803,G803)&gt;0,0,IF(COUNTIF($G803:$T803,"&gt;"&amp;G803)=0,"",SMALL($G803:$T803,COUNTIF($G803:$T803,"&lt;="&amp;G803)+1)-G803)))</f>
        <v/>
      </c>
      <c r="AE803" t="str">
        <f>IF(OR($B803="",NOT(ISNUMBER(H803))),"",IF(COUNTIF(I803:$T803,H803)&gt;0,0,IF(COUNTIF($G803:$T803,"&gt;"&amp;H803)=0,"",SMALL($G803:$T803,COUNTIF($G803:$T803,"&lt;="&amp;H803)+1)-H803)))</f>
        <v/>
      </c>
      <c r="AF803" t="str">
        <f>IF(OR($B803="",NOT(ISNUMBER(I803))),"",IF(COUNTIF(J803:$T803,I803)&gt;0,0,IF(COUNTIF($G803:$T803,"&gt;"&amp;I803)=0,"",SMALL($G803:$T803,COUNTIF($G803:$T803,"&lt;="&amp;I803)+1)-I803)))</f>
        <v/>
      </c>
      <c r="AG803" t="str">
        <f>IF(OR($B803="",NOT(ISNUMBER(J803))),"",IF(COUNTIF(K803:$T803,J803)&gt;0,0,IF(COUNTIF($G803:$T803,"&gt;"&amp;J803)=0,"",SMALL($G803:$T803,COUNTIF($G803:$T803,"&lt;="&amp;J803)+1)-J803)))</f>
        <v/>
      </c>
      <c r="AH803" t="str">
        <f>IF(OR($B803="",NOT(ISNUMBER(K803))),"",IF(COUNTIF(L803:$T803,K803)&gt;0,0,IF(COUNTIF($G803:$T803,"&gt;"&amp;K803)=0,"",SMALL($G803:$T803,COUNTIF($G803:$T803,"&lt;="&amp;K803)+1)-K803)))</f>
        <v/>
      </c>
      <c r="AI803" t="str">
        <f>IF(OR($B803="",NOT(ISNUMBER(L803))),"",IF(COUNTIF(M803:$T803,L803)&gt;0,0,IF(COUNTIF($G803:$T803,"&gt;"&amp;L803)=0,"",SMALL($G803:$T803,COUNTIF($G803:$T803,"&lt;="&amp;L803)+1)-L803)))</f>
        <v/>
      </c>
      <c r="AJ803" t="str">
        <f>IF(OR($B803="",NOT(ISNUMBER(M803))),"",IF(COUNTIF(N803:$T803,M803)&gt;0,0,IF(COUNTIF($G803:$T803,"&gt;"&amp;M803)=0,"",SMALL($G803:$T803,COUNTIF($G803:$T803,"&lt;="&amp;M803)+1)-M803)))</f>
        <v/>
      </c>
      <c r="AK803" t="str">
        <f>IF(OR($B803="",NOT(ISNUMBER(N803))),"",IF(COUNTIF(O803:$T803,N803)&gt;0,0,IF(COUNTIF($G803:$T803,"&gt;"&amp;N803)=0,"",SMALL($G803:$T803,COUNTIF($G803:$T803,"&lt;="&amp;N803)+1)-N803)))</f>
        <v/>
      </c>
      <c r="AL803" t="str">
        <f>IF(OR($B803="",NOT(ISNUMBER(O803))),"",IF(COUNTIF(P803:$T803,O803)&gt;0,0,IF(COUNTIF($G803:$T803,"&gt;"&amp;O803)=0,"",SMALL($G803:$T803,COUNTIF($G803:$T803,"&lt;="&amp;O803)+1)-O803)))</f>
        <v/>
      </c>
      <c r="AM803" t="str">
        <f>IF(OR($B803="",NOT(ISNUMBER(P803))),"",IF(COUNTIF(Q803:$T803,P803)&gt;0,0,IF(COUNTIF($G803:$T803,"&gt;"&amp;P803)=0,"",SMALL($G803:$T803,COUNTIF($G803:$T803,"&lt;="&amp;P803)+1)-P803)))</f>
        <v/>
      </c>
      <c r="AN803" t="str">
        <f>IF(OR($B803="",NOT(ISNUMBER(Q803))),"",IF(COUNTIF(R803:$T803,Q803)&gt;0,0,IF(COUNTIF($G803:$T803,"&gt;"&amp;Q803)=0,"",SMALL($G803:$T803,COUNTIF($G803:$T803,"&lt;="&amp;Q803)+1)-Q803)))</f>
        <v/>
      </c>
      <c r="AO803" t="str">
        <f>IF(OR($B803="",NOT(ISNUMBER(R803))),"",IF(COUNTIF(S803:$T803,R803)&gt;0,0,IF(COUNTIF($G803:$T803,"&gt;"&amp;R803)=0,"",SMALL($G803:$T803,COUNTIF($G803:$T803,"&lt;="&amp;R803)+1)-R803)))</f>
        <v/>
      </c>
      <c r="AP803">
        <f t="shared" ca="1" si="207"/>
        <v>0</v>
      </c>
      <c r="AQ803" s="25" t="str">
        <f t="shared" si="208"/>
        <v/>
      </c>
      <c r="AR803" s="25" t="str">
        <f t="shared" si="209"/>
        <v/>
      </c>
      <c r="AS803" s="25" t="str">
        <f t="shared" si="210"/>
        <v/>
      </c>
      <c r="AT803" s="25" t="str">
        <f t="shared" si="211"/>
        <v/>
      </c>
      <c r="AU803" s="25" t="str">
        <f t="shared" si="212"/>
        <v/>
      </c>
      <c r="AV803" s="25" t="str">
        <f t="shared" si="213"/>
        <v/>
      </c>
      <c r="AW803" s="25" t="str">
        <f t="shared" si="214"/>
        <v/>
      </c>
      <c r="AX803" s="25" t="str">
        <f t="shared" si="215"/>
        <v/>
      </c>
      <c r="AY803" s="25" t="str">
        <f t="shared" si="216"/>
        <v/>
      </c>
      <c r="AZ803" s="25" t="str">
        <f t="shared" si="217"/>
        <v/>
      </c>
      <c r="BA803" s="25" t="str">
        <f t="shared" si="218"/>
        <v/>
      </c>
      <c r="BB803" s="25" t="str">
        <f t="shared" si="219"/>
        <v/>
      </c>
      <c r="BC803" s="25" t="str">
        <f t="shared" si="220"/>
        <v/>
      </c>
    </row>
    <row r="804" spans="1:55" x14ac:dyDescent="0.25">
      <c r="A804" s="19" t="str">
        <f t="shared" si="205"/>
        <v/>
      </c>
      <c r="B804" s="19"/>
      <c r="C804" s="20"/>
      <c r="D804" s="19" t="str">
        <f t="shared" si="204"/>
        <v/>
      </c>
      <c r="E804" s="19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19"/>
      <c r="U804" s="19"/>
      <c r="V804" s="20"/>
      <c r="W804" s="22"/>
      <c r="X804" s="21"/>
      <c r="Y804" s="21"/>
      <c r="Z804" s="23" t="str">
        <f>IF(B804="","",IF(S804&lt;&gt;"","Sevk Edildi",IF(AND(X804&lt;&gt;"",Y804=""),"Reworkte",IF(T804&lt;&gt;"","Kapandı"&amp;IF(COUNT(G804:R804)=0,""," – "&amp;LOOKUP(2,1/(G804:R804=MAX(G804:R804)),{"Tasarım","Ply Cutter","Üretim","Kalite (Üretim sonrası)","Talaşlı","Kalite (Talaşlı sonrası)","Montaj","Kalite (Montaj sonrası)","Boya","Kalite (Boya sonrası)","Yarı Mamül","KM"})),IF(COUNT(G804:R804)=0,"Başlamadı",LOOKUP(2,1/(G804:R804=MAX(G804:R804)),{"Tasarımda","Ply Cutter'da","Üretimde","Kalitede (Üretim sonrası)","Talaşlıda","Kalitede (Talaşlı sonrası)","Montajda","Kalitede (Montaj sonrası)","Boyada","Kalitede (Boya sonrası)","Yarı Mamülde","KM'de"}))))))</f>
        <v/>
      </c>
      <c r="AA804" s="24" t="str">
        <f t="shared" ca="1" si="206"/>
        <v/>
      </c>
      <c r="AB804" s="22"/>
      <c r="AD804" t="str">
        <f>IF(OR($B804="",NOT(ISNUMBER(G804))),"",IF(COUNTIF(H804:$T804,G804)&gt;0,0,IF(COUNTIF($G804:$T804,"&gt;"&amp;G804)=0,"",SMALL($G804:$T804,COUNTIF($G804:$T804,"&lt;="&amp;G804)+1)-G804)))</f>
        <v/>
      </c>
      <c r="AE804" t="str">
        <f>IF(OR($B804="",NOT(ISNUMBER(H804))),"",IF(COUNTIF(I804:$T804,H804)&gt;0,0,IF(COUNTIF($G804:$T804,"&gt;"&amp;H804)=0,"",SMALL($G804:$T804,COUNTIF($G804:$T804,"&lt;="&amp;H804)+1)-H804)))</f>
        <v/>
      </c>
      <c r="AF804" t="str">
        <f>IF(OR($B804="",NOT(ISNUMBER(I804))),"",IF(COUNTIF(J804:$T804,I804)&gt;0,0,IF(COUNTIF($G804:$T804,"&gt;"&amp;I804)=0,"",SMALL($G804:$T804,COUNTIF($G804:$T804,"&lt;="&amp;I804)+1)-I804)))</f>
        <v/>
      </c>
      <c r="AG804" t="str">
        <f>IF(OR($B804="",NOT(ISNUMBER(J804))),"",IF(COUNTIF(K804:$T804,J804)&gt;0,0,IF(COUNTIF($G804:$T804,"&gt;"&amp;J804)=0,"",SMALL($G804:$T804,COUNTIF($G804:$T804,"&lt;="&amp;J804)+1)-J804)))</f>
        <v/>
      </c>
      <c r="AH804" t="str">
        <f>IF(OR($B804="",NOT(ISNUMBER(K804))),"",IF(COUNTIF(L804:$T804,K804)&gt;0,0,IF(COUNTIF($G804:$T804,"&gt;"&amp;K804)=0,"",SMALL($G804:$T804,COUNTIF($G804:$T804,"&lt;="&amp;K804)+1)-K804)))</f>
        <v/>
      </c>
      <c r="AI804" t="str">
        <f>IF(OR($B804="",NOT(ISNUMBER(L804))),"",IF(COUNTIF(M804:$T804,L804)&gt;0,0,IF(COUNTIF($G804:$T804,"&gt;"&amp;L804)=0,"",SMALL($G804:$T804,COUNTIF($G804:$T804,"&lt;="&amp;L804)+1)-L804)))</f>
        <v/>
      </c>
      <c r="AJ804" t="str">
        <f>IF(OR($B804="",NOT(ISNUMBER(M804))),"",IF(COUNTIF(N804:$T804,M804)&gt;0,0,IF(COUNTIF($G804:$T804,"&gt;"&amp;M804)=0,"",SMALL($G804:$T804,COUNTIF($G804:$T804,"&lt;="&amp;M804)+1)-M804)))</f>
        <v/>
      </c>
      <c r="AK804" t="str">
        <f>IF(OR($B804="",NOT(ISNUMBER(N804))),"",IF(COUNTIF(O804:$T804,N804)&gt;0,0,IF(COUNTIF($G804:$T804,"&gt;"&amp;N804)=0,"",SMALL($G804:$T804,COUNTIF($G804:$T804,"&lt;="&amp;N804)+1)-N804)))</f>
        <v/>
      </c>
      <c r="AL804" t="str">
        <f>IF(OR($B804="",NOT(ISNUMBER(O804))),"",IF(COUNTIF(P804:$T804,O804)&gt;0,0,IF(COUNTIF($G804:$T804,"&gt;"&amp;O804)=0,"",SMALL($G804:$T804,COUNTIF($G804:$T804,"&lt;="&amp;O804)+1)-O804)))</f>
        <v/>
      </c>
      <c r="AM804" t="str">
        <f>IF(OR($B804="",NOT(ISNUMBER(P804))),"",IF(COUNTIF(Q804:$T804,P804)&gt;0,0,IF(COUNTIF($G804:$T804,"&gt;"&amp;P804)=0,"",SMALL($G804:$T804,COUNTIF($G804:$T804,"&lt;="&amp;P804)+1)-P804)))</f>
        <v/>
      </c>
      <c r="AN804" t="str">
        <f>IF(OR($B804="",NOT(ISNUMBER(Q804))),"",IF(COUNTIF(R804:$T804,Q804)&gt;0,0,IF(COUNTIF($G804:$T804,"&gt;"&amp;Q804)=0,"",SMALL($G804:$T804,COUNTIF($G804:$T804,"&lt;="&amp;Q804)+1)-Q804)))</f>
        <v/>
      </c>
      <c r="AO804" t="str">
        <f>IF(OR($B804="",NOT(ISNUMBER(R804))),"",IF(COUNTIF(S804:$T804,R804)&gt;0,0,IF(COUNTIF($G804:$T804,"&gt;"&amp;R804)=0,"",SMALL($G804:$T804,COUNTIF($G804:$T804,"&lt;="&amp;R804)+1)-R804)))</f>
        <v/>
      </c>
      <c r="AP804">
        <f t="shared" ca="1" si="207"/>
        <v>0</v>
      </c>
      <c r="AQ804" s="25" t="str">
        <f t="shared" si="208"/>
        <v/>
      </c>
      <c r="AR804" s="25" t="str">
        <f t="shared" si="209"/>
        <v/>
      </c>
      <c r="AS804" s="25" t="str">
        <f t="shared" si="210"/>
        <v/>
      </c>
      <c r="AT804" s="25" t="str">
        <f t="shared" si="211"/>
        <v/>
      </c>
      <c r="AU804" s="25" t="str">
        <f t="shared" si="212"/>
        <v/>
      </c>
      <c r="AV804" s="25" t="str">
        <f t="shared" si="213"/>
        <v/>
      </c>
      <c r="AW804" s="25" t="str">
        <f t="shared" si="214"/>
        <v/>
      </c>
      <c r="AX804" s="25" t="str">
        <f t="shared" si="215"/>
        <v/>
      </c>
      <c r="AY804" s="25" t="str">
        <f t="shared" si="216"/>
        <v/>
      </c>
      <c r="AZ804" s="25" t="str">
        <f t="shared" si="217"/>
        <v/>
      </c>
      <c r="BA804" s="25" t="str">
        <f t="shared" si="218"/>
        <v/>
      </c>
      <c r="BB804" s="25" t="str">
        <f t="shared" si="219"/>
        <v/>
      </c>
      <c r="BC804" s="25" t="str">
        <f t="shared" si="220"/>
        <v/>
      </c>
    </row>
    <row r="805" spans="1:55" x14ac:dyDescent="0.25">
      <c r="A805" s="19" t="str">
        <f t="shared" si="205"/>
        <v/>
      </c>
      <c r="B805" s="19"/>
      <c r="C805" s="20"/>
      <c r="D805" s="19" t="str">
        <f t="shared" si="204"/>
        <v/>
      </c>
      <c r="E805" s="19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19"/>
      <c r="U805" s="19"/>
      <c r="V805" s="20"/>
      <c r="W805" s="22"/>
      <c r="X805" s="21"/>
      <c r="Y805" s="21"/>
      <c r="Z805" s="23" t="str">
        <f>IF(B805="","",IF(S805&lt;&gt;"","Sevk Edildi",IF(AND(X805&lt;&gt;"",Y805=""),"Reworkte",IF(T805&lt;&gt;"","Kapandı"&amp;IF(COUNT(G805:R805)=0,""," – "&amp;LOOKUP(2,1/(G805:R805=MAX(G805:R805)),{"Tasarım","Ply Cutter","Üretim","Kalite (Üretim sonrası)","Talaşlı","Kalite (Talaşlı sonrası)","Montaj","Kalite (Montaj sonrası)","Boya","Kalite (Boya sonrası)","Yarı Mamül","KM"})),IF(COUNT(G805:R805)=0,"Başlamadı",LOOKUP(2,1/(G805:R805=MAX(G805:R805)),{"Tasarımda","Ply Cutter'da","Üretimde","Kalitede (Üretim sonrası)","Talaşlıda","Kalitede (Talaşlı sonrası)","Montajda","Kalitede (Montaj sonrası)","Boyada","Kalitede (Boya sonrası)","Yarı Mamülde","KM'de"}))))))</f>
        <v/>
      </c>
      <c r="AA805" s="24" t="str">
        <f t="shared" ca="1" si="206"/>
        <v/>
      </c>
      <c r="AB805" s="22"/>
      <c r="AD805" t="str">
        <f>IF(OR($B805="",NOT(ISNUMBER(G805))),"",IF(COUNTIF(H805:$T805,G805)&gt;0,0,IF(COUNTIF($G805:$T805,"&gt;"&amp;G805)=0,"",SMALL($G805:$T805,COUNTIF($G805:$T805,"&lt;="&amp;G805)+1)-G805)))</f>
        <v/>
      </c>
      <c r="AE805" t="str">
        <f>IF(OR($B805="",NOT(ISNUMBER(H805))),"",IF(COUNTIF(I805:$T805,H805)&gt;0,0,IF(COUNTIF($G805:$T805,"&gt;"&amp;H805)=0,"",SMALL($G805:$T805,COUNTIF($G805:$T805,"&lt;="&amp;H805)+1)-H805)))</f>
        <v/>
      </c>
      <c r="AF805" t="str">
        <f>IF(OR($B805="",NOT(ISNUMBER(I805))),"",IF(COUNTIF(J805:$T805,I805)&gt;0,0,IF(COUNTIF($G805:$T805,"&gt;"&amp;I805)=0,"",SMALL($G805:$T805,COUNTIF($G805:$T805,"&lt;="&amp;I805)+1)-I805)))</f>
        <v/>
      </c>
      <c r="AG805" t="str">
        <f>IF(OR($B805="",NOT(ISNUMBER(J805))),"",IF(COUNTIF(K805:$T805,J805)&gt;0,0,IF(COUNTIF($G805:$T805,"&gt;"&amp;J805)=0,"",SMALL($G805:$T805,COUNTIF($G805:$T805,"&lt;="&amp;J805)+1)-J805)))</f>
        <v/>
      </c>
      <c r="AH805" t="str">
        <f>IF(OR($B805="",NOT(ISNUMBER(K805))),"",IF(COUNTIF(L805:$T805,K805)&gt;0,0,IF(COUNTIF($G805:$T805,"&gt;"&amp;K805)=0,"",SMALL($G805:$T805,COUNTIF($G805:$T805,"&lt;="&amp;K805)+1)-K805)))</f>
        <v/>
      </c>
      <c r="AI805" t="str">
        <f>IF(OR($B805="",NOT(ISNUMBER(L805))),"",IF(COUNTIF(M805:$T805,L805)&gt;0,0,IF(COUNTIF($G805:$T805,"&gt;"&amp;L805)=0,"",SMALL($G805:$T805,COUNTIF($G805:$T805,"&lt;="&amp;L805)+1)-L805)))</f>
        <v/>
      </c>
      <c r="AJ805" t="str">
        <f>IF(OR($B805="",NOT(ISNUMBER(M805))),"",IF(COUNTIF(N805:$T805,M805)&gt;0,0,IF(COUNTIF($G805:$T805,"&gt;"&amp;M805)=0,"",SMALL($G805:$T805,COUNTIF($G805:$T805,"&lt;="&amp;M805)+1)-M805)))</f>
        <v/>
      </c>
      <c r="AK805" t="str">
        <f>IF(OR($B805="",NOT(ISNUMBER(N805))),"",IF(COUNTIF(O805:$T805,N805)&gt;0,0,IF(COUNTIF($G805:$T805,"&gt;"&amp;N805)=0,"",SMALL($G805:$T805,COUNTIF($G805:$T805,"&lt;="&amp;N805)+1)-N805)))</f>
        <v/>
      </c>
      <c r="AL805" t="str">
        <f>IF(OR($B805="",NOT(ISNUMBER(O805))),"",IF(COUNTIF(P805:$T805,O805)&gt;0,0,IF(COUNTIF($G805:$T805,"&gt;"&amp;O805)=0,"",SMALL($G805:$T805,COUNTIF($G805:$T805,"&lt;="&amp;O805)+1)-O805)))</f>
        <v/>
      </c>
      <c r="AM805" t="str">
        <f>IF(OR($B805="",NOT(ISNUMBER(P805))),"",IF(COUNTIF(Q805:$T805,P805)&gt;0,0,IF(COUNTIF($G805:$T805,"&gt;"&amp;P805)=0,"",SMALL($G805:$T805,COUNTIF($G805:$T805,"&lt;="&amp;P805)+1)-P805)))</f>
        <v/>
      </c>
      <c r="AN805" t="str">
        <f>IF(OR($B805="",NOT(ISNUMBER(Q805))),"",IF(COUNTIF(R805:$T805,Q805)&gt;0,0,IF(COUNTIF($G805:$T805,"&gt;"&amp;Q805)=0,"",SMALL($G805:$T805,COUNTIF($G805:$T805,"&lt;="&amp;Q805)+1)-Q805)))</f>
        <v/>
      </c>
      <c r="AO805" t="str">
        <f>IF(OR($B805="",NOT(ISNUMBER(R805))),"",IF(COUNTIF(S805:$T805,R805)&gt;0,0,IF(COUNTIF($G805:$T805,"&gt;"&amp;R805)=0,"",SMALL($G805:$T805,COUNTIF($G805:$T805,"&lt;="&amp;R805)+1)-R805)))</f>
        <v/>
      </c>
      <c r="AP805">
        <f t="shared" ca="1" si="207"/>
        <v>0</v>
      </c>
      <c r="AQ805" s="25" t="str">
        <f t="shared" si="208"/>
        <v/>
      </c>
      <c r="AR805" s="25" t="str">
        <f t="shared" si="209"/>
        <v/>
      </c>
      <c r="AS805" s="25" t="str">
        <f t="shared" si="210"/>
        <v/>
      </c>
      <c r="AT805" s="25" t="str">
        <f t="shared" si="211"/>
        <v/>
      </c>
      <c r="AU805" s="25" t="str">
        <f t="shared" si="212"/>
        <v/>
      </c>
      <c r="AV805" s="25" t="str">
        <f t="shared" si="213"/>
        <v/>
      </c>
      <c r="AW805" s="25" t="str">
        <f t="shared" si="214"/>
        <v/>
      </c>
      <c r="AX805" s="25" t="str">
        <f t="shared" si="215"/>
        <v/>
      </c>
      <c r="AY805" s="25" t="str">
        <f t="shared" si="216"/>
        <v/>
      </c>
      <c r="AZ805" s="25" t="str">
        <f t="shared" si="217"/>
        <v/>
      </c>
      <c r="BA805" s="25" t="str">
        <f t="shared" si="218"/>
        <v/>
      </c>
      <c r="BB805" s="25" t="str">
        <f t="shared" si="219"/>
        <v/>
      </c>
      <c r="BC805" s="25" t="str">
        <f t="shared" si="220"/>
        <v/>
      </c>
    </row>
    <row r="806" spans="1:55" x14ac:dyDescent="0.25">
      <c r="A806" s="19" t="str">
        <f t="shared" si="205"/>
        <v/>
      </c>
      <c r="B806" s="19"/>
      <c r="C806" s="20"/>
      <c r="D806" s="19" t="str">
        <f t="shared" si="204"/>
        <v/>
      </c>
      <c r="E806" s="19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19"/>
      <c r="U806" s="19"/>
      <c r="V806" s="20"/>
      <c r="W806" s="22"/>
      <c r="X806" s="21"/>
      <c r="Y806" s="21"/>
      <c r="Z806" s="23" t="str">
        <f>IF(B806="","",IF(S806&lt;&gt;"","Sevk Edildi",IF(AND(X806&lt;&gt;"",Y806=""),"Reworkte",IF(T806&lt;&gt;"","Kapandı"&amp;IF(COUNT(G806:R806)=0,""," – "&amp;LOOKUP(2,1/(G806:R806=MAX(G806:R806)),{"Tasarım","Ply Cutter","Üretim","Kalite (Üretim sonrası)","Talaşlı","Kalite (Talaşlı sonrası)","Montaj","Kalite (Montaj sonrası)","Boya","Kalite (Boya sonrası)","Yarı Mamül","KM"})),IF(COUNT(G806:R806)=0,"Başlamadı",LOOKUP(2,1/(G806:R806=MAX(G806:R806)),{"Tasarımda","Ply Cutter'da","Üretimde","Kalitede (Üretim sonrası)","Talaşlıda","Kalitede (Talaşlı sonrası)","Montajda","Kalitede (Montaj sonrası)","Boyada","Kalitede (Boya sonrası)","Yarı Mamülde","KM'de"}))))))</f>
        <v/>
      </c>
      <c r="AA806" s="24" t="str">
        <f t="shared" ca="1" si="206"/>
        <v/>
      </c>
      <c r="AB806" s="22"/>
      <c r="AD806" t="str">
        <f>IF(OR($B806="",NOT(ISNUMBER(G806))),"",IF(COUNTIF(H806:$T806,G806)&gt;0,0,IF(COUNTIF($G806:$T806,"&gt;"&amp;G806)=0,"",SMALL($G806:$T806,COUNTIF($G806:$T806,"&lt;="&amp;G806)+1)-G806)))</f>
        <v/>
      </c>
      <c r="AE806" t="str">
        <f>IF(OR($B806="",NOT(ISNUMBER(H806))),"",IF(COUNTIF(I806:$T806,H806)&gt;0,0,IF(COUNTIF($G806:$T806,"&gt;"&amp;H806)=0,"",SMALL($G806:$T806,COUNTIF($G806:$T806,"&lt;="&amp;H806)+1)-H806)))</f>
        <v/>
      </c>
      <c r="AF806" t="str">
        <f>IF(OR($B806="",NOT(ISNUMBER(I806))),"",IF(COUNTIF(J806:$T806,I806)&gt;0,0,IF(COUNTIF($G806:$T806,"&gt;"&amp;I806)=0,"",SMALL($G806:$T806,COUNTIF($G806:$T806,"&lt;="&amp;I806)+1)-I806)))</f>
        <v/>
      </c>
      <c r="AG806" t="str">
        <f>IF(OR($B806="",NOT(ISNUMBER(J806))),"",IF(COUNTIF(K806:$T806,J806)&gt;0,0,IF(COUNTIF($G806:$T806,"&gt;"&amp;J806)=0,"",SMALL($G806:$T806,COUNTIF($G806:$T806,"&lt;="&amp;J806)+1)-J806)))</f>
        <v/>
      </c>
      <c r="AH806" t="str">
        <f>IF(OR($B806="",NOT(ISNUMBER(K806))),"",IF(COUNTIF(L806:$T806,K806)&gt;0,0,IF(COUNTIF($G806:$T806,"&gt;"&amp;K806)=0,"",SMALL($G806:$T806,COUNTIF($G806:$T806,"&lt;="&amp;K806)+1)-K806)))</f>
        <v/>
      </c>
      <c r="AI806" t="str">
        <f>IF(OR($B806="",NOT(ISNUMBER(L806))),"",IF(COUNTIF(M806:$T806,L806)&gt;0,0,IF(COUNTIF($G806:$T806,"&gt;"&amp;L806)=0,"",SMALL($G806:$T806,COUNTIF($G806:$T806,"&lt;="&amp;L806)+1)-L806)))</f>
        <v/>
      </c>
      <c r="AJ806" t="str">
        <f>IF(OR($B806="",NOT(ISNUMBER(M806))),"",IF(COUNTIF(N806:$T806,M806)&gt;0,0,IF(COUNTIF($G806:$T806,"&gt;"&amp;M806)=0,"",SMALL($G806:$T806,COUNTIF($G806:$T806,"&lt;="&amp;M806)+1)-M806)))</f>
        <v/>
      </c>
      <c r="AK806" t="str">
        <f>IF(OR($B806="",NOT(ISNUMBER(N806))),"",IF(COUNTIF(O806:$T806,N806)&gt;0,0,IF(COUNTIF($G806:$T806,"&gt;"&amp;N806)=0,"",SMALL($G806:$T806,COUNTIF($G806:$T806,"&lt;="&amp;N806)+1)-N806)))</f>
        <v/>
      </c>
      <c r="AL806" t="str">
        <f>IF(OR($B806="",NOT(ISNUMBER(O806))),"",IF(COUNTIF(P806:$T806,O806)&gt;0,0,IF(COUNTIF($G806:$T806,"&gt;"&amp;O806)=0,"",SMALL($G806:$T806,COUNTIF($G806:$T806,"&lt;="&amp;O806)+1)-O806)))</f>
        <v/>
      </c>
      <c r="AM806" t="str">
        <f>IF(OR($B806="",NOT(ISNUMBER(P806))),"",IF(COUNTIF(Q806:$T806,P806)&gt;0,0,IF(COUNTIF($G806:$T806,"&gt;"&amp;P806)=0,"",SMALL($G806:$T806,COUNTIF($G806:$T806,"&lt;="&amp;P806)+1)-P806)))</f>
        <v/>
      </c>
      <c r="AN806" t="str">
        <f>IF(OR($B806="",NOT(ISNUMBER(Q806))),"",IF(COUNTIF(R806:$T806,Q806)&gt;0,0,IF(COUNTIF($G806:$T806,"&gt;"&amp;Q806)=0,"",SMALL($G806:$T806,COUNTIF($G806:$T806,"&lt;="&amp;Q806)+1)-Q806)))</f>
        <v/>
      </c>
      <c r="AO806" t="str">
        <f>IF(OR($B806="",NOT(ISNUMBER(R806))),"",IF(COUNTIF(S806:$T806,R806)&gt;0,0,IF(COUNTIF($G806:$T806,"&gt;"&amp;R806)=0,"",SMALL($G806:$T806,COUNTIF($G806:$T806,"&lt;="&amp;R806)+1)-R806)))</f>
        <v/>
      </c>
      <c r="AP806">
        <f t="shared" ca="1" si="207"/>
        <v>0</v>
      </c>
      <c r="AQ806" s="25" t="str">
        <f t="shared" si="208"/>
        <v/>
      </c>
      <c r="AR806" s="25" t="str">
        <f t="shared" si="209"/>
        <v/>
      </c>
      <c r="AS806" s="25" t="str">
        <f t="shared" si="210"/>
        <v/>
      </c>
      <c r="AT806" s="25" t="str">
        <f t="shared" si="211"/>
        <v/>
      </c>
      <c r="AU806" s="25" t="str">
        <f t="shared" si="212"/>
        <v/>
      </c>
      <c r="AV806" s="25" t="str">
        <f t="shared" si="213"/>
        <v/>
      </c>
      <c r="AW806" s="25" t="str">
        <f t="shared" si="214"/>
        <v/>
      </c>
      <c r="AX806" s="25" t="str">
        <f t="shared" si="215"/>
        <v/>
      </c>
      <c r="AY806" s="25" t="str">
        <f t="shared" si="216"/>
        <v/>
      </c>
      <c r="AZ806" s="25" t="str">
        <f t="shared" si="217"/>
        <v/>
      </c>
      <c r="BA806" s="25" t="str">
        <f t="shared" si="218"/>
        <v/>
      </c>
      <c r="BB806" s="25" t="str">
        <f t="shared" si="219"/>
        <v/>
      </c>
      <c r="BC806" s="25" t="str">
        <f t="shared" si="220"/>
        <v/>
      </c>
    </row>
    <row r="807" spans="1:55" x14ac:dyDescent="0.25">
      <c r="A807" s="19" t="str">
        <f t="shared" si="205"/>
        <v/>
      </c>
      <c r="B807" s="19"/>
      <c r="C807" s="20"/>
      <c r="D807" s="19" t="str">
        <f t="shared" si="204"/>
        <v/>
      </c>
      <c r="E807" s="19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19"/>
      <c r="U807" s="19"/>
      <c r="V807" s="20"/>
      <c r="W807" s="22"/>
      <c r="X807" s="21"/>
      <c r="Y807" s="21"/>
      <c r="Z807" s="23" t="str">
        <f>IF(B807="","",IF(S807&lt;&gt;"","Sevk Edildi",IF(AND(X807&lt;&gt;"",Y807=""),"Reworkte",IF(T807&lt;&gt;"","Kapandı"&amp;IF(COUNT(G807:R807)=0,""," – "&amp;LOOKUP(2,1/(G807:R807=MAX(G807:R807)),{"Tasarım","Ply Cutter","Üretim","Kalite (Üretim sonrası)","Talaşlı","Kalite (Talaşlı sonrası)","Montaj","Kalite (Montaj sonrası)","Boya","Kalite (Boya sonrası)","Yarı Mamül","KM"})),IF(COUNT(G807:R807)=0,"Başlamadı",LOOKUP(2,1/(G807:R807=MAX(G807:R807)),{"Tasarımda","Ply Cutter'da","Üretimde","Kalitede (Üretim sonrası)","Talaşlıda","Kalitede (Talaşlı sonrası)","Montajda","Kalitede (Montaj sonrası)","Boyada","Kalitede (Boya sonrası)","Yarı Mamülde","KM'de"}))))))</f>
        <v/>
      </c>
      <c r="AA807" s="24" t="str">
        <f t="shared" ca="1" si="206"/>
        <v/>
      </c>
      <c r="AB807" s="22"/>
      <c r="AD807" t="str">
        <f>IF(OR($B807="",NOT(ISNUMBER(G807))),"",IF(COUNTIF(H807:$T807,G807)&gt;0,0,IF(COUNTIF($G807:$T807,"&gt;"&amp;G807)=0,"",SMALL($G807:$T807,COUNTIF($G807:$T807,"&lt;="&amp;G807)+1)-G807)))</f>
        <v/>
      </c>
      <c r="AE807" t="str">
        <f>IF(OR($B807="",NOT(ISNUMBER(H807))),"",IF(COUNTIF(I807:$T807,H807)&gt;0,0,IF(COUNTIF($G807:$T807,"&gt;"&amp;H807)=0,"",SMALL($G807:$T807,COUNTIF($G807:$T807,"&lt;="&amp;H807)+1)-H807)))</f>
        <v/>
      </c>
      <c r="AF807" t="str">
        <f>IF(OR($B807="",NOT(ISNUMBER(I807))),"",IF(COUNTIF(J807:$T807,I807)&gt;0,0,IF(COUNTIF($G807:$T807,"&gt;"&amp;I807)=0,"",SMALL($G807:$T807,COUNTIF($G807:$T807,"&lt;="&amp;I807)+1)-I807)))</f>
        <v/>
      </c>
      <c r="AG807" t="str">
        <f>IF(OR($B807="",NOT(ISNUMBER(J807))),"",IF(COUNTIF(K807:$T807,J807)&gt;0,0,IF(COUNTIF($G807:$T807,"&gt;"&amp;J807)=0,"",SMALL($G807:$T807,COUNTIF($G807:$T807,"&lt;="&amp;J807)+1)-J807)))</f>
        <v/>
      </c>
      <c r="AH807" t="str">
        <f>IF(OR($B807="",NOT(ISNUMBER(K807))),"",IF(COUNTIF(L807:$T807,K807)&gt;0,0,IF(COUNTIF($G807:$T807,"&gt;"&amp;K807)=0,"",SMALL($G807:$T807,COUNTIF($G807:$T807,"&lt;="&amp;K807)+1)-K807)))</f>
        <v/>
      </c>
      <c r="AI807" t="str">
        <f>IF(OR($B807="",NOT(ISNUMBER(L807))),"",IF(COUNTIF(M807:$T807,L807)&gt;0,0,IF(COUNTIF($G807:$T807,"&gt;"&amp;L807)=0,"",SMALL($G807:$T807,COUNTIF($G807:$T807,"&lt;="&amp;L807)+1)-L807)))</f>
        <v/>
      </c>
      <c r="AJ807" t="str">
        <f>IF(OR($B807="",NOT(ISNUMBER(M807))),"",IF(COUNTIF(N807:$T807,M807)&gt;0,0,IF(COUNTIF($G807:$T807,"&gt;"&amp;M807)=0,"",SMALL($G807:$T807,COUNTIF($G807:$T807,"&lt;="&amp;M807)+1)-M807)))</f>
        <v/>
      </c>
      <c r="AK807" t="str">
        <f>IF(OR($B807="",NOT(ISNUMBER(N807))),"",IF(COUNTIF(O807:$T807,N807)&gt;0,0,IF(COUNTIF($G807:$T807,"&gt;"&amp;N807)=0,"",SMALL($G807:$T807,COUNTIF($G807:$T807,"&lt;="&amp;N807)+1)-N807)))</f>
        <v/>
      </c>
      <c r="AL807" t="str">
        <f>IF(OR($B807="",NOT(ISNUMBER(O807))),"",IF(COUNTIF(P807:$T807,O807)&gt;0,0,IF(COUNTIF($G807:$T807,"&gt;"&amp;O807)=0,"",SMALL($G807:$T807,COUNTIF($G807:$T807,"&lt;="&amp;O807)+1)-O807)))</f>
        <v/>
      </c>
      <c r="AM807" t="str">
        <f>IF(OR($B807="",NOT(ISNUMBER(P807))),"",IF(COUNTIF(Q807:$T807,P807)&gt;0,0,IF(COUNTIF($G807:$T807,"&gt;"&amp;P807)=0,"",SMALL($G807:$T807,COUNTIF($G807:$T807,"&lt;="&amp;P807)+1)-P807)))</f>
        <v/>
      </c>
      <c r="AN807" t="str">
        <f>IF(OR($B807="",NOT(ISNUMBER(Q807))),"",IF(COUNTIF(R807:$T807,Q807)&gt;0,0,IF(COUNTIF($G807:$T807,"&gt;"&amp;Q807)=0,"",SMALL($G807:$T807,COUNTIF($G807:$T807,"&lt;="&amp;Q807)+1)-Q807)))</f>
        <v/>
      </c>
      <c r="AO807" t="str">
        <f>IF(OR($B807="",NOT(ISNUMBER(R807))),"",IF(COUNTIF(S807:$T807,R807)&gt;0,0,IF(COUNTIF($G807:$T807,"&gt;"&amp;R807)=0,"",SMALL($G807:$T807,COUNTIF($G807:$T807,"&lt;="&amp;R807)+1)-R807)))</f>
        <v/>
      </c>
      <c r="AP807">
        <f t="shared" ca="1" si="207"/>
        <v>0</v>
      </c>
      <c r="AQ807" s="25" t="str">
        <f t="shared" si="208"/>
        <v/>
      </c>
      <c r="AR807" s="25" t="str">
        <f t="shared" si="209"/>
        <v/>
      </c>
      <c r="AS807" s="25" t="str">
        <f t="shared" si="210"/>
        <v/>
      </c>
      <c r="AT807" s="25" t="str">
        <f t="shared" si="211"/>
        <v/>
      </c>
      <c r="AU807" s="25" t="str">
        <f t="shared" si="212"/>
        <v/>
      </c>
      <c r="AV807" s="25" t="str">
        <f t="shared" si="213"/>
        <v/>
      </c>
      <c r="AW807" s="25" t="str">
        <f t="shared" si="214"/>
        <v/>
      </c>
      <c r="AX807" s="25" t="str">
        <f t="shared" si="215"/>
        <v/>
      </c>
      <c r="AY807" s="25" t="str">
        <f t="shared" si="216"/>
        <v/>
      </c>
      <c r="AZ807" s="25" t="str">
        <f t="shared" si="217"/>
        <v/>
      </c>
      <c r="BA807" s="25" t="str">
        <f t="shared" si="218"/>
        <v/>
      </c>
      <c r="BB807" s="25" t="str">
        <f t="shared" si="219"/>
        <v/>
      </c>
      <c r="BC807" s="25" t="str">
        <f t="shared" si="220"/>
        <v/>
      </c>
    </row>
    <row r="808" spans="1:55" x14ac:dyDescent="0.25">
      <c r="A808" s="19" t="str">
        <f t="shared" si="205"/>
        <v/>
      </c>
      <c r="B808" s="19"/>
      <c r="C808" s="20"/>
      <c r="D808" s="19" t="str">
        <f t="shared" si="204"/>
        <v/>
      </c>
      <c r="E808" s="19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19"/>
      <c r="U808" s="19"/>
      <c r="V808" s="20"/>
      <c r="W808" s="22"/>
      <c r="X808" s="21"/>
      <c r="Y808" s="21"/>
      <c r="Z808" s="23" t="str">
        <f>IF(B808="","",IF(S808&lt;&gt;"","Sevk Edildi",IF(AND(X808&lt;&gt;"",Y808=""),"Reworkte",IF(T808&lt;&gt;"","Kapandı"&amp;IF(COUNT(G808:R808)=0,""," – "&amp;LOOKUP(2,1/(G808:R808=MAX(G808:R808)),{"Tasarım","Ply Cutter","Üretim","Kalite (Üretim sonrası)","Talaşlı","Kalite (Talaşlı sonrası)","Montaj","Kalite (Montaj sonrası)","Boya","Kalite (Boya sonrası)","Yarı Mamül","KM"})),IF(COUNT(G808:R808)=0,"Başlamadı",LOOKUP(2,1/(G808:R808=MAX(G808:R808)),{"Tasarımda","Ply Cutter'da","Üretimde","Kalitede (Üretim sonrası)","Talaşlıda","Kalitede (Talaşlı sonrası)","Montajda","Kalitede (Montaj sonrası)","Boyada","Kalitede (Boya sonrası)","Yarı Mamülde","KM'de"}))))))</f>
        <v/>
      </c>
      <c r="AA808" s="24" t="str">
        <f t="shared" ca="1" si="206"/>
        <v/>
      </c>
      <c r="AB808" s="22"/>
      <c r="AD808" t="str">
        <f>IF(OR($B808="",NOT(ISNUMBER(G808))),"",IF(COUNTIF(H808:$T808,G808)&gt;0,0,IF(COUNTIF($G808:$T808,"&gt;"&amp;G808)=0,"",SMALL($G808:$T808,COUNTIF($G808:$T808,"&lt;="&amp;G808)+1)-G808)))</f>
        <v/>
      </c>
      <c r="AE808" t="str">
        <f>IF(OR($B808="",NOT(ISNUMBER(H808))),"",IF(COUNTIF(I808:$T808,H808)&gt;0,0,IF(COUNTIF($G808:$T808,"&gt;"&amp;H808)=0,"",SMALL($G808:$T808,COUNTIF($G808:$T808,"&lt;="&amp;H808)+1)-H808)))</f>
        <v/>
      </c>
      <c r="AF808" t="str">
        <f>IF(OR($B808="",NOT(ISNUMBER(I808))),"",IF(COUNTIF(J808:$T808,I808)&gt;0,0,IF(COUNTIF($G808:$T808,"&gt;"&amp;I808)=0,"",SMALL($G808:$T808,COUNTIF($G808:$T808,"&lt;="&amp;I808)+1)-I808)))</f>
        <v/>
      </c>
      <c r="AG808" t="str">
        <f>IF(OR($B808="",NOT(ISNUMBER(J808))),"",IF(COUNTIF(K808:$T808,J808)&gt;0,0,IF(COUNTIF($G808:$T808,"&gt;"&amp;J808)=0,"",SMALL($G808:$T808,COUNTIF($G808:$T808,"&lt;="&amp;J808)+1)-J808)))</f>
        <v/>
      </c>
      <c r="AH808" t="str">
        <f>IF(OR($B808="",NOT(ISNUMBER(K808))),"",IF(COUNTIF(L808:$T808,K808)&gt;0,0,IF(COUNTIF($G808:$T808,"&gt;"&amp;K808)=0,"",SMALL($G808:$T808,COUNTIF($G808:$T808,"&lt;="&amp;K808)+1)-K808)))</f>
        <v/>
      </c>
      <c r="AI808" t="str">
        <f>IF(OR($B808="",NOT(ISNUMBER(L808))),"",IF(COUNTIF(M808:$T808,L808)&gt;0,0,IF(COUNTIF($G808:$T808,"&gt;"&amp;L808)=0,"",SMALL($G808:$T808,COUNTIF($G808:$T808,"&lt;="&amp;L808)+1)-L808)))</f>
        <v/>
      </c>
      <c r="AJ808" t="str">
        <f>IF(OR($B808="",NOT(ISNUMBER(M808))),"",IF(COUNTIF(N808:$T808,M808)&gt;0,0,IF(COUNTIF($G808:$T808,"&gt;"&amp;M808)=0,"",SMALL($G808:$T808,COUNTIF($G808:$T808,"&lt;="&amp;M808)+1)-M808)))</f>
        <v/>
      </c>
      <c r="AK808" t="str">
        <f>IF(OR($B808="",NOT(ISNUMBER(N808))),"",IF(COUNTIF(O808:$T808,N808)&gt;0,0,IF(COUNTIF($G808:$T808,"&gt;"&amp;N808)=0,"",SMALL($G808:$T808,COUNTIF($G808:$T808,"&lt;="&amp;N808)+1)-N808)))</f>
        <v/>
      </c>
      <c r="AL808" t="str">
        <f>IF(OR($B808="",NOT(ISNUMBER(O808))),"",IF(COUNTIF(P808:$T808,O808)&gt;0,0,IF(COUNTIF($G808:$T808,"&gt;"&amp;O808)=0,"",SMALL($G808:$T808,COUNTIF($G808:$T808,"&lt;="&amp;O808)+1)-O808)))</f>
        <v/>
      </c>
      <c r="AM808" t="str">
        <f>IF(OR($B808="",NOT(ISNUMBER(P808))),"",IF(COUNTIF(Q808:$T808,P808)&gt;0,0,IF(COUNTIF($G808:$T808,"&gt;"&amp;P808)=0,"",SMALL($G808:$T808,COUNTIF($G808:$T808,"&lt;="&amp;P808)+1)-P808)))</f>
        <v/>
      </c>
      <c r="AN808" t="str">
        <f>IF(OR($B808="",NOT(ISNUMBER(Q808))),"",IF(COUNTIF(R808:$T808,Q808)&gt;0,0,IF(COUNTIF($G808:$T808,"&gt;"&amp;Q808)=0,"",SMALL($G808:$T808,COUNTIF($G808:$T808,"&lt;="&amp;Q808)+1)-Q808)))</f>
        <v/>
      </c>
      <c r="AO808" t="str">
        <f>IF(OR($B808="",NOT(ISNUMBER(R808))),"",IF(COUNTIF(S808:$T808,R808)&gt;0,0,IF(COUNTIF($G808:$T808,"&gt;"&amp;R808)=0,"",SMALL($G808:$T808,COUNTIF($G808:$T808,"&lt;="&amp;R808)+1)-R808)))</f>
        <v/>
      </c>
      <c r="AP808">
        <f t="shared" ca="1" si="207"/>
        <v>0</v>
      </c>
      <c r="AQ808" s="25" t="str">
        <f t="shared" si="208"/>
        <v/>
      </c>
      <c r="AR808" s="25" t="str">
        <f t="shared" si="209"/>
        <v/>
      </c>
      <c r="AS808" s="25" t="str">
        <f t="shared" si="210"/>
        <v/>
      </c>
      <c r="AT808" s="25" t="str">
        <f t="shared" si="211"/>
        <v/>
      </c>
      <c r="AU808" s="25" t="str">
        <f t="shared" si="212"/>
        <v/>
      </c>
      <c r="AV808" s="25" t="str">
        <f t="shared" si="213"/>
        <v/>
      </c>
      <c r="AW808" s="25" t="str">
        <f t="shared" si="214"/>
        <v/>
      </c>
      <c r="AX808" s="25" t="str">
        <f t="shared" si="215"/>
        <v/>
      </c>
      <c r="AY808" s="25" t="str">
        <f t="shared" si="216"/>
        <v/>
      </c>
      <c r="AZ808" s="25" t="str">
        <f t="shared" si="217"/>
        <v/>
      </c>
      <c r="BA808" s="25" t="str">
        <f t="shared" si="218"/>
        <v/>
      </c>
      <c r="BB808" s="25" t="str">
        <f t="shared" si="219"/>
        <v/>
      </c>
      <c r="BC808" s="25" t="str">
        <f t="shared" si="220"/>
        <v/>
      </c>
    </row>
    <row r="809" spans="1:55" x14ac:dyDescent="0.25">
      <c r="A809" s="19" t="str">
        <f t="shared" si="205"/>
        <v/>
      </c>
      <c r="B809" s="19"/>
      <c r="C809" s="20"/>
      <c r="D809" s="19" t="str">
        <f t="shared" si="204"/>
        <v/>
      </c>
      <c r="E809" s="19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19"/>
      <c r="U809" s="19"/>
      <c r="V809" s="20"/>
      <c r="W809" s="22"/>
      <c r="X809" s="21"/>
      <c r="Y809" s="21"/>
      <c r="Z809" s="23" t="str">
        <f>IF(B809="","",IF(S809&lt;&gt;"","Sevk Edildi",IF(AND(X809&lt;&gt;"",Y809=""),"Reworkte",IF(T809&lt;&gt;"","Kapandı"&amp;IF(COUNT(G809:R809)=0,""," – "&amp;LOOKUP(2,1/(G809:R809=MAX(G809:R809)),{"Tasarım","Ply Cutter","Üretim","Kalite (Üretim sonrası)","Talaşlı","Kalite (Talaşlı sonrası)","Montaj","Kalite (Montaj sonrası)","Boya","Kalite (Boya sonrası)","Yarı Mamül","KM"})),IF(COUNT(G809:R809)=0,"Başlamadı",LOOKUP(2,1/(G809:R809=MAX(G809:R809)),{"Tasarımda","Ply Cutter'da","Üretimde","Kalitede (Üretim sonrası)","Talaşlıda","Kalitede (Talaşlı sonrası)","Montajda","Kalitede (Montaj sonrası)","Boyada","Kalitede (Boya sonrası)","Yarı Mamülde","KM'de"}))))))</f>
        <v/>
      </c>
      <c r="AA809" s="24" t="str">
        <f t="shared" ca="1" si="206"/>
        <v/>
      </c>
      <c r="AB809" s="22"/>
      <c r="AD809" t="str">
        <f>IF(OR($B809="",NOT(ISNUMBER(G809))),"",IF(COUNTIF(H809:$T809,G809)&gt;0,0,IF(COUNTIF($G809:$T809,"&gt;"&amp;G809)=0,"",SMALL($G809:$T809,COUNTIF($G809:$T809,"&lt;="&amp;G809)+1)-G809)))</f>
        <v/>
      </c>
      <c r="AE809" t="str">
        <f>IF(OR($B809="",NOT(ISNUMBER(H809))),"",IF(COUNTIF(I809:$T809,H809)&gt;0,0,IF(COUNTIF($G809:$T809,"&gt;"&amp;H809)=0,"",SMALL($G809:$T809,COUNTIF($G809:$T809,"&lt;="&amp;H809)+1)-H809)))</f>
        <v/>
      </c>
      <c r="AF809" t="str">
        <f>IF(OR($B809="",NOT(ISNUMBER(I809))),"",IF(COUNTIF(J809:$T809,I809)&gt;0,0,IF(COUNTIF($G809:$T809,"&gt;"&amp;I809)=0,"",SMALL($G809:$T809,COUNTIF($G809:$T809,"&lt;="&amp;I809)+1)-I809)))</f>
        <v/>
      </c>
      <c r="AG809" t="str">
        <f>IF(OR($B809="",NOT(ISNUMBER(J809))),"",IF(COUNTIF(K809:$T809,J809)&gt;0,0,IF(COUNTIF($G809:$T809,"&gt;"&amp;J809)=0,"",SMALL($G809:$T809,COUNTIF($G809:$T809,"&lt;="&amp;J809)+1)-J809)))</f>
        <v/>
      </c>
      <c r="AH809" t="str">
        <f>IF(OR($B809="",NOT(ISNUMBER(K809))),"",IF(COUNTIF(L809:$T809,K809)&gt;0,0,IF(COUNTIF($G809:$T809,"&gt;"&amp;K809)=0,"",SMALL($G809:$T809,COUNTIF($G809:$T809,"&lt;="&amp;K809)+1)-K809)))</f>
        <v/>
      </c>
      <c r="AI809" t="str">
        <f>IF(OR($B809="",NOT(ISNUMBER(L809))),"",IF(COUNTIF(M809:$T809,L809)&gt;0,0,IF(COUNTIF($G809:$T809,"&gt;"&amp;L809)=0,"",SMALL($G809:$T809,COUNTIF($G809:$T809,"&lt;="&amp;L809)+1)-L809)))</f>
        <v/>
      </c>
      <c r="AJ809" t="str">
        <f>IF(OR($B809="",NOT(ISNUMBER(M809))),"",IF(COUNTIF(N809:$T809,M809)&gt;0,0,IF(COUNTIF($G809:$T809,"&gt;"&amp;M809)=0,"",SMALL($G809:$T809,COUNTIF($G809:$T809,"&lt;="&amp;M809)+1)-M809)))</f>
        <v/>
      </c>
      <c r="AK809" t="str">
        <f>IF(OR($B809="",NOT(ISNUMBER(N809))),"",IF(COUNTIF(O809:$T809,N809)&gt;0,0,IF(COUNTIF($G809:$T809,"&gt;"&amp;N809)=0,"",SMALL($G809:$T809,COUNTIF($G809:$T809,"&lt;="&amp;N809)+1)-N809)))</f>
        <v/>
      </c>
      <c r="AL809" t="str">
        <f>IF(OR($B809="",NOT(ISNUMBER(O809))),"",IF(COUNTIF(P809:$T809,O809)&gt;0,0,IF(COUNTIF($G809:$T809,"&gt;"&amp;O809)=0,"",SMALL($G809:$T809,COUNTIF($G809:$T809,"&lt;="&amp;O809)+1)-O809)))</f>
        <v/>
      </c>
      <c r="AM809" t="str">
        <f>IF(OR($B809="",NOT(ISNUMBER(P809))),"",IF(COUNTIF(Q809:$T809,P809)&gt;0,0,IF(COUNTIF($G809:$T809,"&gt;"&amp;P809)=0,"",SMALL($G809:$T809,COUNTIF($G809:$T809,"&lt;="&amp;P809)+1)-P809)))</f>
        <v/>
      </c>
      <c r="AN809" t="str">
        <f>IF(OR($B809="",NOT(ISNUMBER(Q809))),"",IF(COUNTIF(R809:$T809,Q809)&gt;0,0,IF(COUNTIF($G809:$T809,"&gt;"&amp;Q809)=0,"",SMALL($G809:$T809,COUNTIF($G809:$T809,"&lt;="&amp;Q809)+1)-Q809)))</f>
        <v/>
      </c>
      <c r="AO809" t="str">
        <f>IF(OR($B809="",NOT(ISNUMBER(R809))),"",IF(COUNTIF(S809:$T809,R809)&gt;0,0,IF(COUNTIF($G809:$T809,"&gt;"&amp;R809)=0,"",SMALL($G809:$T809,COUNTIF($G809:$T809,"&lt;="&amp;R809)+1)-R809)))</f>
        <v/>
      </c>
      <c r="AP809">
        <f t="shared" ca="1" si="207"/>
        <v>0</v>
      </c>
      <c r="AQ809" s="25" t="str">
        <f t="shared" si="208"/>
        <v/>
      </c>
      <c r="AR809" s="25" t="str">
        <f t="shared" si="209"/>
        <v/>
      </c>
      <c r="AS809" s="25" t="str">
        <f t="shared" si="210"/>
        <v/>
      </c>
      <c r="AT809" s="25" t="str">
        <f t="shared" si="211"/>
        <v/>
      </c>
      <c r="AU809" s="25" t="str">
        <f t="shared" si="212"/>
        <v/>
      </c>
      <c r="AV809" s="25" t="str">
        <f t="shared" si="213"/>
        <v/>
      </c>
      <c r="AW809" s="25" t="str">
        <f t="shared" si="214"/>
        <v/>
      </c>
      <c r="AX809" s="25" t="str">
        <f t="shared" si="215"/>
        <v/>
      </c>
      <c r="AY809" s="25" t="str">
        <f t="shared" si="216"/>
        <v/>
      </c>
      <c r="AZ809" s="25" t="str">
        <f t="shared" si="217"/>
        <v/>
      </c>
      <c r="BA809" s="25" t="str">
        <f t="shared" si="218"/>
        <v/>
      </c>
      <c r="BB809" s="25" t="str">
        <f t="shared" si="219"/>
        <v/>
      </c>
      <c r="BC809" s="25" t="str">
        <f t="shared" si="220"/>
        <v/>
      </c>
    </row>
    <row r="810" spans="1:55" x14ac:dyDescent="0.25">
      <c r="A810" s="19" t="str">
        <f t="shared" si="205"/>
        <v/>
      </c>
      <c r="B810" s="19"/>
      <c r="C810" s="20"/>
      <c r="D810" s="19" t="str">
        <f t="shared" si="204"/>
        <v/>
      </c>
      <c r="E810" s="19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19"/>
      <c r="U810" s="19"/>
      <c r="V810" s="20"/>
      <c r="W810" s="22"/>
      <c r="X810" s="21"/>
      <c r="Y810" s="21"/>
      <c r="Z810" s="23" t="str">
        <f>IF(B810="","",IF(S810&lt;&gt;"","Sevk Edildi",IF(AND(X810&lt;&gt;"",Y810=""),"Reworkte",IF(T810&lt;&gt;"","Kapandı"&amp;IF(COUNT(G810:R810)=0,""," – "&amp;LOOKUP(2,1/(G810:R810=MAX(G810:R810)),{"Tasarım","Ply Cutter","Üretim","Kalite (Üretim sonrası)","Talaşlı","Kalite (Talaşlı sonrası)","Montaj","Kalite (Montaj sonrası)","Boya","Kalite (Boya sonrası)","Yarı Mamül","KM"})),IF(COUNT(G810:R810)=0,"Başlamadı",LOOKUP(2,1/(G810:R810=MAX(G810:R810)),{"Tasarımda","Ply Cutter'da","Üretimde","Kalitede (Üretim sonrası)","Talaşlıda","Kalitede (Talaşlı sonrası)","Montajda","Kalitede (Montaj sonrası)","Boyada","Kalitede (Boya sonrası)","Yarı Mamülde","KM'de"}))))))</f>
        <v/>
      </c>
      <c r="AA810" s="24" t="str">
        <f t="shared" ca="1" si="206"/>
        <v/>
      </c>
      <c r="AB810" s="22"/>
      <c r="AD810" t="str">
        <f>IF(OR($B810="",NOT(ISNUMBER(G810))),"",IF(COUNTIF(H810:$T810,G810)&gt;0,0,IF(COUNTIF($G810:$T810,"&gt;"&amp;G810)=0,"",SMALL($G810:$T810,COUNTIF($G810:$T810,"&lt;="&amp;G810)+1)-G810)))</f>
        <v/>
      </c>
      <c r="AE810" t="str">
        <f>IF(OR($B810="",NOT(ISNUMBER(H810))),"",IF(COUNTIF(I810:$T810,H810)&gt;0,0,IF(COUNTIF($G810:$T810,"&gt;"&amp;H810)=0,"",SMALL($G810:$T810,COUNTIF($G810:$T810,"&lt;="&amp;H810)+1)-H810)))</f>
        <v/>
      </c>
      <c r="AF810" t="str">
        <f>IF(OR($B810="",NOT(ISNUMBER(I810))),"",IF(COUNTIF(J810:$T810,I810)&gt;0,0,IF(COUNTIF($G810:$T810,"&gt;"&amp;I810)=0,"",SMALL($G810:$T810,COUNTIF($G810:$T810,"&lt;="&amp;I810)+1)-I810)))</f>
        <v/>
      </c>
      <c r="AG810" t="str">
        <f>IF(OR($B810="",NOT(ISNUMBER(J810))),"",IF(COUNTIF(K810:$T810,J810)&gt;0,0,IF(COUNTIF($G810:$T810,"&gt;"&amp;J810)=0,"",SMALL($G810:$T810,COUNTIF($G810:$T810,"&lt;="&amp;J810)+1)-J810)))</f>
        <v/>
      </c>
      <c r="AH810" t="str">
        <f>IF(OR($B810="",NOT(ISNUMBER(K810))),"",IF(COUNTIF(L810:$T810,K810)&gt;0,0,IF(COUNTIF($G810:$T810,"&gt;"&amp;K810)=0,"",SMALL($G810:$T810,COUNTIF($G810:$T810,"&lt;="&amp;K810)+1)-K810)))</f>
        <v/>
      </c>
      <c r="AI810" t="str">
        <f>IF(OR($B810="",NOT(ISNUMBER(L810))),"",IF(COUNTIF(M810:$T810,L810)&gt;0,0,IF(COUNTIF($G810:$T810,"&gt;"&amp;L810)=0,"",SMALL($G810:$T810,COUNTIF($G810:$T810,"&lt;="&amp;L810)+1)-L810)))</f>
        <v/>
      </c>
      <c r="AJ810" t="str">
        <f>IF(OR($B810="",NOT(ISNUMBER(M810))),"",IF(COUNTIF(N810:$T810,M810)&gt;0,0,IF(COUNTIF($G810:$T810,"&gt;"&amp;M810)=0,"",SMALL($G810:$T810,COUNTIF($G810:$T810,"&lt;="&amp;M810)+1)-M810)))</f>
        <v/>
      </c>
      <c r="AK810" t="str">
        <f>IF(OR($B810="",NOT(ISNUMBER(N810))),"",IF(COUNTIF(O810:$T810,N810)&gt;0,0,IF(COUNTIF($G810:$T810,"&gt;"&amp;N810)=0,"",SMALL($G810:$T810,COUNTIF($G810:$T810,"&lt;="&amp;N810)+1)-N810)))</f>
        <v/>
      </c>
      <c r="AL810" t="str">
        <f>IF(OR($B810="",NOT(ISNUMBER(O810))),"",IF(COUNTIF(P810:$T810,O810)&gt;0,0,IF(COUNTIF($G810:$T810,"&gt;"&amp;O810)=0,"",SMALL($G810:$T810,COUNTIF($G810:$T810,"&lt;="&amp;O810)+1)-O810)))</f>
        <v/>
      </c>
      <c r="AM810" t="str">
        <f>IF(OR($B810="",NOT(ISNUMBER(P810))),"",IF(COUNTIF(Q810:$T810,P810)&gt;0,0,IF(COUNTIF($G810:$T810,"&gt;"&amp;P810)=0,"",SMALL($G810:$T810,COUNTIF($G810:$T810,"&lt;="&amp;P810)+1)-P810)))</f>
        <v/>
      </c>
      <c r="AN810" t="str">
        <f>IF(OR($B810="",NOT(ISNUMBER(Q810))),"",IF(COUNTIF(R810:$T810,Q810)&gt;0,0,IF(COUNTIF($G810:$T810,"&gt;"&amp;Q810)=0,"",SMALL($G810:$T810,COUNTIF($G810:$T810,"&lt;="&amp;Q810)+1)-Q810)))</f>
        <v/>
      </c>
      <c r="AO810" t="str">
        <f>IF(OR($B810="",NOT(ISNUMBER(R810))),"",IF(COUNTIF(S810:$T810,R810)&gt;0,0,IF(COUNTIF($G810:$T810,"&gt;"&amp;R810)=0,"",SMALL($G810:$T810,COUNTIF($G810:$T810,"&lt;="&amp;R810)+1)-R810)))</f>
        <v/>
      </c>
      <c r="AP810">
        <f t="shared" ca="1" si="207"/>
        <v>0</v>
      </c>
      <c r="AQ810" s="25" t="str">
        <f t="shared" si="208"/>
        <v/>
      </c>
      <c r="AR810" s="25" t="str">
        <f t="shared" si="209"/>
        <v/>
      </c>
      <c r="AS810" s="25" t="str">
        <f t="shared" si="210"/>
        <v/>
      </c>
      <c r="AT810" s="25" t="str">
        <f t="shared" si="211"/>
        <v/>
      </c>
      <c r="AU810" s="25" t="str">
        <f t="shared" si="212"/>
        <v/>
      </c>
      <c r="AV810" s="25" t="str">
        <f t="shared" si="213"/>
        <v/>
      </c>
      <c r="AW810" s="25" t="str">
        <f t="shared" si="214"/>
        <v/>
      </c>
      <c r="AX810" s="25" t="str">
        <f t="shared" si="215"/>
        <v/>
      </c>
      <c r="AY810" s="25" t="str">
        <f t="shared" si="216"/>
        <v/>
      </c>
      <c r="AZ810" s="25" t="str">
        <f t="shared" si="217"/>
        <v/>
      </c>
      <c r="BA810" s="25" t="str">
        <f t="shared" si="218"/>
        <v/>
      </c>
      <c r="BB810" s="25" t="str">
        <f t="shared" si="219"/>
        <v/>
      </c>
      <c r="BC810" s="25" t="str">
        <f t="shared" si="220"/>
        <v/>
      </c>
    </row>
    <row r="811" spans="1:55" x14ac:dyDescent="0.25">
      <c r="A811" s="19" t="str">
        <f t="shared" si="205"/>
        <v/>
      </c>
      <c r="B811" s="19"/>
      <c r="C811" s="20"/>
      <c r="D811" s="19" t="str">
        <f t="shared" si="204"/>
        <v/>
      </c>
      <c r="E811" s="19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19"/>
      <c r="U811" s="19"/>
      <c r="V811" s="20"/>
      <c r="W811" s="22"/>
      <c r="X811" s="21"/>
      <c r="Y811" s="21"/>
      <c r="Z811" s="23" t="str">
        <f>IF(B811="","",IF(S811&lt;&gt;"","Sevk Edildi",IF(AND(X811&lt;&gt;"",Y811=""),"Reworkte",IF(T811&lt;&gt;"","Kapandı"&amp;IF(COUNT(G811:R811)=0,""," – "&amp;LOOKUP(2,1/(G811:R811=MAX(G811:R811)),{"Tasarım","Ply Cutter","Üretim","Kalite (Üretim sonrası)","Talaşlı","Kalite (Talaşlı sonrası)","Montaj","Kalite (Montaj sonrası)","Boya","Kalite (Boya sonrası)","Yarı Mamül","KM"})),IF(COUNT(G811:R811)=0,"Başlamadı",LOOKUP(2,1/(G811:R811=MAX(G811:R811)),{"Tasarımda","Ply Cutter'da","Üretimde","Kalitede (Üretim sonrası)","Talaşlıda","Kalitede (Talaşlı sonrası)","Montajda","Kalitede (Montaj sonrası)","Boyada","Kalitede (Boya sonrası)","Yarı Mamülde","KM'de"}))))))</f>
        <v/>
      </c>
      <c r="AA811" s="24" t="str">
        <f t="shared" ca="1" si="206"/>
        <v/>
      </c>
      <c r="AB811" s="22"/>
      <c r="AD811" t="str">
        <f>IF(OR($B811="",NOT(ISNUMBER(G811))),"",IF(COUNTIF(H811:$T811,G811)&gt;0,0,IF(COUNTIF($G811:$T811,"&gt;"&amp;G811)=0,"",SMALL($G811:$T811,COUNTIF($G811:$T811,"&lt;="&amp;G811)+1)-G811)))</f>
        <v/>
      </c>
      <c r="AE811" t="str">
        <f>IF(OR($B811="",NOT(ISNUMBER(H811))),"",IF(COUNTIF(I811:$T811,H811)&gt;0,0,IF(COUNTIF($G811:$T811,"&gt;"&amp;H811)=0,"",SMALL($G811:$T811,COUNTIF($G811:$T811,"&lt;="&amp;H811)+1)-H811)))</f>
        <v/>
      </c>
      <c r="AF811" t="str">
        <f>IF(OR($B811="",NOT(ISNUMBER(I811))),"",IF(COUNTIF(J811:$T811,I811)&gt;0,0,IF(COUNTIF($G811:$T811,"&gt;"&amp;I811)=0,"",SMALL($G811:$T811,COUNTIF($G811:$T811,"&lt;="&amp;I811)+1)-I811)))</f>
        <v/>
      </c>
      <c r="AG811" t="str">
        <f>IF(OR($B811="",NOT(ISNUMBER(J811))),"",IF(COUNTIF(K811:$T811,J811)&gt;0,0,IF(COUNTIF($G811:$T811,"&gt;"&amp;J811)=0,"",SMALL($G811:$T811,COUNTIF($G811:$T811,"&lt;="&amp;J811)+1)-J811)))</f>
        <v/>
      </c>
      <c r="AH811" t="str">
        <f>IF(OR($B811="",NOT(ISNUMBER(K811))),"",IF(COUNTIF(L811:$T811,K811)&gt;0,0,IF(COUNTIF($G811:$T811,"&gt;"&amp;K811)=0,"",SMALL($G811:$T811,COUNTIF($G811:$T811,"&lt;="&amp;K811)+1)-K811)))</f>
        <v/>
      </c>
      <c r="AI811" t="str">
        <f>IF(OR($B811="",NOT(ISNUMBER(L811))),"",IF(COUNTIF(M811:$T811,L811)&gt;0,0,IF(COUNTIF($G811:$T811,"&gt;"&amp;L811)=0,"",SMALL($G811:$T811,COUNTIF($G811:$T811,"&lt;="&amp;L811)+1)-L811)))</f>
        <v/>
      </c>
      <c r="AJ811" t="str">
        <f>IF(OR($B811="",NOT(ISNUMBER(M811))),"",IF(COUNTIF(N811:$T811,M811)&gt;0,0,IF(COUNTIF($G811:$T811,"&gt;"&amp;M811)=0,"",SMALL($G811:$T811,COUNTIF($G811:$T811,"&lt;="&amp;M811)+1)-M811)))</f>
        <v/>
      </c>
      <c r="AK811" t="str">
        <f>IF(OR($B811="",NOT(ISNUMBER(N811))),"",IF(COUNTIF(O811:$T811,N811)&gt;0,0,IF(COUNTIF($G811:$T811,"&gt;"&amp;N811)=0,"",SMALL($G811:$T811,COUNTIF($G811:$T811,"&lt;="&amp;N811)+1)-N811)))</f>
        <v/>
      </c>
      <c r="AL811" t="str">
        <f>IF(OR($B811="",NOT(ISNUMBER(O811))),"",IF(COUNTIF(P811:$T811,O811)&gt;0,0,IF(COUNTIF($G811:$T811,"&gt;"&amp;O811)=0,"",SMALL($G811:$T811,COUNTIF($G811:$T811,"&lt;="&amp;O811)+1)-O811)))</f>
        <v/>
      </c>
      <c r="AM811" t="str">
        <f>IF(OR($B811="",NOT(ISNUMBER(P811))),"",IF(COUNTIF(Q811:$T811,P811)&gt;0,0,IF(COUNTIF($G811:$T811,"&gt;"&amp;P811)=0,"",SMALL($G811:$T811,COUNTIF($G811:$T811,"&lt;="&amp;P811)+1)-P811)))</f>
        <v/>
      </c>
      <c r="AN811" t="str">
        <f>IF(OR($B811="",NOT(ISNUMBER(Q811))),"",IF(COUNTIF(R811:$T811,Q811)&gt;0,0,IF(COUNTIF($G811:$T811,"&gt;"&amp;Q811)=0,"",SMALL($G811:$T811,COUNTIF($G811:$T811,"&lt;="&amp;Q811)+1)-Q811)))</f>
        <v/>
      </c>
      <c r="AO811" t="str">
        <f>IF(OR($B811="",NOT(ISNUMBER(R811))),"",IF(COUNTIF(S811:$T811,R811)&gt;0,0,IF(COUNTIF($G811:$T811,"&gt;"&amp;R811)=0,"",SMALL($G811:$T811,COUNTIF($G811:$T811,"&lt;="&amp;R811)+1)-R811)))</f>
        <v/>
      </c>
      <c r="AP811">
        <f t="shared" ca="1" si="207"/>
        <v>0</v>
      </c>
      <c r="AQ811" s="25" t="str">
        <f t="shared" si="208"/>
        <v/>
      </c>
      <c r="AR811" s="25" t="str">
        <f t="shared" si="209"/>
        <v/>
      </c>
      <c r="AS811" s="25" t="str">
        <f t="shared" si="210"/>
        <v/>
      </c>
      <c r="AT811" s="25" t="str">
        <f t="shared" si="211"/>
        <v/>
      </c>
      <c r="AU811" s="25" t="str">
        <f t="shared" si="212"/>
        <v/>
      </c>
      <c r="AV811" s="25" t="str">
        <f t="shared" si="213"/>
        <v/>
      </c>
      <c r="AW811" s="25" t="str">
        <f t="shared" si="214"/>
        <v/>
      </c>
      <c r="AX811" s="25" t="str">
        <f t="shared" si="215"/>
        <v/>
      </c>
      <c r="AY811" s="25" t="str">
        <f t="shared" si="216"/>
        <v/>
      </c>
      <c r="AZ811" s="25" t="str">
        <f t="shared" si="217"/>
        <v/>
      </c>
      <c r="BA811" s="25" t="str">
        <f t="shared" si="218"/>
        <v/>
      </c>
      <c r="BB811" s="25" t="str">
        <f t="shared" si="219"/>
        <v/>
      </c>
      <c r="BC811" s="25" t="str">
        <f t="shared" si="220"/>
        <v/>
      </c>
    </row>
    <row r="812" spans="1:55" x14ac:dyDescent="0.25">
      <c r="A812" s="19" t="str">
        <f t="shared" si="205"/>
        <v/>
      </c>
      <c r="B812" s="19"/>
      <c r="C812" s="20"/>
      <c r="D812" s="19" t="str">
        <f t="shared" si="204"/>
        <v/>
      </c>
      <c r="E812" s="19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19"/>
      <c r="U812" s="19"/>
      <c r="V812" s="20"/>
      <c r="W812" s="22"/>
      <c r="X812" s="21"/>
      <c r="Y812" s="21"/>
      <c r="Z812" s="23" t="str">
        <f>IF(B812="","",IF(S812&lt;&gt;"","Sevk Edildi",IF(AND(X812&lt;&gt;"",Y812=""),"Reworkte",IF(T812&lt;&gt;"","Kapandı"&amp;IF(COUNT(G812:R812)=0,""," – "&amp;LOOKUP(2,1/(G812:R812=MAX(G812:R812)),{"Tasarım","Ply Cutter","Üretim","Kalite (Üretim sonrası)","Talaşlı","Kalite (Talaşlı sonrası)","Montaj","Kalite (Montaj sonrası)","Boya","Kalite (Boya sonrası)","Yarı Mamül","KM"})),IF(COUNT(G812:R812)=0,"Başlamadı",LOOKUP(2,1/(G812:R812=MAX(G812:R812)),{"Tasarımda","Ply Cutter'da","Üretimde","Kalitede (Üretim sonrası)","Talaşlıda","Kalitede (Talaşlı sonrası)","Montajda","Kalitede (Montaj sonrası)","Boyada","Kalitede (Boya sonrası)","Yarı Mamülde","KM'de"}))))))</f>
        <v/>
      </c>
      <c r="AA812" s="24" t="str">
        <f t="shared" ca="1" si="206"/>
        <v/>
      </c>
      <c r="AB812" s="22"/>
      <c r="AD812" t="str">
        <f>IF(OR($B812="",NOT(ISNUMBER(G812))),"",IF(COUNTIF(H812:$T812,G812)&gt;0,0,IF(COUNTIF($G812:$T812,"&gt;"&amp;G812)=0,"",SMALL($G812:$T812,COUNTIF($G812:$T812,"&lt;="&amp;G812)+1)-G812)))</f>
        <v/>
      </c>
      <c r="AE812" t="str">
        <f>IF(OR($B812="",NOT(ISNUMBER(H812))),"",IF(COUNTIF(I812:$T812,H812)&gt;0,0,IF(COUNTIF($G812:$T812,"&gt;"&amp;H812)=0,"",SMALL($G812:$T812,COUNTIF($G812:$T812,"&lt;="&amp;H812)+1)-H812)))</f>
        <v/>
      </c>
      <c r="AF812" t="str">
        <f>IF(OR($B812="",NOT(ISNUMBER(I812))),"",IF(COUNTIF(J812:$T812,I812)&gt;0,0,IF(COUNTIF($G812:$T812,"&gt;"&amp;I812)=0,"",SMALL($G812:$T812,COUNTIF($G812:$T812,"&lt;="&amp;I812)+1)-I812)))</f>
        <v/>
      </c>
      <c r="AG812" t="str">
        <f>IF(OR($B812="",NOT(ISNUMBER(J812))),"",IF(COUNTIF(K812:$T812,J812)&gt;0,0,IF(COUNTIF($G812:$T812,"&gt;"&amp;J812)=0,"",SMALL($G812:$T812,COUNTIF($G812:$T812,"&lt;="&amp;J812)+1)-J812)))</f>
        <v/>
      </c>
      <c r="AH812" t="str">
        <f>IF(OR($B812="",NOT(ISNUMBER(K812))),"",IF(COUNTIF(L812:$T812,K812)&gt;0,0,IF(COUNTIF($G812:$T812,"&gt;"&amp;K812)=0,"",SMALL($G812:$T812,COUNTIF($G812:$T812,"&lt;="&amp;K812)+1)-K812)))</f>
        <v/>
      </c>
      <c r="AI812" t="str">
        <f>IF(OR($B812="",NOT(ISNUMBER(L812))),"",IF(COUNTIF(M812:$T812,L812)&gt;0,0,IF(COUNTIF($G812:$T812,"&gt;"&amp;L812)=0,"",SMALL($G812:$T812,COUNTIF($G812:$T812,"&lt;="&amp;L812)+1)-L812)))</f>
        <v/>
      </c>
      <c r="AJ812" t="str">
        <f>IF(OR($B812="",NOT(ISNUMBER(M812))),"",IF(COUNTIF(N812:$T812,M812)&gt;0,0,IF(COUNTIF($G812:$T812,"&gt;"&amp;M812)=0,"",SMALL($G812:$T812,COUNTIF($G812:$T812,"&lt;="&amp;M812)+1)-M812)))</f>
        <v/>
      </c>
      <c r="AK812" t="str">
        <f>IF(OR($B812="",NOT(ISNUMBER(N812))),"",IF(COUNTIF(O812:$T812,N812)&gt;0,0,IF(COUNTIF($G812:$T812,"&gt;"&amp;N812)=0,"",SMALL($G812:$T812,COUNTIF($G812:$T812,"&lt;="&amp;N812)+1)-N812)))</f>
        <v/>
      </c>
      <c r="AL812" t="str">
        <f>IF(OR($B812="",NOT(ISNUMBER(O812))),"",IF(COUNTIF(P812:$T812,O812)&gt;0,0,IF(COUNTIF($G812:$T812,"&gt;"&amp;O812)=0,"",SMALL($G812:$T812,COUNTIF($G812:$T812,"&lt;="&amp;O812)+1)-O812)))</f>
        <v/>
      </c>
      <c r="AM812" t="str">
        <f>IF(OR($B812="",NOT(ISNUMBER(P812))),"",IF(COUNTIF(Q812:$T812,P812)&gt;0,0,IF(COUNTIF($G812:$T812,"&gt;"&amp;P812)=0,"",SMALL($G812:$T812,COUNTIF($G812:$T812,"&lt;="&amp;P812)+1)-P812)))</f>
        <v/>
      </c>
      <c r="AN812" t="str">
        <f>IF(OR($B812="",NOT(ISNUMBER(Q812))),"",IF(COUNTIF(R812:$T812,Q812)&gt;0,0,IF(COUNTIF($G812:$T812,"&gt;"&amp;Q812)=0,"",SMALL($G812:$T812,COUNTIF($G812:$T812,"&lt;="&amp;Q812)+1)-Q812)))</f>
        <v/>
      </c>
      <c r="AO812" t="str">
        <f>IF(OR($B812="",NOT(ISNUMBER(R812))),"",IF(COUNTIF(S812:$T812,R812)&gt;0,0,IF(COUNTIF($G812:$T812,"&gt;"&amp;R812)=0,"",SMALL($G812:$T812,COUNTIF($G812:$T812,"&lt;="&amp;R812)+1)-R812)))</f>
        <v/>
      </c>
      <c r="AP812">
        <f t="shared" ca="1" si="207"/>
        <v>0</v>
      </c>
      <c r="AQ812" s="25" t="str">
        <f t="shared" si="208"/>
        <v/>
      </c>
      <c r="AR812" s="25" t="str">
        <f t="shared" si="209"/>
        <v/>
      </c>
      <c r="AS812" s="25" t="str">
        <f t="shared" si="210"/>
        <v/>
      </c>
      <c r="AT812" s="25" t="str">
        <f t="shared" si="211"/>
        <v/>
      </c>
      <c r="AU812" s="25" t="str">
        <f t="shared" si="212"/>
        <v/>
      </c>
      <c r="AV812" s="25" t="str">
        <f t="shared" si="213"/>
        <v/>
      </c>
      <c r="AW812" s="25" t="str">
        <f t="shared" si="214"/>
        <v/>
      </c>
      <c r="AX812" s="25" t="str">
        <f t="shared" si="215"/>
        <v/>
      </c>
      <c r="AY812" s="25" t="str">
        <f t="shared" si="216"/>
        <v/>
      </c>
      <c r="AZ812" s="25" t="str">
        <f t="shared" si="217"/>
        <v/>
      </c>
      <c r="BA812" s="25" t="str">
        <f t="shared" si="218"/>
        <v/>
      </c>
      <c r="BB812" s="25" t="str">
        <f t="shared" si="219"/>
        <v/>
      </c>
      <c r="BC812" s="25" t="str">
        <f t="shared" si="220"/>
        <v/>
      </c>
    </row>
    <row r="813" spans="1:55" x14ac:dyDescent="0.25">
      <c r="A813" s="19" t="str">
        <f t="shared" si="205"/>
        <v/>
      </c>
      <c r="B813" s="19"/>
      <c r="C813" s="20"/>
      <c r="D813" s="19" t="str">
        <f t="shared" si="204"/>
        <v/>
      </c>
      <c r="E813" s="19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19"/>
      <c r="U813" s="19"/>
      <c r="V813" s="20"/>
      <c r="W813" s="22"/>
      <c r="X813" s="21"/>
      <c r="Y813" s="21"/>
      <c r="Z813" s="23" t="str">
        <f>IF(B813="","",IF(S813&lt;&gt;"","Sevk Edildi",IF(AND(X813&lt;&gt;"",Y813=""),"Reworkte",IF(T813&lt;&gt;"","Kapandı"&amp;IF(COUNT(G813:R813)=0,""," – "&amp;LOOKUP(2,1/(G813:R813=MAX(G813:R813)),{"Tasarım","Ply Cutter","Üretim","Kalite (Üretim sonrası)","Talaşlı","Kalite (Talaşlı sonrası)","Montaj","Kalite (Montaj sonrası)","Boya","Kalite (Boya sonrası)","Yarı Mamül","KM"})),IF(COUNT(G813:R813)=0,"Başlamadı",LOOKUP(2,1/(G813:R813=MAX(G813:R813)),{"Tasarımda","Ply Cutter'da","Üretimde","Kalitede (Üretim sonrası)","Talaşlıda","Kalitede (Talaşlı sonrası)","Montajda","Kalitede (Montaj sonrası)","Boyada","Kalitede (Boya sonrası)","Yarı Mamülde","KM'de"}))))))</f>
        <v/>
      </c>
      <c r="AA813" s="24" t="str">
        <f t="shared" ca="1" si="206"/>
        <v/>
      </c>
      <c r="AB813" s="22"/>
      <c r="AD813" t="str">
        <f>IF(OR($B813="",NOT(ISNUMBER(G813))),"",IF(COUNTIF(H813:$T813,G813)&gt;0,0,IF(COUNTIF($G813:$T813,"&gt;"&amp;G813)=0,"",SMALL($G813:$T813,COUNTIF($G813:$T813,"&lt;="&amp;G813)+1)-G813)))</f>
        <v/>
      </c>
      <c r="AE813" t="str">
        <f>IF(OR($B813="",NOT(ISNUMBER(H813))),"",IF(COUNTIF(I813:$T813,H813)&gt;0,0,IF(COUNTIF($G813:$T813,"&gt;"&amp;H813)=0,"",SMALL($G813:$T813,COUNTIF($G813:$T813,"&lt;="&amp;H813)+1)-H813)))</f>
        <v/>
      </c>
      <c r="AF813" t="str">
        <f>IF(OR($B813="",NOT(ISNUMBER(I813))),"",IF(COUNTIF(J813:$T813,I813)&gt;0,0,IF(COUNTIF($G813:$T813,"&gt;"&amp;I813)=0,"",SMALL($G813:$T813,COUNTIF($G813:$T813,"&lt;="&amp;I813)+1)-I813)))</f>
        <v/>
      </c>
      <c r="AG813" t="str">
        <f>IF(OR($B813="",NOT(ISNUMBER(J813))),"",IF(COUNTIF(K813:$T813,J813)&gt;0,0,IF(COUNTIF($G813:$T813,"&gt;"&amp;J813)=0,"",SMALL($G813:$T813,COUNTIF($G813:$T813,"&lt;="&amp;J813)+1)-J813)))</f>
        <v/>
      </c>
      <c r="AH813" t="str">
        <f>IF(OR($B813="",NOT(ISNUMBER(K813))),"",IF(COUNTIF(L813:$T813,K813)&gt;0,0,IF(COUNTIF($G813:$T813,"&gt;"&amp;K813)=0,"",SMALL($G813:$T813,COUNTIF($G813:$T813,"&lt;="&amp;K813)+1)-K813)))</f>
        <v/>
      </c>
      <c r="AI813" t="str">
        <f>IF(OR($B813="",NOT(ISNUMBER(L813))),"",IF(COUNTIF(M813:$T813,L813)&gt;0,0,IF(COUNTIF($G813:$T813,"&gt;"&amp;L813)=0,"",SMALL($G813:$T813,COUNTIF($G813:$T813,"&lt;="&amp;L813)+1)-L813)))</f>
        <v/>
      </c>
      <c r="AJ813" t="str">
        <f>IF(OR($B813="",NOT(ISNUMBER(M813))),"",IF(COUNTIF(N813:$T813,M813)&gt;0,0,IF(COUNTIF($G813:$T813,"&gt;"&amp;M813)=0,"",SMALL($G813:$T813,COUNTIF($G813:$T813,"&lt;="&amp;M813)+1)-M813)))</f>
        <v/>
      </c>
      <c r="AK813" t="str">
        <f>IF(OR($B813="",NOT(ISNUMBER(N813))),"",IF(COUNTIF(O813:$T813,N813)&gt;0,0,IF(COUNTIF($G813:$T813,"&gt;"&amp;N813)=0,"",SMALL($G813:$T813,COUNTIF($G813:$T813,"&lt;="&amp;N813)+1)-N813)))</f>
        <v/>
      </c>
      <c r="AL813" t="str">
        <f>IF(OR($B813="",NOT(ISNUMBER(O813))),"",IF(COUNTIF(P813:$T813,O813)&gt;0,0,IF(COUNTIF($G813:$T813,"&gt;"&amp;O813)=0,"",SMALL($G813:$T813,COUNTIF($G813:$T813,"&lt;="&amp;O813)+1)-O813)))</f>
        <v/>
      </c>
      <c r="AM813" t="str">
        <f>IF(OR($B813="",NOT(ISNUMBER(P813))),"",IF(COUNTIF(Q813:$T813,P813)&gt;0,0,IF(COUNTIF($G813:$T813,"&gt;"&amp;P813)=0,"",SMALL($G813:$T813,COUNTIF($G813:$T813,"&lt;="&amp;P813)+1)-P813)))</f>
        <v/>
      </c>
      <c r="AN813" t="str">
        <f>IF(OR($B813="",NOT(ISNUMBER(Q813))),"",IF(COUNTIF(R813:$T813,Q813)&gt;0,0,IF(COUNTIF($G813:$T813,"&gt;"&amp;Q813)=0,"",SMALL($G813:$T813,COUNTIF($G813:$T813,"&lt;="&amp;Q813)+1)-Q813)))</f>
        <v/>
      </c>
      <c r="AO813" t="str">
        <f>IF(OR($B813="",NOT(ISNUMBER(R813))),"",IF(COUNTIF(S813:$T813,R813)&gt;0,0,IF(COUNTIF($G813:$T813,"&gt;"&amp;R813)=0,"",SMALL($G813:$T813,COUNTIF($G813:$T813,"&lt;="&amp;R813)+1)-R813)))</f>
        <v/>
      </c>
      <c r="AP813">
        <f t="shared" ca="1" si="207"/>
        <v>0</v>
      </c>
      <c r="AQ813" s="25" t="str">
        <f t="shared" si="208"/>
        <v/>
      </c>
      <c r="AR813" s="25" t="str">
        <f t="shared" si="209"/>
        <v/>
      </c>
      <c r="AS813" s="25" t="str">
        <f t="shared" si="210"/>
        <v/>
      </c>
      <c r="AT813" s="25" t="str">
        <f t="shared" si="211"/>
        <v/>
      </c>
      <c r="AU813" s="25" t="str">
        <f t="shared" si="212"/>
        <v/>
      </c>
      <c r="AV813" s="25" t="str">
        <f t="shared" si="213"/>
        <v/>
      </c>
      <c r="AW813" s="25" t="str">
        <f t="shared" si="214"/>
        <v/>
      </c>
      <c r="AX813" s="25" t="str">
        <f t="shared" si="215"/>
        <v/>
      </c>
      <c r="AY813" s="25" t="str">
        <f t="shared" si="216"/>
        <v/>
      </c>
      <c r="AZ813" s="25" t="str">
        <f t="shared" si="217"/>
        <v/>
      </c>
      <c r="BA813" s="25" t="str">
        <f t="shared" si="218"/>
        <v/>
      </c>
      <c r="BB813" s="25" t="str">
        <f t="shared" si="219"/>
        <v/>
      </c>
      <c r="BC813" s="25" t="str">
        <f t="shared" si="220"/>
        <v/>
      </c>
    </row>
    <row r="814" spans="1:55" x14ac:dyDescent="0.25">
      <c r="A814" s="19" t="str">
        <f t="shared" si="205"/>
        <v/>
      </c>
      <c r="B814" s="19"/>
      <c r="C814" s="20"/>
      <c r="D814" s="19" t="str">
        <f t="shared" si="204"/>
        <v/>
      </c>
      <c r="E814" s="19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19"/>
      <c r="U814" s="19"/>
      <c r="V814" s="20"/>
      <c r="W814" s="22"/>
      <c r="X814" s="21"/>
      <c r="Y814" s="21"/>
      <c r="Z814" s="23" t="str">
        <f>IF(B814="","",IF(S814&lt;&gt;"","Sevk Edildi",IF(AND(X814&lt;&gt;"",Y814=""),"Reworkte",IF(T814&lt;&gt;"","Kapandı"&amp;IF(COUNT(G814:R814)=0,""," – "&amp;LOOKUP(2,1/(G814:R814=MAX(G814:R814)),{"Tasarım","Ply Cutter","Üretim","Kalite (Üretim sonrası)","Talaşlı","Kalite (Talaşlı sonrası)","Montaj","Kalite (Montaj sonrası)","Boya","Kalite (Boya sonrası)","Yarı Mamül","KM"})),IF(COUNT(G814:R814)=0,"Başlamadı",LOOKUP(2,1/(G814:R814=MAX(G814:R814)),{"Tasarımda","Ply Cutter'da","Üretimde","Kalitede (Üretim sonrası)","Talaşlıda","Kalitede (Talaşlı sonrası)","Montajda","Kalitede (Montaj sonrası)","Boyada","Kalitede (Boya sonrası)","Yarı Mamülde","KM'de"}))))))</f>
        <v/>
      </c>
      <c r="AA814" s="24" t="str">
        <f t="shared" ca="1" si="206"/>
        <v/>
      </c>
      <c r="AB814" s="22"/>
      <c r="AD814" t="str">
        <f>IF(OR($B814="",NOT(ISNUMBER(G814))),"",IF(COUNTIF(H814:$T814,G814)&gt;0,0,IF(COUNTIF($G814:$T814,"&gt;"&amp;G814)=0,"",SMALL($G814:$T814,COUNTIF($G814:$T814,"&lt;="&amp;G814)+1)-G814)))</f>
        <v/>
      </c>
      <c r="AE814" t="str">
        <f>IF(OR($B814="",NOT(ISNUMBER(H814))),"",IF(COUNTIF(I814:$T814,H814)&gt;0,0,IF(COUNTIF($G814:$T814,"&gt;"&amp;H814)=0,"",SMALL($G814:$T814,COUNTIF($G814:$T814,"&lt;="&amp;H814)+1)-H814)))</f>
        <v/>
      </c>
      <c r="AF814" t="str">
        <f>IF(OR($B814="",NOT(ISNUMBER(I814))),"",IF(COUNTIF(J814:$T814,I814)&gt;0,0,IF(COUNTIF($G814:$T814,"&gt;"&amp;I814)=0,"",SMALL($G814:$T814,COUNTIF($G814:$T814,"&lt;="&amp;I814)+1)-I814)))</f>
        <v/>
      </c>
      <c r="AG814" t="str">
        <f>IF(OR($B814="",NOT(ISNUMBER(J814))),"",IF(COUNTIF(K814:$T814,J814)&gt;0,0,IF(COUNTIF($G814:$T814,"&gt;"&amp;J814)=0,"",SMALL($G814:$T814,COUNTIF($G814:$T814,"&lt;="&amp;J814)+1)-J814)))</f>
        <v/>
      </c>
      <c r="AH814" t="str">
        <f>IF(OR($B814="",NOT(ISNUMBER(K814))),"",IF(COUNTIF(L814:$T814,K814)&gt;0,0,IF(COUNTIF($G814:$T814,"&gt;"&amp;K814)=0,"",SMALL($G814:$T814,COUNTIF($G814:$T814,"&lt;="&amp;K814)+1)-K814)))</f>
        <v/>
      </c>
      <c r="AI814" t="str">
        <f>IF(OR($B814="",NOT(ISNUMBER(L814))),"",IF(COUNTIF(M814:$T814,L814)&gt;0,0,IF(COUNTIF($G814:$T814,"&gt;"&amp;L814)=0,"",SMALL($G814:$T814,COUNTIF($G814:$T814,"&lt;="&amp;L814)+1)-L814)))</f>
        <v/>
      </c>
      <c r="AJ814" t="str">
        <f>IF(OR($B814="",NOT(ISNUMBER(M814))),"",IF(COUNTIF(N814:$T814,M814)&gt;0,0,IF(COUNTIF($G814:$T814,"&gt;"&amp;M814)=0,"",SMALL($G814:$T814,COUNTIF($G814:$T814,"&lt;="&amp;M814)+1)-M814)))</f>
        <v/>
      </c>
      <c r="AK814" t="str">
        <f>IF(OR($B814="",NOT(ISNUMBER(N814))),"",IF(COUNTIF(O814:$T814,N814)&gt;0,0,IF(COUNTIF($G814:$T814,"&gt;"&amp;N814)=0,"",SMALL($G814:$T814,COUNTIF($G814:$T814,"&lt;="&amp;N814)+1)-N814)))</f>
        <v/>
      </c>
      <c r="AL814" t="str">
        <f>IF(OR($B814="",NOT(ISNUMBER(O814))),"",IF(COUNTIF(P814:$T814,O814)&gt;0,0,IF(COUNTIF($G814:$T814,"&gt;"&amp;O814)=0,"",SMALL($G814:$T814,COUNTIF($G814:$T814,"&lt;="&amp;O814)+1)-O814)))</f>
        <v/>
      </c>
      <c r="AM814" t="str">
        <f>IF(OR($B814="",NOT(ISNUMBER(P814))),"",IF(COUNTIF(Q814:$T814,P814)&gt;0,0,IF(COUNTIF($G814:$T814,"&gt;"&amp;P814)=0,"",SMALL($G814:$T814,COUNTIF($G814:$T814,"&lt;="&amp;P814)+1)-P814)))</f>
        <v/>
      </c>
      <c r="AN814" t="str">
        <f>IF(OR($B814="",NOT(ISNUMBER(Q814))),"",IF(COUNTIF(R814:$T814,Q814)&gt;0,0,IF(COUNTIF($G814:$T814,"&gt;"&amp;Q814)=0,"",SMALL($G814:$T814,COUNTIF($G814:$T814,"&lt;="&amp;Q814)+1)-Q814)))</f>
        <v/>
      </c>
      <c r="AO814" t="str">
        <f>IF(OR($B814="",NOT(ISNUMBER(R814))),"",IF(COUNTIF(S814:$T814,R814)&gt;0,0,IF(COUNTIF($G814:$T814,"&gt;"&amp;R814)=0,"",SMALL($G814:$T814,COUNTIF($G814:$T814,"&lt;="&amp;R814)+1)-R814)))</f>
        <v/>
      </c>
      <c r="AP814">
        <f t="shared" ca="1" si="207"/>
        <v>0</v>
      </c>
      <c r="AQ814" s="25" t="str">
        <f t="shared" si="208"/>
        <v/>
      </c>
      <c r="AR814" s="25" t="str">
        <f t="shared" si="209"/>
        <v/>
      </c>
      <c r="AS814" s="25" t="str">
        <f t="shared" si="210"/>
        <v/>
      </c>
      <c r="AT814" s="25" t="str">
        <f t="shared" si="211"/>
        <v/>
      </c>
      <c r="AU814" s="25" t="str">
        <f t="shared" si="212"/>
        <v/>
      </c>
      <c r="AV814" s="25" t="str">
        <f t="shared" si="213"/>
        <v/>
      </c>
      <c r="AW814" s="25" t="str">
        <f t="shared" si="214"/>
        <v/>
      </c>
      <c r="AX814" s="25" t="str">
        <f t="shared" si="215"/>
        <v/>
      </c>
      <c r="AY814" s="25" t="str">
        <f t="shared" si="216"/>
        <v/>
      </c>
      <c r="AZ814" s="25" t="str">
        <f t="shared" si="217"/>
        <v/>
      </c>
      <c r="BA814" s="25" t="str">
        <f t="shared" si="218"/>
        <v/>
      </c>
      <c r="BB814" s="25" t="str">
        <f t="shared" si="219"/>
        <v/>
      </c>
      <c r="BC814" s="25" t="str">
        <f t="shared" si="220"/>
        <v/>
      </c>
    </row>
    <row r="815" spans="1:55" x14ac:dyDescent="0.25">
      <c r="A815" s="19" t="str">
        <f t="shared" si="205"/>
        <v/>
      </c>
      <c r="B815" s="19"/>
      <c r="C815" s="20"/>
      <c r="D815" s="19" t="str">
        <f t="shared" si="204"/>
        <v/>
      </c>
      <c r="E815" s="19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19"/>
      <c r="U815" s="19"/>
      <c r="V815" s="20"/>
      <c r="W815" s="22"/>
      <c r="X815" s="21"/>
      <c r="Y815" s="21"/>
      <c r="Z815" s="23" t="str">
        <f>IF(B815="","",IF(S815&lt;&gt;"","Sevk Edildi",IF(AND(X815&lt;&gt;"",Y815=""),"Reworkte",IF(T815&lt;&gt;"","Kapandı"&amp;IF(COUNT(G815:R815)=0,""," – "&amp;LOOKUP(2,1/(G815:R815=MAX(G815:R815)),{"Tasarım","Ply Cutter","Üretim","Kalite (Üretim sonrası)","Talaşlı","Kalite (Talaşlı sonrası)","Montaj","Kalite (Montaj sonrası)","Boya","Kalite (Boya sonrası)","Yarı Mamül","KM"})),IF(COUNT(G815:R815)=0,"Başlamadı",LOOKUP(2,1/(G815:R815=MAX(G815:R815)),{"Tasarımda","Ply Cutter'da","Üretimde","Kalitede (Üretim sonrası)","Talaşlıda","Kalitede (Talaşlı sonrası)","Montajda","Kalitede (Montaj sonrası)","Boyada","Kalitede (Boya sonrası)","Yarı Mamülde","KM'de"}))))))</f>
        <v/>
      </c>
      <c r="AA815" s="24" t="str">
        <f t="shared" ca="1" si="206"/>
        <v/>
      </c>
      <c r="AB815" s="22"/>
      <c r="AD815" t="str">
        <f>IF(OR($B815="",NOT(ISNUMBER(G815))),"",IF(COUNTIF(H815:$T815,G815)&gt;0,0,IF(COUNTIF($G815:$T815,"&gt;"&amp;G815)=0,"",SMALL($G815:$T815,COUNTIF($G815:$T815,"&lt;="&amp;G815)+1)-G815)))</f>
        <v/>
      </c>
      <c r="AE815" t="str">
        <f>IF(OR($B815="",NOT(ISNUMBER(H815))),"",IF(COUNTIF(I815:$T815,H815)&gt;0,0,IF(COUNTIF($G815:$T815,"&gt;"&amp;H815)=0,"",SMALL($G815:$T815,COUNTIF($G815:$T815,"&lt;="&amp;H815)+1)-H815)))</f>
        <v/>
      </c>
      <c r="AF815" t="str">
        <f>IF(OR($B815="",NOT(ISNUMBER(I815))),"",IF(COUNTIF(J815:$T815,I815)&gt;0,0,IF(COUNTIF($G815:$T815,"&gt;"&amp;I815)=0,"",SMALL($G815:$T815,COUNTIF($G815:$T815,"&lt;="&amp;I815)+1)-I815)))</f>
        <v/>
      </c>
      <c r="AG815" t="str">
        <f>IF(OR($B815="",NOT(ISNUMBER(J815))),"",IF(COUNTIF(K815:$T815,J815)&gt;0,0,IF(COUNTIF($G815:$T815,"&gt;"&amp;J815)=0,"",SMALL($G815:$T815,COUNTIF($G815:$T815,"&lt;="&amp;J815)+1)-J815)))</f>
        <v/>
      </c>
      <c r="AH815" t="str">
        <f>IF(OR($B815="",NOT(ISNUMBER(K815))),"",IF(COUNTIF(L815:$T815,K815)&gt;0,0,IF(COUNTIF($G815:$T815,"&gt;"&amp;K815)=0,"",SMALL($G815:$T815,COUNTIF($G815:$T815,"&lt;="&amp;K815)+1)-K815)))</f>
        <v/>
      </c>
      <c r="AI815" t="str">
        <f>IF(OR($B815="",NOT(ISNUMBER(L815))),"",IF(COUNTIF(M815:$T815,L815)&gt;0,0,IF(COUNTIF($G815:$T815,"&gt;"&amp;L815)=0,"",SMALL($G815:$T815,COUNTIF($G815:$T815,"&lt;="&amp;L815)+1)-L815)))</f>
        <v/>
      </c>
      <c r="AJ815" t="str">
        <f>IF(OR($B815="",NOT(ISNUMBER(M815))),"",IF(COUNTIF(N815:$T815,M815)&gt;0,0,IF(COUNTIF($G815:$T815,"&gt;"&amp;M815)=0,"",SMALL($G815:$T815,COUNTIF($G815:$T815,"&lt;="&amp;M815)+1)-M815)))</f>
        <v/>
      </c>
      <c r="AK815" t="str">
        <f>IF(OR($B815="",NOT(ISNUMBER(N815))),"",IF(COUNTIF(O815:$T815,N815)&gt;0,0,IF(COUNTIF($G815:$T815,"&gt;"&amp;N815)=0,"",SMALL($G815:$T815,COUNTIF($G815:$T815,"&lt;="&amp;N815)+1)-N815)))</f>
        <v/>
      </c>
      <c r="AL815" t="str">
        <f>IF(OR($B815="",NOT(ISNUMBER(O815))),"",IF(COUNTIF(P815:$T815,O815)&gt;0,0,IF(COUNTIF($G815:$T815,"&gt;"&amp;O815)=0,"",SMALL($G815:$T815,COUNTIF($G815:$T815,"&lt;="&amp;O815)+1)-O815)))</f>
        <v/>
      </c>
      <c r="AM815" t="str">
        <f>IF(OR($B815="",NOT(ISNUMBER(P815))),"",IF(COUNTIF(Q815:$T815,P815)&gt;0,0,IF(COUNTIF($G815:$T815,"&gt;"&amp;P815)=0,"",SMALL($G815:$T815,COUNTIF($G815:$T815,"&lt;="&amp;P815)+1)-P815)))</f>
        <v/>
      </c>
      <c r="AN815" t="str">
        <f>IF(OR($B815="",NOT(ISNUMBER(Q815))),"",IF(COUNTIF(R815:$T815,Q815)&gt;0,0,IF(COUNTIF($G815:$T815,"&gt;"&amp;Q815)=0,"",SMALL($G815:$T815,COUNTIF($G815:$T815,"&lt;="&amp;Q815)+1)-Q815)))</f>
        <v/>
      </c>
      <c r="AO815" t="str">
        <f>IF(OR($B815="",NOT(ISNUMBER(R815))),"",IF(COUNTIF(S815:$T815,R815)&gt;0,0,IF(COUNTIF($G815:$T815,"&gt;"&amp;R815)=0,"",SMALL($G815:$T815,COUNTIF($G815:$T815,"&lt;="&amp;R815)+1)-R815)))</f>
        <v/>
      </c>
      <c r="AP815">
        <f t="shared" ca="1" si="207"/>
        <v>0</v>
      </c>
      <c r="AQ815" s="25" t="str">
        <f t="shared" si="208"/>
        <v/>
      </c>
      <c r="AR815" s="25" t="str">
        <f t="shared" si="209"/>
        <v/>
      </c>
      <c r="AS815" s="25" t="str">
        <f t="shared" si="210"/>
        <v/>
      </c>
      <c r="AT815" s="25" t="str">
        <f t="shared" si="211"/>
        <v/>
      </c>
      <c r="AU815" s="25" t="str">
        <f t="shared" si="212"/>
        <v/>
      </c>
      <c r="AV815" s="25" t="str">
        <f t="shared" si="213"/>
        <v/>
      </c>
      <c r="AW815" s="25" t="str">
        <f t="shared" si="214"/>
        <v/>
      </c>
      <c r="AX815" s="25" t="str">
        <f t="shared" si="215"/>
        <v/>
      </c>
      <c r="AY815" s="25" t="str">
        <f t="shared" si="216"/>
        <v/>
      </c>
      <c r="AZ815" s="25" t="str">
        <f t="shared" si="217"/>
        <v/>
      </c>
      <c r="BA815" s="25" t="str">
        <f t="shared" si="218"/>
        <v/>
      </c>
      <c r="BB815" s="25" t="str">
        <f t="shared" si="219"/>
        <v/>
      </c>
      <c r="BC815" s="25" t="str">
        <f t="shared" si="220"/>
        <v/>
      </c>
    </row>
    <row r="816" spans="1:55" x14ac:dyDescent="0.25">
      <c r="A816" s="19" t="str">
        <f t="shared" si="205"/>
        <v/>
      </c>
      <c r="B816" s="19"/>
      <c r="C816" s="20"/>
      <c r="D816" s="19" t="str">
        <f t="shared" si="204"/>
        <v/>
      </c>
      <c r="E816" s="19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19"/>
      <c r="U816" s="19"/>
      <c r="V816" s="20"/>
      <c r="W816" s="22"/>
      <c r="X816" s="21"/>
      <c r="Y816" s="21"/>
      <c r="Z816" s="23" t="str">
        <f>IF(B816="","",IF(S816&lt;&gt;"","Sevk Edildi",IF(AND(X816&lt;&gt;"",Y816=""),"Reworkte",IF(T816&lt;&gt;"","Kapandı"&amp;IF(COUNT(G816:R816)=0,""," – "&amp;LOOKUP(2,1/(G816:R816=MAX(G816:R816)),{"Tasarım","Ply Cutter","Üretim","Kalite (Üretim sonrası)","Talaşlı","Kalite (Talaşlı sonrası)","Montaj","Kalite (Montaj sonrası)","Boya","Kalite (Boya sonrası)","Yarı Mamül","KM"})),IF(COUNT(G816:R816)=0,"Başlamadı",LOOKUP(2,1/(G816:R816=MAX(G816:R816)),{"Tasarımda","Ply Cutter'da","Üretimde","Kalitede (Üretim sonrası)","Talaşlıda","Kalitede (Talaşlı sonrası)","Montajda","Kalitede (Montaj sonrası)","Boyada","Kalitede (Boya sonrası)","Yarı Mamülde","KM'de"}))))))</f>
        <v/>
      </c>
      <c r="AA816" s="24" t="str">
        <f t="shared" ca="1" si="206"/>
        <v/>
      </c>
      <c r="AB816" s="22"/>
      <c r="AD816" t="str">
        <f>IF(OR($B816="",NOT(ISNUMBER(G816))),"",IF(COUNTIF(H816:$T816,G816)&gt;0,0,IF(COUNTIF($G816:$T816,"&gt;"&amp;G816)=0,"",SMALL($G816:$T816,COUNTIF($G816:$T816,"&lt;="&amp;G816)+1)-G816)))</f>
        <v/>
      </c>
      <c r="AE816" t="str">
        <f>IF(OR($B816="",NOT(ISNUMBER(H816))),"",IF(COUNTIF(I816:$T816,H816)&gt;0,0,IF(COUNTIF($G816:$T816,"&gt;"&amp;H816)=0,"",SMALL($G816:$T816,COUNTIF($G816:$T816,"&lt;="&amp;H816)+1)-H816)))</f>
        <v/>
      </c>
      <c r="AF816" t="str">
        <f>IF(OR($B816="",NOT(ISNUMBER(I816))),"",IF(COUNTIF(J816:$T816,I816)&gt;0,0,IF(COUNTIF($G816:$T816,"&gt;"&amp;I816)=0,"",SMALL($G816:$T816,COUNTIF($G816:$T816,"&lt;="&amp;I816)+1)-I816)))</f>
        <v/>
      </c>
      <c r="AG816" t="str">
        <f>IF(OR($B816="",NOT(ISNUMBER(J816))),"",IF(COUNTIF(K816:$T816,J816)&gt;0,0,IF(COUNTIF($G816:$T816,"&gt;"&amp;J816)=0,"",SMALL($G816:$T816,COUNTIF($G816:$T816,"&lt;="&amp;J816)+1)-J816)))</f>
        <v/>
      </c>
      <c r="AH816" t="str">
        <f>IF(OR($B816="",NOT(ISNUMBER(K816))),"",IF(COUNTIF(L816:$T816,K816)&gt;0,0,IF(COUNTIF($G816:$T816,"&gt;"&amp;K816)=0,"",SMALL($G816:$T816,COUNTIF($G816:$T816,"&lt;="&amp;K816)+1)-K816)))</f>
        <v/>
      </c>
      <c r="AI816" t="str">
        <f>IF(OR($B816="",NOT(ISNUMBER(L816))),"",IF(COUNTIF(M816:$T816,L816)&gt;0,0,IF(COUNTIF($G816:$T816,"&gt;"&amp;L816)=0,"",SMALL($G816:$T816,COUNTIF($G816:$T816,"&lt;="&amp;L816)+1)-L816)))</f>
        <v/>
      </c>
      <c r="AJ816" t="str">
        <f>IF(OR($B816="",NOT(ISNUMBER(M816))),"",IF(COUNTIF(N816:$T816,M816)&gt;0,0,IF(COUNTIF($G816:$T816,"&gt;"&amp;M816)=0,"",SMALL($G816:$T816,COUNTIF($G816:$T816,"&lt;="&amp;M816)+1)-M816)))</f>
        <v/>
      </c>
      <c r="AK816" t="str">
        <f>IF(OR($B816="",NOT(ISNUMBER(N816))),"",IF(COUNTIF(O816:$T816,N816)&gt;0,0,IF(COUNTIF($G816:$T816,"&gt;"&amp;N816)=0,"",SMALL($G816:$T816,COUNTIF($G816:$T816,"&lt;="&amp;N816)+1)-N816)))</f>
        <v/>
      </c>
      <c r="AL816" t="str">
        <f>IF(OR($B816="",NOT(ISNUMBER(O816))),"",IF(COUNTIF(P816:$T816,O816)&gt;0,0,IF(COUNTIF($G816:$T816,"&gt;"&amp;O816)=0,"",SMALL($G816:$T816,COUNTIF($G816:$T816,"&lt;="&amp;O816)+1)-O816)))</f>
        <v/>
      </c>
      <c r="AM816" t="str">
        <f>IF(OR($B816="",NOT(ISNUMBER(P816))),"",IF(COUNTIF(Q816:$T816,P816)&gt;0,0,IF(COUNTIF($G816:$T816,"&gt;"&amp;P816)=0,"",SMALL($G816:$T816,COUNTIF($G816:$T816,"&lt;="&amp;P816)+1)-P816)))</f>
        <v/>
      </c>
      <c r="AN816" t="str">
        <f>IF(OR($B816="",NOT(ISNUMBER(Q816))),"",IF(COUNTIF(R816:$T816,Q816)&gt;0,0,IF(COUNTIF($G816:$T816,"&gt;"&amp;Q816)=0,"",SMALL($G816:$T816,COUNTIF($G816:$T816,"&lt;="&amp;Q816)+1)-Q816)))</f>
        <v/>
      </c>
      <c r="AO816" t="str">
        <f>IF(OR($B816="",NOT(ISNUMBER(R816))),"",IF(COUNTIF(S816:$T816,R816)&gt;0,0,IF(COUNTIF($G816:$T816,"&gt;"&amp;R816)=0,"",SMALL($G816:$T816,COUNTIF($G816:$T816,"&lt;="&amp;R816)+1)-R816)))</f>
        <v/>
      </c>
      <c r="AP816">
        <f t="shared" ca="1" si="207"/>
        <v>0</v>
      </c>
      <c r="AQ816" s="25" t="str">
        <f t="shared" si="208"/>
        <v/>
      </c>
      <c r="AR816" s="25" t="str">
        <f t="shared" si="209"/>
        <v/>
      </c>
      <c r="AS816" s="25" t="str">
        <f t="shared" si="210"/>
        <v/>
      </c>
      <c r="AT816" s="25" t="str">
        <f t="shared" si="211"/>
        <v/>
      </c>
      <c r="AU816" s="25" t="str">
        <f t="shared" si="212"/>
        <v/>
      </c>
      <c r="AV816" s="25" t="str">
        <f t="shared" si="213"/>
        <v/>
      </c>
      <c r="AW816" s="25" t="str">
        <f t="shared" si="214"/>
        <v/>
      </c>
      <c r="AX816" s="25" t="str">
        <f t="shared" si="215"/>
        <v/>
      </c>
      <c r="AY816" s="25" t="str">
        <f t="shared" si="216"/>
        <v/>
      </c>
      <c r="AZ816" s="25" t="str">
        <f t="shared" si="217"/>
        <v/>
      </c>
      <c r="BA816" s="25" t="str">
        <f t="shared" si="218"/>
        <v/>
      </c>
      <c r="BB816" s="25" t="str">
        <f t="shared" si="219"/>
        <v/>
      </c>
      <c r="BC816" s="25" t="str">
        <f t="shared" si="220"/>
        <v/>
      </c>
    </row>
    <row r="817" spans="1:55" x14ac:dyDescent="0.25">
      <c r="A817" s="19" t="str">
        <f t="shared" si="205"/>
        <v/>
      </c>
      <c r="B817" s="19"/>
      <c r="C817" s="20"/>
      <c r="D817" s="19" t="str">
        <f t="shared" si="204"/>
        <v/>
      </c>
      <c r="E817" s="19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19"/>
      <c r="U817" s="19"/>
      <c r="V817" s="20"/>
      <c r="W817" s="22"/>
      <c r="X817" s="21"/>
      <c r="Y817" s="21"/>
      <c r="Z817" s="23" t="str">
        <f>IF(B817="","",IF(S817&lt;&gt;"","Sevk Edildi",IF(AND(X817&lt;&gt;"",Y817=""),"Reworkte",IF(T817&lt;&gt;"","Kapandı"&amp;IF(COUNT(G817:R817)=0,""," – "&amp;LOOKUP(2,1/(G817:R817=MAX(G817:R817)),{"Tasarım","Ply Cutter","Üretim","Kalite (Üretim sonrası)","Talaşlı","Kalite (Talaşlı sonrası)","Montaj","Kalite (Montaj sonrası)","Boya","Kalite (Boya sonrası)","Yarı Mamül","KM"})),IF(COUNT(G817:R817)=0,"Başlamadı",LOOKUP(2,1/(G817:R817=MAX(G817:R817)),{"Tasarımda","Ply Cutter'da","Üretimde","Kalitede (Üretim sonrası)","Talaşlıda","Kalitede (Talaşlı sonrası)","Montajda","Kalitede (Montaj sonrası)","Boyada","Kalitede (Boya sonrası)","Yarı Mamülde","KM'de"}))))))</f>
        <v/>
      </c>
      <c r="AA817" s="24" t="str">
        <f t="shared" ca="1" si="206"/>
        <v/>
      </c>
      <c r="AB817" s="22"/>
      <c r="AD817" t="str">
        <f>IF(OR($B817="",NOT(ISNUMBER(G817))),"",IF(COUNTIF(H817:$T817,G817)&gt;0,0,IF(COUNTIF($G817:$T817,"&gt;"&amp;G817)=0,"",SMALL($G817:$T817,COUNTIF($G817:$T817,"&lt;="&amp;G817)+1)-G817)))</f>
        <v/>
      </c>
      <c r="AE817" t="str">
        <f>IF(OR($B817="",NOT(ISNUMBER(H817))),"",IF(COUNTIF(I817:$T817,H817)&gt;0,0,IF(COUNTIF($G817:$T817,"&gt;"&amp;H817)=0,"",SMALL($G817:$T817,COUNTIF($G817:$T817,"&lt;="&amp;H817)+1)-H817)))</f>
        <v/>
      </c>
      <c r="AF817" t="str">
        <f>IF(OR($B817="",NOT(ISNUMBER(I817))),"",IF(COUNTIF(J817:$T817,I817)&gt;0,0,IF(COUNTIF($G817:$T817,"&gt;"&amp;I817)=0,"",SMALL($G817:$T817,COUNTIF($G817:$T817,"&lt;="&amp;I817)+1)-I817)))</f>
        <v/>
      </c>
      <c r="AG817" t="str">
        <f>IF(OR($B817="",NOT(ISNUMBER(J817))),"",IF(COUNTIF(K817:$T817,J817)&gt;0,0,IF(COUNTIF($G817:$T817,"&gt;"&amp;J817)=0,"",SMALL($G817:$T817,COUNTIF($G817:$T817,"&lt;="&amp;J817)+1)-J817)))</f>
        <v/>
      </c>
      <c r="AH817" t="str">
        <f>IF(OR($B817="",NOT(ISNUMBER(K817))),"",IF(COUNTIF(L817:$T817,K817)&gt;0,0,IF(COUNTIF($G817:$T817,"&gt;"&amp;K817)=0,"",SMALL($G817:$T817,COUNTIF($G817:$T817,"&lt;="&amp;K817)+1)-K817)))</f>
        <v/>
      </c>
      <c r="AI817" t="str">
        <f>IF(OR($B817="",NOT(ISNUMBER(L817))),"",IF(COUNTIF(M817:$T817,L817)&gt;0,0,IF(COUNTIF($G817:$T817,"&gt;"&amp;L817)=0,"",SMALL($G817:$T817,COUNTIF($G817:$T817,"&lt;="&amp;L817)+1)-L817)))</f>
        <v/>
      </c>
      <c r="AJ817" t="str">
        <f>IF(OR($B817="",NOT(ISNUMBER(M817))),"",IF(COUNTIF(N817:$T817,M817)&gt;0,0,IF(COUNTIF($G817:$T817,"&gt;"&amp;M817)=0,"",SMALL($G817:$T817,COUNTIF($G817:$T817,"&lt;="&amp;M817)+1)-M817)))</f>
        <v/>
      </c>
      <c r="AK817" t="str">
        <f>IF(OR($B817="",NOT(ISNUMBER(N817))),"",IF(COUNTIF(O817:$T817,N817)&gt;0,0,IF(COUNTIF($G817:$T817,"&gt;"&amp;N817)=0,"",SMALL($G817:$T817,COUNTIF($G817:$T817,"&lt;="&amp;N817)+1)-N817)))</f>
        <v/>
      </c>
      <c r="AL817" t="str">
        <f>IF(OR($B817="",NOT(ISNUMBER(O817))),"",IF(COUNTIF(P817:$T817,O817)&gt;0,0,IF(COUNTIF($G817:$T817,"&gt;"&amp;O817)=0,"",SMALL($G817:$T817,COUNTIF($G817:$T817,"&lt;="&amp;O817)+1)-O817)))</f>
        <v/>
      </c>
      <c r="AM817" t="str">
        <f>IF(OR($B817="",NOT(ISNUMBER(P817))),"",IF(COUNTIF(Q817:$T817,P817)&gt;0,0,IF(COUNTIF($G817:$T817,"&gt;"&amp;P817)=0,"",SMALL($G817:$T817,COUNTIF($G817:$T817,"&lt;="&amp;P817)+1)-P817)))</f>
        <v/>
      </c>
      <c r="AN817" t="str">
        <f>IF(OR($B817="",NOT(ISNUMBER(Q817))),"",IF(COUNTIF(R817:$T817,Q817)&gt;0,0,IF(COUNTIF($G817:$T817,"&gt;"&amp;Q817)=0,"",SMALL($G817:$T817,COUNTIF($G817:$T817,"&lt;="&amp;Q817)+1)-Q817)))</f>
        <v/>
      </c>
      <c r="AO817" t="str">
        <f>IF(OR($B817="",NOT(ISNUMBER(R817))),"",IF(COUNTIF(S817:$T817,R817)&gt;0,0,IF(COUNTIF($G817:$T817,"&gt;"&amp;R817)=0,"",SMALL($G817:$T817,COUNTIF($G817:$T817,"&lt;="&amp;R817)+1)-R817)))</f>
        <v/>
      </c>
      <c r="AP817">
        <f t="shared" ca="1" si="207"/>
        <v>0</v>
      </c>
      <c r="AQ817" s="25" t="str">
        <f t="shared" si="208"/>
        <v/>
      </c>
      <c r="AR817" s="25" t="str">
        <f t="shared" si="209"/>
        <v/>
      </c>
      <c r="AS817" s="25" t="str">
        <f t="shared" si="210"/>
        <v/>
      </c>
      <c r="AT817" s="25" t="str">
        <f t="shared" si="211"/>
        <v/>
      </c>
      <c r="AU817" s="25" t="str">
        <f t="shared" si="212"/>
        <v/>
      </c>
      <c r="AV817" s="25" t="str">
        <f t="shared" si="213"/>
        <v/>
      </c>
      <c r="AW817" s="25" t="str">
        <f t="shared" si="214"/>
        <v/>
      </c>
      <c r="AX817" s="25" t="str">
        <f t="shared" si="215"/>
        <v/>
      </c>
      <c r="AY817" s="25" t="str">
        <f t="shared" si="216"/>
        <v/>
      </c>
      <c r="AZ817" s="25" t="str">
        <f t="shared" si="217"/>
        <v/>
      </c>
      <c r="BA817" s="25" t="str">
        <f t="shared" si="218"/>
        <v/>
      </c>
      <c r="BB817" s="25" t="str">
        <f t="shared" si="219"/>
        <v/>
      </c>
      <c r="BC817" s="25" t="str">
        <f t="shared" si="220"/>
        <v/>
      </c>
    </row>
    <row r="818" spans="1:55" x14ac:dyDescent="0.25">
      <c r="A818" s="19" t="str">
        <f t="shared" si="205"/>
        <v/>
      </c>
      <c r="B818" s="19"/>
      <c r="C818" s="20"/>
      <c r="D818" s="19" t="str">
        <f t="shared" si="204"/>
        <v/>
      </c>
      <c r="E818" s="19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19"/>
      <c r="U818" s="19"/>
      <c r="V818" s="20"/>
      <c r="W818" s="22"/>
      <c r="X818" s="21"/>
      <c r="Y818" s="21"/>
      <c r="Z818" s="23" t="str">
        <f>IF(B818="","",IF(S818&lt;&gt;"","Sevk Edildi",IF(AND(X818&lt;&gt;"",Y818=""),"Reworkte",IF(T818&lt;&gt;"","Kapandı"&amp;IF(COUNT(G818:R818)=0,""," – "&amp;LOOKUP(2,1/(G818:R818=MAX(G818:R818)),{"Tasarım","Ply Cutter","Üretim","Kalite (Üretim sonrası)","Talaşlı","Kalite (Talaşlı sonrası)","Montaj","Kalite (Montaj sonrası)","Boya","Kalite (Boya sonrası)","Yarı Mamül","KM"})),IF(COUNT(G818:R818)=0,"Başlamadı",LOOKUP(2,1/(G818:R818=MAX(G818:R818)),{"Tasarımda","Ply Cutter'da","Üretimde","Kalitede (Üretim sonrası)","Talaşlıda","Kalitede (Talaşlı sonrası)","Montajda","Kalitede (Montaj sonrası)","Boyada","Kalitede (Boya sonrası)","Yarı Mamülde","KM'de"}))))))</f>
        <v/>
      </c>
      <c r="AA818" s="24" t="str">
        <f t="shared" ca="1" si="206"/>
        <v/>
      </c>
      <c r="AB818" s="22"/>
      <c r="AD818" t="str">
        <f>IF(OR($B818="",NOT(ISNUMBER(G818))),"",IF(COUNTIF(H818:$T818,G818)&gt;0,0,IF(COUNTIF($G818:$T818,"&gt;"&amp;G818)=0,"",SMALL($G818:$T818,COUNTIF($G818:$T818,"&lt;="&amp;G818)+1)-G818)))</f>
        <v/>
      </c>
      <c r="AE818" t="str">
        <f>IF(OR($B818="",NOT(ISNUMBER(H818))),"",IF(COUNTIF(I818:$T818,H818)&gt;0,0,IF(COUNTIF($G818:$T818,"&gt;"&amp;H818)=0,"",SMALL($G818:$T818,COUNTIF($G818:$T818,"&lt;="&amp;H818)+1)-H818)))</f>
        <v/>
      </c>
      <c r="AF818" t="str">
        <f>IF(OR($B818="",NOT(ISNUMBER(I818))),"",IF(COUNTIF(J818:$T818,I818)&gt;0,0,IF(COUNTIF($G818:$T818,"&gt;"&amp;I818)=0,"",SMALL($G818:$T818,COUNTIF($G818:$T818,"&lt;="&amp;I818)+1)-I818)))</f>
        <v/>
      </c>
      <c r="AG818" t="str">
        <f>IF(OR($B818="",NOT(ISNUMBER(J818))),"",IF(COUNTIF(K818:$T818,J818)&gt;0,0,IF(COUNTIF($G818:$T818,"&gt;"&amp;J818)=0,"",SMALL($G818:$T818,COUNTIF($G818:$T818,"&lt;="&amp;J818)+1)-J818)))</f>
        <v/>
      </c>
      <c r="AH818" t="str">
        <f>IF(OR($B818="",NOT(ISNUMBER(K818))),"",IF(COUNTIF(L818:$T818,K818)&gt;0,0,IF(COUNTIF($G818:$T818,"&gt;"&amp;K818)=0,"",SMALL($G818:$T818,COUNTIF($G818:$T818,"&lt;="&amp;K818)+1)-K818)))</f>
        <v/>
      </c>
      <c r="AI818" t="str">
        <f>IF(OR($B818="",NOT(ISNUMBER(L818))),"",IF(COUNTIF(M818:$T818,L818)&gt;0,0,IF(COUNTIF($G818:$T818,"&gt;"&amp;L818)=0,"",SMALL($G818:$T818,COUNTIF($G818:$T818,"&lt;="&amp;L818)+1)-L818)))</f>
        <v/>
      </c>
      <c r="AJ818" t="str">
        <f>IF(OR($B818="",NOT(ISNUMBER(M818))),"",IF(COUNTIF(N818:$T818,M818)&gt;0,0,IF(COUNTIF($G818:$T818,"&gt;"&amp;M818)=0,"",SMALL($G818:$T818,COUNTIF($G818:$T818,"&lt;="&amp;M818)+1)-M818)))</f>
        <v/>
      </c>
      <c r="AK818" t="str">
        <f>IF(OR($B818="",NOT(ISNUMBER(N818))),"",IF(COUNTIF(O818:$T818,N818)&gt;0,0,IF(COUNTIF($G818:$T818,"&gt;"&amp;N818)=0,"",SMALL($G818:$T818,COUNTIF($G818:$T818,"&lt;="&amp;N818)+1)-N818)))</f>
        <v/>
      </c>
      <c r="AL818" t="str">
        <f>IF(OR($B818="",NOT(ISNUMBER(O818))),"",IF(COUNTIF(P818:$T818,O818)&gt;0,0,IF(COUNTIF($G818:$T818,"&gt;"&amp;O818)=0,"",SMALL($G818:$T818,COUNTIF($G818:$T818,"&lt;="&amp;O818)+1)-O818)))</f>
        <v/>
      </c>
      <c r="AM818" t="str">
        <f>IF(OR($B818="",NOT(ISNUMBER(P818))),"",IF(COUNTIF(Q818:$T818,P818)&gt;0,0,IF(COUNTIF($G818:$T818,"&gt;"&amp;P818)=0,"",SMALL($G818:$T818,COUNTIF($G818:$T818,"&lt;="&amp;P818)+1)-P818)))</f>
        <v/>
      </c>
      <c r="AN818" t="str">
        <f>IF(OR($B818="",NOT(ISNUMBER(Q818))),"",IF(COUNTIF(R818:$T818,Q818)&gt;0,0,IF(COUNTIF($G818:$T818,"&gt;"&amp;Q818)=0,"",SMALL($G818:$T818,COUNTIF($G818:$T818,"&lt;="&amp;Q818)+1)-Q818)))</f>
        <v/>
      </c>
      <c r="AO818" t="str">
        <f>IF(OR($B818="",NOT(ISNUMBER(R818))),"",IF(COUNTIF(S818:$T818,R818)&gt;0,0,IF(COUNTIF($G818:$T818,"&gt;"&amp;R818)=0,"",SMALL($G818:$T818,COUNTIF($G818:$T818,"&lt;="&amp;R818)+1)-R818)))</f>
        <v/>
      </c>
      <c r="AP818">
        <f t="shared" ca="1" si="207"/>
        <v>0</v>
      </c>
      <c r="AQ818" s="25" t="str">
        <f t="shared" si="208"/>
        <v/>
      </c>
      <c r="AR818" s="25" t="str">
        <f t="shared" si="209"/>
        <v/>
      </c>
      <c r="AS818" s="25" t="str">
        <f t="shared" si="210"/>
        <v/>
      </c>
      <c r="AT818" s="25" t="str">
        <f t="shared" si="211"/>
        <v/>
      </c>
      <c r="AU818" s="25" t="str">
        <f t="shared" si="212"/>
        <v/>
      </c>
      <c r="AV818" s="25" t="str">
        <f t="shared" si="213"/>
        <v/>
      </c>
      <c r="AW818" s="25" t="str">
        <f t="shared" si="214"/>
        <v/>
      </c>
      <c r="AX818" s="25" t="str">
        <f t="shared" si="215"/>
        <v/>
      </c>
      <c r="AY818" s="25" t="str">
        <f t="shared" si="216"/>
        <v/>
      </c>
      <c r="AZ818" s="25" t="str">
        <f t="shared" si="217"/>
        <v/>
      </c>
      <c r="BA818" s="25" t="str">
        <f t="shared" si="218"/>
        <v/>
      </c>
      <c r="BB818" s="25" t="str">
        <f t="shared" si="219"/>
        <v/>
      </c>
      <c r="BC818" s="25" t="str">
        <f t="shared" si="220"/>
        <v/>
      </c>
    </row>
    <row r="819" spans="1:55" x14ac:dyDescent="0.25">
      <c r="A819" s="19" t="str">
        <f t="shared" si="205"/>
        <v/>
      </c>
      <c r="B819" s="19"/>
      <c r="C819" s="20"/>
      <c r="D819" s="19" t="str">
        <f t="shared" si="204"/>
        <v/>
      </c>
      <c r="E819" s="19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19"/>
      <c r="U819" s="19"/>
      <c r="V819" s="20"/>
      <c r="W819" s="22"/>
      <c r="X819" s="21"/>
      <c r="Y819" s="21"/>
      <c r="Z819" s="23" t="str">
        <f>IF(B819="","",IF(S819&lt;&gt;"","Sevk Edildi",IF(AND(X819&lt;&gt;"",Y819=""),"Reworkte",IF(T819&lt;&gt;"","Kapandı"&amp;IF(COUNT(G819:R819)=0,""," – "&amp;LOOKUP(2,1/(G819:R819=MAX(G819:R819)),{"Tasarım","Ply Cutter","Üretim","Kalite (Üretim sonrası)","Talaşlı","Kalite (Talaşlı sonrası)","Montaj","Kalite (Montaj sonrası)","Boya","Kalite (Boya sonrası)","Yarı Mamül","KM"})),IF(COUNT(G819:R819)=0,"Başlamadı",LOOKUP(2,1/(G819:R819=MAX(G819:R819)),{"Tasarımda","Ply Cutter'da","Üretimde","Kalitede (Üretim sonrası)","Talaşlıda","Kalitede (Talaşlı sonrası)","Montajda","Kalitede (Montaj sonrası)","Boyada","Kalitede (Boya sonrası)","Yarı Mamülde","KM'de"}))))))</f>
        <v/>
      </c>
      <c r="AA819" s="24" t="str">
        <f t="shared" ca="1" si="206"/>
        <v/>
      </c>
      <c r="AB819" s="22"/>
      <c r="AD819" t="str">
        <f>IF(OR($B819="",NOT(ISNUMBER(G819))),"",IF(COUNTIF(H819:$T819,G819)&gt;0,0,IF(COUNTIF($G819:$T819,"&gt;"&amp;G819)=0,"",SMALL($G819:$T819,COUNTIF($G819:$T819,"&lt;="&amp;G819)+1)-G819)))</f>
        <v/>
      </c>
      <c r="AE819" t="str">
        <f>IF(OR($B819="",NOT(ISNUMBER(H819))),"",IF(COUNTIF(I819:$T819,H819)&gt;0,0,IF(COUNTIF($G819:$T819,"&gt;"&amp;H819)=0,"",SMALL($G819:$T819,COUNTIF($G819:$T819,"&lt;="&amp;H819)+1)-H819)))</f>
        <v/>
      </c>
      <c r="AF819" t="str">
        <f>IF(OR($B819="",NOT(ISNUMBER(I819))),"",IF(COUNTIF(J819:$T819,I819)&gt;0,0,IF(COUNTIF($G819:$T819,"&gt;"&amp;I819)=0,"",SMALL($G819:$T819,COUNTIF($G819:$T819,"&lt;="&amp;I819)+1)-I819)))</f>
        <v/>
      </c>
      <c r="AG819" t="str">
        <f>IF(OR($B819="",NOT(ISNUMBER(J819))),"",IF(COUNTIF(K819:$T819,J819)&gt;0,0,IF(COUNTIF($G819:$T819,"&gt;"&amp;J819)=0,"",SMALL($G819:$T819,COUNTIF($G819:$T819,"&lt;="&amp;J819)+1)-J819)))</f>
        <v/>
      </c>
      <c r="AH819" t="str">
        <f>IF(OR($B819="",NOT(ISNUMBER(K819))),"",IF(COUNTIF(L819:$T819,K819)&gt;0,0,IF(COUNTIF($G819:$T819,"&gt;"&amp;K819)=0,"",SMALL($G819:$T819,COUNTIF($G819:$T819,"&lt;="&amp;K819)+1)-K819)))</f>
        <v/>
      </c>
      <c r="AI819" t="str">
        <f>IF(OR($B819="",NOT(ISNUMBER(L819))),"",IF(COUNTIF(M819:$T819,L819)&gt;0,0,IF(COUNTIF($G819:$T819,"&gt;"&amp;L819)=0,"",SMALL($G819:$T819,COUNTIF($G819:$T819,"&lt;="&amp;L819)+1)-L819)))</f>
        <v/>
      </c>
      <c r="AJ819" t="str">
        <f>IF(OR($B819="",NOT(ISNUMBER(M819))),"",IF(COUNTIF(N819:$T819,M819)&gt;0,0,IF(COUNTIF($G819:$T819,"&gt;"&amp;M819)=0,"",SMALL($G819:$T819,COUNTIF($G819:$T819,"&lt;="&amp;M819)+1)-M819)))</f>
        <v/>
      </c>
      <c r="AK819" t="str">
        <f>IF(OR($B819="",NOT(ISNUMBER(N819))),"",IF(COUNTIF(O819:$T819,N819)&gt;0,0,IF(COUNTIF($G819:$T819,"&gt;"&amp;N819)=0,"",SMALL($G819:$T819,COUNTIF($G819:$T819,"&lt;="&amp;N819)+1)-N819)))</f>
        <v/>
      </c>
      <c r="AL819" t="str">
        <f>IF(OR($B819="",NOT(ISNUMBER(O819))),"",IF(COUNTIF(P819:$T819,O819)&gt;0,0,IF(COUNTIF($G819:$T819,"&gt;"&amp;O819)=0,"",SMALL($G819:$T819,COUNTIF($G819:$T819,"&lt;="&amp;O819)+1)-O819)))</f>
        <v/>
      </c>
      <c r="AM819" t="str">
        <f>IF(OR($B819="",NOT(ISNUMBER(P819))),"",IF(COUNTIF(Q819:$T819,P819)&gt;0,0,IF(COUNTIF($G819:$T819,"&gt;"&amp;P819)=0,"",SMALL($G819:$T819,COUNTIF($G819:$T819,"&lt;="&amp;P819)+1)-P819)))</f>
        <v/>
      </c>
      <c r="AN819" t="str">
        <f>IF(OR($B819="",NOT(ISNUMBER(Q819))),"",IF(COUNTIF(R819:$T819,Q819)&gt;0,0,IF(COUNTIF($G819:$T819,"&gt;"&amp;Q819)=0,"",SMALL($G819:$T819,COUNTIF($G819:$T819,"&lt;="&amp;Q819)+1)-Q819)))</f>
        <v/>
      </c>
      <c r="AO819" t="str">
        <f>IF(OR($B819="",NOT(ISNUMBER(R819))),"",IF(COUNTIF(S819:$T819,R819)&gt;0,0,IF(COUNTIF($G819:$T819,"&gt;"&amp;R819)=0,"",SMALL($G819:$T819,COUNTIF($G819:$T819,"&lt;="&amp;R819)+1)-R819)))</f>
        <v/>
      </c>
      <c r="AP819">
        <f t="shared" ca="1" si="207"/>
        <v>0</v>
      </c>
      <c r="AQ819" s="25" t="str">
        <f t="shared" si="208"/>
        <v/>
      </c>
      <c r="AR819" s="25" t="str">
        <f t="shared" si="209"/>
        <v/>
      </c>
      <c r="AS819" s="25" t="str">
        <f t="shared" si="210"/>
        <v/>
      </c>
      <c r="AT819" s="25" t="str">
        <f t="shared" si="211"/>
        <v/>
      </c>
      <c r="AU819" s="25" t="str">
        <f t="shared" si="212"/>
        <v/>
      </c>
      <c r="AV819" s="25" t="str">
        <f t="shared" si="213"/>
        <v/>
      </c>
      <c r="AW819" s="25" t="str">
        <f t="shared" si="214"/>
        <v/>
      </c>
      <c r="AX819" s="25" t="str">
        <f t="shared" si="215"/>
        <v/>
      </c>
      <c r="AY819" s="25" t="str">
        <f t="shared" si="216"/>
        <v/>
      </c>
      <c r="AZ819" s="25" t="str">
        <f t="shared" si="217"/>
        <v/>
      </c>
      <c r="BA819" s="25" t="str">
        <f t="shared" si="218"/>
        <v/>
      </c>
      <c r="BB819" s="25" t="str">
        <f t="shared" si="219"/>
        <v/>
      </c>
      <c r="BC819" s="25" t="str">
        <f t="shared" si="220"/>
        <v/>
      </c>
    </row>
    <row r="820" spans="1:55" x14ac:dyDescent="0.25">
      <c r="A820" s="19" t="str">
        <f t="shared" si="205"/>
        <v/>
      </c>
      <c r="B820" s="19"/>
      <c r="C820" s="20"/>
      <c r="D820" s="19" t="str">
        <f t="shared" si="204"/>
        <v/>
      </c>
      <c r="E820" s="19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19"/>
      <c r="U820" s="19"/>
      <c r="V820" s="20"/>
      <c r="W820" s="22"/>
      <c r="X820" s="21"/>
      <c r="Y820" s="21"/>
      <c r="Z820" s="23" t="str">
        <f>IF(B820="","",IF(S820&lt;&gt;"","Sevk Edildi",IF(AND(X820&lt;&gt;"",Y820=""),"Reworkte",IF(T820&lt;&gt;"","Kapandı"&amp;IF(COUNT(G820:R820)=0,""," – "&amp;LOOKUP(2,1/(G820:R820=MAX(G820:R820)),{"Tasarım","Ply Cutter","Üretim","Kalite (Üretim sonrası)","Talaşlı","Kalite (Talaşlı sonrası)","Montaj","Kalite (Montaj sonrası)","Boya","Kalite (Boya sonrası)","Yarı Mamül","KM"})),IF(COUNT(G820:R820)=0,"Başlamadı",LOOKUP(2,1/(G820:R820=MAX(G820:R820)),{"Tasarımda","Ply Cutter'da","Üretimde","Kalitede (Üretim sonrası)","Talaşlıda","Kalitede (Talaşlı sonrası)","Montajda","Kalitede (Montaj sonrası)","Boyada","Kalitede (Boya sonrası)","Yarı Mamülde","KM'de"}))))))</f>
        <v/>
      </c>
      <c r="AA820" s="24" t="str">
        <f t="shared" ca="1" si="206"/>
        <v/>
      </c>
      <c r="AB820" s="22"/>
      <c r="AD820" t="str">
        <f>IF(OR($B820="",NOT(ISNUMBER(G820))),"",IF(COUNTIF(H820:$T820,G820)&gt;0,0,IF(COUNTIF($G820:$T820,"&gt;"&amp;G820)=0,"",SMALL($G820:$T820,COUNTIF($G820:$T820,"&lt;="&amp;G820)+1)-G820)))</f>
        <v/>
      </c>
      <c r="AE820" t="str">
        <f>IF(OR($B820="",NOT(ISNUMBER(H820))),"",IF(COUNTIF(I820:$T820,H820)&gt;0,0,IF(COUNTIF($G820:$T820,"&gt;"&amp;H820)=0,"",SMALL($G820:$T820,COUNTIF($G820:$T820,"&lt;="&amp;H820)+1)-H820)))</f>
        <v/>
      </c>
      <c r="AF820" t="str">
        <f>IF(OR($B820="",NOT(ISNUMBER(I820))),"",IF(COUNTIF(J820:$T820,I820)&gt;0,0,IF(COUNTIF($G820:$T820,"&gt;"&amp;I820)=0,"",SMALL($G820:$T820,COUNTIF($G820:$T820,"&lt;="&amp;I820)+1)-I820)))</f>
        <v/>
      </c>
      <c r="AG820" t="str">
        <f>IF(OR($B820="",NOT(ISNUMBER(J820))),"",IF(COUNTIF(K820:$T820,J820)&gt;0,0,IF(COUNTIF($G820:$T820,"&gt;"&amp;J820)=0,"",SMALL($G820:$T820,COUNTIF($G820:$T820,"&lt;="&amp;J820)+1)-J820)))</f>
        <v/>
      </c>
      <c r="AH820" t="str">
        <f>IF(OR($B820="",NOT(ISNUMBER(K820))),"",IF(COUNTIF(L820:$T820,K820)&gt;0,0,IF(COUNTIF($G820:$T820,"&gt;"&amp;K820)=0,"",SMALL($G820:$T820,COUNTIF($G820:$T820,"&lt;="&amp;K820)+1)-K820)))</f>
        <v/>
      </c>
      <c r="AI820" t="str">
        <f>IF(OR($B820="",NOT(ISNUMBER(L820))),"",IF(COUNTIF(M820:$T820,L820)&gt;0,0,IF(COUNTIF($G820:$T820,"&gt;"&amp;L820)=0,"",SMALL($G820:$T820,COUNTIF($G820:$T820,"&lt;="&amp;L820)+1)-L820)))</f>
        <v/>
      </c>
      <c r="AJ820" t="str">
        <f>IF(OR($B820="",NOT(ISNUMBER(M820))),"",IF(COUNTIF(N820:$T820,M820)&gt;0,0,IF(COUNTIF($G820:$T820,"&gt;"&amp;M820)=0,"",SMALL($G820:$T820,COUNTIF($G820:$T820,"&lt;="&amp;M820)+1)-M820)))</f>
        <v/>
      </c>
      <c r="AK820" t="str">
        <f>IF(OR($B820="",NOT(ISNUMBER(N820))),"",IF(COUNTIF(O820:$T820,N820)&gt;0,0,IF(COUNTIF($G820:$T820,"&gt;"&amp;N820)=0,"",SMALL($G820:$T820,COUNTIF($G820:$T820,"&lt;="&amp;N820)+1)-N820)))</f>
        <v/>
      </c>
      <c r="AL820" t="str">
        <f>IF(OR($B820="",NOT(ISNUMBER(O820))),"",IF(COUNTIF(P820:$T820,O820)&gt;0,0,IF(COUNTIF($G820:$T820,"&gt;"&amp;O820)=0,"",SMALL($G820:$T820,COUNTIF($G820:$T820,"&lt;="&amp;O820)+1)-O820)))</f>
        <v/>
      </c>
      <c r="AM820" t="str">
        <f>IF(OR($B820="",NOT(ISNUMBER(P820))),"",IF(COUNTIF(Q820:$T820,P820)&gt;0,0,IF(COUNTIF($G820:$T820,"&gt;"&amp;P820)=0,"",SMALL($G820:$T820,COUNTIF($G820:$T820,"&lt;="&amp;P820)+1)-P820)))</f>
        <v/>
      </c>
      <c r="AN820" t="str">
        <f>IF(OR($B820="",NOT(ISNUMBER(Q820))),"",IF(COUNTIF(R820:$T820,Q820)&gt;0,0,IF(COUNTIF($G820:$T820,"&gt;"&amp;Q820)=0,"",SMALL($G820:$T820,COUNTIF($G820:$T820,"&lt;="&amp;Q820)+1)-Q820)))</f>
        <v/>
      </c>
      <c r="AO820" t="str">
        <f>IF(OR($B820="",NOT(ISNUMBER(R820))),"",IF(COUNTIF(S820:$T820,R820)&gt;0,0,IF(COUNTIF($G820:$T820,"&gt;"&amp;R820)=0,"",SMALL($G820:$T820,COUNTIF($G820:$T820,"&lt;="&amp;R820)+1)-R820)))</f>
        <v/>
      </c>
      <c r="AP820">
        <f t="shared" ca="1" si="207"/>
        <v>0</v>
      </c>
      <c r="AQ820" s="25" t="str">
        <f t="shared" si="208"/>
        <v/>
      </c>
      <c r="AR820" s="25" t="str">
        <f t="shared" si="209"/>
        <v/>
      </c>
      <c r="AS820" s="25" t="str">
        <f t="shared" si="210"/>
        <v/>
      </c>
      <c r="AT820" s="25" t="str">
        <f t="shared" si="211"/>
        <v/>
      </c>
      <c r="AU820" s="25" t="str">
        <f t="shared" si="212"/>
        <v/>
      </c>
      <c r="AV820" s="25" t="str">
        <f t="shared" si="213"/>
        <v/>
      </c>
      <c r="AW820" s="25" t="str">
        <f t="shared" si="214"/>
        <v/>
      </c>
      <c r="AX820" s="25" t="str">
        <f t="shared" si="215"/>
        <v/>
      </c>
      <c r="AY820" s="25" t="str">
        <f t="shared" si="216"/>
        <v/>
      </c>
      <c r="AZ820" s="25" t="str">
        <f t="shared" si="217"/>
        <v/>
      </c>
      <c r="BA820" s="25" t="str">
        <f t="shared" si="218"/>
        <v/>
      </c>
      <c r="BB820" s="25" t="str">
        <f t="shared" si="219"/>
        <v/>
      </c>
      <c r="BC820" s="25" t="str">
        <f t="shared" si="220"/>
        <v/>
      </c>
    </row>
    <row r="821" spans="1:55" x14ac:dyDescent="0.25">
      <c r="A821" s="19" t="str">
        <f t="shared" si="205"/>
        <v/>
      </c>
      <c r="B821" s="19"/>
      <c r="C821" s="20"/>
      <c r="D821" s="19" t="str">
        <f t="shared" si="204"/>
        <v/>
      </c>
      <c r="E821" s="19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19"/>
      <c r="U821" s="19"/>
      <c r="V821" s="20"/>
      <c r="W821" s="22"/>
      <c r="X821" s="21"/>
      <c r="Y821" s="21"/>
      <c r="Z821" s="23" t="str">
        <f>IF(B821="","",IF(S821&lt;&gt;"","Sevk Edildi",IF(AND(X821&lt;&gt;"",Y821=""),"Reworkte",IF(T821&lt;&gt;"","Kapandı"&amp;IF(COUNT(G821:R821)=0,""," – "&amp;LOOKUP(2,1/(G821:R821=MAX(G821:R821)),{"Tasarım","Ply Cutter","Üretim","Kalite (Üretim sonrası)","Talaşlı","Kalite (Talaşlı sonrası)","Montaj","Kalite (Montaj sonrası)","Boya","Kalite (Boya sonrası)","Yarı Mamül","KM"})),IF(COUNT(G821:R821)=0,"Başlamadı",LOOKUP(2,1/(G821:R821=MAX(G821:R821)),{"Tasarımda","Ply Cutter'da","Üretimde","Kalitede (Üretim sonrası)","Talaşlıda","Kalitede (Talaşlı sonrası)","Montajda","Kalitede (Montaj sonrası)","Boyada","Kalitede (Boya sonrası)","Yarı Mamülde","KM'de"}))))))</f>
        <v/>
      </c>
      <c r="AA821" s="24" t="str">
        <f t="shared" ca="1" si="206"/>
        <v/>
      </c>
      <c r="AB821" s="22"/>
      <c r="AD821" t="str">
        <f>IF(OR($B821="",NOT(ISNUMBER(G821))),"",IF(COUNTIF(H821:$T821,G821)&gt;0,0,IF(COUNTIF($G821:$T821,"&gt;"&amp;G821)=0,"",SMALL($G821:$T821,COUNTIF($G821:$T821,"&lt;="&amp;G821)+1)-G821)))</f>
        <v/>
      </c>
      <c r="AE821" t="str">
        <f>IF(OR($B821="",NOT(ISNUMBER(H821))),"",IF(COUNTIF(I821:$T821,H821)&gt;0,0,IF(COUNTIF($G821:$T821,"&gt;"&amp;H821)=0,"",SMALL($G821:$T821,COUNTIF($G821:$T821,"&lt;="&amp;H821)+1)-H821)))</f>
        <v/>
      </c>
      <c r="AF821" t="str">
        <f>IF(OR($B821="",NOT(ISNUMBER(I821))),"",IF(COUNTIF(J821:$T821,I821)&gt;0,0,IF(COUNTIF($G821:$T821,"&gt;"&amp;I821)=0,"",SMALL($G821:$T821,COUNTIF($G821:$T821,"&lt;="&amp;I821)+1)-I821)))</f>
        <v/>
      </c>
      <c r="AG821" t="str">
        <f>IF(OR($B821="",NOT(ISNUMBER(J821))),"",IF(COUNTIF(K821:$T821,J821)&gt;0,0,IF(COUNTIF($G821:$T821,"&gt;"&amp;J821)=0,"",SMALL($G821:$T821,COUNTIF($G821:$T821,"&lt;="&amp;J821)+1)-J821)))</f>
        <v/>
      </c>
      <c r="AH821" t="str">
        <f>IF(OR($B821="",NOT(ISNUMBER(K821))),"",IF(COUNTIF(L821:$T821,K821)&gt;0,0,IF(COUNTIF($G821:$T821,"&gt;"&amp;K821)=0,"",SMALL($G821:$T821,COUNTIF($G821:$T821,"&lt;="&amp;K821)+1)-K821)))</f>
        <v/>
      </c>
      <c r="AI821" t="str">
        <f>IF(OR($B821="",NOT(ISNUMBER(L821))),"",IF(COUNTIF(M821:$T821,L821)&gt;0,0,IF(COUNTIF($G821:$T821,"&gt;"&amp;L821)=0,"",SMALL($G821:$T821,COUNTIF($G821:$T821,"&lt;="&amp;L821)+1)-L821)))</f>
        <v/>
      </c>
      <c r="AJ821" t="str">
        <f>IF(OR($B821="",NOT(ISNUMBER(M821))),"",IF(COUNTIF(N821:$T821,M821)&gt;0,0,IF(COUNTIF($G821:$T821,"&gt;"&amp;M821)=0,"",SMALL($G821:$T821,COUNTIF($G821:$T821,"&lt;="&amp;M821)+1)-M821)))</f>
        <v/>
      </c>
      <c r="AK821" t="str">
        <f>IF(OR($B821="",NOT(ISNUMBER(N821))),"",IF(COUNTIF(O821:$T821,N821)&gt;0,0,IF(COUNTIF($G821:$T821,"&gt;"&amp;N821)=0,"",SMALL($G821:$T821,COUNTIF($G821:$T821,"&lt;="&amp;N821)+1)-N821)))</f>
        <v/>
      </c>
      <c r="AL821" t="str">
        <f>IF(OR($B821="",NOT(ISNUMBER(O821))),"",IF(COUNTIF(P821:$T821,O821)&gt;0,0,IF(COUNTIF($G821:$T821,"&gt;"&amp;O821)=0,"",SMALL($G821:$T821,COUNTIF($G821:$T821,"&lt;="&amp;O821)+1)-O821)))</f>
        <v/>
      </c>
      <c r="AM821" t="str">
        <f>IF(OR($B821="",NOT(ISNUMBER(P821))),"",IF(COUNTIF(Q821:$T821,P821)&gt;0,0,IF(COUNTIF($G821:$T821,"&gt;"&amp;P821)=0,"",SMALL($G821:$T821,COUNTIF($G821:$T821,"&lt;="&amp;P821)+1)-P821)))</f>
        <v/>
      </c>
      <c r="AN821" t="str">
        <f>IF(OR($B821="",NOT(ISNUMBER(Q821))),"",IF(COUNTIF(R821:$T821,Q821)&gt;0,0,IF(COUNTIF($G821:$T821,"&gt;"&amp;Q821)=0,"",SMALL($G821:$T821,COUNTIF($G821:$T821,"&lt;="&amp;Q821)+1)-Q821)))</f>
        <v/>
      </c>
      <c r="AO821" t="str">
        <f>IF(OR($B821="",NOT(ISNUMBER(R821))),"",IF(COUNTIF(S821:$T821,R821)&gt;0,0,IF(COUNTIF($G821:$T821,"&gt;"&amp;R821)=0,"",SMALL($G821:$T821,COUNTIF($G821:$T821,"&lt;="&amp;R821)+1)-R821)))</f>
        <v/>
      </c>
      <c r="AP821">
        <f t="shared" ca="1" si="207"/>
        <v>0</v>
      </c>
      <c r="AQ821" s="25" t="str">
        <f t="shared" si="208"/>
        <v/>
      </c>
      <c r="AR821" s="25" t="str">
        <f t="shared" si="209"/>
        <v/>
      </c>
      <c r="AS821" s="25" t="str">
        <f t="shared" si="210"/>
        <v/>
      </c>
      <c r="AT821" s="25" t="str">
        <f t="shared" si="211"/>
        <v/>
      </c>
      <c r="AU821" s="25" t="str">
        <f t="shared" si="212"/>
        <v/>
      </c>
      <c r="AV821" s="25" t="str">
        <f t="shared" si="213"/>
        <v/>
      </c>
      <c r="AW821" s="25" t="str">
        <f t="shared" si="214"/>
        <v/>
      </c>
      <c r="AX821" s="25" t="str">
        <f t="shared" si="215"/>
        <v/>
      </c>
      <c r="AY821" s="25" t="str">
        <f t="shared" si="216"/>
        <v/>
      </c>
      <c r="AZ821" s="25" t="str">
        <f t="shared" si="217"/>
        <v/>
      </c>
      <c r="BA821" s="25" t="str">
        <f t="shared" si="218"/>
        <v/>
      </c>
      <c r="BB821" s="25" t="str">
        <f t="shared" si="219"/>
        <v/>
      </c>
      <c r="BC821" s="25" t="str">
        <f t="shared" si="220"/>
        <v/>
      </c>
    </row>
    <row r="822" spans="1:55" x14ac:dyDescent="0.25">
      <c r="A822" s="19" t="str">
        <f t="shared" si="205"/>
        <v/>
      </c>
      <c r="B822" s="19"/>
      <c r="C822" s="20"/>
      <c r="D822" s="19" t="str">
        <f t="shared" si="204"/>
        <v/>
      </c>
      <c r="E822" s="19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19"/>
      <c r="U822" s="19"/>
      <c r="V822" s="20"/>
      <c r="W822" s="22"/>
      <c r="X822" s="21"/>
      <c r="Y822" s="21"/>
      <c r="Z822" s="23" t="str">
        <f>IF(B822="","",IF(S822&lt;&gt;"","Sevk Edildi",IF(AND(X822&lt;&gt;"",Y822=""),"Reworkte",IF(T822&lt;&gt;"","Kapandı"&amp;IF(COUNT(G822:R822)=0,""," – "&amp;LOOKUP(2,1/(G822:R822=MAX(G822:R822)),{"Tasarım","Ply Cutter","Üretim","Kalite (Üretim sonrası)","Talaşlı","Kalite (Talaşlı sonrası)","Montaj","Kalite (Montaj sonrası)","Boya","Kalite (Boya sonrası)","Yarı Mamül","KM"})),IF(COUNT(G822:R822)=0,"Başlamadı",LOOKUP(2,1/(G822:R822=MAX(G822:R822)),{"Tasarımda","Ply Cutter'da","Üretimde","Kalitede (Üretim sonrası)","Talaşlıda","Kalitede (Talaşlı sonrası)","Montajda","Kalitede (Montaj sonrası)","Boyada","Kalitede (Boya sonrası)","Yarı Mamülde","KM'de"}))))))</f>
        <v/>
      </c>
      <c r="AA822" s="24" t="str">
        <f t="shared" ca="1" si="206"/>
        <v/>
      </c>
      <c r="AB822" s="22"/>
      <c r="AD822" t="str">
        <f>IF(OR($B822="",NOT(ISNUMBER(G822))),"",IF(COUNTIF(H822:$T822,G822)&gt;0,0,IF(COUNTIF($G822:$T822,"&gt;"&amp;G822)=0,"",SMALL($G822:$T822,COUNTIF($G822:$T822,"&lt;="&amp;G822)+1)-G822)))</f>
        <v/>
      </c>
      <c r="AE822" t="str">
        <f>IF(OR($B822="",NOT(ISNUMBER(H822))),"",IF(COUNTIF(I822:$T822,H822)&gt;0,0,IF(COUNTIF($G822:$T822,"&gt;"&amp;H822)=0,"",SMALL($G822:$T822,COUNTIF($G822:$T822,"&lt;="&amp;H822)+1)-H822)))</f>
        <v/>
      </c>
      <c r="AF822" t="str">
        <f>IF(OR($B822="",NOT(ISNUMBER(I822))),"",IF(COUNTIF(J822:$T822,I822)&gt;0,0,IF(COUNTIF($G822:$T822,"&gt;"&amp;I822)=0,"",SMALL($G822:$T822,COUNTIF($G822:$T822,"&lt;="&amp;I822)+1)-I822)))</f>
        <v/>
      </c>
      <c r="AG822" t="str">
        <f>IF(OR($B822="",NOT(ISNUMBER(J822))),"",IF(COUNTIF(K822:$T822,J822)&gt;0,0,IF(COUNTIF($G822:$T822,"&gt;"&amp;J822)=0,"",SMALL($G822:$T822,COUNTIF($G822:$T822,"&lt;="&amp;J822)+1)-J822)))</f>
        <v/>
      </c>
      <c r="AH822" t="str">
        <f>IF(OR($B822="",NOT(ISNUMBER(K822))),"",IF(COUNTIF(L822:$T822,K822)&gt;0,0,IF(COUNTIF($G822:$T822,"&gt;"&amp;K822)=0,"",SMALL($G822:$T822,COUNTIF($G822:$T822,"&lt;="&amp;K822)+1)-K822)))</f>
        <v/>
      </c>
      <c r="AI822" t="str">
        <f>IF(OR($B822="",NOT(ISNUMBER(L822))),"",IF(COUNTIF(M822:$T822,L822)&gt;0,0,IF(COUNTIF($G822:$T822,"&gt;"&amp;L822)=0,"",SMALL($G822:$T822,COUNTIF($G822:$T822,"&lt;="&amp;L822)+1)-L822)))</f>
        <v/>
      </c>
      <c r="AJ822" t="str">
        <f>IF(OR($B822="",NOT(ISNUMBER(M822))),"",IF(COUNTIF(N822:$T822,M822)&gt;0,0,IF(COUNTIF($G822:$T822,"&gt;"&amp;M822)=0,"",SMALL($G822:$T822,COUNTIF($G822:$T822,"&lt;="&amp;M822)+1)-M822)))</f>
        <v/>
      </c>
      <c r="AK822" t="str">
        <f>IF(OR($B822="",NOT(ISNUMBER(N822))),"",IF(COUNTIF(O822:$T822,N822)&gt;0,0,IF(COUNTIF($G822:$T822,"&gt;"&amp;N822)=0,"",SMALL($G822:$T822,COUNTIF($G822:$T822,"&lt;="&amp;N822)+1)-N822)))</f>
        <v/>
      </c>
      <c r="AL822" t="str">
        <f>IF(OR($B822="",NOT(ISNUMBER(O822))),"",IF(COUNTIF(P822:$T822,O822)&gt;0,0,IF(COUNTIF($G822:$T822,"&gt;"&amp;O822)=0,"",SMALL($G822:$T822,COUNTIF($G822:$T822,"&lt;="&amp;O822)+1)-O822)))</f>
        <v/>
      </c>
      <c r="AM822" t="str">
        <f>IF(OR($B822="",NOT(ISNUMBER(P822))),"",IF(COUNTIF(Q822:$T822,P822)&gt;0,0,IF(COUNTIF($G822:$T822,"&gt;"&amp;P822)=0,"",SMALL($G822:$T822,COUNTIF($G822:$T822,"&lt;="&amp;P822)+1)-P822)))</f>
        <v/>
      </c>
      <c r="AN822" t="str">
        <f>IF(OR($B822="",NOT(ISNUMBER(Q822))),"",IF(COUNTIF(R822:$T822,Q822)&gt;0,0,IF(COUNTIF($G822:$T822,"&gt;"&amp;Q822)=0,"",SMALL($G822:$T822,COUNTIF($G822:$T822,"&lt;="&amp;Q822)+1)-Q822)))</f>
        <v/>
      </c>
      <c r="AO822" t="str">
        <f>IF(OR($B822="",NOT(ISNUMBER(R822))),"",IF(COUNTIF(S822:$T822,R822)&gt;0,0,IF(COUNTIF($G822:$T822,"&gt;"&amp;R822)=0,"",SMALL($G822:$T822,COUNTIF($G822:$T822,"&lt;="&amp;R822)+1)-R822)))</f>
        <v/>
      </c>
      <c r="AP822">
        <f t="shared" ca="1" si="207"/>
        <v>0</v>
      </c>
      <c r="AQ822" s="25" t="str">
        <f t="shared" si="208"/>
        <v/>
      </c>
      <c r="AR822" s="25" t="str">
        <f t="shared" si="209"/>
        <v/>
      </c>
      <c r="AS822" s="25" t="str">
        <f t="shared" si="210"/>
        <v/>
      </c>
      <c r="AT822" s="25" t="str">
        <f t="shared" si="211"/>
        <v/>
      </c>
      <c r="AU822" s="25" t="str">
        <f t="shared" si="212"/>
        <v/>
      </c>
      <c r="AV822" s="25" t="str">
        <f t="shared" si="213"/>
        <v/>
      </c>
      <c r="AW822" s="25" t="str">
        <f t="shared" si="214"/>
        <v/>
      </c>
      <c r="AX822" s="25" t="str">
        <f t="shared" si="215"/>
        <v/>
      </c>
      <c r="AY822" s="25" t="str">
        <f t="shared" si="216"/>
        <v/>
      </c>
      <c r="AZ822" s="25" t="str">
        <f t="shared" si="217"/>
        <v/>
      </c>
      <c r="BA822" s="25" t="str">
        <f t="shared" si="218"/>
        <v/>
      </c>
      <c r="BB822" s="25" t="str">
        <f t="shared" si="219"/>
        <v/>
      </c>
      <c r="BC822" s="25" t="str">
        <f t="shared" si="220"/>
        <v/>
      </c>
    </row>
    <row r="823" spans="1:55" x14ac:dyDescent="0.25">
      <c r="A823" s="19" t="str">
        <f t="shared" si="205"/>
        <v/>
      </c>
      <c r="B823" s="19"/>
      <c r="C823" s="20"/>
      <c r="D823" s="19" t="str">
        <f t="shared" si="204"/>
        <v/>
      </c>
      <c r="E823" s="19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19"/>
      <c r="U823" s="19"/>
      <c r="V823" s="20"/>
      <c r="W823" s="22"/>
      <c r="X823" s="21"/>
      <c r="Y823" s="21"/>
      <c r="Z823" s="23" t="str">
        <f>IF(B823="","",IF(S823&lt;&gt;"","Sevk Edildi",IF(AND(X823&lt;&gt;"",Y823=""),"Reworkte",IF(T823&lt;&gt;"","Kapandı"&amp;IF(COUNT(G823:R823)=0,""," – "&amp;LOOKUP(2,1/(G823:R823=MAX(G823:R823)),{"Tasarım","Ply Cutter","Üretim","Kalite (Üretim sonrası)","Talaşlı","Kalite (Talaşlı sonrası)","Montaj","Kalite (Montaj sonrası)","Boya","Kalite (Boya sonrası)","Yarı Mamül","KM"})),IF(COUNT(G823:R823)=0,"Başlamadı",LOOKUP(2,1/(G823:R823=MAX(G823:R823)),{"Tasarımda","Ply Cutter'da","Üretimde","Kalitede (Üretim sonrası)","Talaşlıda","Kalitede (Talaşlı sonrası)","Montajda","Kalitede (Montaj sonrası)","Boyada","Kalitede (Boya sonrası)","Yarı Mamülde","KM'de"}))))))</f>
        <v/>
      </c>
      <c r="AA823" s="24" t="str">
        <f t="shared" ca="1" si="206"/>
        <v/>
      </c>
      <c r="AB823" s="22"/>
      <c r="AD823" t="str">
        <f>IF(OR($B823="",NOT(ISNUMBER(G823))),"",IF(COUNTIF(H823:$T823,G823)&gt;0,0,IF(COUNTIF($G823:$T823,"&gt;"&amp;G823)=0,"",SMALL($G823:$T823,COUNTIF($G823:$T823,"&lt;="&amp;G823)+1)-G823)))</f>
        <v/>
      </c>
      <c r="AE823" t="str">
        <f>IF(OR($B823="",NOT(ISNUMBER(H823))),"",IF(COUNTIF(I823:$T823,H823)&gt;0,0,IF(COUNTIF($G823:$T823,"&gt;"&amp;H823)=0,"",SMALL($G823:$T823,COUNTIF($G823:$T823,"&lt;="&amp;H823)+1)-H823)))</f>
        <v/>
      </c>
      <c r="AF823" t="str">
        <f>IF(OR($B823="",NOT(ISNUMBER(I823))),"",IF(COUNTIF(J823:$T823,I823)&gt;0,0,IF(COUNTIF($G823:$T823,"&gt;"&amp;I823)=0,"",SMALL($G823:$T823,COUNTIF($G823:$T823,"&lt;="&amp;I823)+1)-I823)))</f>
        <v/>
      </c>
      <c r="AG823" t="str">
        <f>IF(OR($B823="",NOT(ISNUMBER(J823))),"",IF(COUNTIF(K823:$T823,J823)&gt;0,0,IF(COUNTIF($G823:$T823,"&gt;"&amp;J823)=0,"",SMALL($G823:$T823,COUNTIF($G823:$T823,"&lt;="&amp;J823)+1)-J823)))</f>
        <v/>
      </c>
      <c r="AH823" t="str">
        <f>IF(OR($B823="",NOT(ISNUMBER(K823))),"",IF(COUNTIF(L823:$T823,K823)&gt;0,0,IF(COUNTIF($G823:$T823,"&gt;"&amp;K823)=0,"",SMALL($G823:$T823,COUNTIF($G823:$T823,"&lt;="&amp;K823)+1)-K823)))</f>
        <v/>
      </c>
      <c r="AI823" t="str">
        <f>IF(OR($B823="",NOT(ISNUMBER(L823))),"",IF(COUNTIF(M823:$T823,L823)&gt;0,0,IF(COUNTIF($G823:$T823,"&gt;"&amp;L823)=0,"",SMALL($G823:$T823,COUNTIF($G823:$T823,"&lt;="&amp;L823)+1)-L823)))</f>
        <v/>
      </c>
      <c r="AJ823" t="str">
        <f>IF(OR($B823="",NOT(ISNUMBER(M823))),"",IF(COUNTIF(N823:$T823,M823)&gt;0,0,IF(COUNTIF($G823:$T823,"&gt;"&amp;M823)=0,"",SMALL($G823:$T823,COUNTIF($G823:$T823,"&lt;="&amp;M823)+1)-M823)))</f>
        <v/>
      </c>
      <c r="AK823" t="str">
        <f>IF(OR($B823="",NOT(ISNUMBER(N823))),"",IF(COUNTIF(O823:$T823,N823)&gt;0,0,IF(COUNTIF($G823:$T823,"&gt;"&amp;N823)=0,"",SMALL($G823:$T823,COUNTIF($G823:$T823,"&lt;="&amp;N823)+1)-N823)))</f>
        <v/>
      </c>
      <c r="AL823" t="str">
        <f>IF(OR($B823="",NOT(ISNUMBER(O823))),"",IF(COUNTIF(P823:$T823,O823)&gt;0,0,IF(COUNTIF($G823:$T823,"&gt;"&amp;O823)=0,"",SMALL($G823:$T823,COUNTIF($G823:$T823,"&lt;="&amp;O823)+1)-O823)))</f>
        <v/>
      </c>
      <c r="AM823" t="str">
        <f>IF(OR($B823="",NOT(ISNUMBER(P823))),"",IF(COUNTIF(Q823:$T823,P823)&gt;0,0,IF(COUNTIF($G823:$T823,"&gt;"&amp;P823)=0,"",SMALL($G823:$T823,COUNTIF($G823:$T823,"&lt;="&amp;P823)+1)-P823)))</f>
        <v/>
      </c>
      <c r="AN823" t="str">
        <f>IF(OR($B823="",NOT(ISNUMBER(Q823))),"",IF(COUNTIF(R823:$T823,Q823)&gt;0,0,IF(COUNTIF($G823:$T823,"&gt;"&amp;Q823)=0,"",SMALL($G823:$T823,COUNTIF($G823:$T823,"&lt;="&amp;Q823)+1)-Q823)))</f>
        <v/>
      </c>
      <c r="AO823" t="str">
        <f>IF(OR($B823="",NOT(ISNUMBER(R823))),"",IF(COUNTIF(S823:$T823,R823)&gt;0,0,IF(COUNTIF($G823:$T823,"&gt;"&amp;R823)=0,"",SMALL($G823:$T823,COUNTIF($G823:$T823,"&lt;="&amp;R823)+1)-R823)))</f>
        <v/>
      </c>
      <c r="AP823">
        <f t="shared" ca="1" si="207"/>
        <v>0</v>
      </c>
      <c r="AQ823" s="25" t="str">
        <f t="shared" si="208"/>
        <v/>
      </c>
      <c r="AR823" s="25" t="str">
        <f t="shared" si="209"/>
        <v/>
      </c>
      <c r="AS823" s="25" t="str">
        <f t="shared" si="210"/>
        <v/>
      </c>
      <c r="AT823" s="25" t="str">
        <f t="shared" si="211"/>
        <v/>
      </c>
      <c r="AU823" s="25" t="str">
        <f t="shared" si="212"/>
        <v/>
      </c>
      <c r="AV823" s="25" t="str">
        <f t="shared" si="213"/>
        <v/>
      </c>
      <c r="AW823" s="25" t="str">
        <f t="shared" si="214"/>
        <v/>
      </c>
      <c r="AX823" s="25" t="str">
        <f t="shared" si="215"/>
        <v/>
      </c>
      <c r="AY823" s="25" t="str">
        <f t="shared" si="216"/>
        <v/>
      </c>
      <c r="AZ823" s="25" t="str">
        <f t="shared" si="217"/>
        <v/>
      </c>
      <c r="BA823" s="25" t="str">
        <f t="shared" si="218"/>
        <v/>
      </c>
      <c r="BB823" s="25" t="str">
        <f t="shared" si="219"/>
        <v/>
      </c>
      <c r="BC823" s="25" t="str">
        <f t="shared" si="220"/>
        <v/>
      </c>
    </row>
    <row r="824" spans="1:55" x14ac:dyDescent="0.25">
      <c r="A824" s="19" t="str">
        <f t="shared" si="205"/>
        <v/>
      </c>
      <c r="B824" s="19"/>
      <c r="C824" s="20"/>
      <c r="D824" s="19" t="str">
        <f t="shared" si="204"/>
        <v/>
      </c>
      <c r="E824" s="19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19"/>
      <c r="U824" s="19"/>
      <c r="V824" s="20"/>
      <c r="W824" s="22"/>
      <c r="X824" s="21"/>
      <c r="Y824" s="21"/>
      <c r="Z824" s="23" t="str">
        <f>IF(B824="","",IF(S824&lt;&gt;"","Sevk Edildi",IF(AND(X824&lt;&gt;"",Y824=""),"Reworkte",IF(T824&lt;&gt;"","Kapandı"&amp;IF(COUNT(G824:R824)=0,""," – "&amp;LOOKUP(2,1/(G824:R824=MAX(G824:R824)),{"Tasarım","Ply Cutter","Üretim","Kalite (Üretim sonrası)","Talaşlı","Kalite (Talaşlı sonrası)","Montaj","Kalite (Montaj sonrası)","Boya","Kalite (Boya sonrası)","Yarı Mamül","KM"})),IF(COUNT(G824:R824)=0,"Başlamadı",LOOKUP(2,1/(G824:R824=MAX(G824:R824)),{"Tasarımda","Ply Cutter'da","Üretimde","Kalitede (Üretim sonrası)","Talaşlıda","Kalitede (Talaşlı sonrası)","Montajda","Kalitede (Montaj sonrası)","Boyada","Kalitede (Boya sonrası)","Yarı Mamülde","KM'de"}))))))</f>
        <v/>
      </c>
      <c r="AA824" s="24" t="str">
        <f t="shared" ca="1" si="206"/>
        <v/>
      </c>
      <c r="AB824" s="22"/>
      <c r="AD824" t="str">
        <f>IF(OR($B824="",NOT(ISNUMBER(G824))),"",IF(COUNTIF(H824:$T824,G824)&gt;0,0,IF(COUNTIF($G824:$T824,"&gt;"&amp;G824)=0,"",SMALL($G824:$T824,COUNTIF($G824:$T824,"&lt;="&amp;G824)+1)-G824)))</f>
        <v/>
      </c>
      <c r="AE824" t="str">
        <f>IF(OR($B824="",NOT(ISNUMBER(H824))),"",IF(COUNTIF(I824:$T824,H824)&gt;0,0,IF(COUNTIF($G824:$T824,"&gt;"&amp;H824)=0,"",SMALL($G824:$T824,COUNTIF($G824:$T824,"&lt;="&amp;H824)+1)-H824)))</f>
        <v/>
      </c>
      <c r="AF824" t="str">
        <f>IF(OR($B824="",NOT(ISNUMBER(I824))),"",IF(COUNTIF(J824:$T824,I824)&gt;0,0,IF(COUNTIF($G824:$T824,"&gt;"&amp;I824)=0,"",SMALL($G824:$T824,COUNTIF($G824:$T824,"&lt;="&amp;I824)+1)-I824)))</f>
        <v/>
      </c>
      <c r="AG824" t="str">
        <f>IF(OR($B824="",NOT(ISNUMBER(J824))),"",IF(COUNTIF(K824:$T824,J824)&gt;0,0,IF(COUNTIF($G824:$T824,"&gt;"&amp;J824)=0,"",SMALL($G824:$T824,COUNTIF($G824:$T824,"&lt;="&amp;J824)+1)-J824)))</f>
        <v/>
      </c>
      <c r="AH824" t="str">
        <f>IF(OR($B824="",NOT(ISNUMBER(K824))),"",IF(COUNTIF(L824:$T824,K824)&gt;0,0,IF(COUNTIF($G824:$T824,"&gt;"&amp;K824)=0,"",SMALL($G824:$T824,COUNTIF($G824:$T824,"&lt;="&amp;K824)+1)-K824)))</f>
        <v/>
      </c>
      <c r="AI824" t="str">
        <f>IF(OR($B824="",NOT(ISNUMBER(L824))),"",IF(COUNTIF(M824:$T824,L824)&gt;0,0,IF(COUNTIF($G824:$T824,"&gt;"&amp;L824)=0,"",SMALL($G824:$T824,COUNTIF($G824:$T824,"&lt;="&amp;L824)+1)-L824)))</f>
        <v/>
      </c>
      <c r="AJ824" t="str">
        <f>IF(OR($B824="",NOT(ISNUMBER(M824))),"",IF(COUNTIF(N824:$T824,M824)&gt;0,0,IF(COUNTIF($G824:$T824,"&gt;"&amp;M824)=0,"",SMALL($G824:$T824,COUNTIF($G824:$T824,"&lt;="&amp;M824)+1)-M824)))</f>
        <v/>
      </c>
      <c r="AK824" t="str">
        <f>IF(OR($B824="",NOT(ISNUMBER(N824))),"",IF(COUNTIF(O824:$T824,N824)&gt;0,0,IF(COUNTIF($G824:$T824,"&gt;"&amp;N824)=0,"",SMALL($G824:$T824,COUNTIF($G824:$T824,"&lt;="&amp;N824)+1)-N824)))</f>
        <v/>
      </c>
      <c r="AL824" t="str">
        <f>IF(OR($B824="",NOT(ISNUMBER(O824))),"",IF(COUNTIF(P824:$T824,O824)&gt;0,0,IF(COUNTIF($G824:$T824,"&gt;"&amp;O824)=0,"",SMALL($G824:$T824,COUNTIF($G824:$T824,"&lt;="&amp;O824)+1)-O824)))</f>
        <v/>
      </c>
      <c r="AM824" t="str">
        <f>IF(OR($B824="",NOT(ISNUMBER(P824))),"",IF(COUNTIF(Q824:$T824,P824)&gt;0,0,IF(COUNTIF($G824:$T824,"&gt;"&amp;P824)=0,"",SMALL($G824:$T824,COUNTIF($G824:$T824,"&lt;="&amp;P824)+1)-P824)))</f>
        <v/>
      </c>
      <c r="AN824" t="str">
        <f>IF(OR($B824="",NOT(ISNUMBER(Q824))),"",IF(COUNTIF(R824:$T824,Q824)&gt;0,0,IF(COUNTIF($G824:$T824,"&gt;"&amp;Q824)=0,"",SMALL($G824:$T824,COUNTIF($G824:$T824,"&lt;="&amp;Q824)+1)-Q824)))</f>
        <v/>
      </c>
      <c r="AO824" t="str">
        <f>IF(OR($B824="",NOT(ISNUMBER(R824))),"",IF(COUNTIF(S824:$T824,R824)&gt;0,0,IF(COUNTIF($G824:$T824,"&gt;"&amp;R824)=0,"",SMALL($G824:$T824,COUNTIF($G824:$T824,"&lt;="&amp;R824)+1)-R824)))</f>
        <v/>
      </c>
      <c r="AP824">
        <f t="shared" ca="1" si="207"/>
        <v>0</v>
      </c>
      <c r="AQ824" s="25" t="str">
        <f t="shared" si="208"/>
        <v/>
      </c>
      <c r="AR824" s="25" t="str">
        <f t="shared" si="209"/>
        <v/>
      </c>
      <c r="AS824" s="25" t="str">
        <f t="shared" si="210"/>
        <v/>
      </c>
      <c r="AT824" s="25" t="str">
        <f t="shared" si="211"/>
        <v/>
      </c>
      <c r="AU824" s="25" t="str">
        <f t="shared" si="212"/>
        <v/>
      </c>
      <c r="AV824" s="25" t="str">
        <f t="shared" si="213"/>
        <v/>
      </c>
      <c r="AW824" s="25" t="str">
        <f t="shared" si="214"/>
        <v/>
      </c>
      <c r="AX824" s="25" t="str">
        <f t="shared" si="215"/>
        <v/>
      </c>
      <c r="AY824" s="25" t="str">
        <f t="shared" si="216"/>
        <v/>
      </c>
      <c r="AZ824" s="25" t="str">
        <f t="shared" si="217"/>
        <v/>
      </c>
      <c r="BA824" s="25" t="str">
        <f t="shared" si="218"/>
        <v/>
      </c>
      <c r="BB824" s="25" t="str">
        <f t="shared" si="219"/>
        <v/>
      </c>
      <c r="BC824" s="25" t="str">
        <f t="shared" si="220"/>
        <v/>
      </c>
    </row>
    <row r="825" spans="1:55" x14ac:dyDescent="0.25">
      <c r="A825" s="19" t="str">
        <f t="shared" si="205"/>
        <v/>
      </c>
      <c r="B825" s="19"/>
      <c r="C825" s="20"/>
      <c r="D825" s="19" t="str">
        <f t="shared" si="204"/>
        <v/>
      </c>
      <c r="E825" s="19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19"/>
      <c r="U825" s="19"/>
      <c r="V825" s="20"/>
      <c r="W825" s="22"/>
      <c r="X825" s="21"/>
      <c r="Y825" s="21"/>
      <c r="Z825" s="23" t="str">
        <f>IF(B825="","",IF(S825&lt;&gt;"","Sevk Edildi",IF(AND(X825&lt;&gt;"",Y825=""),"Reworkte",IF(T825&lt;&gt;"","Kapandı"&amp;IF(COUNT(G825:R825)=0,""," – "&amp;LOOKUP(2,1/(G825:R825=MAX(G825:R825)),{"Tasarım","Ply Cutter","Üretim","Kalite (Üretim sonrası)","Talaşlı","Kalite (Talaşlı sonrası)","Montaj","Kalite (Montaj sonrası)","Boya","Kalite (Boya sonrası)","Yarı Mamül","KM"})),IF(COUNT(G825:R825)=0,"Başlamadı",LOOKUP(2,1/(G825:R825=MAX(G825:R825)),{"Tasarımda","Ply Cutter'da","Üretimde","Kalitede (Üretim sonrası)","Talaşlıda","Kalitede (Talaşlı sonrası)","Montajda","Kalitede (Montaj sonrası)","Boyada","Kalitede (Boya sonrası)","Yarı Mamülde","KM'de"}))))))</f>
        <v/>
      </c>
      <c r="AA825" s="24" t="str">
        <f t="shared" ca="1" si="206"/>
        <v/>
      </c>
      <c r="AB825" s="22"/>
      <c r="AD825" t="str">
        <f>IF(OR($B825="",NOT(ISNUMBER(G825))),"",IF(COUNTIF(H825:$T825,G825)&gt;0,0,IF(COUNTIF($G825:$T825,"&gt;"&amp;G825)=0,"",SMALL($G825:$T825,COUNTIF($G825:$T825,"&lt;="&amp;G825)+1)-G825)))</f>
        <v/>
      </c>
      <c r="AE825" t="str">
        <f>IF(OR($B825="",NOT(ISNUMBER(H825))),"",IF(COUNTIF(I825:$T825,H825)&gt;0,0,IF(COUNTIF($G825:$T825,"&gt;"&amp;H825)=0,"",SMALL($G825:$T825,COUNTIF($G825:$T825,"&lt;="&amp;H825)+1)-H825)))</f>
        <v/>
      </c>
      <c r="AF825" t="str">
        <f>IF(OR($B825="",NOT(ISNUMBER(I825))),"",IF(COUNTIF(J825:$T825,I825)&gt;0,0,IF(COUNTIF($G825:$T825,"&gt;"&amp;I825)=0,"",SMALL($G825:$T825,COUNTIF($G825:$T825,"&lt;="&amp;I825)+1)-I825)))</f>
        <v/>
      </c>
      <c r="AG825" t="str">
        <f>IF(OR($B825="",NOT(ISNUMBER(J825))),"",IF(COUNTIF(K825:$T825,J825)&gt;0,0,IF(COUNTIF($G825:$T825,"&gt;"&amp;J825)=0,"",SMALL($G825:$T825,COUNTIF($G825:$T825,"&lt;="&amp;J825)+1)-J825)))</f>
        <v/>
      </c>
      <c r="AH825" t="str">
        <f>IF(OR($B825="",NOT(ISNUMBER(K825))),"",IF(COUNTIF(L825:$T825,K825)&gt;0,0,IF(COUNTIF($G825:$T825,"&gt;"&amp;K825)=0,"",SMALL($G825:$T825,COUNTIF($G825:$T825,"&lt;="&amp;K825)+1)-K825)))</f>
        <v/>
      </c>
      <c r="AI825" t="str">
        <f>IF(OR($B825="",NOT(ISNUMBER(L825))),"",IF(COUNTIF(M825:$T825,L825)&gt;0,0,IF(COUNTIF($G825:$T825,"&gt;"&amp;L825)=0,"",SMALL($G825:$T825,COUNTIF($G825:$T825,"&lt;="&amp;L825)+1)-L825)))</f>
        <v/>
      </c>
      <c r="AJ825" t="str">
        <f>IF(OR($B825="",NOT(ISNUMBER(M825))),"",IF(COUNTIF(N825:$T825,M825)&gt;0,0,IF(COUNTIF($G825:$T825,"&gt;"&amp;M825)=0,"",SMALL($G825:$T825,COUNTIF($G825:$T825,"&lt;="&amp;M825)+1)-M825)))</f>
        <v/>
      </c>
      <c r="AK825" t="str">
        <f>IF(OR($B825="",NOT(ISNUMBER(N825))),"",IF(COUNTIF(O825:$T825,N825)&gt;0,0,IF(COUNTIF($G825:$T825,"&gt;"&amp;N825)=0,"",SMALL($G825:$T825,COUNTIF($G825:$T825,"&lt;="&amp;N825)+1)-N825)))</f>
        <v/>
      </c>
      <c r="AL825" t="str">
        <f>IF(OR($B825="",NOT(ISNUMBER(O825))),"",IF(COUNTIF(P825:$T825,O825)&gt;0,0,IF(COUNTIF($G825:$T825,"&gt;"&amp;O825)=0,"",SMALL($G825:$T825,COUNTIF($G825:$T825,"&lt;="&amp;O825)+1)-O825)))</f>
        <v/>
      </c>
      <c r="AM825" t="str">
        <f>IF(OR($B825="",NOT(ISNUMBER(P825))),"",IF(COUNTIF(Q825:$T825,P825)&gt;0,0,IF(COUNTIF($G825:$T825,"&gt;"&amp;P825)=0,"",SMALL($G825:$T825,COUNTIF($G825:$T825,"&lt;="&amp;P825)+1)-P825)))</f>
        <v/>
      </c>
      <c r="AN825" t="str">
        <f>IF(OR($B825="",NOT(ISNUMBER(Q825))),"",IF(COUNTIF(R825:$T825,Q825)&gt;0,0,IF(COUNTIF($G825:$T825,"&gt;"&amp;Q825)=0,"",SMALL($G825:$T825,COUNTIF($G825:$T825,"&lt;="&amp;Q825)+1)-Q825)))</f>
        <v/>
      </c>
      <c r="AO825" t="str">
        <f>IF(OR($B825="",NOT(ISNUMBER(R825))),"",IF(COUNTIF(S825:$T825,R825)&gt;0,0,IF(COUNTIF($G825:$T825,"&gt;"&amp;R825)=0,"",SMALL($G825:$T825,COUNTIF($G825:$T825,"&lt;="&amp;R825)+1)-R825)))</f>
        <v/>
      </c>
      <c r="AP825">
        <f t="shared" ca="1" si="207"/>
        <v>0</v>
      </c>
      <c r="AQ825" s="25" t="str">
        <f t="shared" si="208"/>
        <v/>
      </c>
      <c r="AR825" s="25" t="str">
        <f t="shared" si="209"/>
        <v/>
      </c>
      <c r="AS825" s="25" t="str">
        <f t="shared" si="210"/>
        <v/>
      </c>
      <c r="AT825" s="25" t="str">
        <f t="shared" si="211"/>
        <v/>
      </c>
      <c r="AU825" s="25" t="str">
        <f t="shared" si="212"/>
        <v/>
      </c>
      <c r="AV825" s="25" t="str">
        <f t="shared" si="213"/>
        <v/>
      </c>
      <c r="AW825" s="25" t="str">
        <f t="shared" si="214"/>
        <v/>
      </c>
      <c r="AX825" s="25" t="str">
        <f t="shared" si="215"/>
        <v/>
      </c>
      <c r="AY825" s="25" t="str">
        <f t="shared" si="216"/>
        <v/>
      </c>
      <c r="AZ825" s="25" t="str">
        <f t="shared" si="217"/>
        <v/>
      </c>
      <c r="BA825" s="25" t="str">
        <f t="shared" si="218"/>
        <v/>
      </c>
      <c r="BB825" s="25" t="str">
        <f t="shared" si="219"/>
        <v/>
      </c>
      <c r="BC825" s="25" t="str">
        <f t="shared" si="220"/>
        <v/>
      </c>
    </row>
    <row r="826" spans="1:55" x14ac:dyDescent="0.25">
      <c r="A826" s="19" t="str">
        <f t="shared" si="205"/>
        <v/>
      </c>
      <c r="B826" s="19"/>
      <c r="C826" s="20"/>
      <c r="D826" s="19" t="str">
        <f t="shared" si="204"/>
        <v/>
      </c>
      <c r="E826" s="19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19"/>
      <c r="U826" s="19"/>
      <c r="V826" s="20"/>
      <c r="W826" s="22"/>
      <c r="X826" s="21"/>
      <c r="Y826" s="21"/>
      <c r="Z826" s="23" t="str">
        <f>IF(B826="","",IF(S826&lt;&gt;"","Sevk Edildi",IF(AND(X826&lt;&gt;"",Y826=""),"Reworkte",IF(T826&lt;&gt;"","Kapandı"&amp;IF(COUNT(G826:R826)=0,""," – "&amp;LOOKUP(2,1/(G826:R826=MAX(G826:R826)),{"Tasarım","Ply Cutter","Üretim","Kalite (Üretim sonrası)","Talaşlı","Kalite (Talaşlı sonrası)","Montaj","Kalite (Montaj sonrası)","Boya","Kalite (Boya sonrası)","Yarı Mamül","KM"})),IF(COUNT(G826:R826)=0,"Başlamadı",LOOKUP(2,1/(G826:R826=MAX(G826:R826)),{"Tasarımda","Ply Cutter'da","Üretimde","Kalitede (Üretim sonrası)","Talaşlıda","Kalitede (Talaşlı sonrası)","Montajda","Kalitede (Montaj sonrası)","Boyada","Kalitede (Boya sonrası)","Yarı Mamülde","KM'de"}))))))</f>
        <v/>
      </c>
      <c r="AA826" s="24" t="str">
        <f t="shared" ca="1" si="206"/>
        <v/>
      </c>
      <c r="AB826" s="22"/>
      <c r="AD826" t="str">
        <f>IF(OR($B826="",NOT(ISNUMBER(G826))),"",IF(COUNTIF(H826:$T826,G826)&gt;0,0,IF(COUNTIF($G826:$T826,"&gt;"&amp;G826)=0,"",SMALL($G826:$T826,COUNTIF($G826:$T826,"&lt;="&amp;G826)+1)-G826)))</f>
        <v/>
      </c>
      <c r="AE826" t="str">
        <f>IF(OR($B826="",NOT(ISNUMBER(H826))),"",IF(COUNTIF(I826:$T826,H826)&gt;0,0,IF(COUNTIF($G826:$T826,"&gt;"&amp;H826)=0,"",SMALL($G826:$T826,COUNTIF($G826:$T826,"&lt;="&amp;H826)+1)-H826)))</f>
        <v/>
      </c>
      <c r="AF826" t="str">
        <f>IF(OR($B826="",NOT(ISNUMBER(I826))),"",IF(COUNTIF(J826:$T826,I826)&gt;0,0,IF(COUNTIF($G826:$T826,"&gt;"&amp;I826)=0,"",SMALL($G826:$T826,COUNTIF($G826:$T826,"&lt;="&amp;I826)+1)-I826)))</f>
        <v/>
      </c>
      <c r="AG826" t="str">
        <f>IF(OR($B826="",NOT(ISNUMBER(J826))),"",IF(COUNTIF(K826:$T826,J826)&gt;0,0,IF(COUNTIF($G826:$T826,"&gt;"&amp;J826)=0,"",SMALL($G826:$T826,COUNTIF($G826:$T826,"&lt;="&amp;J826)+1)-J826)))</f>
        <v/>
      </c>
      <c r="AH826" t="str">
        <f>IF(OR($B826="",NOT(ISNUMBER(K826))),"",IF(COUNTIF(L826:$T826,K826)&gt;0,0,IF(COUNTIF($G826:$T826,"&gt;"&amp;K826)=0,"",SMALL($G826:$T826,COUNTIF($G826:$T826,"&lt;="&amp;K826)+1)-K826)))</f>
        <v/>
      </c>
      <c r="AI826" t="str">
        <f>IF(OR($B826="",NOT(ISNUMBER(L826))),"",IF(COUNTIF(M826:$T826,L826)&gt;0,0,IF(COUNTIF($G826:$T826,"&gt;"&amp;L826)=0,"",SMALL($G826:$T826,COUNTIF($G826:$T826,"&lt;="&amp;L826)+1)-L826)))</f>
        <v/>
      </c>
      <c r="AJ826" t="str">
        <f>IF(OR($B826="",NOT(ISNUMBER(M826))),"",IF(COUNTIF(N826:$T826,M826)&gt;0,0,IF(COUNTIF($G826:$T826,"&gt;"&amp;M826)=0,"",SMALL($G826:$T826,COUNTIF($G826:$T826,"&lt;="&amp;M826)+1)-M826)))</f>
        <v/>
      </c>
      <c r="AK826" t="str">
        <f>IF(OR($B826="",NOT(ISNUMBER(N826))),"",IF(COUNTIF(O826:$T826,N826)&gt;0,0,IF(COUNTIF($G826:$T826,"&gt;"&amp;N826)=0,"",SMALL($G826:$T826,COUNTIF($G826:$T826,"&lt;="&amp;N826)+1)-N826)))</f>
        <v/>
      </c>
      <c r="AL826" t="str">
        <f>IF(OR($B826="",NOT(ISNUMBER(O826))),"",IF(COUNTIF(P826:$T826,O826)&gt;0,0,IF(COUNTIF($G826:$T826,"&gt;"&amp;O826)=0,"",SMALL($G826:$T826,COUNTIF($G826:$T826,"&lt;="&amp;O826)+1)-O826)))</f>
        <v/>
      </c>
      <c r="AM826" t="str">
        <f>IF(OR($B826="",NOT(ISNUMBER(P826))),"",IF(COUNTIF(Q826:$T826,P826)&gt;0,0,IF(COUNTIF($G826:$T826,"&gt;"&amp;P826)=0,"",SMALL($G826:$T826,COUNTIF($G826:$T826,"&lt;="&amp;P826)+1)-P826)))</f>
        <v/>
      </c>
      <c r="AN826" t="str">
        <f>IF(OR($B826="",NOT(ISNUMBER(Q826))),"",IF(COUNTIF(R826:$T826,Q826)&gt;0,0,IF(COUNTIF($G826:$T826,"&gt;"&amp;Q826)=0,"",SMALL($G826:$T826,COUNTIF($G826:$T826,"&lt;="&amp;Q826)+1)-Q826)))</f>
        <v/>
      </c>
      <c r="AO826" t="str">
        <f>IF(OR($B826="",NOT(ISNUMBER(R826))),"",IF(COUNTIF(S826:$T826,R826)&gt;0,0,IF(COUNTIF($G826:$T826,"&gt;"&amp;R826)=0,"",SMALL($G826:$T826,COUNTIF($G826:$T826,"&lt;="&amp;R826)+1)-R826)))</f>
        <v/>
      </c>
      <c r="AP826">
        <f t="shared" ca="1" si="207"/>
        <v>0</v>
      </c>
      <c r="AQ826" s="25" t="str">
        <f t="shared" si="208"/>
        <v/>
      </c>
      <c r="AR826" s="25" t="str">
        <f t="shared" si="209"/>
        <v/>
      </c>
      <c r="AS826" s="25" t="str">
        <f t="shared" si="210"/>
        <v/>
      </c>
      <c r="AT826" s="25" t="str">
        <f t="shared" si="211"/>
        <v/>
      </c>
      <c r="AU826" s="25" t="str">
        <f t="shared" si="212"/>
        <v/>
      </c>
      <c r="AV826" s="25" t="str">
        <f t="shared" si="213"/>
        <v/>
      </c>
      <c r="AW826" s="25" t="str">
        <f t="shared" si="214"/>
        <v/>
      </c>
      <c r="AX826" s="25" t="str">
        <f t="shared" si="215"/>
        <v/>
      </c>
      <c r="AY826" s="25" t="str">
        <f t="shared" si="216"/>
        <v/>
      </c>
      <c r="AZ826" s="25" t="str">
        <f t="shared" si="217"/>
        <v/>
      </c>
      <c r="BA826" s="25" t="str">
        <f t="shared" si="218"/>
        <v/>
      </c>
      <c r="BB826" s="25" t="str">
        <f t="shared" si="219"/>
        <v/>
      </c>
      <c r="BC826" s="25" t="str">
        <f t="shared" si="220"/>
        <v/>
      </c>
    </row>
    <row r="827" spans="1:55" x14ac:dyDescent="0.25">
      <c r="A827" s="19" t="str">
        <f t="shared" si="205"/>
        <v/>
      </c>
      <c r="B827" s="19"/>
      <c r="C827" s="20"/>
      <c r="D827" s="19" t="str">
        <f t="shared" si="204"/>
        <v/>
      </c>
      <c r="E827" s="19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19"/>
      <c r="U827" s="19"/>
      <c r="V827" s="20"/>
      <c r="W827" s="22"/>
      <c r="X827" s="21"/>
      <c r="Y827" s="21"/>
      <c r="Z827" s="23" t="str">
        <f>IF(B827="","",IF(S827&lt;&gt;"","Sevk Edildi",IF(AND(X827&lt;&gt;"",Y827=""),"Reworkte",IF(T827&lt;&gt;"","Kapandı"&amp;IF(COUNT(G827:R827)=0,""," – "&amp;LOOKUP(2,1/(G827:R827=MAX(G827:R827)),{"Tasarım","Ply Cutter","Üretim","Kalite (Üretim sonrası)","Talaşlı","Kalite (Talaşlı sonrası)","Montaj","Kalite (Montaj sonrası)","Boya","Kalite (Boya sonrası)","Yarı Mamül","KM"})),IF(COUNT(G827:R827)=0,"Başlamadı",LOOKUP(2,1/(G827:R827=MAX(G827:R827)),{"Tasarımda","Ply Cutter'da","Üretimde","Kalitede (Üretim sonrası)","Talaşlıda","Kalitede (Talaşlı sonrası)","Montajda","Kalitede (Montaj sonrası)","Boyada","Kalitede (Boya sonrası)","Yarı Mamülde","KM'de"}))))))</f>
        <v/>
      </c>
      <c r="AA827" s="24" t="str">
        <f t="shared" ca="1" si="206"/>
        <v/>
      </c>
      <c r="AB827" s="22"/>
      <c r="AD827" t="str">
        <f>IF(OR($B827="",NOT(ISNUMBER(G827))),"",IF(COUNTIF(H827:$T827,G827)&gt;0,0,IF(COUNTIF($G827:$T827,"&gt;"&amp;G827)=0,"",SMALL($G827:$T827,COUNTIF($G827:$T827,"&lt;="&amp;G827)+1)-G827)))</f>
        <v/>
      </c>
      <c r="AE827" t="str">
        <f>IF(OR($B827="",NOT(ISNUMBER(H827))),"",IF(COUNTIF(I827:$T827,H827)&gt;0,0,IF(COUNTIF($G827:$T827,"&gt;"&amp;H827)=0,"",SMALL($G827:$T827,COUNTIF($G827:$T827,"&lt;="&amp;H827)+1)-H827)))</f>
        <v/>
      </c>
      <c r="AF827" t="str">
        <f>IF(OR($B827="",NOT(ISNUMBER(I827))),"",IF(COUNTIF(J827:$T827,I827)&gt;0,0,IF(COUNTIF($G827:$T827,"&gt;"&amp;I827)=0,"",SMALL($G827:$T827,COUNTIF($G827:$T827,"&lt;="&amp;I827)+1)-I827)))</f>
        <v/>
      </c>
      <c r="AG827" t="str">
        <f>IF(OR($B827="",NOT(ISNUMBER(J827))),"",IF(COUNTIF(K827:$T827,J827)&gt;0,0,IF(COUNTIF($G827:$T827,"&gt;"&amp;J827)=0,"",SMALL($G827:$T827,COUNTIF($G827:$T827,"&lt;="&amp;J827)+1)-J827)))</f>
        <v/>
      </c>
      <c r="AH827" t="str">
        <f>IF(OR($B827="",NOT(ISNUMBER(K827))),"",IF(COUNTIF(L827:$T827,K827)&gt;0,0,IF(COUNTIF($G827:$T827,"&gt;"&amp;K827)=0,"",SMALL($G827:$T827,COUNTIF($G827:$T827,"&lt;="&amp;K827)+1)-K827)))</f>
        <v/>
      </c>
      <c r="AI827" t="str">
        <f>IF(OR($B827="",NOT(ISNUMBER(L827))),"",IF(COUNTIF(M827:$T827,L827)&gt;0,0,IF(COUNTIF($G827:$T827,"&gt;"&amp;L827)=0,"",SMALL($G827:$T827,COUNTIF($G827:$T827,"&lt;="&amp;L827)+1)-L827)))</f>
        <v/>
      </c>
      <c r="AJ827" t="str">
        <f>IF(OR($B827="",NOT(ISNUMBER(M827))),"",IF(COUNTIF(N827:$T827,M827)&gt;0,0,IF(COUNTIF($G827:$T827,"&gt;"&amp;M827)=0,"",SMALL($G827:$T827,COUNTIF($G827:$T827,"&lt;="&amp;M827)+1)-M827)))</f>
        <v/>
      </c>
      <c r="AK827" t="str">
        <f>IF(OR($B827="",NOT(ISNUMBER(N827))),"",IF(COUNTIF(O827:$T827,N827)&gt;0,0,IF(COUNTIF($G827:$T827,"&gt;"&amp;N827)=0,"",SMALL($G827:$T827,COUNTIF($G827:$T827,"&lt;="&amp;N827)+1)-N827)))</f>
        <v/>
      </c>
      <c r="AL827" t="str">
        <f>IF(OR($B827="",NOT(ISNUMBER(O827))),"",IF(COUNTIF(P827:$T827,O827)&gt;0,0,IF(COUNTIF($G827:$T827,"&gt;"&amp;O827)=0,"",SMALL($G827:$T827,COUNTIF($G827:$T827,"&lt;="&amp;O827)+1)-O827)))</f>
        <v/>
      </c>
      <c r="AM827" t="str">
        <f>IF(OR($B827="",NOT(ISNUMBER(P827))),"",IF(COUNTIF(Q827:$T827,P827)&gt;0,0,IF(COUNTIF($G827:$T827,"&gt;"&amp;P827)=0,"",SMALL($G827:$T827,COUNTIF($G827:$T827,"&lt;="&amp;P827)+1)-P827)))</f>
        <v/>
      </c>
      <c r="AN827" t="str">
        <f>IF(OR($B827="",NOT(ISNUMBER(Q827))),"",IF(COUNTIF(R827:$T827,Q827)&gt;0,0,IF(COUNTIF($G827:$T827,"&gt;"&amp;Q827)=0,"",SMALL($G827:$T827,COUNTIF($G827:$T827,"&lt;="&amp;Q827)+1)-Q827)))</f>
        <v/>
      </c>
      <c r="AO827" t="str">
        <f>IF(OR($B827="",NOT(ISNUMBER(R827))),"",IF(COUNTIF(S827:$T827,R827)&gt;0,0,IF(COUNTIF($G827:$T827,"&gt;"&amp;R827)=0,"",SMALL($G827:$T827,COUNTIF($G827:$T827,"&lt;="&amp;R827)+1)-R827)))</f>
        <v/>
      </c>
      <c r="AP827">
        <f t="shared" ca="1" si="207"/>
        <v>0</v>
      </c>
      <c r="AQ827" s="25" t="str">
        <f t="shared" si="208"/>
        <v/>
      </c>
      <c r="AR827" s="25" t="str">
        <f t="shared" si="209"/>
        <v/>
      </c>
      <c r="AS827" s="25" t="str">
        <f t="shared" si="210"/>
        <v/>
      </c>
      <c r="AT827" s="25" t="str">
        <f t="shared" si="211"/>
        <v/>
      </c>
      <c r="AU827" s="25" t="str">
        <f t="shared" si="212"/>
        <v/>
      </c>
      <c r="AV827" s="25" t="str">
        <f t="shared" si="213"/>
        <v/>
      </c>
      <c r="AW827" s="25" t="str">
        <f t="shared" si="214"/>
        <v/>
      </c>
      <c r="AX827" s="25" t="str">
        <f t="shared" si="215"/>
        <v/>
      </c>
      <c r="AY827" s="25" t="str">
        <f t="shared" si="216"/>
        <v/>
      </c>
      <c r="AZ827" s="25" t="str">
        <f t="shared" si="217"/>
        <v/>
      </c>
      <c r="BA827" s="25" t="str">
        <f t="shared" si="218"/>
        <v/>
      </c>
      <c r="BB827" s="25" t="str">
        <f t="shared" si="219"/>
        <v/>
      </c>
      <c r="BC827" s="25" t="str">
        <f t="shared" si="220"/>
        <v/>
      </c>
    </row>
    <row r="828" spans="1:55" x14ac:dyDescent="0.25">
      <c r="A828" s="19" t="str">
        <f t="shared" si="205"/>
        <v/>
      </c>
      <c r="B828" s="19"/>
      <c r="C828" s="20"/>
      <c r="D828" s="19" t="str">
        <f t="shared" si="204"/>
        <v/>
      </c>
      <c r="E828" s="19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19"/>
      <c r="U828" s="19"/>
      <c r="V828" s="20"/>
      <c r="W828" s="22"/>
      <c r="X828" s="21"/>
      <c r="Y828" s="21"/>
      <c r="Z828" s="23" t="str">
        <f>IF(B828="","",IF(S828&lt;&gt;"","Sevk Edildi",IF(AND(X828&lt;&gt;"",Y828=""),"Reworkte",IF(T828&lt;&gt;"","Kapandı"&amp;IF(COUNT(G828:R828)=0,""," – "&amp;LOOKUP(2,1/(G828:R828=MAX(G828:R828)),{"Tasarım","Ply Cutter","Üretim","Kalite (Üretim sonrası)","Talaşlı","Kalite (Talaşlı sonrası)","Montaj","Kalite (Montaj sonrası)","Boya","Kalite (Boya sonrası)","Yarı Mamül","KM"})),IF(COUNT(G828:R828)=0,"Başlamadı",LOOKUP(2,1/(G828:R828=MAX(G828:R828)),{"Tasarımda","Ply Cutter'da","Üretimde","Kalitede (Üretim sonrası)","Talaşlıda","Kalitede (Talaşlı sonrası)","Montajda","Kalitede (Montaj sonrası)","Boyada","Kalitede (Boya sonrası)","Yarı Mamülde","KM'de"}))))))</f>
        <v/>
      </c>
      <c r="AA828" s="24" t="str">
        <f t="shared" ca="1" si="206"/>
        <v/>
      </c>
      <c r="AB828" s="22"/>
      <c r="AD828" t="str">
        <f>IF(OR($B828="",NOT(ISNUMBER(G828))),"",IF(COUNTIF(H828:$T828,G828)&gt;0,0,IF(COUNTIF($G828:$T828,"&gt;"&amp;G828)=0,"",SMALL($G828:$T828,COUNTIF($G828:$T828,"&lt;="&amp;G828)+1)-G828)))</f>
        <v/>
      </c>
      <c r="AE828" t="str">
        <f>IF(OR($B828="",NOT(ISNUMBER(H828))),"",IF(COUNTIF(I828:$T828,H828)&gt;0,0,IF(COUNTIF($G828:$T828,"&gt;"&amp;H828)=0,"",SMALL($G828:$T828,COUNTIF($G828:$T828,"&lt;="&amp;H828)+1)-H828)))</f>
        <v/>
      </c>
      <c r="AF828" t="str">
        <f>IF(OR($B828="",NOT(ISNUMBER(I828))),"",IF(COUNTIF(J828:$T828,I828)&gt;0,0,IF(COUNTIF($G828:$T828,"&gt;"&amp;I828)=0,"",SMALL($G828:$T828,COUNTIF($G828:$T828,"&lt;="&amp;I828)+1)-I828)))</f>
        <v/>
      </c>
      <c r="AG828" t="str">
        <f>IF(OR($B828="",NOT(ISNUMBER(J828))),"",IF(COUNTIF(K828:$T828,J828)&gt;0,0,IF(COUNTIF($G828:$T828,"&gt;"&amp;J828)=0,"",SMALL($G828:$T828,COUNTIF($G828:$T828,"&lt;="&amp;J828)+1)-J828)))</f>
        <v/>
      </c>
      <c r="AH828" t="str">
        <f>IF(OR($B828="",NOT(ISNUMBER(K828))),"",IF(COUNTIF(L828:$T828,K828)&gt;0,0,IF(COUNTIF($G828:$T828,"&gt;"&amp;K828)=0,"",SMALL($G828:$T828,COUNTIF($G828:$T828,"&lt;="&amp;K828)+1)-K828)))</f>
        <v/>
      </c>
      <c r="AI828" t="str">
        <f>IF(OR($B828="",NOT(ISNUMBER(L828))),"",IF(COUNTIF(M828:$T828,L828)&gt;0,0,IF(COUNTIF($G828:$T828,"&gt;"&amp;L828)=0,"",SMALL($G828:$T828,COUNTIF($G828:$T828,"&lt;="&amp;L828)+1)-L828)))</f>
        <v/>
      </c>
      <c r="AJ828" t="str">
        <f>IF(OR($B828="",NOT(ISNUMBER(M828))),"",IF(COUNTIF(N828:$T828,M828)&gt;0,0,IF(COUNTIF($G828:$T828,"&gt;"&amp;M828)=0,"",SMALL($G828:$T828,COUNTIF($G828:$T828,"&lt;="&amp;M828)+1)-M828)))</f>
        <v/>
      </c>
      <c r="AK828" t="str">
        <f>IF(OR($B828="",NOT(ISNUMBER(N828))),"",IF(COUNTIF(O828:$T828,N828)&gt;0,0,IF(COUNTIF($G828:$T828,"&gt;"&amp;N828)=0,"",SMALL($G828:$T828,COUNTIF($G828:$T828,"&lt;="&amp;N828)+1)-N828)))</f>
        <v/>
      </c>
      <c r="AL828" t="str">
        <f>IF(OR($B828="",NOT(ISNUMBER(O828))),"",IF(COUNTIF(P828:$T828,O828)&gt;0,0,IF(COUNTIF($G828:$T828,"&gt;"&amp;O828)=0,"",SMALL($G828:$T828,COUNTIF($G828:$T828,"&lt;="&amp;O828)+1)-O828)))</f>
        <v/>
      </c>
      <c r="AM828" t="str">
        <f>IF(OR($B828="",NOT(ISNUMBER(P828))),"",IF(COUNTIF(Q828:$T828,P828)&gt;0,0,IF(COUNTIF($G828:$T828,"&gt;"&amp;P828)=0,"",SMALL($G828:$T828,COUNTIF($G828:$T828,"&lt;="&amp;P828)+1)-P828)))</f>
        <v/>
      </c>
      <c r="AN828" t="str">
        <f>IF(OR($B828="",NOT(ISNUMBER(Q828))),"",IF(COUNTIF(R828:$T828,Q828)&gt;0,0,IF(COUNTIF($G828:$T828,"&gt;"&amp;Q828)=0,"",SMALL($G828:$T828,COUNTIF($G828:$T828,"&lt;="&amp;Q828)+1)-Q828)))</f>
        <v/>
      </c>
      <c r="AO828" t="str">
        <f>IF(OR($B828="",NOT(ISNUMBER(R828))),"",IF(COUNTIF(S828:$T828,R828)&gt;0,0,IF(COUNTIF($G828:$T828,"&gt;"&amp;R828)=0,"",SMALL($G828:$T828,COUNTIF($G828:$T828,"&lt;="&amp;R828)+1)-R828)))</f>
        <v/>
      </c>
      <c r="AP828">
        <f t="shared" ca="1" si="207"/>
        <v>0</v>
      </c>
      <c r="AQ828" s="25" t="str">
        <f t="shared" si="208"/>
        <v/>
      </c>
      <c r="AR828" s="25" t="str">
        <f t="shared" si="209"/>
        <v/>
      </c>
      <c r="AS828" s="25" t="str">
        <f t="shared" si="210"/>
        <v/>
      </c>
      <c r="AT828" s="25" t="str">
        <f t="shared" si="211"/>
        <v/>
      </c>
      <c r="AU828" s="25" t="str">
        <f t="shared" si="212"/>
        <v/>
      </c>
      <c r="AV828" s="25" t="str">
        <f t="shared" si="213"/>
        <v/>
      </c>
      <c r="AW828" s="25" t="str">
        <f t="shared" si="214"/>
        <v/>
      </c>
      <c r="AX828" s="25" t="str">
        <f t="shared" si="215"/>
        <v/>
      </c>
      <c r="AY828" s="25" t="str">
        <f t="shared" si="216"/>
        <v/>
      </c>
      <c r="AZ828" s="25" t="str">
        <f t="shared" si="217"/>
        <v/>
      </c>
      <c r="BA828" s="25" t="str">
        <f t="shared" si="218"/>
        <v/>
      </c>
      <c r="BB828" s="25" t="str">
        <f t="shared" si="219"/>
        <v/>
      </c>
      <c r="BC828" s="25" t="str">
        <f t="shared" si="220"/>
        <v/>
      </c>
    </row>
    <row r="829" spans="1:55" x14ac:dyDescent="0.25">
      <c r="A829" s="19" t="str">
        <f t="shared" si="205"/>
        <v/>
      </c>
      <c r="B829" s="19"/>
      <c r="C829" s="20"/>
      <c r="D829" s="19" t="str">
        <f t="shared" si="204"/>
        <v/>
      </c>
      <c r="E829" s="19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19"/>
      <c r="U829" s="19"/>
      <c r="V829" s="20"/>
      <c r="W829" s="22"/>
      <c r="X829" s="21"/>
      <c r="Y829" s="21"/>
      <c r="Z829" s="23" t="str">
        <f>IF(B829="","",IF(S829&lt;&gt;"","Sevk Edildi",IF(AND(X829&lt;&gt;"",Y829=""),"Reworkte",IF(T829&lt;&gt;"","Kapandı"&amp;IF(COUNT(G829:R829)=0,""," – "&amp;LOOKUP(2,1/(G829:R829=MAX(G829:R829)),{"Tasarım","Ply Cutter","Üretim","Kalite (Üretim sonrası)","Talaşlı","Kalite (Talaşlı sonrası)","Montaj","Kalite (Montaj sonrası)","Boya","Kalite (Boya sonrası)","Yarı Mamül","KM"})),IF(COUNT(G829:R829)=0,"Başlamadı",LOOKUP(2,1/(G829:R829=MAX(G829:R829)),{"Tasarımda","Ply Cutter'da","Üretimde","Kalitede (Üretim sonrası)","Talaşlıda","Kalitede (Talaşlı sonrası)","Montajda","Kalitede (Montaj sonrası)","Boyada","Kalitede (Boya sonrası)","Yarı Mamülde","KM'de"}))))))</f>
        <v/>
      </c>
      <c r="AA829" s="24" t="str">
        <f t="shared" ca="1" si="206"/>
        <v/>
      </c>
      <c r="AB829" s="22"/>
      <c r="AD829" t="str">
        <f>IF(OR($B829="",NOT(ISNUMBER(G829))),"",IF(COUNTIF(H829:$T829,G829)&gt;0,0,IF(COUNTIF($G829:$T829,"&gt;"&amp;G829)=0,"",SMALL($G829:$T829,COUNTIF($G829:$T829,"&lt;="&amp;G829)+1)-G829)))</f>
        <v/>
      </c>
      <c r="AE829" t="str">
        <f>IF(OR($B829="",NOT(ISNUMBER(H829))),"",IF(COUNTIF(I829:$T829,H829)&gt;0,0,IF(COUNTIF($G829:$T829,"&gt;"&amp;H829)=0,"",SMALL($G829:$T829,COUNTIF($G829:$T829,"&lt;="&amp;H829)+1)-H829)))</f>
        <v/>
      </c>
      <c r="AF829" t="str">
        <f>IF(OR($B829="",NOT(ISNUMBER(I829))),"",IF(COUNTIF(J829:$T829,I829)&gt;0,0,IF(COUNTIF($G829:$T829,"&gt;"&amp;I829)=0,"",SMALL($G829:$T829,COUNTIF($G829:$T829,"&lt;="&amp;I829)+1)-I829)))</f>
        <v/>
      </c>
      <c r="AG829" t="str">
        <f>IF(OR($B829="",NOT(ISNUMBER(J829))),"",IF(COUNTIF(K829:$T829,J829)&gt;0,0,IF(COUNTIF($G829:$T829,"&gt;"&amp;J829)=0,"",SMALL($G829:$T829,COUNTIF($G829:$T829,"&lt;="&amp;J829)+1)-J829)))</f>
        <v/>
      </c>
      <c r="AH829" t="str">
        <f>IF(OR($B829="",NOT(ISNUMBER(K829))),"",IF(COUNTIF(L829:$T829,K829)&gt;0,0,IF(COUNTIF($G829:$T829,"&gt;"&amp;K829)=0,"",SMALL($G829:$T829,COUNTIF($G829:$T829,"&lt;="&amp;K829)+1)-K829)))</f>
        <v/>
      </c>
      <c r="AI829" t="str">
        <f>IF(OR($B829="",NOT(ISNUMBER(L829))),"",IF(COUNTIF(M829:$T829,L829)&gt;0,0,IF(COUNTIF($G829:$T829,"&gt;"&amp;L829)=0,"",SMALL($G829:$T829,COUNTIF($G829:$T829,"&lt;="&amp;L829)+1)-L829)))</f>
        <v/>
      </c>
      <c r="AJ829" t="str">
        <f>IF(OR($B829="",NOT(ISNUMBER(M829))),"",IF(COUNTIF(N829:$T829,M829)&gt;0,0,IF(COUNTIF($G829:$T829,"&gt;"&amp;M829)=0,"",SMALL($G829:$T829,COUNTIF($G829:$T829,"&lt;="&amp;M829)+1)-M829)))</f>
        <v/>
      </c>
      <c r="AK829" t="str">
        <f>IF(OR($B829="",NOT(ISNUMBER(N829))),"",IF(COUNTIF(O829:$T829,N829)&gt;0,0,IF(COUNTIF($G829:$T829,"&gt;"&amp;N829)=0,"",SMALL($G829:$T829,COUNTIF($G829:$T829,"&lt;="&amp;N829)+1)-N829)))</f>
        <v/>
      </c>
      <c r="AL829" t="str">
        <f>IF(OR($B829="",NOT(ISNUMBER(O829))),"",IF(COUNTIF(P829:$T829,O829)&gt;0,0,IF(COUNTIF($G829:$T829,"&gt;"&amp;O829)=0,"",SMALL($G829:$T829,COUNTIF($G829:$T829,"&lt;="&amp;O829)+1)-O829)))</f>
        <v/>
      </c>
      <c r="AM829" t="str">
        <f>IF(OR($B829="",NOT(ISNUMBER(P829))),"",IF(COUNTIF(Q829:$T829,P829)&gt;0,0,IF(COUNTIF($G829:$T829,"&gt;"&amp;P829)=0,"",SMALL($G829:$T829,COUNTIF($G829:$T829,"&lt;="&amp;P829)+1)-P829)))</f>
        <v/>
      </c>
      <c r="AN829" t="str">
        <f>IF(OR($B829="",NOT(ISNUMBER(Q829))),"",IF(COUNTIF(R829:$T829,Q829)&gt;0,0,IF(COUNTIF($G829:$T829,"&gt;"&amp;Q829)=0,"",SMALL($G829:$T829,COUNTIF($G829:$T829,"&lt;="&amp;Q829)+1)-Q829)))</f>
        <v/>
      </c>
      <c r="AO829" t="str">
        <f>IF(OR($B829="",NOT(ISNUMBER(R829))),"",IF(COUNTIF(S829:$T829,R829)&gt;0,0,IF(COUNTIF($G829:$T829,"&gt;"&amp;R829)=0,"",SMALL($G829:$T829,COUNTIF($G829:$T829,"&lt;="&amp;R829)+1)-R829)))</f>
        <v/>
      </c>
      <c r="AP829">
        <f t="shared" ca="1" si="207"/>
        <v>0</v>
      </c>
      <c r="AQ829" s="25" t="str">
        <f t="shared" si="208"/>
        <v/>
      </c>
      <c r="AR829" s="25" t="str">
        <f t="shared" si="209"/>
        <v/>
      </c>
      <c r="AS829" s="25" t="str">
        <f t="shared" si="210"/>
        <v/>
      </c>
      <c r="AT829" s="25" t="str">
        <f t="shared" si="211"/>
        <v/>
      </c>
      <c r="AU829" s="25" t="str">
        <f t="shared" si="212"/>
        <v/>
      </c>
      <c r="AV829" s="25" t="str">
        <f t="shared" si="213"/>
        <v/>
      </c>
      <c r="AW829" s="25" t="str">
        <f t="shared" si="214"/>
        <v/>
      </c>
      <c r="AX829" s="25" t="str">
        <f t="shared" si="215"/>
        <v/>
      </c>
      <c r="AY829" s="25" t="str">
        <f t="shared" si="216"/>
        <v/>
      </c>
      <c r="AZ829" s="25" t="str">
        <f t="shared" si="217"/>
        <v/>
      </c>
      <c r="BA829" s="25" t="str">
        <f t="shared" si="218"/>
        <v/>
      </c>
      <c r="BB829" s="25" t="str">
        <f t="shared" si="219"/>
        <v/>
      </c>
      <c r="BC829" s="25" t="str">
        <f t="shared" si="220"/>
        <v/>
      </c>
    </row>
    <row r="830" spans="1:55" x14ac:dyDescent="0.25">
      <c r="A830" s="19" t="str">
        <f t="shared" si="205"/>
        <v/>
      </c>
      <c r="B830" s="19"/>
      <c r="C830" s="20"/>
      <c r="D830" s="19" t="str">
        <f t="shared" si="204"/>
        <v/>
      </c>
      <c r="E830" s="19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19"/>
      <c r="U830" s="19"/>
      <c r="V830" s="20"/>
      <c r="W830" s="22"/>
      <c r="X830" s="21"/>
      <c r="Y830" s="21"/>
      <c r="Z830" s="23" t="str">
        <f>IF(B830="","",IF(S830&lt;&gt;"","Sevk Edildi",IF(AND(X830&lt;&gt;"",Y830=""),"Reworkte",IF(T830&lt;&gt;"","Kapandı"&amp;IF(COUNT(G830:R830)=0,""," – "&amp;LOOKUP(2,1/(G830:R830=MAX(G830:R830)),{"Tasarım","Ply Cutter","Üretim","Kalite (Üretim sonrası)","Talaşlı","Kalite (Talaşlı sonrası)","Montaj","Kalite (Montaj sonrası)","Boya","Kalite (Boya sonrası)","Yarı Mamül","KM"})),IF(COUNT(G830:R830)=0,"Başlamadı",LOOKUP(2,1/(G830:R830=MAX(G830:R830)),{"Tasarımda","Ply Cutter'da","Üretimde","Kalitede (Üretim sonrası)","Talaşlıda","Kalitede (Talaşlı sonrası)","Montajda","Kalitede (Montaj sonrası)","Boyada","Kalitede (Boya sonrası)","Yarı Mamülde","KM'de"}))))))</f>
        <v/>
      </c>
      <c r="AA830" s="24" t="str">
        <f t="shared" ca="1" si="206"/>
        <v/>
      </c>
      <c r="AB830" s="22"/>
      <c r="AD830" t="str">
        <f>IF(OR($B830="",NOT(ISNUMBER(G830))),"",IF(COUNTIF(H830:$T830,G830)&gt;0,0,IF(COUNTIF($G830:$T830,"&gt;"&amp;G830)=0,"",SMALL($G830:$T830,COUNTIF($G830:$T830,"&lt;="&amp;G830)+1)-G830)))</f>
        <v/>
      </c>
      <c r="AE830" t="str">
        <f>IF(OR($B830="",NOT(ISNUMBER(H830))),"",IF(COUNTIF(I830:$T830,H830)&gt;0,0,IF(COUNTIF($G830:$T830,"&gt;"&amp;H830)=0,"",SMALL($G830:$T830,COUNTIF($G830:$T830,"&lt;="&amp;H830)+1)-H830)))</f>
        <v/>
      </c>
      <c r="AF830" t="str">
        <f>IF(OR($B830="",NOT(ISNUMBER(I830))),"",IF(COUNTIF(J830:$T830,I830)&gt;0,0,IF(COUNTIF($G830:$T830,"&gt;"&amp;I830)=0,"",SMALL($G830:$T830,COUNTIF($G830:$T830,"&lt;="&amp;I830)+1)-I830)))</f>
        <v/>
      </c>
      <c r="AG830" t="str">
        <f>IF(OR($B830="",NOT(ISNUMBER(J830))),"",IF(COUNTIF(K830:$T830,J830)&gt;0,0,IF(COUNTIF($G830:$T830,"&gt;"&amp;J830)=0,"",SMALL($G830:$T830,COUNTIF($G830:$T830,"&lt;="&amp;J830)+1)-J830)))</f>
        <v/>
      </c>
      <c r="AH830" t="str">
        <f>IF(OR($B830="",NOT(ISNUMBER(K830))),"",IF(COUNTIF(L830:$T830,K830)&gt;0,0,IF(COUNTIF($G830:$T830,"&gt;"&amp;K830)=0,"",SMALL($G830:$T830,COUNTIF($G830:$T830,"&lt;="&amp;K830)+1)-K830)))</f>
        <v/>
      </c>
      <c r="AI830" t="str">
        <f>IF(OR($B830="",NOT(ISNUMBER(L830))),"",IF(COUNTIF(M830:$T830,L830)&gt;0,0,IF(COUNTIF($G830:$T830,"&gt;"&amp;L830)=0,"",SMALL($G830:$T830,COUNTIF($G830:$T830,"&lt;="&amp;L830)+1)-L830)))</f>
        <v/>
      </c>
      <c r="AJ830" t="str">
        <f>IF(OR($B830="",NOT(ISNUMBER(M830))),"",IF(COUNTIF(N830:$T830,M830)&gt;0,0,IF(COUNTIF($G830:$T830,"&gt;"&amp;M830)=0,"",SMALL($G830:$T830,COUNTIF($G830:$T830,"&lt;="&amp;M830)+1)-M830)))</f>
        <v/>
      </c>
      <c r="AK830" t="str">
        <f>IF(OR($B830="",NOT(ISNUMBER(N830))),"",IF(COUNTIF(O830:$T830,N830)&gt;0,0,IF(COUNTIF($G830:$T830,"&gt;"&amp;N830)=0,"",SMALL($G830:$T830,COUNTIF($G830:$T830,"&lt;="&amp;N830)+1)-N830)))</f>
        <v/>
      </c>
      <c r="AL830" t="str">
        <f>IF(OR($B830="",NOT(ISNUMBER(O830))),"",IF(COUNTIF(P830:$T830,O830)&gt;0,0,IF(COUNTIF($G830:$T830,"&gt;"&amp;O830)=0,"",SMALL($G830:$T830,COUNTIF($G830:$T830,"&lt;="&amp;O830)+1)-O830)))</f>
        <v/>
      </c>
      <c r="AM830" t="str">
        <f>IF(OR($B830="",NOT(ISNUMBER(P830))),"",IF(COUNTIF(Q830:$T830,P830)&gt;0,0,IF(COUNTIF($G830:$T830,"&gt;"&amp;P830)=0,"",SMALL($G830:$T830,COUNTIF($G830:$T830,"&lt;="&amp;P830)+1)-P830)))</f>
        <v/>
      </c>
      <c r="AN830" t="str">
        <f>IF(OR($B830="",NOT(ISNUMBER(Q830))),"",IF(COUNTIF(R830:$T830,Q830)&gt;0,0,IF(COUNTIF($G830:$T830,"&gt;"&amp;Q830)=0,"",SMALL($G830:$T830,COUNTIF($G830:$T830,"&lt;="&amp;Q830)+1)-Q830)))</f>
        <v/>
      </c>
      <c r="AO830" t="str">
        <f>IF(OR($B830="",NOT(ISNUMBER(R830))),"",IF(COUNTIF(S830:$T830,R830)&gt;0,0,IF(COUNTIF($G830:$T830,"&gt;"&amp;R830)=0,"",SMALL($G830:$T830,COUNTIF($G830:$T830,"&lt;="&amp;R830)+1)-R830)))</f>
        <v/>
      </c>
      <c r="AP830">
        <f t="shared" ca="1" si="207"/>
        <v>0</v>
      </c>
      <c r="AQ830" s="25" t="str">
        <f t="shared" si="208"/>
        <v/>
      </c>
      <c r="AR830" s="25" t="str">
        <f t="shared" si="209"/>
        <v/>
      </c>
      <c r="AS830" s="25" t="str">
        <f t="shared" si="210"/>
        <v/>
      </c>
      <c r="AT830" s="25" t="str">
        <f t="shared" si="211"/>
        <v/>
      </c>
      <c r="AU830" s="25" t="str">
        <f t="shared" si="212"/>
        <v/>
      </c>
      <c r="AV830" s="25" t="str">
        <f t="shared" si="213"/>
        <v/>
      </c>
      <c r="AW830" s="25" t="str">
        <f t="shared" si="214"/>
        <v/>
      </c>
      <c r="AX830" s="25" t="str">
        <f t="shared" si="215"/>
        <v/>
      </c>
      <c r="AY830" s="25" t="str">
        <f t="shared" si="216"/>
        <v/>
      </c>
      <c r="AZ830" s="25" t="str">
        <f t="shared" si="217"/>
        <v/>
      </c>
      <c r="BA830" s="25" t="str">
        <f t="shared" si="218"/>
        <v/>
      </c>
      <c r="BB830" s="25" t="str">
        <f t="shared" si="219"/>
        <v/>
      </c>
      <c r="BC830" s="25" t="str">
        <f t="shared" si="220"/>
        <v/>
      </c>
    </row>
    <row r="831" spans="1:55" x14ac:dyDescent="0.25">
      <c r="A831" s="19" t="str">
        <f t="shared" si="205"/>
        <v/>
      </c>
      <c r="B831" s="19"/>
      <c r="C831" s="20"/>
      <c r="D831" s="19" t="str">
        <f t="shared" ref="D831:D894" si="221">IFERROR(VALUE(TRIM(MID(C831,FIND(" - ",C831)+3,FIND(" - ",C831,FIND(" - ",C831)+3)-FIND(" - ",C831)-3))),"")</f>
        <v/>
      </c>
      <c r="E831" s="19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19"/>
      <c r="U831" s="19"/>
      <c r="V831" s="20"/>
      <c r="W831" s="22"/>
      <c r="X831" s="21"/>
      <c r="Y831" s="21"/>
      <c r="Z831" s="23" t="str">
        <f>IF(B831="","",IF(S831&lt;&gt;"","Sevk Edildi",IF(AND(X831&lt;&gt;"",Y831=""),"Reworkte",IF(T831&lt;&gt;"","Kapandı"&amp;IF(COUNT(G831:R831)=0,""," – "&amp;LOOKUP(2,1/(G831:R831=MAX(G831:R831)),{"Tasarım","Ply Cutter","Üretim","Kalite (Üretim sonrası)","Talaşlı","Kalite (Talaşlı sonrası)","Montaj","Kalite (Montaj sonrası)","Boya","Kalite (Boya sonrası)","Yarı Mamül","KM"})),IF(COUNT(G831:R831)=0,"Başlamadı",LOOKUP(2,1/(G831:R831=MAX(G831:R831)),{"Tasarımda","Ply Cutter'da","Üretimde","Kalitede (Üretim sonrası)","Talaşlıda","Kalitede (Talaşlı sonrası)","Montajda","Kalitede (Montaj sonrası)","Boyada","Kalitede (Boya sonrası)","Yarı Mamülde","KM'de"}))))))</f>
        <v/>
      </c>
      <c r="AA831" s="24" t="str">
        <f t="shared" ca="1" si="206"/>
        <v/>
      </c>
      <c r="AB831" s="22"/>
      <c r="AD831" t="str">
        <f>IF(OR($B831="",NOT(ISNUMBER(G831))),"",IF(COUNTIF(H831:$T831,G831)&gt;0,0,IF(COUNTIF($G831:$T831,"&gt;"&amp;G831)=0,"",SMALL($G831:$T831,COUNTIF($G831:$T831,"&lt;="&amp;G831)+1)-G831)))</f>
        <v/>
      </c>
      <c r="AE831" t="str">
        <f>IF(OR($B831="",NOT(ISNUMBER(H831))),"",IF(COUNTIF(I831:$T831,H831)&gt;0,0,IF(COUNTIF($G831:$T831,"&gt;"&amp;H831)=0,"",SMALL($G831:$T831,COUNTIF($G831:$T831,"&lt;="&amp;H831)+1)-H831)))</f>
        <v/>
      </c>
      <c r="AF831" t="str">
        <f>IF(OR($B831="",NOT(ISNUMBER(I831))),"",IF(COUNTIF(J831:$T831,I831)&gt;0,0,IF(COUNTIF($G831:$T831,"&gt;"&amp;I831)=0,"",SMALL($G831:$T831,COUNTIF($G831:$T831,"&lt;="&amp;I831)+1)-I831)))</f>
        <v/>
      </c>
      <c r="AG831" t="str">
        <f>IF(OR($B831="",NOT(ISNUMBER(J831))),"",IF(COUNTIF(K831:$T831,J831)&gt;0,0,IF(COUNTIF($G831:$T831,"&gt;"&amp;J831)=0,"",SMALL($G831:$T831,COUNTIF($G831:$T831,"&lt;="&amp;J831)+1)-J831)))</f>
        <v/>
      </c>
      <c r="AH831" t="str">
        <f>IF(OR($B831="",NOT(ISNUMBER(K831))),"",IF(COUNTIF(L831:$T831,K831)&gt;0,0,IF(COUNTIF($G831:$T831,"&gt;"&amp;K831)=0,"",SMALL($G831:$T831,COUNTIF($G831:$T831,"&lt;="&amp;K831)+1)-K831)))</f>
        <v/>
      </c>
      <c r="AI831" t="str">
        <f>IF(OR($B831="",NOT(ISNUMBER(L831))),"",IF(COUNTIF(M831:$T831,L831)&gt;0,0,IF(COUNTIF($G831:$T831,"&gt;"&amp;L831)=0,"",SMALL($G831:$T831,COUNTIF($G831:$T831,"&lt;="&amp;L831)+1)-L831)))</f>
        <v/>
      </c>
      <c r="AJ831" t="str">
        <f>IF(OR($B831="",NOT(ISNUMBER(M831))),"",IF(COUNTIF(N831:$T831,M831)&gt;0,0,IF(COUNTIF($G831:$T831,"&gt;"&amp;M831)=0,"",SMALL($G831:$T831,COUNTIF($G831:$T831,"&lt;="&amp;M831)+1)-M831)))</f>
        <v/>
      </c>
      <c r="AK831" t="str">
        <f>IF(OR($B831="",NOT(ISNUMBER(N831))),"",IF(COUNTIF(O831:$T831,N831)&gt;0,0,IF(COUNTIF($G831:$T831,"&gt;"&amp;N831)=0,"",SMALL($G831:$T831,COUNTIF($G831:$T831,"&lt;="&amp;N831)+1)-N831)))</f>
        <v/>
      </c>
      <c r="AL831" t="str">
        <f>IF(OR($B831="",NOT(ISNUMBER(O831))),"",IF(COUNTIF(P831:$T831,O831)&gt;0,0,IF(COUNTIF($G831:$T831,"&gt;"&amp;O831)=0,"",SMALL($G831:$T831,COUNTIF($G831:$T831,"&lt;="&amp;O831)+1)-O831)))</f>
        <v/>
      </c>
      <c r="AM831" t="str">
        <f>IF(OR($B831="",NOT(ISNUMBER(P831))),"",IF(COUNTIF(Q831:$T831,P831)&gt;0,0,IF(COUNTIF($G831:$T831,"&gt;"&amp;P831)=0,"",SMALL($G831:$T831,COUNTIF($G831:$T831,"&lt;="&amp;P831)+1)-P831)))</f>
        <v/>
      </c>
      <c r="AN831" t="str">
        <f>IF(OR($B831="",NOT(ISNUMBER(Q831))),"",IF(COUNTIF(R831:$T831,Q831)&gt;0,0,IF(COUNTIF($G831:$T831,"&gt;"&amp;Q831)=0,"",SMALL($G831:$T831,COUNTIF($G831:$T831,"&lt;="&amp;Q831)+1)-Q831)))</f>
        <v/>
      </c>
      <c r="AO831" t="str">
        <f>IF(OR($B831="",NOT(ISNUMBER(R831))),"",IF(COUNTIF(S831:$T831,R831)&gt;0,0,IF(COUNTIF($G831:$T831,"&gt;"&amp;R831)=0,"",SMALL($G831:$T831,COUNTIF($G831:$T831,"&lt;="&amp;R831)+1)-R831)))</f>
        <v/>
      </c>
      <c r="AP831">
        <f t="shared" ca="1" si="207"/>
        <v>0</v>
      </c>
      <c r="AQ831" s="25" t="str">
        <f t="shared" si="208"/>
        <v/>
      </c>
      <c r="AR831" s="25" t="str">
        <f t="shared" si="209"/>
        <v/>
      </c>
      <c r="AS831" s="25" t="str">
        <f t="shared" si="210"/>
        <v/>
      </c>
      <c r="AT831" s="25" t="str">
        <f t="shared" si="211"/>
        <v/>
      </c>
      <c r="AU831" s="25" t="str">
        <f t="shared" si="212"/>
        <v/>
      </c>
      <c r="AV831" s="25" t="str">
        <f t="shared" si="213"/>
        <v/>
      </c>
      <c r="AW831" s="25" t="str">
        <f t="shared" si="214"/>
        <v/>
      </c>
      <c r="AX831" s="25" t="str">
        <f t="shared" si="215"/>
        <v/>
      </c>
      <c r="AY831" s="25" t="str">
        <f t="shared" si="216"/>
        <v/>
      </c>
      <c r="AZ831" s="25" t="str">
        <f t="shared" si="217"/>
        <v/>
      </c>
      <c r="BA831" s="25" t="str">
        <f t="shared" si="218"/>
        <v/>
      </c>
      <c r="BB831" s="25" t="str">
        <f t="shared" si="219"/>
        <v/>
      </c>
      <c r="BC831" s="25" t="str">
        <f t="shared" si="220"/>
        <v/>
      </c>
    </row>
    <row r="832" spans="1:55" x14ac:dyDescent="0.25">
      <c r="A832" s="19" t="str">
        <f t="shared" si="205"/>
        <v/>
      </c>
      <c r="B832" s="19"/>
      <c r="C832" s="20"/>
      <c r="D832" s="19" t="str">
        <f t="shared" si="221"/>
        <v/>
      </c>
      <c r="E832" s="19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19"/>
      <c r="U832" s="19"/>
      <c r="V832" s="20"/>
      <c r="W832" s="22"/>
      <c r="X832" s="21"/>
      <c r="Y832" s="21"/>
      <c r="Z832" s="23" t="str">
        <f>IF(B832="","",IF(S832&lt;&gt;"","Sevk Edildi",IF(AND(X832&lt;&gt;"",Y832=""),"Reworkte",IF(T832&lt;&gt;"","Kapandı"&amp;IF(COUNT(G832:R832)=0,""," – "&amp;LOOKUP(2,1/(G832:R832=MAX(G832:R832)),{"Tasarım","Ply Cutter","Üretim","Kalite (Üretim sonrası)","Talaşlı","Kalite (Talaşlı sonrası)","Montaj","Kalite (Montaj sonrası)","Boya","Kalite (Boya sonrası)","Yarı Mamül","KM"})),IF(COUNT(G832:R832)=0,"Başlamadı",LOOKUP(2,1/(G832:R832=MAX(G832:R832)),{"Tasarımda","Ply Cutter'da","Üretimde","Kalitede (Üretim sonrası)","Talaşlıda","Kalitede (Talaşlı sonrası)","Montajda","Kalitede (Montaj sonrası)","Boyada","Kalitede (Boya sonrası)","Yarı Mamülde","KM'de"}))))))</f>
        <v/>
      </c>
      <c r="AA832" s="24" t="str">
        <f t="shared" ca="1" si="206"/>
        <v/>
      </c>
      <c r="AB832" s="22"/>
      <c r="AD832" t="str">
        <f>IF(OR($B832="",NOT(ISNUMBER(G832))),"",IF(COUNTIF(H832:$T832,G832)&gt;0,0,IF(COUNTIF($G832:$T832,"&gt;"&amp;G832)=0,"",SMALL($G832:$T832,COUNTIF($G832:$T832,"&lt;="&amp;G832)+1)-G832)))</f>
        <v/>
      </c>
      <c r="AE832" t="str">
        <f>IF(OR($B832="",NOT(ISNUMBER(H832))),"",IF(COUNTIF(I832:$T832,H832)&gt;0,0,IF(COUNTIF($G832:$T832,"&gt;"&amp;H832)=0,"",SMALL($G832:$T832,COUNTIF($G832:$T832,"&lt;="&amp;H832)+1)-H832)))</f>
        <v/>
      </c>
      <c r="AF832" t="str">
        <f>IF(OR($B832="",NOT(ISNUMBER(I832))),"",IF(COUNTIF(J832:$T832,I832)&gt;0,0,IF(COUNTIF($G832:$T832,"&gt;"&amp;I832)=0,"",SMALL($G832:$T832,COUNTIF($G832:$T832,"&lt;="&amp;I832)+1)-I832)))</f>
        <v/>
      </c>
      <c r="AG832" t="str">
        <f>IF(OR($B832="",NOT(ISNUMBER(J832))),"",IF(COUNTIF(K832:$T832,J832)&gt;0,0,IF(COUNTIF($G832:$T832,"&gt;"&amp;J832)=0,"",SMALL($G832:$T832,COUNTIF($G832:$T832,"&lt;="&amp;J832)+1)-J832)))</f>
        <v/>
      </c>
      <c r="AH832" t="str">
        <f>IF(OR($B832="",NOT(ISNUMBER(K832))),"",IF(COUNTIF(L832:$T832,K832)&gt;0,0,IF(COUNTIF($G832:$T832,"&gt;"&amp;K832)=0,"",SMALL($G832:$T832,COUNTIF($G832:$T832,"&lt;="&amp;K832)+1)-K832)))</f>
        <v/>
      </c>
      <c r="AI832" t="str">
        <f>IF(OR($B832="",NOT(ISNUMBER(L832))),"",IF(COUNTIF(M832:$T832,L832)&gt;0,0,IF(COUNTIF($G832:$T832,"&gt;"&amp;L832)=0,"",SMALL($G832:$T832,COUNTIF($G832:$T832,"&lt;="&amp;L832)+1)-L832)))</f>
        <v/>
      </c>
      <c r="AJ832" t="str">
        <f>IF(OR($B832="",NOT(ISNUMBER(M832))),"",IF(COUNTIF(N832:$T832,M832)&gt;0,0,IF(COUNTIF($G832:$T832,"&gt;"&amp;M832)=0,"",SMALL($G832:$T832,COUNTIF($G832:$T832,"&lt;="&amp;M832)+1)-M832)))</f>
        <v/>
      </c>
      <c r="AK832" t="str">
        <f>IF(OR($B832="",NOT(ISNUMBER(N832))),"",IF(COUNTIF(O832:$T832,N832)&gt;0,0,IF(COUNTIF($G832:$T832,"&gt;"&amp;N832)=0,"",SMALL($G832:$T832,COUNTIF($G832:$T832,"&lt;="&amp;N832)+1)-N832)))</f>
        <v/>
      </c>
      <c r="AL832" t="str">
        <f>IF(OR($B832="",NOT(ISNUMBER(O832))),"",IF(COUNTIF(P832:$T832,O832)&gt;0,0,IF(COUNTIF($G832:$T832,"&gt;"&amp;O832)=0,"",SMALL($G832:$T832,COUNTIF($G832:$T832,"&lt;="&amp;O832)+1)-O832)))</f>
        <v/>
      </c>
      <c r="AM832" t="str">
        <f>IF(OR($B832="",NOT(ISNUMBER(P832))),"",IF(COUNTIF(Q832:$T832,P832)&gt;0,0,IF(COUNTIF($G832:$T832,"&gt;"&amp;P832)=0,"",SMALL($G832:$T832,COUNTIF($G832:$T832,"&lt;="&amp;P832)+1)-P832)))</f>
        <v/>
      </c>
      <c r="AN832" t="str">
        <f>IF(OR($B832="",NOT(ISNUMBER(Q832))),"",IF(COUNTIF(R832:$T832,Q832)&gt;0,0,IF(COUNTIF($G832:$T832,"&gt;"&amp;Q832)=0,"",SMALL($G832:$T832,COUNTIF($G832:$T832,"&lt;="&amp;Q832)+1)-Q832)))</f>
        <v/>
      </c>
      <c r="AO832" t="str">
        <f>IF(OR($B832="",NOT(ISNUMBER(R832))),"",IF(COUNTIF(S832:$T832,R832)&gt;0,0,IF(COUNTIF($G832:$T832,"&gt;"&amp;R832)=0,"",SMALL($G832:$T832,COUNTIF($G832:$T832,"&lt;="&amp;R832)+1)-R832)))</f>
        <v/>
      </c>
      <c r="AP832">
        <f t="shared" ca="1" si="207"/>
        <v>0</v>
      </c>
      <c r="AQ832" s="25" t="str">
        <f t="shared" si="208"/>
        <v/>
      </c>
      <c r="AR832" s="25" t="str">
        <f t="shared" si="209"/>
        <v/>
      </c>
      <c r="AS832" s="25" t="str">
        <f t="shared" si="210"/>
        <v/>
      </c>
      <c r="AT832" s="25" t="str">
        <f t="shared" si="211"/>
        <v/>
      </c>
      <c r="AU832" s="25" t="str">
        <f t="shared" si="212"/>
        <v/>
      </c>
      <c r="AV832" s="25" t="str">
        <f t="shared" si="213"/>
        <v/>
      </c>
      <c r="AW832" s="25" t="str">
        <f t="shared" si="214"/>
        <v/>
      </c>
      <c r="AX832" s="25" t="str">
        <f t="shared" si="215"/>
        <v/>
      </c>
      <c r="AY832" s="25" t="str">
        <f t="shared" si="216"/>
        <v/>
      </c>
      <c r="AZ832" s="25" t="str">
        <f t="shared" si="217"/>
        <v/>
      </c>
      <c r="BA832" s="25" t="str">
        <f t="shared" si="218"/>
        <v/>
      </c>
      <c r="BB832" s="25" t="str">
        <f t="shared" si="219"/>
        <v/>
      </c>
      <c r="BC832" s="25" t="str">
        <f t="shared" si="220"/>
        <v/>
      </c>
    </row>
    <row r="833" spans="1:55" x14ac:dyDescent="0.25">
      <c r="A833" s="19" t="str">
        <f t="shared" si="205"/>
        <v/>
      </c>
      <c r="B833" s="19"/>
      <c r="C833" s="20"/>
      <c r="D833" s="19" t="str">
        <f t="shared" si="221"/>
        <v/>
      </c>
      <c r="E833" s="19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19"/>
      <c r="U833" s="19"/>
      <c r="V833" s="20"/>
      <c r="W833" s="22"/>
      <c r="X833" s="21"/>
      <c r="Y833" s="21"/>
      <c r="Z833" s="23" t="str">
        <f>IF(B833="","",IF(S833&lt;&gt;"","Sevk Edildi",IF(AND(X833&lt;&gt;"",Y833=""),"Reworkte",IF(T833&lt;&gt;"","Kapandı"&amp;IF(COUNT(G833:R833)=0,""," – "&amp;LOOKUP(2,1/(G833:R833=MAX(G833:R833)),{"Tasarım","Ply Cutter","Üretim","Kalite (Üretim sonrası)","Talaşlı","Kalite (Talaşlı sonrası)","Montaj","Kalite (Montaj sonrası)","Boya","Kalite (Boya sonrası)","Yarı Mamül","KM"})),IF(COUNT(G833:R833)=0,"Başlamadı",LOOKUP(2,1/(G833:R833=MAX(G833:R833)),{"Tasarımda","Ply Cutter'da","Üretimde","Kalitede (Üretim sonrası)","Talaşlıda","Kalitede (Talaşlı sonrası)","Montajda","Kalitede (Montaj sonrası)","Boyada","Kalitede (Boya sonrası)","Yarı Mamülde","KM'de"}))))))</f>
        <v/>
      </c>
      <c r="AA833" s="24" t="str">
        <f t="shared" ca="1" si="206"/>
        <v/>
      </c>
      <c r="AB833" s="22"/>
      <c r="AD833" t="str">
        <f>IF(OR($B833="",NOT(ISNUMBER(G833))),"",IF(COUNTIF(H833:$T833,G833)&gt;0,0,IF(COUNTIF($G833:$T833,"&gt;"&amp;G833)=0,"",SMALL($G833:$T833,COUNTIF($G833:$T833,"&lt;="&amp;G833)+1)-G833)))</f>
        <v/>
      </c>
      <c r="AE833" t="str">
        <f>IF(OR($B833="",NOT(ISNUMBER(H833))),"",IF(COUNTIF(I833:$T833,H833)&gt;0,0,IF(COUNTIF($G833:$T833,"&gt;"&amp;H833)=0,"",SMALL($G833:$T833,COUNTIF($G833:$T833,"&lt;="&amp;H833)+1)-H833)))</f>
        <v/>
      </c>
      <c r="AF833" t="str">
        <f>IF(OR($B833="",NOT(ISNUMBER(I833))),"",IF(COUNTIF(J833:$T833,I833)&gt;0,0,IF(COUNTIF($G833:$T833,"&gt;"&amp;I833)=0,"",SMALL($G833:$T833,COUNTIF($G833:$T833,"&lt;="&amp;I833)+1)-I833)))</f>
        <v/>
      </c>
      <c r="AG833" t="str">
        <f>IF(OR($B833="",NOT(ISNUMBER(J833))),"",IF(COUNTIF(K833:$T833,J833)&gt;0,0,IF(COUNTIF($G833:$T833,"&gt;"&amp;J833)=0,"",SMALL($G833:$T833,COUNTIF($G833:$T833,"&lt;="&amp;J833)+1)-J833)))</f>
        <v/>
      </c>
      <c r="AH833" t="str">
        <f>IF(OR($B833="",NOT(ISNUMBER(K833))),"",IF(COUNTIF(L833:$T833,K833)&gt;0,0,IF(COUNTIF($G833:$T833,"&gt;"&amp;K833)=0,"",SMALL($G833:$T833,COUNTIF($G833:$T833,"&lt;="&amp;K833)+1)-K833)))</f>
        <v/>
      </c>
      <c r="AI833" t="str">
        <f>IF(OR($B833="",NOT(ISNUMBER(L833))),"",IF(COUNTIF(M833:$T833,L833)&gt;0,0,IF(COUNTIF($G833:$T833,"&gt;"&amp;L833)=0,"",SMALL($G833:$T833,COUNTIF($G833:$T833,"&lt;="&amp;L833)+1)-L833)))</f>
        <v/>
      </c>
      <c r="AJ833" t="str">
        <f>IF(OR($B833="",NOT(ISNUMBER(M833))),"",IF(COUNTIF(N833:$T833,M833)&gt;0,0,IF(COUNTIF($G833:$T833,"&gt;"&amp;M833)=0,"",SMALL($G833:$T833,COUNTIF($G833:$T833,"&lt;="&amp;M833)+1)-M833)))</f>
        <v/>
      </c>
      <c r="AK833" t="str">
        <f>IF(OR($B833="",NOT(ISNUMBER(N833))),"",IF(COUNTIF(O833:$T833,N833)&gt;0,0,IF(COUNTIF($G833:$T833,"&gt;"&amp;N833)=0,"",SMALL($G833:$T833,COUNTIF($G833:$T833,"&lt;="&amp;N833)+1)-N833)))</f>
        <v/>
      </c>
      <c r="AL833" t="str">
        <f>IF(OR($B833="",NOT(ISNUMBER(O833))),"",IF(COUNTIF(P833:$T833,O833)&gt;0,0,IF(COUNTIF($G833:$T833,"&gt;"&amp;O833)=0,"",SMALL($G833:$T833,COUNTIF($G833:$T833,"&lt;="&amp;O833)+1)-O833)))</f>
        <v/>
      </c>
      <c r="AM833" t="str">
        <f>IF(OR($B833="",NOT(ISNUMBER(P833))),"",IF(COUNTIF(Q833:$T833,P833)&gt;0,0,IF(COUNTIF($G833:$T833,"&gt;"&amp;P833)=0,"",SMALL($G833:$T833,COUNTIF($G833:$T833,"&lt;="&amp;P833)+1)-P833)))</f>
        <v/>
      </c>
      <c r="AN833" t="str">
        <f>IF(OR($B833="",NOT(ISNUMBER(Q833))),"",IF(COUNTIF(R833:$T833,Q833)&gt;0,0,IF(COUNTIF($G833:$T833,"&gt;"&amp;Q833)=0,"",SMALL($G833:$T833,COUNTIF($G833:$T833,"&lt;="&amp;Q833)+1)-Q833)))</f>
        <v/>
      </c>
      <c r="AO833" t="str">
        <f>IF(OR($B833="",NOT(ISNUMBER(R833))),"",IF(COUNTIF(S833:$T833,R833)&gt;0,0,IF(COUNTIF($G833:$T833,"&gt;"&amp;R833)=0,"",SMALL($G833:$T833,COUNTIF($G833:$T833,"&lt;="&amp;R833)+1)-R833)))</f>
        <v/>
      </c>
      <c r="AP833">
        <f t="shared" ca="1" si="207"/>
        <v>0</v>
      </c>
      <c r="AQ833" s="25" t="str">
        <f t="shared" si="208"/>
        <v/>
      </c>
      <c r="AR833" s="25" t="str">
        <f t="shared" si="209"/>
        <v/>
      </c>
      <c r="AS833" s="25" t="str">
        <f t="shared" si="210"/>
        <v/>
      </c>
      <c r="AT833" s="25" t="str">
        <f t="shared" si="211"/>
        <v/>
      </c>
      <c r="AU833" s="25" t="str">
        <f t="shared" si="212"/>
        <v/>
      </c>
      <c r="AV833" s="25" t="str">
        <f t="shared" si="213"/>
        <v/>
      </c>
      <c r="AW833" s="25" t="str">
        <f t="shared" si="214"/>
        <v/>
      </c>
      <c r="AX833" s="25" t="str">
        <f t="shared" si="215"/>
        <v/>
      </c>
      <c r="AY833" s="25" t="str">
        <f t="shared" si="216"/>
        <v/>
      </c>
      <c r="AZ833" s="25" t="str">
        <f t="shared" si="217"/>
        <v/>
      </c>
      <c r="BA833" s="25" t="str">
        <f t="shared" si="218"/>
        <v/>
      </c>
      <c r="BB833" s="25" t="str">
        <f t="shared" si="219"/>
        <v/>
      </c>
      <c r="BC833" s="25" t="str">
        <f t="shared" si="220"/>
        <v/>
      </c>
    </row>
    <row r="834" spans="1:55" x14ac:dyDescent="0.25">
      <c r="A834" s="19" t="str">
        <f t="shared" si="205"/>
        <v/>
      </c>
      <c r="B834" s="19"/>
      <c r="C834" s="20"/>
      <c r="D834" s="19" t="str">
        <f t="shared" si="221"/>
        <v/>
      </c>
      <c r="E834" s="19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19"/>
      <c r="U834" s="19"/>
      <c r="V834" s="20"/>
      <c r="W834" s="22"/>
      <c r="X834" s="21"/>
      <c r="Y834" s="21"/>
      <c r="Z834" s="23" t="str">
        <f>IF(B834="","",IF(S834&lt;&gt;"","Sevk Edildi",IF(AND(X834&lt;&gt;"",Y834=""),"Reworkte",IF(T834&lt;&gt;"","Kapandı"&amp;IF(COUNT(G834:R834)=0,""," – "&amp;LOOKUP(2,1/(G834:R834=MAX(G834:R834)),{"Tasarım","Ply Cutter","Üretim","Kalite (Üretim sonrası)","Talaşlı","Kalite (Talaşlı sonrası)","Montaj","Kalite (Montaj sonrası)","Boya","Kalite (Boya sonrası)","Yarı Mamül","KM"})),IF(COUNT(G834:R834)=0,"Başlamadı",LOOKUP(2,1/(G834:R834=MAX(G834:R834)),{"Tasarımda","Ply Cutter'da","Üretimde","Kalitede (Üretim sonrası)","Talaşlıda","Kalitede (Talaşlı sonrası)","Montajda","Kalitede (Montaj sonrası)","Boyada","Kalitede (Boya sonrası)","Yarı Mamülde","KM'de"}))))))</f>
        <v/>
      </c>
      <c r="AA834" s="24" t="str">
        <f t="shared" ca="1" si="206"/>
        <v/>
      </c>
      <c r="AB834" s="22"/>
      <c r="AD834" t="str">
        <f>IF(OR($B834="",NOT(ISNUMBER(G834))),"",IF(COUNTIF(H834:$T834,G834)&gt;0,0,IF(COUNTIF($G834:$T834,"&gt;"&amp;G834)=0,"",SMALL($G834:$T834,COUNTIF($G834:$T834,"&lt;="&amp;G834)+1)-G834)))</f>
        <v/>
      </c>
      <c r="AE834" t="str">
        <f>IF(OR($B834="",NOT(ISNUMBER(H834))),"",IF(COUNTIF(I834:$T834,H834)&gt;0,0,IF(COUNTIF($G834:$T834,"&gt;"&amp;H834)=0,"",SMALL($G834:$T834,COUNTIF($G834:$T834,"&lt;="&amp;H834)+1)-H834)))</f>
        <v/>
      </c>
      <c r="AF834" t="str">
        <f>IF(OR($B834="",NOT(ISNUMBER(I834))),"",IF(COUNTIF(J834:$T834,I834)&gt;0,0,IF(COUNTIF($G834:$T834,"&gt;"&amp;I834)=0,"",SMALL($G834:$T834,COUNTIF($G834:$T834,"&lt;="&amp;I834)+1)-I834)))</f>
        <v/>
      </c>
      <c r="AG834" t="str">
        <f>IF(OR($B834="",NOT(ISNUMBER(J834))),"",IF(COUNTIF(K834:$T834,J834)&gt;0,0,IF(COUNTIF($G834:$T834,"&gt;"&amp;J834)=0,"",SMALL($G834:$T834,COUNTIF($G834:$T834,"&lt;="&amp;J834)+1)-J834)))</f>
        <v/>
      </c>
      <c r="AH834" t="str">
        <f>IF(OR($B834="",NOT(ISNUMBER(K834))),"",IF(COUNTIF(L834:$T834,K834)&gt;0,0,IF(COUNTIF($G834:$T834,"&gt;"&amp;K834)=0,"",SMALL($G834:$T834,COUNTIF($G834:$T834,"&lt;="&amp;K834)+1)-K834)))</f>
        <v/>
      </c>
      <c r="AI834" t="str">
        <f>IF(OR($B834="",NOT(ISNUMBER(L834))),"",IF(COUNTIF(M834:$T834,L834)&gt;0,0,IF(COUNTIF($G834:$T834,"&gt;"&amp;L834)=0,"",SMALL($G834:$T834,COUNTIF($G834:$T834,"&lt;="&amp;L834)+1)-L834)))</f>
        <v/>
      </c>
      <c r="AJ834" t="str">
        <f>IF(OR($B834="",NOT(ISNUMBER(M834))),"",IF(COUNTIF(N834:$T834,M834)&gt;0,0,IF(COUNTIF($G834:$T834,"&gt;"&amp;M834)=0,"",SMALL($G834:$T834,COUNTIF($G834:$T834,"&lt;="&amp;M834)+1)-M834)))</f>
        <v/>
      </c>
      <c r="AK834" t="str">
        <f>IF(OR($B834="",NOT(ISNUMBER(N834))),"",IF(COUNTIF(O834:$T834,N834)&gt;0,0,IF(COUNTIF($G834:$T834,"&gt;"&amp;N834)=0,"",SMALL($G834:$T834,COUNTIF($G834:$T834,"&lt;="&amp;N834)+1)-N834)))</f>
        <v/>
      </c>
      <c r="AL834" t="str">
        <f>IF(OR($B834="",NOT(ISNUMBER(O834))),"",IF(COUNTIF(P834:$T834,O834)&gt;0,0,IF(COUNTIF($G834:$T834,"&gt;"&amp;O834)=0,"",SMALL($G834:$T834,COUNTIF($G834:$T834,"&lt;="&amp;O834)+1)-O834)))</f>
        <v/>
      </c>
      <c r="AM834" t="str">
        <f>IF(OR($B834="",NOT(ISNUMBER(P834))),"",IF(COUNTIF(Q834:$T834,P834)&gt;0,0,IF(COUNTIF($G834:$T834,"&gt;"&amp;P834)=0,"",SMALL($G834:$T834,COUNTIF($G834:$T834,"&lt;="&amp;P834)+1)-P834)))</f>
        <v/>
      </c>
      <c r="AN834" t="str">
        <f>IF(OR($B834="",NOT(ISNUMBER(Q834))),"",IF(COUNTIF(R834:$T834,Q834)&gt;0,0,IF(COUNTIF($G834:$T834,"&gt;"&amp;Q834)=0,"",SMALL($G834:$T834,COUNTIF($G834:$T834,"&lt;="&amp;Q834)+1)-Q834)))</f>
        <v/>
      </c>
      <c r="AO834" t="str">
        <f>IF(OR($B834="",NOT(ISNUMBER(R834))),"",IF(COUNTIF(S834:$T834,R834)&gt;0,0,IF(COUNTIF($G834:$T834,"&gt;"&amp;R834)=0,"",SMALL($G834:$T834,COUNTIF($G834:$T834,"&lt;="&amp;R834)+1)-R834)))</f>
        <v/>
      </c>
      <c r="AP834">
        <f t="shared" ca="1" si="207"/>
        <v>0</v>
      </c>
      <c r="AQ834" s="25" t="str">
        <f t="shared" si="208"/>
        <v/>
      </c>
      <c r="AR834" s="25" t="str">
        <f t="shared" si="209"/>
        <v/>
      </c>
      <c r="AS834" s="25" t="str">
        <f t="shared" si="210"/>
        <v/>
      </c>
      <c r="AT834" s="25" t="str">
        <f t="shared" si="211"/>
        <v/>
      </c>
      <c r="AU834" s="25" t="str">
        <f t="shared" si="212"/>
        <v/>
      </c>
      <c r="AV834" s="25" t="str">
        <f t="shared" si="213"/>
        <v/>
      </c>
      <c r="AW834" s="25" t="str">
        <f t="shared" si="214"/>
        <v/>
      </c>
      <c r="AX834" s="25" t="str">
        <f t="shared" si="215"/>
        <v/>
      </c>
      <c r="AY834" s="25" t="str">
        <f t="shared" si="216"/>
        <v/>
      </c>
      <c r="AZ834" s="25" t="str">
        <f t="shared" si="217"/>
        <v/>
      </c>
      <c r="BA834" s="25" t="str">
        <f t="shared" si="218"/>
        <v/>
      </c>
      <c r="BB834" s="25" t="str">
        <f t="shared" si="219"/>
        <v/>
      </c>
      <c r="BC834" s="25" t="str">
        <f t="shared" si="220"/>
        <v/>
      </c>
    </row>
    <row r="835" spans="1:55" x14ac:dyDescent="0.25">
      <c r="A835" s="19" t="str">
        <f t="shared" ref="A835:A898" si="222">IF(B835="","",ROW()-2)</f>
        <v/>
      </c>
      <c r="B835" s="19"/>
      <c r="C835" s="20"/>
      <c r="D835" s="19" t="str">
        <f t="shared" si="221"/>
        <v/>
      </c>
      <c r="E835" s="19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19"/>
      <c r="U835" s="19"/>
      <c r="V835" s="20"/>
      <c r="W835" s="22"/>
      <c r="X835" s="21"/>
      <c r="Y835" s="21"/>
      <c r="Z835" s="23" t="str">
        <f>IF(B835="","",IF(S835&lt;&gt;"","Sevk Edildi",IF(AND(X835&lt;&gt;"",Y835=""),"Reworkte",IF(T835&lt;&gt;"","Kapandı"&amp;IF(COUNT(G835:R835)=0,""," – "&amp;LOOKUP(2,1/(G835:R835=MAX(G835:R835)),{"Tasarım","Ply Cutter","Üretim","Kalite (Üretim sonrası)","Talaşlı","Kalite (Talaşlı sonrası)","Montaj","Kalite (Montaj sonrası)","Boya","Kalite (Boya sonrası)","Yarı Mamül","KM"})),IF(COUNT(G835:R835)=0,"Başlamadı",LOOKUP(2,1/(G835:R835=MAX(G835:R835)),{"Tasarımda","Ply Cutter'da","Üretimde","Kalitede (Üretim sonrası)","Talaşlıda","Kalitede (Talaşlı sonrası)","Montajda","Kalitede (Montaj sonrası)","Boyada","Kalitede (Boya sonrası)","Yarı Mamülde","KM'de"}))))))</f>
        <v/>
      </c>
      <c r="AA835" s="24" t="str">
        <f t="shared" ref="AA835:AA898" ca="1" si="223">IF(OR(B835="",F835=""),"",IFERROR(IF(S835&lt;&gt;"",S835-F835,IF(T835&lt;&gt;"",T835-F835,TODAY()-F835)),""))</f>
        <v/>
      </c>
      <c r="AB835" s="22"/>
      <c r="AD835" t="str">
        <f>IF(OR($B835="",NOT(ISNUMBER(G835))),"",IF(COUNTIF(H835:$T835,G835)&gt;0,0,IF(COUNTIF($G835:$T835,"&gt;"&amp;G835)=0,"",SMALL($G835:$T835,COUNTIF($G835:$T835,"&lt;="&amp;G835)+1)-G835)))</f>
        <v/>
      </c>
      <c r="AE835" t="str">
        <f>IF(OR($B835="",NOT(ISNUMBER(H835))),"",IF(COUNTIF(I835:$T835,H835)&gt;0,0,IF(COUNTIF($G835:$T835,"&gt;"&amp;H835)=0,"",SMALL($G835:$T835,COUNTIF($G835:$T835,"&lt;="&amp;H835)+1)-H835)))</f>
        <v/>
      </c>
      <c r="AF835" t="str">
        <f>IF(OR($B835="",NOT(ISNUMBER(I835))),"",IF(COUNTIF(J835:$T835,I835)&gt;0,0,IF(COUNTIF($G835:$T835,"&gt;"&amp;I835)=0,"",SMALL($G835:$T835,COUNTIF($G835:$T835,"&lt;="&amp;I835)+1)-I835)))</f>
        <v/>
      </c>
      <c r="AG835" t="str">
        <f>IF(OR($B835="",NOT(ISNUMBER(J835))),"",IF(COUNTIF(K835:$T835,J835)&gt;0,0,IF(COUNTIF($G835:$T835,"&gt;"&amp;J835)=0,"",SMALL($G835:$T835,COUNTIF($G835:$T835,"&lt;="&amp;J835)+1)-J835)))</f>
        <v/>
      </c>
      <c r="AH835" t="str">
        <f>IF(OR($B835="",NOT(ISNUMBER(K835))),"",IF(COUNTIF(L835:$T835,K835)&gt;0,0,IF(COUNTIF($G835:$T835,"&gt;"&amp;K835)=0,"",SMALL($G835:$T835,COUNTIF($G835:$T835,"&lt;="&amp;K835)+1)-K835)))</f>
        <v/>
      </c>
      <c r="AI835" t="str">
        <f>IF(OR($B835="",NOT(ISNUMBER(L835))),"",IF(COUNTIF(M835:$T835,L835)&gt;0,0,IF(COUNTIF($G835:$T835,"&gt;"&amp;L835)=0,"",SMALL($G835:$T835,COUNTIF($G835:$T835,"&lt;="&amp;L835)+1)-L835)))</f>
        <v/>
      </c>
      <c r="AJ835" t="str">
        <f>IF(OR($B835="",NOT(ISNUMBER(M835))),"",IF(COUNTIF(N835:$T835,M835)&gt;0,0,IF(COUNTIF($G835:$T835,"&gt;"&amp;M835)=0,"",SMALL($G835:$T835,COUNTIF($G835:$T835,"&lt;="&amp;M835)+1)-M835)))</f>
        <v/>
      </c>
      <c r="AK835" t="str">
        <f>IF(OR($B835="",NOT(ISNUMBER(N835))),"",IF(COUNTIF(O835:$T835,N835)&gt;0,0,IF(COUNTIF($G835:$T835,"&gt;"&amp;N835)=0,"",SMALL($G835:$T835,COUNTIF($G835:$T835,"&lt;="&amp;N835)+1)-N835)))</f>
        <v/>
      </c>
      <c r="AL835" t="str">
        <f>IF(OR($B835="",NOT(ISNUMBER(O835))),"",IF(COUNTIF(P835:$T835,O835)&gt;0,0,IF(COUNTIF($G835:$T835,"&gt;"&amp;O835)=0,"",SMALL($G835:$T835,COUNTIF($G835:$T835,"&lt;="&amp;O835)+1)-O835)))</f>
        <v/>
      </c>
      <c r="AM835" t="str">
        <f>IF(OR($B835="",NOT(ISNUMBER(P835))),"",IF(COUNTIF(Q835:$T835,P835)&gt;0,0,IF(COUNTIF($G835:$T835,"&gt;"&amp;P835)=0,"",SMALL($G835:$T835,COUNTIF($G835:$T835,"&lt;="&amp;P835)+1)-P835)))</f>
        <v/>
      </c>
      <c r="AN835" t="str">
        <f>IF(OR($B835="",NOT(ISNUMBER(Q835))),"",IF(COUNTIF(R835:$T835,Q835)&gt;0,0,IF(COUNTIF($G835:$T835,"&gt;"&amp;Q835)=0,"",SMALL($G835:$T835,COUNTIF($G835:$T835,"&lt;="&amp;Q835)+1)-Q835)))</f>
        <v/>
      </c>
      <c r="AO835" t="str">
        <f>IF(OR($B835="",NOT(ISNUMBER(R835))),"",IF(COUNTIF(S835:$T835,R835)&gt;0,0,IF(COUNTIF($G835:$T835,"&gt;"&amp;R835)=0,"",SMALL($G835:$T835,COUNTIF($G835:$T835,"&lt;="&amp;R835)+1)-R835)))</f>
        <v/>
      </c>
      <c r="AP835">
        <f t="shared" ref="AP835:AP898" ca="1" si="224">IF(OR($B835="",Z835="",Z835="Başlamadı",Z835="Sevk Edildi",Z835="Reworkte",LEFT(Z835,7)="Kapandı"),0,TODAY()-MAX($G835:$R835))</f>
        <v>0</v>
      </c>
      <c r="AQ835" s="25" t="str">
        <f t="shared" ref="AQ835:AQ898" si="225">IF(AND(ISNUMBER(G835),ISNUMBER(AD835)),G835+AD835,"")</f>
        <v/>
      </c>
      <c r="AR835" s="25" t="str">
        <f t="shared" ref="AR835:AR898" si="226">IF(AND(ISNUMBER(H835),ISNUMBER(AE835)),H835+AE835,"")</f>
        <v/>
      </c>
      <c r="AS835" s="25" t="str">
        <f t="shared" ref="AS835:AS898" si="227">IF(AND(ISNUMBER(I835),ISNUMBER(AF835)),I835+AF835,"")</f>
        <v/>
      </c>
      <c r="AT835" s="25" t="str">
        <f t="shared" ref="AT835:AT898" si="228">IF(AND(ISNUMBER(J835),ISNUMBER(AG835)),J835+AG835,"")</f>
        <v/>
      </c>
      <c r="AU835" s="25" t="str">
        <f t="shared" ref="AU835:AU898" si="229">IF(AND(ISNUMBER(K835),ISNUMBER(AH835)),K835+AH835,"")</f>
        <v/>
      </c>
      <c r="AV835" s="25" t="str">
        <f t="shared" ref="AV835:AV898" si="230">IF(AND(ISNUMBER(L835),ISNUMBER(AI835)),L835+AI835,"")</f>
        <v/>
      </c>
      <c r="AW835" s="25" t="str">
        <f t="shared" ref="AW835:AW898" si="231">IF(AND(ISNUMBER(M835),ISNUMBER(AJ835)),M835+AJ835,"")</f>
        <v/>
      </c>
      <c r="AX835" s="25" t="str">
        <f t="shared" ref="AX835:AX898" si="232">IF(AND(ISNUMBER(N835),ISNUMBER(AK835)),N835+AK835,"")</f>
        <v/>
      </c>
      <c r="AY835" s="25" t="str">
        <f t="shared" ref="AY835:AY898" si="233">IF(AND(ISNUMBER(O835),ISNUMBER(AL835)),O835+AL835,"")</f>
        <v/>
      </c>
      <c r="AZ835" s="25" t="str">
        <f t="shared" ref="AZ835:AZ898" si="234">IF(AND(ISNUMBER(P835),ISNUMBER(AM835)),P835+AM835,"")</f>
        <v/>
      </c>
      <c r="BA835" s="25" t="str">
        <f t="shared" ref="BA835:BA898" si="235">IF(AND(ISNUMBER(Q835),ISNUMBER(AN835)),Q835+AN835,"")</f>
        <v/>
      </c>
      <c r="BB835" s="25" t="str">
        <f t="shared" ref="BB835:BB898" si="236">IF(AND(ISNUMBER(R835),ISNUMBER(AO835)),R835+AO835,"")</f>
        <v/>
      </c>
      <c r="BC835" s="25" t="str">
        <f t="shared" ref="BC835:BC898" si="237">IF(AND(S835="",T835=""),"",MIN(S835,T835))</f>
        <v/>
      </c>
    </row>
    <row r="836" spans="1:55" x14ac:dyDescent="0.25">
      <c r="A836" s="19" t="str">
        <f t="shared" si="222"/>
        <v/>
      </c>
      <c r="B836" s="19"/>
      <c r="C836" s="20"/>
      <c r="D836" s="19" t="str">
        <f t="shared" si="221"/>
        <v/>
      </c>
      <c r="E836" s="19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19"/>
      <c r="U836" s="19"/>
      <c r="V836" s="20"/>
      <c r="W836" s="22"/>
      <c r="X836" s="21"/>
      <c r="Y836" s="21"/>
      <c r="Z836" s="23" t="str">
        <f>IF(B836="","",IF(S836&lt;&gt;"","Sevk Edildi",IF(AND(X836&lt;&gt;"",Y836=""),"Reworkte",IF(T836&lt;&gt;"","Kapandı"&amp;IF(COUNT(G836:R836)=0,""," – "&amp;LOOKUP(2,1/(G836:R836=MAX(G836:R836)),{"Tasarım","Ply Cutter","Üretim","Kalite (Üretim sonrası)","Talaşlı","Kalite (Talaşlı sonrası)","Montaj","Kalite (Montaj sonrası)","Boya","Kalite (Boya sonrası)","Yarı Mamül","KM"})),IF(COUNT(G836:R836)=0,"Başlamadı",LOOKUP(2,1/(G836:R836=MAX(G836:R836)),{"Tasarımda","Ply Cutter'da","Üretimde","Kalitede (Üretim sonrası)","Talaşlıda","Kalitede (Talaşlı sonrası)","Montajda","Kalitede (Montaj sonrası)","Boyada","Kalitede (Boya sonrası)","Yarı Mamülde","KM'de"}))))))</f>
        <v/>
      </c>
      <c r="AA836" s="24" t="str">
        <f t="shared" ca="1" si="223"/>
        <v/>
      </c>
      <c r="AB836" s="22"/>
      <c r="AD836" t="str">
        <f>IF(OR($B836="",NOT(ISNUMBER(G836))),"",IF(COUNTIF(H836:$T836,G836)&gt;0,0,IF(COUNTIF($G836:$T836,"&gt;"&amp;G836)=0,"",SMALL($G836:$T836,COUNTIF($G836:$T836,"&lt;="&amp;G836)+1)-G836)))</f>
        <v/>
      </c>
      <c r="AE836" t="str">
        <f>IF(OR($B836="",NOT(ISNUMBER(H836))),"",IF(COUNTIF(I836:$T836,H836)&gt;0,0,IF(COUNTIF($G836:$T836,"&gt;"&amp;H836)=0,"",SMALL($G836:$T836,COUNTIF($G836:$T836,"&lt;="&amp;H836)+1)-H836)))</f>
        <v/>
      </c>
      <c r="AF836" t="str">
        <f>IF(OR($B836="",NOT(ISNUMBER(I836))),"",IF(COUNTIF(J836:$T836,I836)&gt;0,0,IF(COUNTIF($G836:$T836,"&gt;"&amp;I836)=0,"",SMALL($G836:$T836,COUNTIF($G836:$T836,"&lt;="&amp;I836)+1)-I836)))</f>
        <v/>
      </c>
      <c r="AG836" t="str">
        <f>IF(OR($B836="",NOT(ISNUMBER(J836))),"",IF(COUNTIF(K836:$T836,J836)&gt;0,0,IF(COUNTIF($G836:$T836,"&gt;"&amp;J836)=0,"",SMALL($G836:$T836,COUNTIF($G836:$T836,"&lt;="&amp;J836)+1)-J836)))</f>
        <v/>
      </c>
      <c r="AH836" t="str">
        <f>IF(OR($B836="",NOT(ISNUMBER(K836))),"",IF(COUNTIF(L836:$T836,K836)&gt;0,0,IF(COUNTIF($G836:$T836,"&gt;"&amp;K836)=0,"",SMALL($G836:$T836,COUNTIF($G836:$T836,"&lt;="&amp;K836)+1)-K836)))</f>
        <v/>
      </c>
      <c r="AI836" t="str">
        <f>IF(OR($B836="",NOT(ISNUMBER(L836))),"",IF(COUNTIF(M836:$T836,L836)&gt;0,0,IF(COUNTIF($G836:$T836,"&gt;"&amp;L836)=0,"",SMALL($G836:$T836,COUNTIF($G836:$T836,"&lt;="&amp;L836)+1)-L836)))</f>
        <v/>
      </c>
      <c r="AJ836" t="str">
        <f>IF(OR($B836="",NOT(ISNUMBER(M836))),"",IF(COUNTIF(N836:$T836,M836)&gt;0,0,IF(COUNTIF($G836:$T836,"&gt;"&amp;M836)=0,"",SMALL($G836:$T836,COUNTIF($G836:$T836,"&lt;="&amp;M836)+1)-M836)))</f>
        <v/>
      </c>
      <c r="AK836" t="str">
        <f>IF(OR($B836="",NOT(ISNUMBER(N836))),"",IF(COUNTIF(O836:$T836,N836)&gt;0,0,IF(COUNTIF($G836:$T836,"&gt;"&amp;N836)=0,"",SMALL($G836:$T836,COUNTIF($G836:$T836,"&lt;="&amp;N836)+1)-N836)))</f>
        <v/>
      </c>
      <c r="AL836" t="str">
        <f>IF(OR($B836="",NOT(ISNUMBER(O836))),"",IF(COUNTIF(P836:$T836,O836)&gt;0,0,IF(COUNTIF($G836:$T836,"&gt;"&amp;O836)=0,"",SMALL($G836:$T836,COUNTIF($G836:$T836,"&lt;="&amp;O836)+1)-O836)))</f>
        <v/>
      </c>
      <c r="AM836" t="str">
        <f>IF(OR($B836="",NOT(ISNUMBER(P836))),"",IF(COUNTIF(Q836:$T836,P836)&gt;0,0,IF(COUNTIF($G836:$T836,"&gt;"&amp;P836)=0,"",SMALL($G836:$T836,COUNTIF($G836:$T836,"&lt;="&amp;P836)+1)-P836)))</f>
        <v/>
      </c>
      <c r="AN836" t="str">
        <f>IF(OR($B836="",NOT(ISNUMBER(Q836))),"",IF(COUNTIF(R836:$T836,Q836)&gt;0,0,IF(COUNTIF($G836:$T836,"&gt;"&amp;Q836)=0,"",SMALL($G836:$T836,COUNTIF($G836:$T836,"&lt;="&amp;Q836)+1)-Q836)))</f>
        <v/>
      </c>
      <c r="AO836" t="str">
        <f>IF(OR($B836="",NOT(ISNUMBER(R836))),"",IF(COUNTIF(S836:$T836,R836)&gt;0,0,IF(COUNTIF($G836:$T836,"&gt;"&amp;R836)=0,"",SMALL($G836:$T836,COUNTIF($G836:$T836,"&lt;="&amp;R836)+1)-R836)))</f>
        <v/>
      </c>
      <c r="AP836">
        <f t="shared" ca="1" si="224"/>
        <v>0</v>
      </c>
      <c r="AQ836" s="25" t="str">
        <f t="shared" si="225"/>
        <v/>
      </c>
      <c r="AR836" s="25" t="str">
        <f t="shared" si="226"/>
        <v/>
      </c>
      <c r="AS836" s="25" t="str">
        <f t="shared" si="227"/>
        <v/>
      </c>
      <c r="AT836" s="25" t="str">
        <f t="shared" si="228"/>
        <v/>
      </c>
      <c r="AU836" s="25" t="str">
        <f t="shared" si="229"/>
        <v/>
      </c>
      <c r="AV836" s="25" t="str">
        <f t="shared" si="230"/>
        <v/>
      </c>
      <c r="AW836" s="25" t="str">
        <f t="shared" si="231"/>
        <v/>
      </c>
      <c r="AX836" s="25" t="str">
        <f t="shared" si="232"/>
        <v/>
      </c>
      <c r="AY836" s="25" t="str">
        <f t="shared" si="233"/>
        <v/>
      </c>
      <c r="AZ836" s="25" t="str">
        <f t="shared" si="234"/>
        <v/>
      </c>
      <c r="BA836" s="25" t="str">
        <f t="shared" si="235"/>
        <v/>
      </c>
      <c r="BB836" s="25" t="str">
        <f t="shared" si="236"/>
        <v/>
      </c>
      <c r="BC836" s="25" t="str">
        <f t="shared" si="237"/>
        <v/>
      </c>
    </row>
    <row r="837" spans="1:55" x14ac:dyDescent="0.25">
      <c r="A837" s="19" t="str">
        <f t="shared" si="222"/>
        <v/>
      </c>
      <c r="B837" s="19"/>
      <c r="C837" s="20"/>
      <c r="D837" s="19" t="str">
        <f t="shared" si="221"/>
        <v/>
      </c>
      <c r="E837" s="19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19"/>
      <c r="U837" s="19"/>
      <c r="V837" s="20"/>
      <c r="W837" s="22"/>
      <c r="X837" s="21"/>
      <c r="Y837" s="21"/>
      <c r="Z837" s="23" t="str">
        <f>IF(B837="","",IF(S837&lt;&gt;"","Sevk Edildi",IF(AND(X837&lt;&gt;"",Y837=""),"Reworkte",IF(T837&lt;&gt;"","Kapandı"&amp;IF(COUNT(G837:R837)=0,""," – "&amp;LOOKUP(2,1/(G837:R837=MAX(G837:R837)),{"Tasarım","Ply Cutter","Üretim","Kalite (Üretim sonrası)","Talaşlı","Kalite (Talaşlı sonrası)","Montaj","Kalite (Montaj sonrası)","Boya","Kalite (Boya sonrası)","Yarı Mamül","KM"})),IF(COUNT(G837:R837)=0,"Başlamadı",LOOKUP(2,1/(G837:R837=MAX(G837:R837)),{"Tasarımda","Ply Cutter'da","Üretimde","Kalitede (Üretim sonrası)","Talaşlıda","Kalitede (Talaşlı sonrası)","Montajda","Kalitede (Montaj sonrası)","Boyada","Kalitede (Boya sonrası)","Yarı Mamülde","KM'de"}))))))</f>
        <v/>
      </c>
      <c r="AA837" s="24" t="str">
        <f t="shared" ca="1" si="223"/>
        <v/>
      </c>
      <c r="AB837" s="22"/>
      <c r="AD837" t="str">
        <f>IF(OR($B837="",NOT(ISNUMBER(G837))),"",IF(COUNTIF(H837:$T837,G837)&gt;0,0,IF(COUNTIF($G837:$T837,"&gt;"&amp;G837)=0,"",SMALL($G837:$T837,COUNTIF($G837:$T837,"&lt;="&amp;G837)+1)-G837)))</f>
        <v/>
      </c>
      <c r="AE837" t="str">
        <f>IF(OR($B837="",NOT(ISNUMBER(H837))),"",IF(COUNTIF(I837:$T837,H837)&gt;0,0,IF(COUNTIF($G837:$T837,"&gt;"&amp;H837)=0,"",SMALL($G837:$T837,COUNTIF($G837:$T837,"&lt;="&amp;H837)+1)-H837)))</f>
        <v/>
      </c>
      <c r="AF837" t="str">
        <f>IF(OR($B837="",NOT(ISNUMBER(I837))),"",IF(COUNTIF(J837:$T837,I837)&gt;0,0,IF(COUNTIF($G837:$T837,"&gt;"&amp;I837)=0,"",SMALL($G837:$T837,COUNTIF($G837:$T837,"&lt;="&amp;I837)+1)-I837)))</f>
        <v/>
      </c>
      <c r="AG837" t="str">
        <f>IF(OR($B837="",NOT(ISNUMBER(J837))),"",IF(COUNTIF(K837:$T837,J837)&gt;0,0,IF(COUNTIF($G837:$T837,"&gt;"&amp;J837)=0,"",SMALL($G837:$T837,COUNTIF($G837:$T837,"&lt;="&amp;J837)+1)-J837)))</f>
        <v/>
      </c>
      <c r="AH837" t="str">
        <f>IF(OR($B837="",NOT(ISNUMBER(K837))),"",IF(COUNTIF(L837:$T837,K837)&gt;0,0,IF(COUNTIF($G837:$T837,"&gt;"&amp;K837)=0,"",SMALL($G837:$T837,COUNTIF($G837:$T837,"&lt;="&amp;K837)+1)-K837)))</f>
        <v/>
      </c>
      <c r="AI837" t="str">
        <f>IF(OR($B837="",NOT(ISNUMBER(L837))),"",IF(COUNTIF(M837:$T837,L837)&gt;0,0,IF(COUNTIF($G837:$T837,"&gt;"&amp;L837)=0,"",SMALL($G837:$T837,COUNTIF($G837:$T837,"&lt;="&amp;L837)+1)-L837)))</f>
        <v/>
      </c>
      <c r="AJ837" t="str">
        <f>IF(OR($B837="",NOT(ISNUMBER(M837))),"",IF(COUNTIF(N837:$T837,M837)&gt;0,0,IF(COUNTIF($G837:$T837,"&gt;"&amp;M837)=0,"",SMALL($G837:$T837,COUNTIF($G837:$T837,"&lt;="&amp;M837)+1)-M837)))</f>
        <v/>
      </c>
      <c r="AK837" t="str">
        <f>IF(OR($B837="",NOT(ISNUMBER(N837))),"",IF(COUNTIF(O837:$T837,N837)&gt;0,0,IF(COUNTIF($G837:$T837,"&gt;"&amp;N837)=0,"",SMALL($G837:$T837,COUNTIF($G837:$T837,"&lt;="&amp;N837)+1)-N837)))</f>
        <v/>
      </c>
      <c r="AL837" t="str">
        <f>IF(OR($B837="",NOT(ISNUMBER(O837))),"",IF(COUNTIF(P837:$T837,O837)&gt;0,0,IF(COUNTIF($G837:$T837,"&gt;"&amp;O837)=0,"",SMALL($G837:$T837,COUNTIF($G837:$T837,"&lt;="&amp;O837)+1)-O837)))</f>
        <v/>
      </c>
      <c r="AM837" t="str">
        <f>IF(OR($B837="",NOT(ISNUMBER(P837))),"",IF(COUNTIF(Q837:$T837,P837)&gt;0,0,IF(COUNTIF($G837:$T837,"&gt;"&amp;P837)=0,"",SMALL($G837:$T837,COUNTIF($G837:$T837,"&lt;="&amp;P837)+1)-P837)))</f>
        <v/>
      </c>
      <c r="AN837" t="str">
        <f>IF(OR($B837="",NOT(ISNUMBER(Q837))),"",IF(COUNTIF(R837:$T837,Q837)&gt;0,0,IF(COUNTIF($G837:$T837,"&gt;"&amp;Q837)=0,"",SMALL($G837:$T837,COUNTIF($G837:$T837,"&lt;="&amp;Q837)+1)-Q837)))</f>
        <v/>
      </c>
      <c r="AO837" t="str">
        <f>IF(OR($B837="",NOT(ISNUMBER(R837))),"",IF(COUNTIF(S837:$T837,R837)&gt;0,0,IF(COUNTIF($G837:$T837,"&gt;"&amp;R837)=0,"",SMALL($G837:$T837,COUNTIF($G837:$T837,"&lt;="&amp;R837)+1)-R837)))</f>
        <v/>
      </c>
      <c r="AP837">
        <f t="shared" ca="1" si="224"/>
        <v>0</v>
      </c>
      <c r="AQ837" s="25" t="str">
        <f t="shared" si="225"/>
        <v/>
      </c>
      <c r="AR837" s="25" t="str">
        <f t="shared" si="226"/>
        <v/>
      </c>
      <c r="AS837" s="25" t="str">
        <f t="shared" si="227"/>
        <v/>
      </c>
      <c r="AT837" s="25" t="str">
        <f t="shared" si="228"/>
        <v/>
      </c>
      <c r="AU837" s="25" t="str">
        <f t="shared" si="229"/>
        <v/>
      </c>
      <c r="AV837" s="25" t="str">
        <f t="shared" si="230"/>
        <v/>
      </c>
      <c r="AW837" s="25" t="str">
        <f t="shared" si="231"/>
        <v/>
      </c>
      <c r="AX837" s="25" t="str">
        <f t="shared" si="232"/>
        <v/>
      </c>
      <c r="AY837" s="25" t="str">
        <f t="shared" si="233"/>
        <v/>
      </c>
      <c r="AZ837" s="25" t="str">
        <f t="shared" si="234"/>
        <v/>
      </c>
      <c r="BA837" s="25" t="str">
        <f t="shared" si="235"/>
        <v/>
      </c>
      <c r="BB837" s="25" t="str">
        <f t="shared" si="236"/>
        <v/>
      </c>
      <c r="BC837" s="25" t="str">
        <f t="shared" si="237"/>
        <v/>
      </c>
    </row>
    <row r="838" spans="1:55" x14ac:dyDescent="0.25">
      <c r="A838" s="19" t="str">
        <f t="shared" si="222"/>
        <v/>
      </c>
      <c r="B838" s="19"/>
      <c r="C838" s="20"/>
      <c r="D838" s="19" t="str">
        <f t="shared" si="221"/>
        <v/>
      </c>
      <c r="E838" s="19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19"/>
      <c r="U838" s="19"/>
      <c r="V838" s="20"/>
      <c r="W838" s="22"/>
      <c r="X838" s="21"/>
      <c r="Y838" s="21"/>
      <c r="Z838" s="23" t="str">
        <f>IF(B838="","",IF(S838&lt;&gt;"","Sevk Edildi",IF(AND(X838&lt;&gt;"",Y838=""),"Reworkte",IF(T838&lt;&gt;"","Kapandı"&amp;IF(COUNT(G838:R838)=0,""," – "&amp;LOOKUP(2,1/(G838:R838=MAX(G838:R838)),{"Tasarım","Ply Cutter","Üretim","Kalite (Üretim sonrası)","Talaşlı","Kalite (Talaşlı sonrası)","Montaj","Kalite (Montaj sonrası)","Boya","Kalite (Boya sonrası)","Yarı Mamül","KM"})),IF(COUNT(G838:R838)=0,"Başlamadı",LOOKUP(2,1/(G838:R838=MAX(G838:R838)),{"Tasarımda","Ply Cutter'da","Üretimde","Kalitede (Üretim sonrası)","Talaşlıda","Kalitede (Talaşlı sonrası)","Montajda","Kalitede (Montaj sonrası)","Boyada","Kalitede (Boya sonrası)","Yarı Mamülde","KM'de"}))))))</f>
        <v/>
      </c>
      <c r="AA838" s="24" t="str">
        <f t="shared" ca="1" si="223"/>
        <v/>
      </c>
      <c r="AB838" s="22"/>
      <c r="AD838" t="str">
        <f>IF(OR($B838="",NOT(ISNUMBER(G838))),"",IF(COUNTIF(H838:$T838,G838)&gt;0,0,IF(COUNTIF($G838:$T838,"&gt;"&amp;G838)=0,"",SMALL($G838:$T838,COUNTIF($G838:$T838,"&lt;="&amp;G838)+1)-G838)))</f>
        <v/>
      </c>
      <c r="AE838" t="str">
        <f>IF(OR($B838="",NOT(ISNUMBER(H838))),"",IF(COUNTIF(I838:$T838,H838)&gt;0,0,IF(COUNTIF($G838:$T838,"&gt;"&amp;H838)=0,"",SMALL($G838:$T838,COUNTIF($G838:$T838,"&lt;="&amp;H838)+1)-H838)))</f>
        <v/>
      </c>
      <c r="AF838" t="str">
        <f>IF(OR($B838="",NOT(ISNUMBER(I838))),"",IF(COUNTIF(J838:$T838,I838)&gt;0,0,IF(COUNTIF($G838:$T838,"&gt;"&amp;I838)=0,"",SMALL($G838:$T838,COUNTIF($G838:$T838,"&lt;="&amp;I838)+1)-I838)))</f>
        <v/>
      </c>
      <c r="AG838" t="str">
        <f>IF(OR($B838="",NOT(ISNUMBER(J838))),"",IF(COUNTIF(K838:$T838,J838)&gt;0,0,IF(COUNTIF($G838:$T838,"&gt;"&amp;J838)=0,"",SMALL($G838:$T838,COUNTIF($G838:$T838,"&lt;="&amp;J838)+1)-J838)))</f>
        <v/>
      </c>
      <c r="AH838" t="str">
        <f>IF(OR($B838="",NOT(ISNUMBER(K838))),"",IF(COUNTIF(L838:$T838,K838)&gt;0,0,IF(COUNTIF($G838:$T838,"&gt;"&amp;K838)=0,"",SMALL($G838:$T838,COUNTIF($G838:$T838,"&lt;="&amp;K838)+1)-K838)))</f>
        <v/>
      </c>
      <c r="AI838" t="str">
        <f>IF(OR($B838="",NOT(ISNUMBER(L838))),"",IF(COUNTIF(M838:$T838,L838)&gt;0,0,IF(COUNTIF($G838:$T838,"&gt;"&amp;L838)=0,"",SMALL($G838:$T838,COUNTIF($G838:$T838,"&lt;="&amp;L838)+1)-L838)))</f>
        <v/>
      </c>
      <c r="AJ838" t="str">
        <f>IF(OR($B838="",NOT(ISNUMBER(M838))),"",IF(COUNTIF(N838:$T838,M838)&gt;0,0,IF(COUNTIF($G838:$T838,"&gt;"&amp;M838)=0,"",SMALL($G838:$T838,COUNTIF($G838:$T838,"&lt;="&amp;M838)+1)-M838)))</f>
        <v/>
      </c>
      <c r="AK838" t="str">
        <f>IF(OR($B838="",NOT(ISNUMBER(N838))),"",IF(COUNTIF(O838:$T838,N838)&gt;0,0,IF(COUNTIF($G838:$T838,"&gt;"&amp;N838)=0,"",SMALL($G838:$T838,COUNTIF($G838:$T838,"&lt;="&amp;N838)+1)-N838)))</f>
        <v/>
      </c>
      <c r="AL838" t="str">
        <f>IF(OR($B838="",NOT(ISNUMBER(O838))),"",IF(COUNTIF(P838:$T838,O838)&gt;0,0,IF(COUNTIF($G838:$T838,"&gt;"&amp;O838)=0,"",SMALL($G838:$T838,COUNTIF($G838:$T838,"&lt;="&amp;O838)+1)-O838)))</f>
        <v/>
      </c>
      <c r="AM838" t="str">
        <f>IF(OR($B838="",NOT(ISNUMBER(P838))),"",IF(COUNTIF(Q838:$T838,P838)&gt;0,0,IF(COUNTIF($G838:$T838,"&gt;"&amp;P838)=0,"",SMALL($G838:$T838,COUNTIF($G838:$T838,"&lt;="&amp;P838)+1)-P838)))</f>
        <v/>
      </c>
      <c r="AN838" t="str">
        <f>IF(OR($B838="",NOT(ISNUMBER(Q838))),"",IF(COUNTIF(R838:$T838,Q838)&gt;0,0,IF(COUNTIF($G838:$T838,"&gt;"&amp;Q838)=0,"",SMALL($G838:$T838,COUNTIF($G838:$T838,"&lt;="&amp;Q838)+1)-Q838)))</f>
        <v/>
      </c>
      <c r="AO838" t="str">
        <f>IF(OR($B838="",NOT(ISNUMBER(R838))),"",IF(COUNTIF(S838:$T838,R838)&gt;0,0,IF(COUNTIF($G838:$T838,"&gt;"&amp;R838)=0,"",SMALL($G838:$T838,COUNTIF($G838:$T838,"&lt;="&amp;R838)+1)-R838)))</f>
        <v/>
      </c>
      <c r="AP838">
        <f t="shared" ca="1" si="224"/>
        <v>0</v>
      </c>
      <c r="AQ838" s="25" t="str">
        <f t="shared" si="225"/>
        <v/>
      </c>
      <c r="AR838" s="25" t="str">
        <f t="shared" si="226"/>
        <v/>
      </c>
      <c r="AS838" s="25" t="str">
        <f t="shared" si="227"/>
        <v/>
      </c>
      <c r="AT838" s="25" t="str">
        <f t="shared" si="228"/>
        <v/>
      </c>
      <c r="AU838" s="25" t="str">
        <f t="shared" si="229"/>
        <v/>
      </c>
      <c r="AV838" s="25" t="str">
        <f t="shared" si="230"/>
        <v/>
      </c>
      <c r="AW838" s="25" t="str">
        <f t="shared" si="231"/>
        <v/>
      </c>
      <c r="AX838" s="25" t="str">
        <f t="shared" si="232"/>
        <v/>
      </c>
      <c r="AY838" s="25" t="str">
        <f t="shared" si="233"/>
        <v/>
      </c>
      <c r="AZ838" s="25" t="str">
        <f t="shared" si="234"/>
        <v/>
      </c>
      <c r="BA838" s="25" t="str">
        <f t="shared" si="235"/>
        <v/>
      </c>
      <c r="BB838" s="25" t="str">
        <f t="shared" si="236"/>
        <v/>
      </c>
      <c r="BC838" s="25" t="str">
        <f t="shared" si="237"/>
        <v/>
      </c>
    </row>
    <row r="839" spans="1:55" x14ac:dyDescent="0.25">
      <c r="A839" s="19" t="str">
        <f t="shared" si="222"/>
        <v/>
      </c>
      <c r="B839" s="19"/>
      <c r="C839" s="20"/>
      <c r="D839" s="19" t="str">
        <f t="shared" si="221"/>
        <v/>
      </c>
      <c r="E839" s="19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19"/>
      <c r="U839" s="19"/>
      <c r="V839" s="20"/>
      <c r="W839" s="22"/>
      <c r="X839" s="21"/>
      <c r="Y839" s="21"/>
      <c r="Z839" s="23" t="str">
        <f>IF(B839="","",IF(S839&lt;&gt;"","Sevk Edildi",IF(AND(X839&lt;&gt;"",Y839=""),"Reworkte",IF(T839&lt;&gt;"","Kapandı"&amp;IF(COUNT(G839:R839)=0,""," – "&amp;LOOKUP(2,1/(G839:R839=MAX(G839:R839)),{"Tasarım","Ply Cutter","Üretim","Kalite (Üretim sonrası)","Talaşlı","Kalite (Talaşlı sonrası)","Montaj","Kalite (Montaj sonrası)","Boya","Kalite (Boya sonrası)","Yarı Mamül","KM"})),IF(COUNT(G839:R839)=0,"Başlamadı",LOOKUP(2,1/(G839:R839=MAX(G839:R839)),{"Tasarımda","Ply Cutter'da","Üretimde","Kalitede (Üretim sonrası)","Talaşlıda","Kalitede (Talaşlı sonrası)","Montajda","Kalitede (Montaj sonrası)","Boyada","Kalitede (Boya sonrası)","Yarı Mamülde","KM'de"}))))))</f>
        <v/>
      </c>
      <c r="AA839" s="24" t="str">
        <f t="shared" ca="1" si="223"/>
        <v/>
      </c>
      <c r="AB839" s="22"/>
      <c r="AD839" t="str">
        <f>IF(OR($B839="",NOT(ISNUMBER(G839))),"",IF(COUNTIF(H839:$T839,G839)&gt;0,0,IF(COUNTIF($G839:$T839,"&gt;"&amp;G839)=0,"",SMALL($G839:$T839,COUNTIF($G839:$T839,"&lt;="&amp;G839)+1)-G839)))</f>
        <v/>
      </c>
      <c r="AE839" t="str">
        <f>IF(OR($B839="",NOT(ISNUMBER(H839))),"",IF(COUNTIF(I839:$T839,H839)&gt;0,0,IF(COUNTIF($G839:$T839,"&gt;"&amp;H839)=0,"",SMALL($G839:$T839,COUNTIF($G839:$T839,"&lt;="&amp;H839)+1)-H839)))</f>
        <v/>
      </c>
      <c r="AF839" t="str">
        <f>IF(OR($B839="",NOT(ISNUMBER(I839))),"",IF(COUNTIF(J839:$T839,I839)&gt;0,0,IF(COUNTIF($G839:$T839,"&gt;"&amp;I839)=0,"",SMALL($G839:$T839,COUNTIF($G839:$T839,"&lt;="&amp;I839)+1)-I839)))</f>
        <v/>
      </c>
      <c r="AG839" t="str">
        <f>IF(OR($B839="",NOT(ISNUMBER(J839))),"",IF(COUNTIF(K839:$T839,J839)&gt;0,0,IF(COUNTIF($G839:$T839,"&gt;"&amp;J839)=0,"",SMALL($G839:$T839,COUNTIF($G839:$T839,"&lt;="&amp;J839)+1)-J839)))</f>
        <v/>
      </c>
      <c r="AH839" t="str">
        <f>IF(OR($B839="",NOT(ISNUMBER(K839))),"",IF(COUNTIF(L839:$T839,K839)&gt;0,0,IF(COUNTIF($G839:$T839,"&gt;"&amp;K839)=0,"",SMALL($G839:$T839,COUNTIF($G839:$T839,"&lt;="&amp;K839)+1)-K839)))</f>
        <v/>
      </c>
      <c r="AI839" t="str">
        <f>IF(OR($B839="",NOT(ISNUMBER(L839))),"",IF(COUNTIF(M839:$T839,L839)&gt;0,0,IF(COUNTIF($G839:$T839,"&gt;"&amp;L839)=0,"",SMALL($G839:$T839,COUNTIF($G839:$T839,"&lt;="&amp;L839)+1)-L839)))</f>
        <v/>
      </c>
      <c r="AJ839" t="str">
        <f>IF(OR($B839="",NOT(ISNUMBER(M839))),"",IF(COUNTIF(N839:$T839,M839)&gt;0,0,IF(COUNTIF($G839:$T839,"&gt;"&amp;M839)=0,"",SMALL($G839:$T839,COUNTIF($G839:$T839,"&lt;="&amp;M839)+1)-M839)))</f>
        <v/>
      </c>
      <c r="AK839" t="str">
        <f>IF(OR($B839="",NOT(ISNUMBER(N839))),"",IF(COUNTIF(O839:$T839,N839)&gt;0,0,IF(COUNTIF($G839:$T839,"&gt;"&amp;N839)=0,"",SMALL($G839:$T839,COUNTIF($G839:$T839,"&lt;="&amp;N839)+1)-N839)))</f>
        <v/>
      </c>
      <c r="AL839" t="str">
        <f>IF(OR($B839="",NOT(ISNUMBER(O839))),"",IF(COUNTIF(P839:$T839,O839)&gt;0,0,IF(COUNTIF($G839:$T839,"&gt;"&amp;O839)=0,"",SMALL($G839:$T839,COUNTIF($G839:$T839,"&lt;="&amp;O839)+1)-O839)))</f>
        <v/>
      </c>
      <c r="AM839" t="str">
        <f>IF(OR($B839="",NOT(ISNUMBER(P839))),"",IF(COUNTIF(Q839:$T839,P839)&gt;0,0,IF(COUNTIF($G839:$T839,"&gt;"&amp;P839)=0,"",SMALL($G839:$T839,COUNTIF($G839:$T839,"&lt;="&amp;P839)+1)-P839)))</f>
        <v/>
      </c>
      <c r="AN839" t="str">
        <f>IF(OR($B839="",NOT(ISNUMBER(Q839))),"",IF(COUNTIF(R839:$T839,Q839)&gt;0,0,IF(COUNTIF($G839:$T839,"&gt;"&amp;Q839)=0,"",SMALL($G839:$T839,COUNTIF($G839:$T839,"&lt;="&amp;Q839)+1)-Q839)))</f>
        <v/>
      </c>
      <c r="AO839" t="str">
        <f>IF(OR($B839="",NOT(ISNUMBER(R839))),"",IF(COUNTIF(S839:$T839,R839)&gt;0,0,IF(COUNTIF($G839:$T839,"&gt;"&amp;R839)=0,"",SMALL($G839:$T839,COUNTIF($G839:$T839,"&lt;="&amp;R839)+1)-R839)))</f>
        <v/>
      </c>
      <c r="AP839">
        <f t="shared" ca="1" si="224"/>
        <v>0</v>
      </c>
      <c r="AQ839" s="25" t="str">
        <f t="shared" si="225"/>
        <v/>
      </c>
      <c r="AR839" s="25" t="str">
        <f t="shared" si="226"/>
        <v/>
      </c>
      <c r="AS839" s="25" t="str">
        <f t="shared" si="227"/>
        <v/>
      </c>
      <c r="AT839" s="25" t="str">
        <f t="shared" si="228"/>
        <v/>
      </c>
      <c r="AU839" s="25" t="str">
        <f t="shared" si="229"/>
        <v/>
      </c>
      <c r="AV839" s="25" t="str">
        <f t="shared" si="230"/>
        <v/>
      </c>
      <c r="AW839" s="25" t="str">
        <f t="shared" si="231"/>
        <v/>
      </c>
      <c r="AX839" s="25" t="str">
        <f t="shared" si="232"/>
        <v/>
      </c>
      <c r="AY839" s="25" t="str">
        <f t="shared" si="233"/>
        <v/>
      </c>
      <c r="AZ839" s="25" t="str">
        <f t="shared" si="234"/>
        <v/>
      </c>
      <c r="BA839" s="25" t="str">
        <f t="shared" si="235"/>
        <v/>
      </c>
      <c r="BB839" s="25" t="str">
        <f t="shared" si="236"/>
        <v/>
      </c>
      <c r="BC839" s="25" t="str">
        <f t="shared" si="237"/>
        <v/>
      </c>
    </row>
    <row r="840" spans="1:55" x14ac:dyDescent="0.25">
      <c r="A840" s="19" t="str">
        <f t="shared" si="222"/>
        <v/>
      </c>
      <c r="B840" s="19"/>
      <c r="C840" s="20"/>
      <c r="D840" s="19" t="str">
        <f t="shared" si="221"/>
        <v/>
      </c>
      <c r="E840" s="19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19"/>
      <c r="U840" s="19"/>
      <c r="V840" s="20"/>
      <c r="W840" s="22"/>
      <c r="X840" s="21"/>
      <c r="Y840" s="21"/>
      <c r="Z840" s="23" t="str">
        <f>IF(B840="","",IF(S840&lt;&gt;"","Sevk Edildi",IF(AND(X840&lt;&gt;"",Y840=""),"Reworkte",IF(T840&lt;&gt;"","Kapandı"&amp;IF(COUNT(G840:R840)=0,""," – "&amp;LOOKUP(2,1/(G840:R840=MAX(G840:R840)),{"Tasarım","Ply Cutter","Üretim","Kalite (Üretim sonrası)","Talaşlı","Kalite (Talaşlı sonrası)","Montaj","Kalite (Montaj sonrası)","Boya","Kalite (Boya sonrası)","Yarı Mamül","KM"})),IF(COUNT(G840:R840)=0,"Başlamadı",LOOKUP(2,1/(G840:R840=MAX(G840:R840)),{"Tasarımda","Ply Cutter'da","Üretimde","Kalitede (Üretim sonrası)","Talaşlıda","Kalitede (Talaşlı sonrası)","Montajda","Kalitede (Montaj sonrası)","Boyada","Kalitede (Boya sonrası)","Yarı Mamülde","KM'de"}))))))</f>
        <v/>
      </c>
      <c r="AA840" s="24" t="str">
        <f t="shared" ca="1" si="223"/>
        <v/>
      </c>
      <c r="AB840" s="22"/>
      <c r="AD840" t="str">
        <f>IF(OR($B840="",NOT(ISNUMBER(G840))),"",IF(COUNTIF(H840:$T840,G840)&gt;0,0,IF(COUNTIF($G840:$T840,"&gt;"&amp;G840)=0,"",SMALL($G840:$T840,COUNTIF($G840:$T840,"&lt;="&amp;G840)+1)-G840)))</f>
        <v/>
      </c>
      <c r="AE840" t="str">
        <f>IF(OR($B840="",NOT(ISNUMBER(H840))),"",IF(COUNTIF(I840:$T840,H840)&gt;0,0,IF(COUNTIF($G840:$T840,"&gt;"&amp;H840)=0,"",SMALL($G840:$T840,COUNTIF($G840:$T840,"&lt;="&amp;H840)+1)-H840)))</f>
        <v/>
      </c>
      <c r="AF840" t="str">
        <f>IF(OR($B840="",NOT(ISNUMBER(I840))),"",IF(COUNTIF(J840:$T840,I840)&gt;0,0,IF(COUNTIF($G840:$T840,"&gt;"&amp;I840)=0,"",SMALL($G840:$T840,COUNTIF($G840:$T840,"&lt;="&amp;I840)+1)-I840)))</f>
        <v/>
      </c>
      <c r="AG840" t="str">
        <f>IF(OR($B840="",NOT(ISNUMBER(J840))),"",IF(COUNTIF(K840:$T840,J840)&gt;0,0,IF(COUNTIF($G840:$T840,"&gt;"&amp;J840)=0,"",SMALL($G840:$T840,COUNTIF($G840:$T840,"&lt;="&amp;J840)+1)-J840)))</f>
        <v/>
      </c>
      <c r="AH840" t="str">
        <f>IF(OR($B840="",NOT(ISNUMBER(K840))),"",IF(COUNTIF(L840:$T840,K840)&gt;0,0,IF(COUNTIF($G840:$T840,"&gt;"&amp;K840)=0,"",SMALL($G840:$T840,COUNTIF($G840:$T840,"&lt;="&amp;K840)+1)-K840)))</f>
        <v/>
      </c>
      <c r="AI840" t="str">
        <f>IF(OR($B840="",NOT(ISNUMBER(L840))),"",IF(COUNTIF(M840:$T840,L840)&gt;0,0,IF(COUNTIF($G840:$T840,"&gt;"&amp;L840)=0,"",SMALL($G840:$T840,COUNTIF($G840:$T840,"&lt;="&amp;L840)+1)-L840)))</f>
        <v/>
      </c>
      <c r="AJ840" t="str">
        <f>IF(OR($B840="",NOT(ISNUMBER(M840))),"",IF(COUNTIF(N840:$T840,M840)&gt;0,0,IF(COUNTIF($G840:$T840,"&gt;"&amp;M840)=0,"",SMALL($G840:$T840,COUNTIF($G840:$T840,"&lt;="&amp;M840)+1)-M840)))</f>
        <v/>
      </c>
      <c r="AK840" t="str">
        <f>IF(OR($B840="",NOT(ISNUMBER(N840))),"",IF(COUNTIF(O840:$T840,N840)&gt;0,0,IF(COUNTIF($G840:$T840,"&gt;"&amp;N840)=0,"",SMALL($G840:$T840,COUNTIF($G840:$T840,"&lt;="&amp;N840)+1)-N840)))</f>
        <v/>
      </c>
      <c r="AL840" t="str">
        <f>IF(OR($B840="",NOT(ISNUMBER(O840))),"",IF(COUNTIF(P840:$T840,O840)&gt;0,0,IF(COUNTIF($G840:$T840,"&gt;"&amp;O840)=0,"",SMALL($G840:$T840,COUNTIF($G840:$T840,"&lt;="&amp;O840)+1)-O840)))</f>
        <v/>
      </c>
      <c r="AM840" t="str">
        <f>IF(OR($B840="",NOT(ISNUMBER(P840))),"",IF(COUNTIF(Q840:$T840,P840)&gt;0,0,IF(COUNTIF($G840:$T840,"&gt;"&amp;P840)=0,"",SMALL($G840:$T840,COUNTIF($G840:$T840,"&lt;="&amp;P840)+1)-P840)))</f>
        <v/>
      </c>
      <c r="AN840" t="str">
        <f>IF(OR($B840="",NOT(ISNUMBER(Q840))),"",IF(COUNTIF(R840:$T840,Q840)&gt;0,0,IF(COUNTIF($G840:$T840,"&gt;"&amp;Q840)=0,"",SMALL($G840:$T840,COUNTIF($G840:$T840,"&lt;="&amp;Q840)+1)-Q840)))</f>
        <v/>
      </c>
      <c r="AO840" t="str">
        <f>IF(OR($B840="",NOT(ISNUMBER(R840))),"",IF(COUNTIF(S840:$T840,R840)&gt;0,0,IF(COUNTIF($G840:$T840,"&gt;"&amp;R840)=0,"",SMALL($G840:$T840,COUNTIF($G840:$T840,"&lt;="&amp;R840)+1)-R840)))</f>
        <v/>
      </c>
      <c r="AP840">
        <f t="shared" ca="1" si="224"/>
        <v>0</v>
      </c>
      <c r="AQ840" s="25" t="str">
        <f t="shared" si="225"/>
        <v/>
      </c>
      <c r="AR840" s="25" t="str">
        <f t="shared" si="226"/>
        <v/>
      </c>
      <c r="AS840" s="25" t="str">
        <f t="shared" si="227"/>
        <v/>
      </c>
      <c r="AT840" s="25" t="str">
        <f t="shared" si="228"/>
        <v/>
      </c>
      <c r="AU840" s="25" t="str">
        <f t="shared" si="229"/>
        <v/>
      </c>
      <c r="AV840" s="25" t="str">
        <f t="shared" si="230"/>
        <v/>
      </c>
      <c r="AW840" s="25" t="str">
        <f t="shared" si="231"/>
        <v/>
      </c>
      <c r="AX840" s="25" t="str">
        <f t="shared" si="232"/>
        <v/>
      </c>
      <c r="AY840" s="25" t="str">
        <f t="shared" si="233"/>
        <v/>
      </c>
      <c r="AZ840" s="25" t="str">
        <f t="shared" si="234"/>
        <v/>
      </c>
      <c r="BA840" s="25" t="str">
        <f t="shared" si="235"/>
        <v/>
      </c>
      <c r="BB840" s="25" t="str">
        <f t="shared" si="236"/>
        <v/>
      </c>
      <c r="BC840" s="25" t="str">
        <f t="shared" si="237"/>
        <v/>
      </c>
    </row>
    <row r="841" spans="1:55" x14ac:dyDescent="0.25">
      <c r="A841" s="19" t="str">
        <f t="shared" si="222"/>
        <v/>
      </c>
      <c r="B841" s="19"/>
      <c r="C841" s="20"/>
      <c r="D841" s="19" t="str">
        <f t="shared" si="221"/>
        <v/>
      </c>
      <c r="E841" s="19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19"/>
      <c r="U841" s="19"/>
      <c r="V841" s="20"/>
      <c r="W841" s="22"/>
      <c r="X841" s="21"/>
      <c r="Y841" s="21"/>
      <c r="Z841" s="23" t="str">
        <f>IF(B841="","",IF(S841&lt;&gt;"","Sevk Edildi",IF(AND(X841&lt;&gt;"",Y841=""),"Reworkte",IF(T841&lt;&gt;"","Kapandı"&amp;IF(COUNT(G841:R841)=0,""," – "&amp;LOOKUP(2,1/(G841:R841=MAX(G841:R841)),{"Tasarım","Ply Cutter","Üretim","Kalite (Üretim sonrası)","Talaşlı","Kalite (Talaşlı sonrası)","Montaj","Kalite (Montaj sonrası)","Boya","Kalite (Boya sonrası)","Yarı Mamül","KM"})),IF(COUNT(G841:R841)=0,"Başlamadı",LOOKUP(2,1/(G841:R841=MAX(G841:R841)),{"Tasarımda","Ply Cutter'da","Üretimde","Kalitede (Üretim sonrası)","Talaşlıda","Kalitede (Talaşlı sonrası)","Montajda","Kalitede (Montaj sonrası)","Boyada","Kalitede (Boya sonrası)","Yarı Mamülde","KM'de"}))))))</f>
        <v/>
      </c>
      <c r="AA841" s="24" t="str">
        <f t="shared" ca="1" si="223"/>
        <v/>
      </c>
      <c r="AB841" s="22"/>
      <c r="AD841" t="str">
        <f>IF(OR($B841="",NOT(ISNUMBER(G841))),"",IF(COUNTIF(H841:$T841,G841)&gt;0,0,IF(COUNTIF($G841:$T841,"&gt;"&amp;G841)=0,"",SMALL($G841:$T841,COUNTIF($G841:$T841,"&lt;="&amp;G841)+1)-G841)))</f>
        <v/>
      </c>
      <c r="AE841" t="str">
        <f>IF(OR($B841="",NOT(ISNUMBER(H841))),"",IF(COUNTIF(I841:$T841,H841)&gt;0,0,IF(COUNTIF($G841:$T841,"&gt;"&amp;H841)=0,"",SMALL($G841:$T841,COUNTIF($G841:$T841,"&lt;="&amp;H841)+1)-H841)))</f>
        <v/>
      </c>
      <c r="AF841" t="str">
        <f>IF(OR($B841="",NOT(ISNUMBER(I841))),"",IF(COUNTIF(J841:$T841,I841)&gt;0,0,IF(COUNTIF($G841:$T841,"&gt;"&amp;I841)=0,"",SMALL($G841:$T841,COUNTIF($G841:$T841,"&lt;="&amp;I841)+1)-I841)))</f>
        <v/>
      </c>
      <c r="AG841" t="str">
        <f>IF(OR($B841="",NOT(ISNUMBER(J841))),"",IF(COUNTIF(K841:$T841,J841)&gt;0,0,IF(COUNTIF($G841:$T841,"&gt;"&amp;J841)=0,"",SMALL($G841:$T841,COUNTIF($G841:$T841,"&lt;="&amp;J841)+1)-J841)))</f>
        <v/>
      </c>
      <c r="AH841" t="str">
        <f>IF(OR($B841="",NOT(ISNUMBER(K841))),"",IF(COUNTIF(L841:$T841,K841)&gt;0,0,IF(COUNTIF($G841:$T841,"&gt;"&amp;K841)=0,"",SMALL($G841:$T841,COUNTIF($G841:$T841,"&lt;="&amp;K841)+1)-K841)))</f>
        <v/>
      </c>
      <c r="AI841" t="str">
        <f>IF(OR($B841="",NOT(ISNUMBER(L841))),"",IF(COUNTIF(M841:$T841,L841)&gt;0,0,IF(COUNTIF($G841:$T841,"&gt;"&amp;L841)=0,"",SMALL($G841:$T841,COUNTIF($G841:$T841,"&lt;="&amp;L841)+1)-L841)))</f>
        <v/>
      </c>
      <c r="AJ841" t="str">
        <f>IF(OR($B841="",NOT(ISNUMBER(M841))),"",IF(COUNTIF(N841:$T841,M841)&gt;0,0,IF(COUNTIF($G841:$T841,"&gt;"&amp;M841)=0,"",SMALL($G841:$T841,COUNTIF($G841:$T841,"&lt;="&amp;M841)+1)-M841)))</f>
        <v/>
      </c>
      <c r="AK841" t="str">
        <f>IF(OR($B841="",NOT(ISNUMBER(N841))),"",IF(COUNTIF(O841:$T841,N841)&gt;0,0,IF(COUNTIF($G841:$T841,"&gt;"&amp;N841)=0,"",SMALL($G841:$T841,COUNTIF($G841:$T841,"&lt;="&amp;N841)+1)-N841)))</f>
        <v/>
      </c>
      <c r="AL841" t="str">
        <f>IF(OR($B841="",NOT(ISNUMBER(O841))),"",IF(COUNTIF(P841:$T841,O841)&gt;0,0,IF(COUNTIF($G841:$T841,"&gt;"&amp;O841)=0,"",SMALL($G841:$T841,COUNTIF($G841:$T841,"&lt;="&amp;O841)+1)-O841)))</f>
        <v/>
      </c>
      <c r="AM841" t="str">
        <f>IF(OR($B841="",NOT(ISNUMBER(P841))),"",IF(COUNTIF(Q841:$T841,P841)&gt;0,0,IF(COUNTIF($G841:$T841,"&gt;"&amp;P841)=0,"",SMALL($G841:$T841,COUNTIF($G841:$T841,"&lt;="&amp;P841)+1)-P841)))</f>
        <v/>
      </c>
      <c r="AN841" t="str">
        <f>IF(OR($B841="",NOT(ISNUMBER(Q841))),"",IF(COUNTIF(R841:$T841,Q841)&gt;0,0,IF(COUNTIF($G841:$T841,"&gt;"&amp;Q841)=0,"",SMALL($G841:$T841,COUNTIF($G841:$T841,"&lt;="&amp;Q841)+1)-Q841)))</f>
        <v/>
      </c>
      <c r="AO841" t="str">
        <f>IF(OR($B841="",NOT(ISNUMBER(R841))),"",IF(COUNTIF(S841:$T841,R841)&gt;0,0,IF(COUNTIF($G841:$T841,"&gt;"&amp;R841)=0,"",SMALL($G841:$T841,COUNTIF($G841:$T841,"&lt;="&amp;R841)+1)-R841)))</f>
        <v/>
      </c>
      <c r="AP841">
        <f t="shared" ca="1" si="224"/>
        <v>0</v>
      </c>
      <c r="AQ841" s="25" t="str">
        <f t="shared" si="225"/>
        <v/>
      </c>
      <c r="AR841" s="25" t="str">
        <f t="shared" si="226"/>
        <v/>
      </c>
      <c r="AS841" s="25" t="str">
        <f t="shared" si="227"/>
        <v/>
      </c>
      <c r="AT841" s="25" t="str">
        <f t="shared" si="228"/>
        <v/>
      </c>
      <c r="AU841" s="25" t="str">
        <f t="shared" si="229"/>
        <v/>
      </c>
      <c r="AV841" s="25" t="str">
        <f t="shared" si="230"/>
        <v/>
      </c>
      <c r="AW841" s="25" t="str">
        <f t="shared" si="231"/>
        <v/>
      </c>
      <c r="AX841" s="25" t="str">
        <f t="shared" si="232"/>
        <v/>
      </c>
      <c r="AY841" s="25" t="str">
        <f t="shared" si="233"/>
        <v/>
      </c>
      <c r="AZ841" s="25" t="str">
        <f t="shared" si="234"/>
        <v/>
      </c>
      <c r="BA841" s="25" t="str">
        <f t="shared" si="235"/>
        <v/>
      </c>
      <c r="BB841" s="25" t="str">
        <f t="shared" si="236"/>
        <v/>
      </c>
      <c r="BC841" s="25" t="str">
        <f t="shared" si="237"/>
        <v/>
      </c>
    </row>
    <row r="842" spans="1:55" x14ac:dyDescent="0.25">
      <c r="A842" s="19" t="str">
        <f t="shared" si="222"/>
        <v/>
      </c>
      <c r="B842" s="19"/>
      <c r="C842" s="20"/>
      <c r="D842" s="19" t="str">
        <f t="shared" si="221"/>
        <v/>
      </c>
      <c r="E842" s="19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19"/>
      <c r="U842" s="19"/>
      <c r="V842" s="20"/>
      <c r="W842" s="22"/>
      <c r="X842" s="21"/>
      <c r="Y842" s="21"/>
      <c r="Z842" s="23" t="str">
        <f>IF(B842="","",IF(S842&lt;&gt;"","Sevk Edildi",IF(AND(X842&lt;&gt;"",Y842=""),"Reworkte",IF(T842&lt;&gt;"","Kapandı"&amp;IF(COUNT(G842:R842)=0,""," – "&amp;LOOKUP(2,1/(G842:R842=MAX(G842:R842)),{"Tasarım","Ply Cutter","Üretim","Kalite (Üretim sonrası)","Talaşlı","Kalite (Talaşlı sonrası)","Montaj","Kalite (Montaj sonrası)","Boya","Kalite (Boya sonrası)","Yarı Mamül","KM"})),IF(COUNT(G842:R842)=0,"Başlamadı",LOOKUP(2,1/(G842:R842=MAX(G842:R842)),{"Tasarımda","Ply Cutter'da","Üretimde","Kalitede (Üretim sonrası)","Talaşlıda","Kalitede (Talaşlı sonrası)","Montajda","Kalitede (Montaj sonrası)","Boyada","Kalitede (Boya sonrası)","Yarı Mamülde","KM'de"}))))))</f>
        <v/>
      </c>
      <c r="AA842" s="24" t="str">
        <f t="shared" ca="1" si="223"/>
        <v/>
      </c>
      <c r="AB842" s="22"/>
      <c r="AD842" t="str">
        <f>IF(OR($B842="",NOT(ISNUMBER(G842))),"",IF(COUNTIF(H842:$T842,G842)&gt;0,0,IF(COUNTIF($G842:$T842,"&gt;"&amp;G842)=0,"",SMALL($G842:$T842,COUNTIF($G842:$T842,"&lt;="&amp;G842)+1)-G842)))</f>
        <v/>
      </c>
      <c r="AE842" t="str">
        <f>IF(OR($B842="",NOT(ISNUMBER(H842))),"",IF(COUNTIF(I842:$T842,H842)&gt;0,0,IF(COUNTIF($G842:$T842,"&gt;"&amp;H842)=0,"",SMALL($G842:$T842,COUNTIF($G842:$T842,"&lt;="&amp;H842)+1)-H842)))</f>
        <v/>
      </c>
      <c r="AF842" t="str">
        <f>IF(OR($B842="",NOT(ISNUMBER(I842))),"",IF(COUNTIF(J842:$T842,I842)&gt;0,0,IF(COUNTIF($G842:$T842,"&gt;"&amp;I842)=0,"",SMALL($G842:$T842,COUNTIF($G842:$T842,"&lt;="&amp;I842)+1)-I842)))</f>
        <v/>
      </c>
      <c r="AG842" t="str">
        <f>IF(OR($B842="",NOT(ISNUMBER(J842))),"",IF(COUNTIF(K842:$T842,J842)&gt;0,0,IF(COUNTIF($G842:$T842,"&gt;"&amp;J842)=0,"",SMALL($G842:$T842,COUNTIF($G842:$T842,"&lt;="&amp;J842)+1)-J842)))</f>
        <v/>
      </c>
      <c r="AH842" t="str">
        <f>IF(OR($B842="",NOT(ISNUMBER(K842))),"",IF(COUNTIF(L842:$T842,K842)&gt;0,0,IF(COUNTIF($G842:$T842,"&gt;"&amp;K842)=0,"",SMALL($G842:$T842,COUNTIF($G842:$T842,"&lt;="&amp;K842)+1)-K842)))</f>
        <v/>
      </c>
      <c r="AI842" t="str">
        <f>IF(OR($B842="",NOT(ISNUMBER(L842))),"",IF(COUNTIF(M842:$T842,L842)&gt;0,0,IF(COUNTIF($G842:$T842,"&gt;"&amp;L842)=0,"",SMALL($G842:$T842,COUNTIF($G842:$T842,"&lt;="&amp;L842)+1)-L842)))</f>
        <v/>
      </c>
      <c r="AJ842" t="str">
        <f>IF(OR($B842="",NOT(ISNUMBER(M842))),"",IF(COUNTIF(N842:$T842,M842)&gt;0,0,IF(COUNTIF($G842:$T842,"&gt;"&amp;M842)=0,"",SMALL($G842:$T842,COUNTIF($G842:$T842,"&lt;="&amp;M842)+1)-M842)))</f>
        <v/>
      </c>
      <c r="AK842" t="str">
        <f>IF(OR($B842="",NOT(ISNUMBER(N842))),"",IF(COUNTIF(O842:$T842,N842)&gt;0,0,IF(COUNTIF($G842:$T842,"&gt;"&amp;N842)=0,"",SMALL($G842:$T842,COUNTIF($G842:$T842,"&lt;="&amp;N842)+1)-N842)))</f>
        <v/>
      </c>
      <c r="AL842" t="str">
        <f>IF(OR($B842="",NOT(ISNUMBER(O842))),"",IF(COUNTIF(P842:$T842,O842)&gt;0,0,IF(COUNTIF($G842:$T842,"&gt;"&amp;O842)=0,"",SMALL($G842:$T842,COUNTIF($G842:$T842,"&lt;="&amp;O842)+1)-O842)))</f>
        <v/>
      </c>
      <c r="AM842" t="str">
        <f>IF(OR($B842="",NOT(ISNUMBER(P842))),"",IF(COUNTIF(Q842:$T842,P842)&gt;0,0,IF(COUNTIF($G842:$T842,"&gt;"&amp;P842)=0,"",SMALL($G842:$T842,COUNTIF($G842:$T842,"&lt;="&amp;P842)+1)-P842)))</f>
        <v/>
      </c>
      <c r="AN842" t="str">
        <f>IF(OR($B842="",NOT(ISNUMBER(Q842))),"",IF(COUNTIF(R842:$T842,Q842)&gt;0,0,IF(COUNTIF($G842:$T842,"&gt;"&amp;Q842)=0,"",SMALL($G842:$T842,COUNTIF($G842:$T842,"&lt;="&amp;Q842)+1)-Q842)))</f>
        <v/>
      </c>
      <c r="AO842" t="str">
        <f>IF(OR($B842="",NOT(ISNUMBER(R842))),"",IF(COUNTIF(S842:$T842,R842)&gt;0,0,IF(COUNTIF($G842:$T842,"&gt;"&amp;R842)=0,"",SMALL($G842:$T842,COUNTIF($G842:$T842,"&lt;="&amp;R842)+1)-R842)))</f>
        <v/>
      </c>
      <c r="AP842">
        <f t="shared" ca="1" si="224"/>
        <v>0</v>
      </c>
      <c r="AQ842" s="25" t="str">
        <f t="shared" si="225"/>
        <v/>
      </c>
      <c r="AR842" s="25" t="str">
        <f t="shared" si="226"/>
        <v/>
      </c>
      <c r="AS842" s="25" t="str">
        <f t="shared" si="227"/>
        <v/>
      </c>
      <c r="AT842" s="25" t="str">
        <f t="shared" si="228"/>
        <v/>
      </c>
      <c r="AU842" s="25" t="str">
        <f t="shared" si="229"/>
        <v/>
      </c>
      <c r="AV842" s="25" t="str">
        <f t="shared" si="230"/>
        <v/>
      </c>
      <c r="AW842" s="25" t="str">
        <f t="shared" si="231"/>
        <v/>
      </c>
      <c r="AX842" s="25" t="str">
        <f t="shared" si="232"/>
        <v/>
      </c>
      <c r="AY842" s="25" t="str">
        <f t="shared" si="233"/>
        <v/>
      </c>
      <c r="AZ842" s="25" t="str">
        <f t="shared" si="234"/>
        <v/>
      </c>
      <c r="BA842" s="25" t="str">
        <f t="shared" si="235"/>
        <v/>
      </c>
      <c r="BB842" s="25" t="str">
        <f t="shared" si="236"/>
        <v/>
      </c>
      <c r="BC842" s="25" t="str">
        <f t="shared" si="237"/>
        <v/>
      </c>
    </row>
    <row r="843" spans="1:55" x14ac:dyDescent="0.25">
      <c r="A843" s="19" t="str">
        <f t="shared" si="222"/>
        <v/>
      </c>
      <c r="B843" s="19"/>
      <c r="C843" s="20"/>
      <c r="D843" s="19" t="str">
        <f t="shared" si="221"/>
        <v/>
      </c>
      <c r="E843" s="19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19"/>
      <c r="U843" s="19"/>
      <c r="V843" s="20"/>
      <c r="W843" s="22"/>
      <c r="X843" s="21"/>
      <c r="Y843" s="21"/>
      <c r="Z843" s="23" t="str">
        <f>IF(B843="","",IF(S843&lt;&gt;"","Sevk Edildi",IF(AND(X843&lt;&gt;"",Y843=""),"Reworkte",IF(T843&lt;&gt;"","Kapandı"&amp;IF(COUNT(G843:R843)=0,""," – "&amp;LOOKUP(2,1/(G843:R843=MAX(G843:R843)),{"Tasarım","Ply Cutter","Üretim","Kalite (Üretim sonrası)","Talaşlı","Kalite (Talaşlı sonrası)","Montaj","Kalite (Montaj sonrası)","Boya","Kalite (Boya sonrası)","Yarı Mamül","KM"})),IF(COUNT(G843:R843)=0,"Başlamadı",LOOKUP(2,1/(G843:R843=MAX(G843:R843)),{"Tasarımda","Ply Cutter'da","Üretimde","Kalitede (Üretim sonrası)","Talaşlıda","Kalitede (Talaşlı sonrası)","Montajda","Kalitede (Montaj sonrası)","Boyada","Kalitede (Boya sonrası)","Yarı Mamülde","KM'de"}))))))</f>
        <v/>
      </c>
      <c r="AA843" s="24" t="str">
        <f t="shared" ca="1" si="223"/>
        <v/>
      </c>
      <c r="AB843" s="22"/>
      <c r="AD843" t="str">
        <f>IF(OR($B843="",NOT(ISNUMBER(G843))),"",IF(COUNTIF(H843:$T843,G843)&gt;0,0,IF(COUNTIF($G843:$T843,"&gt;"&amp;G843)=0,"",SMALL($G843:$T843,COUNTIF($G843:$T843,"&lt;="&amp;G843)+1)-G843)))</f>
        <v/>
      </c>
      <c r="AE843" t="str">
        <f>IF(OR($B843="",NOT(ISNUMBER(H843))),"",IF(COUNTIF(I843:$T843,H843)&gt;0,0,IF(COUNTIF($G843:$T843,"&gt;"&amp;H843)=0,"",SMALL($G843:$T843,COUNTIF($G843:$T843,"&lt;="&amp;H843)+1)-H843)))</f>
        <v/>
      </c>
      <c r="AF843" t="str">
        <f>IF(OR($B843="",NOT(ISNUMBER(I843))),"",IF(COUNTIF(J843:$T843,I843)&gt;0,0,IF(COUNTIF($G843:$T843,"&gt;"&amp;I843)=0,"",SMALL($G843:$T843,COUNTIF($G843:$T843,"&lt;="&amp;I843)+1)-I843)))</f>
        <v/>
      </c>
      <c r="AG843" t="str">
        <f>IF(OR($B843="",NOT(ISNUMBER(J843))),"",IF(COUNTIF(K843:$T843,J843)&gt;0,0,IF(COUNTIF($G843:$T843,"&gt;"&amp;J843)=0,"",SMALL($G843:$T843,COUNTIF($G843:$T843,"&lt;="&amp;J843)+1)-J843)))</f>
        <v/>
      </c>
      <c r="AH843" t="str">
        <f>IF(OR($B843="",NOT(ISNUMBER(K843))),"",IF(COUNTIF(L843:$T843,K843)&gt;0,0,IF(COUNTIF($G843:$T843,"&gt;"&amp;K843)=0,"",SMALL($G843:$T843,COUNTIF($G843:$T843,"&lt;="&amp;K843)+1)-K843)))</f>
        <v/>
      </c>
      <c r="AI843" t="str">
        <f>IF(OR($B843="",NOT(ISNUMBER(L843))),"",IF(COUNTIF(M843:$T843,L843)&gt;0,0,IF(COUNTIF($G843:$T843,"&gt;"&amp;L843)=0,"",SMALL($G843:$T843,COUNTIF($G843:$T843,"&lt;="&amp;L843)+1)-L843)))</f>
        <v/>
      </c>
      <c r="AJ843" t="str">
        <f>IF(OR($B843="",NOT(ISNUMBER(M843))),"",IF(COUNTIF(N843:$T843,M843)&gt;0,0,IF(COUNTIF($G843:$T843,"&gt;"&amp;M843)=0,"",SMALL($G843:$T843,COUNTIF($G843:$T843,"&lt;="&amp;M843)+1)-M843)))</f>
        <v/>
      </c>
      <c r="AK843" t="str">
        <f>IF(OR($B843="",NOT(ISNUMBER(N843))),"",IF(COUNTIF(O843:$T843,N843)&gt;0,0,IF(COUNTIF($G843:$T843,"&gt;"&amp;N843)=0,"",SMALL($G843:$T843,COUNTIF($G843:$T843,"&lt;="&amp;N843)+1)-N843)))</f>
        <v/>
      </c>
      <c r="AL843" t="str">
        <f>IF(OR($B843="",NOT(ISNUMBER(O843))),"",IF(COUNTIF(P843:$T843,O843)&gt;0,0,IF(COUNTIF($G843:$T843,"&gt;"&amp;O843)=0,"",SMALL($G843:$T843,COUNTIF($G843:$T843,"&lt;="&amp;O843)+1)-O843)))</f>
        <v/>
      </c>
      <c r="AM843" t="str">
        <f>IF(OR($B843="",NOT(ISNUMBER(P843))),"",IF(COUNTIF(Q843:$T843,P843)&gt;0,0,IF(COUNTIF($G843:$T843,"&gt;"&amp;P843)=0,"",SMALL($G843:$T843,COUNTIF($G843:$T843,"&lt;="&amp;P843)+1)-P843)))</f>
        <v/>
      </c>
      <c r="AN843" t="str">
        <f>IF(OR($B843="",NOT(ISNUMBER(Q843))),"",IF(COUNTIF(R843:$T843,Q843)&gt;0,0,IF(COUNTIF($G843:$T843,"&gt;"&amp;Q843)=0,"",SMALL($G843:$T843,COUNTIF($G843:$T843,"&lt;="&amp;Q843)+1)-Q843)))</f>
        <v/>
      </c>
      <c r="AO843" t="str">
        <f>IF(OR($B843="",NOT(ISNUMBER(R843))),"",IF(COUNTIF(S843:$T843,R843)&gt;0,0,IF(COUNTIF($G843:$T843,"&gt;"&amp;R843)=0,"",SMALL($G843:$T843,COUNTIF($G843:$T843,"&lt;="&amp;R843)+1)-R843)))</f>
        <v/>
      </c>
      <c r="AP843">
        <f t="shared" ca="1" si="224"/>
        <v>0</v>
      </c>
      <c r="AQ843" s="25" t="str">
        <f t="shared" si="225"/>
        <v/>
      </c>
      <c r="AR843" s="25" t="str">
        <f t="shared" si="226"/>
        <v/>
      </c>
      <c r="AS843" s="25" t="str">
        <f t="shared" si="227"/>
        <v/>
      </c>
      <c r="AT843" s="25" t="str">
        <f t="shared" si="228"/>
        <v/>
      </c>
      <c r="AU843" s="25" t="str">
        <f t="shared" si="229"/>
        <v/>
      </c>
      <c r="AV843" s="25" t="str">
        <f t="shared" si="230"/>
        <v/>
      </c>
      <c r="AW843" s="25" t="str">
        <f t="shared" si="231"/>
        <v/>
      </c>
      <c r="AX843" s="25" t="str">
        <f t="shared" si="232"/>
        <v/>
      </c>
      <c r="AY843" s="25" t="str">
        <f t="shared" si="233"/>
        <v/>
      </c>
      <c r="AZ843" s="25" t="str">
        <f t="shared" si="234"/>
        <v/>
      </c>
      <c r="BA843" s="25" t="str">
        <f t="shared" si="235"/>
        <v/>
      </c>
      <c r="BB843" s="25" t="str">
        <f t="shared" si="236"/>
        <v/>
      </c>
      <c r="BC843" s="25" t="str">
        <f t="shared" si="237"/>
        <v/>
      </c>
    </row>
    <row r="844" spans="1:55" x14ac:dyDescent="0.25">
      <c r="A844" s="19" t="str">
        <f t="shared" si="222"/>
        <v/>
      </c>
      <c r="B844" s="19"/>
      <c r="C844" s="20"/>
      <c r="D844" s="19" t="str">
        <f t="shared" si="221"/>
        <v/>
      </c>
      <c r="E844" s="19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19"/>
      <c r="U844" s="19"/>
      <c r="V844" s="20"/>
      <c r="W844" s="22"/>
      <c r="X844" s="21"/>
      <c r="Y844" s="21"/>
      <c r="Z844" s="23" t="str">
        <f>IF(B844="","",IF(S844&lt;&gt;"","Sevk Edildi",IF(AND(X844&lt;&gt;"",Y844=""),"Reworkte",IF(T844&lt;&gt;"","Kapandı"&amp;IF(COUNT(G844:R844)=0,""," – "&amp;LOOKUP(2,1/(G844:R844=MAX(G844:R844)),{"Tasarım","Ply Cutter","Üretim","Kalite (Üretim sonrası)","Talaşlı","Kalite (Talaşlı sonrası)","Montaj","Kalite (Montaj sonrası)","Boya","Kalite (Boya sonrası)","Yarı Mamül","KM"})),IF(COUNT(G844:R844)=0,"Başlamadı",LOOKUP(2,1/(G844:R844=MAX(G844:R844)),{"Tasarımda","Ply Cutter'da","Üretimde","Kalitede (Üretim sonrası)","Talaşlıda","Kalitede (Talaşlı sonrası)","Montajda","Kalitede (Montaj sonrası)","Boyada","Kalitede (Boya sonrası)","Yarı Mamülde","KM'de"}))))))</f>
        <v/>
      </c>
      <c r="AA844" s="24" t="str">
        <f t="shared" ca="1" si="223"/>
        <v/>
      </c>
      <c r="AB844" s="22"/>
      <c r="AD844" t="str">
        <f>IF(OR($B844="",NOT(ISNUMBER(G844))),"",IF(COUNTIF(H844:$T844,G844)&gt;0,0,IF(COUNTIF($G844:$T844,"&gt;"&amp;G844)=0,"",SMALL($G844:$T844,COUNTIF($G844:$T844,"&lt;="&amp;G844)+1)-G844)))</f>
        <v/>
      </c>
      <c r="AE844" t="str">
        <f>IF(OR($B844="",NOT(ISNUMBER(H844))),"",IF(COUNTIF(I844:$T844,H844)&gt;0,0,IF(COUNTIF($G844:$T844,"&gt;"&amp;H844)=0,"",SMALL($G844:$T844,COUNTIF($G844:$T844,"&lt;="&amp;H844)+1)-H844)))</f>
        <v/>
      </c>
      <c r="AF844" t="str">
        <f>IF(OR($B844="",NOT(ISNUMBER(I844))),"",IF(COUNTIF(J844:$T844,I844)&gt;0,0,IF(COUNTIF($G844:$T844,"&gt;"&amp;I844)=0,"",SMALL($G844:$T844,COUNTIF($G844:$T844,"&lt;="&amp;I844)+1)-I844)))</f>
        <v/>
      </c>
      <c r="AG844" t="str">
        <f>IF(OR($B844="",NOT(ISNUMBER(J844))),"",IF(COUNTIF(K844:$T844,J844)&gt;0,0,IF(COUNTIF($G844:$T844,"&gt;"&amp;J844)=0,"",SMALL($G844:$T844,COUNTIF($G844:$T844,"&lt;="&amp;J844)+1)-J844)))</f>
        <v/>
      </c>
      <c r="AH844" t="str">
        <f>IF(OR($B844="",NOT(ISNUMBER(K844))),"",IF(COUNTIF(L844:$T844,K844)&gt;0,0,IF(COUNTIF($G844:$T844,"&gt;"&amp;K844)=0,"",SMALL($G844:$T844,COUNTIF($G844:$T844,"&lt;="&amp;K844)+1)-K844)))</f>
        <v/>
      </c>
      <c r="AI844" t="str">
        <f>IF(OR($B844="",NOT(ISNUMBER(L844))),"",IF(COUNTIF(M844:$T844,L844)&gt;0,0,IF(COUNTIF($G844:$T844,"&gt;"&amp;L844)=0,"",SMALL($G844:$T844,COUNTIF($G844:$T844,"&lt;="&amp;L844)+1)-L844)))</f>
        <v/>
      </c>
      <c r="AJ844" t="str">
        <f>IF(OR($B844="",NOT(ISNUMBER(M844))),"",IF(COUNTIF(N844:$T844,M844)&gt;0,0,IF(COUNTIF($G844:$T844,"&gt;"&amp;M844)=0,"",SMALL($G844:$T844,COUNTIF($G844:$T844,"&lt;="&amp;M844)+1)-M844)))</f>
        <v/>
      </c>
      <c r="AK844" t="str">
        <f>IF(OR($B844="",NOT(ISNUMBER(N844))),"",IF(COUNTIF(O844:$T844,N844)&gt;0,0,IF(COUNTIF($G844:$T844,"&gt;"&amp;N844)=0,"",SMALL($G844:$T844,COUNTIF($G844:$T844,"&lt;="&amp;N844)+1)-N844)))</f>
        <v/>
      </c>
      <c r="AL844" t="str">
        <f>IF(OR($B844="",NOT(ISNUMBER(O844))),"",IF(COUNTIF(P844:$T844,O844)&gt;0,0,IF(COUNTIF($G844:$T844,"&gt;"&amp;O844)=0,"",SMALL($G844:$T844,COUNTIF($G844:$T844,"&lt;="&amp;O844)+1)-O844)))</f>
        <v/>
      </c>
      <c r="AM844" t="str">
        <f>IF(OR($B844="",NOT(ISNUMBER(P844))),"",IF(COUNTIF(Q844:$T844,P844)&gt;0,0,IF(COUNTIF($G844:$T844,"&gt;"&amp;P844)=0,"",SMALL($G844:$T844,COUNTIF($G844:$T844,"&lt;="&amp;P844)+1)-P844)))</f>
        <v/>
      </c>
      <c r="AN844" t="str">
        <f>IF(OR($B844="",NOT(ISNUMBER(Q844))),"",IF(COUNTIF(R844:$T844,Q844)&gt;0,0,IF(COUNTIF($G844:$T844,"&gt;"&amp;Q844)=0,"",SMALL($G844:$T844,COUNTIF($G844:$T844,"&lt;="&amp;Q844)+1)-Q844)))</f>
        <v/>
      </c>
      <c r="AO844" t="str">
        <f>IF(OR($B844="",NOT(ISNUMBER(R844))),"",IF(COUNTIF(S844:$T844,R844)&gt;0,0,IF(COUNTIF($G844:$T844,"&gt;"&amp;R844)=0,"",SMALL($G844:$T844,COUNTIF($G844:$T844,"&lt;="&amp;R844)+1)-R844)))</f>
        <v/>
      </c>
      <c r="AP844">
        <f t="shared" ca="1" si="224"/>
        <v>0</v>
      </c>
      <c r="AQ844" s="25" t="str">
        <f t="shared" si="225"/>
        <v/>
      </c>
      <c r="AR844" s="25" t="str">
        <f t="shared" si="226"/>
        <v/>
      </c>
      <c r="AS844" s="25" t="str">
        <f t="shared" si="227"/>
        <v/>
      </c>
      <c r="AT844" s="25" t="str">
        <f t="shared" si="228"/>
        <v/>
      </c>
      <c r="AU844" s="25" t="str">
        <f t="shared" si="229"/>
        <v/>
      </c>
      <c r="AV844" s="25" t="str">
        <f t="shared" si="230"/>
        <v/>
      </c>
      <c r="AW844" s="25" t="str">
        <f t="shared" si="231"/>
        <v/>
      </c>
      <c r="AX844" s="25" t="str">
        <f t="shared" si="232"/>
        <v/>
      </c>
      <c r="AY844" s="25" t="str">
        <f t="shared" si="233"/>
        <v/>
      </c>
      <c r="AZ844" s="25" t="str">
        <f t="shared" si="234"/>
        <v/>
      </c>
      <c r="BA844" s="25" t="str">
        <f t="shared" si="235"/>
        <v/>
      </c>
      <c r="BB844" s="25" t="str">
        <f t="shared" si="236"/>
        <v/>
      </c>
      <c r="BC844" s="25" t="str">
        <f t="shared" si="237"/>
        <v/>
      </c>
    </row>
    <row r="845" spans="1:55" x14ac:dyDescent="0.25">
      <c r="A845" s="19" t="str">
        <f t="shared" si="222"/>
        <v/>
      </c>
      <c r="B845" s="19"/>
      <c r="C845" s="20"/>
      <c r="D845" s="19" t="str">
        <f t="shared" si="221"/>
        <v/>
      </c>
      <c r="E845" s="19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19"/>
      <c r="U845" s="19"/>
      <c r="V845" s="20"/>
      <c r="W845" s="22"/>
      <c r="X845" s="21"/>
      <c r="Y845" s="21"/>
      <c r="Z845" s="23" t="str">
        <f>IF(B845="","",IF(S845&lt;&gt;"","Sevk Edildi",IF(AND(X845&lt;&gt;"",Y845=""),"Reworkte",IF(T845&lt;&gt;"","Kapandı"&amp;IF(COUNT(G845:R845)=0,""," – "&amp;LOOKUP(2,1/(G845:R845=MAX(G845:R845)),{"Tasarım","Ply Cutter","Üretim","Kalite (Üretim sonrası)","Talaşlı","Kalite (Talaşlı sonrası)","Montaj","Kalite (Montaj sonrası)","Boya","Kalite (Boya sonrası)","Yarı Mamül","KM"})),IF(COUNT(G845:R845)=0,"Başlamadı",LOOKUP(2,1/(G845:R845=MAX(G845:R845)),{"Tasarımda","Ply Cutter'da","Üretimde","Kalitede (Üretim sonrası)","Talaşlıda","Kalitede (Talaşlı sonrası)","Montajda","Kalitede (Montaj sonrası)","Boyada","Kalitede (Boya sonrası)","Yarı Mamülde","KM'de"}))))))</f>
        <v/>
      </c>
      <c r="AA845" s="24" t="str">
        <f t="shared" ca="1" si="223"/>
        <v/>
      </c>
      <c r="AB845" s="22"/>
      <c r="AD845" t="str">
        <f>IF(OR($B845="",NOT(ISNUMBER(G845))),"",IF(COUNTIF(H845:$T845,G845)&gt;0,0,IF(COUNTIF($G845:$T845,"&gt;"&amp;G845)=0,"",SMALL($G845:$T845,COUNTIF($G845:$T845,"&lt;="&amp;G845)+1)-G845)))</f>
        <v/>
      </c>
      <c r="AE845" t="str">
        <f>IF(OR($B845="",NOT(ISNUMBER(H845))),"",IF(COUNTIF(I845:$T845,H845)&gt;0,0,IF(COUNTIF($G845:$T845,"&gt;"&amp;H845)=0,"",SMALL($G845:$T845,COUNTIF($G845:$T845,"&lt;="&amp;H845)+1)-H845)))</f>
        <v/>
      </c>
      <c r="AF845" t="str">
        <f>IF(OR($B845="",NOT(ISNUMBER(I845))),"",IF(COUNTIF(J845:$T845,I845)&gt;0,0,IF(COUNTIF($G845:$T845,"&gt;"&amp;I845)=0,"",SMALL($G845:$T845,COUNTIF($G845:$T845,"&lt;="&amp;I845)+1)-I845)))</f>
        <v/>
      </c>
      <c r="AG845" t="str">
        <f>IF(OR($B845="",NOT(ISNUMBER(J845))),"",IF(COUNTIF(K845:$T845,J845)&gt;0,0,IF(COUNTIF($G845:$T845,"&gt;"&amp;J845)=0,"",SMALL($G845:$T845,COUNTIF($G845:$T845,"&lt;="&amp;J845)+1)-J845)))</f>
        <v/>
      </c>
      <c r="AH845" t="str">
        <f>IF(OR($B845="",NOT(ISNUMBER(K845))),"",IF(COUNTIF(L845:$T845,K845)&gt;0,0,IF(COUNTIF($G845:$T845,"&gt;"&amp;K845)=0,"",SMALL($G845:$T845,COUNTIF($G845:$T845,"&lt;="&amp;K845)+1)-K845)))</f>
        <v/>
      </c>
      <c r="AI845" t="str">
        <f>IF(OR($B845="",NOT(ISNUMBER(L845))),"",IF(COUNTIF(M845:$T845,L845)&gt;0,0,IF(COUNTIF($G845:$T845,"&gt;"&amp;L845)=0,"",SMALL($G845:$T845,COUNTIF($G845:$T845,"&lt;="&amp;L845)+1)-L845)))</f>
        <v/>
      </c>
      <c r="AJ845" t="str">
        <f>IF(OR($B845="",NOT(ISNUMBER(M845))),"",IF(COUNTIF(N845:$T845,M845)&gt;0,0,IF(COUNTIF($G845:$T845,"&gt;"&amp;M845)=0,"",SMALL($G845:$T845,COUNTIF($G845:$T845,"&lt;="&amp;M845)+1)-M845)))</f>
        <v/>
      </c>
      <c r="AK845" t="str">
        <f>IF(OR($B845="",NOT(ISNUMBER(N845))),"",IF(COUNTIF(O845:$T845,N845)&gt;0,0,IF(COUNTIF($G845:$T845,"&gt;"&amp;N845)=0,"",SMALL($G845:$T845,COUNTIF($G845:$T845,"&lt;="&amp;N845)+1)-N845)))</f>
        <v/>
      </c>
      <c r="AL845" t="str">
        <f>IF(OR($B845="",NOT(ISNUMBER(O845))),"",IF(COUNTIF(P845:$T845,O845)&gt;0,0,IF(COUNTIF($G845:$T845,"&gt;"&amp;O845)=0,"",SMALL($G845:$T845,COUNTIF($G845:$T845,"&lt;="&amp;O845)+1)-O845)))</f>
        <v/>
      </c>
      <c r="AM845" t="str">
        <f>IF(OR($B845="",NOT(ISNUMBER(P845))),"",IF(COUNTIF(Q845:$T845,P845)&gt;0,0,IF(COUNTIF($G845:$T845,"&gt;"&amp;P845)=0,"",SMALL($G845:$T845,COUNTIF($G845:$T845,"&lt;="&amp;P845)+1)-P845)))</f>
        <v/>
      </c>
      <c r="AN845" t="str">
        <f>IF(OR($B845="",NOT(ISNUMBER(Q845))),"",IF(COUNTIF(R845:$T845,Q845)&gt;0,0,IF(COUNTIF($G845:$T845,"&gt;"&amp;Q845)=0,"",SMALL($G845:$T845,COUNTIF($G845:$T845,"&lt;="&amp;Q845)+1)-Q845)))</f>
        <v/>
      </c>
      <c r="AO845" t="str">
        <f>IF(OR($B845="",NOT(ISNUMBER(R845))),"",IF(COUNTIF(S845:$T845,R845)&gt;0,0,IF(COUNTIF($G845:$T845,"&gt;"&amp;R845)=0,"",SMALL($G845:$T845,COUNTIF($G845:$T845,"&lt;="&amp;R845)+1)-R845)))</f>
        <v/>
      </c>
      <c r="AP845">
        <f t="shared" ca="1" si="224"/>
        <v>0</v>
      </c>
      <c r="AQ845" s="25" t="str">
        <f t="shared" si="225"/>
        <v/>
      </c>
      <c r="AR845" s="25" t="str">
        <f t="shared" si="226"/>
        <v/>
      </c>
      <c r="AS845" s="25" t="str">
        <f t="shared" si="227"/>
        <v/>
      </c>
      <c r="AT845" s="25" t="str">
        <f t="shared" si="228"/>
        <v/>
      </c>
      <c r="AU845" s="25" t="str">
        <f t="shared" si="229"/>
        <v/>
      </c>
      <c r="AV845" s="25" t="str">
        <f t="shared" si="230"/>
        <v/>
      </c>
      <c r="AW845" s="25" t="str">
        <f t="shared" si="231"/>
        <v/>
      </c>
      <c r="AX845" s="25" t="str">
        <f t="shared" si="232"/>
        <v/>
      </c>
      <c r="AY845" s="25" t="str">
        <f t="shared" si="233"/>
        <v/>
      </c>
      <c r="AZ845" s="25" t="str">
        <f t="shared" si="234"/>
        <v/>
      </c>
      <c r="BA845" s="25" t="str">
        <f t="shared" si="235"/>
        <v/>
      </c>
      <c r="BB845" s="25" t="str">
        <f t="shared" si="236"/>
        <v/>
      </c>
      <c r="BC845" s="25" t="str">
        <f t="shared" si="237"/>
        <v/>
      </c>
    </row>
    <row r="846" spans="1:55" x14ac:dyDescent="0.25">
      <c r="A846" s="19" t="str">
        <f t="shared" si="222"/>
        <v/>
      </c>
      <c r="B846" s="19"/>
      <c r="C846" s="20"/>
      <c r="D846" s="19" t="str">
        <f t="shared" si="221"/>
        <v/>
      </c>
      <c r="E846" s="19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19"/>
      <c r="U846" s="19"/>
      <c r="V846" s="20"/>
      <c r="W846" s="22"/>
      <c r="X846" s="21"/>
      <c r="Y846" s="21"/>
      <c r="Z846" s="23" t="str">
        <f>IF(B846="","",IF(S846&lt;&gt;"","Sevk Edildi",IF(AND(X846&lt;&gt;"",Y846=""),"Reworkte",IF(T846&lt;&gt;"","Kapandı"&amp;IF(COUNT(G846:R846)=0,""," – "&amp;LOOKUP(2,1/(G846:R846=MAX(G846:R846)),{"Tasarım","Ply Cutter","Üretim","Kalite (Üretim sonrası)","Talaşlı","Kalite (Talaşlı sonrası)","Montaj","Kalite (Montaj sonrası)","Boya","Kalite (Boya sonrası)","Yarı Mamül","KM"})),IF(COUNT(G846:R846)=0,"Başlamadı",LOOKUP(2,1/(G846:R846=MAX(G846:R846)),{"Tasarımda","Ply Cutter'da","Üretimde","Kalitede (Üretim sonrası)","Talaşlıda","Kalitede (Talaşlı sonrası)","Montajda","Kalitede (Montaj sonrası)","Boyada","Kalitede (Boya sonrası)","Yarı Mamülde","KM'de"}))))))</f>
        <v/>
      </c>
      <c r="AA846" s="24" t="str">
        <f t="shared" ca="1" si="223"/>
        <v/>
      </c>
      <c r="AB846" s="22"/>
      <c r="AD846" t="str">
        <f>IF(OR($B846="",NOT(ISNUMBER(G846))),"",IF(COUNTIF(H846:$T846,G846)&gt;0,0,IF(COUNTIF($G846:$T846,"&gt;"&amp;G846)=0,"",SMALL($G846:$T846,COUNTIF($G846:$T846,"&lt;="&amp;G846)+1)-G846)))</f>
        <v/>
      </c>
      <c r="AE846" t="str">
        <f>IF(OR($B846="",NOT(ISNUMBER(H846))),"",IF(COUNTIF(I846:$T846,H846)&gt;0,0,IF(COUNTIF($G846:$T846,"&gt;"&amp;H846)=0,"",SMALL($G846:$T846,COUNTIF($G846:$T846,"&lt;="&amp;H846)+1)-H846)))</f>
        <v/>
      </c>
      <c r="AF846" t="str">
        <f>IF(OR($B846="",NOT(ISNUMBER(I846))),"",IF(COUNTIF(J846:$T846,I846)&gt;0,0,IF(COUNTIF($G846:$T846,"&gt;"&amp;I846)=0,"",SMALL($G846:$T846,COUNTIF($G846:$T846,"&lt;="&amp;I846)+1)-I846)))</f>
        <v/>
      </c>
      <c r="AG846" t="str">
        <f>IF(OR($B846="",NOT(ISNUMBER(J846))),"",IF(COUNTIF(K846:$T846,J846)&gt;0,0,IF(COUNTIF($G846:$T846,"&gt;"&amp;J846)=0,"",SMALL($G846:$T846,COUNTIF($G846:$T846,"&lt;="&amp;J846)+1)-J846)))</f>
        <v/>
      </c>
      <c r="AH846" t="str">
        <f>IF(OR($B846="",NOT(ISNUMBER(K846))),"",IF(COUNTIF(L846:$T846,K846)&gt;0,0,IF(COUNTIF($G846:$T846,"&gt;"&amp;K846)=0,"",SMALL($G846:$T846,COUNTIF($G846:$T846,"&lt;="&amp;K846)+1)-K846)))</f>
        <v/>
      </c>
      <c r="AI846" t="str">
        <f>IF(OR($B846="",NOT(ISNUMBER(L846))),"",IF(COUNTIF(M846:$T846,L846)&gt;0,0,IF(COUNTIF($G846:$T846,"&gt;"&amp;L846)=0,"",SMALL($G846:$T846,COUNTIF($G846:$T846,"&lt;="&amp;L846)+1)-L846)))</f>
        <v/>
      </c>
      <c r="AJ846" t="str">
        <f>IF(OR($B846="",NOT(ISNUMBER(M846))),"",IF(COUNTIF(N846:$T846,M846)&gt;0,0,IF(COUNTIF($G846:$T846,"&gt;"&amp;M846)=0,"",SMALL($G846:$T846,COUNTIF($G846:$T846,"&lt;="&amp;M846)+1)-M846)))</f>
        <v/>
      </c>
      <c r="AK846" t="str">
        <f>IF(OR($B846="",NOT(ISNUMBER(N846))),"",IF(COUNTIF(O846:$T846,N846)&gt;0,0,IF(COUNTIF($G846:$T846,"&gt;"&amp;N846)=0,"",SMALL($G846:$T846,COUNTIF($G846:$T846,"&lt;="&amp;N846)+1)-N846)))</f>
        <v/>
      </c>
      <c r="AL846" t="str">
        <f>IF(OR($B846="",NOT(ISNUMBER(O846))),"",IF(COUNTIF(P846:$T846,O846)&gt;0,0,IF(COUNTIF($G846:$T846,"&gt;"&amp;O846)=0,"",SMALL($G846:$T846,COUNTIF($G846:$T846,"&lt;="&amp;O846)+1)-O846)))</f>
        <v/>
      </c>
      <c r="AM846" t="str">
        <f>IF(OR($B846="",NOT(ISNUMBER(P846))),"",IF(COUNTIF(Q846:$T846,P846)&gt;0,0,IF(COUNTIF($G846:$T846,"&gt;"&amp;P846)=0,"",SMALL($G846:$T846,COUNTIF($G846:$T846,"&lt;="&amp;P846)+1)-P846)))</f>
        <v/>
      </c>
      <c r="AN846" t="str">
        <f>IF(OR($B846="",NOT(ISNUMBER(Q846))),"",IF(COUNTIF(R846:$T846,Q846)&gt;0,0,IF(COUNTIF($G846:$T846,"&gt;"&amp;Q846)=0,"",SMALL($G846:$T846,COUNTIF($G846:$T846,"&lt;="&amp;Q846)+1)-Q846)))</f>
        <v/>
      </c>
      <c r="AO846" t="str">
        <f>IF(OR($B846="",NOT(ISNUMBER(R846))),"",IF(COUNTIF(S846:$T846,R846)&gt;0,0,IF(COUNTIF($G846:$T846,"&gt;"&amp;R846)=0,"",SMALL($G846:$T846,COUNTIF($G846:$T846,"&lt;="&amp;R846)+1)-R846)))</f>
        <v/>
      </c>
      <c r="AP846">
        <f t="shared" ca="1" si="224"/>
        <v>0</v>
      </c>
      <c r="AQ846" s="25" t="str">
        <f t="shared" si="225"/>
        <v/>
      </c>
      <c r="AR846" s="25" t="str">
        <f t="shared" si="226"/>
        <v/>
      </c>
      <c r="AS846" s="25" t="str">
        <f t="shared" si="227"/>
        <v/>
      </c>
      <c r="AT846" s="25" t="str">
        <f t="shared" si="228"/>
        <v/>
      </c>
      <c r="AU846" s="25" t="str">
        <f t="shared" si="229"/>
        <v/>
      </c>
      <c r="AV846" s="25" t="str">
        <f t="shared" si="230"/>
        <v/>
      </c>
      <c r="AW846" s="25" t="str">
        <f t="shared" si="231"/>
        <v/>
      </c>
      <c r="AX846" s="25" t="str">
        <f t="shared" si="232"/>
        <v/>
      </c>
      <c r="AY846" s="25" t="str">
        <f t="shared" si="233"/>
        <v/>
      </c>
      <c r="AZ846" s="25" t="str">
        <f t="shared" si="234"/>
        <v/>
      </c>
      <c r="BA846" s="25" t="str">
        <f t="shared" si="235"/>
        <v/>
      </c>
      <c r="BB846" s="25" t="str">
        <f t="shared" si="236"/>
        <v/>
      </c>
      <c r="BC846" s="25" t="str">
        <f t="shared" si="237"/>
        <v/>
      </c>
    </row>
    <row r="847" spans="1:55" x14ac:dyDescent="0.25">
      <c r="A847" s="19" t="str">
        <f t="shared" si="222"/>
        <v/>
      </c>
      <c r="B847" s="19"/>
      <c r="C847" s="20"/>
      <c r="D847" s="19" t="str">
        <f t="shared" si="221"/>
        <v/>
      </c>
      <c r="E847" s="19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19"/>
      <c r="U847" s="19"/>
      <c r="V847" s="20"/>
      <c r="W847" s="22"/>
      <c r="X847" s="21"/>
      <c r="Y847" s="21"/>
      <c r="Z847" s="23" t="str">
        <f>IF(B847="","",IF(S847&lt;&gt;"","Sevk Edildi",IF(AND(X847&lt;&gt;"",Y847=""),"Reworkte",IF(T847&lt;&gt;"","Kapandı"&amp;IF(COUNT(G847:R847)=0,""," – "&amp;LOOKUP(2,1/(G847:R847=MAX(G847:R847)),{"Tasarım","Ply Cutter","Üretim","Kalite (Üretim sonrası)","Talaşlı","Kalite (Talaşlı sonrası)","Montaj","Kalite (Montaj sonrası)","Boya","Kalite (Boya sonrası)","Yarı Mamül","KM"})),IF(COUNT(G847:R847)=0,"Başlamadı",LOOKUP(2,1/(G847:R847=MAX(G847:R847)),{"Tasarımda","Ply Cutter'da","Üretimde","Kalitede (Üretim sonrası)","Talaşlıda","Kalitede (Talaşlı sonrası)","Montajda","Kalitede (Montaj sonrası)","Boyada","Kalitede (Boya sonrası)","Yarı Mamülde","KM'de"}))))))</f>
        <v/>
      </c>
      <c r="AA847" s="24" t="str">
        <f t="shared" ca="1" si="223"/>
        <v/>
      </c>
      <c r="AB847" s="22"/>
      <c r="AD847" t="str">
        <f>IF(OR($B847="",NOT(ISNUMBER(G847))),"",IF(COUNTIF(H847:$T847,G847)&gt;0,0,IF(COUNTIF($G847:$T847,"&gt;"&amp;G847)=0,"",SMALL($G847:$T847,COUNTIF($G847:$T847,"&lt;="&amp;G847)+1)-G847)))</f>
        <v/>
      </c>
      <c r="AE847" t="str">
        <f>IF(OR($B847="",NOT(ISNUMBER(H847))),"",IF(COUNTIF(I847:$T847,H847)&gt;0,0,IF(COUNTIF($G847:$T847,"&gt;"&amp;H847)=0,"",SMALL($G847:$T847,COUNTIF($G847:$T847,"&lt;="&amp;H847)+1)-H847)))</f>
        <v/>
      </c>
      <c r="AF847" t="str">
        <f>IF(OR($B847="",NOT(ISNUMBER(I847))),"",IF(COUNTIF(J847:$T847,I847)&gt;0,0,IF(COUNTIF($G847:$T847,"&gt;"&amp;I847)=0,"",SMALL($G847:$T847,COUNTIF($G847:$T847,"&lt;="&amp;I847)+1)-I847)))</f>
        <v/>
      </c>
      <c r="AG847" t="str">
        <f>IF(OR($B847="",NOT(ISNUMBER(J847))),"",IF(COUNTIF(K847:$T847,J847)&gt;0,0,IF(COUNTIF($G847:$T847,"&gt;"&amp;J847)=0,"",SMALL($G847:$T847,COUNTIF($G847:$T847,"&lt;="&amp;J847)+1)-J847)))</f>
        <v/>
      </c>
      <c r="AH847" t="str">
        <f>IF(OR($B847="",NOT(ISNUMBER(K847))),"",IF(COUNTIF(L847:$T847,K847)&gt;0,0,IF(COUNTIF($G847:$T847,"&gt;"&amp;K847)=0,"",SMALL($G847:$T847,COUNTIF($G847:$T847,"&lt;="&amp;K847)+1)-K847)))</f>
        <v/>
      </c>
      <c r="AI847" t="str">
        <f>IF(OR($B847="",NOT(ISNUMBER(L847))),"",IF(COUNTIF(M847:$T847,L847)&gt;0,0,IF(COUNTIF($G847:$T847,"&gt;"&amp;L847)=0,"",SMALL($G847:$T847,COUNTIF($G847:$T847,"&lt;="&amp;L847)+1)-L847)))</f>
        <v/>
      </c>
      <c r="AJ847" t="str">
        <f>IF(OR($B847="",NOT(ISNUMBER(M847))),"",IF(COUNTIF(N847:$T847,M847)&gt;0,0,IF(COUNTIF($G847:$T847,"&gt;"&amp;M847)=0,"",SMALL($G847:$T847,COUNTIF($G847:$T847,"&lt;="&amp;M847)+1)-M847)))</f>
        <v/>
      </c>
      <c r="AK847" t="str">
        <f>IF(OR($B847="",NOT(ISNUMBER(N847))),"",IF(COUNTIF(O847:$T847,N847)&gt;0,0,IF(COUNTIF($G847:$T847,"&gt;"&amp;N847)=0,"",SMALL($G847:$T847,COUNTIF($G847:$T847,"&lt;="&amp;N847)+1)-N847)))</f>
        <v/>
      </c>
      <c r="AL847" t="str">
        <f>IF(OR($B847="",NOT(ISNUMBER(O847))),"",IF(COUNTIF(P847:$T847,O847)&gt;0,0,IF(COUNTIF($G847:$T847,"&gt;"&amp;O847)=0,"",SMALL($G847:$T847,COUNTIF($G847:$T847,"&lt;="&amp;O847)+1)-O847)))</f>
        <v/>
      </c>
      <c r="AM847" t="str">
        <f>IF(OR($B847="",NOT(ISNUMBER(P847))),"",IF(COUNTIF(Q847:$T847,P847)&gt;0,0,IF(COUNTIF($G847:$T847,"&gt;"&amp;P847)=0,"",SMALL($G847:$T847,COUNTIF($G847:$T847,"&lt;="&amp;P847)+1)-P847)))</f>
        <v/>
      </c>
      <c r="AN847" t="str">
        <f>IF(OR($B847="",NOT(ISNUMBER(Q847))),"",IF(COUNTIF(R847:$T847,Q847)&gt;0,0,IF(COUNTIF($G847:$T847,"&gt;"&amp;Q847)=0,"",SMALL($G847:$T847,COUNTIF($G847:$T847,"&lt;="&amp;Q847)+1)-Q847)))</f>
        <v/>
      </c>
      <c r="AO847" t="str">
        <f>IF(OR($B847="",NOT(ISNUMBER(R847))),"",IF(COUNTIF(S847:$T847,R847)&gt;0,0,IF(COUNTIF($G847:$T847,"&gt;"&amp;R847)=0,"",SMALL($G847:$T847,COUNTIF($G847:$T847,"&lt;="&amp;R847)+1)-R847)))</f>
        <v/>
      </c>
      <c r="AP847">
        <f t="shared" ca="1" si="224"/>
        <v>0</v>
      </c>
      <c r="AQ847" s="25" t="str">
        <f t="shared" si="225"/>
        <v/>
      </c>
      <c r="AR847" s="25" t="str">
        <f t="shared" si="226"/>
        <v/>
      </c>
      <c r="AS847" s="25" t="str">
        <f t="shared" si="227"/>
        <v/>
      </c>
      <c r="AT847" s="25" t="str">
        <f t="shared" si="228"/>
        <v/>
      </c>
      <c r="AU847" s="25" t="str">
        <f t="shared" si="229"/>
        <v/>
      </c>
      <c r="AV847" s="25" t="str">
        <f t="shared" si="230"/>
        <v/>
      </c>
      <c r="AW847" s="25" t="str">
        <f t="shared" si="231"/>
        <v/>
      </c>
      <c r="AX847" s="25" t="str">
        <f t="shared" si="232"/>
        <v/>
      </c>
      <c r="AY847" s="25" t="str">
        <f t="shared" si="233"/>
        <v/>
      </c>
      <c r="AZ847" s="25" t="str">
        <f t="shared" si="234"/>
        <v/>
      </c>
      <c r="BA847" s="25" t="str">
        <f t="shared" si="235"/>
        <v/>
      </c>
      <c r="BB847" s="25" t="str">
        <f t="shared" si="236"/>
        <v/>
      </c>
      <c r="BC847" s="25" t="str">
        <f t="shared" si="237"/>
        <v/>
      </c>
    </row>
    <row r="848" spans="1:55" x14ac:dyDescent="0.25">
      <c r="A848" s="19" t="str">
        <f t="shared" si="222"/>
        <v/>
      </c>
      <c r="B848" s="19"/>
      <c r="C848" s="20"/>
      <c r="D848" s="19" t="str">
        <f t="shared" si="221"/>
        <v/>
      </c>
      <c r="E848" s="19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19"/>
      <c r="U848" s="19"/>
      <c r="V848" s="20"/>
      <c r="W848" s="22"/>
      <c r="X848" s="21"/>
      <c r="Y848" s="21"/>
      <c r="Z848" s="23" t="str">
        <f>IF(B848="","",IF(S848&lt;&gt;"","Sevk Edildi",IF(AND(X848&lt;&gt;"",Y848=""),"Reworkte",IF(T848&lt;&gt;"","Kapandı"&amp;IF(COUNT(G848:R848)=0,""," – "&amp;LOOKUP(2,1/(G848:R848=MAX(G848:R848)),{"Tasarım","Ply Cutter","Üretim","Kalite (Üretim sonrası)","Talaşlı","Kalite (Talaşlı sonrası)","Montaj","Kalite (Montaj sonrası)","Boya","Kalite (Boya sonrası)","Yarı Mamül","KM"})),IF(COUNT(G848:R848)=0,"Başlamadı",LOOKUP(2,1/(G848:R848=MAX(G848:R848)),{"Tasarımda","Ply Cutter'da","Üretimde","Kalitede (Üretim sonrası)","Talaşlıda","Kalitede (Talaşlı sonrası)","Montajda","Kalitede (Montaj sonrası)","Boyada","Kalitede (Boya sonrası)","Yarı Mamülde","KM'de"}))))))</f>
        <v/>
      </c>
      <c r="AA848" s="24" t="str">
        <f t="shared" ca="1" si="223"/>
        <v/>
      </c>
      <c r="AB848" s="22"/>
      <c r="AD848" t="str">
        <f>IF(OR($B848="",NOT(ISNUMBER(G848))),"",IF(COUNTIF(H848:$T848,G848)&gt;0,0,IF(COUNTIF($G848:$T848,"&gt;"&amp;G848)=0,"",SMALL($G848:$T848,COUNTIF($G848:$T848,"&lt;="&amp;G848)+1)-G848)))</f>
        <v/>
      </c>
      <c r="AE848" t="str">
        <f>IF(OR($B848="",NOT(ISNUMBER(H848))),"",IF(COUNTIF(I848:$T848,H848)&gt;0,0,IF(COUNTIF($G848:$T848,"&gt;"&amp;H848)=0,"",SMALL($G848:$T848,COUNTIF($G848:$T848,"&lt;="&amp;H848)+1)-H848)))</f>
        <v/>
      </c>
      <c r="AF848" t="str">
        <f>IF(OR($B848="",NOT(ISNUMBER(I848))),"",IF(COUNTIF(J848:$T848,I848)&gt;0,0,IF(COUNTIF($G848:$T848,"&gt;"&amp;I848)=0,"",SMALL($G848:$T848,COUNTIF($G848:$T848,"&lt;="&amp;I848)+1)-I848)))</f>
        <v/>
      </c>
      <c r="AG848" t="str">
        <f>IF(OR($B848="",NOT(ISNUMBER(J848))),"",IF(COUNTIF(K848:$T848,J848)&gt;0,0,IF(COUNTIF($G848:$T848,"&gt;"&amp;J848)=0,"",SMALL($G848:$T848,COUNTIF($G848:$T848,"&lt;="&amp;J848)+1)-J848)))</f>
        <v/>
      </c>
      <c r="AH848" t="str">
        <f>IF(OR($B848="",NOT(ISNUMBER(K848))),"",IF(COUNTIF(L848:$T848,K848)&gt;0,0,IF(COUNTIF($G848:$T848,"&gt;"&amp;K848)=0,"",SMALL($G848:$T848,COUNTIF($G848:$T848,"&lt;="&amp;K848)+1)-K848)))</f>
        <v/>
      </c>
      <c r="AI848" t="str">
        <f>IF(OR($B848="",NOT(ISNUMBER(L848))),"",IF(COUNTIF(M848:$T848,L848)&gt;0,0,IF(COUNTIF($G848:$T848,"&gt;"&amp;L848)=0,"",SMALL($G848:$T848,COUNTIF($G848:$T848,"&lt;="&amp;L848)+1)-L848)))</f>
        <v/>
      </c>
      <c r="AJ848" t="str">
        <f>IF(OR($B848="",NOT(ISNUMBER(M848))),"",IF(COUNTIF(N848:$T848,M848)&gt;0,0,IF(COUNTIF($G848:$T848,"&gt;"&amp;M848)=0,"",SMALL($G848:$T848,COUNTIF($G848:$T848,"&lt;="&amp;M848)+1)-M848)))</f>
        <v/>
      </c>
      <c r="AK848" t="str">
        <f>IF(OR($B848="",NOT(ISNUMBER(N848))),"",IF(COUNTIF(O848:$T848,N848)&gt;0,0,IF(COUNTIF($G848:$T848,"&gt;"&amp;N848)=0,"",SMALL($G848:$T848,COUNTIF($G848:$T848,"&lt;="&amp;N848)+1)-N848)))</f>
        <v/>
      </c>
      <c r="AL848" t="str">
        <f>IF(OR($B848="",NOT(ISNUMBER(O848))),"",IF(COUNTIF(P848:$T848,O848)&gt;0,0,IF(COUNTIF($G848:$T848,"&gt;"&amp;O848)=0,"",SMALL($G848:$T848,COUNTIF($G848:$T848,"&lt;="&amp;O848)+1)-O848)))</f>
        <v/>
      </c>
      <c r="AM848" t="str">
        <f>IF(OR($B848="",NOT(ISNUMBER(P848))),"",IF(COUNTIF(Q848:$T848,P848)&gt;0,0,IF(COUNTIF($G848:$T848,"&gt;"&amp;P848)=0,"",SMALL($G848:$T848,COUNTIF($G848:$T848,"&lt;="&amp;P848)+1)-P848)))</f>
        <v/>
      </c>
      <c r="AN848" t="str">
        <f>IF(OR($B848="",NOT(ISNUMBER(Q848))),"",IF(COUNTIF(R848:$T848,Q848)&gt;0,0,IF(COUNTIF($G848:$T848,"&gt;"&amp;Q848)=0,"",SMALL($G848:$T848,COUNTIF($G848:$T848,"&lt;="&amp;Q848)+1)-Q848)))</f>
        <v/>
      </c>
      <c r="AO848" t="str">
        <f>IF(OR($B848="",NOT(ISNUMBER(R848))),"",IF(COUNTIF(S848:$T848,R848)&gt;0,0,IF(COUNTIF($G848:$T848,"&gt;"&amp;R848)=0,"",SMALL($G848:$T848,COUNTIF($G848:$T848,"&lt;="&amp;R848)+1)-R848)))</f>
        <v/>
      </c>
      <c r="AP848">
        <f t="shared" ca="1" si="224"/>
        <v>0</v>
      </c>
      <c r="AQ848" s="25" t="str">
        <f t="shared" si="225"/>
        <v/>
      </c>
      <c r="AR848" s="25" t="str">
        <f t="shared" si="226"/>
        <v/>
      </c>
      <c r="AS848" s="25" t="str">
        <f t="shared" si="227"/>
        <v/>
      </c>
      <c r="AT848" s="25" t="str">
        <f t="shared" si="228"/>
        <v/>
      </c>
      <c r="AU848" s="25" t="str">
        <f t="shared" si="229"/>
        <v/>
      </c>
      <c r="AV848" s="25" t="str">
        <f t="shared" si="230"/>
        <v/>
      </c>
      <c r="AW848" s="25" t="str">
        <f t="shared" si="231"/>
        <v/>
      </c>
      <c r="AX848" s="25" t="str">
        <f t="shared" si="232"/>
        <v/>
      </c>
      <c r="AY848" s="25" t="str">
        <f t="shared" si="233"/>
        <v/>
      </c>
      <c r="AZ848" s="25" t="str">
        <f t="shared" si="234"/>
        <v/>
      </c>
      <c r="BA848" s="25" t="str">
        <f t="shared" si="235"/>
        <v/>
      </c>
      <c r="BB848" s="25" t="str">
        <f t="shared" si="236"/>
        <v/>
      </c>
      <c r="BC848" s="25" t="str">
        <f t="shared" si="237"/>
        <v/>
      </c>
    </row>
    <row r="849" spans="1:55" x14ac:dyDescent="0.25">
      <c r="A849" s="19" t="str">
        <f t="shared" si="222"/>
        <v/>
      </c>
      <c r="B849" s="19"/>
      <c r="C849" s="20"/>
      <c r="D849" s="19" t="str">
        <f t="shared" si="221"/>
        <v/>
      </c>
      <c r="E849" s="19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19"/>
      <c r="U849" s="19"/>
      <c r="V849" s="20"/>
      <c r="W849" s="22"/>
      <c r="X849" s="21"/>
      <c r="Y849" s="21"/>
      <c r="Z849" s="23" t="str">
        <f>IF(B849="","",IF(S849&lt;&gt;"","Sevk Edildi",IF(AND(X849&lt;&gt;"",Y849=""),"Reworkte",IF(T849&lt;&gt;"","Kapandı"&amp;IF(COUNT(G849:R849)=0,""," – "&amp;LOOKUP(2,1/(G849:R849=MAX(G849:R849)),{"Tasarım","Ply Cutter","Üretim","Kalite (Üretim sonrası)","Talaşlı","Kalite (Talaşlı sonrası)","Montaj","Kalite (Montaj sonrası)","Boya","Kalite (Boya sonrası)","Yarı Mamül","KM"})),IF(COUNT(G849:R849)=0,"Başlamadı",LOOKUP(2,1/(G849:R849=MAX(G849:R849)),{"Tasarımda","Ply Cutter'da","Üretimde","Kalitede (Üretim sonrası)","Talaşlıda","Kalitede (Talaşlı sonrası)","Montajda","Kalitede (Montaj sonrası)","Boyada","Kalitede (Boya sonrası)","Yarı Mamülde","KM'de"}))))))</f>
        <v/>
      </c>
      <c r="AA849" s="24" t="str">
        <f t="shared" ca="1" si="223"/>
        <v/>
      </c>
      <c r="AB849" s="22"/>
      <c r="AD849" t="str">
        <f>IF(OR($B849="",NOT(ISNUMBER(G849))),"",IF(COUNTIF(H849:$T849,G849)&gt;0,0,IF(COUNTIF($G849:$T849,"&gt;"&amp;G849)=0,"",SMALL($G849:$T849,COUNTIF($G849:$T849,"&lt;="&amp;G849)+1)-G849)))</f>
        <v/>
      </c>
      <c r="AE849" t="str">
        <f>IF(OR($B849="",NOT(ISNUMBER(H849))),"",IF(COUNTIF(I849:$T849,H849)&gt;0,0,IF(COUNTIF($G849:$T849,"&gt;"&amp;H849)=0,"",SMALL($G849:$T849,COUNTIF($G849:$T849,"&lt;="&amp;H849)+1)-H849)))</f>
        <v/>
      </c>
      <c r="AF849" t="str">
        <f>IF(OR($B849="",NOT(ISNUMBER(I849))),"",IF(COUNTIF(J849:$T849,I849)&gt;0,0,IF(COUNTIF($G849:$T849,"&gt;"&amp;I849)=0,"",SMALL($G849:$T849,COUNTIF($G849:$T849,"&lt;="&amp;I849)+1)-I849)))</f>
        <v/>
      </c>
      <c r="AG849" t="str">
        <f>IF(OR($B849="",NOT(ISNUMBER(J849))),"",IF(COUNTIF(K849:$T849,J849)&gt;0,0,IF(COUNTIF($G849:$T849,"&gt;"&amp;J849)=0,"",SMALL($G849:$T849,COUNTIF($G849:$T849,"&lt;="&amp;J849)+1)-J849)))</f>
        <v/>
      </c>
      <c r="AH849" t="str">
        <f>IF(OR($B849="",NOT(ISNUMBER(K849))),"",IF(COUNTIF(L849:$T849,K849)&gt;0,0,IF(COUNTIF($G849:$T849,"&gt;"&amp;K849)=0,"",SMALL($G849:$T849,COUNTIF($G849:$T849,"&lt;="&amp;K849)+1)-K849)))</f>
        <v/>
      </c>
      <c r="AI849" t="str">
        <f>IF(OR($B849="",NOT(ISNUMBER(L849))),"",IF(COUNTIF(M849:$T849,L849)&gt;0,0,IF(COUNTIF($G849:$T849,"&gt;"&amp;L849)=0,"",SMALL($G849:$T849,COUNTIF($G849:$T849,"&lt;="&amp;L849)+1)-L849)))</f>
        <v/>
      </c>
      <c r="AJ849" t="str">
        <f>IF(OR($B849="",NOT(ISNUMBER(M849))),"",IF(COUNTIF(N849:$T849,M849)&gt;0,0,IF(COUNTIF($G849:$T849,"&gt;"&amp;M849)=0,"",SMALL($G849:$T849,COUNTIF($G849:$T849,"&lt;="&amp;M849)+1)-M849)))</f>
        <v/>
      </c>
      <c r="AK849" t="str">
        <f>IF(OR($B849="",NOT(ISNUMBER(N849))),"",IF(COUNTIF(O849:$T849,N849)&gt;0,0,IF(COUNTIF($G849:$T849,"&gt;"&amp;N849)=0,"",SMALL($G849:$T849,COUNTIF($G849:$T849,"&lt;="&amp;N849)+1)-N849)))</f>
        <v/>
      </c>
      <c r="AL849" t="str">
        <f>IF(OR($B849="",NOT(ISNUMBER(O849))),"",IF(COUNTIF(P849:$T849,O849)&gt;0,0,IF(COUNTIF($G849:$T849,"&gt;"&amp;O849)=0,"",SMALL($G849:$T849,COUNTIF($G849:$T849,"&lt;="&amp;O849)+1)-O849)))</f>
        <v/>
      </c>
      <c r="AM849" t="str">
        <f>IF(OR($B849="",NOT(ISNUMBER(P849))),"",IF(COUNTIF(Q849:$T849,P849)&gt;0,0,IF(COUNTIF($G849:$T849,"&gt;"&amp;P849)=0,"",SMALL($G849:$T849,COUNTIF($G849:$T849,"&lt;="&amp;P849)+1)-P849)))</f>
        <v/>
      </c>
      <c r="AN849" t="str">
        <f>IF(OR($B849="",NOT(ISNUMBER(Q849))),"",IF(COUNTIF(R849:$T849,Q849)&gt;0,0,IF(COUNTIF($G849:$T849,"&gt;"&amp;Q849)=0,"",SMALL($G849:$T849,COUNTIF($G849:$T849,"&lt;="&amp;Q849)+1)-Q849)))</f>
        <v/>
      </c>
      <c r="AO849" t="str">
        <f>IF(OR($B849="",NOT(ISNUMBER(R849))),"",IF(COUNTIF(S849:$T849,R849)&gt;0,0,IF(COUNTIF($G849:$T849,"&gt;"&amp;R849)=0,"",SMALL($G849:$T849,COUNTIF($G849:$T849,"&lt;="&amp;R849)+1)-R849)))</f>
        <v/>
      </c>
      <c r="AP849">
        <f t="shared" ca="1" si="224"/>
        <v>0</v>
      </c>
      <c r="AQ849" s="25" t="str">
        <f t="shared" si="225"/>
        <v/>
      </c>
      <c r="AR849" s="25" t="str">
        <f t="shared" si="226"/>
        <v/>
      </c>
      <c r="AS849" s="25" t="str">
        <f t="shared" si="227"/>
        <v/>
      </c>
      <c r="AT849" s="25" t="str">
        <f t="shared" si="228"/>
        <v/>
      </c>
      <c r="AU849" s="25" t="str">
        <f t="shared" si="229"/>
        <v/>
      </c>
      <c r="AV849" s="25" t="str">
        <f t="shared" si="230"/>
        <v/>
      </c>
      <c r="AW849" s="25" t="str">
        <f t="shared" si="231"/>
        <v/>
      </c>
      <c r="AX849" s="25" t="str">
        <f t="shared" si="232"/>
        <v/>
      </c>
      <c r="AY849" s="25" t="str">
        <f t="shared" si="233"/>
        <v/>
      </c>
      <c r="AZ849" s="25" t="str">
        <f t="shared" si="234"/>
        <v/>
      </c>
      <c r="BA849" s="25" t="str">
        <f t="shared" si="235"/>
        <v/>
      </c>
      <c r="BB849" s="25" t="str">
        <f t="shared" si="236"/>
        <v/>
      </c>
      <c r="BC849" s="25" t="str">
        <f t="shared" si="237"/>
        <v/>
      </c>
    </row>
    <row r="850" spans="1:55" x14ac:dyDescent="0.25">
      <c r="A850" s="19" t="str">
        <f t="shared" si="222"/>
        <v/>
      </c>
      <c r="B850" s="19"/>
      <c r="C850" s="20"/>
      <c r="D850" s="19" t="str">
        <f t="shared" si="221"/>
        <v/>
      </c>
      <c r="E850" s="19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19"/>
      <c r="U850" s="19"/>
      <c r="V850" s="20"/>
      <c r="W850" s="22"/>
      <c r="X850" s="21"/>
      <c r="Y850" s="21"/>
      <c r="Z850" s="23" t="str">
        <f>IF(B850="","",IF(S850&lt;&gt;"","Sevk Edildi",IF(AND(X850&lt;&gt;"",Y850=""),"Reworkte",IF(T850&lt;&gt;"","Kapandı"&amp;IF(COUNT(G850:R850)=0,""," – "&amp;LOOKUP(2,1/(G850:R850=MAX(G850:R850)),{"Tasarım","Ply Cutter","Üretim","Kalite (Üretim sonrası)","Talaşlı","Kalite (Talaşlı sonrası)","Montaj","Kalite (Montaj sonrası)","Boya","Kalite (Boya sonrası)","Yarı Mamül","KM"})),IF(COUNT(G850:R850)=0,"Başlamadı",LOOKUP(2,1/(G850:R850=MAX(G850:R850)),{"Tasarımda","Ply Cutter'da","Üretimde","Kalitede (Üretim sonrası)","Talaşlıda","Kalitede (Talaşlı sonrası)","Montajda","Kalitede (Montaj sonrası)","Boyada","Kalitede (Boya sonrası)","Yarı Mamülde","KM'de"}))))))</f>
        <v/>
      </c>
      <c r="AA850" s="24" t="str">
        <f t="shared" ca="1" si="223"/>
        <v/>
      </c>
      <c r="AB850" s="22"/>
      <c r="AD850" t="str">
        <f>IF(OR($B850="",NOT(ISNUMBER(G850))),"",IF(COUNTIF(H850:$T850,G850)&gt;0,0,IF(COUNTIF($G850:$T850,"&gt;"&amp;G850)=0,"",SMALL($G850:$T850,COUNTIF($G850:$T850,"&lt;="&amp;G850)+1)-G850)))</f>
        <v/>
      </c>
      <c r="AE850" t="str">
        <f>IF(OR($B850="",NOT(ISNUMBER(H850))),"",IF(COUNTIF(I850:$T850,H850)&gt;0,0,IF(COUNTIF($G850:$T850,"&gt;"&amp;H850)=0,"",SMALL($G850:$T850,COUNTIF($G850:$T850,"&lt;="&amp;H850)+1)-H850)))</f>
        <v/>
      </c>
      <c r="AF850" t="str">
        <f>IF(OR($B850="",NOT(ISNUMBER(I850))),"",IF(COUNTIF(J850:$T850,I850)&gt;0,0,IF(COUNTIF($G850:$T850,"&gt;"&amp;I850)=0,"",SMALL($G850:$T850,COUNTIF($G850:$T850,"&lt;="&amp;I850)+1)-I850)))</f>
        <v/>
      </c>
      <c r="AG850" t="str">
        <f>IF(OR($B850="",NOT(ISNUMBER(J850))),"",IF(COUNTIF(K850:$T850,J850)&gt;0,0,IF(COUNTIF($G850:$T850,"&gt;"&amp;J850)=0,"",SMALL($G850:$T850,COUNTIF($G850:$T850,"&lt;="&amp;J850)+1)-J850)))</f>
        <v/>
      </c>
      <c r="AH850" t="str">
        <f>IF(OR($B850="",NOT(ISNUMBER(K850))),"",IF(COUNTIF(L850:$T850,K850)&gt;0,0,IF(COUNTIF($G850:$T850,"&gt;"&amp;K850)=0,"",SMALL($G850:$T850,COUNTIF($G850:$T850,"&lt;="&amp;K850)+1)-K850)))</f>
        <v/>
      </c>
      <c r="AI850" t="str">
        <f>IF(OR($B850="",NOT(ISNUMBER(L850))),"",IF(COUNTIF(M850:$T850,L850)&gt;0,0,IF(COUNTIF($G850:$T850,"&gt;"&amp;L850)=0,"",SMALL($G850:$T850,COUNTIF($G850:$T850,"&lt;="&amp;L850)+1)-L850)))</f>
        <v/>
      </c>
      <c r="AJ850" t="str">
        <f>IF(OR($B850="",NOT(ISNUMBER(M850))),"",IF(COUNTIF(N850:$T850,M850)&gt;0,0,IF(COUNTIF($G850:$T850,"&gt;"&amp;M850)=0,"",SMALL($G850:$T850,COUNTIF($G850:$T850,"&lt;="&amp;M850)+1)-M850)))</f>
        <v/>
      </c>
      <c r="AK850" t="str">
        <f>IF(OR($B850="",NOT(ISNUMBER(N850))),"",IF(COUNTIF(O850:$T850,N850)&gt;0,0,IF(COUNTIF($G850:$T850,"&gt;"&amp;N850)=0,"",SMALL($G850:$T850,COUNTIF($G850:$T850,"&lt;="&amp;N850)+1)-N850)))</f>
        <v/>
      </c>
      <c r="AL850" t="str">
        <f>IF(OR($B850="",NOT(ISNUMBER(O850))),"",IF(COUNTIF(P850:$T850,O850)&gt;0,0,IF(COUNTIF($G850:$T850,"&gt;"&amp;O850)=0,"",SMALL($G850:$T850,COUNTIF($G850:$T850,"&lt;="&amp;O850)+1)-O850)))</f>
        <v/>
      </c>
      <c r="AM850" t="str">
        <f>IF(OR($B850="",NOT(ISNUMBER(P850))),"",IF(COUNTIF(Q850:$T850,P850)&gt;0,0,IF(COUNTIF($G850:$T850,"&gt;"&amp;P850)=0,"",SMALL($G850:$T850,COUNTIF($G850:$T850,"&lt;="&amp;P850)+1)-P850)))</f>
        <v/>
      </c>
      <c r="AN850" t="str">
        <f>IF(OR($B850="",NOT(ISNUMBER(Q850))),"",IF(COUNTIF(R850:$T850,Q850)&gt;0,0,IF(COUNTIF($G850:$T850,"&gt;"&amp;Q850)=0,"",SMALL($G850:$T850,COUNTIF($G850:$T850,"&lt;="&amp;Q850)+1)-Q850)))</f>
        <v/>
      </c>
      <c r="AO850" t="str">
        <f>IF(OR($B850="",NOT(ISNUMBER(R850))),"",IF(COUNTIF(S850:$T850,R850)&gt;0,0,IF(COUNTIF($G850:$T850,"&gt;"&amp;R850)=0,"",SMALL($G850:$T850,COUNTIF($G850:$T850,"&lt;="&amp;R850)+1)-R850)))</f>
        <v/>
      </c>
      <c r="AP850">
        <f t="shared" ca="1" si="224"/>
        <v>0</v>
      </c>
      <c r="AQ850" s="25" t="str">
        <f t="shared" si="225"/>
        <v/>
      </c>
      <c r="AR850" s="25" t="str">
        <f t="shared" si="226"/>
        <v/>
      </c>
      <c r="AS850" s="25" t="str">
        <f t="shared" si="227"/>
        <v/>
      </c>
      <c r="AT850" s="25" t="str">
        <f t="shared" si="228"/>
        <v/>
      </c>
      <c r="AU850" s="25" t="str">
        <f t="shared" si="229"/>
        <v/>
      </c>
      <c r="AV850" s="25" t="str">
        <f t="shared" si="230"/>
        <v/>
      </c>
      <c r="AW850" s="25" t="str">
        <f t="shared" si="231"/>
        <v/>
      </c>
      <c r="AX850" s="25" t="str">
        <f t="shared" si="232"/>
        <v/>
      </c>
      <c r="AY850" s="25" t="str">
        <f t="shared" si="233"/>
        <v/>
      </c>
      <c r="AZ850" s="25" t="str">
        <f t="shared" si="234"/>
        <v/>
      </c>
      <c r="BA850" s="25" t="str">
        <f t="shared" si="235"/>
        <v/>
      </c>
      <c r="BB850" s="25" t="str">
        <f t="shared" si="236"/>
        <v/>
      </c>
      <c r="BC850" s="25" t="str">
        <f t="shared" si="237"/>
        <v/>
      </c>
    </row>
    <row r="851" spans="1:55" x14ac:dyDescent="0.25">
      <c r="A851" s="19" t="str">
        <f t="shared" si="222"/>
        <v/>
      </c>
      <c r="B851" s="19"/>
      <c r="C851" s="20"/>
      <c r="D851" s="19" t="str">
        <f t="shared" si="221"/>
        <v/>
      </c>
      <c r="E851" s="19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19"/>
      <c r="U851" s="19"/>
      <c r="V851" s="20"/>
      <c r="W851" s="22"/>
      <c r="X851" s="21"/>
      <c r="Y851" s="21"/>
      <c r="Z851" s="23" t="str">
        <f>IF(B851="","",IF(S851&lt;&gt;"","Sevk Edildi",IF(AND(X851&lt;&gt;"",Y851=""),"Reworkte",IF(T851&lt;&gt;"","Kapandı"&amp;IF(COUNT(G851:R851)=0,""," – "&amp;LOOKUP(2,1/(G851:R851=MAX(G851:R851)),{"Tasarım","Ply Cutter","Üretim","Kalite (Üretim sonrası)","Talaşlı","Kalite (Talaşlı sonrası)","Montaj","Kalite (Montaj sonrası)","Boya","Kalite (Boya sonrası)","Yarı Mamül","KM"})),IF(COUNT(G851:R851)=0,"Başlamadı",LOOKUP(2,1/(G851:R851=MAX(G851:R851)),{"Tasarımda","Ply Cutter'da","Üretimde","Kalitede (Üretim sonrası)","Talaşlıda","Kalitede (Talaşlı sonrası)","Montajda","Kalitede (Montaj sonrası)","Boyada","Kalitede (Boya sonrası)","Yarı Mamülde","KM'de"}))))))</f>
        <v/>
      </c>
      <c r="AA851" s="24" t="str">
        <f t="shared" ca="1" si="223"/>
        <v/>
      </c>
      <c r="AB851" s="22"/>
      <c r="AD851" t="str">
        <f>IF(OR($B851="",NOT(ISNUMBER(G851))),"",IF(COUNTIF(H851:$T851,G851)&gt;0,0,IF(COUNTIF($G851:$T851,"&gt;"&amp;G851)=0,"",SMALL($G851:$T851,COUNTIF($G851:$T851,"&lt;="&amp;G851)+1)-G851)))</f>
        <v/>
      </c>
      <c r="AE851" t="str">
        <f>IF(OR($B851="",NOT(ISNUMBER(H851))),"",IF(COUNTIF(I851:$T851,H851)&gt;0,0,IF(COUNTIF($G851:$T851,"&gt;"&amp;H851)=0,"",SMALL($G851:$T851,COUNTIF($G851:$T851,"&lt;="&amp;H851)+1)-H851)))</f>
        <v/>
      </c>
      <c r="AF851" t="str">
        <f>IF(OR($B851="",NOT(ISNUMBER(I851))),"",IF(COUNTIF(J851:$T851,I851)&gt;0,0,IF(COUNTIF($G851:$T851,"&gt;"&amp;I851)=0,"",SMALL($G851:$T851,COUNTIF($G851:$T851,"&lt;="&amp;I851)+1)-I851)))</f>
        <v/>
      </c>
      <c r="AG851" t="str">
        <f>IF(OR($B851="",NOT(ISNUMBER(J851))),"",IF(COUNTIF(K851:$T851,J851)&gt;0,0,IF(COUNTIF($G851:$T851,"&gt;"&amp;J851)=0,"",SMALL($G851:$T851,COUNTIF($G851:$T851,"&lt;="&amp;J851)+1)-J851)))</f>
        <v/>
      </c>
      <c r="AH851" t="str">
        <f>IF(OR($B851="",NOT(ISNUMBER(K851))),"",IF(COUNTIF(L851:$T851,K851)&gt;0,0,IF(COUNTIF($G851:$T851,"&gt;"&amp;K851)=0,"",SMALL($G851:$T851,COUNTIF($G851:$T851,"&lt;="&amp;K851)+1)-K851)))</f>
        <v/>
      </c>
      <c r="AI851" t="str">
        <f>IF(OR($B851="",NOT(ISNUMBER(L851))),"",IF(COUNTIF(M851:$T851,L851)&gt;0,0,IF(COUNTIF($G851:$T851,"&gt;"&amp;L851)=0,"",SMALL($G851:$T851,COUNTIF($G851:$T851,"&lt;="&amp;L851)+1)-L851)))</f>
        <v/>
      </c>
      <c r="AJ851" t="str">
        <f>IF(OR($B851="",NOT(ISNUMBER(M851))),"",IF(COUNTIF(N851:$T851,M851)&gt;0,0,IF(COUNTIF($G851:$T851,"&gt;"&amp;M851)=0,"",SMALL($G851:$T851,COUNTIF($G851:$T851,"&lt;="&amp;M851)+1)-M851)))</f>
        <v/>
      </c>
      <c r="AK851" t="str">
        <f>IF(OR($B851="",NOT(ISNUMBER(N851))),"",IF(COUNTIF(O851:$T851,N851)&gt;0,0,IF(COUNTIF($G851:$T851,"&gt;"&amp;N851)=0,"",SMALL($G851:$T851,COUNTIF($G851:$T851,"&lt;="&amp;N851)+1)-N851)))</f>
        <v/>
      </c>
      <c r="AL851" t="str">
        <f>IF(OR($B851="",NOT(ISNUMBER(O851))),"",IF(COUNTIF(P851:$T851,O851)&gt;0,0,IF(COUNTIF($G851:$T851,"&gt;"&amp;O851)=0,"",SMALL($G851:$T851,COUNTIF($G851:$T851,"&lt;="&amp;O851)+1)-O851)))</f>
        <v/>
      </c>
      <c r="AM851" t="str">
        <f>IF(OR($B851="",NOT(ISNUMBER(P851))),"",IF(COUNTIF(Q851:$T851,P851)&gt;0,0,IF(COUNTIF($G851:$T851,"&gt;"&amp;P851)=0,"",SMALL($G851:$T851,COUNTIF($G851:$T851,"&lt;="&amp;P851)+1)-P851)))</f>
        <v/>
      </c>
      <c r="AN851" t="str">
        <f>IF(OR($B851="",NOT(ISNUMBER(Q851))),"",IF(COUNTIF(R851:$T851,Q851)&gt;0,0,IF(COUNTIF($G851:$T851,"&gt;"&amp;Q851)=0,"",SMALL($G851:$T851,COUNTIF($G851:$T851,"&lt;="&amp;Q851)+1)-Q851)))</f>
        <v/>
      </c>
      <c r="AO851" t="str">
        <f>IF(OR($B851="",NOT(ISNUMBER(R851))),"",IF(COUNTIF(S851:$T851,R851)&gt;0,0,IF(COUNTIF($G851:$T851,"&gt;"&amp;R851)=0,"",SMALL($G851:$T851,COUNTIF($G851:$T851,"&lt;="&amp;R851)+1)-R851)))</f>
        <v/>
      </c>
      <c r="AP851">
        <f t="shared" ca="1" si="224"/>
        <v>0</v>
      </c>
      <c r="AQ851" s="25" t="str">
        <f t="shared" si="225"/>
        <v/>
      </c>
      <c r="AR851" s="25" t="str">
        <f t="shared" si="226"/>
        <v/>
      </c>
      <c r="AS851" s="25" t="str">
        <f t="shared" si="227"/>
        <v/>
      </c>
      <c r="AT851" s="25" t="str">
        <f t="shared" si="228"/>
        <v/>
      </c>
      <c r="AU851" s="25" t="str">
        <f t="shared" si="229"/>
        <v/>
      </c>
      <c r="AV851" s="25" t="str">
        <f t="shared" si="230"/>
        <v/>
      </c>
      <c r="AW851" s="25" t="str">
        <f t="shared" si="231"/>
        <v/>
      </c>
      <c r="AX851" s="25" t="str">
        <f t="shared" si="232"/>
        <v/>
      </c>
      <c r="AY851" s="25" t="str">
        <f t="shared" si="233"/>
        <v/>
      </c>
      <c r="AZ851" s="25" t="str">
        <f t="shared" si="234"/>
        <v/>
      </c>
      <c r="BA851" s="25" t="str">
        <f t="shared" si="235"/>
        <v/>
      </c>
      <c r="BB851" s="25" t="str">
        <f t="shared" si="236"/>
        <v/>
      </c>
      <c r="BC851" s="25" t="str">
        <f t="shared" si="237"/>
        <v/>
      </c>
    </row>
    <row r="852" spans="1:55" x14ac:dyDescent="0.25">
      <c r="A852" s="19" t="str">
        <f t="shared" si="222"/>
        <v/>
      </c>
      <c r="B852" s="19"/>
      <c r="C852" s="20"/>
      <c r="D852" s="19" t="str">
        <f t="shared" si="221"/>
        <v/>
      </c>
      <c r="E852" s="19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19"/>
      <c r="U852" s="19"/>
      <c r="V852" s="20"/>
      <c r="W852" s="22"/>
      <c r="X852" s="21"/>
      <c r="Y852" s="21"/>
      <c r="Z852" s="23" t="str">
        <f>IF(B852="","",IF(S852&lt;&gt;"","Sevk Edildi",IF(AND(X852&lt;&gt;"",Y852=""),"Reworkte",IF(T852&lt;&gt;"","Kapandı"&amp;IF(COUNT(G852:R852)=0,""," – "&amp;LOOKUP(2,1/(G852:R852=MAX(G852:R852)),{"Tasarım","Ply Cutter","Üretim","Kalite (Üretim sonrası)","Talaşlı","Kalite (Talaşlı sonrası)","Montaj","Kalite (Montaj sonrası)","Boya","Kalite (Boya sonrası)","Yarı Mamül","KM"})),IF(COUNT(G852:R852)=0,"Başlamadı",LOOKUP(2,1/(G852:R852=MAX(G852:R852)),{"Tasarımda","Ply Cutter'da","Üretimde","Kalitede (Üretim sonrası)","Talaşlıda","Kalitede (Talaşlı sonrası)","Montajda","Kalitede (Montaj sonrası)","Boyada","Kalitede (Boya sonrası)","Yarı Mamülde","KM'de"}))))))</f>
        <v/>
      </c>
      <c r="AA852" s="24" t="str">
        <f t="shared" ca="1" si="223"/>
        <v/>
      </c>
      <c r="AB852" s="22"/>
      <c r="AD852" t="str">
        <f>IF(OR($B852="",NOT(ISNUMBER(G852))),"",IF(COUNTIF(H852:$T852,G852)&gt;0,0,IF(COUNTIF($G852:$T852,"&gt;"&amp;G852)=0,"",SMALL($G852:$T852,COUNTIF($G852:$T852,"&lt;="&amp;G852)+1)-G852)))</f>
        <v/>
      </c>
      <c r="AE852" t="str">
        <f>IF(OR($B852="",NOT(ISNUMBER(H852))),"",IF(COUNTIF(I852:$T852,H852)&gt;0,0,IF(COUNTIF($G852:$T852,"&gt;"&amp;H852)=0,"",SMALL($G852:$T852,COUNTIF($G852:$T852,"&lt;="&amp;H852)+1)-H852)))</f>
        <v/>
      </c>
      <c r="AF852" t="str">
        <f>IF(OR($B852="",NOT(ISNUMBER(I852))),"",IF(COUNTIF(J852:$T852,I852)&gt;0,0,IF(COUNTIF($G852:$T852,"&gt;"&amp;I852)=0,"",SMALL($G852:$T852,COUNTIF($G852:$T852,"&lt;="&amp;I852)+1)-I852)))</f>
        <v/>
      </c>
      <c r="AG852" t="str">
        <f>IF(OR($B852="",NOT(ISNUMBER(J852))),"",IF(COUNTIF(K852:$T852,J852)&gt;0,0,IF(COUNTIF($G852:$T852,"&gt;"&amp;J852)=0,"",SMALL($G852:$T852,COUNTIF($G852:$T852,"&lt;="&amp;J852)+1)-J852)))</f>
        <v/>
      </c>
      <c r="AH852" t="str">
        <f>IF(OR($B852="",NOT(ISNUMBER(K852))),"",IF(COUNTIF(L852:$T852,K852)&gt;0,0,IF(COUNTIF($G852:$T852,"&gt;"&amp;K852)=0,"",SMALL($G852:$T852,COUNTIF($G852:$T852,"&lt;="&amp;K852)+1)-K852)))</f>
        <v/>
      </c>
      <c r="AI852" t="str">
        <f>IF(OR($B852="",NOT(ISNUMBER(L852))),"",IF(COUNTIF(M852:$T852,L852)&gt;0,0,IF(COUNTIF($G852:$T852,"&gt;"&amp;L852)=0,"",SMALL($G852:$T852,COUNTIF($G852:$T852,"&lt;="&amp;L852)+1)-L852)))</f>
        <v/>
      </c>
      <c r="AJ852" t="str">
        <f>IF(OR($B852="",NOT(ISNUMBER(M852))),"",IF(COUNTIF(N852:$T852,M852)&gt;0,0,IF(COUNTIF($G852:$T852,"&gt;"&amp;M852)=0,"",SMALL($G852:$T852,COUNTIF($G852:$T852,"&lt;="&amp;M852)+1)-M852)))</f>
        <v/>
      </c>
      <c r="AK852" t="str">
        <f>IF(OR($B852="",NOT(ISNUMBER(N852))),"",IF(COUNTIF(O852:$T852,N852)&gt;0,0,IF(COUNTIF($G852:$T852,"&gt;"&amp;N852)=0,"",SMALL($G852:$T852,COUNTIF($G852:$T852,"&lt;="&amp;N852)+1)-N852)))</f>
        <v/>
      </c>
      <c r="AL852" t="str">
        <f>IF(OR($B852="",NOT(ISNUMBER(O852))),"",IF(COUNTIF(P852:$T852,O852)&gt;0,0,IF(COUNTIF($G852:$T852,"&gt;"&amp;O852)=0,"",SMALL($G852:$T852,COUNTIF($G852:$T852,"&lt;="&amp;O852)+1)-O852)))</f>
        <v/>
      </c>
      <c r="AM852" t="str">
        <f>IF(OR($B852="",NOT(ISNUMBER(P852))),"",IF(COUNTIF(Q852:$T852,P852)&gt;0,0,IF(COUNTIF($G852:$T852,"&gt;"&amp;P852)=0,"",SMALL($G852:$T852,COUNTIF($G852:$T852,"&lt;="&amp;P852)+1)-P852)))</f>
        <v/>
      </c>
      <c r="AN852" t="str">
        <f>IF(OR($B852="",NOT(ISNUMBER(Q852))),"",IF(COUNTIF(R852:$T852,Q852)&gt;0,0,IF(COUNTIF($G852:$T852,"&gt;"&amp;Q852)=0,"",SMALL($G852:$T852,COUNTIF($G852:$T852,"&lt;="&amp;Q852)+1)-Q852)))</f>
        <v/>
      </c>
      <c r="AO852" t="str">
        <f>IF(OR($B852="",NOT(ISNUMBER(R852))),"",IF(COUNTIF(S852:$T852,R852)&gt;0,0,IF(COUNTIF($G852:$T852,"&gt;"&amp;R852)=0,"",SMALL($G852:$T852,COUNTIF($G852:$T852,"&lt;="&amp;R852)+1)-R852)))</f>
        <v/>
      </c>
      <c r="AP852">
        <f t="shared" ca="1" si="224"/>
        <v>0</v>
      </c>
      <c r="AQ852" s="25" t="str">
        <f t="shared" si="225"/>
        <v/>
      </c>
      <c r="AR852" s="25" t="str">
        <f t="shared" si="226"/>
        <v/>
      </c>
      <c r="AS852" s="25" t="str">
        <f t="shared" si="227"/>
        <v/>
      </c>
      <c r="AT852" s="25" t="str">
        <f t="shared" si="228"/>
        <v/>
      </c>
      <c r="AU852" s="25" t="str">
        <f t="shared" si="229"/>
        <v/>
      </c>
      <c r="AV852" s="25" t="str">
        <f t="shared" si="230"/>
        <v/>
      </c>
      <c r="AW852" s="25" t="str">
        <f t="shared" si="231"/>
        <v/>
      </c>
      <c r="AX852" s="25" t="str">
        <f t="shared" si="232"/>
        <v/>
      </c>
      <c r="AY852" s="25" t="str">
        <f t="shared" si="233"/>
        <v/>
      </c>
      <c r="AZ852" s="25" t="str">
        <f t="shared" si="234"/>
        <v/>
      </c>
      <c r="BA852" s="25" t="str">
        <f t="shared" si="235"/>
        <v/>
      </c>
      <c r="BB852" s="25" t="str">
        <f t="shared" si="236"/>
        <v/>
      </c>
      <c r="BC852" s="25" t="str">
        <f t="shared" si="237"/>
        <v/>
      </c>
    </row>
    <row r="853" spans="1:55" x14ac:dyDescent="0.25">
      <c r="A853" s="19" t="str">
        <f t="shared" si="222"/>
        <v/>
      </c>
      <c r="B853" s="19"/>
      <c r="C853" s="20"/>
      <c r="D853" s="19" t="str">
        <f t="shared" si="221"/>
        <v/>
      </c>
      <c r="E853" s="19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19"/>
      <c r="U853" s="19"/>
      <c r="V853" s="20"/>
      <c r="W853" s="22"/>
      <c r="X853" s="21"/>
      <c r="Y853" s="21"/>
      <c r="Z853" s="23" t="str">
        <f>IF(B853="","",IF(S853&lt;&gt;"","Sevk Edildi",IF(AND(X853&lt;&gt;"",Y853=""),"Reworkte",IF(T853&lt;&gt;"","Kapandı"&amp;IF(COUNT(G853:R853)=0,""," – "&amp;LOOKUP(2,1/(G853:R853=MAX(G853:R853)),{"Tasarım","Ply Cutter","Üretim","Kalite (Üretim sonrası)","Talaşlı","Kalite (Talaşlı sonrası)","Montaj","Kalite (Montaj sonrası)","Boya","Kalite (Boya sonrası)","Yarı Mamül","KM"})),IF(COUNT(G853:R853)=0,"Başlamadı",LOOKUP(2,1/(G853:R853=MAX(G853:R853)),{"Tasarımda","Ply Cutter'da","Üretimde","Kalitede (Üretim sonrası)","Talaşlıda","Kalitede (Talaşlı sonrası)","Montajda","Kalitede (Montaj sonrası)","Boyada","Kalitede (Boya sonrası)","Yarı Mamülde","KM'de"}))))))</f>
        <v/>
      </c>
      <c r="AA853" s="24" t="str">
        <f t="shared" ca="1" si="223"/>
        <v/>
      </c>
      <c r="AB853" s="22"/>
      <c r="AD853" t="str">
        <f>IF(OR($B853="",NOT(ISNUMBER(G853))),"",IF(COUNTIF(H853:$T853,G853)&gt;0,0,IF(COUNTIF($G853:$T853,"&gt;"&amp;G853)=0,"",SMALL($G853:$T853,COUNTIF($G853:$T853,"&lt;="&amp;G853)+1)-G853)))</f>
        <v/>
      </c>
      <c r="AE853" t="str">
        <f>IF(OR($B853="",NOT(ISNUMBER(H853))),"",IF(COUNTIF(I853:$T853,H853)&gt;0,0,IF(COUNTIF($G853:$T853,"&gt;"&amp;H853)=0,"",SMALL($G853:$T853,COUNTIF($G853:$T853,"&lt;="&amp;H853)+1)-H853)))</f>
        <v/>
      </c>
      <c r="AF853" t="str">
        <f>IF(OR($B853="",NOT(ISNUMBER(I853))),"",IF(COUNTIF(J853:$T853,I853)&gt;0,0,IF(COUNTIF($G853:$T853,"&gt;"&amp;I853)=0,"",SMALL($G853:$T853,COUNTIF($G853:$T853,"&lt;="&amp;I853)+1)-I853)))</f>
        <v/>
      </c>
      <c r="AG853" t="str">
        <f>IF(OR($B853="",NOT(ISNUMBER(J853))),"",IF(COUNTIF(K853:$T853,J853)&gt;0,0,IF(COUNTIF($G853:$T853,"&gt;"&amp;J853)=0,"",SMALL($G853:$T853,COUNTIF($G853:$T853,"&lt;="&amp;J853)+1)-J853)))</f>
        <v/>
      </c>
      <c r="AH853" t="str">
        <f>IF(OR($B853="",NOT(ISNUMBER(K853))),"",IF(COUNTIF(L853:$T853,K853)&gt;0,0,IF(COUNTIF($G853:$T853,"&gt;"&amp;K853)=0,"",SMALL($G853:$T853,COUNTIF($G853:$T853,"&lt;="&amp;K853)+1)-K853)))</f>
        <v/>
      </c>
      <c r="AI853" t="str">
        <f>IF(OR($B853="",NOT(ISNUMBER(L853))),"",IF(COUNTIF(M853:$T853,L853)&gt;0,0,IF(COUNTIF($G853:$T853,"&gt;"&amp;L853)=0,"",SMALL($G853:$T853,COUNTIF($G853:$T853,"&lt;="&amp;L853)+1)-L853)))</f>
        <v/>
      </c>
      <c r="AJ853" t="str">
        <f>IF(OR($B853="",NOT(ISNUMBER(M853))),"",IF(COUNTIF(N853:$T853,M853)&gt;0,0,IF(COUNTIF($G853:$T853,"&gt;"&amp;M853)=0,"",SMALL($G853:$T853,COUNTIF($G853:$T853,"&lt;="&amp;M853)+1)-M853)))</f>
        <v/>
      </c>
      <c r="AK853" t="str">
        <f>IF(OR($B853="",NOT(ISNUMBER(N853))),"",IF(COUNTIF(O853:$T853,N853)&gt;0,0,IF(COUNTIF($G853:$T853,"&gt;"&amp;N853)=0,"",SMALL($G853:$T853,COUNTIF($G853:$T853,"&lt;="&amp;N853)+1)-N853)))</f>
        <v/>
      </c>
      <c r="AL853" t="str">
        <f>IF(OR($B853="",NOT(ISNUMBER(O853))),"",IF(COUNTIF(P853:$T853,O853)&gt;0,0,IF(COUNTIF($G853:$T853,"&gt;"&amp;O853)=0,"",SMALL($G853:$T853,COUNTIF($G853:$T853,"&lt;="&amp;O853)+1)-O853)))</f>
        <v/>
      </c>
      <c r="AM853" t="str">
        <f>IF(OR($B853="",NOT(ISNUMBER(P853))),"",IF(COUNTIF(Q853:$T853,P853)&gt;0,0,IF(COUNTIF($G853:$T853,"&gt;"&amp;P853)=0,"",SMALL($G853:$T853,COUNTIF($G853:$T853,"&lt;="&amp;P853)+1)-P853)))</f>
        <v/>
      </c>
      <c r="AN853" t="str">
        <f>IF(OR($B853="",NOT(ISNUMBER(Q853))),"",IF(COUNTIF(R853:$T853,Q853)&gt;0,0,IF(COUNTIF($G853:$T853,"&gt;"&amp;Q853)=0,"",SMALL($G853:$T853,COUNTIF($G853:$T853,"&lt;="&amp;Q853)+1)-Q853)))</f>
        <v/>
      </c>
      <c r="AO853" t="str">
        <f>IF(OR($B853="",NOT(ISNUMBER(R853))),"",IF(COUNTIF(S853:$T853,R853)&gt;0,0,IF(COUNTIF($G853:$T853,"&gt;"&amp;R853)=0,"",SMALL($G853:$T853,COUNTIF($G853:$T853,"&lt;="&amp;R853)+1)-R853)))</f>
        <v/>
      </c>
      <c r="AP853">
        <f t="shared" ca="1" si="224"/>
        <v>0</v>
      </c>
      <c r="AQ853" s="25" t="str">
        <f t="shared" si="225"/>
        <v/>
      </c>
      <c r="AR853" s="25" t="str">
        <f t="shared" si="226"/>
        <v/>
      </c>
      <c r="AS853" s="25" t="str">
        <f t="shared" si="227"/>
        <v/>
      </c>
      <c r="AT853" s="25" t="str">
        <f t="shared" si="228"/>
        <v/>
      </c>
      <c r="AU853" s="25" t="str">
        <f t="shared" si="229"/>
        <v/>
      </c>
      <c r="AV853" s="25" t="str">
        <f t="shared" si="230"/>
        <v/>
      </c>
      <c r="AW853" s="25" t="str">
        <f t="shared" si="231"/>
        <v/>
      </c>
      <c r="AX853" s="25" t="str">
        <f t="shared" si="232"/>
        <v/>
      </c>
      <c r="AY853" s="25" t="str">
        <f t="shared" si="233"/>
        <v/>
      </c>
      <c r="AZ853" s="25" t="str">
        <f t="shared" si="234"/>
        <v/>
      </c>
      <c r="BA853" s="25" t="str">
        <f t="shared" si="235"/>
        <v/>
      </c>
      <c r="BB853" s="25" t="str">
        <f t="shared" si="236"/>
        <v/>
      </c>
      <c r="BC853" s="25" t="str">
        <f t="shared" si="237"/>
        <v/>
      </c>
    </row>
    <row r="854" spans="1:55" x14ac:dyDescent="0.25">
      <c r="A854" s="19" t="str">
        <f t="shared" si="222"/>
        <v/>
      </c>
      <c r="B854" s="19"/>
      <c r="C854" s="20"/>
      <c r="D854" s="19" t="str">
        <f t="shared" si="221"/>
        <v/>
      </c>
      <c r="E854" s="19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19"/>
      <c r="U854" s="19"/>
      <c r="V854" s="20"/>
      <c r="W854" s="22"/>
      <c r="X854" s="21"/>
      <c r="Y854" s="21"/>
      <c r="Z854" s="23" t="str">
        <f>IF(B854="","",IF(S854&lt;&gt;"","Sevk Edildi",IF(AND(X854&lt;&gt;"",Y854=""),"Reworkte",IF(T854&lt;&gt;"","Kapandı"&amp;IF(COUNT(G854:R854)=0,""," – "&amp;LOOKUP(2,1/(G854:R854=MAX(G854:R854)),{"Tasarım","Ply Cutter","Üretim","Kalite (Üretim sonrası)","Talaşlı","Kalite (Talaşlı sonrası)","Montaj","Kalite (Montaj sonrası)","Boya","Kalite (Boya sonrası)","Yarı Mamül","KM"})),IF(COUNT(G854:R854)=0,"Başlamadı",LOOKUP(2,1/(G854:R854=MAX(G854:R854)),{"Tasarımda","Ply Cutter'da","Üretimde","Kalitede (Üretim sonrası)","Talaşlıda","Kalitede (Talaşlı sonrası)","Montajda","Kalitede (Montaj sonrası)","Boyada","Kalitede (Boya sonrası)","Yarı Mamülde","KM'de"}))))))</f>
        <v/>
      </c>
      <c r="AA854" s="24" t="str">
        <f t="shared" ca="1" si="223"/>
        <v/>
      </c>
      <c r="AB854" s="22"/>
      <c r="AD854" t="str">
        <f>IF(OR($B854="",NOT(ISNUMBER(G854))),"",IF(COUNTIF(H854:$T854,G854)&gt;0,0,IF(COUNTIF($G854:$T854,"&gt;"&amp;G854)=0,"",SMALL($G854:$T854,COUNTIF($G854:$T854,"&lt;="&amp;G854)+1)-G854)))</f>
        <v/>
      </c>
      <c r="AE854" t="str">
        <f>IF(OR($B854="",NOT(ISNUMBER(H854))),"",IF(COUNTIF(I854:$T854,H854)&gt;0,0,IF(COUNTIF($G854:$T854,"&gt;"&amp;H854)=0,"",SMALL($G854:$T854,COUNTIF($G854:$T854,"&lt;="&amp;H854)+1)-H854)))</f>
        <v/>
      </c>
      <c r="AF854" t="str">
        <f>IF(OR($B854="",NOT(ISNUMBER(I854))),"",IF(COUNTIF(J854:$T854,I854)&gt;0,0,IF(COUNTIF($G854:$T854,"&gt;"&amp;I854)=0,"",SMALL($G854:$T854,COUNTIF($G854:$T854,"&lt;="&amp;I854)+1)-I854)))</f>
        <v/>
      </c>
      <c r="AG854" t="str">
        <f>IF(OR($B854="",NOT(ISNUMBER(J854))),"",IF(COUNTIF(K854:$T854,J854)&gt;0,0,IF(COUNTIF($G854:$T854,"&gt;"&amp;J854)=0,"",SMALL($G854:$T854,COUNTIF($G854:$T854,"&lt;="&amp;J854)+1)-J854)))</f>
        <v/>
      </c>
      <c r="AH854" t="str">
        <f>IF(OR($B854="",NOT(ISNUMBER(K854))),"",IF(COUNTIF(L854:$T854,K854)&gt;0,0,IF(COUNTIF($G854:$T854,"&gt;"&amp;K854)=0,"",SMALL($G854:$T854,COUNTIF($G854:$T854,"&lt;="&amp;K854)+1)-K854)))</f>
        <v/>
      </c>
      <c r="AI854" t="str">
        <f>IF(OR($B854="",NOT(ISNUMBER(L854))),"",IF(COUNTIF(M854:$T854,L854)&gt;0,0,IF(COUNTIF($G854:$T854,"&gt;"&amp;L854)=0,"",SMALL($G854:$T854,COUNTIF($G854:$T854,"&lt;="&amp;L854)+1)-L854)))</f>
        <v/>
      </c>
      <c r="AJ854" t="str">
        <f>IF(OR($B854="",NOT(ISNUMBER(M854))),"",IF(COUNTIF(N854:$T854,M854)&gt;0,0,IF(COUNTIF($G854:$T854,"&gt;"&amp;M854)=0,"",SMALL($G854:$T854,COUNTIF($G854:$T854,"&lt;="&amp;M854)+1)-M854)))</f>
        <v/>
      </c>
      <c r="AK854" t="str">
        <f>IF(OR($B854="",NOT(ISNUMBER(N854))),"",IF(COUNTIF(O854:$T854,N854)&gt;0,0,IF(COUNTIF($G854:$T854,"&gt;"&amp;N854)=0,"",SMALL($G854:$T854,COUNTIF($G854:$T854,"&lt;="&amp;N854)+1)-N854)))</f>
        <v/>
      </c>
      <c r="AL854" t="str">
        <f>IF(OR($B854="",NOT(ISNUMBER(O854))),"",IF(COUNTIF(P854:$T854,O854)&gt;0,0,IF(COUNTIF($G854:$T854,"&gt;"&amp;O854)=0,"",SMALL($G854:$T854,COUNTIF($G854:$T854,"&lt;="&amp;O854)+1)-O854)))</f>
        <v/>
      </c>
      <c r="AM854" t="str">
        <f>IF(OR($B854="",NOT(ISNUMBER(P854))),"",IF(COUNTIF(Q854:$T854,P854)&gt;0,0,IF(COUNTIF($G854:$T854,"&gt;"&amp;P854)=0,"",SMALL($G854:$T854,COUNTIF($G854:$T854,"&lt;="&amp;P854)+1)-P854)))</f>
        <v/>
      </c>
      <c r="AN854" t="str">
        <f>IF(OR($B854="",NOT(ISNUMBER(Q854))),"",IF(COUNTIF(R854:$T854,Q854)&gt;0,0,IF(COUNTIF($G854:$T854,"&gt;"&amp;Q854)=0,"",SMALL($G854:$T854,COUNTIF($G854:$T854,"&lt;="&amp;Q854)+1)-Q854)))</f>
        <v/>
      </c>
      <c r="AO854" t="str">
        <f>IF(OR($B854="",NOT(ISNUMBER(R854))),"",IF(COUNTIF(S854:$T854,R854)&gt;0,0,IF(COUNTIF($G854:$T854,"&gt;"&amp;R854)=0,"",SMALL($G854:$T854,COUNTIF($G854:$T854,"&lt;="&amp;R854)+1)-R854)))</f>
        <v/>
      </c>
      <c r="AP854">
        <f t="shared" ca="1" si="224"/>
        <v>0</v>
      </c>
      <c r="AQ854" s="25" t="str">
        <f t="shared" si="225"/>
        <v/>
      </c>
      <c r="AR854" s="25" t="str">
        <f t="shared" si="226"/>
        <v/>
      </c>
      <c r="AS854" s="25" t="str">
        <f t="shared" si="227"/>
        <v/>
      </c>
      <c r="AT854" s="25" t="str">
        <f t="shared" si="228"/>
        <v/>
      </c>
      <c r="AU854" s="25" t="str">
        <f t="shared" si="229"/>
        <v/>
      </c>
      <c r="AV854" s="25" t="str">
        <f t="shared" si="230"/>
        <v/>
      </c>
      <c r="AW854" s="25" t="str">
        <f t="shared" si="231"/>
        <v/>
      </c>
      <c r="AX854" s="25" t="str">
        <f t="shared" si="232"/>
        <v/>
      </c>
      <c r="AY854" s="25" t="str">
        <f t="shared" si="233"/>
        <v/>
      </c>
      <c r="AZ854" s="25" t="str">
        <f t="shared" si="234"/>
        <v/>
      </c>
      <c r="BA854" s="25" t="str">
        <f t="shared" si="235"/>
        <v/>
      </c>
      <c r="BB854" s="25" t="str">
        <f t="shared" si="236"/>
        <v/>
      </c>
      <c r="BC854" s="25" t="str">
        <f t="shared" si="237"/>
        <v/>
      </c>
    </row>
    <row r="855" spans="1:55" x14ac:dyDescent="0.25">
      <c r="A855" s="19" t="str">
        <f t="shared" si="222"/>
        <v/>
      </c>
      <c r="B855" s="19"/>
      <c r="C855" s="20"/>
      <c r="D855" s="19" t="str">
        <f t="shared" si="221"/>
        <v/>
      </c>
      <c r="E855" s="19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19"/>
      <c r="U855" s="19"/>
      <c r="V855" s="20"/>
      <c r="W855" s="22"/>
      <c r="X855" s="21"/>
      <c r="Y855" s="21"/>
      <c r="Z855" s="23" t="str">
        <f>IF(B855="","",IF(S855&lt;&gt;"","Sevk Edildi",IF(AND(X855&lt;&gt;"",Y855=""),"Reworkte",IF(T855&lt;&gt;"","Kapandı"&amp;IF(COUNT(G855:R855)=0,""," – "&amp;LOOKUP(2,1/(G855:R855=MAX(G855:R855)),{"Tasarım","Ply Cutter","Üretim","Kalite (Üretim sonrası)","Talaşlı","Kalite (Talaşlı sonrası)","Montaj","Kalite (Montaj sonrası)","Boya","Kalite (Boya sonrası)","Yarı Mamül","KM"})),IF(COUNT(G855:R855)=0,"Başlamadı",LOOKUP(2,1/(G855:R855=MAX(G855:R855)),{"Tasarımda","Ply Cutter'da","Üretimde","Kalitede (Üretim sonrası)","Talaşlıda","Kalitede (Talaşlı sonrası)","Montajda","Kalitede (Montaj sonrası)","Boyada","Kalitede (Boya sonrası)","Yarı Mamülde","KM'de"}))))))</f>
        <v/>
      </c>
      <c r="AA855" s="24" t="str">
        <f t="shared" ca="1" si="223"/>
        <v/>
      </c>
      <c r="AB855" s="22"/>
      <c r="AD855" t="str">
        <f>IF(OR($B855="",NOT(ISNUMBER(G855))),"",IF(COUNTIF(H855:$T855,G855)&gt;0,0,IF(COUNTIF($G855:$T855,"&gt;"&amp;G855)=0,"",SMALL($G855:$T855,COUNTIF($G855:$T855,"&lt;="&amp;G855)+1)-G855)))</f>
        <v/>
      </c>
      <c r="AE855" t="str">
        <f>IF(OR($B855="",NOT(ISNUMBER(H855))),"",IF(COUNTIF(I855:$T855,H855)&gt;0,0,IF(COUNTIF($G855:$T855,"&gt;"&amp;H855)=0,"",SMALL($G855:$T855,COUNTIF($G855:$T855,"&lt;="&amp;H855)+1)-H855)))</f>
        <v/>
      </c>
      <c r="AF855" t="str">
        <f>IF(OR($B855="",NOT(ISNUMBER(I855))),"",IF(COUNTIF(J855:$T855,I855)&gt;0,0,IF(COUNTIF($G855:$T855,"&gt;"&amp;I855)=0,"",SMALL($G855:$T855,COUNTIF($G855:$T855,"&lt;="&amp;I855)+1)-I855)))</f>
        <v/>
      </c>
      <c r="AG855" t="str">
        <f>IF(OR($B855="",NOT(ISNUMBER(J855))),"",IF(COUNTIF(K855:$T855,J855)&gt;0,0,IF(COUNTIF($G855:$T855,"&gt;"&amp;J855)=0,"",SMALL($G855:$T855,COUNTIF($G855:$T855,"&lt;="&amp;J855)+1)-J855)))</f>
        <v/>
      </c>
      <c r="AH855" t="str">
        <f>IF(OR($B855="",NOT(ISNUMBER(K855))),"",IF(COUNTIF(L855:$T855,K855)&gt;0,0,IF(COUNTIF($G855:$T855,"&gt;"&amp;K855)=0,"",SMALL($G855:$T855,COUNTIF($G855:$T855,"&lt;="&amp;K855)+1)-K855)))</f>
        <v/>
      </c>
      <c r="AI855" t="str">
        <f>IF(OR($B855="",NOT(ISNUMBER(L855))),"",IF(COUNTIF(M855:$T855,L855)&gt;0,0,IF(COUNTIF($G855:$T855,"&gt;"&amp;L855)=0,"",SMALL($G855:$T855,COUNTIF($G855:$T855,"&lt;="&amp;L855)+1)-L855)))</f>
        <v/>
      </c>
      <c r="AJ855" t="str">
        <f>IF(OR($B855="",NOT(ISNUMBER(M855))),"",IF(COUNTIF(N855:$T855,M855)&gt;0,0,IF(COUNTIF($G855:$T855,"&gt;"&amp;M855)=0,"",SMALL($G855:$T855,COUNTIF($G855:$T855,"&lt;="&amp;M855)+1)-M855)))</f>
        <v/>
      </c>
      <c r="AK855" t="str">
        <f>IF(OR($B855="",NOT(ISNUMBER(N855))),"",IF(COUNTIF(O855:$T855,N855)&gt;0,0,IF(COUNTIF($G855:$T855,"&gt;"&amp;N855)=0,"",SMALL($G855:$T855,COUNTIF($G855:$T855,"&lt;="&amp;N855)+1)-N855)))</f>
        <v/>
      </c>
      <c r="AL855" t="str">
        <f>IF(OR($B855="",NOT(ISNUMBER(O855))),"",IF(COUNTIF(P855:$T855,O855)&gt;0,0,IF(COUNTIF($G855:$T855,"&gt;"&amp;O855)=0,"",SMALL($G855:$T855,COUNTIF($G855:$T855,"&lt;="&amp;O855)+1)-O855)))</f>
        <v/>
      </c>
      <c r="AM855" t="str">
        <f>IF(OR($B855="",NOT(ISNUMBER(P855))),"",IF(COUNTIF(Q855:$T855,P855)&gt;0,0,IF(COUNTIF($G855:$T855,"&gt;"&amp;P855)=0,"",SMALL($G855:$T855,COUNTIF($G855:$T855,"&lt;="&amp;P855)+1)-P855)))</f>
        <v/>
      </c>
      <c r="AN855" t="str">
        <f>IF(OR($B855="",NOT(ISNUMBER(Q855))),"",IF(COUNTIF(R855:$T855,Q855)&gt;0,0,IF(COUNTIF($G855:$T855,"&gt;"&amp;Q855)=0,"",SMALL($G855:$T855,COUNTIF($G855:$T855,"&lt;="&amp;Q855)+1)-Q855)))</f>
        <v/>
      </c>
      <c r="AO855" t="str">
        <f>IF(OR($B855="",NOT(ISNUMBER(R855))),"",IF(COUNTIF(S855:$T855,R855)&gt;0,0,IF(COUNTIF($G855:$T855,"&gt;"&amp;R855)=0,"",SMALL($G855:$T855,COUNTIF($G855:$T855,"&lt;="&amp;R855)+1)-R855)))</f>
        <v/>
      </c>
      <c r="AP855">
        <f t="shared" ca="1" si="224"/>
        <v>0</v>
      </c>
      <c r="AQ855" s="25" t="str">
        <f t="shared" si="225"/>
        <v/>
      </c>
      <c r="AR855" s="25" t="str">
        <f t="shared" si="226"/>
        <v/>
      </c>
      <c r="AS855" s="25" t="str">
        <f t="shared" si="227"/>
        <v/>
      </c>
      <c r="AT855" s="25" t="str">
        <f t="shared" si="228"/>
        <v/>
      </c>
      <c r="AU855" s="25" t="str">
        <f t="shared" si="229"/>
        <v/>
      </c>
      <c r="AV855" s="25" t="str">
        <f t="shared" si="230"/>
        <v/>
      </c>
      <c r="AW855" s="25" t="str">
        <f t="shared" si="231"/>
        <v/>
      </c>
      <c r="AX855" s="25" t="str">
        <f t="shared" si="232"/>
        <v/>
      </c>
      <c r="AY855" s="25" t="str">
        <f t="shared" si="233"/>
        <v/>
      </c>
      <c r="AZ855" s="25" t="str">
        <f t="shared" si="234"/>
        <v/>
      </c>
      <c r="BA855" s="25" t="str">
        <f t="shared" si="235"/>
        <v/>
      </c>
      <c r="BB855" s="25" t="str">
        <f t="shared" si="236"/>
        <v/>
      </c>
      <c r="BC855" s="25" t="str">
        <f t="shared" si="237"/>
        <v/>
      </c>
    </row>
    <row r="856" spans="1:55" x14ac:dyDescent="0.25">
      <c r="A856" s="19" t="str">
        <f t="shared" si="222"/>
        <v/>
      </c>
      <c r="B856" s="19"/>
      <c r="C856" s="20"/>
      <c r="D856" s="19" t="str">
        <f t="shared" si="221"/>
        <v/>
      </c>
      <c r="E856" s="19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19"/>
      <c r="U856" s="19"/>
      <c r="V856" s="20"/>
      <c r="W856" s="22"/>
      <c r="X856" s="21"/>
      <c r="Y856" s="21"/>
      <c r="Z856" s="23" t="str">
        <f>IF(B856="","",IF(S856&lt;&gt;"","Sevk Edildi",IF(AND(X856&lt;&gt;"",Y856=""),"Reworkte",IF(T856&lt;&gt;"","Kapandı"&amp;IF(COUNT(G856:R856)=0,""," – "&amp;LOOKUP(2,1/(G856:R856=MAX(G856:R856)),{"Tasarım","Ply Cutter","Üretim","Kalite (Üretim sonrası)","Talaşlı","Kalite (Talaşlı sonrası)","Montaj","Kalite (Montaj sonrası)","Boya","Kalite (Boya sonrası)","Yarı Mamül","KM"})),IF(COUNT(G856:R856)=0,"Başlamadı",LOOKUP(2,1/(G856:R856=MAX(G856:R856)),{"Tasarımda","Ply Cutter'da","Üretimde","Kalitede (Üretim sonrası)","Talaşlıda","Kalitede (Talaşlı sonrası)","Montajda","Kalitede (Montaj sonrası)","Boyada","Kalitede (Boya sonrası)","Yarı Mamülde","KM'de"}))))))</f>
        <v/>
      </c>
      <c r="AA856" s="24" t="str">
        <f t="shared" ca="1" si="223"/>
        <v/>
      </c>
      <c r="AB856" s="22"/>
      <c r="AD856" t="str">
        <f>IF(OR($B856="",NOT(ISNUMBER(G856))),"",IF(COUNTIF(H856:$T856,G856)&gt;0,0,IF(COUNTIF($G856:$T856,"&gt;"&amp;G856)=0,"",SMALL($G856:$T856,COUNTIF($G856:$T856,"&lt;="&amp;G856)+1)-G856)))</f>
        <v/>
      </c>
      <c r="AE856" t="str">
        <f>IF(OR($B856="",NOT(ISNUMBER(H856))),"",IF(COUNTIF(I856:$T856,H856)&gt;0,0,IF(COUNTIF($G856:$T856,"&gt;"&amp;H856)=0,"",SMALL($G856:$T856,COUNTIF($G856:$T856,"&lt;="&amp;H856)+1)-H856)))</f>
        <v/>
      </c>
      <c r="AF856" t="str">
        <f>IF(OR($B856="",NOT(ISNUMBER(I856))),"",IF(COUNTIF(J856:$T856,I856)&gt;0,0,IF(COUNTIF($G856:$T856,"&gt;"&amp;I856)=0,"",SMALL($G856:$T856,COUNTIF($G856:$T856,"&lt;="&amp;I856)+1)-I856)))</f>
        <v/>
      </c>
      <c r="AG856" t="str">
        <f>IF(OR($B856="",NOT(ISNUMBER(J856))),"",IF(COUNTIF(K856:$T856,J856)&gt;0,0,IF(COUNTIF($G856:$T856,"&gt;"&amp;J856)=0,"",SMALL($G856:$T856,COUNTIF($G856:$T856,"&lt;="&amp;J856)+1)-J856)))</f>
        <v/>
      </c>
      <c r="AH856" t="str">
        <f>IF(OR($B856="",NOT(ISNUMBER(K856))),"",IF(COUNTIF(L856:$T856,K856)&gt;0,0,IF(COUNTIF($G856:$T856,"&gt;"&amp;K856)=0,"",SMALL($G856:$T856,COUNTIF($G856:$T856,"&lt;="&amp;K856)+1)-K856)))</f>
        <v/>
      </c>
      <c r="AI856" t="str">
        <f>IF(OR($B856="",NOT(ISNUMBER(L856))),"",IF(COUNTIF(M856:$T856,L856)&gt;0,0,IF(COUNTIF($G856:$T856,"&gt;"&amp;L856)=0,"",SMALL($G856:$T856,COUNTIF($G856:$T856,"&lt;="&amp;L856)+1)-L856)))</f>
        <v/>
      </c>
      <c r="AJ856" t="str">
        <f>IF(OR($B856="",NOT(ISNUMBER(M856))),"",IF(COUNTIF(N856:$T856,M856)&gt;0,0,IF(COUNTIF($G856:$T856,"&gt;"&amp;M856)=0,"",SMALL($G856:$T856,COUNTIF($G856:$T856,"&lt;="&amp;M856)+1)-M856)))</f>
        <v/>
      </c>
      <c r="AK856" t="str">
        <f>IF(OR($B856="",NOT(ISNUMBER(N856))),"",IF(COUNTIF(O856:$T856,N856)&gt;0,0,IF(COUNTIF($G856:$T856,"&gt;"&amp;N856)=0,"",SMALL($G856:$T856,COUNTIF($G856:$T856,"&lt;="&amp;N856)+1)-N856)))</f>
        <v/>
      </c>
      <c r="AL856" t="str">
        <f>IF(OR($B856="",NOT(ISNUMBER(O856))),"",IF(COUNTIF(P856:$T856,O856)&gt;0,0,IF(COUNTIF($G856:$T856,"&gt;"&amp;O856)=0,"",SMALL($G856:$T856,COUNTIF($G856:$T856,"&lt;="&amp;O856)+1)-O856)))</f>
        <v/>
      </c>
      <c r="AM856" t="str">
        <f>IF(OR($B856="",NOT(ISNUMBER(P856))),"",IF(COUNTIF(Q856:$T856,P856)&gt;0,0,IF(COUNTIF($G856:$T856,"&gt;"&amp;P856)=0,"",SMALL($G856:$T856,COUNTIF($G856:$T856,"&lt;="&amp;P856)+1)-P856)))</f>
        <v/>
      </c>
      <c r="AN856" t="str">
        <f>IF(OR($B856="",NOT(ISNUMBER(Q856))),"",IF(COUNTIF(R856:$T856,Q856)&gt;0,0,IF(COUNTIF($G856:$T856,"&gt;"&amp;Q856)=0,"",SMALL($G856:$T856,COUNTIF($G856:$T856,"&lt;="&amp;Q856)+1)-Q856)))</f>
        <v/>
      </c>
      <c r="AO856" t="str">
        <f>IF(OR($B856="",NOT(ISNUMBER(R856))),"",IF(COUNTIF(S856:$T856,R856)&gt;0,0,IF(COUNTIF($G856:$T856,"&gt;"&amp;R856)=0,"",SMALL($G856:$T856,COUNTIF($G856:$T856,"&lt;="&amp;R856)+1)-R856)))</f>
        <v/>
      </c>
      <c r="AP856">
        <f t="shared" ca="1" si="224"/>
        <v>0</v>
      </c>
      <c r="AQ856" s="25" t="str">
        <f t="shared" si="225"/>
        <v/>
      </c>
      <c r="AR856" s="25" t="str">
        <f t="shared" si="226"/>
        <v/>
      </c>
      <c r="AS856" s="25" t="str">
        <f t="shared" si="227"/>
        <v/>
      </c>
      <c r="AT856" s="25" t="str">
        <f t="shared" si="228"/>
        <v/>
      </c>
      <c r="AU856" s="25" t="str">
        <f t="shared" si="229"/>
        <v/>
      </c>
      <c r="AV856" s="25" t="str">
        <f t="shared" si="230"/>
        <v/>
      </c>
      <c r="AW856" s="25" t="str">
        <f t="shared" si="231"/>
        <v/>
      </c>
      <c r="AX856" s="25" t="str">
        <f t="shared" si="232"/>
        <v/>
      </c>
      <c r="AY856" s="25" t="str">
        <f t="shared" si="233"/>
        <v/>
      </c>
      <c r="AZ856" s="25" t="str">
        <f t="shared" si="234"/>
        <v/>
      </c>
      <c r="BA856" s="25" t="str">
        <f t="shared" si="235"/>
        <v/>
      </c>
      <c r="BB856" s="25" t="str">
        <f t="shared" si="236"/>
        <v/>
      </c>
      <c r="BC856" s="25" t="str">
        <f t="shared" si="237"/>
        <v/>
      </c>
    </row>
    <row r="857" spans="1:55" x14ac:dyDescent="0.25">
      <c r="A857" s="19" t="str">
        <f t="shared" si="222"/>
        <v/>
      </c>
      <c r="B857" s="19"/>
      <c r="C857" s="20"/>
      <c r="D857" s="19" t="str">
        <f t="shared" si="221"/>
        <v/>
      </c>
      <c r="E857" s="19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19"/>
      <c r="U857" s="19"/>
      <c r="V857" s="20"/>
      <c r="W857" s="22"/>
      <c r="X857" s="21"/>
      <c r="Y857" s="21"/>
      <c r="Z857" s="23" t="str">
        <f>IF(B857="","",IF(S857&lt;&gt;"","Sevk Edildi",IF(AND(X857&lt;&gt;"",Y857=""),"Reworkte",IF(T857&lt;&gt;"","Kapandı"&amp;IF(COUNT(G857:R857)=0,""," – "&amp;LOOKUP(2,1/(G857:R857=MAX(G857:R857)),{"Tasarım","Ply Cutter","Üretim","Kalite (Üretim sonrası)","Talaşlı","Kalite (Talaşlı sonrası)","Montaj","Kalite (Montaj sonrası)","Boya","Kalite (Boya sonrası)","Yarı Mamül","KM"})),IF(COUNT(G857:R857)=0,"Başlamadı",LOOKUP(2,1/(G857:R857=MAX(G857:R857)),{"Tasarımda","Ply Cutter'da","Üretimde","Kalitede (Üretim sonrası)","Talaşlıda","Kalitede (Talaşlı sonrası)","Montajda","Kalitede (Montaj sonrası)","Boyada","Kalitede (Boya sonrası)","Yarı Mamülde","KM'de"}))))))</f>
        <v/>
      </c>
      <c r="AA857" s="24" t="str">
        <f t="shared" ca="1" si="223"/>
        <v/>
      </c>
      <c r="AB857" s="22"/>
      <c r="AD857" t="str">
        <f>IF(OR($B857="",NOT(ISNUMBER(G857))),"",IF(COUNTIF(H857:$T857,G857)&gt;0,0,IF(COUNTIF($G857:$T857,"&gt;"&amp;G857)=0,"",SMALL($G857:$T857,COUNTIF($G857:$T857,"&lt;="&amp;G857)+1)-G857)))</f>
        <v/>
      </c>
      <c r="AE857" t="str">
        <f>IF(OR($B857="",NOT(ISNUMBER(H857))),"",IF(COUNTIF(I857:$T857,H857)&gt;0,0,IF(COUNTIF($G857:$T857,"&gt;"&amp;H857)=0,"",SMALL($G857:$T857,COUNTIF($G857:$T857,"&lt;="&amp;H857)+1)-H857)))</f>
        <v/>
      </c>
      <c r="AF857" t="str">
        <f>IF(OR($B857="",NOT(ISNUMBER(I857))),"",IF(COUNTIF(J857:$T857,I857)&gt;0,0,IF(COUNTIF($G857:$T857,"&gt;"&amp;I857)=0,"",SMALL($G857:$T857,COUNTIF($G857:$T857,"&lt;="&amp;I857)+1)-I857)))</f>
        <v/>
      </c>
      <c r="AG857" t="str">
        <f>IF(OR($B857="",NOT(ISNUMBER(J857))),"",IF(COUNTIF(K857:$T857,J857)&gt;0,0,IF(COUNTIF($G857:$T857,"&gt;"&amp;J857)=0,"",SMALL($G857:$T857,COUNTIF($G857:$T857,"&lt;="&amp;J857)+1)-J857)))</f>
        <v/>
      </c>
      <c r="AH857" t="str">
        <f>IF(OR($B857="",NOT(ISNUMBER(K857))),"",IF(COUNTIF(L857:$T857,K857)&gt;0,0,IF(COUNTIF($G857:$T857,"&gt;"&amp;K857)=0,"",SMALL($G857:$T857,COUNTIF($G857:$T857,"&lt;="&amp;K857)+1)-K857)))</f>
        <v/>
      </c>
      <c r="AI857" t="str">
        <f>IF(OR($B857="",NOT(ISNUMBER(L857))),"",IF(COUNTIF(M857:$T857,L857)&gt;0,0,IF(COUNTIF($G857:$T857,"&gt;"&amp;L857)=0,"",SMALL($G857:$T857,COUNTIF($G857:$T857,"&lt;="&amp;L857)+1)-L857)))</f>
        <v/>
      </c>
      <c r="AJ857" t="str">
        <f>IF(OR($B857="",NOT(ISNUMBER(M857))),"",IF(COUNTIF(N857:$T857,M857)&gt;0,0,IF(COUNTIF($G857:$T857,"&gt;"&amp;M857)=0,"",SMALL($G857:$T857,COUNTIF($G857:$T857,"&lt;="&amp;M857)+1)-M857)))</f>
        <v/>
      </c>
      <c r="AK857" t="str">
        <f>IF(OR($B857="",NOT(ISNUMBER(N857))),"",IF(COUNTIF(O857:$T857,N857)&gt;0,0,IF(COUNTIF($G857:$T857,"&gt;"&amp;N857)=0,"",SMALL($G857:$T857,COUNTIF($G857:$T857,"&lt;="&amp;N857)+1)-N857)))</f>
        <v/>
      </c>
      <c r="AL857" t="str">
        <f>IF(OR($B857="",NOT(ISNUMBER(O857))),"",IF(COUNTIF(P857:$T857,O857)&gt;0,0,IF(COUNTIF($G857:$T857,"&gt;"&amp;O857)=0,"",SMALL($G857:$T857,COUNTIF($G857:$T857,"&lt;="&amp;O857)+1)-O857)))</f>
        <v/>
      </c>
      <c r="AM857" t="str">
        <f>IF(OR($B857="",NOT(ISNUMBER(P857))),"",IF(COUNTIF(Q857:$T857,P857)&gt;0,0,IF(COUNTIF($G857:$T857,"&gt;"&amp;P857)=0,"",SMALL($G857:$T857,COUNTIF($G857:$T857,"&lt;="&amp;P857)+1)-P857)))</f>
        <v/>
      </c>
      <c r="AN857" t="str">
        <f>IF(OR($B857="",NOT(ISNUMBER(Q857))),"",IF(COUNTIF(R857:$T857,Q857)&gt;0,0,IF(COUNTIF($G857:$T857,"&gt;"&amp;Q857)=0,"",SMALL($G857:$T857,COUNTIF($G857:$T857,"&lt;="&amp;Q857)+1)-Q857)))</f>
        <v/>
      </c>
      <c r="AO857" t="str">
        <f>IF(OR($B857="",NOT(ISNUMBER(R857))),"",IF(COUNTIF(S857:$T857,R857)&gt;0,0,IF(COUNTIF($G857:$T857,"&gt;"&amp;R857)=0,"",SMALL($G857:$T857,COUNTIF($G857:$T857,"&lt;="&amp;R857)+1)-R857)))</f>
        <v/>
      </c>
      <c r="AP857">
        <f t="shared" ca="1" si="224"/>
        <v>0</v>
      </c>
      <c r="AQ857" s="25" t="str">
        <f t="shared" si="225"/>
        <v/>
      </c>
      <c r="AR857" s="25" t="str">
        <f t="shared" si="226"/>
        <v/>
      </c>
      <c r="AS857" s="25" t="str">
        <f t="shared" si="227"/>
        <v/>
      </c>
      <c r="AT857" s="25" t="str">
        <f t="shared" si="228"/>
        <v/>
      </c>
      <c r="AU857" s="25" t="str">
        <f t="shared" si="229"/>
        <v/>
      </c>
      <c r="AV857" s="25" t="str">
        <f t="shared" si="230"/>
        <v/>
      </c>
      <c r="AW857" s="25" t="str">
        <f t="shared" si="231"/>
        <v/>
      </c>
      <c r="AX857" s="25" t="str">
        <f t="shared" si="232"/>
        <v/>
      </c>
      <c r="AY857" s="25" t="str">
        <f t="shared" si="233"/>
        <v/>
      </c>
      <c r="AZ857" s="25" t="str">
        <f t="shared" si="234"/>
        <v/>
      </c>
      <c r="BA857" s="25" t="str">
        <f t="shared" si="235"/>
        <v/>
      </c>
      <c r="BB857" s="25" t="str">
        <f t="shared" si="236"/>
        <v/>
      </c>
      <c r="BC857" s="25" t="str">
        <f t="shared" si="237"/>
        <v/>
      </c>
    </row>
    <row r="858" spans="1:55" x14ac:dyDescent="0.25">
      <c r="A858" s="19" t="str">
        <f t="shared" si="222"/>
        <v/>
      </c>
      <c r="B858" s="19"/>
      <c r="C858" s="20"/>
      <c r="D858" s="19" t="str">
        <f t="shared" si="221"/>
        <v/>
      </c>
      <c r="E858" s="19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19"/>
      <c r="U858" s="19"/>
      <c r="V858" s="20"/>
      <c r="W858" s="22"/>
      <c r="X858" s="21"/>
      <c r="Y858" s="21"/>
      <c r="Z858" s="23" t="str">
        <f>IF(B858="","",IF(S858&lt;&gt;"","Sevk Edildi",IF(AND(X858&lt;&gt;"",Y858=""),"Reworkte",IF(T858&lt;&gt;"","Kapandı"&amp;IF(COUNT(G858:R858)=0,""," – "&amp;LOOKUP(2,1/(G858:R858=MAX(G858:R858)),{"Tasarım","Ply Cutter","Üretim","Kalite (Üretim sonrası)","Talaşlı","Kalite (Talaşlı sonrası)","Montaj","Kalite (Montaj sonrası)","Boya","Kalite (Boya sonrası)","Yarı Mamül","KM"})),IF(COUNT(G858:R858)=0,"Başlamadı",LOOKUP(2,1/(G858:R858=MAX(G858:R858)),{"Tasarımda","Ply Cutter'da","Üretimde","Kalitede (Üretim sonrası)","Talaşlıda","Kalitede (Talaşlı sonrası)","Montajda","Kalitede (Montaj sonrası)","Boyada","Kalitede (Boya sonrası)","Yarı Mamülde","KM'de"}))))))</f>
        <v/>
      </c>
      <c r="AA858" s="24" t="str">
        <f t="shared" ca="1" si="223"/>
        <v/>
      </c>
      <c r="AB858" s="22"/>
      <c r="AD858" t="str">
        <f>IF(OR($B858="",NOT(ISNUMBER(G858))),"",IF(COUNTIF(H858:$T858,G858)&gt;0,0,IF(COUNTIF($G858:$T858,"&gt;"&amp;G858)=0,"",SMALL($G858:$T858,COUNTIF($G858:$T858,"&lt;="&amp;G858)+1)-G858)))</f>
        <v/>
      </c>
      <c r="AE858" t="str">
        <f>IF(OR($B858="",NOT(ISNUMBER(H858))),"",IF(COUNTIF(I858:$T858,H858)&gt;0,0,IF(COUNTIF($G858:$T858,"&gt;"&amp;H858)=0,"",SMALL($G858:$T858,COUNTIF($G858:$T858,"&lt;="&amp;H858)+1)-H858)))</f>
        <v/>
      </c>
      <c r="AF858" t="str">
        <f>IF(OR($B858="",NOT(ISNUMBER(I858))),"",IF(COUNTIF(J858:$T858,I858)&gt;0,0,IF(COUNTIF($G858:$T858,"&gt;"&amp;I858)=0,"",SMALL($G858:$T858,COUNTIF($G858:$T858,"&lt;="&amp;I858)+1)-I858)))</f>
        <v/>
      </c>
      <c r="AG858" t="str">
        <f>IF(OR($B858="",NOT(ISNUMBER(J858))),"",IF(COUNTIF(K858:$T858,J858)&gt;0,0,IF(COUNTIF($G858:$T858,"&gt;"&amp;J858)=0,"",SMALL($G858:$T858,COUNTIF($G858:$T858,"&lt;="&amp;J858)+1)-J858)))</f>
        <v/>
      </c>
      <c r="AH858" t="str">
        <f>IF(OR($B858="",NOT(ISNUMBER(K858))),"",IF(COUNTIF(L858:$T858,K858)&gt;0,0,IF(COUNTIF($G858:$T858,"&gt;"&amp;K858)=0,"",SMALL($G858:$T858,COUNTIF($G858:$T858,"&lt;="&amp;K858)+1)-K858)))</f>
        <v/>
      </c>
      <c r="AI858" t="str">
        <f>IF(OR($B858="",NOT(ISNUMBER(L858))),"",IF(COUNTIF(M858:$T858,L858)&gt;0,0,IF(COUNTIF($G858:$T858,"&gt;"&amp;L858)=0,"",SMALL($G858:$T858,COUNTIF($G858:$T858,"&lt;="&amp;L858)+1)-L858)))</f>
        <v/>
      </c>
      <c r="AJ858" t="str">
        <f>IF(OR($B858="",NOT(ISNUMBER(M858))),"",IF(COUNTIF(N858:$T858,M858)&gt;0,0,IF(COUNTIF($G858:$T858,"&gt;"&amp;M858)=0,"",SMALL($G858:$T858,COUNTIF($G858:$T858,"&lt;="&amp;M858)+1)-M858)))</f>
        <v/>
      </c>
      <c r="AK858" t="str">
        <f>IF(OR($B858="",NOT(ISNUMBER(N858))),"",IF(COUNTIF(O858:$T858,N858)&gt;0,0,IF(COUNTIF($G858:$T858,"&gt;"&amp;N858)=0,"",SMALL($G858:$T858,COUNTIF($G858:$T858,"&lt;="&amp;N858)+1)-N858)))</f>
        <v/>
      </c>
      <c r="AL858" t="str">
        <f>IF(OR($B858="",NOT(ISNUMBER(O858))),"",IF(COUNTIF(P858:$T858,O858)&gt;0,0,IF(COUNTIF($G858:$T858,"&gt;"&amp;O858)=0,"",SMALL($G858:$T858,COUNTIF($G858:$T858,"&lt;="&amp;O858)+1)-O858)))</f>
        <v/>
      </c>
      <c r="AM858" t="str">
        <f>IF(OR($B858="",NOT(ISNUMBER(P858))),"",IF(COUNTIF(Q858:$T858,P858)&gt;0,0,IF(COUNTIF($G858:$T858,"&gt;"&amp;P858)=0,"",SMALL($G858:$T858,COUNTIF($G858:$T858,"&lt;="&amp;P858)+1)-P858)))</f>
        <v/>
      </c>
      <c r="AN858" t="str">
        <f>IF(OR($B858="",NOT(ISNUMBER(Q858))),"",IF(COUNTIF(R858:$T858,Q858)&gt;0,0,IF(COUNTIF($G858:$T858,"&gt;"&amp;Q858)=0,"",SMALL($G858:$T858,COUNTIF($G858:$T858,"&lt;="&amp;Q858)+1)-Q858)))</f>
        <v/>
      </c>
      <c r="AO858" t="str">
        <f>IF(OR($B858="",NOT(ISNUMBER(R858))),"",IF(COUNTIF(S858:$T858,R858)&gt;0,0,IF(COUNTIF($G858:$T858,"&gt;"&amp;R858)=0,"",SMALL($G858:$T858,COUNTIF($G858:$T858,"&lt;="&amp;R858)+1)-R858)))</f>
        <v/>
      </c>
      <c r="AP858">
        <f t="shared" ca="1" si="224"/>
        <v>0</v>
      </c>
      <c r="AQ858" s="25" t="str">
        <f t="shared" si="225"/>
        <v/>
      </c>
      <c r="AR858" s="25" t="str">
        <f t="shared" si="226"/>
        <v/>
      </c>
      <c r="AS858" s="25" t="str">
        <f t="shared" si="227"/>
        <v/>
      </c>
      <c r="AT858" s="25" t="str">
        <f t="shared" si="228"/>
        <v/>
      </c>
      <c r="AU858" s="25" t="str">
        <f t="shared" si="229"/>
        <v/>
      </c>
      <c r="AV858" s="25" t="str">
        <f t="shared" si="230"/>
        <v/>
      </c>
      <c r="AW858" s="25" t="str">
        <f t="shared" si="231"/>
        <v/>
      </c>
      <c r="AX858" s="25" t="str">
        <f t="shared" si="232"/>
        <v/>
      </c>
      <c r="AY858" s="25" t="str">
        <f t="shared" si="233"/>
        <v/>
      </c>
      <c r="AZ858" s="25" t="str">
        <f t="shared" si="234"/>
        <v/>
      </c>
      <c r="BA858" s="25" t="str">
        <f t="shared" si="235"/>
        <v/>
      </c>
      <c r="BB858" s="25" t="str">
        <f t="shared" si="236"/>
        <v/>
      </c>
      <c r="BC858" s="25" t="str">
        <f t="shared" si="237"/>
        <v/>
      </c>
    </row>
    <row r="859" spans="1:55" x14ac:dyDescent="0.25">
      <c r="A859" s="19" t="str">
        <f t="shared" si="222"/>
        <v/>
      </c>
      <c r="B859" s="19"/>
      <c r="C859" s="20"/>
      <c r="D859" s="19" t="str">
        <f t="shared" si="221"/>
        <v/>
      </c>
      <c r="E859" s="19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19"/>
      <c r="U859" s="19"/>
      <c r="V859" s="20"/>
      <c r="W859" s="22"/>
      <c r="X859" s="21"/>
      <c r="Y859" s="21"/>
      <c r="Z859" s="23" t="str">
        <f>IF(B859="","",IF(S859&lt;&gt;"","Sevk Edildi",IF(AND(X859&lt;&gt;"",Y859=""),"Reworkte",IF(T859&lt;&gt;"","Kapandı"&amp;IF(COUNT(G859:R859)=0,""," – "&amp;LOOKUP(2,1/(G859:R859=MAX(G859:R859)),{"Tasarım","Ply Cutter","Üretim","Kalite (Üretim sonrası)","Talaşlı","Kalite (Talaşlı sonrası)","Montaj","Kalite (Montaj sonrası)","Boya","Kalite (Boya sonrası)","Yarı Mamül","KM"})),IF(COUNT(G859:R859)=0,"Başlamadı",LOOKUP(2,1/(G859:R859=MAX(G859:R859)),{"Tasarımda","Ply Cutter'da","Üretimde","Kalitede (Üretim sonrası)","Talaşlıda","Kalitede (Talaşlı sonrası)","Montajda","Kalitede (Montaj sonrası)","Boyada","Kalitede (Boya sonrası)","Yarı Mamülde","KM'de"}))))))</f>
        <v/>
      </c>
      <c r="AA859" s="24" t="str">
        <f t="shared" ca="1" si="223"/>
        <v/>
      </c>
      <c r="AB859" s="22"/>
      <c r="AD859" t="str">
        <f>IF(OR($B859="",NOT(ISNUMBER(G859))),"",IF(COUNTIF(H859:$T859,G859)&gt;0,0,IF(COUNTIF($G859:$T859,"&gt;"&amp;G859)=0,"",SMALL($G859:$T859,COUNTIF($G859:$T859,"&lt;="&amp;G859)+1)-G859)))</f>
        <v/>
      </c>
      <c r="AE859" t="str">
        <f>IF(OR($B859="",NOT(ISNUMBER(H859))),"",IF(COUNTIF(I859:$T859,H859)&gt;0,0,IF(COUNTIF($G859:$T859,"&gt;"&amp;H859)=0,"",SMALL($G859:$T859,COUNTIF($G859:$T859,"&lt;="&amp;H859)+1)-H859)))</f>
        <v/>
      </c>
      <c r="AF859" t="str">
        <f>IF(OR($B859="",NOT(ISNUMBER(I859))),"",IF(COUNTIF(J859:$T859,I859)&gt;0,0,IF(COUNTIF($G859:$T859,"&gt;"&amp;I859)=0,"",SMALL($G859:$T859,COUNTIF($G859:$T859,"&lt;="&amp;I859)+1)-I859)))</f>
        <v/>
      </c>
      <c r="AG859" t="str">
        <f>IF(OR($B859="",NOT(ISNUMBER(J859))),"",IF(COUNTIF(K859:$T859,J859)&gt;0,0,IF(COUNTIF($G859:$T859,"&gt;"&amp;J859)=0,"",SMALL($G859:$T859,COUNTIF($G859:$T859,"&lt;="&amp;J859)+1)-J859)))</f>
        <v/>
      </c>
      <c r="AH859" t="str">
        <f>IF(OR($B859="",NOT(ISNUMBER(K859))),"",IF(COUNTIF(L859:$T859,K859)&gt;0,0,IF(COUNTIF($G859:$T859,"&gt;"&amp;K859)=0,"",SMALL($G859:$T859,COUNTIF($G859:$T859,"&lt;="&amp;K859)+1)-K859)))</f>
        <v/>
      </c>
      <c r="AI859" t="str">
        <f>IF(OR($B859="",NOT(ISNUMBER(L859))),"",IF(COUNTIF(M859:$T859,L859)&gt;0,0,IF(COUNTIF($G859:$T859,"&gt;"&amp;L859)=0,"",SMALL($G859:$T859,COUNTIF($G859:$T859,"&lt;="&amp;L859)+1)-L859)))</f>
        <v/>
      </c>
      <c r="AJ859" t="str">
        <f>IF(OR($B859="",NOT(ISNUMBER(M859))),"",IF(COUNTIF(N859:$T859,M859)&gt;0,0,IF(COUNTIF($G859:$T859,"&gt;"&amp;M859)=0,"",SMALL($G859:$T859,COUNTIF($G859:$T859,"&lt;="&amp;M859)+1)-M859)))</f>
        <v/>
      </c>
      <c r="AK859" t="str">
        <f>IF(OR($B859="",NOT(ISNUMBER(N859))),"",IF(COUNTIF(O859:$T859,N859)&gt;0,0,IF(COUNTIF($G859:$T859,"&gt;"&amp;N859)=0,"",SMALL($G859:$T859,COUNTIF($G859:$T859,"&lt;="&amp;N859)+1)-N859)))</f>
        <v/>
      </c>
      <c r="AL859" t="str">
        <f>IF(OR($B859="",NOT(ISNUMBER(O859))),"",IF(COUNTIF(P859:$T859,O859)&gt;0,0,IF(COUNTIF($G859:$T859,"&gt;"&amp;O859)=0,"",SMALL($G859:$T859,COUNTIF($G859:$T859,"&lt;="&amp;O859)+1)-O859)))</f>
        <v/>
      </c>
      <c r="AM859" t="str">
        <f>IF(OR($B859="",NOT(ISNUMBER(P859))),"",IF(COUNTIF(Q859:$T859,P859)&gt;0,0,IF(COUNTIF($G859:$T859,"&gt;"&amp;P859)=0,"",SMALL($G859:$T859,COUNTIF($G859:$T859,"&lt;="&amp;P859)+1)-P859)))</f>
        <v/>
      </c>
      <c r="AN859" t="str">
        <f>IF(OR($B859="",NOT(ISNUMBER(Q859))),"",IF(COUNTIF(R859:$T859,Q859)&gt;0,0,IF(COUNTIF($G859:$T859,"&gt;"&amp;Q859)=0,"",SMALL($G859:$T859,COUNTIF($G859:$T859,"&lt;="&amp;Q859)+1)-Q859)))</f>
        <v/>
      </c>
      <c r="AO859" t="str">
        <f>IF(OR($B859="",NOT(ISNUMBER(R859))),"",IF(COUNTIF(S859:$T859,R859)&gt;0,0,IF(COUNTIF($G859:$T859,"&gt;"&amp;R859)=0,"",SMALL($G859:$T859,COUNTIF($G859:$T859,"&lt;="&amp;R859)+1)-R859)))</f>
        <v/>
      </c>
      <c r="AP859">
        <f t="shared" ca="1" si="224"/>
        <v>0</v>
      </c>
      <c r="AQ859" s="25" t="str">
        <f t="shared" si="225"/>
        <v/>
      </c>
      <c r="AR859" s="25" t="str">
        <f t="shared" si="226"/>
        <v/>
      </c>
      <c r="AS859" s="25" t="str">
        <f t="shared" si="227"/>
        <v/>
      </c>
      <c r="AT859" s="25" t="str">
        <f t="shared" si="228"/>
        <v/>
      </c>
      <c r="AU859" s="25" t="str">
        <f t="shared" si="229"/>
        <v/>
      </c>
      <c r="AV859" s="25" t="str">
        <f t="shared" si="230"/>
        <v/>
      </c>
      <c r="AW859" s="25" t="str">
        <f t="shared" si="231"/>
        <v/>
      </c>
      <c r="AX859" s="25" t="str">
        <f t="shared" si="232"/>
        <v/>
      </c>
      <c r="AY859" s="25" t="str">
        <f t="shared" si="233"/>
        <v/>
      </c>
      <c r="AZ859" s="25" t="str">
        <f t="shared" si="234"/>
        <v/>
      </c>
      <c r="BA859" s="25" t="str">
        <f t="shared" si="235"/>
        <v/>
      </c>
      <c r="BB859" s="25" t="str">
        <f t="shared" si="236"/>
        <v/>
      </c>
      <c r="BC859" s="25" t="str">
        <f t="shared" si="237"/>
        <v/>
      </c>
    </row>
    <row r="860" spans="1:55" x14ac:dyDescent="0.25">
      <c r="A860" s="19" t="str">
        <f t="shared" si="222"/>
        <v/>
      </c>
      <c r="B860" s="19"/>
      <c r="C860" s="20"/>
      <c r="D860" s="19" t="str">
        <f t="shared" si="221"/>
        <v/>
      </c>
      <c r="E860" s="19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19"/>
      <c r="U860" s="19"/>
      <c r="V860" s="20"/>
      <c r="W860" s="22"/>
      <c r="X860" s="21"/>
      <c r="Y860" s="21"/>
      <c r="Z860" s="23" t="str">
        <f>IF(B860="","",IF(S860&lt;&gt;"","Sevk Edildi",IF(AND(X860&lt;&gt;"",Y860=""),"Reworkte",IF(T860&lt;&gt;"","Kapandı"&amp;IF(COUNT(G860:R860)=0,""," – "&amp;LOOKUP(2,1/(G860:R860=MAX(G860:R860)),{"Tasarım","Ply Cutter","Üretim","Kalite (Üretim sonrası)","Talaşlı","Kalite (Talaşlı sonrası)","Montaj","Kalite (Montaj sonrası)","Boya","Kalite (Boya sonrası)","Yarı Mamül","KM"})),IF(COUNT(G860:R860)=0,"Başlamadı",LOOKUP(2,1/(G860:R860=MAX(G860:R860)),{"Tasarımda","Ply Cutter'da","Üretimde","Kalitede (Üretim sonrası)","Talaşlıda","Kalitede (Talaşlı sonrası)","Montajda","Kalitede (Montaj sonrası)","Boyada","Kalitede (Boya sonrası)","Yarı Mamülde","KM'de"}))))))</f>
        <v/>
      </c>
      <c r="AA860" s="24" t="str">
        <f t="shared" ca="1" si="223"/>
        <v/>
      </c>
      <c r="AB860" s="22"/>
      <c r="AD860" t="str">
        <f>IF(OR($B860="",NOT(ISNUMBER(G860))),"",IF(COUNTIF(H860:$T860,G860)&gt;0,0,IF(COUNTIF($G860:$T860,"&gt;"&amp;G860)=0,"",SMALL($G860:$T860,COUNTIF($G860:$T860,"&lt;="&amp;G860)+1)-G860)))</f>
        <v/>
      </c>
      <c r="AE860" t="str">
        <f>IF(OR($B860="",NOT(ISNUMBER(H860))),"",IF(COUNTIF(I860:$T860,H860)&gt;0,0,IF(COUNTIF($G860:$T860,"&gt;"&amp;H860)=0,"",SMALL($G860:$T860,COUNTIF($G860:$T860,"&lt;="&amp;H860)+1)-H860)))</f>
        <v/>
      </c>
      <c r="AF860" t="str">
        <f>IF(OR($B860="",NOT(ISNUMBER(I860))),"",IF(COUNTIF(J860:$T860,I860)&gt;0,0,IF(COUNTIF($G860:$T860,"&gt;"&amp;I860)=0,"",SMALL($G860:$T860,COUNTIF($G860:$T860,"&lt;="&amp;I860)+1)-I860)))</f>
        <v/>
      </c>
      <c r="AG860" t="str">
        <f>IF(OR($B860="",NOT(ISNUMBER(J860))),"",IF(COUNTIF(K860:$T860,J860)&gt;0,0,IF(COUNTIF($G860:$T860,"&gt;"&amp;J860)=0,"",SMALL($G860:$T860,COUNTIF($G860:$T860,"&lt;="&amp;J860)+1)-J860)))</f>
        <v/>
      </c>
      <c r="AH860" t="str">
        <f>IF(OR($B860="",NOT(ISNUMBER(K860))),"",IF(COUNTIF(L860:$T860,K860)&gt;0,0,IF(COUNTIF($G860:$T860,"&gt;"&amp;K860)=0,"",SMALL($G860:$T860,COUNTIF($G860:$T860,"&lt;="&amp;K860)+1)-K860)))</f>
        <v/>
      </c>
      <c r="AI860" t="str">
        <f>IF(OR($B860="",NOT(ISNUMBER(L860))),"",IF(COUNTIF(M860:$T860,L860)&gt;0,0,IF(COUNTIF($G860:$T860,"&gt;"&amp;L860)=0,"",SMALL($G860:$T860,COUNTIF($G860:$T860,"&lt;="&amp;L860)+1)-L860)))</f>
        <v/>
      </c>
      <c r="AJ860" t="str">
        <f>IF(OR($B860="",NOT(ISNUMBER(M860))),"",IF(COUNTIF(N860:$T860,M860)&gt;0,0,IF(COUNTIF($G860:$T860,"&gt;"&amp;M860)=0,"",SMALL($G860:$T860,COUNTIF($G860:$T860,"&lt;="&amp;M860)+1)-M860)))</f>
        <v/>
      </c>
      <c r="AK860" t="str">
        <f>IF(OR($B860="",NOT(ISNUMBER(N860))),"",IF(COUNTIF(O860:$T860,N860)&gt;0,0,IF(COUNTIF($G860:$T860,"&gt;"&amp;N860)=0,"",SMALL($G860:$T860,COUNTIF($G860:$T860,"&lt;="&amp;N860)+1)-N860)))</f>
        <v/>
      </c>
      <c r="AL860" t="str">
        <f>IF(OR($B860="",NOT(ISNUMBER(O860))),"",IF(COUNTIF(P860:$T860,O860)&gt;0,0,IF(COUNTIF($G860:$T860,"&gt;"&amp;O860)=0,"",SMALL($G860:$T860,COUNTIF($G860:$T860,"&lt;="&amp;O860)+1)-O860)))</f>
        <v/>
      </c>
      <c r="AM860" t="str">
        <f>IF(OR($B860="",NOT(ISNUMBER(P860))),"",IF(COUNTIF(Q860:$T860,P860)&gt;0,0,IF(COUNTIF($G860:$T860,"&gt;"&amp;P860)=0,"",SMALL($G860:$T860,COUNTIF($G860:$T860,"&lt;="&amp;P860)+1)-P860)))</f>
        <v/>
      </c>
      <c r="AN860" t="str">
        <f>IF(OR($B860="",NOT(ISNUMBER(Q860))),"",IF(COUNTIF(R860:$T860,Q860)&gt;0,0,IF(COUNTIF($G860:$T860,"&gt;"&amp;Q860)=0,"",SMALL($G860:$T860,COUNTIF($G860:$T860,"&lt;="&amp;Q860)+1)-Q860)))</f>
        <v/>
      </c>
      <c r="AO860" t="str">
        <f>IF(OR($B860="",NOT(ISNUMBER(R860))),"",IF(COUNTIF(S860:$T860,R860)&gt;0,0,IF(COUNTIF($G860:$T860,"&gt;"&amp;R860)=0,"",SMALL($G860:$T860,COUNTIF($G860:$T860,"&lt;="&amp;R860)+1)-R860)))</f>
        <v/>
      </c>
      <c r="AP860">
        <f t="shared" ca="1" si="224"/>
        <v>0</v>
      </c>
      <c r="AQ860" s="25" t="str">
        <f t="shared" si="225"/>
        <v/>
      </c>
      <c r="AR860" s="25" t="str">
        <f t="shared" si="226"/>
        <v/>
      </c>
      <c r="AS860" s="25" t="str">
        <f t="shared" si="227"/>
        <v/>
      </c>
      <c r="AT860" s="25" t="str">
        <f t="shared" si="228"/>
        <v/>
      </c>
      <c r="AU860" s="25" t="str">
        <f t="shared" si="229"/>
        <v/>
      </c>
      <c r="AV860" s="25" t="str">
        <f t="shared" si="230"/>
        <v/>
      </c>
      <c r="AW860" s="25" t="str">
        <f t="shared" si="231"/>
        <v/>
      </c>
      <c r="AX860" s="25" t="str">
        <f t="shared" si="232"/>
        <v/>
      </c>
      <c r="AY860" s="25" t="str">
        <f t="shared" si="233"/>
        <v/>
      </c>
      <c r="AZ860" s="25" t="str">
        <f t="shared" si="234"/>
        <v/>
      </c>
      <c r="BA860" s="25" t="str">
        <f t="shared" si="235"/>
        <v/>
      </c>
      <c r="BB860" s="25" t="str">
        <f t="shared" si="236"/>
        <v/>
      </c>
      <c r="BC860" s="25" t="str">
        <f t="shared" si="237"/>
        <v/>
      </c>
    </row>
    <row r="861" spans="1:55" x14ac:dyDescent="0.25">
      <c r="A861" s="19" t="str">
        <f t="shared" si="222"/>
        <v/>
      </c>
      <c r="B861" s="19"/>
      <c r="C861" s="20"/>
      <c r="D861" s="19" t="str">
        <f t="shared" si="221"/>
        <v/>
      </c>
      <c r="E861" s="19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19"/>
      <c r="U861" s="19"/>
      <c r="V861" s="20"/>
      <c r="W861" s="22"/>
      <c r="X861" s="21"/>
      <c r="Y861" s="21"/>
      <c r="Z861" s="23" t="str">
        <f>IF(B861="","",IF(S861&lt;&gt;"","Sevk Edildi",IF(AND(X861&lt;&gt;"",Y861=""),"Reworkte",IF(T861&lt;&gt;"","Kapandı"&amp;IF(COUNT(G861:R861)=0,""," – "&amp;LOOKUP(2,1/(G861:R861=MAX(G861:R861)),{"Tasarım","Ply Cutter","Üretim","Kalite (Üretim sonrası)","Talaşlı","Kalite (Talaşlı sonrası)","Montaj","Kalite (Montaj sonrası)","Boya","Kalite (Boya sonrası)","Yarı Mamül","KM"})),IF(COUNT(G861:R861)=0,"Başlamadı",LOOKUP(2,1/(G861:R861=MAX(G861:R861)),{"Tasarımda","Ply Cutter'da","Üretimde","Kalitede (Üretim sonrası)","Talaşlıda","Kalitede (Talaşlı sonrası)","Montajda","Kalitede (Montaj sonrası)","Boyada","Kalitede (Boya sonrası)","Yarı Mamülde","KM'de"}))))))</f>
        <v/>
      </c>
      <c r="AA861" s="24" t="str">
        <f t="shared" ca="1" si="223"/>
        <v/>
      </c>
      <c r="AB861" s="22"/>
      <c r="AD861" t="str">
        <f>IF(OR($B861="",NOT(ISNUMBER(G861))),"",IF(COUNTIF(H861:$T861,G861)&gt;0,0,IF(COUNTIF($G861:$T861,"&gt;"&amp;G861)=0,"",SMALL($G861:$T861,COUNTIF($G861:$T861,"&lt;="&amp;G861)+1)-G861)))</f>
        <v/>
      </c>
      <c r="AE861" t="str">
        <f>IF(OR($B861="",NOT(ISNUMBER(H861))),"",IF(COUNTIF(I861:$T861,H861)&gt;0,0,IF(COUNTIF($G861:$T861,"&gt;"&amp;H861)=0,"",SMALL($G861:$T861,COUNTIF($G861:$T861,"&lt;="&amp;H861)+1)-H861)))</f>
        <v/>
      </c>
      <c r="AF861" t="str">
        <f>IF(OR($B861="",NOT(ISNUMBER(I861))),"",IF(COUNTIF(J861:$T861,I861)&gt;0,0,IF(COUNTIF($G861:$T861,"&gt;"&amp;I861)=0,"",SMALL($G861:$T861,COUNTIF($G861:$T861,"&lt;="&amp;I861)+1)-I861)))</f>
        <v/>
      </c>
      <c r="AG861" t="str">
        <f>IF(OR($B861="",NOT(ISNUMBER(J861))),"",IF(COUNTIF(K861:$T861,J861)&gt;0,0,IF(COUNTIF($G861:$T861,"&gt;"&amp;J861)=0,"",SMALL($G861:$T861,COUNTIF($G861:$T861,"&lt;="&amp;J861)+1)-J861)))</f>
        <v/>
      </c>
      <c r="AH861" t="str">
        <f>IF(OR($B861="",NOT(ISNUMBER(K861))),"",IF(COUNTIF(L861:$T861,K861)&gt;0,0,IF(COUNTIF($G861:$T861,"&gt;"&amp;K861)=0,"",SMALL($G861:$T861,COUNTIF($G861:$T861,"&lt;="&amp;K861)+1)-K861)))</f>
        <v/>
      </c>
      <c r="AI861" t="str">
        <f>IF(OR($B861="",NOT(ISNUMBER(L861))),"",IF(COUNTIF(M861:$T861,L861)&gt;0,0,IF(COUNTIF($G861:$T861,"&gt;"&amp;L861)=0,"",SMALL($G861:$T861,COUNTIF($G861:$T861,"&lt;="&amp;L861)+1)-L861)))</f>
        <v/>
      </c>
      <c r="AJ861" t="str">
        <f>IF(OR($B861="",NOT(ISNUMBER(M861))),"",IF(COUNTIF(N861:$T861,M861)&gt;0,0,IF(COUNTIF($G861:$T861,"&gt;"&amp;M861)=0,"",SMALL($G861:$T861,COUNTIF($G861:$T861,"&lt;="&amp;M861)+1)-M861)))</f>
        <v/>
      </c>
      <c r="AK861" t="str">
        <f>IF(OR($B861="",NOT(ISNUMBER(N861))),"",IF(COUNTIF(O861:$T861,N861)&gt;0,0,IF(COUNTIF($G861:$T861,"&gt;"&amp;N861)=0,"",SMALL($G861:$T861,COUNTIF($G861:$T861,"&lt;="&amp;N861)+1)-N861)))</f>
        <v/>
      </c>
      <c r="AL861" t="str">
        <f>IF(OR($B861="",NOT(ISNUMBER(O861))),"",IF(COUNTIF(P861:$T861,O861)&gt;0,0,IF(COUNTIF($G861:$T861,"&gt;"&amp;O861)=0,"",SMALL($G861:$T861,COUNTIF($G861:$T861,"&lt;="&amp;O861)+1)-O861)))</f>
        <v/>
      </c>
      <c r="AM861" t="str">
        <f>IF(OR($B861="",NOT(ISNUMBER(P861))),"",IF(COUNTIF(Q861:$T861,P861)&gt;0,0,IF(COUNTIF($G861:$T861,"&gt;"&amp;P861)=0,"",SMALL($G861:$T861,COUNTIF($G861:$T861,"&lt;="&amp;P861)+1)-P861)))</f>
        <v/>
      </c>
      <c r="AN861" t="str">
        <f>IF(OR($B861="",NOT(ISNUMBER(Q861))),"",IF(COUNTIF(R861:$T861,Q861)&gt;0,0,IF(COUNTIF($G861:$T861,"&gt;"&amp;Q861)=0,"",SMALL($G861:$T861,COUNTIF($G861:$T861,"&lt;="&amp;Q861)+1)-Q861)))</f>
        <v/>
      </c>
      <c r="AO861" t="str">
        <f>IF(OR($B861="",NOT(ISNUMBER(R861))),"",IF(COUNTIF(S861:$T861,R861)&gt;0,0,IF(COUNTIF($G861:$T861,"&gt;"&amp;R861)=0,"",SMALL($G861:$T861,COUNTIF($G861:$T861,"&lt;="&amp;R861)+1)-R861)))</f>
        <v/>
      </c>
      <c r="AP861">
        <f t="shared" ca="1" si="224"/>
        <v>0</v>
      </c>
      <c r="AQ861" s="25" t="str">
        <f t="shared" si="225"/>
        <v/>
      </c>
      <c r="AR861" s="25" t="str">
        <f t="shared" si="226"/>
        <v/>
      </c>
      <c r="AS861" s="25" t="str">
        <f t="shared" si="227"/>
        <v/>
      </c>
      <c r="AT861" s="25" t="str">
        <f t="shared" si="228"/>
        <v/>
      </c>
      <c r="AU861" s="25" t="str">
        <f t="shared" si="229"/>
        <v/>
      </c>
      <c r="AV861" s="25" t="str">
        <f t="shared" si="230"/>
        <v/>
      </c>
      <c r="AW861" s="25" t="str">
        <f t="shared" si="231"/>
        <v/>
      </c>
      <c r="AX861" s="25" t="str">
        <f t="shared" si="232"/>
        <v/>
      </c>
      <c r="AY861" s="25" t="str">
        <f t="shared" si="233"/>
        <v/>
      </c>
      <c r="AZ861" s="25" t="str">
        <f t="shared" si="234"/>
        <v/>
      </c>
      <c r="BA861" s="25" t="str">
        <f t="shared" si="235"/>
        <v/>
      </c>
      <c r="BB861" s="25" t="str">
        <f t="shared" si="236"/>
        <v/>
      </c>
      <c r="BC861" s="25" t="str">
        <f t="shared" si="237"/>
        <v/>
      </c>
    </row>
    <row r="862" spans="1:55" x14ac:dyDescent="0.25">
      <c r="A862" s="19" t="str">
        <f t="shared" si="222"/>
        <v/>
      </c>
      <c r="B862" s="19"/>
      <c r="C862" s="20"/>
      <c r="D862" s="19" t="str">
        <f t="shared" si="221"/>
        <v/>
      </c>
      <c r="E862" s="19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19"/>
      <c r="U862" s="19"/>
      <c r="V862" s="20"/>
      <c r="W862" s="22"/>
      <c r="X862" s="21"/>
      <c r="Y862" s="21"/>
      <c r="Z862" s="23" t="str">
        <f>IF(B862="","",IF(S862&lt;&gt;"","Sevk Edildi",IF(AND(X862&lt;&gt;"",Y862=""),"Reworkte",IF(T862&lt;&gt;"","Kapandı"&amp;IF(COUNT(G862:R862)=0,""," – "&amp;LOOKUP(2,1/(G862:R862=MAX(G862:R862)),{"Tasarım","Ply Cutter","Üretim","Kalite (Üretim sonrası)","Talaşlı","Kalite (Talaşlı sonrası)","Montaj","Kalite (Montaj sonrası)","Boya","Kalite (Boya sonrası)","Yarı Mamül","KM"})),IF(COUNT(G862:R862)=0,"Başlamadı",LOOKUP(2,1/(G862:R862=MAX(G862:R862)),{"Tasarımda","Ply Cutter'da","Üretimde","Kalitede (Üretim sonrası)","Talaşlıda","Kalitede (Talaşlı sonrası)","Montajda","Kalitede (Montaj sonrası)","Boyada","Kalitede (Boya sonrası)","Yarı Mamülde","KM'de"}))))))</f>
        <v/>
      </c>
      <c r="AA862" s="24" t="str">
        <f t="shared" ca="1" si="223"/>
        <v/>
      </c>
      <c r="AB862" s="22"/>
      <c r="AD862" t="str">
        <f>IF(OR($B862="",NOT(ISNUMBER(G862))),"",IF(COUNTIF(H862:$T862,G862)&gt;0,0,IF(COUNTIF($G862:$T862,"&gt;"&amp;G862)=0,"",SMALL($G862:$T862,COUNTIF($G862:$T862,"&lt;="&amp;G862)+1)-G862)))</f>
        <v/>
      </c>
      <c r="AE862" t="str">
        <f>IF(OR($B862="",NOT(ISNUMBER(H862))),"",IF(COUNTIF(I862:$T862,H862)&gt;0,0,IF(COUNTIF($G862:$T862,"&gt;"&amp;H862)=0,"",SMALL($G862:$T862,COUNTIF($G862:$T862,"&lt;="&amp;H862)+1)-H862)))</f>
        <v/>
      </c>
      <c r="AF862" t="str">
        <f>IF(OR($B862="",NOT(ISNUMBER(I862))),"",IF(COUNTIF(J862:$T862,I862)&gt;0,0,IF(COUNTIF($G862:$T862,"&gt;"&amp;I862)=0,"",SMALL($G862:$T862,COUNTIF($G862:$T862,"&lt;="&amp;I862)+1)-I862)))</f>
        <v/>
      </c>
      <c r="AG862" t="str">
        <f>IF(OR($B862="",NOT(ISNUMBER(J862))),"",IF(COUNTIF(K862:$T862,J862)&gt;0,0,IF(COUNTIF($G862:$T862,"&gt;"&amp;J862)=0,"",SMALL($G862:$T862,COUNTIF($G862:$T862,"&lt;="&amp;J862)+1)-J862)))</f>
        <v/>
      </c>
      <c r="AH862" t="str">
        <f>IF(OR($B862="",NOT(ISNUMBER(K862))),"",IF(COUNTIF(L862:$T862,K862)&gt;0,0,IF(COUNTIF($G862:$T862,"&gt;"&amp;K862)=0,"",SMALL($G862:$T862,COUNTIF($G862:$T862,"&lt;="&amp;K862)+1)-K862)))</f>
        <v/>
      </c>
      <c r="AI862" t="str">
        <f>IF(OR($B862="",NOT(ISNUMBER(L862))),"",IF(COUNTIF(M862:$T862,L862)&gt;0,0,IF(COUNTIF($G862:$T862,"&gt;"&amp;L862)=0,"",SMALL($G862:$T862,COUNTIF($G862:$T862,"&lt;="&amp;L862)+1)-L862)))</f>
        <v/>
      </c>
      <c r="AJ862" t="str">
        <f>IF(OR($B862="",NOT(ISNUMBER(M862))),"",IF(COUNTIF(N862:$T862,M862)&gt;0,0,IF(COUNTIF($G862:$T862,"&gt;"&amp;M862)=0,"",SMALL($G862:$T862,COUNTIF($G862:$T862,"&lt;="&amp;M862)+1)-M862)))</f>
        <v/>
      </c>
      <c r="AK862" t="str">
        <f>IF(OR($B862="",NOT(ISNUMBER(N862))),"",IF(COUNTIF(O862:$T862,N862)&gt;0,0,IF(COUNTIF($G862:$T862,"&gt;"&amp;N862)=0,"",SMALL($G862:$T862,COUNTIF($G862:$T862,"&lt;="&amp;N862)+1)-N862)))</f>
        <v/>
      </c>
      <c r="AL862" t="str">
        <f>IF(OR($B862="",NOT(ISNUMBER(O862))),"",IF(COUNTIF(P862:$T862,O862)&gt;0,0,IF(COUNTIF($G862:$T862,"&gt;"&amp;O862)=0,"",SMALL($G862:$T862,COUNTIF($G862:$T862,"&lt;="&amp;O862)+1)-O862)))</f>
        <v/>
      </c>
      <c r="AM862" t="str">
        <f>IF(OR($B862="",NOT(ISNUMBER(P862))),"",IF(COUNTIF(Q862:$T862,P862)&gt;0,0,IF(COUNTIF($G862:$T862,"&gt;"&amp;P862)=0,"",SMALL($G862:$T862,COUNTIF($G862:$T862,"&lt;="&amp;P862)+1)-P862)))</f>
        <v/>
      </c>
      <c r="AN862" t="str">
        <f>IF(OR($B862="",NOT(ISNUMBER(Q862))),"",IF(COUNTIF(R862:$T862,Q862)&gt;0,0,IF(COUNTIF($G862:$T862,"&gt;"&amp;Q862)=0,"",SMALL($G862:$T862,COUNTIF($G862:$T862,"&lt;="&amp;Q862)+1)-Q862)))</f>
        <v/>
      </c>
      <c r="AO862" t="str">
        <f>IF(OR($B862="",NOT(ISNUMBER(R862))),"",IF(COUNTIF(S862:$T862,R862)&gt;0,0,IF(COUNTIF($G862:$T862,"&gt;"&amp;R862)=0,"",SMALL($G862:$T862,COUNTIF($G862:$T862,"&lt;="&amp;R862)+1)-R862)))</f>
        <v/>
      </c>
      <c r="AP862">
        <f t="shared" ca="1" si="224"/>
        <v>0</v>
      </c>
      <c r="AQ862" s="25" t="str">
        <f t="shared" si="225"/>
        <v/>
      </c>
      <c r="AR862" s="25" t="str">
        <f t="shared" si="226"/>
        <v/>
      </c>
      <c r="AS862" s="25" t="str">
        <f t="shared" si="227"/>
        <v/>
      </c>
      <c r="AT862" s="25" t="str">
        <f t="shared" si="228"/>
        <v/>
      </c>
      <c r="AU862" s="25" t="str">
        <f t="shared" si="229"/>
        <v/>
      </c>
      <c r="AV862" s="25" t="str">
        <f t="shared" si="230"/>
        <v/>
      </c>
      <c r="AW862" s="25" t="str">
        <f t="shared" si="231"/>
        <v/>
      </c>
      <c r="AX862" s="25" t="str">
        <f t="shared" si="232"/>
        <v/>
      </c>
      <c r="AY862" s="25" t="str">
        <f t="shared" si="233"/>
        <v/>
      </c>
      <c r="AZ862" s="25" t="str">
        <f t="shared" si="234"/>
        <v/>
      </c>
      <c r="BA862" s="25" t="str">
        <f t="shared" si="235"/>
        <v/>
      </c>
      <c r="BB862" s="25" t="str">
        <f t="shared" si="236"/>
        <v/>
      </c>
      <c r="BC862" s="25" t="str">
        <f t="shared" si="237"/>
        <v/>
      </c>
    </row>
    <row r="863" spans="1:55" x14ac:dyDescent="0.25">
      <c r="A863" s="19" t="str">
        <f t="shared" si="222"/>
        <v/>
      </c>
      <c r="B863" s="19"/>
      <c r="C863" s="20"/>
      <c r="D863" s="19" t="str">
        <f t="shared" si="221"/>
        <v/>
      </c>
      <c r="E863" s="19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19"/>
      <c r="U863" s="19"/>
      <c r="V863" s="20"/>
      <c r="W863" s="22"/>
      <c r="X863" s="21"/>
      <c r="Y863" s="21"/>
      <c r="Z863" s="23" t="str">
        <f>IF(B863="","",IF(S863&lt;&gt;"","Sevk Edildi",IF(AND(X863&lt;&gt;"",Y863=""),"Reworkte",IF(T863&lt;&gt;"","Kapandı"&amp;IF(COUNT(G863:R863)=0,""," – "&amp;LOOKUP(2,1/(G863:R863=MAX(G863:R863)),{"Tasarım","Ply Cutter","Üretim","Kalite (Üretim sonrası)","Talaşlı","Kalite (Talaşlı sonrası)","Montaj","Kalite (Montaj sonrası)","Boya","Kalite (Boya sonrası)","Yarı Mamül","KM"})),IF(COUNT(G863:R863)=0,"Başlamadı",LOOKUP(2,1/(G863:R863=MAX(G863:R863)),{"Tasarımda","Ply Cutter'da","Üretimde","Kalitede (Üretim sonrası)","Talaşlıda","Kalitede (Talaşlı sonrası)","Montajda","Kalitede (Montaj sonrası)","Boyada","Kalitede (Boya sonrası)","Yarı Mamülde","KM'de"}))))))</f>
        <v/>
      </c>
      <c r="AA863" s="24" t="str">
        <f t="shared" ca="1" si="223"/>
        <v/>
      </c>
      <c r="AB863" s="22"/>
      <c r="AD863" t="str">
        <f>IF(OR($B863="",NOT(ISNUMBER(G863))),"",IF(COUNTIF(H863:$T863,G863)&gt;0,0,IF(COUNTIF($G863:$T863,"&gt;"&amp;G863)=0,"",SMALL($G863:$T863,COUNTIF($G863:$T863,"&lt;="&amp;G863)+1)-G863)))</f>
        <v/>
      </c>
      <c r="AE863" t="str">
        <f>IF(OR($B863="",NOT(ISNUMBER(H863))),"",IF(COUNTIF(I863:$T863,H863)&gt;0,0,IF(COUNTIF($G863:$T863,"&gt;"&amp;H863)=0,"",SMALL($G863:$T863,COUNTIF($G863:$T863,"&lt;="&amp;H863)+1)-H863)))</f>
        <v/>
      </c>
      <c r="AF863" t="str">
        <f>IF(OR($B863="",NOT(ISNUMBER(I863))),"",IF(COUNTIF(J863:$T863,I863)&gt;0,0,IF(COUNTIF($G863:$T863,"&gt;"&amp;I863)=0,"",SMALL($G863:$T863,COUNTIF($G863:$T863,"&lt;="&amp;I863)+1)-I863)))</f>
        <v/>
      </c>
      <c r="AG863" t="str">
        <f>IF(OR($B863="",NOT(ISNUMBER(J863))),"",IF(COUNTIF(K863:$T863,J863)&gt;0,0,IF(COUNTIF($G863:$T863,"&gt;"&amp;J863)=0,"",SMALL($G863:$T863,COUNTIF($G863:$T863,"&lt;="&amp;J863)+1)-J863)))</f>
        <v/>
      </c>
      <c r="AH863" t="str">
        <f>IF(OR($B863="",NOT(ISNUMBER(K863))),"",IF(COUNTIF(L863:$T863,K863)&gt;0,0,IF(COUNTIF($G863:$T863,"&gt;"&amp;K863)=0,"",SMALL($G863:$T863,COUNTIF($G863:$T863,"&lt;="&amp;K863)+1)-K863)))</f>
        <v/>
      </c>
      <c r="AI863" t="str">
        <f>IF(OR($B863="",NOT(ISNUMBER(L863))),"",IF(COUNTIF(M863:$T863,L863)&gt;0,0,IF(COUNTIF($G863:$T863,"&gt;"&amp;L863)=0,"",SMALL($G863:$T863,COUNTIF($G863:$T863,"&lt;="&amp;L863)+1)-L863)))</f>
        <v/>
      </c>
      <c r="AJ863" t="str">
        <f>IF(OR($B863="",NOT(ISNUMBER(M863))),"",IF(COUNTIF(N863:$T863,M863)&gt;0,0,IF(COUNTIF($G863:$T863,"&gt;"&amp;M863)=0,"",SMALL($G863:$T863,COUNTIF($G863:$T863,"&lt;="&amp;M863)+1)-M863)))</f>
        <v/>
      </c>
      <c r="AK863" t="str">
        <f>IF(OR($B863="",NOT(ISNUMBER(N863))),"",IF(COUNTIF(O863:$T863,N863)&gt;0,0,IF(COUNTIF($G863:$T863,"&gt;"&amp;N863)=0,"",SMALL($G863:$T863,COUNTIF($G863:$T863,"&lt;="&amp;N863)+1)-N863)))</f>
        <v/>
      </c>
      <c r="AL863" t="str">
        <f>IF(OR($B863="",NOT(ISNUMBER(O863))),"",IF(COUNTIF(P863:$T863,O863)&gt;0,0,IF(COUNTIF($G863:$T863,"&gt;"&amp;O863)=0,"",SMALL($G863:$T863,COUNTIF($G863:$T863,"&lt;="&amp;O863)+1)-O863)))</f>
        <v/>
      </c>
      <c r="AM863" t="str">
        <f>IF(OR($B863="",NOT(ISNUMBER(P863))),"",IF(COUNTIF(Q863:$T863,P863)&gt;0,0,IF(COUNTIF($G863:$T863,"&gt;"&amp;P863)=0,"",SMALL($G863:$T863,COUNTIF($G863:$T863,"&lt;="&amp;P863)+1)-P863)))</f>
        <v/>
      </c>
      <c r="AN863" t="str">
        <f>IF(OR($B863="",NOT(ISNUMBER(Q863))),"",IF(COUNTIF(R863:$T863,Q863)&gt;0,0,IF(COUNTIF($G863:$T863,"&gt;"&amp;Q863)=0,"",SMALL($G863:$T863,COUNTIF($G863:$T863,"&lt;="&amp;Q863)+1)-Q863)))</f>
        <v/>
      </c>
      <c r="AO863" t="str">
        <f>IF(OR($B863="",NOT(ISNUMBER(R863))),"",IF(COUNTIF(S863:$T863,R863)&gt;0,0,IF(COUNTIF($G863:$T863,"&gt;"&amp;R863)=0,"",SMALL($G863:$T863,COUNTIF($G863:$T863,"&lt;="&amp;R863)+1)-R863)))</f>
        <v/>
      </c>
      <c r="AP863">
        <f t="shared" ca="1" si="224"/>
        <v>0</v>
      </c>
      <c r="AQ863" s="25" t="str">
        <f t="shared" si="225"/>
        <v/>
      </c>
      <c r="AR863" s="25" t="str">
        <f t="shared" si="226"/>
        <v/>
      </c>
      <c r="AS863" s="25" t="str">
        <f t="shared" si="227"/>
        <v/>
      </c>
      <c r="AT863" s="25" t="str">
        <f t="shared" si="228"/>
        <v/>
      </c>
      <c r="AU863" s="25" t="str">
        <f t="shared" si="229"/>
        <v/>
      </c>
      <c r="AV863" s="25" t="str">
        <f t="shared" si="230"/>
        <v/>
      </c>
      <c r="AW863" s="25" t="str">
        <f t="shared" si="231"/>
        <v/>
      </c>
      <c r="AX863" s="25" t="str">
        <f t="shared" si="232"/>
        <v/>
      </c>
      <c r="AY863" s="25" t="str">
        <f t="shared" si="233"/>
        <v/>
      </c>
      <c r="AZ863" s="25" t="str">
        <f t="shared" si="234"/>
        <v/>
      </c>
      <c r="BA863" s="25" t="str">
        <f t="shared" si="235"/>
        <v/>
      </c>
      <c r="BB863" s="25" t="str">
        <f t="shared" si="236"/>
        <v/>
      </c>
      <c r="BC863" s="25" t="str">
        <f t="shared" si="237"/>
        <v/>
      </c>
    </row>
    <row r="864" spans="1:55" x14ac:dyDescent="0.25">
      <c r="A864" s="19" t="str">
        <f t="shared" si="222"/>
        <v/>
      </c>
      <c r="B864" s="19"/>
      <c r="C864" s="20"/>
      <c r="D864" s="19" t="str">
        <f t="shared" si="221"/>
        <v/>
      </c>
      <c r="E864" s="19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19"/>
      <c r="U864" s="19"/>
      <c r="V864" s="20"/>
      <c r="W864" s="22"/>
      <c r="X864" s="21"/>
      <c r="Y864" s="21"/>
      <c r="Z864" s="23" t="str">
        <f>IF(B864="","",IF(S864&lt;&gt;"","Sevk Edildi",IF(AND(X864&lt;&gt;"",Y864=""),"Reworkte",IF(T864&lt;&gt;"","Kapandı"&amp;IF(COUNT(G864:R864)=0,""," – "&amp;LOOKUP(2,1/(G864:R864=MAX(G864:R864)),{"Tasarım","Ply Cutter","Üretim","Kalite (Üretim sonrası)","Talaşlı","Kalite (Talaşlı sonrası)","Montaj","Kalite (Montaj sonrası)","Boya","Kalite (Boya sonrası)","Yarı Mamül","KM"})),IF(COUNT(G864:R864)=0,"Başlamadı",LOOKUP(2,1/(G864:R864=MAX(G864:R864)),{"Tasarımda","Ply Cutter'da","Üretimde","Kalitede (Üretim sonrası)","Talaşlıda","Kalitede (Talaşlı sonrası)","Montajda","Kalitede (Montaj sonrası)","Boyada","Kalitede (Boya sonrası)","Yarı Mamülde","KM'de"}))))))</f>
        <v/>
      </c>
      <c r="AA864" s="24" t="str">
        <f t="shared" ca="1" si="223"/>
        <v/>
      </c>
      <c r="AB864" s="22"/>
      <c r="AD864" t="str">
        <f>IF(OR($B864="",NOT(ISNUMBER(G864))),"",IF(COUNTIF(H864:$T864,G864)&gt;0,0,IF(COUNTIF($G864:$T864,"&gt;"&amp;G864)=0,"",SMALL($G864:$T864,COUNTIF($G864:$T864,"&lt;="&amp;G864)+1)-G864)))</f>
        <v/>
      </c>
      <c r="AE864" t="str">
        <f>IF(OR($B864="",NOT(ISNUMBER(H864))),"",IF(COUNTIF(I864:$T864,H864)&gt;0,0,IF(COUNTIF($G864:$T864,"&gt;"&amp;H864)=0,"",SMALL($G864:$T864,COUNTIF($G864:$T864,"&lt;="&amp;H864)+1)-H864)))</f>
        <v/>
      </c>
      <c r="AF864" t="str">
        <f>IF(OR($B864="",NOT(ISNUMBER(I864))),"",IF(COUNTIF(J864:$T864,I864)&gt;0,0,IF(COUNTIF($G864:$T864,"&gt;"&amp;I864)=0,"",SMALL($G864:$T864,COUNTIF($G864:$T864,"&lt;="&amp;I864)+1)-I864)))</f>
        <v/>
      </c>
      <c r="AG864" t="str">
        <f>IF(OR($B864="",NOT(ISNUMBER(J864))),"",IF(COUNTIF(K864:$T864,J864)&gt;0,0,IF(COUNTIF($G864:$T864,"&gt;"&amp;J864)=0,"",SMALL($G864:$T864,COUNTIF($G864:$T864,"&lt;="&amp;J864)+1)-J864)))</f>
        <v/>
      </c>
      <c r="AH864" t="str">
        <f>IF(OR($B864="",NOT(ISNUMBER(K864))),"",IF(COUNTIF(L864:$T864,K864)&gt;0,0,IF(COUNTIF($G864:$T864,"&gt;"&amp;K864)=0,"",SMALL($G864:$T864,COUNTIF($G864:$T864,"&lt;="&amp;K864)+1)-K864)))</f>
        <v/>
      </c>
      <c r="AI864" t="str">
        <f>IF(OR($B864="",NOT(ISNUMBER(L864))),"",IF(COUNTIF(M864:$T864,L864)&gt;0,0,IF(COUNTIF($G864:$T864,"&gt;"&amp;L864)=0,"",SMALL($G864:$T864,COUNTIF($G864:$T864,"&lt;="&amp;L864)+1)-L864)))</f>
        <v/>
      </c>
      <c r="AJ864" t="str">
        <f>IF(OR($B864="",NOT(ISNUMBER(M864))),"",IF(COUNTIF(N864:$T864,M864)&gt;0,0,IF(COUNTIF($G864:$T864,"&gt;"&amp;M864)=0,"",SMALL($G864:$T864,COUNTIF($G864:$T864,"&lt;="&amp;M864)+1)-M864)))</f>
        <v/>
      </c>
      <c r="AK864" t="str">
        <f>IF(OR($B864="",NOT(ISNUMBER(N864))),"",IF(COUNTIF(O864:$T864,N864)&gt;0,0,IF(COUNTIF($G864:$T864,"&gt;"&amp;N864)=0,"",SMALL($G864:$T864,COUNTIF($G864:$T864,"&lt;="&amp;N864)+1)-N864)))</f>
        <v/>
      </c>
      <c r="AL864" t="str">
        <f>IF(OR($B864="",NOT(ISNUMBER(O864))),"",IF(COUNTIF(P864:$T864,O864)&gt;0,0,IF(COUNTIF($G864:$T864,"&gt;"&amp;O864)=0,"",SMALL($G864:$T864,COUNTIF($G864:$T864,"&lt;="&amp;O864)+1)-O864)))</f>
        <v/>
      </c>
      <c r="AM864" t="str">
        <f>IF(OR($B864="",NOT(ISNUMBER(P864))),"",IF(COUNTIF(Q864:$T864,P864)&gt;0,0,IF(COUNTIF($G864:$T864,"&gt;"&amp;P864)=0,"",SMALL($G864:$T864,COUNTIF($G864:$T864,"&lt;="&amp;P864)+1)-P864)))</f>
        <v/>
      </c>
      <c r="AN864" t="str">
        <f>IF(OR($B864="",NOT(ISNUMBER(Q864))),"",IF(COUNTIF(R864:$T864,Q864)&gt;0,0,IF(COUNTIF($G864:$T864,"&gt;"&amp;Q864)=0,"",SMALL($G864:$T864,COUNTIF($G864:$T864,"&lt;="&amp;Q864)+1)-Q864)))</f>
        <v/>
      </c>
      <c r="AO864" t="str">
        <f>IF(OR($B864="",NOT(ISNUMBER(R864))),"",IF(COUNTIF(S864:$T864,R864)&gt;0,0,IF(COUNTIF($G864:$T864,"&gt;"&amp;R864)=0,"",SMALL($G864:$T864,COUNTIF($G864:$T864,"&lt;="&amp;R864)+1)-R864)))</f>
        <v/>
      </c>
      <c r="AP864">
        <f t="shared" ca="1" si="224"/>
        <v>0</v>
      </c>
      <c r="AQ864" s="25" t="str">
        <f t="shared" si="225"/>
        <v/>
      </c>
      <c r="AR864" s="25" t="str">
        <f t="shared" si="226"/>
        <v/>
      </c>
      <c r="AS864" s="25" t="str">
        <f t="shared" si="227"/>
        <v/>
      </c>
      <c r="AT864" s="25" t="str">
        <f t="shared" si="228"/>
        <v/>
      </c>
      <c r="AU864" s="25" t="str">
        <f t="shared" si="229"/>
        <v/>
      </c>
      <c r="AV864" s="25" t="str">
        <f t="shared" si="230"/>
        <v/>
      </c>
      <c r="AW864" s="25" t="str">
        <f t="shared" si="231"/>
        <v/>
      </c>
      <c r="AX864" s="25" t="str">
        <f t="shared" si="232"/>
        <v/>
      </c>
      <c r="AY864" s="25" t="str">
        <f t="shared" si="233"/>
        <v/>
      </c>
      <c r="AZ864" s="25" t="str">
        <f t="shared" si="234"/>
        <v/>
      </c>
      <c r="BA864" s="25" t="str">
        <f t="shared" si="235"/>
        <v/>
      </c>
      <c r="BB864" s="25" t="str">
        <f t="shared" si="236"/>
        <v/>
      </c>
      <c r="BC864" s="25" t="str">
        <f t="shared" si="237"/>
        <v/>
      </c>
    </row>
    <row r="865" spans="1:55" x14ac:dyDescent="0.25">
      <c r="A865" s="19" t="str">
        <f t="shared" si="222"/>
        <v/>
      </c>
      <c r="B865" s="19"/>
      <c r="C865" s="20"/>
      <c r="D865" s="19" t="str">
        <f t="shared" si="221"/>
        <v/>
      </c>
      <c r="E865" s="19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19"/>
      <c r="U865" s="19"/>
      <c r="V865" s="20"/>
      <c r="W865" s="22"/>
      <c r="X865" s="21"/>
      <c r="Y865" s="21"/>
      <c r="Z865" s="23" t="str">
        <f>IF(B865="","",IF(S865&lt;&gt;"","Sevk Edildi",IF(AND(X865&lt;&gt;"",Y865=""),"Reworkte",IF(T865&lt;&gt;"","Kapandı"&amp;IF(COUNT(G865:R865)=0,""," – "&amp;LOOKUP(2,1/(G865:R865=MAX(G865:R865)),{"Tasarım","Ply Cutter","Üretim","Kalite (Üretim sonrası)","Talaşlı","Kalite (Talaşlı sonrası)","Montaj","Kalite (Montaj sonrası)","Boya","Kalite (Boya sonrası)","Yarı Mamül","KM"})),IF(COUNT(G865:R865)=0,"Başlamadı",LOOKUP(2,1/(G865:R865=MAX(G865:R865)),{"Tasarımda","Ply Cutter'da","Üretimde","Kalitede (Üretim sonrası)","Talaşlıda","Kalitede (Talaşlı sonrası)","Montajda","Kalitede (Montaj sonrası)","Boyada","Kalitede (Boya sonrası)","Yarı Mamülde","KM'de"}))))))</f>
        <v/>
      </c>
      <c r="AA865" s="24" t="str">
        <f t="shared" ca="1" si="223"/>
        <v/>
      </c>
      <c r="AB865" s="22"/>
      <c r="AD865" t="str">
        <f>IF(OR($B865="",NOT(ISNUMBER(G865))),"",IF(COUNTIF(H865:$T865,G865)&gt;0,0,IF(COUNTIF($G865:$T865,"&gt;"&amp;G865)=0,"",SMALL($G865:$T865,COUNTIF($G865:$T865,"&lt;="&amp;G865)+1)-G865)))</f>
        <v/>
      </c>
      <c r="AE865" t="str">
        <f>IF(OR($B865="",NOT(ISNUMBER(H865))),"",IF(COUNTIF(I865:$T865,H865)&gt;0,0,IF(COUNTIF($G865:$T865,"&gt;"&amp;H865)=0,"",SMALL($G865:$T865,COUNTIF($G865:$T865,"&lt;="&amp;H865)+1)-H865)))</f>
        <v/>
      </c>
      <c r="AF865" t="str">
        <f>IF(OR($B865="",NOT(ISNUMBER(I865))),"",IF(COUNTIF(J865:$T865,I865)&gt;0,0,IF(COUNTIF($G865:$T865,"&gt;"&amp;I865)=0,"",SMALL($G865:$T865,COUNTIF($G865:$T865,"&lt;="&amp;I865)+1)-I865)))</f>
        <v/>
      </c>
      <c r="AG865" t="str">
        <f>IF(OR($B865="",NOT(ISNUMBER(J865))),"",IF(COUNTIF(K865:$T865,J865)&gt;0,0,IF(COUNTIF($G865:$T865,"&gt;"&amp;J865)=0,"",SMALL($G865:$T865,COUNTIF($G865:$T865,"&lt;="&amp;J865)+1)-J865)))</f>
        <v/>
      </c>
      <c r="AH865" t="str">
        <f>IF(OR($B865="",NOT(ISNUMBER(K865))),"",IF(COUNTIF(L865:$T865,K865)&gt;0,0,IF(COUNTIF($G865:$T865,"&gt;"&amp;K865)=0,"",SMALL($G865:$T865,COUNTIF($G865:$T865,"&lt;="&amp;K865)+1)-K865)))</f>
        <v/>
      </c>
      <c r="AI865" t="str">
        <f>IF(OR($B865="",NOT(ISNUMBER(L865))),"",IF(COUNTIF(M865:$T865,L865)&gt;0,0,IF(COUNTIF($G865:$T865,"&gt;"&amp;L865)=0,"",SMALL($G865:$T865,COUNTIF($G865:$T865,"&lt;="&amp;L865)+1)-L865)))</f>
        <v/>
      </c>
      <c r="AJ865" t="str">
        <f>IF(OR($B865="",NOT(ISNUMBER(M865))),"",IF(COUNTIF(N865:$T865,M865)&gt;0,0,IF(COUNTIF($G865:$T865,"&gt;"&amp;M865)=0,"",SMALL($G865:$T865,COUNTIF($G865:$T865,"&lt;="&amp;M865)+1)-M865)))</f>
        <v/>
      </c>
      <c r="AK865" t="str">
        <f>IF(OR($B865="",NOT(ISNUMBER(N865))),"",IF(COUNTIF(O865:$T865,N865)&gt;0,0,IF(COUNTIF($G865:$T865,"&gt;"&amp;N865)=0,"",SMALL($G865:$T865,COUNTIF($G865:$T865,"&lt;="&amp;N865)+1)-N865)))</f>
        <v/>
      </c>
      <c r="AL865" t="str">
        <f>IF(OR($B865="",NOT(ISNUMBER(O865))),"",IF(COUNTIF(P865:$T865,O865)&gt;0,0,IF(COUNTIF($G865:$T865,"&gt;"&amp;O865)=0,"",SMALL($G865:$T865,COUNTIF($G865:$T865,"&lt;="&amp;O865)+1)-O865)))</f>
        <v/>
      </c>
      <c r="AM865" t="str">
        <f>IF(OR($B865="",NOT(ISNUMBER(P865))),"",IF(COUNTIF(Q865:$T865,P865)&gt;0,0,IF(COUNTIF($G865:$T865,"&gt;"&amp;P865)=0,"",SMALL($G865:$T865,COUNTIF($G865:$T865,"&lt;="&amp;P865)+1)-P865)))</f>
        <v/>
      </c>
      <c r="AN865" t="str">
        <f>IF(OR($B865="",NOT(ISNUMBER(Q865))),"",IF(COUNTIF(R865:$T865,Q865)&gt;0,0,IF(COUNTIF($G865:$T865,"&gt;"&amp;Q865)=0,"",SMALL($G865:$T865,COUNTIF($G865:$T865,"&lt;="&amp;Q865)+1)-Q865)))</f>
        <v/>
      </c>
      <c r="AO865" t="str">
        <f>IF(OR($B865="",NOT(ISNUMBER(R865))),"",IF(COUNTIF(S865:$T865,R865)&gt;0,0,IF(COUNTIF($G865:$T865,"&gt;"&amp;R865)=0,"",SMALL($G865:$T865,COUNTIF($G865:$T865,"&lt;="&amp;R865)+1)-R865)))</f>
        <v/>
      </c>
      <c r="AP865">
        <f t="shared" ca="1" si="224"/>
        <v>0</v>
      </c>
      <c r="AQ865" s="25" t="str">
        <f t="shared" si="225"/>
        <v/>
      </c>
      <c r="AR865" s="25" t="str">
        <f t="shared" si="226"/>
        <v/>
      </c>
      <c r="AS865" s="25" t="str">
        <f t="shared" si="227"/>
        <v/>
      </c>
      <c r="AT865" s="25" t="str">
        <f t="shared" si="228"/>
        <v/>
      </c>
      <c r="AU865" s="25" t="str">
        <f t="shared" si="229"/>
        <v/>
      </c>
      <c r="AV865" s="25" t="str">
        <f t="shared" si="230"/>
        <v/>
      </c>
      <c r="AW865" s="25" t="str">
        <f t="shared" si="231"/>
        <v/>
      </c>
      <c r="AX865" s="25" t="str">
        <f t="shared" si="232"/>
        <v/>
      </c>
      <c r="AY865" s="25" t="str">
        <f t="shared" si="233"/>
        <v/>
      </c>
      <c r="AZ865" s="25" t="str">
        <f t="shared" si="234"/>
        <v/>
      </c>
      <c r="BA865" s="25" t="str">
        <f t="shared" si="235"/>
        <v/>
      </c>
      <c r="BB865" s="25" t="str">
        <f t="shared" si="236"/>
        <v/>
      </c>
      <c r="BC865" s="25" t="str">
        <f t="shared" si="237"/>
        <v/>
      </c>
    </row>
    <row r="866" spans="1:55" x14ac:dyDescent="0.25">
      <c r="A866" s="19" t="str">
        <f t="shared" si="222"/>
        <v/>
      </c>
      <c r="B866" s="19"/>
      <c r="C866" s="20"/>
      <c r="D866" s="19" t="str">
        <f t="shared" si="221"/>
        <v/>
      </c>
      <c r="E866" s="19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19"/>
      <c r="U866" s="19"/>
      <c r="V866" s="20"/>
      <c r="W866" s="22"/>
      <c r="X866" s="21"/>
      <c r="Y866" s="21"/>
      <c r="Z866" s="23" t="str">
        <f>IF(B866="","",IF(S866&lt;&gt;"","Sevk Edildi",IF(AND(X866&lt;&gt;"",Y866=""),"Reworkte",IF(T866&lt;&gt;"","Kapandı"&amp;IF(COUNT(G866:R866)=0,""," – "&amp;LOOKUP(2,1/(G866:R866=MAX(G866:R866)),{"Tasarım","Ply Cutter","Üretim","Kalite (Üretim sonrası)","Talaşlı","Kalite (Talaşlı sonrası)","Montaj","Kalite (Montaj sonrası)","Boya","Kalite (Boya sonrası)","Yarı Mamül","KM"})),IF(COUNT(G866:R866)=0,"Başlamadı",LOOKUP(2,1/(G866:R866=MAX(G866:R866)),{"Tasarımda","Ply Cutter'da","Üretimde","Kalitede (Üretim sonrası)","Talaşlıda","Kalitede (Talaşlı sonrası)","Montajda","Kalitede (Montaj sonrası)","Boyada","Kalitede (Boya sonrası)","Yarı Mamülde","KM'de"}))))))</f>
        <v/>
      </c>
      <c r="AA866" s="24" t="str">
        <f t="shared" ca="1" si="223"/>
        <v/>
      </c>
      <c r="AB866" s="22"/>
      <c r="AD866" t="str">
        <f>IF(OR($B866="",NOT(ISNUMBER(G866))),"",IF(COUNTIF(H866:$T866,G866)&gt;0,0,IF(COUNTIF($G866:$T866,"&gt;"&amp;G866)=0,"",SMALL($G866:$T866,COUNTIF($G866:$T866,"&lt;="&amp;G866)+1)-G866)))</f>
        <v/>
      </c>
      <c r="AE866" t="str">
        <f>IF(OR($B866="",NOT(ISNUMBER(H866))),"",IF(COUNTIF(I866:$T866,H866)&gt;0,0,IF(COUNTIF($G866:$T866,"&gt;"&amp;H866)=0,"",SMALL($G866:$T866,COUNTIF($G866:$T866,"&lt;="&amp;H866)+1)-H866)))</f>
        <v/>
      </c>
      <c r="AF866" t="str">
        <f>IF(OR($B866="",NOT(ISNUMBER(I866))),"",IF(COUNTIF(J866:$T866,I866)&gt;0,0,IF(COUNTIF($G866:$T866,"&gt;"&amp;I866)=0,"",SMALL($G866:$T866,COUNTIF($G866:$T866,"&lt;="&amp;I866)+1)-I866)))</f>
        <v/>
      </c>
      <c r="AG866" t="str">
        <f>IF(OR($B866="",NOT(ISNUMBER(J866))),"",IF(COUNTIF(K866:$T866,J866)&gt;0,0,IF(COUNTIF($G866:$T866,"&gt;"&amp;J866)=0,"",SMALL($G866:$T866,COUNTIF($G866:$T866,"&lt;="&amp;J866)+1)-J866)))</f>
        <v/>
      </c>
      <c r="AH866" t="str">
        <f>IF(OR($B866="",NOT(ISNUMBER(K866))),"",IF(COUNTIF(L866:$T866,K866)&gt;0,0,IF(COUNTIF($G866:$T866,"&gt;"&amp;K866)=0,"",SMALL($G866:$T866,COUNTIF($G866:$T866,"&lt;="&amp;K866)+1)-K866)))</f>
        <v/>
      </c>
      <c r="AI866" t="str">
        <f>IF(OR($B866="",NOT(ISNUMBER(L866))),"",IF(COUNTIF(M866:$T866,L866)&gt;0,0,IF(COUNTIF($G866:$T866,"&gt;"&amp;L866)=0,"",SMALL($G866:$T866,COUNTIF($G866:$T866,"&lt;="&amp;L866)+1)-L866)))</f>
        <v/>
      </c>
      <c r="AJ866" t="str">
        <f>IF(OR($B866="",NOT(ISNUMBER(M866))),"",IF(COUNTIF(N866:$T866,M866)&gt;0,0,IF(COUNTIF($G866:$T866,"&gt;"&amp;M866)=0,"",SMALL($G866:$T866,COUNTIF($G866:$T866,"&lt;="&amp;M866)+1)-M866)))</f>
        <v/>
      </c>
      <c r="AK866" t="str">
        <f>IF(OR($B866="",NOT(ISNUMBER(N866))),"",IF(COUNTIF(O866:$T866,N866)&gt;0,0,IF(COUNTIF($G866:$T866,"&gt;"&amp;N866)=0,"",SMALL($G866:$T866,COUNTIF($G866:$T866,"&lt;="&amp;N866)+1)-N866)))</f>
        <v/>
      </c>
      <c r="AL866" t="str">
        <f>IF(OR($B866="",NOT(ISNUMBER(O866))),"",IF(COUNTIF(P866:$T866,O866)&gt;0,0,IF(COUNTIF($G866:$T866,"&gt;"&amp;O866)=0,"",SMALL($G866:$T866,COUNTIF($G866:$T866,"&lt;="&amp;O866)+1)-O866)))</f>
        <v/>
      </c>
      <c r="AM866" t="str">
        <f>IF(OR($B866="",NOT(ISNUMBER(P866))),"",IF(COUNTIF(Q866:$T866,P866)&gt;0,0,IF(COUNTIF($G866:$T866,"&gt;"&amp;P866)=0,"",SMALL($G866:$T866,COUNTIF($G866:$T866,"&lt;="&amp;P866)+1)-P866)))</f>
        <v/>
      </c>
      <c r="AN866" t="str">
        <f>IF(OR($B866="",NOT(ISNUMBER(Q866))),"",IF(COUNTIF(R866:$T866,Q866)&gt;0,0,IF(COUNTIF($G866:$T866,"&gt;"&amp;Q866)=0,"",SMALL($G866:$T866,COUNTIF($G866:$T866,"&lt;="&amp;Q866)+1)-Q866)))</f>
        <v/>
      </c>
      <c r="AO866" t="str">
        <f>IF(OR($B866="",NOT(ISNUMBER(R866))),"",IF(COUNTIF(S866:$T866,R866)&gt;0,0,IF(COUNTIF($G866:$T866,"&gt;"&amp;R866)=0,"",SMALL($G866:$T866,COUNTIF($G866:$T866,"&lt;="&amp;R866)+1)-R866)))</f>
        <v/>
      </c>
      <c r="AP866">
        <f t="shared" ca="1" si="224"/>
        <v>0</v>
      </c>
      <c r="AQ866" s="25" t="str">
        <f t="shared" si="225"/>
        <v/>
      </c>
      <c r="AR866" s="25" t="str">
        <f t="shared" si="226"/>
        <v/>
      </c>
      <c r="AS866" s="25" t="str">
        <f t="shared" si="227"/>
        <v/>
      </c>
      <c r="AT866" s="25" t="str">
        <f t="shared" si="228"/>
        <v/>
      </c>
      <c r="AU866" s="25" t="str">
        <f t="shared" si="229"/>
        <v/>
      </c>
      <c r="AV866" s="25" t="str">
        <f t="shared" si="230"/>
        <v/>
      </c>
      <c r="AW866" s="25" t="str">
        <f t="shared" si="231"/>
        <v/>
      </c>
      <c r="AX866" s="25" t="str">
        <f t="shared" si="232"/>
        <v/>
      </c>
      <c r="AY866" s="25" t="str">
        <f t="shared" si="233"/>
        <v/>
      </c>
      <c r="AZ866" s="25" t="str">
        <f t="shared" si="234"/>
        <v/>
      </c>
      <c r="BA866" s="25" t="str">
        <f t="shared" si="235"/>
        <v/>
      </c>
      <c r="BB866" s="25" t="str">
        <f t="shared" si="236"/>
        <v/>
      </c>
      <c r="BC866" s="25" t="str">
        <f t="shared" si="237"/>
        <v/>
      </c>
    </row>
    <row r="867" spans="1:55" x14ac:dyDescent="0.25">
      <c r="A867" s="19" t="str">
        <f t="shared" si="222"/>
        <v/>
      </c>
      <c r="B867" s="19"/>
      <c r="C867" s="20"/>
      <c r="D867" s="19" t="str">
        <f t="shared" si="221"/>
        <v/>
      </c>
      <c r="E867" s="19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19"/>
      <c r="U867" s="19"/>
      <c r="V867" s="20"/>
      <c r="W867" s="22"/>
      <c r="X867" s="21"/>
      <c r="Y867" s="21"/>
      <c r="Z867" s="23" t="str">
        <f>IF(B867="","",IF(S867&lt;&gt;"","Sevk Edildi",IF(AND(X867&lt;&gt;"",Y867=""),"Reworkte",IF(T867&lt;&gt;"","Kapandı"&amp;IF(COUNT(G867:R867)=0,""," – "&amp;LOOKUP(2,1/(G867:R867=MAX(G867:R867)),{"Tasarım","Ply Cutter","Üretim","Kalite (Üretim sonrası)","Talaşlı","Kalite (Talaşlı sonrası)","Montaj","Kalite (Montaj sonrası)","Boya","Kalite (Boya sonrası)","Yarı Mamül","KM"})),IF(COUNT(G867:R867)=0,"Başlamadı",LOOKUP(2,1/(G867:R867=MAX(G867:R867)),{"Tasarımda","Ply Cutter'da","Üretimde","Kalitede (Üretim sonrası)","Talaşlıda","Kalitede (Talaşlı sonrası)","Montajda","Kalitede (Montaj sonrası)","Boyada","Kalitede (Boya sonrası)","Yarı Mamülde","KM'de"}))))))</f>
        <v/>
      </c>
      <c r="AA867" s="24" t="str">
        <f t="shared" ca="1" si="223"/>
        <v/>
      </c>
      <c r="AB867" s="22"/>
      <c r="AD867" t="str">
        <f>IF(OR($B867="",NOT(ISNUMBER(G867))),"",IF(COUNTIF(H867:$T867,G867)&gt;0,0,IF(COUNTIF($G867:$T867,"&gt;"&amp;G867)=0,"",SMALL($G867:$T867,COUNTIF($G867:$T867,"&lt;="&amp;G867)+1)-G867)))</f>
        <v/>
      </c>
      <c r="AE867" t="str">
        <f>IF(OR($B867="",NOT(ISNUMBER(H867))),"",IF(COUNTIF(I867:$T867,H867)&gt;0,0,IF(COUNTIF($G867:$T867,"&gt;"&amp;H867)=0,"",SMALL($G867:$T867,COUNTIF($G867:$T867,"&lt;="&amp;H867)+1)-H867)))</f>
        <v/>
      </c>
      <c r="AF867" t="str">
        <f>IF(OR($B867="",NOT(ISNUMBER(I867))),"",IF(COUNTIF(J867:$T867,I867)&gt;0,0,IF(COUNTIF($G867:$T867,"&gt;"&amp;I867)=0,"",SMALL($G867:$T867,COUNTIF($G867:$T867,"&lt;="&amp;I867)+1)-I867)))</f>
        <v/>
      </c>
      <c r="AG867" t="str">
        <f>IF(OR($B867="",NOT(ISNUMBER(J867))),"",IF(COUNTIF(K867:$T867,J867)&gt;0,0,IF(COUNTIF($G867:$T867,"&gt;"&amp;J867)=0,"",SMALL($G867:$T867,COUNTIF($G867:$T867,"&lt;="&amp;J867)+1)-J867)))</f>
        <v/>
      </c>
      <c r="AH867" t="str">
        <f>IF(OR($B867="",NOT(ISNUMBER(K867))),"",IF(COUNTIF(L867:$T867,K867)&gt;0,0,IF(COUNTIF($G867:$T867,"&gt;"&amp;K867)=0,"",SMALL($G867:$T867,COUNTIF($G867:$T867,"&lt;="&amp;K867)+1)-K867)))</f>
        <v/>
      </c>
      <c r="AI867" t="str">
        <f>IF(OR($B867="",NOT(ISNUMBER(L867))),"",IF(COUNTIF(M867:$T867,L867)&gt;0,0,IF(COUNTIF($G867:$T867,"&gt;"&amp;L867)=0,"",SMALL($G867:$T867,COUNTIF($G867:$T867,"&lt;="&amp;L867)+1)-L867)))</f>
        <v/>
      </c>
      <c r="AJ867" t="str">
        <f>IF(OR($B867="",NOT(ISNUMBER(M867))),"",IF(COUNTIF(N867:$T867,M867)&gt;0,0,IF(COUNTIF($G867:$T867,"&gt;"&amp;M867)=0,"",SMALL($G867:$T867,COUNTIF($G867:$T867,"&lt;="&amp;M867)+1)-M867)))</f>
        <v/>
      </c>
      <c r="AK867" t="str">
        <f>IF(OR($B867="",NOT(ISNUMBER(N867))),"",IF(COUNTIF(O867:$T867,N867)&gt;0,0,IF(COUNTIF($G867:$T867,"&gt;"&amp;N867)=0,"",SMALL($G867:$T867,COUNTIF($G867:$T867,"&lt;="&amp;N867)+1)-N867)))</f>
        <v/>
      </c>
      <c r="AL867" t="str">
        <f>IF(OR($B867="",NOT(ISNUMBER(O867))),"",IF(COUNTIF(P867:$T867,O867)&gt;0,0,IF(COUNTIF($G867:$T867,"&gt;"&amp;O867)=0,"",SMALL($G867:$T867,COUNTIF($G867:$T867,"&lt;="&amp;O867)+1)-O867)))</f>
        <v/>
      </c>
      <c r="AM867" t="str">
        <f>IF(OR($B867="",NOT(ISNUMBER(P867))),"",IF(COUNTIF(Q867:$T867,P867)&gt;0,0,IF(COUNTIF($G867:$T867,"&gt;"&amp;P867)=0,"",SMALL($G867:$T867,COUNTIF($G867:$T867,"&lt;="&amp;P867)+1)-P867)))</f>
        <v/>
      </c>
      <c r="AN867" t="str">
        <f>IF(OR($B867="",NOT(ISNUMBER(Q867))),"",IF(COUNTIF(R867:$T867,Q867)&gt;0,0,IF(COUNTIF($G867:$T867,"&gt;"&amp;Q867)=0,"",SMALL($G867:$T867,COUNTIF($G867:$T867,"&lt;="&amp;Q867)+1)-Q867)))</f>
        <v/>
      </c>
      <c r="AO867" t="str">
        <f>IF(OR($B867="",NOT(ISNUMBER(R867))),"",IF(COUNTIF(S867:$T867,R867)&gt;0,0,IF(COUNTIF($G867:$T867,"&gt;"&amp;R867)=0,"",SMALL($G867:$T867,COUNTIF($G867:$T867,"&lt;="&amp;R867)+1)-R867)))</f>
        <v/>
      </c>
      <c r="AP867">
        <f t="shared" ca="1" si="224"/>
        <v>0</v>
      </c>
      <c r="AQ867" s="25" t="str">
        <f t="shared" si="225"/>
        <v/>
      </c>
      <c r="AR867" s="25" t="str">
        <f t="shared" si="226"/>
        <v/>
      </c>
      <c r="AS867" s="25" t="str">
        <f t="shared" si="227"/>
        <v/>
      </c>
      <c r="AT867" s="25" t="str">
        <f t="shared" si="228"/>
        <v/>
      </c>
      <c r="AU867" s="25" t="str">
        <f t="shared" si="229"/>
        <v/>
      </c>
      <c r="AV867" s="25" t="str">
        <f t="shared" si="230"/>
        <v/>
      </c>
      <c r="AW867" s="25" t="str">
        <f t="shared" si="231"/>
        <v/>
      </c>
      <c r="AX867" s="25" t="str">
        <f t="shared" si="232"/>
        <v/>
      </c>
      <c r="AY867" s="25" t="str">
        <f t="shared" si="233"/>
        <v/>
      </c>
      <c r="AZ867" s="25" t="str">
        <f t="shared" si="234"/>
        <v/>
      </c>
      <c r="BA867" s="25" t="str">
        <f t="shared" si="235"/>
        <v/>
      </c>
      <c r="BB867" s="25" t="str">
        <f t="shared" si="236"/>
        <v/>
      </c>
      <c r="BC867" s="25" t="str">
        <f t="shared" si="237"/>
        <v/>
      </c>
    </row>
    <row r="868" spans="1:55" x14ac:dyDescent="0.25">
      <c r="A868" s="19" t="str">
        <f t="shared" si="222"/>
        <v/>
      </c>
      <c r="B868" s="19"/>
      <c r="C868" s="20"/>
      <c r="D868" s="19" t="str">
        <f t="shared" si="221"/>
        <v/>
      </c>
      <c r="E868" s="19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19"/>
      <c r="U868" s="19"/>
      <c r="V868" s="20"/>
      <c r="W868" s="22"/>
      <c r="X868" s="21"/>
      <c r="Y868" s="21"/>
      <c r="Z868" s="23" t="str">
        <f>IF(B868="","",IF(S868&lt;&gt;"","Sevk Edildi",IF(AND(X868&lt;&gt;"",Y868=""),"Reworkte",IF(T868&lt;&gt;"","Kapandı"&amp;IF(COUNT(G868:R868)=0,""," – "&amp;LOOKUP(2,1/(G868:R868=MAX(G868:R868)),{"Tasarım","Ply Cutter","Üretim","Kalite (Üretim sonrası)","Talaşlı","Kalite (Talaşlı sonrası)","Montaj","Kalite (Montaj sonrası)","Boya","Kalite (Boya sonrası)","Yarı Mamül","KM"})),IF(COUNT(G868:R868)=0,"Başlamadı",LOOKUP(2,1/(G868:R868=MAX(G868:R868)),{"Tasarımda","Ply Cutter'da","Üretimde","Kalitede (Üretim sonrası)","Talaşlıda","Kalitede (Talaşlı sonrası)","Montajda","Kalitede (Montaj sonrası)","Boyada","Kalitede (Boya sonrası)","Yarı Mamülde","KM'de"}))))))</f>
        <v/>
      </c>
      <c r="AA868" s="24" t="str">
        <f t="shared" ca="1" si="223"/>
        <v/>
      </c>
      <c r="AB868" s="22"/>
      <c r="AD868" t="str">
        <f>IF(OR($B868="",NOT(ISNUMBER(G868))),"",IF(COUNTIF(H868:$T868,G868)&gt;0,0,IF(COUNTIF($G868:$T868,"&gt;"&amp;G868)=0,"",SMALL($G868:$T868,COUNTIF($G868:$T868,"&lt;="&amp;G868)+1)-G868)))</f>
        <v/>
      </c>
      <c r="AE868" t="str">
        <f>IF(OR($B868="",NOT(ISNUMBER(H868))),"",IF(COUNTIF(I868:$T868,H868)&gt;0,0,IF(COUNTIF($G868:$T868,"&gt;"&amp;H868)=0,"",SMALL($G868:$T868,COUNTIF($G868:$T868,"&lt;="&amp;H868)+1)-H868)))</f>
        <v/>
      </c>
      <c r="AF868" t="str">
        <f>IF(OR($B868="",NOT(ISNUMBER(I868))),"",IF(COUNTIF(J868:$T868,I868)&gt;0,0,IF(COUNTIF($G868:$T868,"&gt;"&amp;I868)=0,"",SMALL($G868:$T868,COUNTIF($G868:$T868,"&lt;="&amp;I868)+1)-I868)))</f>
        <v/>
      </c>
      <c r="AG868" t="str">
        <f>IF(OR($B868="",NOT(ISNUMBER(J868))),"",IF(COUNTIF(K868:$T868,J868)&gt;0,0,IF(COUNTIF($G868:$T868,"&gt;"&amp;J868)=0,"",SMALL($G868:$T868,COUNTIF($G868:$T868,"&lt;="&amp;J868)+1)-J868)))</f>
        <v/>
      </c>
      <c r="AH868" t="str">
        <f>IF(OR($B868="",NOT(ISNUMBER(K868))),"",IF(COUNTIF(L868:$T868,K868)&gt;0,0,IF(COUNTIF($G868:$T868,"&gt;"&amp;K868)=0,"",SMALL($G868:$T868,COUNTIF($G868:$T868,"&lt;="&amp;K868)+1)-K868)))</f>
        <v/>
      </c>
      <c r="AI868" t="str">
        <f>IF(OR($B868="",NOT(ISNUMBER(L868))),"",IF(COUNTIF(M868:$T868,L868)&gt;0,0,IF(COUNTIF($G868:$T868,"&gt;"&amp;L868)=0,"",SMALL($G868:$T868,COUNTIF($G868:$T868,"&lt;="&amp;L868)+1)-L868)))</f>
        <v/>
      </c>
      <c r="AJ868" t="str">
        <f>IF(OR($B868="",NOT(ISNUMBER(M868))),"",IF(COUNTIF(N868:$T868,M868)&gt;0,0,IF(COUNTIF($G868:$T868,"&gt;"&amp;M868)=0,"",SMALL($G868:$T868,COUNTIF($G868:$T868,"&lt;="&amp;M868)+1)-M868)))</f>
        <v/>
      </c>
      <c r="AK868" t="str">
        <f>IF(OR($B868="",NOT(ISNUMBER(N868))),"",IF(COUNTIF(O868:$T868,N868)&gt;0,0,IF(COUNTIF($G868:$T868,"&gt;"&amp;N868)=0,"",SMALL($G868:$T868,COUNTIF($G868:$T868,"&lt;="&amp;N868)+1)-N868)))</f>
        <v/>
      </c>
      <c r="AL868" t="str">
        <f>IF(OR($B868="",NOT(ISNUMBER(O868))),"",IF(COUNTIF(P868:$T868,O868)&gt;0,0,IF(COUNTIF($G868:$T868,"&gt;"&amp;O868)=0,"",SMALL($G868:$T868,COUNTIF($G868:$T868,"&lt;="&amp;O868)+1)-O868)))</f>
        <v/>
      </c>
      <c r="AM868" t="str">
        <f>IF(OR($B868="",NOT(ISNUMBER(P868))),"",IF(COUNTIF(Q868:$T868,P868)&gt;0,0,IF(COUNTIF($G868:$T868,"&gt;"&amp;P868)=0,"",SMALL($G868:$T868,COUNTIF($G868:$T868,"&lt;="&amp;P868)+1)-P868)))</f>
        <v/>
      </c>
      <c r="AN868" t="str">
        <f>IF(OR($B868="",NOT(ISNUMBER(Q868))),"",IF(COUNTIF(R868:$T868,Q868)&gt;0,0,IF(COUNTIF($G868:$T868,"&gt;"&amp;Q868)=0,"",SMALL($G868:$T868,COUNTIF($G868:$T868,"&lt;="&amp;Q868)+1)-Q868)))</f>
        <v/>
      </c>
      <c r="AO868" t="str">
        <f>IF(OR($B868="",NOT(ISNUMBER(R868))),"",IF(COUNTIF(S868:$T868,R868)&gt;0,0,IF(COUNTIF($G868:$T868,"&gt;"&amp;R868)=0,"",SMALL($G868:$T868,COUNTIF($G868:$T868,"&lt;="&amp;R868)+1)-R868)))</f>
        <v/>
      </c>
      <c r="AP868">
        <f t="shared" ca="1" si="224"/>
        <v>0</v>
      </c>
      <c r="AQ868" s="25" t="str">
        <f t="shared" si="225"/>
        <v/>
      </c>
      <c r="AR868" s="25" t="str">
        <f t="shared" si="226"/>
        <v/>
      </c>
      <c r="AS868" s="25" t="str">
        <f t="shared" si="227"/>
        <v/>
      </c>
      <c r="AT868" s="25" t="str">
        <f t="shared" si="228"/>
        <v/>
      </c>
      <c r="AU868" s="25" t="str">
        <f t="shared" si="229"/>
        <v/>
      </c>
      <c r="AV868" s="25" t="str">
        <f t="shared" si="230"/>
        <v/>
      </c>
      <c r="AW868" s="25" t="str">
        <f t="shared" si="231"/>
        <v/>
      </c>
      <c r="AX868" s="25" t="str">
        <f t="shared" si="232"/>
        <v/>
      </c>
      <c r="AY868" s="25" t="str">
        <f t="shared" si="233"/>
        <v/>
      </c>
      <c r="AZ868" s="25" t="str">
        <f t="shared" si="234"/>
        <v/>
      </c>
      <c r="BA868" s="25" t="str">
        <f t="shared" si="235"/>
        <v/>
      </c>
      <c r="BB868" s="25" t="str">
        <f t="shared" si="236"/>
        <v/>
      </c>
      <c r="BC868" s="25" t="str">
        <f t="shared" si="237"/>
        <v/>
      </c>
    </row>
    <row r="869" spans="1:55" x14ac:dyDescent="0.25">
      <c r="A869" s="19" t="str">
        <f t="shared" si="222"/>
        <v/>
      </c>
      <c r="B869" s="19"/>
      <c r="C869" s="20"/>
      <c r="D869" s="19" t="str">
        <f t="shared" si="221"/>
        <v/>
      </c>
      <c r="E869" s="19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19"/>
      <c r="U869" s="19"/>
      <c r="V869" s="20"/>
      <c r="W869" s="22"/>
      <c r="X869" s="21"/>
      <c r="Y869" s="21"/>
      <c r="Z869" s="23" t="str">
        <f>IF(B869="","",IF(S869&lt;&gt;"","Sevk Edildi",IF(AND(X869&lt;&gt;"",Y869=""),"Reworkte",IF(T869&lt;&gt;"","Kapandı"&amp;IF(COUNT(G869:R869)=0,""," – "&amp;LOOKUP(2,1/(G869:R869=MAX(G869:R869)),{"Tasarım","Ply Cutter","Üretim","Kalite (Üretim sonrası)","Talaşlı","Kalite (Talaşlı sonrası)","Montaj","Kalite (Montaj sonrası)","Boya","Kalite (Boya sonrası)","Yarı Mamül","KM"})),IF(COUNT(G869:R869)=0,"Başlamadı",LOOKUP(2,1/(G869:R869=MAX(G869:R869)),{"Tasarımda","Ply Cutter'da","Üretimde","Kalitede (Üretim sonrası)","Talaşlıda","Kalitede (Talaşlı sonrası)","Montajda","Kalitede (Montaj sonrası)","Boyada","Kalitede (Boya sonrası)","Yarı Mamülde","KM'de"}))))))</f>
        <v/>
      </c>
      <c r="AA869" s="24" t="str">
        <f t="shared" ca="1" si="223"/>
        <v/>
      </c>
      <c r="AB869" s="22"/>
      <c r="AD869" t="str">
        <f>IF(OR($B869="",NOT(ISNUMBER(G869))),"",IF(COUNTIF(H869:$T869,G869)&gt;0,0,IF(COUNTIF($G869:$T869,"&gt;"&amp;G869)=0,"",SMALL($G869:$T869,COUNTIF($G869:$T869,"&lt;="&amp;G869)+1)-G869)))</f>
        <v/>
      </c>
      <c r="AE869" t="str">
        <f>IF(OR($B869="",NOT(ISNUMBER(H869))),"",IF(COUNTIF(I869:$T869,H869)&gt;0,0,IF(COUNTIF($G869:$T869,"&gt;"&amp;H869)=0,"",SMALL($G869:$T869,COUNTIF($G869:$T869,"&lt;="&amp;H869)+1)-H869)))</f>
        <v/>
      </c>
      <c r="AF869" t="str">
        <f>IF(OR($B869="",NOT(ISNUMBER(I869))),"",IF(COUNTIF(J869:$T869,I869)&gt;0,0,IF(COUNTIF($G869:$T869,"&gt;"&amp;I869)=0,"",SMALL($G869:$T869,COUNTIF($G869:$T869,"&lt;="&amp;I869)+1)-I869)))</f>
        <v/>
      </c>
      <c r="AG869" t="str">
        <f>IF(OR($B869="",NOT(ISNUMBER(J869))),"",IF(COUNTIF(K869:$T869,J869)&gt;0,0,IF(COUNTIF($G869:$T869,"&gt;"&amp;J869)=0,"",SMALL($G869:$T869,COUNTIF($G869:$T869,"&lt;="&amp;J869)+1)-J869)))</f>
        <v/>
      </c>
      <c r="AH869" t="str">
        <f>IF(OR($B869="",NOT(ISNUMBER(K869))),"",IF(COUNTIF(L869:$T869,K869)&gt;0,0,IF(COUNTIF($G869:$T869,"&gt;"&amp;K869)=0,"",SMALL($G869:$T869,COUNTIF($G869:$T869,"&lt;="&amp;K869)+1)-K869)))</f>
        <v/>
      </c>
      <c r="AI869" t="str">
        <f>IF(OR($B869="",NOT(ISNUMBER(L869))),"",IF(COUNTIF(M869:$T869,L869)&gt;0,0,IF(COUNTIF($G869:$T869,"&gt;"&amp;L869)=0,"",SMALL($G869:$T869,COUNTIF($G869:$T869,"&lt;="&amp;L869)+1)-L869)))</f>
        <v/>
      </c>
      <c r="AJ869" t="str">
        <f>IF(OR($B869="",NOT(ISNUMBER(M869))),"",IF(COUNTIF(N869:$T869,M869)&gt;0,0,IF(COUNTIF($G869:$T869,"&gt;"&amp;M869)=0,"",SMALL($G869:$T869,COUNTIF($G869:$T869,"&lt;="&amp;M869)+1)-M869)))</f>
        <v/>
      </c>
      <c r="AK869" t="str">
        <f>IF(OR($B869="",NOT(ISNUMBER(N869))),"",IF(COUNTIF(O869:$T869,N869)&gt;0,0,IF(COUNTIF($G869:$T869,"&gt;"&amp;N869)=0,"",SMALL($G869:$T869,COUNTIF($G869:$T869,"&lt;="&amp;N869)+1)-N869)))</f>
        <v/>
      </c>
      <c r="AL869" t="str">
        <f>IF(OR($B869="",NOT(ISNUMBER(O869))),"",IF(COUNTIF(P869:$T869,O869)&gt;0,0,IF(COUNTIF($G869:$T869,"&gt;"&amp;O869)=0,"",SMALL($G869:$T869,COUNTIF($G869:$T869,"&lt;="&amp;O869)+1)-O869)))</f>
        <v/>
      </c>
      <c r="AM869" t="str">
        <f>IF(OR($B869="",NOT(ISNUMBER(P869))),"",IF(COUNTIF(Q869:$T869,P869)&gt;0,0,IF(COUNTIF($G869:$T869,"&gt;"&amp;P869)=0,"",SMALL($G869:$T869,COUNTIF($G869:$T869,"&lt;="&amp;P869)+1)-P869)))</f>
        <v/>
      </c>
      <c r="AN869" t="str">
        <f>IF(OR($B869="",NOT(ISNUMBER(Q869))),"",IF(COUNTIF(R869:$T869,Q869)&gt;0,0,IF(COUNTIF($G869:$T869,"&gt;"&amp;Q869)=0,"",SMALL($G869:$T869,COUNTIF($G869:$T869,"&lt;="&amp;Q869)+1)-Q869)))</f>
        <v/>
      </c>
      <c r="AO869" t="str">
        <f>IF(OR($B869="",NOT(ISNUMBER(R869))),"",IF(COUNTIF(S869:$T869,R869)&gt;0,0,IF(COUNTIF($G869:$T869,"&gt;"&amp;R869)=0,"",SMALL($G869:$T869,COUNTIF($G869:$T869,"&lt;="&amp;R869)+1)-R869)))</f>
        <v/>
      </c>
      <c r="AP869">
        <f t="shared" ca="1" si="224"/>
        <v>0</v>
      </c>
      <c r="AQ869" s="25" t="str">
        <f t="shared" si="225"/>
        <v/>
      </c>
      <c r="AR869" s="25" t="str">
        <f t="shared" si="226"/>
        <v/>
      </c>
      <c r="AS869" s="25" t="str">
        <f t="shared" si="227"/>
        <v/>
      </c>
      <c r="AT869" s="25" t="str">
        <f t="shared" si="228"/>
        <v/>
      </c>
      <c r="AU869" s="25" t="str">
        <f t="shared" si="229"/>
        <v/>
      </c>
      <c r="AV869" s="25" t="str">
        <f t="shared" si="230"/>
        <v/>
      </c>
      <c r="AW869" s="25" t="str">
        <f t="shared" si="231"/>
        <v/>
      </c>
      <c r="AX869" s="25" t="str">
        <f t="shared" si="232"/>
        <v/>
      </c>
      <c r="AY869" s="25" t="str">
        <f t="shared" si="233"/>
        <v/>
      </c>
      <c r="AZ869" s="25" t="str">
        <f t="shared" si="234"/>
        <v/>
      </c>
      <c r="BA869" s="25" t="str">
        <f t="shared" si="235"/>
        <v/>
      </c>
      <c r="BB869" s="25" t="str">
        <f t="shared" si="236"/>
        <v/>
      </c>
      <c r="BC869" s="25" t="str">
        <f t="shared" si="237"/>
        <v/>
      </c>
    </row>
    <row r="870" spans="1:55" x14ac:dyDescent="0.25">
      <c r="A870" s="19" t="str">
        <f t="shared" si="222"/>
        <v/>
      </c>
      <c r="B870" s="19"/>
      <c r="C870" s="20"/>
      <c r="D870" s="19" t="str">
        <f t="shared" si="221"/>
        <v/>
      </c>
      <c r="E870" s="19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19"/>
      <c r="U870" s="19"/>
      <c r="V870" s="20"/>
      <c r="W870" s="22"/>
      <c r="X870" s="21"/>
      <c r="Y870" s="21"/>
      <c r="Z870" s="23" t="str">
        <f>IF(B870="","",IF(S870&lt;&gt;"","Sevk Edildi",IF(AND(X870&lt;&gt;"",Y870=""),"Reworkte",IF(T870&lt;&gt;"","Kapandı"&amp;IF(COUNT(G870:R870)=0,""," – "&amp;LOOKUP(2,1/(G870:R870=MAX(G870:R870)),{"Tasarım","Ply Cutter","Üretim","Kalite (Üretim sonrası)","Talaşlı","Kalite (Talaşlı sonrası)","Montaj","Kalite (Montaj sonrası)","Boya","Kalite (Boya sonrası)","Yarı Mamül","KM"})),IF(COUNT(G870:R870)=0,"Başlamadı",LOOKUP(2,1/(G870:R870=MAX(G870:R870)),{"Tasarımda","Ply Cutter'da","Üretimde","Kalitede (Üretim sonrası)","Talaşlıda","Kalitede (Talaşlı sonrası)","Montajda","Kalitede (Montaj sonrası)","Boyada","Kalitede (Boya sonrası)","Yarı Mamülde","KM'de"}))))))</f>
        <v/>
      </c>
      <c r="AA870" s="24" t="str">
        <f t="shared" ca="1" si="223"/>
        <v/>
      </c>
      <c r="AB870" s="22"/>
      <c r="AD870" t="str">
        <f>IF(OR($B870="",NOT(ISNUMBER(G870))),"",IF(COUNTIF(H870:$T870,G870)&gt;0,0,IF(COUNTIF($G870:$T870,"&gt;"&amp;G870)=0,"",SMALL($G870:$T870,COUNTIF($G870:$T870,"&lt;="&amp;G870)+1)-G870)))</f>
        <v/>
      </c>
      <c r="AE870" t="str">
        <f>IF(OR($B870="",NOT(ISNUMBER(H870))),"",IF(COUNTIF(I870:$T870,H870)&gt;0,0,IF(COUNTIF($G870:$T870,"&gt;"&amp;H870)=0,"",SMALL($G870:$T870,COUNTIF($G870:$T870,"&lt;="&amp;H870)+1)-H870)))</f>
        <v/>
      </c>
      <c r="AF870" t="str">
        <f>IF(OR($B870="",NOT(ISNUMBER(I870))),"",IF(COUNTIF(J870:$T870,I870)&gt;0,0,IF(COUNTIF($G870:$T870,"&gt;"&amp;I870)=0,"",SMALL($G870:$T870,COUNTIF($G870:$T870,"&lt;="&amp;I870)+1)-I870)))</f>
        <v/>
      </c>
      <c r="AG870" t="str">
        <f>IF(OR($B870="",NOT(ISNUMBER(J870))),"",IF(COUNTIF(K870:$T870,J870)&gt;0,0,IF(COUNTIF($G870:$T870,"&gt;"&amp;J870)=0,"",SMALL($G870:$T870,COUNTIF($G870:$T870,"&lt;="&amp;J870)+1)-J870)))</f>
        <v/>
      </c>
      <c r="AH870" t="str">
        <f>IF(OR($B870="",NOT(ISNUMBER(K870))),"",IF(COUNTIF(L870:$T870,K870)&gt;0,0,IF(COUNTIF($G870:$T870,"&gt;"&amp;K870)=0,"",SMALL($G870:$T870,COUNTIF($G870:$T870,"&lt;="&amp;K870)+1)-K870)))</f>
        <v/>
      </c>
      <c r="AI870" t="str">
        <f>IF(OR($B870="",NOT(ISNUMBER(L870))),"",IF(COUNTIF(M870:$T870,L870)&gt;0,0,IF(COUNTIF($G870:$T870,"&gt;"&amp;L870)=0,"",SMALL($G870:$T870,COUNTIF($G870:$T870,"&lt;="&amp;L870)+1)-L870)))</f>
        <v/>
      </c>
      <c r="AJ870" t="str">
        <f>IF(OR($B870="",NOT(ISNUMBER(M870))),"",IF(COUNTIF(N870:$T870,M870)&gt;0,0,IF(COUNTIF($G870:$T870,"&gt;"&amp;M870)=0,"",SMALL($G870:$T870,COUNTIF($G870:$T870,"&lt;="&amp;M870)+1)-M870)))</f>
        <v/>
      </c>
      <c r="AK870" t="str">
        <f>IF(OR($B870="",NOT(ISNUMBER(N870))),"",IF(COUNTIF(O870:$T870,N870)&gt;0,0,IF(COUNTIF($G870:$T870,"&gt;"&amp;N870)=0,"",SMALL($G870:$T870,COUNTIF($G870:$T870,"&lt;="&amp;N870)+1)-N870)))</f>
        <v/>
      </c>
      <c r="AL870" t="str">
        <f>IF(OR($B870="",NOT(ISNUMBER(O870))),"",IF(COUNTIF(P870:$T870,O870)&gt;0,0,IF(COUNTIF($G870:$T870,"&gt;"&amp;O870)=0,"",SMALL($G870:$T870,COUNTIF($G870:$T870,"&lt;="&amp;O870)+1)-O870)))</f>
        <v/>
      </c>
      <c r="AM870" t="str">
        <f>IF(OR($B870="",NOT(ISNUMBER(P870))),"",IF(COUNTIF(Q870:$T870,P870)&gt;0,0,IF(COUNTIF($G870:$T870,"&gt;"&amp;P870)=0,"",SMALL($G870:$T870,COUNTIF($G870:$T870,"&lt;="&amp;P870)+1)-P870)))</f>
        <v/>
      </c>
      <c r="AN870" t="str">
        <f>IF(OR($B870="",NOT(ISNUMBER(Q870))),"",IF(COUNTIF(R870:$T870,Q870)&gt;0,0,IF(COUNTIF($G870:$T870,"&gt;"&amp;Q870)=0,"",SMALL($G870:$T870,COUNTIF($G870:$T870,"&lt;="&amp;Q870)+1)-Q870)))</f>
        <v/>
      </c>
      <c r="AO870" t="str">
        <f>IF(OR($B870="",NOT(ISNUMBER(R870))),"",IF(COUNTIF(S870:$T870,R870)&gt;0,0,IF(COUNTIF($G870:$T870,"&gt;"&amp;R870)=0,"",SMALL($G870:$T870,COUNTIF($G870:$T870,"&lt;="&amp;R870)+1)-R870)))</f>
        <v/>
      </c>
      <c r="AP870">
        <f t="shared" ca="1" si="224"/>
        <v>0</v>
      </c>
      <c r="AQ870" s="25" t="str">
        <f t="shared" si="225"/>
        <v/>
      </c>
      <c r="AR870" s="25" t="str">
        <f t="shared" si="226"/>
        <v/>
      </c>
      <c r="AS870" s="25" t="str">
        <f t="shared" si="227"/>
        <v/>
      </c>
      <c r="AT870" s="25" t="str">
        <f t="shared" si="228"/>
        <v/>
      </c>
      <c r="AU870" s="25" t="str">
        <f t="shared" si="229"/>
        <v/>
      </c>
      <c r="AV870" s="25" t="str">
        <f t="shared" si="230"/>
        <v/>
      </c>
      <c r="AW870" s="25" t="str">
        <f t="shared" si="231"/>
        <v/>
      </c>
      <c r="AX870" s="25" t="str">
        <f t="shared" si="232"/>
        <v/>
      </c>
      <c r="AY870" s="25" t="str">
        <f t="shared" si="233"/>
        <v/>
      </c>
      <c r="AZ870" s="25" t="str">
        <f t="shared" si="234"/>
        <v/>
      </c>
      <c r="BA870" s="25" t="str">
        <f t="shared" si="235"/>
        <v/>
      </c>
      <c r="BB870" s="25" t="str">
        <f t="shared" si="236"/>
        <v/>
      </c>
      <c r="BC870" s="25" t="str">
        <f t="shared" si="237"/>
        <v/>
      </c>
    </row>
    <row r="871" spans="1:55" x14ac:dyDescent="0.25">
      <c r="A871" s="19" t="str">
        <f t="shared" si="222"/>
        <v/>
      </c>
      <c r="B871" s="19"/>
      <c r="C871" s="20"/>
      <c r="D871" s="19" t="str">
        <f t="shared" si="221"/>
        <v/>
      </c>
      <c r="E871" s="19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19"/>
      <c r="U871" s="19"/>
      <c r="V871" s="20"/>
      <c r="W871" s="22"/>
      <c r="X871" s="21"/>
      <c r="Y871" s="21"/>
      <c r="Z871" s="23" t="str">
        <f>IF(B871="","",IF(S871&lt;&gt;"","Sevk Edildi",IF(AND(X871&lt;&gt;"",Y871=""),"Reworkte",IF(T871&lt;&gt;"","Kapandı"&amp;IF(COUNT(G871:R871)=0,""," – "&amp;LOOKUP(2,1/(G871:R871=MAX(G871:R871)),{"Tasarım","Ply Cutter","Üretim","Kalite (Üretim sonrası)","Talaşlı","Kalite (Talaşlı sonrası)","Montaj","Kalite (Montaj sonrası)","Boya","Kalite (Boya sonrası)","Yarı Mamül","KM"})),IF(COUNT(G871:R871)=0,"Başlamadı",LOOKUP(2,1/(G871:R871=MAX(G871:R871)),{"Tasarımda","Ply Cutter'da","Üretimde","Kalitede (Üretim sonrası)","Talaşlıda","Kalitede (Talaşlı sonrası)","Montajda","Kalitede (Montaj sonrası)","Boyada","Kalitede (Boya sonrası)","Yarı Mamülde","KM'de"}))))))</f>
        <v/>
      </c>
      <c r="AA871" s="24" t="str">
        <f t="shared" ca="1" si="223"/>
        <v/>
      </c>
      <c r="AB871" s="22"/>
      <c r="AD871" t="str">
        <f>IF(OR($B871="",NOT(ISNUMBER(G871))),"",IF(COUNTIF(H871:$T871,G871)&gt;0,0,IF(COUNTIF($G871:$T871,"&gt;"&amp;G871)=0,"",SMALL($G871:$T871,COUNTIF($G871:$T871,"&lt;="&amp;G871)+1)-G871)))</f>
        <v/>
      </c>
      <c r="AE871" t="str">
        <f>IF(OR($B871="",NOT(ISNUMBER(H871))),"",IF(COUNTIF(I871:$T871,H871)&gt;0,0,IF(COUNTIF($G871:$T871,"&gt;"&amp;H871)=0,"",SMALL($G871:$T871,COUNTIF($G871:$T871,"&lt;="&amp;H871)+1)-H871)))</f>
        <v/>
      </c>
      <c r="AF871" t="str">
        <f>IF(OR($B871="",NOT(ISNUMBER(I871))),"",IF(COUNTIF(J871:$T871,I871)&gt;0,0,IF(COUNTIF($G871:$T871,"&gt;"&amp;I871)=0,"",SMALL($G871:$T871,COUNTIF($G871:$T871,"&lt;="&amp;I871)+1)-I871)))</f>
        <v/>
      </c>
      <c r="AG871" t="str">
        <f>IF(OR($B871="",NOT(ISNUMBER(J871))),"",IF(COUNTIF(K871:$T871,J871)&gt;0,0,IF(COUNTIF($G871:$T871,"&gt;"&amp;J871)=0,"",SMALL($G871:$T871,COUNTIF($G871:$T871,"&lt;="&amp;J871)+1)-J871)))</f>
        <v/>
      </c>
      <c r="AH871" t="str">
        <f>IF(OR($B871="",NOT(ISNUMBER(K871))),"",IF(COUNTIF(L871:$T871,K871)&gt;0,0,IF(COUNTIF($G871:$T871,"&gt;"&amp;K871)=0,"",SMALL($G871:$T871,COUNTIF($G871:$T871,"&lt;="&amp;K871)+1)-K871)))</f>
        <v/>
      </c>
      <c r="AI871" t="str">
        <f>IF(OR($B871="",NOT(ISNUMBER(L871))),"",IF(COUNTIF(M871:$T871,L871)&gt;0,0,IF(COUNTIF($G871:$T871,"&gt;"&amp;L871)=0,"",SMALL($G871:$T871,COUNTIF($G871:$T871,"&lt;="&amp;L871)+1)-L871)))</f>
        <v/>
      </c>
      <c r="AJ871" t="str">
        <f>IF(OR($B871="",NOT(ISNUMBER(M871))),"",IF(COUNTIF(N871:$T871,M871)&gt;0,0,IF(COUNTIF($G871:$T871,"&gt;"&amp;M871)=0,"",SMALL($G871:$T871,COUNTIF($G871:$T871,"&lt;="&amp;M871)+1)-M871)))</f>
        <v/>
      </c>
      <c r="AK871" t="str">
        <f>IF(OR($B871="",NOT(ISNUMBER(N871))),"",IF(COUNTIF(O871:$T871,N871)&gt;0,0,IF(COUNTIF($G871:$T871,"&gt;"&amp;N871)=0,"",SMALL($G871:$T871,COUNTIF($G871:$T871,"&lt;="&amp;N871)+1)-N871)))</f>
        <v/>
      </c>
      <c r="AL871" t="str">
        <f>IF(OR($B871="",NOT(ISNUMBER(O871))),"",IF(COUNTIF(P871:$T871,O871)&gt;0,0,IF(COUNTIF($G871:$T871,"&gt;"&amp;O871)=0,"",SMALL($G871:$T871,COUNTIF($G871:$T871,"&lt;="&amp;O871)+1)-O871)))</f>
        <v/>
      </c>
      <c r="AM871" t="str">
        <f>IF(OR($B871="",NOT(ISNUMBER(P871))),"",IF(COUNTIF(Q871:$T871,P871)&gt;0,0,IF(COUNTIF($G871:$T871,"&gt;"&amp;P871)=0,"",SMALL($G871:$T871,COUNTIF($G871:$T871,"&lt;="&amp;P871)+1)-P871)))</f>
        <v/>
      </c>
      <c r="AN871" t="str">
        <f>IF(OR($B871="",NOT(ISNUMBER(Q871))),"",IF(COUNTIF(R871:$T871,Q871)&gt;0,0,IF(COUNTIF($G871:$T871,"&gt;"&amp;Q871)=0,"",SMALL($G871:$T871,COUNTIF($G871:$T871,"&lt;="&amp;Q871)+1)-Q871)))</f>
        <v/>
      </c>
      <c r="AO871" t="str">
        <f>IF(OR($B871="",NOT(ISNUMBER(R871))),"",IF(COUNTIF(S871:$T871,R871)&gt;0,0,IF(COUNTIF($G871:$T871,"&gt;"&amp;R871)=0,"",SMALL($G871:$T871,COUNTIF($G871:$T871,"&lt;="&amp;R871)+1)-R871)))</f>
        <v/>
      </c>
      <c r="AP871">
        <f t="shared" ca="1" si="224"/>
        <v>0</v>
      </c>
      <c r="AQ871" s="25" t="str">
        <f t="shared" si="225"/>
        <v/>
      </c>
      <c r="AR871" s="25" t="str">
        <f t="shared" si="226"/>
        <v/>
      </c>
      <c r="AS871" s="25" t="str">
        <f t="shared" si="227"/>
        <v/>
      </c>
      <c r="AT871" s="25" t="str">
        <f t="shared" si="228"/>
        <v/>
      </c>
      <c r="AU871" s="25" t="str">
        <f t="shared" si="229"/>
        <v/>
      </c>
      <c r="AV871" s="25" t="str">
        <f t="shared" si="230"/>
        <v/>
      </c>
      <c r="AW871" s="25" t="str">
        <f t="shared" si="231"/>
        <v/>
      </c>
      <c r="AX871" s="25" t="str">
        <f t="shared" si="232"/>
        <v/>
      </c>
      <c r="AY871" s="25" t="str">
        <f t="shared" si="233"/>
        <v/>
      </c>
      <c r="AZ871" s="25" t="str">
        <f t="shared" si="234"/>
        <v/>
      </c>
      <c r="BA871" s="25" t="str">
        <f t="shared" si="235"/>
        <v/>
      </c>
      <c r="BB871" s="25" t="str">
        <f t="shared" si="236"/>
        <v/>
      </c>
      <c r="BC871" s="25" t="str">
        <f t="shared" si="237"/>
        <v/>
      </c>
    </row>
    <row r="872" spans="1:55" x14ac:dyDescent="0.25">
      <c r="A872" s="19" t="str">
        <f t="shared" si="222"/>
        <v/>
      </c>
      <c r="B872" s="19"/>
      <c r="C872" s="20"/>
      <c r="D872" s="19" t="str">
        <f t="shared" si="221"/>
        <v/>
      </c>
      <c r="E872" s="19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19"/>
      <c r="U872" s="19"/>
      <c r="V872" s="20"/>
      <c r="W872" s="22"/>
      <c r="X872" s="21"/>
      <c r="Y872" s="21"/>
      <c r="Z872" s="23" t="str">
        <f>IF(B872="","",IF(S872&lt;&gt;"","Sevk Edildi",IF(AND(X872&lt;&gt;"",Y872=""),"Reworkte",IF(T872&lt;&gt;"","Kapandı"&amp;IF(COUNT(G872:R872)=0,""," – "&amp;LOOKUP(2,1/(G872:R872=MAX(G872:R872)),{"Tasarım","Ply Cutter","Üretim","Kalite (Üretim sonrası)","Talaşlı","Kalite (Talaşlı sonrası)","Montaj","Kalite (Montaj sonrası)","Boya","Kalite (Boya sonrası)","Yarı Mamül","KM"})),IF(COUNT(G872:R872)=0,"Başlamadı",LOOKUP(2,1/(G872:R872=MAX(G872:R872)),{"Tasarımda","Ply Cutter'da","Üretimde","Kalitede (Üretim sonrası)","Talaşlıda","Kalitede (Talaşlı sonrası)","Montajda","Kalitede (Montaj sonrası)","Boyada","Kalitede (Boya sonrası)","Yarı Mamülde","KM'de"}))))))</f>
        <v/>
      </c>
      <c r="AA872" s="24" t="str">
        <f t="shared" ca="1" si="223"/>
        <v/>
      </c>
      <c r="AB872" s="22"/>
      <c r="AD872" t="str">
        <f>IF(OR($B872="",NOT(ISNUMBER(G872))),"",IF(COUNTIF(H872:$T872,G872)&gt;0,0,IF(COUNTIF($G872:$T872,"&gt;"&amp;G872)=0,"",SMALL($G872:$T872,COUNTIF($G872:$T872,"&lt;="&amp;G872)+1)-G872)))</f>
        <v/>
      </c>
      <c r="AE872" t="str">
        <f>IF(OR($B872="",NOT(ISNUMBER(H872))),"",IF(COUNTIF(I872:$T872,H872)&gt;0,0,IF(COUNTIF($G872:$T872,"&gt;"&amp;H872)=0,"",SMALL($G872:$T872,COUNTIF($G872:$T872,"&lt;="&amp;H872)+1)-H872)))</f>
        <v/>
      </c>
      <c r="AF872" t="str">
        <f>IF(OR($B872="",NOT(ISNUMBER(I872))),"",IF(COUNTIF(J872:$T872,I872)&gt;0,0,IF(COUNTIF($G872:$T872,"&gt;"&amp;I872)=0,"",SMALL($G872:$T872,COUNTIF($G872:$T872,"&lt;="&amp;I872)+1)-I872)))</f>
        <v/>
      </c>
      <c r="AG872" t="str">
        <f>IF(OR($B872="",NOT(ISNUMBER(J872))),"",IF(COUNTIF(K872:$T872,J872)&gt;0,0,IF(COUNTIF($G872:$T872,"&gt;"&amp;J872)=0,"",SMALL($G872:$T872,COUNTIF($G872:$T872,"&lt;="&amp;J872)+1)-J872)))</f>
        <v/>
      </c>
      <c r="AH872" t="str">
        <f>IF(OR($B872="",NOT(ISNUMBER(K872))),"",IF(COUNTIF(L872:$T872,K872)&gt;0,0,IF(COUNTIF($G872:$T872,"&gt;"&amp;K872)=0,"",SMALL($G872:$T872,COUNTIF($G872:$T872,"&lt;="&amp;K872)+1)-K872)))</f>
        <v/>
      </c>
      <c r="AI872" t="str">
        <f>IF(OR($B872="",NOT(ISNUMBER(L872))),"",IF(COUNTIF(M872:$T872,L872)&gt;0,0,IF(COUNTIF($G872:$T872,"&gt;"&amp;L872)=0,"",SMALL($G872:$T872,COUNTIF($G872:$T872,"&lt;="&amp;L872)+1)-L872)))</f>
        <v/>
      </c>
      <c r="AJ872" t="str">
        <f>IF(OR($B872="",NOT(ISNUMBER(M872))),"",IF(COUNTIF(N872:$T872,M872)&gt;0,0,IF(COUNTIF($G872:$T872,"&gt;"&amp;M872)=0,"",SMALL($G872:$T872,COUNTIF($G872:$T872,"&lt;="&amp;M872)+1)-M872)))</f>
        <v/>
      </c>
      <c r="AK872" t="str">
        <f>IF(OR($B872="",NOT(ISNUMBER(N872))),"",IF(COUNTIF(O872:$T872,N872)&gt;0,0,IF(COUNTIF($G872:$T872,"&gt;"&amp;N872)=0,"",SMALL($G872:$T872,COUNTIF($G872:$T872,"&lt;="&amp;N872)+1)-N872)))</f>
        <v/>
      </c>
      <c r="AL872" t="str">
        <f>IF(OR($B872="",NOT(ISNUMBER(O872))),"",IF(COUNTIF(P872:$T872,O872)&gt;0,0,IF(COUNTIF($G872:$T872,"&gt;"&amp;O872)=0,"",SMALL($G872:$T872,COUNTIF($G872:$T872,"&lt;="&amp;O872)+1)-O872)))</f>
        <v/>
      </c>
      <c r="AM872" t="str">
        <f>IF(OR($B872="",NOT(ISNUMBER(P872))),"",IF(COUNTIF(Q872:$T872,P872)&gt;0,0,IF(COUNTIF($G872:$T872,"&gt;"&amp;P872)=0,"",SMALL($G872:$T872,COUNTIF($G872:$T872,"&lt;="&amp;P872)+1)-P872)))</f>
        <v/>
      </c>
      <c r="AN872" t="str">
        <f>IF(OR($B872="",NOT(ISNUMBER(Q872))),"",IF(COUNTIF(R872:$T872,Q872)&gt;0,0,IF(COUNTIF($G872:$T872,"&gt;"&amp;Q872)=0,"",SMALL($G872:$T872,COUNTIF($G872:$T872,"&lt;="&amp;Q872)+1)-Q872)))</f>
        <v/>
      </c>
      <c r="AO872" t="str">
        <f>IF(OR($B872="",NOT(ISNUMBER(R872))),"",IF(COUNTIF(S872:$T872,R872)&gt;0,0,IF(COUNTIF($G872:$T872,"&gt;"&amp;R872)=0,"",SMALL($G872:$T872,COUNTIF($G872:$T872,"&lt;="&amp;R872)+1)-R872)))</f>
        <v/>
      </c>
      <c r="AP872">
        <f t="shared" ca="1" si="224"/>
        <v>0</v>
      </c>
      <c r="AQ872" s="25" t="str">
        <f t="shared" si="225"/>
        <v/>
      </c>
      <c r="AR872" s="25" t="str">
        <f t="shared" si="226"/>
        <v/>
      </c>
      <c r="AS872" s="25" t="str">
        <f t="shared" si="227"/>
        <v/>
      </c>
      <c r="AT872" s="25" t="str">
        <f t="shared" si="228"/>
        <v/>
      </c>
      <c r="AU872" s="25" t="str">
        <f t="shared" si="229"/>
        <v/>
      </c>
      <c r="AV872" s="25" t="str">
        <f t="shared" si="230"/>
        <v/>
      </c>
      <c r="AW872" s="25" t="str">
        <f t="shared" si="231"/>
        <v/>
      </c>
      <c r="AX872" s="25" t="str">
        <f t="shared" si="232"/>
        <v/>
      </c>
      <c r="AY872" s="25" t="str">
        <f t="shared" si="233"/>
        <v/>
      </c>
      <c r="AZ872" s="25" t="str">
        <f t="shared" si="234"/>
        <v/>
      </c>
      <c r="BA872" s="25" t="str">
        <f t="shared" si="235"/>
        <v/>
      </c>
      <c r="BB872" s="25" t="str">
        <f t="shared" si="236"/>
        <v/>
      </c>
      <c r="BC872" s="25" t="str">
        <f t="shared" si="237"/>
        <v/>
      </c>
    </row>
    <row r="873" spans="1:55" x14ac:dyDescent="0.25">
      <c r="A873" s="19" t="str">
        <f t="shared" si="222"/>
        <v/>
      </c>
      <c r="B873" s="19"/>
      <c r="C873" s="20"/>
      <c r="D873" s="19" t="str">
        <f t="shared" si="221"/>
        <v/>
      </c>
      <c r="E873" s="19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19"/>
      <c r="U873" s="19"/>
      <c r="V873" s="20"/>
      <c r="W873" s="22"/>
      <c r="X873" s="21"/>
      <c r="Y873" s="21"/>
      <c r="Z873" s="23" t="str">
        <f>IF(B873="","",IF(S873&lt;&gt;"","Sevk Edildi",IF(AND(X873&lt;&gt;"",Y873=""),"Reworkte",IF(T873&lt;&gt;"","Kapandı"&amp;IF(COUNT(G873:R873)=0,""," – "&amp;LOOKUP(2,1/(G873:R873=MAX(G873:R873)),{"Tasarım","Ply Cutter","Üretim","Kalite (Üretim sonrası)","Talaşlı","Kalite (Talaşlı sonrası)","Montaj","Kalite (Montaj sonrası)","Boya","Kalite (Boya sonrası)","Yarı Mamül","KM"})),IF(COUNT(G873:R873)=0,"Başlamadı",LOOKUP(2,1/(G873:R873=MAX(G873:R873)),{"Tasarımda","Ply Cutter'da","Üretimde","Kalitede (Üretim sonrası)","Talaşlıda","Kalitede (Talaşlı sonrası)","Montajda","Kalitede (Montaj sonrası)","Boyada","Kalitede (Boya sonrası)","Yarı Mamülde","KM'de"}))))))</f>
        <v/>
      </c>
      <c r="AA873" s="24" t="str">
        <f t="shared" ca="1" si="223"/>
        <v/>
      </c>
      <c r="AB873" s="22"/>
      <c r="AD873" t="str">
        <f>IF(OR($B873="",NOT(ISNUMBER(G873))),"",IF(COUNTIF(H873:$T873,G873)&gt;0,0,IF(COUNTIF($G873:$T873,"&gt;"&amp;G873)=0,"",SMALL($G873:$T873,COUNTIF($G873:$T873,"&lt;="&amp;G873)+1)-G873)))</f>
        <v/>
      </c>
      <c r="AE873" t="str">
        <f>IF(OR($B873="",NOT(ISNUMBER(H873))),"",IF(COUNTIF(I873:$T873,H873)&gt;0,0,IF(COUNTIF($G873:$T873,"&gt;"&amp;H873)=0,"",SMALL($G873:$T873,COUNTIF($G873:$T873,"&lt;="&amp;H873)+1)-H873)))</f>
        <v/>
      </c>
      <c r="AF873" t="str">
        <f>IF(OR($B873="",NOT(ISNUMBER(I873))),"",IF(COUNTIF(J873:$T873,I873)&gt;0,0,IF(COUNTIF($G873:$T873,"&gt;"&amp;I873)=0,"",SMALL($G873:$T873,COUNTIF($G873:$T873,"&lt;="&amp;I873)+1)-I873)))</f>
        <v/>
      </c>
      <c r="AG873" t="str">
        <f>IF(OR($B873="",NOT(ISNUMBER(J873))),"",IF(COUNTIF(K873:$T873,J873)&gt;0,0,IF(COUNTIF($G873:$T873,"&gt;"&amp;J873)=0,"",SMALL($G873:$T873,COUNTIF($G873:$T873,"&lt;="&amp;J873)+1)-J873)))</f>
        <v/>
      </c>
      <c r="AH873" t="str">
        <f>IF(OR($B873="",NOT(ISNUMBER(K873))),"",IF(COUNTIF(L873:$T873,K873)&gt;0,0,IF(COUNTIF($G873:$T873,"&gt;"&amp;K873)=0,"",SMALL($G873:$T873,COUNTIF($G873:$T873,"&lt;="&amp;K873)+1)-K873)))</f>
        <v/>
      </c>
      <c r="AI873" t="str">
        <f>IF(OR($B873="",NOT(ISNUMBER(L873))),"",IF(COUNTIF(M873:$T873,L873)&gt;0,0,IF(COUNTIF($G873:$T873,"&gt;"&amp;L873)=0,"",SMALL($G873:$T873,COUNTIF($G873:$T873,"&lt;="&amp;L873)+1)-L873)))</f>
        <v/>
      </c>
      <c r="AJ873" t="str">
        <f>IF(OR($B873="",NOT(ISNUMBER(M873))),"",IF(COUNTIF(N873:$T873,M873)&gt;0,0,IF(COUNTIF($G873:$T873,"&gt;"&amp;M873)=0,"",SMALL($G873:$T873,COUNTIF($G873:$T873,"&lt;="&amp;M873)+1)-M873)))</f>
        <v/>
      </c>
      <c r="AK873" t="str">
        <f>IF(OR($B873="",NOT(ISNUMBER(N873))),"",IF(COUNTIF(O873:$T873,N873)&gt;0,0,IF(COUNTIF($G873:$T873,"&gt;"&amp;N873)=0,"",SMALL($G873:$T873,COUNTIF($G873:$T873,"&lt;="&amp;N873)+1)-N873)))</f>
        <v/>
      </c>
      <c r="AL873" t="str">
        <f>IF(OR($B873="",NOT(ISNUMBER(O873))),"",IF(COUNTIF(P873:$T873,O873)&gt;0,0,IF(COUNTIF($G873:$T873,"&gt;"&amp;O873)=0,"",SMALL($G873:$T873,COUNTIF($G873:$T873,"&lt;="&amp;O873)+1)-O873)))</f>
        <v/>
      </c>
      <c r="AM873" t="str">
        <f>IF(OR($B873="",NOT(ISNUMBER(P873))),"",IF(COUNTIF(Q873:$T873,P873)&gt;0,0,IF(COUNTIF($G873:$T873,"&gt;"&amp;P873)=0,"",SMALL($G873:$T873,COUNTIF($G873:$T873,"&lt;="&amp;P873)+1)-P873)))</f>
        <v/>
      </c>
      <c r="AN873" t="str">
        <f>IF(OR($B873="",NOT(ISNUMBER(Q873))),"",IF(COUNTIF(R873:$T873,Q873)&gt;0,0,IF(COUNTIF($G873:$T873,"&gt;"&amp;Q873)=0,"",SMALL($G873:$T873,COUNTIF($G873:$T873,"&lt;="&amp;Q873)+1)-Q873)))</f>
        <v/>
      </c>
      <c r="AO873" t="str">
        <f>IF(OR($B873="",NOT(ISNUMBER(R873))),"",IF(COUNTIF(S873:$T873,R873)&gt;0,0,IF(COUNTIF($G873:$T873,"&gt;"&amp;R873)=0,"",SMALL($G873:$T873,COUNTIF($G873:$T873,"&lt;="&amp;R873)+1)-R873)))</f>
        <v/>
      </c>
      <c r="AP873">
        <f t="shared" ca="1" si="224"/>
        <v>0</v>
      </c>
      <c r="AQ873" s="25" t="str">
        <f t="shared" si="225"/>
        <v/>
      </c>
      <c r="AR873" s="25" t="str">
        <f t="shared" si="226"/>
        <v/>
      </c>
      <c r="AS873" s="25" t="str">
        <f t="shared" si="227"/>
        <v/>
      </c>
      <c r="AT873" s="25" t="str">
        <f t="shared" si="228"/>
        <v/>
      </c>
      <c r="AU873" s="25" t="str">
        <f t="shared" si="229"/>
        <v/>
      </c>
      <c r="AV873" s="25" t="str">
        <f t="shared" si="230"/>
        <v/>
      </c>
      <c r="AW873" s="25" t="str">
        <f t="shared" si="231"/>
        <v/>
      </c>
      <c r="AX873" s="25" t="str">
        <f t="shared" si="232"/>
        <v/>
      </c>
      <c r="AY873" s="25" t="str">
        <f t="shared" si="233"/>
        <v/>
      </c>
      <c r="AZ873" s="25" t="str">
        <f t="shared" si="234"/>
        <v/>
      </c>
      <c r="BA873" s="25" t="str">
        <f t="shared" si="235"/>
        <v/>
      </c>
      <c r="BB873" s="25" t="str">
        <f t="shared" si="236"/>
        <v/>
      </c>
      <c r="BC873" s="25" t="str">
        <f t="shared" si="237"/>
        <v/>
      </c>
    </row>
    <row r="874" spans="1:55" x14ac:dyDescent="0.25">
      <c r="A874" s="19" t="str">
        <f t="shared" si="222"/>
        <v/>
      </c>
      <c r="B874" s="19"/>
      <c r="C874" s="20"/>
      <c r="D874" s="19" t="str">
        <f t="shared" si="221"/>
        <v/>
      </c>
      <c r="E874" s="19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19"/>
      <c r="U874" s="19"/>
      <c r="V874" s="20"/>
      <c r="W874" s="22"/>
      <c r="X874" s="21"/>
      <c r="Y874" s="21"/>
      <c r="Z874" s="23" t="str">
        <f>IF(B874="","",IF(S874&lt;&gt;"","Sevk Edildi",IF(AND(X874&lt;&gt;"",Y874=""),"Reworkte",IF(T874&lt;&gt;"","Kapandı"&amp;IF(COUNT(G874:R874)=0,""," – "&amp;LOOKUP(2,1/(G874:R874=MAX(G874:R874)),{"Tasarım","Ply Cutter","Üretim","Kalite (Üretim sonrası)","Talaşlı","Kalite (Talaşlı sonrası)","Montaj","Kalite (Montaj sonrası)","Boya","Kalite (Boya sonrası)","Yarı Mamül","KM"})),IF(COUNT(G874:R874)=0,"Başlamadı",LOOKUP(2,1/(G874:R874=MAX(G874:R874)),{"Tasarımda","Ply Cutter'da","Üretimde","Kalitede (Üretim sonrası)","Talaşlıda","Kalitede (Talaşlı sonrası)","Montajda","Kalitede (Montaj sonrası)","Boyada","Kalitede (Boya sonrası)","Yarı Mamülde","KM'de"}))))))</f>
        <v/>
      </c>
      <c r="AA874" s="24" t="str">
        <f t="shared" ca="1" si="223"/>
        <v/>
      </c>
      <c r="AB874" s="22"/>
      <c r="AD874" t="str">
        <f>IF(OR($B874="",NOT(ISNUMBER(G874))),"",IF(COUNTIF(H874:$T874,G874)&gt;0,0,IF(COUNTIF($G874:$T874,"&gt;"&amp;G874)=0,"",SMALL($G874:$T874,COUNTIF($G874:$T874,"&lt;="&amp;G874)+1)-G874)))</f>
        <v/>
      </c>
      <c r="AE874" t="str">
        <f>IF(OR($B874="",NOT(ISNUMBER(H874))),"",IF(COUNTIF(I874:$T874,H874)&gt;0,0,IF(COUNTIF($G874:$T874,"&gt;"&amp;H874)=0,"",SMALL($G874:$T874,COUNTIF($G874:$T874,"&lt;="&amp;H874)+1)-H874)))</f>
        <v/>
      </c>
      <c r="AF874" t="str">
        <f>IF(OR($B874="",NOT(ISNUMBER(I874))),"",IF(COUNTIF(J874:$T874,I874)&gt;0,0,IF(COUNTIF($G874:$T874,"&gt;"&amp;I874)=0,"",SMALL($G874:$T874,COUNTIF($G874:$T874,"&lt;="&amp;I874)+1)-I874)))</f>
        <v/>
      </c>
      <c r="AG874" t="str">
        <f>IF(OR($B874="",NOT(ISNUMBER(J874))),"",IF(COUNTIF(K874:$T874,J874)&gt;0,0,IF(COUNTIF($G874:$T874,"&gt;"&amp;J874)=0,"",SMALL($G874:$T874,COUNTIF($G874:$T874,"&lt;="&amp;J874)+1)-J874)))</f>
        <v/>
      </c>
      <c r="AH874" t="str">
        <f>IF(OR($B874="",NOT(ISNUMBER(K874))),"",IF(COUNTIF(L874:$T874,K874)&gt;0,0,IF(COUNTIF($G874:$T874,"&gt;"&amp;K874)=0,"",SMALL($G874:$T874,COUNTIF($G874:$T874,"&lt;="&amp;K874)+1)-K874)))</f>
        <v/>
      </c>
      <c r="AI874" t="str">
        <f>IF(OR($B874="",NOT(ISNUMBER(L874))),"",IF(COUNTIF(M874:$T874,L874)&gt;0,0,IF(COUNTIF($G874:$T874,"&gt;"&amp;L874)=0,"",SMALL($G874:$T874,COUNTIF($G874:$T874,"&lt;="&amp;L874)+1)-L874)))</f>
        <v/>
      </c>
      <c r="AJ874" t="str">
        <f>IF(OR($B874="",NOT(ISNUMBER(M874))),"",IF(COUNTIF(N874:$T874,M874)&gt;0,0,IF(COUNTIF($G874:$T874,"&gt;"&amp;M874)=0,"",SMALL($G874:$T874,COUNTIF($G874:$T874,"&lt;="&amp;M874)+1)-M874)))</f>
        <v/>
      </c>
      <c r="AK874" t="str">
        <f>IF(OR($B874="",NOT(ISNUMBER(N874))),"",IF(COUNTIF(O874:$T874,N874)&gt;0,0,IF(COUNTIF($G874:$T874,"&gt;"&amp;N874)=0,"",SMALL($G874:$T874,COUNTIF($G874:$T874,"&lt;="&amp;N874)+1)-N874)))</f>
        <v/>
      </c>
      <c r="AL874" t="str">
        <f>IF(OR($B874="",NOT(ISNUMBER(O874))),"",IF(COUNTIF(P874:$T874,O874)&gt;0,0,IF(COUNTIF($G874:$T874,"&gt;"&amp;O874)=0,"",SMALL($G874:$T874,COUNTIF($G874:$T874,"&lt;="&amp;O874)+1)-O874)))</f>
        <v/>
      </c>
      <c r="AM874" t="str">
        <f>IF(OR($B874="",NOT(ISNUMBER(P874))),"",IF(COUNTIF(Q874:$T874,P874)&gt;0,0,IF(COUNTIF($G874:$T874,"&gt;"&amp;P874)=0,"",SMALL($G874:$T874,COUNTIF($G874:$T874,"&lt;="&amp;P874)+1)-P874)))</f>
        <v/>
      </c>
      <c r="AN874" t="str">
        <f>IF(OR($B874="",NOT(ISNUMBER(Q874))),"",IF(COUNTIF(R874:$T874,Q874)&gt;0,0,IF(COUNTIF($G874:$T874,"&gt;"&amp;Q874)=0,"",SMALL($G874:$T874,COUNTIF($G874:$T874,"&lt;="&amp;Q874)+1)-Q874)))</f>
        <v/>
      </c>
      <c r="AO874" t="str">
        <f>IF(OR($B874="",NOT(ISNUMBER(R874))),"",IF(COUNTIF(S874:$T874,R874)&gt;0,0,IF(COUNTIF($G874:$T874,"&gt;"&amp;R874)=0,"",SMALL($G874:$T874,COUNTIF($G874:$T874,"&lt;="&amp;R874)+1)-R874)))</f>
        <v/>
      </c>
      <c r="AP874">
        <f t="shared" ca="1" si="224"/>
        <v>0</v>
      </c>
      <c r="AQ874" s="25" t="str">
        <f t="shared" si="225"/>
        <v/>
      </c>
      <c r="AR874" s="25" t="str">
        <f t="shared" si="226"/>
        <v/>
      </c>
      <c r="AS874" s="25" t="str">
        <f t="shared" si="227"/>
        <v/>
      </c>
      <c r="AT874" s="25" t="str">
        <f t="shared" si="228"/>
        <v/>
      </c>
      <c r="AU874" s="25" t="str">
        <f t="shared" si="229"/>
        <v/>
      </c>
      <c r="AV874" s="25" t="str">
        <f t="shared" si="230"/>
        <v/>
      </c>
      <c r="AW874" s="25" t="str">
        <f t="shared" si="231"/>
        <v/>
      </c>
      <c r="AX874" s="25" t="str">
        <f t="shared" si="232"/>
        <v/>
      </c>
      <c r="AY874" s="25" t="str">
        <f t="shared" si="233"/>
        <v/>
      </c>
      <c r="AZ874" s="25" t="str">
        <f t="shared" si="234"/>
        <v/>
      </c>
      <c r="BA874" s="25" t="str">
        <f t="shared" si="235"/>
        <v/>
      </c>
      <c r="BB874" s="25" t="str">
        <f t="shared" si="236"/>
        <v/>
      </c>
      <c r="BC874" s="25" t="str">
        <f t="shared" si="237"/>
        <v/>
      </c>
    </row>
    <row r="875" spans="1:55" x14ac:dyDescent="0.25">
      <c r="A875" s="19" t="str">
        <f t="shared" si="222"/>
        <v/>
      </c>
      <c r="B875" s="19"/>
      <c r="C875" s="20"/>
      <c r="D875" s="19" t="str">
        <f t="shared" si="221"/>
        <v/>
      </c>
      <c r="E875" s="19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19"/>
      <c r="U875" s="19"/>
      <c r="V875" s="20"/>
      <c r="W875" s="22"/>
      <c r="X875" s="21"/>
      <c r="Y875" s="21"/>
      <c r="Z875" s="23" t="str">
        <f>IF(B875="","",IF(S875&lt;&gt;"","Sevk Edildi",IF(AND(X875&lt;&gt;"",Y875=""),"Reworkte",IF(T875&lt;&gt;"","Kapandı"&amp;IF(COUNT(G875:R875)=0,""," – "&amp;LOOKUP(2,1/(G875:R875=MAX(G875:R875)),{"Tasarım","Ply Cutter","Üretim","Kalite (Üretim sonrası)","Talaşlı","Kalite (Talaşlı sonrası)","Montaj","Kalite (Montaj sonrası)","Boya","Kalite (Boya sonrası)","Yarı Mamül","KM"})),IF(COUNT(G875:R875)=0,"Başlamadı",LOOKUP(2,1/(G875:R875=MAX(G875:R875)),{"Tasarımda","Ply Cutter'da","Üretimde","Kalitede (Üretim sonrası)","Talaşlıda","Kalitede (Talaşlı sonrası)","Montajda","Kalitede (Montaj sonrası)","Boyada","Kalitede (Boya sonrası)","Yarı Mamülde","KM'de"}))))))</f>
        <v/>
      </c>
      <c r="AA875" s="24" t="str">
        <f t="shared" ca="1" si="223"/>
        <v/>
      </c>
      <c r="AB875" s="22"/>
      <c r="AD875" t="str">
        <f>IF(OR($B875="",NOT(ISNUMBER(G875))),"",IF(COUNTIF(H875:$T875,G875)&gt;0,0,IF(COUNTIF($G875:$T875,"&gt;"&amp;G875)=0,"",SMALL($G875:$T875,COUNTIF($G875:$T875,"&lt;="&amp;G875)+1)-G875)))</f>
        <v/>
      </c>
      <c r="AE875" t="str">
        <f>IF(OR($B875="",NOT(ISNUMBER(H875))),"",IF(COUNTIF(I875:$T875,H875)&gt;0,0,IF(COUNTIF($G875:$T875,"&gt;"&amp;H875)=0,"",SMALL($G875:$T875,COUNTIF($G875:$T875,"&lt;="&amp;H875)+1)-H875)))</f>
        <v/>
      </c>
      <c r="AF875" t="str">
        <f>IF(OR($B875="",NOT(ISNUMBER(I875))),"",IF(COUNTIF(J875:$T875,I875)&gt;0,0,IF(COUNTIF($G875:$T875,"&gt;"&amp;I875)=0,"",SMALL($G875:$T875,COUNTIF($G875:$T875,"&lt;="&amp;I875)+1)-I875)))</f>
        <v/>
      </c>
      <c r="AG875" t="str">
        <f>IF(OR($B875="",NOT(ISNUMBER(J875))),"",IF(COUNTIF(K875:$T875,J875)&gt;0,0,IF(COUNTIF($G875:$T875,"&gt;"&amp;J875)=0,"",SMALL($G875:$T875,COUNTIF($G875:$T875,"&lt;="&amp;J875)+1)-J875)))</f>
        <v/>
      </c>
      <c r="AH875" t="str">
        <f>IF(OR($B875="",NOT(ISNUMBER(K875))),"",IF(COUNTIF(L875:$T875,K875)&gt;0,0,IF(COUNTIF($G875:$T875,"&gt;"&amp;K875)=0,"",SMALL($G875:$T875,COUNTIF($G875:$T875,"&lt;="&amp;K875)+1)-K875)))</f>
        <v/>
      </c>
      <c r="AI875" t="str">
        <f>IF(OR($B875="",NOT(ISNUMBER(L875))),"",IF(COUNTIF(M875:$T875,L875)&gt;0,0,IF(COUNTIF($G875:$T875,"&gt;"&amp;L875)=0,"",SMALL($G875:$T875,COUNTIF($G875:$T875,"&lt;="&amp;L875)+1)-L875)))</f>
        <v/>
      </c>
      <c r="AJ875" t="str">
        <f>IF(OR($B875="",NOT(ISNUMBER(M875))),"",IF(COUNTIF(N875:$T875,M875)&gt;0,0,IF(COUNTIF($G875:$T875,"&gt;"&amp;M875)=0,"",SMALL($G875:$T875,COUNTIF($G875:$T875,"&lt;="&amp;M875)+1)-M875)))</f>
        <v/>
      </c>
      <c r="AK875" t="str">
        <f>IF(OR($B875="",NOT(ISNUMBER(N875))),"",IF(COUNTIF(O875:$T875,N875)&gt;0,0,IF(COUNTIF($G875:$T875,"&gt;"&amp;N875)=0,"",SMALL($G875:$T875,COUNTIF($G875:$T875,"&lt;="&amp;N875)+1)-N875)))</f>
        <v/>
      </c>
      <c r="AL875" t="str">
        <f>IF(OR($B875="",NOT(ISNUMBER(O875))),"",IF(COUNTIF(P875:$T875,O875)&gt;0,0,IF(COUNTIF($G875:$T875,"&gt;"&amp;O875)=0,"",SMALL($G875:$T875,COUNTIF($G875:$T875,"&lt;="&amp;O875)+1)-O875)))</f>
        <v/>
      </c>
      <c r="AM875" t="str">
        <f>IF(OR($B875="",NOT(ISNUMBER(P875))),"",IF(COUNTIF(Q875:$T875,P875)&gt;0,0,IF(COUNTIF($G875:$T875,"&gt;"&amp;P875)=0,"",SMALL($G875:$T875,COUNTIF($G875:$T875,"&lt;="&amp;P875)+1)-P875)))</f>
        <v/>
      </c>
      <c r="AN875" t="str">
        <f>IF(OR($B875="",NOT(ISNUMBER(Q875))),"",IF(COUNTIF(R875:$T875,Q875)&gt;0,0,IF(COUNTIF($G875:$T875,"&gt;"&amp;Q875)=0,"",SMALL($G875:$T875,COUNTIF($G875:$T875,"&lt;="&amp;Q875)+1)-Q875)))</f>
        <v/>
      </c>
      <c r="AO875" t="str">
        <f>IF(OR($B875="",NOT(ISNUMBER(R875))),"",IF(COUNTIF(S875:$T875,R875)&gt;0,0,IF(COUNTIF($G875:$T875,"&gt;"&amp;R875)=0,"",SMALL($G875:$T875,COUNTIF($G875:$T875,"&lt;="&amp;R875)+1)-R875)))</f>
        <v/>
      </c>
      <c r="AP875">
        <f t="shared" ca="1" si="224"/>
        <v>0</v>
      </c>
      <c r="AQ875" s="25" t="str">
        <f t="shared" si="225"/>
        <v/>
      </c>
      <c r="AR875" s="25" t="str">
        <f t="shared" si="226"/>
        <v/>
      </c>
      <c r="AS875" s="25" t="str">
        <f t="shared" si="227"/>
        <v/>
      </c>
      <c r="AT875" s="25" t="str">
        <f t="shared" si="228"/>
        <v/>
      </c>
      <c r="AU875" s="25" t="str">
        <f t="shared" si="229"/>
        <v/>
      </c>
      <c r="AV875" s="25" t="str">
        <f t="shared" si="230"/>
        <v/>
      </c>
      <c r="AW875" s="25" t="str">
        <f t="shared" si="231"/>
        <v/>
      </c>
      <c r="AX875" s="25" t="str">
        <f t="shared" si="232"/>
        <v/>
      </c>
      <c r="AY875" s="25" t="str">
        <f t="shared" si="233"/>
        <v/>
      </c>
      <c r="AZ875" s="25" t="str">
        <f t="shared" si="234"/>
        <v/>
      </c>
      <c r="BA875" s="25" t="str">
        <f t="shared" si="235"/>
        <v/>
      </c>
      <c r="BB875" s="25" t="str">
        <f t="shared" si="236"/>
        <v/>
      </c>
      <c r="BC875" s="25" t="str">
        <f t="shared" si="237"/>
        <v/>
      </c>
    </row>
    <row r="876" spans="1:55" x14ac:dyDescent="0.25">
      <c r="A876" s="19" t="str">
        <f t="shared" si="222"/>
        <v/>
      </c>
      <c r="B876" s="19"/>
      <c r="C876" s="20"/>
      <c r="D876" s="19" t="str">
        <f t="shared" si="221"/>
        <v/>
      </c>
      <c r="E876" s="19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19"/>
      <c r="U876" s="19"/>
      <c r="V876" s="20"/>
      <c r="W876" s="22"/>
      <c r="X876" s="21"/>
      <c r="Y876" s="21"/>
      <c r="Z876" s="23" t="str">
        <f>IF(B876="","",IF(S876&lt;&gt;"","Sevk Edildi",IF(AND(X876&lt;&gt;"",Y876=""),"Reworkte",IF(T876&lt;&gt;"","Kapandı"&amp;IF(COUNT(G876:R876)=0,""," – "&amp;LOOKUP(2,1/(G876:R876=MAX(G876:R876)),{"Tasarım","Ply Cutter","Üretim","Kalite (Üretim sonrası)","Talaşlı","Kalite (Talaşlı sonrası)","Montaj","Kalite (Montaj sonrası)","Boya","Kalite (Boya sonrası)","Yarı Mamül","KM"})),IF(COUNT(G876:R876)=0,"Başlamadı",LOOKUP(2,1/(G876:R876=MAX(G876:R876)),{"Tasarımda","Ply Cutter'da","Üretimde","Kalitede (Üretim sonrası)","Talaşlıda","Kalitede (Talaşlı sonrası)","Montajda","Kalitede (Montaj sonrası)","Boyada","Kalitede (Boya sonrası)","Yarı Mamülde","KM'de"}))))))</f>
        <v/>
      </c>
      <c r="AA876" s="24" t="str">
        <f t="shared" ca="1" si="223"/>
        <v/>
      </c>
      <c r="AB876" s="22"/>
      <c r="AD876" t="str">
        <f>IF(OR($B876="",NOT(ISNUMBER(G876))),"",IF(COUNTIF(H876:$T876,G876)&gt;0,0,IF(COUNTIF($G876:$T876,"&gt;"&amp;G876)=0,"",SMALL($G876:$T876,COUNTIF($G876:$T876,"&lt;="&amp;G876)+1)-G876)))</f>
        <v/>
      </c>
      <c r="AE876" t="str">
        <f>IF(OR($B876="",NOT(ISNUMBER(H876))),"",IF(COUNTIF(I876:$T876,H876)&gt;0,0,IF(COUNTIF($G876:$T876,"&gt;"&amp;H876)=0,"",SMALL($G876:$T876,COUNTIF($G876:$T876,"&lt;="&amp;H876)+1)-H876)))</f>
        <v/>
      </c>
      <c r="AF876" t="str">
        <f>IF(OR($B876="",NOT(ISNUMBER(I876))),"",IF(COUNTIF(J876:$T876,I876)&gt;0,0,IF(COUNTIF($G876:$T876,"&gt;"&amp;I876)=0,"",SMALL($G876:$T876,COUNTIF($G876:$T876,"&lt;="&amp;I876)+1)-I876)))</f>
        <v/>
      </c>
      <c r="AG876" t="str">
        <f>IF(OR($B876="",NOT(ISNUMBER(J876))),"",IF(COUNTIF(K876:$T876,J876)&gt;0,0,IF(COUNTIF($G876:$T876,"&gt;"&amp;J876)=0,"",SMALL($G876:$T876,COUNTIF($G876:$T876,"&lt;="&amp;J876)+1)-J876)))</f>
        <v/>
      </c>
      <c r="AH876" t="str">
        <f>IF(OR($B876="",NOT(ISNUMBER(K876))),"",IF(COUNTIF(L876:$T876,K876)&gt;0,0,IF(COUNTIF($G876:$T876,"&gt;"&amp;K876)=0,"",SMALL($G876:$T876,COUNTIF($G876:$T876,"&lt;="&amp;K876)+1)-K876)))</f>
        <v/>
      </c>
      <c r="AI876" t="str">
        <f>IF(OR($B876="",NOT(ISNUMBER(L876))),"",IF(COUNTIF(M876:$T876,L876)&gt;0,0,IF(COUNTIF($G876:$T876,"&gt;"&amp;L876)=0,"",SMALL($G876:$T876,COUNTIF($G876:$T876,"&lt;="&amp;L876)+1)-L876)))</f>
        <v/>
      </c>
      <c r="AJ876" t="str">
        <f>IF(OR($B876="",NOT(ISNUMBER(M876))),"",IF(COUNTIF(N876:$T876,M876)&gt;0,0,IF(COUNTIF($G876:$T876,"&gt;"&amp;M876)=0,"",SMALL($G876:$T876,COUNTIF($G876:$T876,"&lt;="&amp;M876)+1)-M876)))</f>
        <v/>
      </c>
      <c r="AK876" t="str">
        <f>IF(OR($B876="",NOT(ISNUMBER(N876))),"",IF(COUNTIF(O876:$T876,N876)&gt;0,0,IF(COUNTIF($G876:$T876,"&gt;"&amp;N876)=0,"",SMALL($G876:$T876,COUNTIF($G876:$T876,"&lt;="&amp;N876)+1)-N876)))</f>
        <v/>
      </c>
      <c r="AL876" t="str">
        <f>IF(OR($B876="",NOT(ISNUMBER(O876))),"",IF(COUNTIF(P876:$T876,O876)&gt;0,0,IF(COUNTIF($G876:$T876,"&gt;"&amp;O876)=0,"",SMALL($G876:$T876,COUNTIF($G876:$T876,"&lt;="&amp;O876)+1)-O876)))</f>
        <v/>
      </c>
      <c r="AM876" t="str">
        <f>IF(OR($B876="",NOT(ISNUMBER(P876))),"",IF(COUNTIF(Q876:$T876,P876)&gt;0,0,IF(COUNTIF($G876:$T876,"&gt;"&amp;P876)=0,"",SMALL($G876:$T876,COUNTIF($G876:$T876,"&lt;="&amp;P876)+1)-P876)))</f>
        <v/>
      </c>
      <c r="AN876" t="str">
        <f>IF(OR($B876="",NOT(ISNUMBER(Q876))),"",IF(COUNTIF(R876:$T876,Q876)&gt;0,0,IF(COUNTIF($G876:$T876,"&gt;"&amp;Q876)=0,"",SMALL($G876:$T876,COUNTIF($G876:$T876,"&lt;="&amp;Q876)+1)-Q876)))</f>
        <v/>
      </c>
      <c r="AO876" t="str">
        <f>IF(OR($B876="",NOT(ISNUMBER(R876))),"",IF(COUNTIF(S876:$T876,R876)&gt;0,0,IF(COUNTIF($G876:$T876,"&gt;"&amp;R876)=0,"",SMALL($G876:$T876,COUNTIF($G876:$T876,"&lt;="&amp;R876)+1)-R876)))</f>
        <v/>
      </c>
      <c r="AP876">
        <f t="shared" ca="1" si="224"/>
        <v>0</v>
      </c>
      <c r="AQ876" s="25" t="str">
        <f t="shared" si="225"/>
        <v/>
      </c>
      <c r="AR876" s="25" t="str">
        <f t="shared" si="226"/>
        <v/>
      </c>
      <c r="AS876" s="25" t="str">
        <f t="shared" si="227"/>
        <v/>
      </c>
      <c r="AT876" s="25" t="str">
        <f t="shared" si="228"/>
        <v/>
      </c>
      <c r="AU876" s="25" t="str">
        <f t="shared" si="229"/>
        <v/>
      </c>
      <c r="AV876" s="25" t="str">
        <f t="shared" si="230"/>
        <v/>
      </c>
      <c r="AW876" s="25" t="str">
        <f t="shared" si="231"/>
        <v/>
      </c>
      <c r="AX876" s="25" t="str">
        <f t="shared" si="232"/>
        <v/>
      </c>
      <c r="AY876" s="25" t="str">
        <f t="shared" si="233"/>
        <v/>
      </c>
      <c r="AZ876" s="25" t="str">
        <f t="shared" si="234"/>
        <v/>
      </c>
      <c r="BA876" s="25" t="str">
        <f t="shared" si="235"/>
        <v/>
      </c>
      <c r="BB876" s="25" t="str">
        <f t="shared" si="236"/>
        <v/>
      </c>
      <c r="BC876" s="25" t="str">
        <f t="shared" si="237"/>
        <v/>
      </c>
    </row>
    <row r="877" spans="1:55" x14ac:dyDescent="0.25">
      <c r="A877" s="19" t="str">
        <f t="shared" si="222"/>
        <v/>
      </c>
      <c r="B877" s="19"/>
      <c r="C877" s="20"/>
      <c r="D877" s="19" t="str">
        <f t="shared" si="221"/>
        <v/>
      </c>
      <c r="E877" s="19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19"/>
      <c r="U877" s="19"/>
      <c r="V877" s="20"/>
      <c r="W877" s="22"/>
      <c r="X877" s="21"/>
      <c r="Y877" s="21"/>
      <c r="Z877" s="23" t="str">
        <f>IF(B877="","",IF(S877&lt;&gt;"","Sevk Edildi",IF(AND(X877&lt;&gt;"",Y877=""),"Reworkte",IF(T877&lt;&gt;"","Kapandı"&amp;IF(COUNT(G877:R877)=0,""," – "&amp;LOOKUP(2,1/(G877:R877=MAX(G877:R877)),{"Tasarım","Ply Cutter","Üretim","Kalite (Üretim sonrası)","Talaşlı","Kalite (Talaşlı sonrası)","Montaj","Kalite (Montaj sonrası)","Boya","Kalite (Boya sonrası)","Yarı Mamül","KM"})),IF(COUNT(G877:R877)=0,"Başlamadı",LOOKUP(2,1/(G877:R877=MAX(G877:R877)),{"Tasarımda","Ply Cutter'da","Üretimde","Kalitede (Üretim sonrası)","Talaşlıda","Kalitede (Talaşlı sonrası)","Montajda","Kalitede (Montaj sonrası)","Boyada","Kalitede (Boya sonrası)","Yarı Mamülde","KM'de"}))))))</f>
        <v/>
      </c>
      <c r="AA877" s="24" t="str">
        <f t="shared" ca="1" si="223"/>
        <v/>
      </c>
      <c r="AB877" s="22"/>
      <c r="AD877" t="str">
        <f>IF(OR($B877="",NOT(ISNUMBER(G877))),"",IF(COUNTIF(H877:$T877,G877)&gt;0,0,IF(COUNTIF($G877:$T877,"&gt;"&amp;G877)=0,"",SMALL($G877:$T877,COUNTIF($G877:$T877,"&lt;="&amp;G877)+1)-G877)))</f>
        <v/>
      </c>
      <c r="AE877" t="str">
        <f>IF(OR($B877="",NOT(ISNUMBER(H877))),"",IF(COUNTIF(I877:$T877,H877)&gt;0,0,IF(COUNTIF($G877:$T877,"&gt;"&amp;H877)=0,"",SMALL($G877:$T877,COUNTIF($G877:$T877,"&lt;="&amp;H877)+1)-H877)))</f>
        <v/>
      </c>
      <c r="AF877" t="str">
        <f>IF(OR($B877="",NOT(ISNUMBER(I877))),"",IF(COUNTIF(J877:$T877,I877)&gt;0,0,IF(COUNTIF($G877:$T877,"&gt;"&amp;I877)=0,"",SMALL($G877:$T877,COUNTIF($G877:$T877,"&lt;="&amp;I877)+1)-I877)))</f>
        <v/>
      </c>
      <c r="AG877" t="str">
        <f>IF(OR($B877="",NOT(ISNUMBER(J877))),"",IF(COUNTIF(K877:$T877,J877)&gt;0,0,IF(COUNTIF($G877:$T877,"&gt;"&amp;J877)=0,"",SMALL($G877:$T877,COUNTIF($G877:$T877,"&lt;="&amp;J877)+1)-J877)))</f>
        <v/>
      </c>
      <c r="AH877" t="str">
        <f>IF(OR($B877="",NOT(ISNUMBER(K877))),"",IF(COUNTIF(L877:$T877,K877)&gt;0,0,IF(COUNTIF($G877:$T877,"&gt;"&amp;K877)=0,"",SMALL($G877:$T877,COUNTIF($G877:$T877,"&lt;="&amp;K877)+1)-K877)))</f>
        <v/>
      </c>
      <c r="AI877" t="str">
        <f>IF(OR($B877="",NOT(ISNUMBER(L877))),"",IF(COUNTIF(M877:$T877,L877)&gt;0,0,IF(COUNTIF($G877:$T877,"&gt;"&amp;L877)=0,"",SMALL($G877:$T877,COUNTIF($G877:$T877,"&lt;="&amp;L877)+1)-L877)))</f>
        <v/>
      </c>
      <c r="AJ877" t="str">
        <f>IF(OR($B877="",NOT(ISNUMBER(M877))),"",IF(COUNTIF(N877:$T877,M877)&gt;0,0,IF(COUNTIF($G877:$T877,"&gt;"&amp;M877)=0,"",SMALL($G877:$T877,COUNTIF($G877:$T877,"&lt;="&amp;M877)+1)-M877)))</f>
        <v/>
      </c>
      <c r="AK877" t="str">
        <f>IF(OR($B877="",NOT(ISNUMBER(N877))),"",IF(COUNTIF(O877:$T877,N877)&gt;0,0,IF(COUNTIF($G877:$T877,"&gt;"&amp;N877)=0,"",SMALL($G877:$T877,COUNTIF($G877:$T877,"&lt;="&amp;N877)+1)-N877)))</f>
        <v/>
      </c>
      <c r="AL877" t="str">
        <f>IF(OR($B877="",NOT(ISNUMBER(O877))),"",IF(COUNTIF(P877:$T877,O877)&gt;0,0,IF(COUNTIF($G877:$T877,"&gt;"&amp;O877)=0,"",SMALL($G877:$T877,COUNTIF($G877:$T877,"&lt;="&amp;O877)+1)-O877)))</f>
        <v/>
      </c>
      <c r="AM877" t="str">
        <f>IF(OR($B877="",NOT(ISNUMBER(P877))),"",IF(COUNTIF(Q877:$T877,P877)&gt;0,0,IF(COUNTIF($G877:$T877,"&gt;"&amp;P877)=0,"",SMALL($G877:$T877,COUNTIF($G877:$T877,"&lt;="&amp;P877)+1)-P877)))</f>
        <v/>
      </c>
      <c r="AN877" t="str">
        <f>IF(OR($B877="",NOT(ISNUMBER(Q877))),"",IF(COUNTIF(R877:$T877,Q877)&gt;0,0,IF(COUNTIF($G877:$T877,"&gt;"&amp;Q877)=0,"",SMALL($G877:$T877,COUNTIF($G877:$T877,"&lt;="&amp;Q877)+1)-Q877)))</f>
        <v/>
      </c>
      <c r="AO877" t="str">
        <f>IF(OR($B877="",NOT(ISNUMBER(R877))),"",IF(COUNTIF(S877:$T877,R877)&gt;0,0,IF(COUNTIF($G877:$T877,"&gt;"&amp;R877)=0,"",SMALL($G877:$T877,COUNTIF($G877:$T877,"&lt;="&amp;R877)+1)-R877)))</f>
        <v/>
      </c>
      <c r="AP877">
        <f t="shared" ca="1" si="224"/>
        <v>0</v>
      </c>
      <c r="AQ877" s="25" t="str">
        <f t="shared" si="225"/>
        <v/>
      </c>
      <c r="AR877" s="25" t="str">
        <f t="shared" si="226"/>
        <v/>
      </c>
      <c r="AS877" s="25" t="str">
        <f t="shared" si="227"/>
        <v/>
      </c>
      <c r="AT877" s="25" t="str">
        <f t="shared" si="228"/>
        <v/>
      </c>
      <c r="AU877" s="25" t="str">
        <f t="shared" si="229"/>
        <v/>
      </c>
      <c r="AV877" s="25" t="str">
        <f t="shared" si="230"/>
        <v/>
      </c>
      <c r="AW877" s="25" t="str">
        <f t="shared" si="231"/>
        <v/>
      </c>
      <c r="AX877" s="25" t="str">
        <f t="shared" si="232"/>
        <v/>
      </c>
      <c r="AY877" s="25" t="str">
        <f t="shared" si="233"/>
        <v/>
      </c>
      <c r="AZ877" s="25" t="str">
        <f t="shared" si="234"/>
        <v/>
      </c>
      <c r="BA877" s="25" t="str">
        <f t="shared" si="235"/>
        <v/>
      </c>
      <c r="BB877" s="25" t="str">
        <f t="shared" si="236"/>
        <v/>
      </c>
      <c r="BC877" s="25" t="str">
        <f t="shared" si="237"/>
        <v/>
      </c>
    </row>
    <row r="878" spans="1:55" x14ac:dyDescent="0.25">
      <c r="A878" s="19" t="str">
        <f t="shared" si="222"/>
        <v/>
      </c>
      <c r="B878" s="19"/>
      <c r="C878" s="20"/>
      <c r="D878" s="19" t="str">
        <f t="shared" si="221"/>
        <v/>
      </c>
      <c r="E878" s="19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19"/>
      <c r="U878" s="19"/>
      <c r="V878" s="20"/>
      <c r="W878" s="22"/>
      <c r="X878" s="21"/>
      <c r="Y878" s="21"/>
      <c r="Z878" s="23" t="str">
        <f>IF(B878="","",IF(S878&lt;&gt;"","Sevk Edildi",IF(AND(X878&lt;&gt;"",Y878=""),"Reworkte",IF(T878&lt;&gt;"","Kapandı"&amp;IF(COUNT(G878:R878)=0,""," – "&amp;LOOKUP(2,1/(G878:R878=MAX(G878:R878)),{"Tasarım","Ply Cutter","Üretim","Kalite (Üretim sonrası)","Talaşlı","Kalite (Talaşlı sonrası)","Montaj","Kalite (Montaj sonrası)","Boya","Kalite (Boya sonrası)","Yarı Mamül","KM"})),IF(COUNT(G878:R878)=0,"Başlamadı",LOOKUP(2,1/(G878:R878=MAX(G878:R878)),{"Tasarımda","Ply Cutter'da","Üretimde","Kalitede (Üretim sonrası)","Talaşlıda","Kalitede (Talaşlı sonrası)","Montajda","Kalitede (Montaj sonrası)","Boyada","Kalitede (Boya sonrası)","Yarı Mamülde","KM'de"}))))))</f>
        <v/>
      </c>
      <c r="AA878" s="24" t="str">
        <f t="shared" ca="1" si="223"/>
        <v/>
      </c>
      <c r="AB878" s="22"/>
      <c r="AD878" t="str">
        <f>IF(OR($B878="",NOT(ISNUMBER(G878))),"",IF(COUNTIF(H878:$T878,G878)&gt;0,0,IF(COUNTIF($G878:$T878,"&gt;"&amp;G878)=0,"",SMALL($G878:$T878,COUNTIF($G878:$T878,"&lt;="&amp;G878)+1)-G878)))</f>
        <v/>
      </c>
      <c r="AE878" t="str">
        <f>IF(OR($B878="",NOT(ISNUMBER(H878))),"",IF(COUNTIF(I878:$T878,H878)&gt;0,0,IF(COUNTIF($G878:$T878,"&gt;"&amp;H878)=0,"",SMALL($G878:$T878,COUNTIF($G878:$T878,"&lt;="&amp;H878)+1)-H878)))</f>
        <v/>
      </c>
      <c r="AF878" t="str">
        <f>IF(OR($B878="",NOT(ISNUMBER(I878))),"",IF(COUNTIF(J878:$T878,I878)&gt;0,0,IF(COUNTIF($G878:$T878,"&gt;"&amp;I878)=0,"",SMALL($G878:$T878,COUNTIF($G878:$T878,"&lt;="&amp;I878)+1)-I878)))</f>
        <v/>
      </c>
      <c r="AG878" t="str">
        <f>IF(OR($B878="",NOT(ISNUMBER(J878))),"",IF(COUNTIF(K878:$T878,J878)&gt;0,0,IF(COUNTIF($G878:$T878,"&gt;"&amp;J878)=0,"",SMALL($G878:$T878,COUNTIF($G878:$T878,"&lt;="&amp;J878)+1)-J878)))</f>
        <v/>
      </c>
      <c r="AH878" t="str">
        <f>IF(OR($B878="",NOT(ISNUMBER(K878))),"",IF(COUNTIF(L878:$T878,K878)&gt;0,0,IF(COUNTIF($G878:$T878,"&gt;"&amp;K878)=0,"",SMALL($G878:$T878,COUNTIF($G878:$T878,"&lt;="&amp;K878)+1)-K878)))</f>
        <v/>
      </c>
      <c r="AI878" t="str">
        <f>IF(OR($B878="",NOT(ISNUMBER(L878))),"",IF(COUNTIF(M878:$T878,L878)&gt;0,0,IF(COUNTIF($G878:$T878,"&gt;"&amp;L878)=0,"",SMALL($G878:$T878,COUNTIF($G878:$T878,"&lt;="&amp;L878)+1)-L878)))</f>
        <v/>
      </c>
      <c r="AJ878" t="str">
        <f>IF(OR($B878="",NOT(ISNUMBER(M878))),"",IF(COUNTIF(N878:$T878,M878)&gt;0,0,IF(COUNTIF($G878:$T878,"&gt;"&amp;M878)=0,"",SMALL($G878:$T878,COUNTIF($G878:$T878,"&lt;="&amp;M878)+1)-M878)))</f>
        <v/>
      </c>
      <c r="AK878" t="str">
        <f>IF(OR($B878="",NOT(ISNUMBER(N878))),"",IF(COUNTIF(O878:$T878,N878)&gt;0,0,IF(COUNTIF($G878:$T878,"&gt;"&amp;N878)=0,"",SMALL($G878:$T878,COUNTIF($G878:$T878,"&lt;="&amp;N878)+1)-N878)))</f>
        <v/>
      </c>
      <c r="AL878" t="str">
        <f>IF(OR($B878="",NOT(ISNUMBER(O878))),"",IF(COUNTIF(P878:$T878,O878)&gt;0,0,IF(COUNTIF($G878:$T878,"&gt;"&amp;O878)=0,"",SMALL($G878:$T878,COUNTIF($G878:$T878,"&lt;="&amp;O878)+1)-O878)))</f>
        <v/>
      </c>
      <c r="AM878" t="str">
        <f>IF(OR($B878="",NOT(ISNUMBER(P878))),"",IF(COUNTIF(Q878:$T878,P878)&gt;0,0,IF(COUNTIF($G878:$T878,"&gt;"&amp;P878)=0,"",SMALL($G878:$T878,COUNTIF($G878:$T878,"&lt;="&amp;P878)+1)-P878)))</f>
        <v/>
      </c>
      <c r="AN878" t="str">
        <f>IF(OR($B878="",NOT(ISNUMBER(Q878))),"",IF(COUNTIF(R878:$T878,Q878)&gt;0,0,IF(COUNTIF($G878:$T878,"&gt;"&amp;Q878)=0,"",SMALL($G878:$T878,COUNTIF($G878:$T878,"&lt;="&amp;Q878)+1)-Q878)))</f>
        <v/>
      </c>
      <c r="AO878" t="str">
        <f>IF(OR($B878="",NOT(ISNUMBER(R878))),"",IF(COUNTIF(S878:$T878,R878)&gt;0,0,IF(COUNTIF($G878:$T878,"&gt;"&amp;R878)=0,"",SMALL($G878:$T878,COUNTIF($G878:$T878,"&lt;="&amp;R878)+1)-R878)))</f>
        <v/>
      </c>
      <c r="AP878">
        <f t="shared" ca="1" si="224"/>
        <v>0</v>
      </c>
      <c r="AQ878" s="25" t="str">
        <f t="shared" si="225"/>
        <v/>
      </c>
      <c r="AR878" s="25" t="str">
        <f t="shared" si="226"/>
        <v/>
      </c>
      <c r="AS878" s="25" t="str">
        <f t="shared" si="227"/>
        <v/>
      </c>
      <c r="AT878" s="25" t="str">
        <f t="shared" si="228"/>
        <v/>
      </c>
      <c r="AU878" s="25" t="str">
        <f t="shared" si="229"/>
        <v/>
      </c>
      <c r="AV878" s="25" t="str">
        <f t="shared" si="230"/>
        <v/>
      </c>
      <c r="AW878" s="25" t="str">
        <f t="shared" si="231"/>
        <v/>
      </c>
      <c r="AX878" s="25" t="str">
        <f t="shared" si="232"/>
        <v/>
      </c>
      <c r="AY878" s="25" t="str">
        <f t="shared" si="233"/>
        <v/>
      </c>
      <c r="AZ878" s="25" t="str">
        <f t="shared" si="234"/>
        <v/>
      </c>
      <c r="BA878" s="25" t="str">
        <f t="shared" si="235"/>
        <v/>
      </c>
      <c r="BB878" s="25" t="str">
        <f t="shared" si="236"/>
        <v/>
      </c>
      <c r="BC878" s="25" t="str">
        <f t="shared" si="237"/>
        <v/>
      </c>
    </row>
    <row r="879" spans="1:55" x14ac:dyDescent="0.25">
      <c r="A879" s="19" t="str">
        <f t="shared" si="222"/>
        <v/>
      </c>
      <c r="B879" s="19"/>
      <c r="C879" s="20"/>
      <c r="D879" s="19" t="str">
        <f t="shared" si="221"/>
        <v/>
      </c>
      <c r="E879" s="19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19"/>
      <c r="U879" s="19"/>
      <c r="V879" s="20"/>
      <c r="W879" s="22"/>
      <c r="X879" s="21"/>
      <c r="Y879" s="21"/>
      <c r="Z879" s="23" t="str">
        <f>IF(B879="","",IF(S879&lt;&gt;"","Sevk Edildi",IF(AND(X879&lt;&gt;"",Y879=""),"Reworkte",IF(T879&lt;&gt;"","Kapandı"&amp;IF(COUNT(G879:R879)=0,""," – "&amp;LOOKUP(2,1/(G879:R879=MAX(G879:R879)),{"Tasarım","Ply Cutter","Üretim","Kalite (Üretim sonrası)","Talaşlı","Kalite (Talaşlı sonrası)","Montaj","Kalite (Montaj sonrası)","Boya","Kalite (Boya sonrası)","Yarı Mamül","KM"})),IF(COUNT(G879:R879)=0,"Başlamadı",LOOKUP(2,1/(G879:R879=MAX(G879:R879)),{"Tasarımda","Ply Cutter'da","Üretimde","Kalitede (Üretim sonrası)","Talaşlıda","Kalitede (Talaşlı sonrası)","Montajda","Kalitede (Montaj sonrası)","Boyada","Kalitede (Boya sonrası)","Yarı Mamülde","KM'de"}))))))</f>
        <v/>
      </c>
      <c r="AA879" s="24" t="str">
        <f t="shared" ca="1" si="223"/>
        <v/>
      </c>
      <c r="AB879" s="22"/>
      <c r="AD879" t="str">
        <f>IF(OR($B879="",NOT(ISNUMBER(G879))),"",IF(COUNTIF(H879:$T879,G879)&gt;0,0,IF(COUNTIF($G879:$T879,"&gt;"&amp;G879)=0,"",SMALL($G879:$T879,COUNTIF($G879:$T879,"&lt;="&amp;G879)+1)-G879)))</f>
        <v/>
      </c>
      <c r="AE879" t="str">
        <f>IF(OR($B879="",NOT(ISNUMBER(H879))),"",IF(COUNTIF(I879:$T879,H879)&gt;0,0,IF(COUNTIF($G879:$T879,"&gt;"&amp;H879)=0,"",SMALL($G879:$T879,COUNTIF($G879:$T879,"&lt;="&amp;H879)+1)-H879)))</f>
        <v/>
      </c>
      <c r="AF879" t="str">
        <f>IF(OR($B879="",NOT(ISNUMBER(I879))),"",IF(COUNTIF(J879:$T879,I879)&gt;0,0,IF(COUNTIF($G879:$T879,"&gt;"&amp;I879)=0,"",SMALL($G879:$T879,COUNTIF($G879:$T879,"&lt;="&amp;I879)+1)-I879)))</f>
        <v/>
      </c>
      <c r="AG879" t="str">
        <f>IF(OR($B879="",NOT(ISNUMBER(J879))),"",IF(COUNTIF(K879:$T879,J879)&gt;0,0,IF(COUNTIF($G879:$T879,"&gt;"&amp;J879)=0,"",SMALL($G879:$T879,COUNTIF($G879:$T879,"&lt;="&amp;J879)+1)-J879)))</f>
        <v/>
      </c>
      <c r="AH879" t="str">
        <f>IF(OR($B879="",NOT(ISNUMBER(K879))),"",IF(COUNTIF(L879:$T879,K879)&gt;0,0,IF(COUNTIF($G879:$T879,"&gt;"&amp;K879)=0,"",SMALL($G879:$T879,COUNTIF($G879:$T879,"&lt;="&amp;K879)+1)-K879)))</f>
        <v/>
      </c>
      <c r="AI879" t="str">
        <f>IF(OR($B879="",NOT(ISNUMBER(L879))),"",IF(COUNTIF(M879:$T879,L879)&gt;0,0,IF(COUNTIF($G879:$T879,"&gt;"&amp;L879)=0,"",SMALL($G879:$T879,COUNTIF($G879:$T879,"&lt;="&amp;L879)+1)-L879)))</f>
        <v/>
      </c>
      <c r="AJ879" t="str">
        <f>IF(OR($B879="",NOT(ISNUMBER(M879))),"",IF(COUNTIF(N879:$T879,M879)&gt;0,0,IF(COUNTIF($G879:$T879,"&gt;"&amp;M879)=0,"",SMALL($G879:$T879,COUNTIF($G879:$T879,"&lt;="&amp;M879)+1)-M879)))</f>
        <v/>
      </c>
      <c r="AK879" t="str">
        <f>IF(OR($B879="",NOT(ISNUMBER(N879))),"",IF(COUNTIF(O879:$T879,N879)&gt;0,0,IF(COUNTIF($G879:$T879,"&gt;"&amp;N879)=0,"",SMALL($G879:$T879,COUNTIF($G879:$T879,"&lt;="&amp;N879)+1)-N879)))</f>
        <v/>
      </c>
      <c r="AL879" t="str">
        <f>IF(OR($B879="",NOT(ISNUMBER(O879))),"",IF(COUNTIF(P879:$T879,O879)&gt;0,0,IF(COUNTIF($G879:$T879,"&gt;"&amp;O879)=0,"",SMALL($G879:$T879,COUNTIF($G879:$T879,"&lt;="&amp;O879)+1)-O879)))</f>
        <v/>
      </c>
      <c r="AM879" t="str">
        <f>IF(OR($B879="",NOT(ISNUMBER(P879))),"",IF(COUNTIF(Q879:$T879,P879)&gt;0,0,IF(COUNTIF($G879:$T879,"&gt;"&amp;P879)=0,"",SMALL($G879:$T879,COUNTIF($G879:$T879,"&lt;="&amp;P879)+1)-P879)))</f>
        <v/>
      </c>
      <c r="AN879" t="str">
        <f>IF(OR($B879="",NOT(ISNUMBER(Q879))),"",IF(COUNTIF(R879:$T879,Q879)&gt;0,0,IF(COUNTIF($G879:$T879,"&gt;"&amp;Q879)=0,"",SMALL($G879:$T879,COUNTIF($G879:$T879,"&lt;="&amp;Q879)+1)-Q879)))</f>
        <v/>
      </c>
      <c r="AO879" t="str">
        <f>IF(OR($B879="",NOT(ISNUMBER(R879))),"",IF(COUNTIF(S879:$T879,R879)&gt;0,0,IF(COUNTIF($G879:$T879,"&gt;"&amp;R879)=0,"",SMALL($G879:$T879,COUNTIF($G879:$T879,"&lt;="&amp;R879)+1)-R879)))</f>
        <v/>
      </c>
      <c r="AP879">
        <f t="shared" ca="1" si="224"/>
        <v>0</v>
      </c>
      <c r="AQ879" s="25" t="str">
        <f t="shared" si="225"/>
        <v/>
      </c>
      <c r="AR879" s="25" t="str">
        <f t="shared" si="226"/>
        <v/>
      </c>
      <c r="AS879" s="25" t="str">
        <f t="shared" si="227"/>
        <v/>
      </c>
      <c r="AT879" s="25" t="str">
        <f t="shared" si="228"/>
        <v/>
      </c>
      <c r="AU879" s="25" t="str">
        <f t="shared" si="229"/>
        <v/>
      </c>
      <c r="AV879" s="25" t="str">
        <f t="shared" si="230"/>
        <v/>
      </c>
      <c r="AW879" s="25" t="str">
        <f t="shared" si="231"/>
        <v/>
      </c>
      <c r="AX879" s="25" t="str">
        <f t="shared" si="232"/>
        <v/>
      </c>
      <c r="AY879" s="25" t="str">
        <f t="shared" si="233"/>
        <v/>
      </c>
      <c r="AZ879" s="25" t="str">
        <f t="shared" si="234"/>
        <v/>
      </c>
      <c r="BA879" s="25" t="str">
        <f t="shared" si="235"/>
        <v/>
      </c>
      <c r="BB879" s="25" t="str">
        <f t="shared" si="236"/>
        <v/>
      </c>
      <c r="BC879" s="25" t="str">
        <f t="shared" si="237"/>
        <v/>
      </c>
    </row>
    <row r="880" spans="1:55" x14ac:dyDescent="0.25">
      <c r="A880" s="19" t="str">
        <f t="shared" si="222"/>
        <v/>
      </c>
      <c r="B880" s="19"/>
      <c r="C880" s="20"/>
      <c r="D880" s="19" t="str">
        <f t="shared" si="221"/>
        <v/>
      </c>
      <c r="E880" s="19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19"/>
      <c r="U880" s="19"/>
      <c r="V880" s="20"/>
      <c r="W880" s="22"/>
      <c r="X880" s="21"/>
      <c r="Y880" s="21"/>
      <c r="Z880" s="23" t="str">
        <f>IF(B880="","",IF(S880&lt;&gt;"","Sevk Edildi",IF(AND(X880&lt;&gt;"",Y880=""),"Reworkte",IF(T880&lt;&gt;"","Kapandı"&amp;IF(COUNT(G880:R880)=0,""," – "&amp;LOOKUP(2,1/(G880:R880=MAX(G880:R880)),{"Tasarım","Ply Cutter","Üretim","Kalite (Üretim sonrası)","Talaşlı","Kalite (Talaşlı sonrası)","Montaj","Kalite (Montaj sonrası)","Boya","Kalite (Boya sonrası)","Yarı Mamül","KM"})),IF(COUNT(G880:R880)=0,"Başlamadı",LOOKUP(2,1/(G880:R880=MAX(G880:R880)),{"Tasarımda","Ply Cutter'da","Üretimde","Kalitede (Üretim sonrası)","Talaşlıda","Kalitede (Talaşlı sonrası)","Montajda","Kalitede (Montaj sonrası)","Boyada","Kalitede (Boya sonrası)","Yarı Mamülde","KM'de"}))))))</f>
        <v/>
      </c>
      <c r="AA880" s="24" t="str">
        <f t="shared" ca="1" si="223"/>
        <v/>
      </c>
      <c r="AB880" s="22"/>
      <c r="AD880" t="str">
        <f>IF(OR($B880="",NOT(ISNUMBER(G880))),"",IF(COUNTIF(H880:$T880,G880)&gt;0,0,IF(COUNTIF($G880:$T880,"&gt;"&amp;G880)=0,"",SMALL($G880:$T880,COUNTIF($G880:$T880,"&lt;="&amp;G880)+1)-G880)))</f>
        <v/>
      </c>
      <c r="AE880" t="str">
        <f>IF(OR($B880="",NOT(ISNUMBER(H880))),"",IF(COUNTIF(I880:$T880,H880)&gt;0,0,IF(COUNTIF($G880:$T880,"&gt;"&amp;H880)=0,"",SMALL($G880:$T880,COUNTIF($G880:$T880,"&lt;="&amp;H880)+1)-H880)))</f>
        <v/>
      </c>
      <c r="AF880" t="str">
        <f>IF(OR($B880="",NOT(ISNUMBER(I880))),"",IF(COUNTIF(J880:$T880,I880)&gt;0,0,IF(COUNTIF($G880:$T880,"&gt;"&amp;I880)=0,"",SMALL($G880:$T880,COUNTIF($G880:$T880,"&lt;="&amp;I880)+1)-I880)))</f>
        <v/>
      </c>
      <c r="AG880" t="str">
        <f>IF(OR($B880="",NOT(ISNUMBER(J880))),"",IF(COUNTIF(K880:$T880,J880)&gt;0,0,IF(COUNTIF($G880:$T880,"&gt;"&amp;J880)=0,"",SMALL($G880:$T880,COUNTIF($G880:$T880,"&lt;="&amp;J880)+1)-J880)))</f>
        <v/>
      </c>
      <c r="AH880" t="str">
        <f>IF(OR($B880="",NOT(ISNUMBER(K880))),"",IF(COUNTIF(L880:$T880,K880)&gt;0,0,IF(COUNTIF($G880:$T880,"&gt;"&amp;K880)=0,"",SMALL($G880:$T880,COUNTIF($G880:$T880,"&lt;="&amp;K880)+1)-K880)))</f>
        <v/>
      </c>
      <c r="AI880" t="str">
        <f>IF(OR($B880="",NOT(ISNUMBER(L880))),"",IF(COUNTIF(M880:$T880,L880)&gt;0,0,IF(COUNTIF($G880:$T880,"&gt;"&amp;L880)=0,"",SMALL($G880:$T880,COUNTIF($G880:$T880,"&lt;="&amp;L880)+1)-L880)))</f>
        <v/>
      </c>
      <c r="AJ880" t="str">
        <f>IF(OR($B880="",NOT(ISNUMBER(M880))),"",IF(COUNTIF(N880:$T880,M880)&gt;0,0,IF(COUNTIF($G880:$T880,"&gt;"&amp;M880)=0,"",SMALL($G880:$T880,COUNTIF($G880:$T880,"&lt;="&amp;M880)+1)-M880)))</f>
        <v/>
      </c>
      <c r="AK880" t="str">
        <f>IF(OR($B880="",NOT(ISNUMBER(N880))),"",IF(COUNTIF(O880:$T880,N880)&gt;0,0,IF(COUNTIF($G880:$T880,"&gt;"&amp;N880)=0,"",SMALL($G880:$T880,COUNTIF($G880:$T880,"&lt;="&amp;N880)+1)-N880)))</f>
        <v/>
      </c>
      <c r="AL880" t="str">
        <f>IF(OR($B880="",NOT(ISNUMBER(O880))),"",IF(COUNTIF(P880:$T880,O880)&gt;0,0,IF(COUNTIF($G880:$T880,"&gt;"&amp;O880)=0,"",SMALL($G880:$T880,COUNTIF($G880:$T880,"&lt;="&amp;O880)+1)-O880)))</f>
        <v/>
      </c>
      <c r="AM880" t="str">
        <f>IF(OR($B880="",NOT(ISNUMBER(P880))),"",IF(COUNTIF(Q880:$T880,P880)&gt;0,0,IF(COUNTIF($G880:$T880,"&gt;"&amp;P880)=0,"",SMALL($G880:$T880,COUNTIF($G880:$T880,"&lt;="&amp;P880)+1)-P880)))</f>
        <v/>
      </c>
      <c r="AN880" t="str">
        <f>IF(OR($B880="",NOT(ISNUMBER(Q880))),"",IF(COUNTIF(R880:$T880,Q880)&gt;0,0,IF(COUNTIF($G880:$T880,"&gt;"&amp;Q880)=0,"",SMALL($G880:$T880,COUNTIF($G880:$T880,"&lt;="&amp;Q880)+1)-Q880)))</f>
        <v/>
      </c>
      <c r="AO880" t="str">
        <f>IF(OR($B880="",NOT(ISNUMBER(R880))),"",IF(COUNTIF(S880:$T880,R880)&gt;0,0,IF(COUNTIF($G880:$T880,"&gt;"&amp;R880)=0,"",SMALL($G880:$T880,COUNTIF($G880:$T880,"&lt;="&amp;R880)+1)-R880)))</f>
        <v/>
      </c>
      <c r="AP880">
        <f t="shared" ca="1" si="224"/>
        <v>0</v>
      </c>
      <c r="AQ880" s="25" t="str">
        <f t="shared" si="225"/>
        <v/>
      </c>
      <c r="AR880" s="25" t="str">
        <f t="shared" si="226"/>
        <v/>
      </c>
      <c r="AS880" s="25" t="str">
        <f t="shared" si="227"/>
        <v/>
      </c>
      <c r="AT880" s="25" t="str">
        <f t="shared" si="228"/>
        <v/>
      </c>
      <c r="AU880" s="25" t="str">
        <f t="shared" si="229"/>
        <v/>
      </c>
      <c r="AV880" s="25" t="str">
        <f t="shared" si="230"/>
        <v/>
      </c>
      <c r="AW880" s="25" t="str">
        <f t="shared" si="231"/>
        <v/>
      </c>
      <c r="AX880" s="25" t="str">
        <f t="shared" si="232"/>
        <v/>
      </c>
      <c r="AY880" s="25" t="str">
        <f t="shared" si="233"/>
        <v/>
      </c>
      <c r="AZ880" s="25" t="str">
        <f t="shared" si="234"/>
        <v/>
      </c>
      <c r="BA880" s="25" t="str">
        <f t="shared" si="235"/>
        <v/>
      </c>
      <c r="BB880" s="25" t="str">
        <f t="shared" si="236"/>
        <v/>
      </c>
      <c r="BC880" s="25" t="str">
        <f t="shared" si="237"/>
        <v/>
      </c>
    </row>
    <row r="881" spans="1:55" x14ac:dyDescent="0.25">
      <c r="A881" s="19" t="str">
        <f t="shared" si="222"/>
        <v/>
      </c>
      <c r="B881" s="19"/>
      <c r="C881" s="20"/>
      <c r="D881" s="19" t="str">
        <f t="shared" si="221"/>
        <v/>
      </c>
      <c r="E881" s="19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19"/>
      <c r="U881" s="19"/>
      <c r="V881" s="20"/>
      <c r="W881" s="22"/>
      <c r="X881" s="21"/>
      <c r="Y881" s="21"/>
      <c r="Z881" s="23" t="str">
        <f>IF(B881="","",IF(S881&lt;&gt;"","Sevk Edildi",IF(AND(X881&lt;&gt;"",Y881=""),"Reworkte",IF(T881&lt;&gt;"","Kapandı"&amp;IF(COUNT(G881:R881)=0,""," – "&amp;LOOKUP(2,1/(G881:R881=MAX(G881:R881)),{"Tasarım","Ply Cutter","Üretim","Kalite (Üretim sonrası)","Talaşlı","Kalite (Talaşlı sonrası)","Montaj","Kalite (Montaj sonrası)","Boya","Kalite (Boya sonrası)","Yarı Mamül","KM"})),IF(COUNT(G881:R881)=0,"Başlamadı",LOOKUP(2,1/(G881:R881=MAX(G881:R881)),{"Tasarımda","Ply Cutter'da","Üretimde","Kalitede (Üretim sonrası)","Talaşlıda","Kalitede (Talaşlı sonrası)","Montajda","Kalitede (Montaj sonrası)","Boyada","Kalitede (Boya sonrası)","Yarı Mamülde","KM'de"}))))))</f>
        <v/>
      </c>
      <c r="AA881" s="24" t="str">
        <f t="shared" ca="1" si="223"/>
        <v/>
      </c>
      <c r="AB881" s="22"/>
      <c r="AD881" t="str">
        <f>IF(OR($B881="",NOT(ISNUMBER(G881))),"",IF(COUNTIF(H881:$T881,G881)&gt;0,0,IF(COUNTIF($G881:$T881,"&gt;"&amp;G881)=0,"",SMALL($G881:$T881,COUNTIF($G881:$T881,"&lt;="&amp;G881)+1)-G881)))</f>
        <v/>
      </c>
      <c r="AE881" t="str">
        <f>IF(OR($B881="",NOT(ISNUMBER(H881))),"",IF(COUNTIF(I881:$T881,H881)&gt;0,0,IF(COUNTIF($G881:$T881,"&gt;"&amp;H881)=0,"",SMALL($G881:$T881,COUNTIF($G881:$T881,"&lt;="&amp;H881)+1)-H881)))</f>
        <v/>
      </c>
      <c r="AF881" t="str">
        <f>IF(OR($B881="",NOT(ISNUMBER(I881))),"",IF(COUNTIF(J881:$T881,I881)&gt;0,0,IF(COUNTIF($G881:$T881,"&gt;"&amp;I881)=0,"",SMALL($G881:$T881,COUNTIF($G881:$T881,"&lt;="&amp;I881)+1)-I881)))</f>
        <v/>
      </c>
      <c r="AG881" t="str">
        <f>IF(OR($B881="",NOT(ISNUMBER(J881))),"",IF(COUNTIF(K881:$T881,J881)&gt;0,0,IF(COUNTIF($G881:$T881,"&gt;"&amp;J881)=0,"",SMALL($G881:$T881,COUNTIF($G881:$T881,"&lt;="&amp;J881)+1)-J881)))</f>
        <v/>
      </c>
      <c r="AH881" t="str">
        <f>IF(OR($B881="",NOT(ISNUMBER(K881))),"",IF(COUNTIF(L881:$T881,K881)&gt;0,0,IF(COUNTIF($G881:$T881,"&gt;"&amp;K881)=0,"",SMALL($G881:$T881,COUNTIF($G881:$T881,"&lt;="&amp;K881)+1)-K881)))</f>
        <v/>
      </c>
      <c r="AI881" t="str">
        <f>IF(OR($B881="",NOT(ISNUMBER(L881))),"",IF(COUNTIF(M881:$T881,L881)&gt;0,0,IF(COUNTIF($G881:$T881,"&gt;"&amp;L881)=0,"",SMALL($G881:$T881,COUNTIF($G881:$T881,"&lt;="&amp;L881)+1)-L881)))</f>
        <v/>
      </c>
      <c r="AJ881" t="str">
        <f>IF(OR($B881="",NOT(ISNUMBER(M881))),"",IF(COUNTIF(N881:$T881,M881)&gt;0,0,IF(COUNTIF($G881:$T881,"&gt;"&amp;M881)=0,"",SMALL($G881:$T881,COUNTIF($G881:$T881,"&lt;="&amp;M881)+1)-M881)))</f>
        <v/>
      </c>
      <c r="AK881" t="str">
        <f>IF(OR($B881="",NOT(ISNUMBER(N881))),"",IF(COUNTIF(O881:$T881,N881)&gt;0,0,IF(COUNTIF($G881:$T881,"&gt;"&amp;N881)=0,"",SMALL($G881:$T881,COUNTIF($G881:$T881,"&lt;="&amp;N881)+1)-N881)))</f>
        <v/>
      </c>
      <c r="AL881" t="str">
        <f>IF(OR($B881="",NOT(ISNUMBER(O881))),"",IF(COUNTIF(P881:$T881,O881)&gt;0,0,IF(COUNTIF($G881:$T881,"&gt;"&amp;O881)=0,"",SMALL($G881:$T881,COUNTIF($G881:$T881,"&lt;="&amp;O881)+1)-O881)))</f>
        <v/>
      </c>
      <c r="AM881" t="str">
        <f>IF(OR($B881="",NOT(ISNUMBER(P881))),"",IF(COUNTIF(Q881:$T881,P881)&gt;0,0,IF(COUNTIF($G881:$T881,"&gt;"&amp;P881)=0,"",SMALL($G881:$T881,COUNTIF($G881:$T881,"&lt;="&amp;P881)+1)-P881)))</f>
        <v/>
      </c>
      <c r="AN881" t="str">
        <f>IF(OR($B881="",NOT(ISNUMBER(Q881))),"",IF(COUNTIF(R881:$T881,Q881)&gt;0,0,IF(COUNTIF($G881:$T881,"&gt;"&amp;Q881)=0,"",SMALL($G881:$T881,COUNTIF($G881:$T881,"&lt;="&amp;Q881)+1)-Q881)))</f>
        <v/>
      </c>
      <c r="AO881" t="str">
        <f>IF(OR($B881="",NOT(ISNUMBER(R881))),"",IF(COUNTIF(S881:$T881,R881)&gt;0,0,IF(COUNTIF($G881:$T881,"&gt;"&amp;R881)=0,"",SMALL($G881:$T881,COUNTIF($G881:$T881,"&lt;="&amp;R881)+1)-R881)))</f>
        <v/>
      </c>
      <c r="AP881">
        <f t="shared" ca="1" si="224"/>
        <v>0</v>
      </c>
      <c r="AQ881" s="25" t="str">
        <f t="shared" si="225"/>
        <v/>
      </c>
      <c r="AR881" s="25" t="str">
        <f t="shared" si="226"/>
        <v/>
      </c>
      <c r="AS881" s="25" t="str">
        <f t="shared" si="227"/>
        <v/>
      </c>
      <c r="AT881" s="25" t="str">
        <f t="shared" si="228"/>
        <v/>
      </c>
      <c r="AU881" s="25" t="str">
        <f t="shared" si="229"/>
        <v/>
      </c>
      <c r="AV881" s="25" t="str">
        <f t="shared" si="230"/>
        <v/>
      </c>
      <c r="AW881" s="25" t="str">
        <f t="shared" si="231"/>
        <v/>
      </c>
      <c r="AX881" s="25" t="str">
        <f t="shared" si="232"/>
        <v/>
      </c>
      <c r="AY881" s="25" t="str">
        <f t="shared" si="233"/>
        <v/>
      </c>
      <c r="AZ881" s="25" t="str">
        <f t="shared" si="234"/>
        <v/>
      </c>
      <c r="BA881" s="25" t="str">
        <f t="shared" si="235"/>
        <v/>
      </c>
      <c r="BB881" s="25" t="str">
        <f t="shared" si="236"/>
        <v/>
      </c>
      <c r="BC881" s="25" t="str">
        <f t="shared" si="237"/>
        <v/>
      </c>
    </row>
    <row r="882" spans="1:55" x14ac:dyDescent="0.25">
      <c r="A882" s="19" t="str">
        <f t="shared" si="222"/>
        <v/>
      </c>
      <c r="B882" s="19"/>
      <c r="C882" s="20"/>
      <c r="D882" s="19" t="str">
        <f t="shared" si="221"/>
        <v/>
      </c>
      <c r="E882" s="19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19"/>
      <c r="U882" s="19"/>
      <c r="V882" s="20"/>
      <c r="W882" s="22"/>
      <c r="X882" s="21"/>
      <c r="Y882" s="21"/>
      <c r="Z882" s="23" t="str">
        <f>IF(B882="","",IF(S882&lt;&gt;"","Sevk Edildi",IF(AND(X882&lt;&gt;"",Y882=""),"Reworkte",IF(T882&lt;&gt;"","Kapandı"&amp;IF(COUNT(G882:R882)=0,""," – "&amp;LOOKUP(2,1/(G882:R882=MAX(G882:R882)),{"Tasarım","Ply Cutter","Üretim","Kalite (Üretim sonrası)","Talaşlı","Kalite (Talaşlı sonrası)","Montaj","Kalite (Montaj sonrası)","Boya","Kalite (Boya sonrası)","Yarı Mamül","KM"})),IF(COUNT(G882:R882)=0,"Başlamadı",LOOKUP(2,1/(G882:R882=MAX(G882:R882)),{"Tasarımda","Ply Cutter'da","Üretimde","Kalitede (Üretim sonrası)","Talaşlıda","Kalitede (Talaşlı sonrası)","Montajda","Kalitede (Montaj sonrası)","Boyada","Kalitede (Boya sonrası)","Yarı Mamülde","KM'de"}))))))</f>
        <v/>
      </c>
      <c r="AA882" s="24" t="str">
        <f t="shared" ca="1" si="223"/>
        <v/>
      </c>
      <c r="AB882" s="22"/>
      <c r="AD882" t="str">
        <f>IF(OR($B882="",NOT(ISNUMBER(G882))),"",IF(COUNTIF(H882:$T882,G882)&gt;0,0,IF(COUNTIF($G882:$T882,"&gt;"&amp;G882)=0,"",SMALL($G882:$T882,COUNTIF($G882:$T882,"&lt;="&amp;G882)+1)-G882)))</f>
        <v/>
      </c>
      <c r="AE882" t="str">
        <f>IF(OR($B882="",NOT(ISNUMBER(H882))),"",IF(COUNTIF(I882:$T882,H882)&gt;0,0,IF(COUNTIF($G882:$T882,"&gt;"&amp;H882)=0,"",SMALL($G882:$T882,COUNTIF($G882:$T882,"&lt;="&amp;H882)+1)-H882)))</f>
        <v/>
      </c>
      <c r="AF882" t="str">
        <f>IF(OR($B882="",NOT(ISNUMBER(I882))),"",IF(COUNTIF(J882:$T882,I882)&gt;0,0,IF(COUNTIF($G882:$T882,"&gt;"&amp;I882)=0,"",SMALL($G882:$T882,COUNTIF($G882:$T882,"&lt;="&amp;I882)+1)-I882)))</f>
        <v/>
      </c>
      <c r="AG882" t="str">
        <f>IF(OR($B882="",NOT(ISNUMBER(J882))),"",IF(COUNTIF(K882:$T882,J882)&gt;0,0,IF(COUNTIF($G882:$T882,"&gt;"&amp;J882)=0,"",SMALL($G882:$T882,COUNTIF($G882:$T882,"&lt;="&amp;J882)+1)-J882)))</f>
        <v/>
      </c>
      <c r="AH882" t="str">
        <f>IF(OR($B882="",NOT(ISNUMBER(K882))),"",IF(COUNTIF(L882:$T882,K882)&gt;0,0,IF(COUNTIF($G882:$T882,"&gt;"&amp;K882)=0,"",SMALL($G882:$T882,COUNTIF($G882:$T882,"&lt;="&amp;K882)+1)-K882)))</f>
        <v/>
      </c>
      <c r="AI882" t="str">
        <f>IF(OR($B882="",NOT(ISNUMBER(L882))),"",IF(COUNTIF(M882:$T882,L882)&gt;0,0,IF(COUNTIF($G882:$T882,"&gt;"&amp;L882)=0,"",SMALL($G882:$T882,COUNTIF($G882:$T882,"&lt;="&amp;L882)+1)-L882)))</f>
        <v/>
      </c>
      <c r="AJ882" t="str">
        <f>IF(OR($B882="",NOT(ISNUMBER(M882))),"",IF(COUNTIF(N882:$T882,M882)&gt;0,0,IF(COUNTIF($G882:$T882,"&gt;"&amp;M882)=0,"",SMALL($G882:$T882,COUNTIF($G882:$T882,"&lt;="&amp;M882)+1)-M882)))</f>
        <v/>
      </c>
      <c r="AK882" t="str">
        <f>IF(OR($B882="",NOT(ISNUMBER(N882))),"",IF(COUNTIF(O882:$T882,N882)&gt;0,0,IF(COUNTIF($G882:$T882,"&gt;"&amp;N882)=0,"",SMALL($G882:$T882,COUNTIF($G882:$T882,"&lt;="&amp;N882)+1)-N882)))</f>
        <v/>
      </c>
      <c r="AL882" t="str">
        <f>IF(OR($B882="",NOT(ISNUMBER(O882))),"",IF(COUNTIF(P882:$T882,O882)&gt;0,0,IF(COUNTIF($G882:$T882,"&gt;"&amp;O882)=0,"",SMALL($G882:$T882,COUNTIF($G882:$T882,"&lt;="&amp;O882)+1)-O882)))</f>
        <v/>
      </c>
      <c r="AM882" t="str">
        <f>IF(OR($B882="",NOT(ISNUMBER(P882))),"",IF(COUNTIF(Q882:$T882,P882)&gt;0,0,IF(COUNTIF($G882:$T882,"&gt;"&amp;P882)=0,"",SMALL($G882:$T882,COUNTIF($G882:$T882,"&lt;="&amp;P882)+1)-P882)))</f>
        <v/>
      </c>
      <c r="AN882" t="str">
        <f>IF(OR($B882="",NOT(ISNUMBER(Q882))),"",IF(COUNTIF(R882:$T882,Q882)&gt;0,0,IF(COUNTIF($G882:$T882,"&gt;"&amp;Q882)=0,"",SMALL($G882:$T882,COUNTIF($G882:$T882,"&lt;="&amp;Q882)+1)-Q882)))</f>
        <v/>
      </c>
      <c r="AO882" t="str">
        <f>IF(OR($B882="",NOT(ISNUMBER(R882))),"",IF(COUNTIF(S882:$T882,R882)&gt;0,0,IF(COUNTIF($G882:$T882,"&gt;"&amp;R882)=0,"",SMALL($G882:$T882,COUNTIF($G882:$T882,"&lt;="&amp;R882)+1)-R882)))</f>
        <v/>
      </c>
      <c r="AP882">
        <f t="shared" ca="1" si="224"/>
        <v>0</v>
      </c>
      <c r="AQ882" s="25" t="str">
        <f t="shared" si="225"/>
        <v/>
      </c>
      <c r="AR882" s="25" t="str">
        <f t="shared" si="226"/>
        <v/>
      </c>
      <c r="AS882" s="25" t="str">
        <f t="shared" si="227"/>
        <v/>
      </c>
      <c r="AT882" s="25" t="str">
        <f t="shared" si="228"/>
        <v/>
      </c>
      <c r="AU882" s="25" t="str">
        <f t="shared" si="229"/>
        <v/>
      </c>
      <c r="AV882" s="25" t="str">
        <f t="shared" si="230"/>
        <v/>
      </c>
      <c r="AW882" s="25" t="str">
        <f t="shared" si="231"/>
        <v/>
      </c>
      <c r="AX882" s="25" t="str">
        <f t="shared" si="232"/>
        <v/>
      </c>
      <c r="AY882" s="25" t="str">
        <f t="shared" si="233"/>
        <v/>
      </c>
      <c r="AZ882" s="25" t="str">
        <f t="shared" si="234"/>
        <v/>
      </c>
      <c r="BA882" s="25" t="str">
        <f t="shared" si="235"/>
        <v/>
      </c>
      <c r="BB882" s="25" t="str">
        <f t="shared" si="236"/>
        <v/>
      </c>
      <c r="BC882" s="25" t="str">
        <f t="shared" si="237"/>
        <v/>
      </c>
    </row>
    <row r="883" spans="1:55" x14ac:dyDescent="0.25">
      <c r="A883" s="19" t="str">
        <f t="shared" si="222"/>
        <v/>
      </c>
      <c r="B883" s="19"/>
      <c r="C883" s="20"/>
      <c r="D883" s="19" t="str">
        <f t="shared" si="221"/>
        <v/>
      </c>
      <c r="E883" s="19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19"/>
      <c r="U883" s="19"/>
      <c r="V883" s="20"/>
      <c r="W883" s="22"/>
      <c r="X883" s="21"/>
      <c r="Y883" s="21"/>
      <c r="Z883" s="23" t="str">
        <f>IF(B883="","",IF(S883&lt;&gt;"","Sevk Edildi",IF(AND(X883&lt;&gt;"",Y883=""),"Reworkte",IF(T883&lt;&gt;"","Kapandı"&amp;IF(COUNT(G883:R883)=0,""," – "&amp;LOOKUP(2,1/(G883:R883=MAX(G883:R883)),{"Tasarım","Ply Cutter","Üretim","Kalite (Üretim sonrası)","Talaşlı","Kalite (Talaşlı sonrası)","Montaj","Kalite (Montaj sonrası)","Boya","Kalite (Boya sonrası)","Yarı Mamül","KM"})),IF(COUNT(G883:R883)=0,"Başlamadı",LOOKUP(2,1/(G883:R883=MAX(G883:R883)),{"Tasarımda","Ply Cutter'da","Üretimde","Kalitede (Üretim sonrası)","Talaşlıda","Kalitede (Talaşlı sonrası)","Montajda","Kalitede (Montaj sonrası)","Boyada","Kalitede (Boya sonrası)","Yarı Mamülde","KM'de"}))))))</f>
        <v/>
      </c>
      <c r="AA883" s="24" t="str">
        <f t="shared" ca="1" si="223"/>
        <v/>
      </c>
      <c r="AB883" s="22"/>
      <c r="AD883" t="str">
        <f>IF(OR($B883="",NOT(ISNUMBER(G883))),"",IF(COUNTIF(H883:$T883,G883)&gt;0,0,IF(COUNTIF($G883:$T883,"&gt;"&amp;G883)=0,"",SMALL($G883:$T883,COUNTIF($G883:$T883,"&lt;="&amp;G883)+1)-G883)))</f>
        <v/>
      </c>
      <c r="AE883" t="str">
        <f>IF(OR($B883="",NOT(ISNUMBER(H883))),"",IF(COUNTIF(I883:$T883,H883)&gt;0,0,IF(COUNTIF($G883:$T883,"&gt;"&amp;H883)=0,"",SMALL($G883:$T883,COUNTIF($G883:$T883,"&lt;="&amp;H883)+1)-H883)))</f>
        <v/>
      </c>
      <c r="AF883" t="str">
        <f>IF(OR($B883="",NOT(ISNUMBER(I883))),"",IF(COUNTIF(J883:$T883,I883)&gt;0,0,IF(COUNTIF($G883:$T883,"&gt;"&amp;I883)=0,"",SMALL($G883:$T883,COUNTIF($G883:$T883,"&lt;="&amp;I883)+1)-I883)))</f>
        <v/>
      </c>
      <c r="AG883" t="str">
        <f>IF(OR($B883="",NOT(ISNUMBER(J883))),"",IF(COUNTIF(K883:$T883,J883)&gt;0,0,IF(COUNTIF($G883:$T883,"&gt;"&amp;J883)=0,"",SMALL($G883:$T883,COUNTIF($G883:$T883,"&lt;="&amp;J883)+1)-J883)))</f>
        <v/>
      </c>
      <c r="AH883" t="str">
        <f>IF(OR($B883="",NOT(ISNUMBER(K883))),"",IF(COUNTIF(L883:$T883,K883)&gt;0,0,IF(COUNTIF($G883:$T883,"&gt;"&amp;K883)=0,"",SMALL($G883:$T883,COUNTIF($G883:$T883,"&lt;="&amp;K883)+1)-K883)))</f>
        <v/>
      </c>
      <c r="AI883" t="str">
        <f>IF(OR($B883="",NOT(ISNUMBER(L883))),"",IF(COUNTIF(M883:$T883,L883)&gt;0,0,IF(COUNTIF($G883:$T883,"&gt;"&amp;L883)=0,"",SMALL($G883:$T883,COUNTIF($G883:$T883,"&lt;="&amp;L883)+1)-L883)))</f>
        <v/>
      </c>
      <c r="AJ883" t="str">
        <f>IF(OR($B883="",NOT(ISNUMBER(M883))),"",IF(COUNTIF(N883:$T883,M883)&gt;0,0,IF(COUNTIF($G883:$T883,"&gt;"&amp;M883)=0,"",SMALL($G883:$T883,COUNTIF($G883:$T883,"&lt;="&amp;M883)+1)-M883)))</f>
        <v/>
      </c>
      <c r="AK883" t="str">
        <f>IF(OR($B883="",NOT(ISNUMBER(N883))),"",IF(COUNTIF(O883:$T883,N883)&gt;0,0,IF(COUNTIF($G883:$T883,"&gt;"&amp;N883)=0,"",SMALL($G883:$T883,COUNTIF($G883:$T883,"&lt;="&amp;N883)+1)-N883)))</f>
        <v/>
      </c>
      <c r="AL883" t="str">
        <f>IF(OR($B883="",NOT(ISNUMBER(O883))),"",IF(COUNTIF(P883:$T883,O883)&gt;0,0,IF(COUNTIF($G883:$T883,"&gt;"&amp;O883)=0,"",SMALL($G883:$T883,COUNTIF($G883:$T883,"&lt;="&amp;O883)+1)-O883)))</f>
        <v/>
      </c>
      <c r="AM883" t="str">
        <f>IF(OR($B883="",NOT(ISNUMBER(P883))),"",IF(COUNTIF(Q883:$T883,P883)&gt;0,0,IF(COUNTIF($G883:$T883,"&gt;"&amp;P883)=0,"",SMALL($G883:$T883,COUNTIF($G883:$T883,"&lt;="&amp;P883)+1)-P883)))</f>
        <v/>
      </c>
      <c r="AN883" t="str">
        <f>IF(OR($B883="",NOT(ISNUMBER(Q883))),"",IF(COUNTIF(R883:$T883,Q883)&gt;0,0,IF(COUNTIF($G883:$T883,"&gt;"&amp;Q883)=0,"",SMALL($G883:$T883,COUNTIF($G883:$T883,"&lt;="&amp;Q883)+1)-Q883)))</f>
        <v/>
      </c>
      <c r="AO883" t="str">
        <f>IF(OR($B883="",NOT(ISNUMBER(R883))),"",IF(COUNTIF(S883:$T883,R883)&gt;0,0,IF(COUNTIF($G883:$T883,"&gt;"&amp;R883)=0,"",SMALL($G883:$T883,COUNTIF($G883:$T883,"&lt;="&amp;R883)+1)-R883)))</f>
        <v/>
      </c>
      <c r="AP883">
        <f t="shared" ca="1" si="224"/>
        <v>0</v>
      </c>
      <c r="AQ883" s="25" t="str">
        <f t="shared" si="225"/>
        <v/>
      </c>
      <c r="AR883" s="25" t="str">
        <f t="shared" si="226"/>
        <v/>
      </c>
      <c r="AS883" s="25" t="str">
        <f t="shared" si="227"/>
        <v/>
      </c>
      <c r="AT883" s="25" t="str">
        <f t="shared" si="228"/>
        <v/>
      </c>
      <c r="AU883" s="25" t="str">
        <f t="shared" si="229"/>
        <v/>
      </c>
      <c r="AV883" s="25" t="str">
        <f t="shared" si="230"/>
        <v/>
      </c>
      <c r="AW883" s="25" t="str">
        <f t="shared" si="231"/>
        <v/>
      </c>
      <c r="AX883" s="25" t="str">
        <f t="shared" si="232"/>
        <v/>
      </c>
      <c r="AY883" s="25" t="str">
        <f t="shared" si="233"/>
        <v/>
      </c>
      <c r="AZ883" s="25" t="str">
        <f t="shared" si="234"/>
        <v/>
      </c>
      <c r="BA883" s="25" t="str">
        <f t="shared" si="235"/>
        <v/>
      </c>
      <c r="BB883" s="25" t="str">
        <f t="shared" si="236"/>
        <v/>
      </c>
      <c r="BC883" s="25" t="str">
        <f t="shared" si="237"/>
        <v/>
      </c>
    </row>
    <row r="884" spans="1:55" x14ac:dyDescent="0.25">
      <c r="A884" s="19" t="str">
        <f t="shared" si="222"/>
        <v/>
      </c>
      <c r="B884" s="19"/>
      <c r="C884" s="20"/>
      <c r="D884" s="19" t="str">
        <f t="shared" si="221"/>
        <v/>
      </c>
      <c r="E884" s="19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19"/>
      <c r="U884" s="19"/>
      <c r="V884" s="20"/>
      <c r="W884" s="22"/>
      <c r="X884" s="21"/>
      <c r="Y884" s="21"/>
      <c r="Z884" s="23" t="str">
        <f>IF(B884="","",IF(S884&lt;&gt;"","Sevk Edildi",IF(AND(X884&lt;&gt;"",Y884=""),"Reworkte",IF(T884&lt;&gt;"","Kapandı"&amp;IF(COUNT(G884:R884)=0,""," – "&amp;LOOKUP(2,1/(G884:R884=MAX(G884:R884)),{"Tasarım","Ply Cutter","Üretim","Kalite (Üretim sonrası)","Talaşlı","Kalite (Talaşlı sonrası)","Montaj","Kalite (Montaj sonrası)","Boya","Kalite (Boya sonrası)","Yarı Mamül","KM"})),IF(COUNT(G884:R884)=0,"Başlamadı",LOOKUP(2,1/(G884:R884=MAX(G884:R884)),{"Tasarımda","Ply Cutter'da","Üretimde","Kalitede (Üretim sonrası)","Talaşlıda","Kalitede (Talaşlı sonrası)","Montajda","Kalitede (Montaj sonrası)","Boyada","Kalitede (Boya sonrası)","Yarı Mamülde","KM'de"}))))))</f>
        <v/>
      </c>
      <c r="AA884" s="24" t="str">
        <f t="shared" ca="1" si="223"/>
        <v/>
      </c>
      <c r="AB884" s="22"/>
      <c r="AD884" t="str">
        <f>IF(OR($B884="",NOT(ISNUMBER(G884))),"",IF(COUNTIF(H884:$T884,G884)&gt;0,0,IF(COUNTIF($G884:$T884,"&gt;"&amp;G884)=0,"",SMALL($G884:$T884,COUNTIF($G884:$T884,"&lt;="&amp;G884)+1)-G884)))</f>
        <v/>
      </c>
      <c r="AE884" t="str">
        <f>IF(OR($B884="",NOT(ISNUMBER(H884))),"",IF(COUNTIF(I884:$T884,H884)&gt;0,0,IF(COUNTIF($G884:$T884,"&gt;"&amp;H884)=0,"",SMALL($G884:$T884,COUNTIF($G884:$T884,"&lt;="&amp;H884)+1)-H884)))</f>
        <v/>
      </c>
      <c r="AF884" t="str">
        <f>IF(OR($B884="",NOT(ISNUMBER(I884))),"",IF(COUNTIF(J884:$T884,I884)&gt;0,0,IF(COUNTIF($G884:$T884,"&gt;"&amp;I884)=0,"",SMALL($G884:$T884,COUNTIF($G884:$T884,"&lt;="&amp;I884)+1)-I884)))</f>
        <v/>
      </c>
      <c r="AG884" t="str">
        <f>IF(OR($B884="",NOT(ISNUMBER(J884))),"",IF(COUNTIF(K884:$T884,J884)&gt;0,0,IF(COUNTIF($G884:$T884,"&gt;"&amp;J884)=0,"",SMALL($G884:$T884,COUNTIF($G884:$T884,"&lt;="&amp;J884)+1)-J884)))</f>
        <v/>
      </c>
      <c r="AH884" t="str">
        <f>IF(OR($B884="",NOT(ISNUMBER(K884))),"",IF(COUNTIF(L884:$T884,K884)&gt;0,0,IF(COUNTIF($G884:$T884,"&gt;"&amp;K884)=0,"",SMALL($G884:$T884,COUNTIF($G884:$T884,"&lt;="&amp;K884)+1)-K884)))</f>
        <v/>
      </c>
      <c r="AI884" t="str">
        <f>IF(OR($B884="",NOT(ISNUMBER(L884))),"",IF(COUNTIF(M884:$T884,L884)&gt;0,0,IF(COUNTIF($G884:$T884,"&gt;"&amp;L884)=0,"",SMALL($G884:$T884,COUNTIF($G884:$T884,"&lt;="&amp;L884)+1)-L884)))</f>
        <v/>
      </c>
      <c r="AJ884" t="str">
        <f>IF(OR($B884="",NOT(ISNUMBER(M884))),"",IF(COUNTIF(N884:$T884,M884)&gt;0,0,IF(COUNTIF($G884:$T884,"&gt;"&amp;M884)=0,"",SMALL($G884:$T884,COUNTIF($G884:$T884,"&lt;="&amp;M884)+1)-M884)))</f>
        <v/>
      </c>
      <c r="AK884" t="str">
        <f>IF(OR($B884="",NOT(ISNUMBER(N884))),"",IF(COUNTIF(O884:$T884,N884)&gt;0,0,IF(COUNTIF($G884:$T884,"&gt;"&amp;N884)=0,"",SMALL($G884:$T884,COUNTIF($G884:$T884,"&lt;="&amp;N884)+1)-N884)))</f>
        <v/>
      </c>
      <c r="AL884" t="str">
        <f>IF(OR($B884="",NOT(ISNUMBER(O884))),"",IF(COUNTIF(P884:$T884,O884)&gt;0,0,IF(COUNTIF($G884:$T884,"&gt;"&amp;O884)=0,"",SMALL($G884:$T884,COUNTIF($G884:$T884,"&lt;="&amp;O884)+1)-O884)))</f>
        <v/>
      </c>
      <c r="AM884" t="str">
        <f>IF(OR($B884="",NOT(ISNUMBER(P884))),"",IF(COUNTIF(Q884:$T884,P884)&gt;0,0,IF(COUNTIF($G884:$T884,"&gt;"&amp;P884)=0,"",SMALL($G884:$T884,COUNTIF($G884:$T884,"&lt;="&amp;P884)+1)-P884)))</f>
        <v/>
      </c>
      <c r="AN884" t="str">
        <f>IF(OR($B884="",NOT(ISNUMBER(Q884))),"",IF(COUNTIF(R884:$T884,Q884)&gt;0,0,IF(COUNTIF($G884:$T884,"&gt;"&amp;Q884)=0,"",SMALL($G884:$T884,COUNTIF($G884:$T884,"&lt;="&amp;Q884)+1)-Q884)))</f>
        <v/>
      </c>
      <c r="AO884" t="str">
        <f>IF(OR($B884="",NOT(ISNUMBER(R884))),"",IF(COUNTIF(S884:$T884,R884)&gt;0,0,IF(COUNTIF($G884:$T884,"&gt;"&amp;R884)=0,"",SMALL($G884:$T884,COUNTIF($G884:$T884,"&lt;="&amp;R884)+1)-R884)))</f>
        <v/>
      </c>
      <c r="AP884">
        <f t="shared" ca="1" si="224"/>
        <v>0</v>
      </c>
      <c r="AQ884" s="25" t="str">
        <f t="shared" si="225"/>
        <v/>
      </c>
      <c r="AR884" s="25" t="str">
        <f t="shared" si="226"/>
        <v/>
      </c>
      <c r="AS884" s="25" t="str">
        <f t="shared" si="227"/>
        <v/>
      </c>
      <c r="AT884" s="25" t="str">
        <f t="shared" si="228"/>
        <v/>
      </c>
      <c r="AU884" s="25" t="str">
        <f t="shared" si="229"/>
        <v/>
      </c>
      <c r="AV884" s="25" t="str">
        <f t="shared" si="230"/>
        <v/>
      </c>
      <c r="AW884" s="25" t="str">
        <f t="shared" si="231"/>
        <v/>
      </c>
      <c r="AX884" s="25" t="str">
        <f t="shared" si="232"/>
        <v/>
      </c>
      <c r="AY884" s="25" t="str">
        <f t="shared" si="233"/>
        <v/>
      </c>
      <c r="AZ884" s="25" t="str">
        <f t="shared" si="234"/>
        <v/>
      </c>
      <c r="BA884" s="25" t="str">
        <f t="shared" si="235"/>
        <v/>
      </c>
      <c r="BB884" s="25" t="str">
        <f t="shared" si="236"/>
        <v/>
      </c>
      <c r="BC884" s="25" t="str">
        <f t="shared" si="237"/>
        <v/>
      </c>
    </row>
    <row r="885" spans="1:55" x14ac:dyDescent="0.25">
      <c r="A885" s="19" t="str">
        <f t="shared" si="222"/>
        <v/>
      </c>
      <c r="B885" s="19"/>
      <c r="C885" s="20"/>
      <c r="D885" s="19" t="str">
        <f t="shared" si="221"/>
        <v/>
      </c>
      <c r="E885" s="19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19"/>
      <c r="U885" s="19"/>
      <c r="V885" s="20"/>
      <c r="W885" s="22"/>
      <c r="X885" s="21"/>
      <c r="Y885" s="21"/>
      <c r="Z885" s="23" t="str">
        <f>IF(B885="","",IF(S885&lt;&gt;"","Sevk Edildi",IF(AND(X885&lt;&gt;"",Y885=""),"Reworkte",IF(T885&lt;&gt;"","Kapandı"&amp;IF(COUNT(G885:R885)=0,""," – "&amp;LOOKUP(2,1/(G885:R885=MAX(G885:R885)),{"Tasarım","Ply Cutter","Üretim","Kalite (Üretim sonrası)","Talaşlı","Kalite (Talaşlı sonrası)","Montaj","Kalite (Montaj sonrası)","Boya","Kalite (Boya sonrası)","Yarı Mamül","KM"})),IF(COUNT(G885:R885)=0,"Başlamadı",LOOKUP(2,1/(G885:R885=MAX(G885:R885)),{"Tasarımda","Ply Cutter'da","Üretimde","Kalitede (Üretim sonrası)","Talaşlıda","Kalitede (Talaşlı sonrası)","Montajda","Kalitede (Montaj sonrası)","Boyada","Kalitede (Boya sonrası)","Yarı Mamülde","KM'de"}))))))</f>
        <v/>
      </c>
      <c r="AA885" s="24" t="str">
        <f t="shared" ca="1" si="223"/>
        <v/>
      </c>
      <c r="AB885" s="22"/>
      <c r="AD885" t="str">
        <f>IF(OR($B885="",NOT(ISNUMBER(G885))),"",IF(COUNTIF(H885:$T885,G885)&gt;0,0,IF(COUNTIF($G885:$T885,"&gt;"&amp;G885)=0,"",SMALL($G885:$T885,COUNTIF($G885:$T885,"&lt;="&amp;G885)+1)-G885)))</f>
        <v/>
      </c>
      <c r="AE885" t="str">
        <f>IF(OR($B885="",NOT(ISNUMBER(H885))),"",IF(COUNTIF(I885:$T885,H885)&gt;0,0,IF(COUNTIF($G885:$T885,"&gt;"&amp;H885)=0,"",SMALL($G885:$T885,COUNTIF($G885:$T885,"&lt;="&amp;H885)+1)-H885)))</f>
        <v/>
      </c>
      <c r="AF885" t="str">
        <f>IF(OR($B885="",NOT(ISNUMBER(I885))),"",IF(COUNTIF(J885:$T885,I885)&gt;0,0,IF(COUNTIF($G885:$T885,"&gt;"&amp;I885)=0,"",SMALL($G885:$T885,COUNTIF($G885:$T885,"&lt;="&amp;I885)+1)-I885)))</f>
        <v/>
      </c>
      <c r="AG885" t="str">
        <f>IF(OR($B885="",NOT(ISNUMBER(J885))),"",IF(COUNTIF(K885:$T885,J885)&gt;0,0,IF(COUNTIF($G885:$T885,"&gt;"&amp;J885)=0,"",SMALL($G885:$T885,COUNTIF($G885:$T885,"&lt;="&amp;J885)+1)-J885)))</f>
        <v/>
      </c>
      <c r="AH885" t="str">
        <f>IF(OR($B885="",NOT(ISNUMBER(K885))),"",IF(COUNTIF(L885:$T885,K885)&gt;0,0,IF(COUNTIF($G885:$T885,"&gt;"&amp;K885)=0,"",SMALL($G885:$T885,COUNTIF($G885:$T885,"&lt;="&amp;K885)+1)-K885)))</f>
        <v/>
      </c>
      <c r="AI885" t="str">
        <f>IF(OR($B885="",NOT(ISNUMBER(L885))),"",IF(COUNTIF(M885:$T885,L885)&gt;0,0,IF(COUNTIF($G885:$T885,"&gt;"&amp;L885)=0,"",SMALL($G885:$T885,COUNTIF($G885:$T885,"&lt;="&amp;L885)+1)-L885)))</f>
        <v/>
      </c>
      <c r="AJ885" t="str">
        <f>IF(OR($B885="",NOT(ISNUMBER(M885))),"",IF(COUNTIF(N885:$T885,M885)&gt;0,0,IF(COUNTIF($G885:$T885,"&gt;"&amp;M885)=0,"",SMALL($G885:$T885,COUNTIF($G885:$T885,"&lt;="&amp;M885)+1)-M885)))</f>
        <v/>
      </c>
      <c r="AK885" t="str">
        <f>IF(OR($B885="",NOT(ISNUMBER(N885))),"",IF(COUNTIF(O885:$T885,N885)&gt;0,0,IF(COUNTIF($G885:$T885,"&gt;"&amp;N885)=0,"",SMALL($G885:$T885,COUNTIF($G885:$T885,"&lt;="&amp;N885)+1)-N885)))</f>
        <v/>
      </c>
      <c r="AL885" t="str">
        <f>IF(OR($B885="",NOT(ISNUMBER(O885))),"",IF(COUNTIF(P885:$T885,O885)&gt;0,0,IF(COUNTIF($G885:$T885,"&gt;"&amp;O885)=0,"",SMALL($G885:$T885,COUNTIF($G885:$T885,"&lt;="&amp;O885)+1)-O885)))</f>
        <v/>
      </c>
      <c r="AM885" t="str">
        <f>IF(OR($B885="",NOT(ISNUMBER(P885))),"",IF(COUNTIF(Q885:$T885,P885)&gt;0,0,IF(COUNTIF($G885:$T885,"&gt;"&amp;P885)=0,"",SMALL($G885:$T885,COUNTIF($G885:$T885,"&lt;="&amp;P885)+1)-P885)))</f>
        <v/>
      </c>
      <c r="AN885" t="str">
        <f>IF(OR($B885="",NOT(ISNUMBER(Q885))),"",IF(COUNTIF(R885:$T885,Q885)&gt;0,0,IF(COUNTIF($G885:$T885,"&gt;"&amp;Q885)=0,"",SMALL($G885:$T885,COUNTIF($G885:$T885,"&lt;="&amp;Q885)+1)-Q885)))</f>
        <v/>
      </c>
      <c r="AO885" t="str">
        <f>IF(OR($B885="",NOT(ISNUMBER(R885))),"",IF(COUNTIF(S885:$T885,R885)&gt;0,0,IF(COUNTIF($G885:$T885,"&gt;"&amp;R885)=0,"",SMALL($G885:$T885,COUNTIF($G885:$T885,"&lt;="&amp;R885)+1)-R885)))</f>
        <v/>
      </c>
      <c r="AP885">
        <f t="shared" ca="1" si="224"/>
        <v>0</v>
      </c>
      <c r="AQ885" s="25" t="str">
        <f t="shared" si="225"/>
        <v/>
      </c>
      <c r="AR885" s="25" t="str">
        <f t="shared" si="226"/>
        <v/>
      </c>
      <c r="AS885" s="25" t="str">
        <f t="shared" si="227"/>
        <v/>
      </c>
      <c r="AT885" s="25" t="str">
        <f t="shared" si="228"/>
        <v/>
      </c>
      <c r="AU885" s="25" t="str">
        <f t="shared" si="229"/>
        <v/>
      </c>
      <c r="AV885" s="25" t="str">
        <f t="shared" si="230"/>
        <v/>
      </c>
      <c r="AW885" s="25" t="str">
        <f t="shared" si="231"/>
        <v/>
      </c>
      <c r="AX885" s="25" t="str">
        <f t="shared" si="232"/>
        <v/>
      </c>
      <c r="AY885" s="25" t="str">
        <f t="shared" si="233"/>
        <v/>
      </c>
      <c r="AZ885" s="25" t="str">
        <f t="shared" si="234"/>
        <v/>
      </c>
      <c r="BA885" s="25" t="str">
        <f t="shared" si="235"/>
        <v/>
      </c>
      <c r="BB885" s="25" t="str">
        <f t="shared" si="236"/>
        <v/>
      </c>
      <c r="BC885" s="25" t="str">
        <f t="shared" si="237"/>
        <v/>
      </c>
    </row>
    <row r="886" spans="1:55" x14ac:dyDescent="0.25">
      <c r="A886" s="19" t="str">
        <f t="shared" si="222"/>
        <v/>
      </c>
      <c r="B886" s="19"/>
      <c r="C886" s="20"/>
      <c r="D886" s="19" t="str">
        <f t="shared" si="221"/>
        <v/>
      </c>
      <c r="E886" s="19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19"/>
      <c r="U886" s="19"/>
      <c r="V886" s="20"/>
      <c r="W886" s="22"/>
      <c r="X886" s="21"/>
      <c r="Y886" s="21"/>
      <c r="Z886" s="23" t="str">
        <f>IF(B886="","",IF(S886&lt;&gt;"","Sevk Edildi",IF(AND(X886&lt;&gt;"",Y886=""),"Reworkte",IF(T886&lt;&gt;"","Kapandı"&amp;IF(COUNT(G886:R886)=0,""," – "&amp;LOOKUP(2,1/(G886:R886=MAX(G886:R886)),{"Tasarım","Ply Cutter","Üretim","Kalite (Üretim sonrası)","Talaşlı","Kalite (Talaşlı sonrası)","Montaj","Kalite (Montaj sonrası)","Boya","Kalite (Boya sonrası)","Yarı Mamül","KM"})),IF(COUNT(G886:R886)=0,"Başlamadı",LOOKUP(2,1/(G886:R886=MAX(G886:R886)),{"Tasarımda","Ply Cutter'da","Üretimde","Kalitede (Üretim sonrası)","Talaşlıda","Kalitede (Talaşlı sonrası)","Montajda","Kalitede (Montaj sonrası)","Boyada","Kalitede (Boya sonrası)","Yarı Mamülde","KM'de"}))))))</f>
        <v/>
      </c>
      <c r="AA886" s="24" t="str">
        <f t="shared" ca="1" si="223"/>
        <v/>
      </c>
      <c r="AB886" s="22"/>
      <c r="AD886" t="str">
        <f>IF(OR($B886="",NOT(ISNUMBER(G886))),"",IF(COUNTIF(H886:$T886,G886)&gt;0,0,IF(COUNTIF($G886:$T886,"&gt;"&amp;G886)=0,"",SMALL($G886:$T886,COUNTIF($G886:$T886,"&lt;="&amp;G886)+1)-G886)))</f>
        <v/>
      </c>
      <c r="AE886" t="str">
        <f>IF(OR($B886="",NOT(ISNUMBER(H886))),"",IF(COUNTIF(I886:$T886,H886)&gt;0,0,IF(COUNTIF($G886:$T886,"&gt;"&amp;H886)=0,"",SMALL($G886:$T886,COUNTIF($G886:$T886,"&lt;="&amp;H886)+1)-H886)))</f>
        <v/>
      </c>
      <c r="AF886" t="str">
        <f>IF(OR($B886="",NOT(ISNUMBER(I886))),"",IF(COUNTIF(J886:$T886,I886)&gt;0,0,IF(COUNTIF($G886:$T886,"&gt;"&amp;I886)=0,"",SMALL($G886:$T886,COUNTIF($G886:$T886,"&lt;="&amp;I886)+1)-I886)))</f>
        <v/>
      </c>
      <c r="AG886" t="str">
        <f>IF(OR($B886="",NOT(ISNUMBER(J886))),"",IF(COUNTIF(K886:$T886,J886)&gt;0,0,IF(COUNTIF($G886:$T886,"&gt;"&amp;J886)=0,"",SMALL($G886:$T886,COUNTIF($G886:$T886,"&lt;="&amp;J886)+1)-J886)))</f>
        <v/>
      </c>
      <c r="AH886" t="str">
        <f>IF(OR($B886="",NOT(ISNUMBER(K886))),"",IF(COUNTIF(L886:$T886,K886)&gt;0,0,IF(COUNTIF($G886:$T886,"&gt;"&amp;K886)=0,"",SMALL($G886:$T886,COUNTIF($G886:$T886,"&lt;="&amp;K886)+1)-K886)))</f>
        <v/>
      </c>
      <c r="AI886" t="str">
        <f>IF(OR($B886="",NOT(ISNUMBER(L886))),"",IF(COUNTIF(M886:$T886,L886)&gt;0,0,IF(COUNTIF($G886:$T886,"&gt;"&amp;L886)=0,"",SMALL($G886:$T886,COUNTIF($G886:$T886,"&lt;="&amp;L886)+1)-L886)))</f>
        <v/>
      </c>
      <c r="AJ886" t="str">
        <f>IF(OR($B886="",NOT(ISNUMBER(M886))),"",IF(COUNTIF(N886:$T886,M886)&gt;0,0,IF(COUNTIF($G886:$T886,"&gt;"&amp;M886)=0,"",SMALL($G886:$T886,COUNTIF($G886:$T886,"&lt;="&amp;M886)+1)-M886)))</f>
        <v/>
      </c>
      <c r="AK886" t="str">
        <f>IF(OR($B886="",NOT(ISNUMBER(N886))),"",IF(COUNTIF(O886:$T886,N886)&gt;0,0,IF(COUNTIF($G886:$T886,"&gt;"&amp;N886)=0,"",SMALL($G886:$T886,COUNTIF($G886:$T886,"&lt;="&amp;N886)+1)-N886)))</f>
        <v/>
      </c>
      <c r="AL886" t="str">
        <f>IF(OR($B886="",NOT(ISNUMBER(O886))),"",IF(COUNTIF(P886:$T886,O886)&gt;0,0,IF(COUNTIF($G886:$T886,"&gt;"&amp;O886)=0,"",SMALL($G886:$T886,COUNTIF($G886:$T886,"&lt;="&amp;O886)+1)-O886)))</f>
        <v/>
      </c>
      <c r="AM886" t="str">
        <f>IF(OR($B886="",NOT(ISNUMBER(P886))),"",IF(COUNTIF(Q886:$T886,P886)&gt;0,0,IF(COUNTIF($G886:$T886,"&gt;"&amp;P886)=0,"",SMALL($G886:$T886,COUNTIF($G886:$T886,"&lt;="&amp;P886)+1)-P886)))</f>
        <v/>
      </c>
      <c r="AN886" t="str">
        <f>IF(OR($B886="",NOT(ISNUMBER(Q886))),"",IF(COUNTIF(R886:$T886,Q886)&gt;0,0,IF(COUNTIF($G886:$T886,"&gt;"&amp;Q886)=0,"",SMALL($G886:$T886,COUNTIF($G886:$T886,"&lt;="&amp;Q886)+1)-Q886)))</f>
        <v/>
      </c>
      <c r="AO886" t="str">
        <f>IF(OR($B886="",NOT(ISNUMBER(R886))),"",IF(COUNTIF(S886:$T886,R886)&gt;0,0,IF(COUNTIF($G886:$T886,"&gt;"&amp;R886)=0,"",SMALL($G886:$T886,COUNTIF($G886:$T886,"&lt;="&amp;R886)+1)-R886)))</f>
        <v/>
      </c>
      <c r="AP886">
        <f t="shared" ca="1" si="224"/>
        <v>0</v>
      </c>
      <c r="AQ886" s="25" t="str">
        <f t="shared" si="225"/>
        <v/>
      </c>
      <c r="AR886" s="25" t="str">
        <f t="shared" si="226"/>
        <v/>
      </c>
      <c r="AS886" s="25" t="str">
        <f t="shared" si="227"/>
        <v/>
      </c>
      <c r="AT886" s="25" t="str">
        <f t="shared" si="228"/>
        <v/>
      </c>
      <c r="AU886" s="25" t="str">
        <f t="shared" si="229"/>
        <v/>
      </c>
      <c r="AV886" s="25" t="str">
        <f t="shared" si="230"/>
        <v/>
      </c>
      <c r="AW886" s="25" t="str">
        <f t="shared" si="231"/>
        <v/>
      </c>
      <c r="AX886" s="25" t="str">
        <f t="shared" si="232"/>
        <v/>
      </c>
      <c r="AY886" s="25" t="str">
        <f t="shared" si="233"/>
        <v/>
      </c>
      <c r="AZ886" s="25" t="str">
        <f t="shared" si="234"/>
        <v/>
      </c>
      <c r="BA886" s="25" t="str">
        <f t="shared" si="235"/>
        <v/>
      </c>
      <c r="BB886" s="25" t="str">
        <f t="shared" si="236"/>
        <v/>
      </c>
      <c r="BC886" s="25" t="str">
        <f t="shared" si="237"/>
        <v/>
      </c>
    </row>
    <row r="887" spans="1:55" x14ac:dyDescent="0.25">
      <c r="A887" s="19" t="str">
        <f t="shared" si="222"/>
        <v/>
      </c>
      <c r="B887" s="19"/>
      <c r="C887" s="20"/>
      <c r="D887" s="19" t="str">
        <f t="shared" si="221"/>
        <v/>
      </c>
      <c r="E887" s="19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19"/>
      <c r="U887" s="19"/>
      <c r="V887" s="20"/>
      <c r="W887" s="22"/>
      <c r="X887" s="21"/>
      <c r="Y887" s="21"/>
      <c r="Z887" s="23" t="str">
        <f>IF(B887="","",IF(S887&lt;&gt;"","Sevk Edildi",IF(AND(X887&lt;&gt;"",Y887=""),"Reworkte",IF(T887&lt;&gt;"","Kapandı"&amp;IF(COUNT(G887:R887)=0,""," – "&amp;LOOKUP(2,1/(G887:R887=MAX(G887:R887)),{"Tasarım","Ply Cutter","Üretim","Kalite (Üretim sonrası)","Talaşlı","Kalite (Talaşlı sonrası)","Montaj","Kalite (Montaj sonrası)","Boya","Kalite (Boya sonrası)","Yarı Mamül","KM"})),IF(COUNT(G887:R887)=0,"Başlamadı",LOOKUP(2,1/(G887:R887=MAX(G887:R887)),{"Tasarımda","Ply Cutter'da","Üretimde","Kalitede (Üretim sonrası)","Talaşlıda","Kalitede (Talaşlı sonrası)","Montajda","Kalitede (Montaj sonrası)","Boyada","Kalitede (Boya sonrası)","Yarı Mamülde","KM'de"}))))))</f>
        <v/>
      </c>
      <c r="AA887" s="24" t="str">
        <f t="shared" ca="1" si="223"/>
        <v/>
      </c>
      <c r="AB887" s="22"/>
      <c r="AD887" t="str">
        <f>IF(OR($B887="",NOT(ISNUMBER(G887))),"",IF(COUNTIF(H887:$T887,G887)&gt;0,0,IF(COUNTIF($G887:$T887,"&gt;"&amp;G887)=0,"",SMALL($G887:$T887,COUNTIF($G887:$T887,"&lt;="&amp;G887)+1)-G887)))</f>
        <v/>
      </c>
      <c r="AE887" t="str">
        <f>IF(OR($B887="",NOT(ISNUMBER(H887))),"",IF(COUNTIF(I887:$T887,H887)&gt;0,0,IF(COUNTIF($G887:$T887,"&gt;"&amp;H887)=0,"",SMALL($G887:$T887,COUNTIF($G887:$T887,"&lt;="&amp;H887)+1)-H887)))</f>
        <v/>
      </c>
      <c r="AF887" t="str">
        <f>IF(OR($B887="",NOT(ISNUMBER(I887))),"",IF(COUNTIF(J887:$T887,I887)&gt;0,0,IF(COUNTIF($G887:$T887,"&gt;"&amp;I887)=0,"",SMALL($G887:$T887,COUNTIF($G887:$T887,"&lt;="&amp;I887)+1)-I887)))</f>
        <v/>
      </c>
      <c r="AG887" t="str">
        <f>IF(OR($B887="",NOT(ISNUMBER(J887))),"",IF(COUNTIF(K887:$T887,J887)&gt;0,0,IF(COUNTIF($G887:$T887,"&gt;"&amp;J887)=0,"",SMALL($G887:$T887,COUNTIF($G887:$T887,"&lt;="&amp;J887)+1)-J887)))</f>
        <v/>
      </c>
      <c r="AH887" t="str">
        <f>IF(OR($B887="",NOT(ISNUMBER(K887))),"",IF(COUNTIF(L887:$T887,K887)&gt;0,0,IF(COUNTIF($G887:$T887,"&gt;"&amp;K887)=0,"",SMALL($G887:$T887,COUNTIF($G887:$T887,"&lt;="&amp;K887)+1)-K887)))</f>
        <v/>
      </c>
      <c r="AI887" t="str">
        <f>IF(OR($B887="",NOT(ISNUMBER(L887))),"",IF(COUNTIF(M887:$T887,L887)&gt;0,0,IF(COUNTIF($G887:$T887,"&gt;"&amp;L887)=0,"",SMALL($G887:$T887,COUNTIF($G887:$T887,"&lt;="&amp;L887)+1)-L887)))</f>
        <v/>
      </c>
      <c r="AJ887" t="str">
        <f>IF(OR($B887="",NOT(ISNUMBER(M887))),"",IF(COUNTIF(N887:$T887,M887)&gt;0,0,IF(COUNTIF($G887:$T887,"&gt;"&amp;M887)=0,"",SMALL($G887:$T887,COUNTIF($G887:$T887,"&lt;="&amp;M887)+1)-M887)))</f>
        <v/>
      </c>
      <c r="AK887" t="str">
        <f>IF(OR($B887="",NOT(ISNUMBER(N887))),"",IF(COUNTIF(O887:$T887,N887)&gt;0,0,IF(COUNTIF($G887:$T887,"&gt;"&amp;N887)=0,"",SMALL($G887:$T887,COUNTIF($G887:$T887,"&lt;="&amp;N887)+1)-N887)))</f>
        <v/>
      </c>
      <c r="AL887" t="str">
        <f>IF(OR($B887="",NOT(ISNUMBER(O887))),"",IF(COUNTIF(P887:$T887,O887)&gt;0,0,IF(COUNTIF($G887:$T887,"&gt;"&amp;O887)=0,"",SMALL($G887:$T887,COUNTIF($G887:$T887,"&lt;="&amp;O887)+1)-O887)))</f>
        <v/>
      </c>
      <c r="AM887" t="str">
        <f>IF(OR($B887="",NOT(ISNUMBER(P887))),"",IF(COUNTIF(Q887:$T887,P887)&gt;0,0,IF(COUNTIF($G887:$T887,"&gt;"&amp;P887)=0,"",SMALL($G887:$T887,COUNTIF($G887:$T887,"&lt;="&amp;P887)+1)-P887)))</f>
        <v/>
      </c>
      <c r="AN887" t="str">
        <f>IF(OR($B887="",NOT(ISNUMBER(Q887))),"",IF(COUNTIF(R887:$T887,Q887)&gt;0,0,IF(COUNTIF($G887:$T887,"&gt;"&amp;Q887)=0,"",SMALL($G887:$T887,COUNTIF($G887:$T887,"&lt;="&amp;Q887)+1)-Q887)))</f>
        <v/>
      </c>
      <c r="AO887" t="str">
        <f>IF(OR($B887="",NOT(ISNUMBER(R887))),"",IF(COUNTIF(S887:$T887,R887)&gt;0,0,IF(COUNTIF($G887:$T887,"&gt;"&amp;R887)=0,"",SMALL($G887:$T887,COUNTIF($G887:$T887,"&lt;="&amp;R887)+1)-R887)))</f>
        <v/>
      </c>
      <c r="AP887">
        <f t="shared" ca="1" si="224"/>
        <v>0</v>
      </c>
      <c r="AQ887" s="25" t="str">
        <f t="shared" si="225"/>
        <v/>
      </c>
      <c r="AR887" s="25" t="str">
        <f t="shared" si="226"/>
        <v/>
      </c>
      <c r="AS887" s="25" t="str">
        <f t="shared" si="227"/>
        <v/>
      </c>
      <c r="AT887" s="25" t="str">
        <f t="shared" si="228"/>
        <v/>
      </c>
      <c r="AU887" s="25" t="str">
        <f t="shared" si="229"/>
        <v/>
      </c>
      <c r="AV887" s="25" t="str">
        <f t="shared" si="230"/>
        <v/>
      </c>
      <c r="AW887" s="25" t="str">
        <f t="shared" si="231"/>
        <v/>
      </c>
      <c r="AX887" s="25" t="str">
        <f t="shared" si="232"/>
        <v/>
      </c>
      <c r="AY887" s="25" t="str">
        <f t="shared" si="233"/>
        <v/>
      </c>
      <c r="AZ887" s="25" t="str">
        <f t="shared" si="234"/>
        <v/>
      </c>
      <c r="BA887" s="25" t="str">
        <f t="shared" si="235"/>
        <v/>
      </c>
      <c r="BB887" s="25" t="str">
        <f t="shared" si="236"/>
        <v/>
      </c>
      <c r="BC887" s="25" t="str">
        <f t="shared" si="237"/>
        <v/>
      </c>
    </row>
    <row r="888" spans="1:55" x14ac:dyDescent="0.25">
      <c r="A888" s="19" t="str">
        <f t="shared" si="222"/>
        <v/>
      </c>
      <c r="B888" s="19"/>
      <c r="C888" s="20"/>
      <c r="D888" s="19" t="str">
        <f t="shared" si="221"/>
        <v/>
      </c>
      <c r="E888" s="19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19"/>
      <c r="U888" s="19"/>
      <c r="V888" s="20"/>
      <c r="W888" s="22"/>
      <c r="X888" s="21"/>
      <c r="Y888" s="21"/>
      <c r="Z888" s="23" t="str">
        <f>IF(B888="","",IF(S888&lt;&gt;"","Sevk Edildi",IF(AND(X888&lt;&gt;"",Y888=""),"Reworkte",IF(T888&lt;&gt;"","Kapandı"&amp;IF(COUNT(G888:R888)=0,""," – "&amp;LOOKUP(2,1/(G888:R888=MAX(G888:R888)),{"Tasarım","Ply Cutter","Üretim","Kalite (Üretim sonrası)","Talaşlı","Kalite (Talaşlı sonrası)","Montaj","Kalite (Montaj sonrası)","Boya","Kalite (Boya sonrası)","Yarı Mamül","KM"})),IF(COUNT(G888:R888)=0,"Başlamadı",LOOKUP(2,1/(G888:R888=MAX(G888:R888)),{"Tasarımda","Ply Cutter'da","Üretimde","Kalitede (Üretim sonrası)","Talaşlıda","Kalitede (Talaşlı sonrası)","Montajda","Kalitede (Montaj sonrası)","Boyada","Kalitede (Boya sonrası)","Yarı Mamülde","KM'de"}))))))</f>
        <v/>
      </c>
      <c r="AA888" s="24" t="str">
        <f t="shared" ca="1" si="223"/>
        <v/>
      </c>
      <c r="AB888" s="22"/>
      <c r="AD888" t="str">
        <f>IF(OR($B888="",NOT(ISNUMBER(G888))),"",IF(COUNTIF(H888:$T888,G888)&gt;0,0,IF(COUNTIF($G888:$T888,"&gt;"&amp;G888)=0,"",SMALL($G888:$T888,COUNTIF($G888:$T888,"&lt;="&amp;G888)+1)-G888)))</f>
        <v/>
      </c>
      <c r="AE888" t="str">
        <f>IF(OR($B888="",NOT(ISNUMBER(H888))),"",IF(COUNTIF(I888:$T888,H888)&gt;0,0,IF(COUNTIF($G888:$T888,"&gt;"&amp;H888)=0,"",SMALL($G888:$T888,COUNTIF($G888:$T888,"&lt;="&amp;H888)+1)-H888)))</f>
        <v/>
      </c>
      <c r="AF888" t="str">
        <f>IF(OR($B888="",NOT(ISNUMBER(I888))),"",IF(COUNTIF(J888:$T888,I888)&gt;0,0,IF(COUNTIF($G888:$T888,"&gt;"&amp;I888)=0,"",SMALL($G888:$T888,COUNTIF($G888:$T888,"&lt;="&amp;I888)+1)-I888)))</f>
        <v/>
      </c>
      <c r="AG888" t="str">
        <f>IF(OR($B888="",NOT(ISNUMBER(J888))),"",IF(COUNTIF(K888:$T888,J888)&gt;0,0,IF(COUNTIF($G888:$T888,"&gt;"&amp;J888)=0,"",SMALL($G888:$T888,COUNTIF($G888:$T888,"&lt;="&amp;J888)+1)-J888)))</f>
        <v/>
      </c>
      <c r="AH888" t="str">
        <f>IF(OR($B888="",NOT(ISNUMBER(K888))),"",IF(COUNTIF(L888:$T888,K888)&gt;0,0,IF(COUNTIF($G888:$T888,"&gt;"&amp;K888)=0,"",SMALL($G888:$T888,COUNTIF($G888:$T888,"&lt;="&amp;K888)+1)-K888)))</f>
        <v/>
      </c>
      <c r="AI888" t="str">
        <f>IF(OR($B888="",NOT(ISNUMBER(L888))),"",IF(COUNTIF(M888:$T888,L888)&gt;0,0,IF(COUNTIF($G888:$T888,"&gt;"&amp;L888)=0,"",SMALL($G888:$T888,COUNTIF($G888:$T888,"&lt;="&amp;L888)+1)-L888)))</f>
        <v/>
      </c>
      <c r="AJ888" t="str">
        <f>IF(OR($B888="",NOT(ISNUMBER(M888))),"",IF(COUNTIF(N888:$T888,M888)&gt;0,0,IF(COUNTIF($G888:$T888,"&gt;"&amp;M888)=0,"",SMALL($G888:$T888,COUNTIF($G888:$T888,"&lt;="&amp;M888)+1)-M888)))</f>
        <v/>
      </c>
      <c r="AK888" t="str">
        <f>IF(OR($B888="",NOT(ISNUMBER(N888))),"",IF(COUNTIF(O888:$T888,N888)&gt;0,0,IF(COUNTIF($G888:$T888,"&gt;"&amp;N888)=0,"",SMALL($G888:$T888,COUNTIF($G888:$T888,"&lt;="&amp;N888)+1)-N888)))</f>
        <v/>
      </c>
      <c r="AL888" t="str">
        <f>IF(OR($B888="",NOT(ISNUMBER(O888))),"",IF(COUNTIF(P888:$T888,O888)&gt;0,0,IF(COUNTIF($G888:$T888,"&gt;"&amp;O888)=0,"",SMALL($G888:$T888,COUNTIF($G888:$T888,"&lt;="&amp;O888)+1)-O888)))</f>
        <v/>
      </c>
      <c r="AM888" t="str">
        <f>IF(OR($B888="",NOT(ISNUMBER(P888))),"",IF(COUNTIF(Q888:$T888,P888)&gt;0,0,IF(COUNTIF($G888:$T888,"&gt;"&amp;P888)=0,"",SMALL($G888:$T888,COUNTIF($G888:$T888,"&lt;="&amp;P888)+1)-P888)))</f>
        <v/>
      </c>
      <c r="AN888" t="str">
        <f>IF(OR($B888="",NOT(ISNUMBER(Q888))),"",IF(COUNTIF(R888:$T888,Q888)&gt;0,0,IF(COUNTIF($G888:$T888,"&gt;"&amp;Q888)=0,"",SMALL($G888:$T888,COUNTIF($G888:$T888,"&lt;="&amp;Q888)+1)-Q888)))</f>
        <v/>
      </c>
      <c r="AO888" t="str">
        <f>IF(OR($B888="",NOT(ISNUMBER(R888))),"",IF(COUNTIF(S888:$T888,R888)&gt;0,0,IF(COUNTIF($G888:$T888,"&gt;"&amp;R888)=0,"",SMALL($G888:$T888,COUNTIF($G888:$T888,"&lt;="&amp;R888)+1)-R888)))</f>
        <v/>
      </c>
      <c r="AP888">
        <f t="shared" ca="1" si="224"/>
        <v>0</v>
      </c>
      <c r="AQ888" s="25" t="str">
        <f t="shared" si="225"/>
        <v/>
      </c>
      <c r="AR888" s="25" t="str">
        <f t="shared" si="226"/>
        <v/>
      </c>
      <c r="AS888" s="25" t="str">
        <f t="shared" si="227"/>
        <v/>
      </c>
      <c r="AT888" s="25" t="str">
        <f t="shared" si="228"/>
        <v/>
      </c>
      <c r="AU888" s="25" t="str">
        <f t="shared" si="229"/>
        <v/>
      </c>
      <c r="AV888" s="25" t="str">
        <f t="shared" si="230"/>
        <v/>
      </c>
      <c r="AW888" s="25" t="str">
        <f t="shared" si="231"/>
        <v/>
      </c>
      <c r="AX888" s="25" t="str">
        <f t="shared" si="232"/>
        <v/>
      </c>
      <c r="AY888" s="25" t="str">
        <f t="shared" si="233"/>
        <v/>
      </c>
      <c r="AZ888" s="25" t="str">
        <f t="shared" si="234"/>
        <v/>
      </c>
      <c r="BA888" s="25" t="str">
        <f t="shared" si="235"/>
        <v/>
      </c>
      <c r="BB888" s="25" t="str">
        <f t="shared" si="236"/>
        <v/>
      </c>
      <c r="BC888" s="25" t="str">
        <f t="shared" si="237"/>
        <v/>
      </c>
    </row>
    <row r="889" spans="1:55" x14ac:dyDescent="0.25">
      <c r="A889" s="19" t="str">
        <f t="shared" si="222"/>
        <v/>
      </c>
      <c r="B889" s="19"/>
      <c r="C889" s="20"/>
      <c r="D889" s="19" t="str">
        <f t="shared" si="221"/>
        <v/>
      </c>
      <c r="E889" s="19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19"/>
      <c r="U889" s="19"/>
      <c r="V889" s="20"/>
      <c r="W889" s="22"/>
      <c r="X889" s="21"/>
      <c r="Y889" s="21"/>
      <c r="Z889" s="23" t="str">
        <f>IF(B889="","",IF(S889&lt;&gt;"","Sevk Edildi",IF(AND(X889&lt;&gt;"",Y889=""),"Reworkte",IF(T889&lt;&gt;"","Kapandı"&amp;IF(COUNT(G889:R889)=0,""," – "&amp;LOOKUP(2,1/(G889:R889=MAX(G889:R889)),{"Tasarım","Ply Cutter","Üretim","Kalite (Üretim sonrası)","Talaşlı","Kalite (Talaşlı sonrası)","Montaj","Kalite (Montaj sonrası)","Boya","Kalite (Boya sonrası)","Yarı Mamül","KM"})),IF(COUNT(G889:R889)=0,"Başlamadı",LOOKUP(2,1/(G889:R889=MAX(G889:R889)),{"Tasarımda","Ply Cutter'da","Üretimde","Kalitede (Üretim sonrası)","Talaşlıda","Kalitede (Talaşlı sonrası)","Montajda","Kalitede (Montaj sonrası)","Boyada","Kalitede (Boya sonrası)","Yarı Mamülde","KM'de"}))))))</f>
        <v/>
      </c>
      <c r="AA889" s="24" t="str">
        <f t="shared" ca="1" si="223"/>
        <v/>
      </c>
      <c r="AB889" s="22"/>
      <c r="AD889" t="str">
        <f>IF(OR($B889="",NOT(ISNUMBER(G889))),"",IF(COUNTIF(H889:$T889,G889)&gt;0,0,IF(COUNTIF($G889:$T889,"&gt;"&amp;G889)=0,"",SMALL($G889:$T889,COUNTIF($G889:$T889,"&lt;="&amp;G889)+1)-G889)))</f>
        <v/>
      </c>
      <c r="AE889" t="str">
        <f>IF(OR($B889="",NOT(ISNUMBER(H889))),"",IF(COUNTIF(I889:$T889,H889)&gt;0,0,IF(COUNTIF($G889:$T889,"&gt;"&amp;H889)=0,"",SMALL($G889:$T889,COUNTIF($G889:$T889,"&lt;="&amp;H889)+1)-H889)))</f>
        <v/>
      </c>
      <c r="AF889" t="str">
        <f>IF(OR($B889="",NOT(ISNUMBER(I889))),"",IF(COUNTIF(J889:$T889,I889)&gt;0,0,IF(COUNTIF($G889:$T889,"&gt;"&amp;I889)=0,"",SMALL($G889:$T889,COUNTIF($G889:$T889,"&lt;="&amp;I889)+1)-I889)))</f>
        <v/>
      </c>
      <c r="AG889" t="str">
        <f>IF(OR($B889="",NOT(ISNUMBER(J889))),"",IF(COUNTIF(K889:$T889,J889)&gt;0,0,IF(COUNTIF($G889:$T889,"&gt;"&amp;J889)=0,"",SMALL($G889:$T889,COUNTIF($G889:$T889,"&lt;="&amp;J889)+1)-J889)))</f>
        <v/>
      </c>
      <c r="AH889" t="str">
        <f>IF(OR($B889="",NOT(ISNUMBER(K889))),"",IF(COUNTIF(L889:$T889,K889)&gt;0,0,IF(COUNTIF($G889:$T889,"&gt;"&amp;K889)=0,"",SMALL($G889:$T889,COUNTIF($G889:$T889,"&lt;="&amp;K889)+1)-K889)))</f>
        <v/>
      </c>
      <c r="AI889" t="str">
        <f>IF(OR($B889="",NOT(ISNUMBER(L889))),"",IF(COUNTIF(M889:$T889,L889)&gt;0,0,IF(COUNTIF($G889:$T889,"&gt;"&amp;L889)=0,"",SMALL($G889:$T889,COUNTIF($G889:$T889,"&lt;="&amp;L889)+1)-L889)))</f>
        <v/>
      </c>
      <c r="AJ889" t="str">
        <f>IF(OR($B889="",NOT(ISNUMBER(M889))),"",IF(COUNTIF(N889:$T889,M889)&gt;0,0,IF(COUNTIF($G889:$T889,"&gt;"&amp;M889)=0,"",SMALL($G889:$T889,COUNTIF($G889:$T889,"&lt;="&amp;M889)+1)-M889)))</f>
        <v/>
      </c>
      <c r="AK889" t="str">
        <f>IF(OR($B889="",NOT(ISNUMBER(N889))),"",IF(COUNTIF(O889:$T889,N889)&gt;0,0,IF(COUNTIF($G889:$T889,"&gt;"&amp;N889)=0,"",SMALL($G889:$T889,COUNTIF($G889:$T889,"&lt;="&amp;N889)+1)-N889)))</f>
        <v/>
      </c>
      <c r="AL889" t="str">
        <f>IF(OR($B889="",NOT(ISNUMBER(O889))),"",IF(COUNTIF(P889:$T889,O889)&gt;0,0,IF(COUNTIF($G889:$T889,"&gt;"&amp;O889)=0,"",SMALL($G889:$T889,COUNTIF($G889:$T889,"&lt;="&amp;O889)+1)-O889)))</f>
        <v/>
      </c>
      <c r="AM889" t="str">
        <f>IF(OR($B889="",NOT(ISNUMBER(P889))),"",IF(COUNTIF(Q889:$T889,P889)&gt;0,0,IF(COUNTIF($G889:$T889,"&gt;"&amp;P889)=0,"",SMALL($G889:$T889,COUNTIF($G889:$T889,"&lt;="&amp;P889)+1)-P889)))</f>
        <v/>
      </c>
      <c r="AN889" t="str">
        <f>IF(OR($B889="",NOT(ISNUMBER(Q889))),"",IF(COUNTIF(R889:$T889,Q889)&gt;0,0,IF(COUNTIF($G889:$T889,"&gt;"&amp;Q889)=0,"",SMALL($G889:$T889,COUNTIF($G889:$T889,"&lt;="&amp;Q889)+1)-Q889)))</f>
        <v/>
      </c>
      <c r="AO889" t="str">
        <f>IF(OR($B889="",NOT(ISNUMBER(R889))),"",IF(COUNTIF(S889:$T889,R889)&gt;0,0,IF(COUNTIF($G889:$T889,"&gt;"&amp;R889)=0,"",SMALL($G889:$T889,COUNTIF($G889:$T889,"&lt;="&amp;R889)+1)-R889)))</f>
        <v/>
      </c>
      <c r="AP889">
        <f t="shared" ca="1" si="224"/>
        <v>0</v>
      </c>
      <c r="AQ889" s="25" t="str">
        <f t="shared" si="225"/>
        <v/>
      </c>
      <c r="AR889" s="25" t="str">
        <f t="shared" si="226"/>
        <v/>
      </c>
      <c r="AS889" s="25" t="str">
        <f t="shared" si="227"/>
        <v/>
      </c>
      <c r="AT889" s="25" t="str">
        <f t="shared" si="228"/>
        <v/>
      </c>
      <c r="AU889" s="25" t="str">
        <f t="shared" si="229"/>
        <v/>
      </c>
      <c r="AV889" s="25" t="str">
        <f t="shared" si="230"/>
        <v/>
      </c>
      <c r="AW889" s="25" t="str">
        <f t="shared" si="231"/>
        <v/>
      </c>
      <c r="AX889" s="25" t="str">
        <f t="shared" si="232"/>
        <v/>
      </c>
      <c r="AY889" s="25" t="str">
        <f t="shared" si="233"/>
        <v/>
      </c>
      <c r="AZ889" s="25" t="str">
        <f t="shared" si="234"/>
        <v/>
      </c>
      <c r="BA889" s="25" t="str">
        <f t="shared" si="235"/>
        <v/>
      </c>
      <c r="BB889" s="25" t="str">
        <f t="shared" si="236"/>
        <v/>
      </c>
      <c r="BC889" s="25" t="str">
        <f t="shared" si="237"/>
        <v/>
      </c>
    </row>
    <row r="890" spans="1:55" x14ac:dyDescent="0.25">
      <c r="A890" s="19" t="str">
        <f t="shared" si="222"/>
        <v/>
      </c>
      <c r="B890" s="19"/>
      <c r="C890" s="20"/>
      <c r="D890" s="19" t="str">
        <f t="shared" si="221"/>
        <v/>
      </c>
      <c r="E890" s="19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19"/>
      <c r="U890" s="19"/>
      <c r="V890" s="20"/>
      <c r="W890" s="22"/>
      <c r="X890" s="21"/>
      <c r="Y890" s="21"/>
      <c r="Z890" s="23" t="str">
        <f>IF(B890="","",IF(S890&lt;&gt;"","Sevk Edildi",IF(AND(X890&lt;&gt;"",Y890=""),"Reworkte",IF(T890&lt;&gt;"","Kapandı"&amp;IF(COUNT(G890:R890)=0,""," – "&amp;LOOKUP(2,1/(G890:R890=MAX(G890:R890)),{"Tasarım","Ply Cutter","Üretim","Kalite (Üretim sonrası)","Talaşlı","Kalite (Talaşlı sonrası)","Montaj","Kalite (Montaj sonrası)","Boya","Kalite (Boya sonrası)","Yarı Mamül","KM"})),IF(COUNT(G890:R890)=0,"Başlamadı",LOOKUP(2,1/(G890:R890=MAX(G890:R890)),{"Tasarımda","Ply Cutter'da","Üretimde","Kalitede (Üretim sonrası)","Talaşlıda","Kalitede (Talaşlı sonrası)","Montajda","Kalitede (Montaj sonrası)","Boyada","Kalitede (Boya sonrası)","Yarı Mamülde","KM'de"}))))))</f>
        <v/>
      </c>
      <c r="AA890" s="24" t="str">
        <f t="shared" ca="1" si="223"/>
        <v/>
      </c>
      <c r="AB890" s="22"/>
      <c r="AD890" t="str">
        <f>IF(OR($B890="",NOT(ISNUMBER(G890))),"",IF(COUNTIF(H890:$T890,G890)&gt;0,0,IF(COUNTIF($G890:$T890,"&gt;"&amp;G890)=0,"",SMALL($G890:$T890,COUNTIF($G890:$T890,"&lt;="&amp;G890)+1)-G890)))</f>
        <v/>
      </c>
      <c r="AE890" t="str">
        <f>IF(OR($B890="",NOT(ISNUMBER(H890))),"",IF(COUNTIF(I890:$T890,H890)&gt;0,0,IF(COUNTIF($G890:$T890,"&gt;"&amp;H890)=0,"",SMALL($G890:$T890,COUNTIF($G890:$T890,"&lt;="&amp;H890)+1)-H890)))</f>
        <v/>
      </c>
      <c r="AF890" t="str">
        <f>IF(OR($B890="",NOT(ISNUMBER(I890))),"",IF(COUNTIF(J890:$T890,I890)&gt;0,0,IF(COUNTIF($G890:$T890,"&gt;"&amp;I890)=0,"",SMALL($G890:$T890,COUNTIF($G890:$T890,"&lt;="&amp;I890)+1)-I890)))</f>
        <v/>
      </c>
      <c r="AG890" t="str">
        <f>IF(OR($B890="",NOT(ISNUMBER(J890))),"",IF(COUNTIF(K890:$T890,J890)&gt;0,0,IF(COUNTIF($G890:$T890,"&gt;"&amp;J890)=0,"",SMALL($G890:$T890,COUNTIF($G890:$T890,"&lt;="&amp;J890)+1)-J890)))</f>
        <v/>
      </c>
      <c r="AH890" t="str">
        <f>IF(OR($B890="",NOT(ISNUMBER(K890))),"",IF(COUNTIF(L890:$T890,K890)&gt;0,0,IF(COUNTIF($G890:$T890,"&gt;"&amp;K890)=0,"",SMALL($G890:$T890,COUNTIF($G890:$T890,"&lt;="&amp;K890)+1)-K890)))</f>
        <v/>
      </c>
      <c r="AI890" t="str">
        <f>IF(OR($B890="",NOT(ISNUMBER(L890))),"",IF(COUNTIF(M890:$T890,L890)&gt;0,0,IF(COUNTIF($G890:$T890,"&gt;"&amp;L890)=0,"",SMALL($G890:$T890,COUNTIF($G890:$T890,"&lt;="&amp;L890)+1)-L890)))</f>
        <v/>
      </c>
      <c r="AJ890" t="str">
        <f>IF(OR($B890="",NOT(ISNUMBER(M890))),"",IF(COUNTIF(N890:$T890,M890)&gt;0,0,IF(COUNTIF($G890:$T890,"&gt;"&amp;M890)=0,"",SMALL($G890:$T890,COUNTIF($G890:$T890,"&lt;="&amp;M890)+1)-M890)))</f>
        <v/>
      </c>
      <c r="AK890" t="str">
        <f>IF(OR($B890="",NOT(ISNUMBER(N890))),"",IF(COUNTIF(O890:$T890,N890)&gt;0,0,IF(COUNTIF($G890:$T890,"&gt;"&amp;N890)=0,"",SMALL($G890:$T890,COUNTIF($G890:$T890,"&lt;="&amp;N890)+1)-N890)))</f>
        <v/>
      </c>
      <c r="AL890" t="str">
        <f>IF(OR($B890="",NOT(ISNUMBER(O890))),"",IF(COUNTIF(P890:$T890,O890)&gt;0,0,IF(COUNTIF($G890:$T890,"&gt;"&amp;O890)=0,"",SMALL($G890:$T890,COUNTIF($G890:$T890,"&lt;="&amp;O890)+1)-O890)))</f>
        <v/>
      </c>
      <c r="AM890" t="str">
        <f>IF(OR($B890="",NOT(ISNUMBER(P890))),"",IF(COUNTIF(Q890:$T890,P890)&gt;0,0,IF(COUNTIF($G890:$T890,"&gt;"&amp;P890)=0,"",SMALL($G890:$T890,COUNTIF($G890:$T890,"&lt;="&amp;P890)+1)-P890)))</f>
        <v/>
      </c>
      <c r="AN890" t="str">
        <f>IF(OR($B890="",NOT(ISNUMBER(Q890))),"",IF(COUNTIF(R890:$T890,Q890)&gt;0,0,IF(COUNTIF($G890:$T890,"&gt;"&amp;Q890)=0,"",SMALL($G890:$T890,COUNTIF($G890:$T890,"&lt;="&amp;Q890)+1)-Q890)))</f>
        <v/>
      </c>
      <c r="AO890" t="str">
        <f>IF(OR($B890="",NOT(ISNUMBER(R890))),"",IF(COUNTIF(S890:$T890,R890)&gt;0,0,IF(COUNTIF($G890:$T890,"&gt;"&amp;R890)=0,"",SMALL($G890:$T890,COUNTIF($G890:$T890,"&lt;="&amp;R890)+1)-R890)))</f>
        <v/>
      </c>
      <c r="AP890">
        <f t="shared" ca="1" si="224"/>
        <v>0</v>
      </c>
      <c r="AQ890" s="25" t="str">
        <f t="shared" si="225"/>
        <v/>
      </c>
      <c r="AR890" s="25" t="str">
        <f t="shared" si="226"/>
        <v/>
      </c>
      <c r="AS890" s="25" t="str">
        <f t="shared" si="227"/>
        <v/>
      </c>
      <c r="AT890" s="25" t="str">
        <f t="shared" si="228"/>
        <v/>
      </c>
      <c r="AU890" s="25" t="str">
        <f t="shared" si="229"/>
        <v/>
      </c>
      <c r="AV890" s="25" t="str">
        <f t="shared" si="230"/>
        <v/>
      </c>
      <c r="AW890" s="25" t="str">
        <f t="shared" si="231"/>
        <v/>
      </c>
      <c r="AX890" s="25" t="str">
        <f t="shared" si="232"/>
        <v/>
      </c>
      <c r="AY890" s="25" t="str">
        <f t="shared" si="233"/>
        <v/>
      </c>
      <c r="AZ890" s="25" t="str">
        <f t="shared" si="234"/>
        <v/>
      </c>
      <c r="BA890" s="25" t="str">
        <f t="shared" si="235"/>
        <v/>
      </c>
      <c r="BB890" s="25" t="str">
        <f t="shared" si="236"/>
        <v/>
      </c>
      <c r="BC890" s="25" t="str">
        <f t="shared" si="237"/>
        <v/>
      </c>
    </row>
    <row r="891" spans="1:55" x14ac:dyDescent="0.25">
      <c r="A891" s="19" t="str">
        <f t="shared" si="222"/>
        <v/>
      </c>
      <c r="B891" s="19"/>
      <c r="C891" s="20"/>
      <c r="D891" s="19" t="str">
        <f t="shared" si="221"/>
        <v/>
      </c>
      <c r="E891" s="19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19"/>
      <c r="U891" s="19"/>
      <c r="V891" s="20"/>
      <c r="W891" s="22"/>
      <c r="X891" s="21"/>
      <c r="Y891" s="21"/>
      <c r="Z891" s="23" t="str">
        <f>IF(B891="","",IF(S891&lt;&gt;"","Sevk Edildi",IF(AND(X891&lt;&gt;"",Y891=""),"Reworkte",IF(T891&lt;&gt;"","Kapandı"&amp;IF(COUNT(G891:R891)=0,""," – "&amp;LOOKUP(2,1/(G891:R891=MAX(G891:R891)),{"Tasarım","Ply Cutter","Üretim","Kalite (Üretim sonrası)","Talaşlı","Kalite (Talaşlı sonrası)","Montaj","Kalite (Montaj sonrası)","Boya","Kalite (Boya sonrası)","Yarı Mamül","KM"})),IF(COUNT(G891:R891)=0,"Başlamadı",LOOKUP(2,1/(G891:R891=MAX(G891:R891)),{"Tasarımda","Ply Cutter'da","Üretimde","Kalitede (Üretim sonrası)","Talaşlıda","Kalitede (Talaşlı sonrası)","Montajda","Kalitede (Montaj sonrası)","Boyada","Kalitede (Boya sonrası)","Yarı Mamülde","KM'de"}))))))</f>
        <v/>
      </c>
      <c r="AA891" s="24" t="str">
        <f t="shared" ca="1" si="223"/>
        <v/>
      </c>
      <c r="AB891" s="22"/>
      <c r="AD891" t="str">
        <f>IF(OR($B891="",NOT(ISNUMBER(G891))),"",IF(COUNTIF(H891:$T891,G891)&gt;0,0,IF(COUNTIF($G891:$T891,"&gt;"&amp;G891)=0,"",SMALL($G891:$T891,COUNTIF($G891:$T891,"&lt;="&amp;G891)+1)-G891)))</f>
        <v/>
      </c>
      <c r="AE891" t="str">
        <f>IF(OR($B891="",NOT(ISNUMBER(H891))),"",IF(COUNTIF(I891:$T891,H891)&gt;0,0,IF(COUNTIF($G891:$T891,"&gt;"&amp;H891)=0,"",SMALL($G891:$T891,COUNTIF($G891:$T891,"&lt;="&amp;H891)+1)-H891)))</f>
        <v/>
      </c>
      <c r="AF891" t="str">
        <f>IF(OR($B891="",NOT(ISNUMBER(I891))),"",IF(COUNTIF(J891:$T891,I891)&gt;0,0,IF(COUNTIF($G891:$T891,"&gt;"&amp;I891)=0,"",SMALL($G891:$T891,COUNTIF($G891:$T891,"&lt;="&amp;I891)+1)-I891)))</f>
        <v/>
      </c>
      <c r="AG891" t="str">
        <f>IF(OR($B891="",NOT(ISNUMBER(J891))),"",IF(COUNTIF(K891:$T891,J891)&gt;0,0,IF(COUNTIF($G891:$T891,"&gt;"&amp;J891)=0,"",SMALL($G891:$T891,COUNTIF($G891:$T891,"&lt;="&amp;J891)+1)-J891)))</f>
        <v/>
      </c>
      <c r="AH891" t="str">
        <f>IF(OR($B891="",NOT(ISNUMBER(K891))),"",IF(COUNTIF(L891:$T891,K891)&gt;0,0,IF(COUNTIF($G891:$T891,"&gt;"&amp;K891)=0,"",SMALL($G891:$T891,COUNTIF($G891:$T891,"&lt;="&amp;K891)+1)-K891)))</f>
        <v/>
      </c>
      <c r="AI891" t="str">
        <f>IF(OR($B891="",NOT(ISNUMBER(L891))),"",IF(COUNTIF(M891:$T891,L891)&gt;0,0,IF(COUNTIF($G891:$T891,"&gt;"&amp;L891)=0,"",SMALL($G891:$T891,COUNTIF($G891:$T891,"&lt;="&amp;L891)+1)-L891)))</f>
        <v/>
      </c>
      <c r="AJ891" t="str">
        <f>IF(OR($B891="",NOT(ISNUMBER(M891))),"",IF(COUNTIF(N891:$T891,M891)&gt;0,0,IF(COUNTIF($G891:$T891,"&gt;"&amp;M891)=0,"",SMALL($G891:$T891,COUNTIF($G891:$T891,"&lt;="&amp;M891)+1)-M891)))</f>
        <v/>
      </c>
      <c r="AK891" t="str">
        <f>IF(OR($B891="",NOT(ISNUMBER(N891))),"",IF(COUNTIF(O891:$T891,N891)&gt;0,0,IF(COUNTIF($G891:$T891,"&gt;"&amp;N891)=0,"",SMALL($G891:$T891,COUNTIF($G891:$T891,"&lt;="&amp;N891)+1)-N891)))</f>
        <v/>
      </c>
      <c r="AL891" t="str">
        <f>IF(OR($B891="",NOT(ISNUMBER(O891))),"",IF(COUNTIF(P891:$T891,O891)&gt;0,0,IF(COUNTIF($G891:$T891,"&gt;"&amp;O891)=0,"",SMALL($G891:$T891,COUNTIF($G891:$T891,"&lt;="&amp;O891)+1)-O891)))</f>
        <v/>
      </c>
      <c r="AM891" t="str">
        <f>IF(OR($B891="",NOT(ISNUMBER(P891))),"",IF(COUNTIF(Q891:$T891,P891)&gt;0,0,IF(COUNTIF($G891:$T891,"&gt;"&amp;P891)=0,"",SMALL($G891:$T891,COUNTIF($G891:$T891,"&lt;="&amp;P891)+1)-P891)))</f>
        <v/>
      </c>
      <c r="AN891" t="str">
        <f>IF(OR($B891="",NOT(ISNUMBER(Q891))),"",IF(COUNTIF(R891:$T891,Q891)&gt;0,0,IF(COUNTIF($G891:$T891,"&gt;"&amp;Q891)=0,"",SMALL($G891:$T891,COUNTIF($G891:$T891,"&lt;="&amp;Q891)+1)-Q891)))</f>
        <v/>
      </c>
      <c r="AO891" t="str">
        <f>IF(OR($B891="",NOT(ISNUMBER(R891))),"",IF(COUNTIF(S891:$T891,R891)&gt;0,0,IF(COUNTIF($G891:$T891,"&gt;"&amp;R891)=0,"",SMALL($G891:$T891,COUNTIF($G891:$T891,"&lt;="&amp;R891)+1)-R891)))</f>
        <v/>
      </c>
      <c r="AP891">
        <f t="shared" ca="1" si="224"/>
        <v>0</v>
      </c>
      <c r="AQ891" s="25" t="str">
        <f t="shared" si="225"/>
        <v/>
      </c>
      <c r="AR891" s="25" t="str">
        <f t="shared" si="226"/>
        <v/>
      </c>
      <c r="AS891" s="25" t="str">
        <f t="shared" si="227"/>
        <v/>
      </c>
      <c r="AT891" s="25" t="str">
        <f t="shared" si="228"/>
        <v/>
      </c>
      <c r="AU891" s="25" t="str">
        <f t="shared" si="229"/>
        <v/>
      </c>
      <c r="AV891" s="25" t="str">
        <f t="shared" si="230"/>
        <v/>
      </c>
      <c r="AW891" s="25" t="str">
        <f t="shared" si="231"/>
        <v/>
      </c>
      <c r="AX891" s="25" t="str">
        <f t="shared" si="232"/>
        <v/>
      </c>
      <c r="AY891" s="25" t="str">
        <f t="shared" si="233"/>
        <v/>
      </c>
      <c r="AZ891" s="25" t="str">
        <f t="shared" si="234"/>
        <v/>
      </c>
      <c r="BA891" s="25" t="str">
        <f t="shared" si="235"/>
        <v/>
      </c>
      <c r="BB891" s="25" t="str">
        <f t="shared" si="236"/>
        <v/>
      </c>
      <c r="BC891" s="25" t="str">
        <f t="shared" si="237"/>
        <v/>
      </c>
    </row>
    <row r="892" spans="1:55" x14ac:dyDescent="0.25">
      <c r="A892" s="19" t="str">
        <f t="shared" si="222"/>
        <v/>
      </c>
      <c r="B892" s="19"/>
      <c r="C892" s="20"/>
      <c r="D892" s="19" t="str">
        <f t="shared" si="221"/>
        <v/>
      </c>
      <c r="E892" s="19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19"/>
      <c r="U892" s="19"/>
      <c r="V892" s="20"/>
      <c r="W892" s="22"/>
      <c r="X892" s="21"/>
      <c r="Y892" s="21"/>
      <c r="Z892" s="23" t="str">
        <f>IF(B892="","",IF(S892&lt;&gt;"","Sevk Edildi",IF(AND(X892&lt;&gt;"",Y892=""),"Reworkte",IF(T892&lt;&gt;"","Kapandı"&amp;IF(COUNT(G892:R892)=0,""," – "&amp;LOOKUP(2,1/(G892:R892=MAX(G892:R892)),{"Tasarım","Ply Cutter","Üretim","Kalite (Üretim sonrası)","Talaşlı","Kalite (Talaşlı sonrası)","Montaj","Kalite (Montaj sonrası)","Boya","Kalite (Boya sonrası)","Yarı Mamül","KM"})),IF(COUNT(G892:R892)=0,"Başlamadı",LOOKUP(2,1/(G892:R892=MAX(G892:R892)),{"Tasarımda","Ply Cutter'da","Üretimde","Kalitede (Üretim sonrası)","Talaşlıda","Kalitede (Talaşlı sonrası)","Montajda","Kalitede (Montaj sonrası)","Boyada","Kalitede (Boya sonrası)","Yarı Mamülde","KM'de"}))))))</f>
        <v/>
      </c>
      <c r="AA892" s="24" t="str">
        <f t="shared" ca="1" si="223"/>
        <v/>
      </c>
      <c r="AB892" s="22"/>
      <c r="AD892" t="str">
        <f>IF(OR($B892="",NOT(ISNUMBER(G892))),"",IF(COUNTIF(H892:$T892,G892)&gt;0,0,IF(COUNTIF($G892:$T892,"&gt;"&amp;G892)=0,"",SMALL($G892:$T892,COUNTIF($G892:$T892,"&lt;="&amp;G892)+1)-G892)))</f>
        <v/>
      </c>
      <c r="AE892" t="str">
        <f>IF(OR($B892="",NOT(ISNUMBER(H892))),"",IF(COUNTIF(I892:$T892,H892)&gt;0,0,IF(COUNTIF($G892:$T892,"&gt;"&amp;H892)=0,"",SMALL($G892:$T892,COUNTIF($G892:$T892,"&lt;="&amp;H892)+1)-H892)))</f>
        <v/>
      </c>
      <c r="AF892" t="str">
        <f>IF(OR($B892="",NOT(ISNUMBER(I892))),"",IF(COUNTIF(J892:$T892,I892)&gt;0,0,IF(COUNTIF($G892:$T892,"&gt;"&amp;I892)=0,"",SMALL($G892:$T892,COUNTIF($G892:$T892,"&lt;="&amp;I892)+1)-I892)))</f>
        <v/>
      </c>
      <c r="AG892" t="str">
        <f>IF(OR($B892="",NOT(ISNUMBER(J892))),"",IF(COUNTIF(K892:$T892,J892)&gt;0,0,IF(COUNTIF($G892:$T892,"&gt;"&amp;J892)=0,"",SMALL($G892:$T892,COUNTIF($G892:$T892,"&lt;="&amp;J892)+1)-J892)))</f>
        <v/>
      </c>
      <c r="AH892" t="str">
        <f>IF(OR($B892="",NOT(ISNUMBER(K892))),"",IF(COUNTIF(L892:$T892,K892)&gt;0,0,IF(COUNTIF($G892:$T892,"&gt;"&amp;K892)=0,"",SMALL($G892:$T892,COUNTIF($G892:$T892,"&lt;="&amp;K892)+1)-K892)))</f>
        <v/>
      </c>
      <c r="AI892" t="str">
        <f>IF(OR($B892="",NOT(ISNUMBER(L892))),"",IF(COUNTIF(M892:$T892,L892)&gt;0,0,IF(COUNTIF($G892:$T892,"&gt;"&amp;L892)=0,"",SMALL($G892:$T892,COUNTIF($G892:$T892,"&lt;="&amp;L892)+1)-L892)))</f>
        <v/>
      </c>
      <c r="AJ892" t="str">
        <f>IF(OR($B892="",NOT(ISNUMBER(M892))),"",IF(COUNTIF(N892:$T892,M892)&gt;0,0,IF(COUNTIF($G892:$T892,"&gt;"&amp;M892)=0,"",SMALL($G892:$T892,COUNTIF($G892:$T892,"&lt;="&amp;M892)+1)-M892)))</f>
        <v/>
      </c>
      <c r="AK892" t="str">
        <f>IF(OR($B892="",NOT(ISNUMBER(N892))),"",IF(COUNTIF(O892:$T892,N892)&gt;0,0,IF(COUNTIF($G892:$T892,"&gt;"&amp;N892)=0,"",SMALL($G892:$T892,COUNTIF($G892:$T892,"&lt;="&amp;N892)+1)-N892)))</f>
        <v/>
      </c>
      <c r="AL892" t="str">
        <f>IF(OR($B892="",NOT(ISNUMBER(O892))),"",IF(COUNTIF(P892:$T892,O892)&gt;0,0,IF(COUNTIF($G892:$T892,"&gt;"&amp;O892)=0,"",SMALL($G892:$T892,COUNTIF($G892:$T892,"&lt;="&amp;O892)+1)-O892)))</f>
        <v/>
      </c>
      <c r="AM892" t="str">
        <f>IF(OR($B892="",NOT(ISNUMBER(P892))),"",IF(COUNTIF(Q892:$T892,P892)&gt;0,0,IF(COUNTIF($G892:$T892,"&gt;"&amp;P892)=0,"",SMALL($G892:$T892,COUNTIF($G892:$T892,"&lt;="&amp;P892)+1)-P892)))</f>
        <v/>
      </c>
      <c r="AN892" t="str">
        <f>IF(OR($B892="",NOT(ISNUMBER(Q892))),"",IF(COUNTIF(R892:$T892,Q892)&gt;0,0,IF(COUNTIF($G892:$T892,"&gt;"&amp;Q892)=0,"",SMALL($G892:$T892,COUNTIF($G892:$T892,"&lt;="&amp;Q892)+1)-Q892)))</f>
        <v/>
      </c>
      <c r="AO892" t="str">
        <f>IF(OR($B892="",NOT(ISNUMBER(R892))),"",IF(COUNTIF(S892:$T892,R892)&gt;0,0,IF(COUNTIF($G892:$T892,"&gt;"&amp;R892)=0,"",SMALL($G892:$T892,COUNTIF($G892:$T892,"&lt;="&amp;R892)+1)-R892)))</f>
        <v/>
      </c>
      <c r="AP892">
        <f t="shared" ca="1" si="224"/>
        <v>0</v>
      </c>
      <c r="AQ892" s="25" t="str">
        <f t="shared" si="225"/>
        <v/>
      </c>
      <c r="AR892" s="25" t="str">
        <f t="shared" si="226"/>
        <v/>
      </c>
      <c r="AS892" s="25" t="str">
        <f t="shared" si="227"/>
        <v/>
      </c>
      <c r="AT892" s="25" t="str">
        <f t="shared" si="228"/>
        <v/>
      </c>
      <c r="AU892" s="25" t="str">
        <f t="shared" si="229"/>
        <v/>
      </c>
      <c r="AV892" s="25" t="str">
        <f t="shared" si="230"/>
        <v/>
      </c>
      <c r="AW892" s="25" t="str">
        <f t="shared" si="231"/>
        <v/>
      </c>
      <c r="AX892" s="25" t="str">
        <f t="shared" si="232"/>
        <v/>
      </c>
      <c r="AY892" s="25" t="str">
        <f t="shared" si="233"/>
        <v/>
      </c>
      <c r="AZ892" s="25" t="str">
        <f t="shared" si="234"/>
        <v/>
      </c>
      <c r="BA892" s="25" t="str">
        <f t="shared" si="235"/>
        <v/>
      </c>
      <c r="BB892" s="25" t="str">
        <f t="shared" si="236"/>
        <v/>
      </c>
      <c r="BC892" s="25" t="str">
        <f t="shared" si="237"/>
        <v/>
      </c>
    </row>
    <row r="893" spans="1:55" x14ac:dyDescent="0.25">
      <c r="A893" s="19" t="str">
        <f t="shared" si="222"/>
        <v/>
      </c>
      <c r="B893" s="19"/>
      <c r="C893" s="20"/>
      <c r="D893" s="19" t="str">
        <f t="shared" si="221"/>
        <v/>
      </c>
      <c r="E893" s="19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19"/>
      <c r="U893" s="19"/>
      <c r="V893" s="20"/>
      <c r="W893" s="22"/>
      <c r="X893" s="21"/>
      <c r="Y893" s="21"/>
      <c r="Z893" s="23" t="str">
        <f>IF(B893="","",IF(S893&lt;&gt;"","Sevk Edildi",IF(AND(X893&lt;&gt;"",Y893=""),"Reworkte",IF(T893&lt;&gt;"","Kapandı"&amp;IF(COUNT(G893:R893)=0,""," – "&amp;LOOKUP(2,1/(G893:R893=MAX(G893:R893)),{"Tasarım","Ply Cutter","Üretim","Kalite (Üretim sonrası)","Talaşlı","Kalite (Talaşlı sonrası)","Montaj","Kalite (Montaj sonrası)","Boya","Kalite (Boya sonrası)","Yarı Mamül","KM"})),IF(COUNT(G893:R893)=0,"Başlamadı",LOOKUP(2,1/(G893:R893=MAX(G893:R893)),{"Tasarımda","Ply Cutter'da","Üretimde","Kalitede (Üretim sonrası)","Talaşlıda","Kalitede (Talaşlı sonrası)","Montajda","Kalitede (Montaj sonrası)","Boyada","Kalitede (Boya sonrası)","Yarı Mamülde","KM'de"}))))))</f>
        <v/>
      </c>
      <c r="AA893" s="24" t="str">
        <f t="shared" ca="1" si="223"/>
        <v/>
      </c>
      <c r="AB893" s="22"/>
      <c r="AD893" t="str">
        <f>IF(OR($B893="",NOT(ISNUMBER(G893))),"",IF(COUNTIF(H893:$T893,G893)&gt;0,0,IF(COUNTIF($G893:$T893,"&gt;"&amp;G893)=0,"",SMALL($G893:$T893,COUNTIF($G893:$T893,"&lt;="&amp;G893)+1)-G893)))</f>
        <v/>
      </c>
      <c r="AE893" t="str">
        <f>IF(OR($B893="",NOT(ISNUMBER(H893))),"",IF(COUNTIF(I893:$T893,H893)&gt;0,0,IF(COUNTIF($G893:$T893,"&gt;"&amp;H893)=0,"",SMALL($G893:$T893,COUNTIF($G893:$T893,"&lt;="&amp;H893)+1)-H893)))</f>
        <v/>
      </c>
      <c r="AF893" t="str">
        <f>IF(OR($B893="",NOT(ISNUMBER(I893))),"",IF(COUNTIF(J893:$T893,I893)&gt;0,0,IF(COUNTIF($G893:$T893,"&gt;"&amp;I893)=0,"",SMALL($G893:$T893,COUNTIF($G893:$T893,"&lt;="&amp;I893)+1)-I893)))</f>
        <v/>
      </c>
      <c r="AG893" t="str">
        <f>IF(OR($B893="",NOT(ISNUMBER(J893))),"",IF(COUNTIF(K893:$T893,J893)&gt;0,0,IF(COUNTIF($G893:$T893,"&gt;"&amp;J893)=0,"",SMALL($G893:$T893,COUNTIF($G893:$T893,"&lt;="&amp;J893)+1)-J893)))</f>
        <v/>
      </c>
      <c r="AH893" t="str">
        <f>IF(OR($B893="",NOT(ISNUMBER(K893))),"",IF(COUNTIF(L893:$T893,K893)&gt;0,0,IF(COUNTIF($G893:$T893,"&gt;"&amp;K893)=0,"",SMALL($G893:$T893,COUNTIF($G893:$T893,"&lt;="&amp;K893)+1)-K893)))</f>
        <v/>
      </c>
      <c r="AI893" t="str">
        <f>IF(OR($B893="",NOT(ISNUMBER(L893))),"",IF(COUNTIF(M893:$T893,L893)&gt;0,0,IF(COUNTIF($G893:$T893,"&gt;"&amp;L893)=0,"",SMALL($G893:$T893,COUNTIF($G893:$T893,"&lt;="&amp;L893)+1)-L893)))</f>
        <v/>
      </c>
      <c r="AJ893" t="str">
        <f>IF(OR($B893="",NOT(ISNUMBER(M893))),"",IF(COUNTIF(N893:$T893,M893)&gt;0,0,IF(COUNTIF($G893:$T893,"&gt;"&amp;M893)=0,"",SMALL($G893:$T893,COUNTIF($G893:$T893,"&lt;="&amp;M893)+1)-M893)))</f>
        <v/>
      </c>
      <c r="AK893" t="str">
        <f>IF(OR($B893="",NOT(ISNUMBER(N893))),"",IF(COUNTIF(O893:$T893,N893)&gt;0,0,IF(COUNTIF($G893:$T893,"&gt;"&amp;N893)=0,"",SMALL($G893:$T893,COUNTIF($G893:$T893,"&lt;="&amp;N893)+1)-N893)))</f>
        <v/>
      </c>
      <c r="AL893" t="str">
        <f>IF(OR($B893="",NOT(ISNUMBER(O893))),"",IF(COUNTIF(P893:$T893,O893)&gt;0,0,IF(COUNTIF($G893:$T893,"&gt;"&amp;O893)=0,"",SMALL($G893:$T893,COUNTIF($G893:$T893,"&lt;="&amp;O893)+1)-O893)))</f>
        <v/>
      </c>
      <c r="AM893" t="str">
        <f>IF(OR($B893="",NOT(ISNUMBER(P893))),"",IF(COUNTIF(Q893:$T893,P893)&gt;0,0,IF(COUNTIF($G893:$T893,"&gt;"&amp;P893)=0,"",SMALL($G893:$T893,COUNTIF($G893:$T893,"&lt;="&amp;P893)+1)-P893)))</f>
        <v/>
      </c>
      <c r="AN893" t="str">
        <f>IF(OR($B893="",NOT(ISNUMBER(Q893))),"",IF(COUNTIF(R893:$T893,Q893)&gt;0,0,IF(COUNTIF($G893:$T893,"&gt;"&amp;Q893)=0,"",SMALL($G893:$T893,COUNTIF($G893:$T893,"&lt;="&amp;Q893)+1)-Q893)))</f>
        <v/>
      </c>
      <c r="AO893" t="str">
        <f>IF(OR($B893="",NOT(ISNUMBER(R893))),"",IF(COUNTIF(S893:$T893,R893)&gt;0,0,IF(COUNTIF($G893:$T893,"&gt;"&amp;R893)=0,"",SMALL($G893:$T893,COUNTIF($G893:$T893,"&lt;="&amp;R893)+1)-R893)))</f>
        <v/>
      </c>
      <c r="AP893">
        <f t="shared" ca="1" si="224"/>
        <v>0</v>
      </c>
      <c r="AQ893" s="25" t="str">
        <f t="shared" si="225"/>
        <v/>
      </c>
      <c r="AR893" s="25" t="str">
        <f t="shared" si="226"/>
        <v/>
      </c>
      <c r="AS893" s="25" t="str">
        <f t="shared" si="227"/>
        <v/>
      </c>
      <c r="AT893" s="25" t="str">
        <f t="shared" si="228"/>
        <v/>
      </c>
      <c r="AU893" s="25" t="str">
        <f t="shared" si="229"/>
        <v/>
      </c>
      <c r="AV893" s="25" t="str">
        <f t="shared" si="230"/>
        <v/>
      </c>
      <c r="AW893" s="25" t="str">
        <f t="shared" si="231"/>
        <v/>
      </c>
      <c r="AX893" s="25" t="str">
        <f t="shared" si="232"/>
        <v/>
      </c>
      <c r="AY893" s="25" t="str">
        <f t="shared" si="233"/>
        <v/>
      </c>
      <c r="AZ893" s="25" t="str">
        <f t="shared" si="234"/>
        <v/>
      </c>
      <c r="BA893" s="25" t="str">
        <f t="shared" si="235"/>
        <v/>
      </c>
      <c r="BB893" s="25" t="str">
        <f t="shared" si="236"/>
        <v/>
      </c>
      <c r="BC893" s="25" t="str">
        <f t="shared" si="237"/>
        <v/>
      </c>
    </row>
    <row r="894" spans="1:55" x14ac:dyDescent="0.25">
      <c r="A894" s="19" t="str">
        <f t="shared" si="222"/>
        <v/>
      </c>
      <c r="B894" s="19"/>
      <c r="C894" s="20"/>
      <c r="D894" s="19" t="str">
        <f t="shared" si="221"/>
        <v/>
      </c>
      <c r="E894" s="19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19"/>
      <c r="U894" s="19"/>
      <c r="V894" s="20"/>
      <c r="W894" s="22"/>
      <c r="X894" s="21"/>
      <c r="Y894" s="21"/>
      <c r="Z894" s="23" t="str">
        <f>IF(B894="","",IF(S894&lt;&gt;"","Sevk Edildi",IF(AND(X894&lt;&gt;"",Y894=""),"Reworkte",IF(T894&lt;&gt;"","Kapandı"&amp;IF(COUNT(G894:R894)=0,""," – "&amp;LOOKUP(2,1/(G894:R894=MAX(G894:R894)),{"Tasarım","Ply Cutter","Üretim","Kalite (Üretim sonrası)","Talaşlı","Kalite (Talaşlı sonrası)","Montaj","Kalite (Montaj sonrası)","Boya","Kalite (Boya sonrası)","Yarı Mamül","KM"})),IF(COUNT(G894:R894)=0,"Başlamadı",LOOKUP(2,1/(G894:R894=MAX(G894:R894)),{"Tasarımda","Ply Cutter'da","Üretimde","Kalitede (Üretim sonrası)","Talaşlıda","Kalitede (Talaşlı sonrası)","Montajda","Kalitede (Montaj sonrası)","Boyada","Kalitede (Boya sonrası)","Yarı Mamülde","KM'de"}))))))</f>
        <v/>
      </c>
      <c r="AA894" s="24" t="str">
        <f t="shared" ca="1" si="223"/>
        <v/>
      </c>
      <c r="AB894" s="22"/>
      <c r="AD894" t="str">
        <f>IF(OR($B894="",NOT(ISNUMBER(G894))),"",IF(COUNTIF(H894:$T894,G894)&gt;0,0,IF(COUNTIF($G894:$T894,"&gt;"&amp;G894)=0,"",SMALL($G894:$T894,COUNTIF($G894:$T894,"&lt;="&amp;G894)+1)-G894)))</f>
        <v/>
      </c>
      <c r="AE894" t="str">
        <f>IF(OR($B894="",NOT(ISNUMBER(H894))),"",IF(COUNTIF(I894:$T894,H894)&gt;0,0,IF(COUNTIF($G894:$T894,"&gt;"&amp;H894)=0,"",SMALL($G894:$T894,COUNTIF($G894:$T894,"&lt;="&amp;H894)+1)-H894)))</f>
        <v/>
      </c>
      <c r="AF894" t="str">
        <f>IF(OR($B894="",NOT(ISNUMBER(I894))),"",IF(COUNTIF(J894:$T894,I894)&gt;0,0,IF(COUNTIF($G894:$T894,"&gt;"&amp;I894)=0,"",SMALL($G894:$T894,COUNTIF($G894:$T894,"&lt;="&amp;I894)+1)-I894)))</f>
        <v/>
      </c>
      <c r="AG894" t="str">
        <f>IF(OR($B894="",NOT(ISNUMBER(J894))),"",IF(COUNTIF(K894:$T894,J894)&gt;0,0,IF(COUNTIF($G894:$T894,"&gt;"&amp;J894)=0,"",SMALL($G894:$T894,COUNTIF($G894:$T894,"&lt;="&amp;J894)+1)-J894)))</f>
        <v/>
      </c>
      <c r="AH894" t="str">
        <f>IF(OR($B894="",NOT(ISNUMBER(K894))),"",IF(COUNTIF(L894:$T894,K894)&gt;0,0,IF(COUNTIF($G894:$T894,"&gt;"&amp;K894)=0,"",SMALL($G894:$T894,COUNTIF($G894:$T894,"&lt;="&amp;K894)+1)-K894)))</f>
        <v/>
      </c>
      <c r="AI894" t="str">
        <f>IF(OR($B894="",NOT(ISNUMBER(L894))),"",IF(COUNTIF(M894:$T894,L894)&gt;0,0,IF(COUNTIF($G894:$T894,"&gt;"&amp;L894)=0,"",SMALL($G894:$T894,COUNTIF($G894:$T894,"&lt;="&amp;L894)+1)-L894)))</f>
        <v/>
      </c>
      <c r="AJ894" t="str">
        <f>IF(OR($B894="",NOT(ISNUMBER(M894))),"",IF(COUNTIF(N894:$T894,M894)&gt;0,0,IF(COUNTIF($G894:$T894,"&gt;"&amp;M894)=0,"",SMALL($G894:$T894,COUNTIF($G894:$T894,"&lt;="&amp;M894)+1)-M894)))</f>
        <v/>
      </c>
      <c r="AK894" t="str">
        <f>IF(OR($B894="",NOT(ISNUMBER(N894))),"",IF(COUNTIF(O894:$T894,N894)&gt;0,0,IF(COUNTIF($G894:$T894,"&gt;"&amp;N894)=0,"",SMALL($G894:$T894,COUNTIF($G894:$T894,"&lt;="&amp;N894)+1)-N894)))</f>
        <v/>
      </c>
      <c r="AL894" t="str">
        <f>IF(OR($B894="",NOT(ISNUMBER(O894))),"",IF(COUNTIF(P894:$T894,O894)&gt;0,0,IF(COUNTIF($G894:$T894,"&gt;"&amp;O894)=0,"",SMALL($G894:$T894,COUNTIF($G894:$T894,"&lt;="&amp;O894)+1)-O894)))</f>
        <v/>
      </c>
      <c r="AM894" t="str">
        <f>IF(OR($B894="",NOT(ISNUMBER(P894))),"",IF(COUNTIF(Q894:$T894,P894)&gt;0,0,IF(COUNTIF($G894:$T894,"&gt;"&amp;P894)=0,"",SMALL($G894:$T894,COUNTIF($G894:$T894,"&lt;="&amp;P894)+1)-P894)))</f>
        <v/>
      </c>
      <c r="AN894" t="str">
        <f>IF(OR($B894="",NOT(ISNUMBER(Q894))),"",IF(COUNTIF(R894:$T894,Q894)&gt;0,0,IF(COUNTIF($G894:$T894,"&gt;"&amp;Q894)=0,"",SMALL($G894:$T894,COUNTIF($G894:$T894,"&lt;="&amp;Q894)+1)-Q894)))</f>
        <v/>
      </c>
      <c r="AO894" t="str">
        <f>IF(OR($B894="",NOT(ISNUMBER(R894))),"",IF(COUNTIF(S894:$T894,R894)&gt;0,0,IF(COUNTIF($G894:$T894,"&gt;"&amp;R894)=0,"",SMALL($G894:$T894,COUNTIF($G894:$T894,"&lt;="&amp;R894)+1)-R894)))</f>
        <v/>
      </c>
      <c r="AP894">
        <f t="shared" ca="1" si="224"/>
        <v>0</v>
      </c>
      <c r="AQ894" s="25" t="str">
        <f t="shared" si="225"/>
        <v/>
      </c>
      <c r="AR894" s="25" t="str">
        <f t="shared" si="226"/>
        <v/>
      </c>
      <c r="AS894" s="25" t="str">
        <f t="shared" si="227"/>
        <v/>
      </c>
      <c r="AT894" s="25" t="str">
        <f t="shared" si="228"/>
        <v/>
      </c>
      <c r="AU894" s="25" t="str">
        <f t="shared" si="229"/>
        <v/>
      </c>
      <c r="AV894" s="25" t="str">
        <f t="shared" si="230"/>
        <v/>
      </c>
      <c r="AW894" s="25" t="str">
        <f t="shared" si="231"/>
        <v/>
      </c>
      <c r="AX894" s="25" t="str">
        <f t="shared" si="232"/>
        <v/>
      </c>
      <c r="AY894" s="25" t="str">
        <f t="shared" si="233"/>
        <v/>
      </c>
      <c r="AZ894" s="25" t="str">
        <f t="shared" si="234"/>
        <v/>
      </c>
      <c r="BA894" s="25" t="str">
        <f t="shared" si="235"/>
        <v/>
      </c>
      <c r="BB894" s="25" t="str">
        <f t="shared" si="236"/>
        <v/>
      </c>
      <c r="BC894" s="25" t="str">
        <f t="shared" si="237"/>
        <v/>
      </c>
    </row>
    <row r="895" spans="1:55" x14ac:dyDescent="0.25">
      <c r="A895" s="19" t="str">
        <f t="shared" si="222"/>
        <v/>
      </c>
      <c r="B895" s="19"/>
      <c r="C895" s="20"/>
      <c r="D895" s="19" t="str">
        <f t="shared" ref="D895:D958" si="238">IFERROR(VALUE(TRIM(MID(C895,FIND(" - ",C895)+3,FIND(" - ",C895,FIND(" - ",C895)+3)-FIND(" - ",C895)-3))),"")</f>
        <v/>
      </c>
      <c r="E895" s="19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19"/>
      <c r="U895" s="19"/>
      <c r="V895" s="20"/>
      <c r="W895" s="22"/>
      <c r="X895" s="21"/>
      <c r="Y895" s="21"/>
      <c r="Z895" s="23" t="str">
        <f>IF(B895="","",IF(S895&lt;&gt;"","Sevk Edildi",IF(AND(X895&lt;&gt;"",Y895=""),"Reworkte",IF(T895&lt;&gt;"","Kapandı"&amp;IF(COUNT(G895:R895)=0,""," – "&amp;LOOKUP(2,1/(G895:R895=MAX(G895:R895)),{"Tasarım","Ply Cutter","Üretim","Kalite (Üretim sonrası)","Talaşlı","Kalite (Talaşlı sonrası)","Montaj","Kalite (Montaj sonrası)","Boya","Kalite (Boya sonrası)","Yarı Mamül","KM"})),IF(COUNT(G895:R895)=0,"Başlamadı",LOOKUP(2,1/(G895:R895=MAX(G895:R895)),{"Tasarımda","Ply Cutter'da","Üretimde","Kalitede (Üretim sonrası)","Talaşlıda","Kalitede (Talaşlı sonrası)","Montajda","Kalitede (Montaj sonrası)","Boyada","Kalitede (Boya sonrası)","Yarı Mamülde","KM'de"}))))))</f>
        <v/>
      </c>
      <c r="AA895" s="24" t="str">
        <f t="shared" ca="1" si="223"/>
        <v/>
      </c>
      <c r="AB895" s="22"/>
      <c r="AD895" t="str">
        <f>IF(OR($B895="",NOT(ISNUMBER(G895))),"",IF(COUNTIF(H895:$T895,G895)&gt;0,0,IF(COUNTIF($G895:$T895,"&gt;"&amp;G895)=0,"",SMALL($G895:$T895,COUNTIF($G895:$T895,"&lt;="&amp;G895)+1)-G895)))</f>
        <v/>
      </c>
      <c r="AE895" t="str">
        <f>IF(OR($B895="",NOT(ISNUMBER(H895))),"",IF(COUNTIF(I895:$T895,H895)&gt;0,0,IF(COUNTIF($G895:$T895,"&gt;"&amp;H895)=0,"",SMALL($G895:$T895,COUNTIF($G895:$T895,"&lt;="&amp;H895)+1)-H895)))</f>
        <v/>
      </c>
      <c r="AF895" t="str">
        <f>IF(OR($B895="",NOT(ISNUMBER(I895))),"",IF(COUNTIF(J895:$T895,I895)&gt;0,0,IF(COUNTIF($G895:$T895,"&gt;"&amp;I895)=0,"",SMALL($G895:$T895,COUNTIF($G895:$T895,"&lt;="&amp;I895)+1)-I895)))</f>
        <v/>
      </c>
      <c r="AG895" t="str">
        <f>IF(OR($B895="",NOT(ISNUMBER(J895))),"",IF(COUNTIF(K895:$T895,J895)&gt;0,0,IF(COUNTIF($G895:$T895,"&gt;"&amp;J895)=0,"",SMALL($G895:$T895,COUNTIF($G895:$T895,"&lt;="&amp;J895)+1)-J895)))</f>
        <v/>
      </c>
      <c r="AH895" t="str">
        <f>IF(OR($B895="",NOT(ISNUMBER(K895))),"",IF(COUNTIF(L895:$T895,K895)&gt;0,0,IF(COUNTIF($G895:$T895,"&gt;"&amp;K895)=0,"",SMALL($G895:$T895,COUNTIF($G895:$T895,"&lt;="&amp;K895)+1)-K895)))</f>
        <v/>
      </c>
      <c r="AI895" t="str">
        <f>IF(OR($B895="",NOT(ISNUMBER(L895))),"",IF(COUNTIF(M895:$T895,L895)&gt;0,0,IF(COUNTIF($G895:$T895,"&gt;"&amp;L895)=0,"",SMALL($G895:$T895,COUNTIF($G895:$T895,"&lt;="&amp;L895)+1)-L895)))</f>
        <v/>
      </c>
      <c r="AJ895" t="str">
        <f>IF(OR($B895="",NOT(ISNUMBER(M895))),"",IF(COUNTIF(N895:$T895,M895)&gt;0,0,IF(COUNTIF($G895:$T895,"&gt;"&amp;M895)=0,"",SMALL($G895:$T895,COUNTIF($G895:$T895,"&lt;="&amp;M895)+1)-M895)))</f>
        <v/>
      </c>
      <c r="AK895" t="str">
        <f>IF(OR($B895="",NOT(ISNUMBER(N895))),"",IF(COUNTIF(O895:$T895,N895)&gt;0,0,IF(COUNTIF($G895:$T895,"&gt;"&amp;N895)=0,"",SMALL($G895:$T895,COUNTIF($G895:$T895,"&lt;="&amp;N895)+1)-N895)))</f>
        <v/>
      </c>
      <c r="AL895" t="str">
        <f>IF(OR($B895="",NOT(ISNUMBER(O895))),"",IF(COUNTIF(P895:$T895,O895)&gt;0,0,IF(COUNTIF($G895:$T895,"&gt;"&amp;O895)=0,"",SMALL($G895:$T895,COUNTIF($G895:$T895,"&lt;="&amp;O895)+1)-O895)))</f>
        <v/>
      </c>
      <c r="AM895" t="str">
        <f>IF(OR($B895="",NOT(ISNUMBER(P895))),"",IF(COUNTIF(Q895:$T895,P895)&gt;0,0,IF(COUNTIF($G895:$T895,"&gt;"&amp;P895)=0,"",SMALL($G895:$T895,COUNTIF($G895:$T895,"&lt;="&amp;P895)+1)-P895)))</f>
        <v/>
      </c>
      <c r="AN895" t="str">
        <f>IF(OR($B895="",NOT(ISNUMBER(Q895))),"",IF(COUNTIF(R895:$T895,Q895)&gt;0,0,IF(COUNTIF($G895:$T895,"&gt;"&amp;Q895)=0,"",SMALL($G895:$T895,COUNTIF($G895:$T895,"&lt;="&amp;Q895)+1)-Q895)))</f>
        <v/>
      </c>
      <c r="AO895" t="str">
        <f>IF(OR($B895="",NOT(ISNUMBER(R895))),"",IF(COUNTIF(S895:$T895,R895)&gt;0,0,IF(COUNTIF($G895:$T895,"&gt;"&amp;R895)=0,"",SMALL($G895:$T895,COUNTIF($G895:$T895,"&lt;="&amp;R895)+1)-R895)))</f>
        <v/>
      </c>
      <c r="AP895">
        <f t="shared" ca="1" si="224"/>
        <v>0</v>
      </c>
      <c r="AQ895" s="25" t="str">
        <f t="shared" si="225"/>
        <v/>
      </c>
      <c r="AR895" s="25" t="str">
        <f t="shared" si="226"/>
        <v/>
      </c>
      <c r="AS895" s="25" t="str">
        <f t="shared" si="227"/>
        <v/>
      </c>
      <c r="AT895" s="25" t="str">
        <f t="shared" si="228"/>
        <v/>
      </c>
      <c r="AU895" s="25" t="str">
        <f t="shared" si="229"/>
        <v/>
      </c>
      <c r="AV895" s="25" t="str">
        <f t="shared" si="230"/>
        <v/>
      </c>
      <c r="AW895" s="25" t="str">
        <f t="shared" si="231"/>
        <v/>
      </c>
      <c r="AX895" s="25" t="str">
        <f t="shared" si="232"/>
        <v/>
      </c>
      <c r="AY895" s="25" t="str">
        <f t="shared" si="233"/>
        <v/>
      </c>
      <c r="AZ895" s="25" t="str">
        <f t="shared" si="234"/>
        <v/>
      </c>
      <c r="BA895" s="25" t="str">
        <f t="shared" si="235"/>
        <v/>
      </c>
      <c r="BB895" s="25" t="str">
        <f t="shared" si="236"/>
        <v/>
      </c>
      <c r="BC895" s="25" t="str">
        <f t="shared" si="237"/>
        <v/>
      </c>
    </row>
    <row r="896" spans="1:55" x14ac:dyDescent="0.25">
      <c r="A896" s="19" t="str">
        <f t="shared" si="222"/>
        <v/>
      </c>
      <c r="B896" s="19"/>
      <c r="C896" s="20"/>
      <c r="D896" s="19" t="str">
        <f t="shared" si="238"/>
        <v/>
      </c>
      <c r="E896" s="19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19"/>
      <c r="U896" s="19"/>
      <c r="V896" s="20"/>
      <c r="W896" s="22"/>
      <c r="X896" s="21"/>
      <c r="Y896" s="21"/>
      <c r="Z896" s="23" t="str">
        <f>IF(B896="","",IF(S896&lt;&gt;"","Sevk Edildi",IF(AND(X896&lt;&gt;"",Y896=""),"Reworkte",IF(T896&lt;&gt;"","Kapandı"&amp;IF(COUNT(G896:R896)=0,""," – "&amp;LOOKUP(2,1/(G896:R896=MAX(G896:R896)),{"Tasarım","Ply Cutter","Üretim","Kalite (Üretim sonrası)","Talaşlı","Kalite (Talaşlı sonrası)","Montaj","Kalite (Montaj sonrası)","Boya","Kalite (Boya sonrası)","Yarı Mamül","KM"})),IF(COUNT(G896:R896)=0,"Başlamadı",LOOKUP(2,1/(G896:R896=MAX(G896:R896)),{"Tasarımda","Ply Cutter'da","Üretimde","Kalitede (Üretim sonrası)","Talaşlıda","Kalitede (Talaşlı sonrası)","Montajda","Kalitede (Montaj sonrası)","Boyada","Kalitede (Boya sonrası)","Yarı Mamülde","KM'de"}))))))</f>
        <v/>
      </c>
      <c r="AA896" s="24" t="str">
        <f t="shared" ca="1" si="223"/>
        <v/>
      </c>
      <c r="AB896" s="22"/>
      <c r="AD896" t="str">
        <f>IF(OR($B896="",NOT(ISNUMBER(G896))),"",IF(COUNTIF(H896:$T896,G896)&gt;0,0,IF(COUNTIF($G896:$T896,"&gt;"&amp;G896)=0,"",SMALL($G896:$T896,COUNTIF($G896:$T896,"&lt;="&amp;G896)+1)-G896)))</f>
        <v/>
      </c>
      <c r="AE896" t="str">
        <f>IF(OR($B896="",NOT(ISNUMBER(H896))),"",IF(COUNTIF(I896:$T896,H896)&gt;0,0,IF(COUNTIF($G896:$T896,"&gt;"&amp;H896)=0,"",SMALL($G896:$T896,COUNTIF($G896:$T896,"&lt;="&amp;H896)+1)-H896)))</f>
        <v/>
      </c>
      <c r="AF896" t="str">
        <f>IF(OR($B896="",NOT(ISNUMBER(I896))),"",IF(COUNTIF(J896:$T896,I896)&gt;0,0,IF(COUNTIF($G896:$T896,"&gt;"&amp;I896)=0,"",SMALL($G896:$T896,COUNTIF($G896:$T896,"&lt;="&amp;I896)+1)-I896)))</f>
        <v/>
      </c>
      <c r="AG896" t="str">
        <f>IF(OR($B896="",NOT(ISNUMBER(J896))),"",IF(COUNTIF(K896:$T896,J896)&gt;0,0,IF(COUNTIF($G896:$T896,"&gt;"&amp;J896)=0,"",SMALL($G896:$T896,COUNTIF($G896:$T896,"&lt;="&amp;J896)+1)-J896)))</f>
        <v/>
      </c>
      <c r="AH896" t="str">
        <f>IF(OR($B896="",NOT(ISNUMBER(K896))),"",IF(COUNTIF(L896:$T896,K896)&gt;0,0,IF(COUNTIF($G896:$T896,"&gt;"&amp;K896)=0,"",SMALL($G896:$T896,COUNTIF($G896:$T896,"&lt;="&amp;K896)+1)-K896)))</f>
        <v/>
      </c>
      <c r="AI896" t="str">
        <f>IF(OR($B896="",NOT(ISNUMBER(L896))),"",IF(COUNTIF(M896:$T896,L896)&gt;0,0,IF(COUNTIF($G896:$T896,"&gt;"&amp;L896)=0,"",SMALL($G896:$T896,COUNTIF($G896:$T896,"&lt;="&amp;L896)+1)-L896)))</f>
        <v/>
      </c>
      <c r="AJ896" t="str">
        <f>IF(OR($B896="",NOT(ISNUMBER(M896))),"",IF(COUNTIF(N896:$T896,M896)&gt;0,0,IF(COUNTIF($G896:$T896,"&gt;"&amp;M896)=0,"",SMALL($G896:$T896,COUNTIF($G896:$T896,"&lt;="&amp;M896)+1)-M896)))</f>
        <v/>
      </c>
      <c r="AK896" t="str">
        <f>IF(OR($B896="",NOT(ISNUMBER(N896))),"",IF(COUNTIF(O896:$T896,N896)&gt;0,0,IF(COUNTIF($G896:$T896,"&gt;"&amp;N896)=0,"",SMALL($G896:$T896,COUNTIF($G896:$T896,"&lt;="&amp;N896)+1)-N896)))</f>
        <v/>
      </c>
      <c r="AL896" t="str">
        <f>IF(OR($B896="",NOT(ISNUMBER(O896))),"",IF(COUNTIF(P896:$T896,O896)&gt;0,0,IF(COUNTIF($G896:$T896,"&gt;"&amp;O896)=0,"",SMALL($G896:$T896,COUNTIF($G896:$T896,"&lt;="&amp;O896)+1)-O896)))</f>
        <v/>
      </c>
      <c r="AM896" t="str">
        <f>IF(OR($B896="",NOT(ISNUMBER(P896))),"",IF(COUNTIF(Q896:$T896,P896)&gt;0,0,IF(COUNTIF($G896:$T896,"&gt;"&amp;P896)=0,"",SMALL($G896:$T896,COUNTIF($G896:$T896,"&lt;="&amp;P896)+1)-P896)))</f>
        <v/>
      </c>
      <c r="AN896" t="str">
        <f>IF(OR($B896="",NOT(ISNUMBER(Q896))),"",IF(COUNTIF(R896:$T896,Q896)&gt;0,0,IF(COUNTIF($G896:$T896,"&gt;"&amp;Q896)=0,"",SMALL($G896:$T896,COUNTIF($G896:$T896,"&lt;="&amp;Q896)+1)-Q896)))</f>
        <v/>
      </c>
      <c r="AO896" t="str">
        <f>IF(OR($B896="",NOT(ISNUMBER(R896))),"",IF(COUNTIF(S896:$T896,R896)&gt;0,0,IF(COUNTIF($G896:$T896,"&gt;"&amp;R896)=0,"",SMALL($G896:$T896,COUNTIF($G896:$T896,"&lt;="&amp;R896)+1)-R896)))</f>
        <v/>
      </c>
      <c r="AP896">
        <f t="shared" ca="1" si="224"/>
        <v>0</v>
      </c>
      <c r="AQ896" s="25" t="str">
        <f t="shared" si="225"/>
        <v/>
      </c>
      <c r="AR896" s="25" t="str">
        <f t="shared" si="226"/>
        <v/>
      </c>
      <c r="AS896" s="25" t="str">
        <f t="shared" si="227"/>
        <v/>
      </c>
      <c r="AT896" s="25" t="str">
        <f t="shared" si="228"/>
        <v/>
      </c>
      <c r="AU896" s="25" t="str">
        <f t="shared" si="229"/>
        <v/>
      </c>
      <c r="AV896" s="25" t="str">
        <f t="shared" si="230"/>
        <v/>
      </c>
      <c r="AW896" s="25" t="str">
        <f t="shared" si="231"/>
        <v/>
      </c>
      <c r="AX896" s="25" t="str">
        <f t="shared" si="232"/>
        <v/>
      </c>
      <c r="AY896" s="25" t="str">
        <f t="shared" si="233"/>
        <v/>
      </c>
      <c r="AZ896" s="25" t="str">
        <f t="shared" si="234"/>
        <v/>
      </c>
      <c r="BA896" s="25" t="str">
        <f t="shared" si="235"/>
        <v/>
      </c>
      <c r="BB896" s="25" t="str">
        <f t="shared" si="236"/>
        <v/>
      </c>
      <c r="BC896" s="25" t="str">
        <f t="shared" si="237"/>
        <v/>
      </c>
    </row>
    <row r="897" spans="1:55" x14ac:dyDescent="0.25">
      <c r="A897" s="19" t="str">
        <f t="shared" si="222"/>
        <v/>
      </c>
      <c r="B897" s="19"/>
      <c r="C897" s="20"/>
      <c r="D897" s="19" t="str">
        <f t="shared" si="238"/>
        <v/>
      </c>
      <c r="E897" s="19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19"/>
      <c r="U897" s="19"/>
      <c r="V897" s="20"/>
      <c r="W897" s="22"/>
      <c r="X897" s="21"/>
      <c r="Y897" s="21"/>
      <c r="Z897" s="23" t="str">
        <f>IF(B897="","",IF(S897&lt;&gt;"","Sevk Edildi",IF(AND(X897&lt;&gt;"",Y897=""),"Reworkte",IF(T897&lt;&gt;"","Kapandı"&amp;IF(COUNT(G897:R897)=0,""," – "&amp;LOOKUP(2,1/(G897:R897=MAX(G897:R897)),{"Tasarım","Ply Cutter","Üretim","Kalite (Üretim sonrası)","Talaşlı","Kalite (Talaşlı sonrası)","Montaj","Kalite (Montaj sonrası)","Boya","Kalite (Boya sonrası)","Yarı Mamül","KM"})),IF(COUNT(G897:R897)=0,"Başlamadı",LOOKUP(2,1/(G897:R897=MAX(G897:R897)),{"Tasarımda","Ply Cutter'da","Üretimde","Kalitede (Üretim sonrası)","Talaşlıda","Kalitede (Talaşlı sonrası)","Montajda","Kalitede (Montaj sonrası)","Boyada","Kalitede (Boya sonrası)","Yarı Mamülde","KM'de"}))))))</f>
        <v/>
      </c>
      <c r="AA897" s="24" t="str">
        <f t="shared" ca="1" si="223"/>
        <v/>
      </c>
      <c r="AB897" s="22"/>
      <c r="AD897" t="str">
        <f>IF(OR($B897="",NOT(ISNUMBER(G897))),"",IF(COUNTIF(H897:$T897,G897)&gt;0,0,IF(COUNTIF($G897:$T897,"&gt;"&amp;G897)=0,"",SMALL($G897:$T897,COUNTIF($G897:$T897,"&lt;="&amp;G897)+1)-G897)))</f>
        <v/>
      </c>
      <c r="AE897" t="str">
        <f>IF(OR($B897="",NOT(ISNUMBER(H897))),"",IF(COUNTIF(I897:$T897,H897)&gt;0,0,IF(COUNTIF($G897:$T897,"&gt;"&amp;H897)=0,"",SMALL($G897:$T897,COUNTIF($G897:$T897,"&lt;="&amp;H897)+1)-H897)))</f>
        <v/>
      </c>
      <c r="AF897" t="str">
        <f>IF(OR($B897="",NOT(ISNUMBER(I897))),"",IF(COUNTIF(J897:$T897,I897)&gt;0,0,IF(COUNTIF($G897:$T897,"&gt;"&amp;I897)=0,"",SMALL($G897:$T897,COUNTIF($G897:$T897,"&lt;="&amp;I897)+1)-I897)))</f>
        <v/>
      </c>
      <c r="AG897" t="str">
        <f>IF(OR($B897="",NOT(ISNUMBER(J897))),"",IF(COUNTIF(K897:$T897,J897)&gt;0,0,IF(COUNTIF($G897:$T897,"&gt;"&amp;J897)=0,"",SMALL($G897:$T897,COUNTIF($G897:$T897,"&lt;="&amp;J897)+1)-J897)))</f>
        <v/>
      </c>
      <c r="AH897" t="str">
        <f>IF(OR($B897="",NOT(ISNUMBER(K897))),"",IF(COUNTIF(L897:$T897,K897)&gt;0,0,IF(COUNTIF($G897:$T897,"&gt;"&amp;K897)=0,"",SMALL($G897:$T897,COUNTIF($G897:$T897,"&lt;="&amp;K897)+1)-K897)))</f>
        <v/>
      </c>
      <c r="AI897" t="str">
        <f>IF(OR($B897="",NOT(ISNUMBER(L897))),"",IF(COUNTIF(M897:$T897,L897)&gt;0,0,IF(COUNTIF($G897:$T897,"&gt;"&amp;L897)=0,"",SMALL($G897:$T897,COUNTIF($G897:$T897,"&lt;="&amp;L897)+1)-L897)))</f>
        <v/>
      </c>
      <c r="AJ897" t="str">
        <f>IF(OR($B897="",NOT(ISNUMBER(M897))),"",IF(COUNTIF(N897:$T897,M897)&gt;0,0,IF(COUNTIF($G897:$T897,"&gt;"&amp;M897)=0,"",SMALL($G897:$T897,COUNTIF($G897:$T897,"&lt;="&amp;M897)+1)-M897)))</f>
        <v/>
      </c>
      <c r="AK897" t="str">
        <f>IF(OR($B897="",NOT(ISNUMBER(N897))),"",IF(COUNTIF(O897:$T897,N897)&gt;0,0,IF(COUNTIF($G897:$T897,"&gt;"&amp;N897)=0,"",SMALL($G897:$T897,COUNTIF($G897:$T897,"&lt;="&amp;N897)+1)-N897)))</f>
        <v/>
      </c>
      <c r="AL897" t="str">
        <f>IF(OR($B897="",NOT(ISNUMBER(O897))),"",IF(COUNTIF(P897:$T897,O897)&gt;0,0,IF(COUNTIF($G897:$T897,"&gt;"&amp;O897)=0,"",SMALL($G897:$T897,COUNTIF($G897:$T897,"&lt;="&amp;O897)+1)-O897)))</f>
        <v/>
      </c>
      <c r="AM897" t="str">
        <f>IF(OR($B897="",NOT(ISNUMBER(P897))),"",IF(COUNTIF(Q897:$T897,P897)&gt;0,0,IF(COUNTIF($G897:$T897,"&gt;"&amp;P897)=0,"",SMALL($G897:$T897,COUNTIF($G897:$T897,"&lt;="&amp;P897)+1)-P897)))</f>
        <v/>
      </c>
      <c r="AN897" t="str">
        <f>IF(OR($B897="",NOT(ISNUMBER(Q897))),"",IF(COUNTIF(R897:$T897,Q897)&gt;0,0,IF(COUNTIF($G897:$T897,"&gt;"&amp;Q897)=0,"",SMALL($G897:$T897,COUNTIF($G897:$T897,"&lt;="&amp;Q897)+1)-Q897)))</f>
        <v/>
      </c>
      <c r="AO897" t="str">
        <f>IF(OR($B897="",NOT(ISNUMBER(R897))),"",IF(COUNTIF(S897:$T897,R897)&gt;0,0,IF(COUNTIF($G897:$T897,"&gt;"&amp;R897)=0,"",SMALL($G897:$T897,COUNTIF($G897:$T897,"&lt;="&amp;R897)+1)-R897)))</f>
        <v/>
      </c>
      <c r="AP897">
        <f t="shared" ca="1" si="224"/>
        <v>0</v>
      </c>
      <c r="AQ897" s="25" t="str">
        <f t="shared" si="225"/>
        <v/>
      </c>
      <c r="AR897" s="25" t="str">
        <f t="shared" si="226"/>
        <v/>
      </c>
      <c r="AS897" s="25" t="str">
        <f t="shared" si="227"/>
        <v/>
      </c>
      <c r="AT897" s="25" t="str">
        <f t="shared" si="228"/>
        <v/>
      </c>
      <c r="AU897" s="25" t="str">
        <f t="shared" si="229"/>
        <v/>
      </c>
      <c r="AV897" s="25" t="str">
        <f t="shared" si="230"/>
        <v/>
      </c>
      <c r="AW897" s="25" t="str">
        <f t="shared" si="231"/>
        <v/>
      </c>
      <c r="AX897" s="25" t="str">
        <f t="shared" si="232"/>
        <v/>
      </c>
      <c r="AY897" s="25" t="str">
        <f t="shared" si="233"/>
        <v/>
      </c>
      <c r="AZ897" s="25" t="str">
        <f t="shared" si="234"/>
        <v/>
      </c>
      <c r="BA897" s="25" t="str">
        <f t="shared" si="235"/>
        <v/>
      </c>
      <c r="BB897" s="25" t="str">
        <f t="shared" si="236"/>
        <v/>
      </c>
      <c r="BC897" s="25" t="str">
        <f t="shared" si="237"/>
        <v/>
      </c>
    </row>
    <row r="898" spans="1:55" x14ac:dyDescent="0.25">
      <c r="A898" s="19" t="str">
        <f t="shared" si="222"/>
        <v/>
      </c>
      <c r="B898" s="19"/>
      <c r="C898" s="20"/>
      <c r="D898" s="19" t="str">
        <f t="shared" si="238"/>
        <v/>
      </c>
      <c r="E898" s="19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19"/>
      <c r="U898" s="19"/>
      <c r="V898" s="20"/>
      <c r="W898" s="22"/>
      <c r="X898" s="21"/>
      <c r="Y898" s="21"/>
      <c r="Z898" s="23" t="str">
        <f>IF(B898="","",IF(S898&lt;&gt;"","Sevk Edildi",IF(AND(X898&lt;&gt;"",Y898=""),"Reworkte",IF(T898&lt;&gt;"","Kapandı"&amp;IF(COUNT(G898:R898)=0,""," – "&amp;LOOKUP(2,1/(G898:R898=MAX(G898:R898)),{"Tasarım","Ply Cutter","Üretim","Kalite (Üretim sonrası)","Talaşlı","Kalite (Talaşlı sonrası)","Montaj","Kalite (Montaj sonrası)","Boya","Kalite (Boya sonrası)","Yarı Mamül","KM"})),IF(COUNT(G898:R898)=0,"Başlamadı",LOOKUP(2,1/(G898:R898=MAX(G898:R898)),{"Tasarımda","Ply Cutter'da","Üretimde","Kalitede (Üretim sonrası)","Talaşlıda","Kalitede (Talaşlı sonrası)","Montajda","Kalitede (Montaj sonrası)","Boyada","Kalitede (Boya sonrası)","Yarı Mamülde","KM'de"}))))))</f>
        <v/>
      </c>
      <c r="AA898" s="24" t="str">
        <f t="shared" ca="1" si="223"/>
        <v/>
      </c>
      <c r="AB898" s="22"/>
      <c r="AD898" t="str">
        <f>IF(OR($B898="",NOT(ISNUMBER(G898))),"",IF(COUNTIF(H898:$T898,G898)&gt;0,0,IF(COUNTIF($G898:$T898,"&gt;"&amp;G898)=0,"",SMALL($G898:$T898,COUNTIF($G898:$T898,"&lt;="&amp;G898)+1)-G898)))</f>
        <v/>
      </c>
      <c r="AE898" t="str">
        <f>IF(OR($B898="",NOT(ISNUMBER(H898))),"",IF(COUNTIF(I898:$T898,H898)&gt;0,0,IF(COUNTIF($G898:$T898,"&gt;"&amp;H898)=0,"",SMALL($G898:$T898,COUNTIF($G898:$T898,"&lt;="&amp;H898)+1)-H898)))</f>
        <v/>
      </c>
      <c r="AF898" t="str">
        <f>IF(OR($B898="",NOT(ISNUMBER(I898))),"",IF(COUNTIF(J898:$T898,I898)&gt;0,0,IF(COUNTIF($G898:$T898,"&gt;"&amp;I898)=0,"",SMALL($G898:$T898,COUNTIF($G898:$T898,"&lt;="&amp;I898)+1)-I898)))</f>
        <v/>
      </c>
      <c r="AG898" t="str">
        <f>IF(OR($B898="",NOT(ISNUMBER(J898))),"",IF(COUNTIF(K898:$T898,J898)&gt;0,0,IF(COUNTIF($G898:$T898,"&gt;"&amp;J898)=0,"",SMALL($G898:$T898,COUNTIF($G898:$T898,"&lt;="&amp;J898)+1)-J898)))</f>
        <v/>
      </c>
      <c r="AH898" t="str">
        <f>IF(OR($B898="",NOT(ISNUMBER(K898))),"",IF(COUNTIF(L898:$T898,K898)&gt;0,0,IF(COUNTIF($G898:$T898,"&gt;"&amp;K898)=0,"",SMALL($G898:$T898,COUNTIF($G898:$T898,"&lt;="&amp;K898)+1)-K898)))</f>
        <v/>
      </c>
      <c r="AI898" t="str">
        <f>IF(OR($B898="",NOT(ISNUMBER(L898))),"",IF(COUNTIF(M898:$T898,L898)&gt;0,0,IF(COUNTIF($G898:$T898,"&gt;"&amp;L898)=0,"",SMALL($G898:$T898,COUNTIF($G898:$T898,"&lt;="&amp;L898)+1)-L898)))</f>
        <v/>
      </c>
      <c r="AJ898" t="str">
        <f>IF(OR($B898="",NOT(ISNUMBER(M898))),"",IF(COUNTIF(N898:$T898,M898)&gt;0,0,IF(COUNTIF($G898:$T898,"&gt;"&amp;M898)=0,"",SMALL($G898:$T898,COUNTIF($G898:$T898,"&lt;="&amp;M898)+1)-M898)))</f>
        <v/>
      </c>
      <c r="AK898" t="str">
        <f>IF(OR($B898="",NOT(ISNUMBER(N898))),"",IF(COUNTIF(O898:$T898,N898)&gt;0,0,IF(COUNTIF($G898:$T898,"&gt;"&amp;N898)=0,"",SMALL($G898:$T898,COUNTIF($G898:$T898,"&lt;="&amp;N898)+1)-N898)))</f>
        <v/>
      </c>
      <c r="AL898" t="str">
        <f>IF(OR($B898="",NOT(ISNUMBER(O898))),"",IF(COUNTIF(P898:$T898,O898)&gt;0,0,IF(COUNTIF($G898:$T898,"&gt;"&amp;O898)=0,"",SMALL($G898:$T898,COUNTIF($G898:$T898,"&lt;="&amp;O898)+1)-O898)))</f>
        <v/>
      </c>
      <c r="AM898" t="str">
        <f>IF(OR($B898="",NOT(ISNUMBER(P898))),"",IF(COUNTIF(Q898:$T898,P898)&gt;0,0,IF(COUNTIF($G898:$T898,"&gt;"&amp;P898)=0,"",SMALL($G898:$T898,COUNTIF($G898:$T898,"&lt;="&amp;P898)+1)-P898)))</f>
        <v/>
      </c>
      <c r="AN898" t="str">
        <f>IF(OR($B898="",NOT(ISNUMBER(Q898))),"",IF(COUNTIF(R898:$T898,Q898)&gt;0,0,IF(COUNTIF($G898:$T898,"&gt;"&amp;Q898)=0,"",SMALL($G898:$T898,COUNTIF($G898:$T898,"&lt;="&amp;Q898)+1)-Q898)))</f>
        <v/>
      </c>
      <c r="AO898" t="str">
        <f>IF(OR($B898="",NOT(ISNUMBER(R898))),"",IF(COUNTIF(S898:$T898,R898)&gt;0,0,IF(COUNTIF($G898:$T898,"&gt;"&amp;R898)=0,"",SMALL($G898:$T898,COUNTIF($G898:$T898,"&lt;="&amp;R898)+1)-R898)))</f>
        <v/>
      </c>
      <c r="AP898">
        <f t="shared" ca="1" si="224"/>
        <v>0</v>
      </c>
      <c r="AQ898" s="25" t="str">
        <f t="shared" si="225"/>
        <v/>
      </c>
      <c r="AR898" s="25" t="str">
        <f t="shared" si="226"/>
        <v/>
      </c>
      <c r="AS898" s="25" t="str">
        <f t="shared" si="227"/>
        <v/>
      </c>
      <c r="AT898" s="25" t="str">
        <f t="shared" si="228"/>
        <v/>
      </c>
      <c r="AU898" s="25" t="str">
        <f t="shared" si="229"/>
        <v/>
      </c>
      <c r="AV898" s="25" t="str">
        <f t="shared" si="230"/>
        <v/>
      </c>
      <c r="AW898" s="25" t="str">
        <f t="shared" si="231"/>
        <v/>
      </c>
      <c r="AX898" s="25" t="str">
        <f t="shared" si="232"/>
        <v/>
      </c>
      <c r="AY898" s="25" t="str">
        <f t="shared" si="233"/>
        <v/>
      </c>
      <c r="AZ898" s="25" t="str">
        <f t="shared" si="234"/>
        <v/>
      </c>
      <c r="BA898" s="25" t="str">
        <f t="shared" si="235"/>
        <v/>
      </c>
      <c r="BB898" s="25" t="str">
        <f t="shared" si="236"/>
        <v/>
      </c>
      <c r="BC898" s="25" t="str">
        <f t="shared" si="237"/>
        <v/>
      </c>
    </row>
    <row r="899" spans="1:55" x14ac:dyDescent="0.25">
      <c r="A899" s="19" t="str">
        <f t="shared" ref="A899:A962" si="239">IF(B899="","",ROW()-2)</f>
        <v/>
      </c>
      <c r="B899" s="19"/>
      <c r="C899" s="20"/>
      <c r="D899" s="19" t="str">
        <f t="shared" si="238"/>
        <v/>
      </c>
      <c r="E899" s="19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19"/>
      <c r="U899" s="19"/>
      <c r="V899" s="20"/>
      <c r="W899" s="22"/>
      <c r="X899" s="21"/>
      <c r="Y899" s="21"/>
      <c r="Z899" s="23" t="str">
        <f>IF(B899="","",IF(S899&lt;&gt;"","Sevk Edildi",IF(AND(X899&lt;&gt;"",Y899=""),"Reworkte",IF(T899&lt;&gt;"","Kapandı"&amp;IF(COUNT(G899:R899)=0,""," – "&amp;LOOKUP(2,1/(G899:R899=MAX(G899:R899)),{"Tasarım","Ply Cutter","Üretim","Kalite (Üretim sonrası)","Talaşlı","Kalite (Talaşlı sonrası)","Montaj","Kalite (Montaj sonrası)","Boya","Kalite (Boya sonrası)","Yarı Mamül","KM"})),IF(COUNT(G899:R899)=0,"Başlamadı",LOOKUP(2,1/(G899:R899=MAX(G899:R899)),{"Tasarımda","Ply Cutter'da","Üretimde","Kalitede (Üretim sonrası)","Talaşlıda","Kalitede (Talaşlı sonrası)","Montajda","Kalitede (Montaj sonrası)","Boyada","Kalitede (Boya sonrası)","Yarı Mamülde","KM'de"}))))))</f>
        <v/>
      </c>
      <c r="AA899" s="24" t="str">
        <f t="shared" ref="AA899:AA962" ca="1" si="240">IF(OR(B899="",F899=""),"",IFERROR(IF(S899&lt;&gt;"",S899-F899,IF(T899&lt;&gt;"",T899-F899,TODAY()-F899)),""))</f>
        <v/>
      </c>
      <c r="AB899" s="22"/>
      <c r="AD899" t="str">
        <f>IF(OR($B899="",NOT(ISNUMBER(G899))),"",IF(COUNTIF(H899:$T899,G899)&gt;0,0,IF(COUNTIF($G899:$T899,"&gt;"&amp;G899)=0,"",SMALL($G899:$T899,COUNTIF($G899:$T899,"&lt;="&amp;G899)+1)-G899)))</f>
        <v/>
      </c>
      <c r="AE899" t="str">
        <f>IF(OR($B899="",NOT(ISNUMBER(H899))),"",IF(COUNTIF(I899:$T899,H899)&gt;0,0,IF(COUNTIF($G899:$T899,"&gt;"&amp;H899)=0,"",SMALL($G899:$T899,COUNTIF($G899:$T899,"&lt;="&amp;H899)+1)-H899)))</f>
        <v/>
      </c>
      <c r="AF899" t="str">
        <f>IF(OR($B899="",NOT(ISNUMBER(I899))),"",IF(COUNTIF(J899:$T899,I899)&gt;0,0,IF(COUNTIF($G899:$T899,"&gt;"&amp;I899)=0,"",SMALL($G899:$T899,COUNTIF($G899:$T899,"&lt;="&amp;I899)+1)-I899)))</f>
        <v/>
      </c>
      <c r="AG899" t="str">
        <f>IF(OR($B899="",NOT(ISNUMBER(J899))),"",IF(COUNTIF(K899:$T899,J899)&gt;0,0,IF(COUNTIF($G899:$T899,"&gt;"&amp;J899)=0,"",SMALL($G899:$T899,COUNTIF($G899:$T899,"&lt;="&amp;J899)+1)-J899)))</f>
        <v/>
      </c>
      <c r="AH899" t="str">
        <f>IF(OR($B899="",NOT(ISNUMBER(K899))),"",IF(COUNTIF(L899:$T899,K899)&gt;0,0,IF(COUNTIF($G899:$T899,"&gt;"&amp;K899)=0,"",SMALL($G899:$T899,COUNTIF($G899:$T899,"&lt;="&amp;K899)+1)-K899)))</f>
        <v/>
      </c>
      <c r="AI899" t="str">
        <f>IF(OR($B899="",NOT(ISNUMBER(L899))),"",IF(COUNTIF(M899:$T899,L899)&gt;0,0,IF(COUNTIF($G899:$T899,"&gt;"&amp;L899)=0,"",SMALL($G899:$T899,COUNTIF($G899:$T899,"&lt;="&amp;L899)+1)-L899)))</f>
        <v/>
      </c>
      <c r="AJ899" t="str">
        <f>IF(OR($B899="",NOT(ISNUMBER(M899))),"",IF(COUNTIF(N899:$T899,M899)&gt;0,0,IF(COUNTIF($G899:$T899,"&gt;"&amp;M899)=0,"",SMALL($G899:$T899,COUNTIF($G899:$T899,"&lt;="&amp;M899)+1)-M899)))</f>
        <v/>
      </c>
      <c r="AK899" t="str">
        <f>IF(OR($B899="",NOT(ISNUMBER(N899))),"",IF(COUNTIF(O899:$T899,N899)&gt;0,0,IF(COUNTIF($G899:$T899,"&gt;"&amp;N899)=0,"",SMALL($G899:$T899,COUNTIF($G899:$T899,"&lt;="&amp;N899)+1)-N899)))</f>
        <v/>
      </c>
      <c r="AL899" t="str">
        <f>IF(OR($B899="",NOT(ISNUMBER(O899))),"",IF(COUNTIF(P899:$T899,O899)&gt;0,0,IF(COUNTIF($G899:$T899,"&gt;"&amp;O899)=0,"",SMALL($G899:$T899,COUNTIF($G899:$T899,"&lt;="&amp;O899)+1)-O899)))</f>
        <v/>
      </c>
      <c r="AM899" t="str">
        <f>IF(OR($B899="",NOT(ISNUMBER(P899))),"",IF(COUNTIF(Q899:$T899,P899)&gt;0,0,IF(COUNTIF($G899:$T899,"&gt;"&amp;P899)=0,"",SMALL($G899:$T899,COUNTIF($G899:$T899,"&lt;="&amp;P899)+1)-P899)))</f>
        <v/>
      </c>
      <c r="AN899" t="str">
        <f>IF(OR($B899="",NOT(ISNUMBER(Q899))),"",IF(COUNTIF(R899:$T899,Q899)&gt;0,0,IF(COUNTIF($G899:$T899,"&gt;"&amp;Q899)=0,"",SMALL($G899:$T899,COUNTIF($G899:$T899,"&lt;="&amp;Q899)+1)-Q899)))</f>
        <v/>
      </c>
      <c r="AO899" t="str">
        <f>IF(OR($B899="",NOT(ISNUMBER(R899))),"",IF(COUNTIF(S899:$T899,R899)&gt;0,0,IF(COUNTIF($G899:$T899,"&gt;"&amp;R899)=0,"",SMALL($G899:$T899,COUNTIF($G899:$T899,"&lt;="&amp;R899)+1)-R899)))</f>
        <v/>
      </c>
      <c r="AP899">
        <f t="shared" ref="AP899:AP962" ca="1" si="241">IF(OR($B899="",Z899="",Z899="Başlamadı",Z899="Sevk Edildi",Z899="Reworkte",LEFT(Z899,7)="Kapandı"),0,TODAY()-MAX($G899:$R899))</f>
        <v>0</v>
      </c>
      <c r="AQ899" s="25" t="str">
        <f t="shared" ref="AQ899:AQ962" si="242">IF(AND(ISNUMBER(G899),ISNUMBER(AD899)),G899+AD899,"")</f>
        <v/>
      </c>
      <c r="AR899" s="25" t="str">
        <f t="shared" ref="AR899:AR962" si="243">IF(AND(ISNUMBER(H899),ISNUMBER(AE899)),H899+AE899,"")</f>
        <v/>
      </c>
      <c r="AS899" s="25" t="str">
        <f t="shared" ref="AS899:AS962" si="244">IF(AND(ISNUMBER(I899),ISNUMBER(AF899)),I899+AF899,"")</f>
        <v/>
      </c>
      <c r="AT899" s="25" t="str">
        <f t="shared" ref="AT899:AT962" si="245">IF(AND(ISNUMBER(J899),ISNUMBER(AG899)),J899+AG899,"")</f>
        <v/>
      </c>
      <c r="AU899" s="25" t="str">
        <f t="shared" ref="AU899:AU962" si="246">IF(AND(ISNUMBER(K899),ISNUMBER(AH899)),K899+AH899,"")</f>
        <v/>
      </c>
      <c r="AV899" s="25" t="str">
        <f t="shared" ref="AV899:AV962" si="247">IF(AND(ISNUMBER(L899),ISNUMBER(AI899)),L899+AI899,"")</f>
        <v/>
      </c>
      <c r="AW899" s="25" t="str">
        <f t="shared" ref="AW899:AW962" si="248">IF(AND(ISNUMBER(M899),ISNUMBER(AJ899)),M899+AJ899,"")</f>
        <v/>
      </c>
      <c r="AX899" s="25" t="str">
        <f t="shared" ref="AX899:AX962" si="249">IF(AND(ISNUMBER(N899),ISNUMBER(AK899)),N899+AK899,"")</f>
        <v/>
      </c>
      <c r="AY899" s="25" t="str">
        <f t="shared" ref="AY899:AY962" si="250">IF(AND(ISNUMBER(O899),ISNUMBER(AL899)),O899+AL899,"")</f>
        <v/>
      </c>
      <c r="AZ899" s="25" t="str">
        <f t="shared" ref="AZ899:AZ962" si="251">IF(AND(ISNUMBER(P899),ISNUMBER(AM899)),P899+AM899,"")</f>
        <v/>
      </c>
      <c r="BA899" s="25" t="str">
        <f t="shared" ref="BA899:BA962" si="252">IF(AND(ISNUMBER(Q899),ISNUMBER(AN899)),Q899+AN899,"")</f>
        <v/>
      </c>
      <c r="BB899" s="25" t="str">
        <f t="shared" ref="BB899:BB962" si="253">IF(AND(ISNUMBER(R899),ISNUMBER(AO899)),R899+AO899,"")</f>
        <v/>
      </c>
      <c r="BC899" s="25" t="str">
        <f t="shared" ref="BC899:BC962" si="254">IF(AND(S899="",T899=""),"",MIN(S899,T899))</f>
        <v/>
      </c>
    </row>
    <row r="900" spans="1:55" x14ac:dyDescent="0.25">
      <c r="A900" s="19" t="str">
        <f t="shared" si="239"/>
        <v/>
      </c>
      <c r="B900" s="19"/>
      <c r="C900" s="20"/>
      <c r="D900" s="19" t="str">
        <f t="shared" si="238"/>
        <v/>
      </c>
      <c r="E900" s="19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19"/>
      <c r="U900" s="19"/>
      <c r="V900" s="20"/>
      <c r="W900" s="22"/>
      <c r="X900" s="21"/>
      <c r="Y900" s="21"/>
      <c r="Z900" s="23" t="str">
        <f>IF(B900="","",IF(S900&lt;&gt;"","Sevk Edildi",IF(AND(X900&lt;&gt;"",Y900=""),"Reworkte",IF(T900&lt;&gt;"","Kapandı"&amp;IF(COUNT(G900:R900)=0,""," – "&amp;LOOKUP(2,1/(G900:R900=MAX(G900:R900)),{"Tasarım","Ply Cutter","Üretim","Kalite (Üretim sonrası)","Talaşlı","Kalite (Talaşlı sonrası)","Montaj","Kalite (Montaj sonrası)","Boya","Kalite (Boya sonrası)","Yarı Mamül","KM"})),IF(COUNT(G900:R900)=0,"Başlamadı",LOOKUP(2,1/(G900:R900=MAX(G900:R900)),{"Tasarımda","Ply Cutter'da","Üretimde","Kalitede (Üretim sonrası)","Talaşlıda","Kalitede (Talaşlı sonrası)","Montajda","Kalitede (Montaj sonrası)","Boyada","Kalitede (Boya sonrası)","Yarı Mamülde","KM'de"}))))))</f>
        <v/>
      </c>
      <c r="AA900" s="24" t="str">
        <f t="shared" ca="1" si="240"/>
        <v/>
      </c>
      <c r="AB900" s="22"/>
      <c r="AD900" t="str">
        <f>IF(OR($B900="",NOT(ISNUMBER(G900))),"",IF(COUNTIF(H900:$T900,G900)&gt;0,0,IF(COUNTIF($G900:$T900,"&gt;"&amp;G900)=0,"",SMALL($G900:$T900,COUNTIF($G900:$T900,"&lt;="&amp;G900)+1)-G900)))</f>
        <v/>
      </c>
      <c r="AE900" t="str">
        <f>IF(OR($B900="",NOT(ISNUMBER(H900))),"",IF(COUNTIF(I900:$T900,H900)&gt;0,0,IF(COUNTIF($G900:$T900,"&gt;"&amp;H900)=0,"",SMALL($G900:$T900,COUNTIF($G900:$T900,"&lt;="&amp;H900)+1)-H900)))</f>
        <v/>
      </c>
      <c r="AF900" t="str">
        <f>IF(OR($B900="",NOT(ISNUMBER(I900))),"",IF(COUNTIF(J900:$T900,I900)&gt;0,0,IF(COUNTIF($G900:$T900,"&gt;"&amp;I900)=0,"",SMALL($G900:$T900,COUNTIF($G900:$T900,"&lt;="&amp;I900)+1)-I900)))</f>
        <v/>
      </c>
      <c r="AG900" t="str">
        <f>IF(OR($B900="",NOT(ISNUMBER(J900))),"",IF(COUNTIF(K900:$T900,J900)&gt;0,0,IF(COUNTIF($G900:$T900,"&gt;"&amp;J900)=0,"",SMALL($G900:$T900,COUNTIF($G900:$T900,"&lt;="&amp;J900)+1)-J900)))</f>
        <v/>
      </c>
      <c r="AH900" t="str">
        <f>IF(OR($B900="",NOT(ISNUMBER(K900))),"",IF(COUNTIF(L900:$T900,K900)&gt;0,0,IF(COUNTIF($G900:$T900,"&gt;"&amp;K900)=0,"",SMALL($G900:$T900,COUNTIF($G900:$T900,"&lt;="&amp;K900)+1)-K900)))</f>
        <v/>
      </c>
      <c r="AI900" t="str">
        <f>IF(OR($B900="",NOT(ISNUMBER(L900))),"",IF(COUNTIF(M900:$T900,L900)&gt;0,0,IF(COUNTIF($G900:$T900,"&gt;"&amp;L900)=0,"",SMALL($G900:$T900,COUNTIF($G900:$T900,"&lt;="&amp;L900)+1)-L900)))</f>
        <v/>
      </c>
      <c r="AJ900" t="str">
        <f>IF(OR($B900="",NOT(ISNUMBER(M900))),"",IF(COUNTIF(N900:$T900,M900)&gt;0,0,IF(COUNTIF($G900:$T900,"&gt;"&amp;M900)=0,"",SMALL($G900:$T900,COUNTIF($G900:$T900,"&lt;="&amp;M900)+1)-M900)))</f>
        <v/>
      </c>
      <c r="AK900" t="str">
        <f>IF(OR($B900="",NOT(ISNUMBER(N900))),"",IF(COUNTIF(O900:$T900,N900)&gt;0,0,IF(COUNTIF($G900:$T900,"&gt;"&amp;N900)=0,"",SMALL($G900:$T900,COUNTIF($G900:$T900,"&lt;="&amp;N900)+1)-N900)))</f>
        <v/>
      </c>
      <c r="AL900" t="str">
        <f>IF(OR($B900="",NOT(ISNUMBER(O900))),"",IF(COUNTIF(P900:$T900,O900)&gt;0,0,IF(COUNTIF($G900:$T900,"&gt;"&amp;O900)=0,"",SMALL($G900:$T900,COUNTIF($G900:$T900,"&lt;="&amp;O900)+1)-O900)))</f>
        <v/>
      </c>
      <c r="AM900" t="str">
        <f>IF(OR($B900="",NOT(ISNUMBER(P900))),"",IF(COUNTIF(Q900:$T900,P900)&gt;0,0,IF(COUNTIF($G900:$T900,"&gt;"&amp;P900)=0,"",SMALL($G900:$T900,COUNTIF($G900:$T900,"&lt;="&amp;P900)+1)-P900)))</f>
        <v/>
      </c>
      <c r="AN900" t="str">
        <f>IF(OR($B900="",NOT(ISNUMBER(Q900))),"",IF(COUNTIF(R900:$T900,Q900)&gt;0,0,IF(COUNTIF($G900:$T900,"&gt;"&amp;Q900)=0,"",SMALL($G900:$T900,COUNTIF($G900:$T900,"&lt;="&amp;Q900)+1)-Q900)))</f>
        <v/>
      </c>
      <c r="AO900" t="str">
        <f>IF(OR($B900="",NOT(ISNUMBER(R900))),"",IF(COUNTIF(S900:$T900,R900)&gt;0,0,IF(COUNTIF($G900:$T900,"&gt;"&amp;R900)=0,"",SMALL($G900:$T900,COUNTIF($G900:$T900,"&lt;="&amp;R900)+1)-R900)))</f>
        <v/>
      </c>
      <c r="AP900">
        <f t="shared" ca="1" si="241"/>
        <v>0</v>
      </c>
      <c r="AQ900" s="25" t="str">
        <f t="shared" si="242"/>
        <v/>
      </c>
      <c r="AR900" s="25" t="str">
        <f t="shared" si="243"/>
        <v/>
      </c>
      <c r="AS900" s="25" t="str">
        <f t="shared" si="244"/>
        <v/>
      </c>
      <c r="AT900" s="25" t="str">
        <f t="shared" si="245"/>
        <v/>
      </c>
      <c r="AU900" s="25" t="str">
        <f t="shared" si="246"/>
        <v/>
      </c>
      <c r="AV900" s="25" t="str">
        <f t="shared" si="247"/>
        <v/>
      </c>
      <c r="AW900" s="25" t="str">
        <f t="shared" si="248"/>
        <v/>
      </c>
      <c r="AX900" s="25" t="str">
        <f t="shared" si="249"/>
        <v/>
      </c>
      <c r="AY900" s="25" t="str">
        <f t="shared" si="250"/>
        <v/>
      </c>
      <c r="AZ900" s="25" t="str">
        <f t="shared" si="251"/>
        <v/>
      </c>
      <c r="BA900" s="25" t="str">
        <f t="shared" si="252"/>
        <v/>
      </c>
      <c r="BB900" s="25" t="str">
        <f t="shared" si="253"/>
        <v/>
      </c>
      <c r="BC900" s="25" t="str">
        <f t="shared" si="254"/>
        <v/>
      </c>
    </row>
    <row r="901" spans="1:55" x14ac:dyDescent="0.25">
      <c r="A901" s="19" t="str">
        <f t="shared" si="239"/>
        <v/>
      </c>
      <c r="B901" s="19"/>
      <c r="C901" s="20"/>
      <c r="D901" s="19" t="str">
        <f t="shared" si="238"/>
        <v/>
      </c>
      <c r="E901" s="19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19"/>
      <c r="U901" s="19"/>
      <c r="V901" s="20"/>
      <c r="W901" s="22"/>
      <c r="X901" s="21"/>
      <c r="Y901" s="21"/>
      <c r="Z901" s="23" t="str">
        <f>IF(B901="","",IF(S901&lt;&gt;"","Sevk Edildi",IF(AND(X901&lt;&gt;"",Y901=""),"Reworkte",IF(T901&lt;&gt;"","Kapandı"&amp;IF(COUNT(G901:R901)=0,""," – "&amp;LOOKUP(2,1/(G901:R901=MAX(G901:R901)),{"Tasarım","Ply Cutter","Üretim","Kalite (Üretim sonrası)","Talaşlı","Kalite (Talaşlı sonrası)","Montaj","Kalite (Montaj sonrası)","Boya","Kalite (Boya sonrası)","Yarı Mamül","KM"})),IF(COUNT(G901:R901)=0,"Başlamadı",LOOKUP(2,1/(G901:R901=MAX(G901:R901)),{"Tasarımda","Ply Cutter'da","Üretimde","Kalitede (Üretim sonrası)","Talaşlıda","Kalitede (Talaşlı sonrası)","Montajda","Kalitede (Montaj sonrası)","Boyada","Kalitede (Boya sonrası)","Yarı Mamülde","KM'de"}))))))</f>
        <v/>
      </c>
      <c r="AA901" s="24" t="str">
        <f t="shared" ca="1" si="240"/>
        <v/>
      </c>
      <c r="AB901" s="22"/>
      <c r="AD901" t="str">
        <f>IF(OR($B901="",NOT(ISNUMBER(G901))),"",IF(COUNTIF(H901:$T901,G901)&gt;0,0,IF(COUNTIF($G901:$T901,"&gt;"&amp;G901)=0,"",SMALL($G901:$T901,COUNTIF($G901:$T901,"&lt;="&amp;G901)+1)-G901)))</f>
        <v/>
      </c>
      <c r="AE901" t="str">
        <f>IF(OR($B901="",NOT(ISNUMBER(H901))),"",IF(COUNTIF(I901:$T901,H901)&gt;0,0,IF(COUNTIF($G901:$T901,"&gt;"&amp;H901)=0,"",SMALL($G901:$T901,COUNTIF($G901:$T901,"&lt;="&amp;H901)+1)-H901)))</f>
        <v/>
      </c>
      <c r="AF901" t="str">
        <f>IF(OR($B901="",NOT(ISNUMBER(I901))),"",IF(COUNTIF(J901:$T901,I901)&gt;0,0,IF(COUNTIF($G901:$T901,"&gt;"&amp;I901)=0,"",SMALL($G901:$T901,COUNTIF($G901:$T901,"&lt;="&amp;I901)+1)-I901)))</f>
        <v/>
      </c>
      <c r="AG901" t="str">
        <f>IF(OR($B901="",NOT(ISNUMBER(J901))),"",IF(COUNTIF(K901:$T901,J901)&gt;0,0,IF(COUNTIF($G901:$T901,"&gt;"&amp;J901)=0,"",SMALL($G901:$T901,COUNTIF($G901:$T901,"&lt;="&amp;J901)+1)-J901)))</f>
        <v/>
      </c>
      <c r="AH901" t="str">
        <f>IF(OR($B901="",NOT(ISNUMBER(K901))),"",IF(COUNTIF(L901:$T901,K901)&gt;0,0,IF(COUNTIF($G901:$T901,"&gt;"&amp;K901)=0,"",SMALL($G901:$T901,COUNTIF($G901:$T901,"&lt;="&amp;K901)+1)-K901)))</f>
        <v/>
      </c>
      <c r="AI901" t="str">
        <f>IF(OR($B901="",NOT(ISNUMBER(L901))),"",IF(COUNTIF(M901:$T901,L901)&gt;0,0,IF(COUNTIF($G901:$T901,"&gt;"&amp;L901)=0,"",SMALL($G901:$T901,COUNTIF($G901:$T901,"&lt;="&amp;L901)+1)-L901)))</f>
        <v/>
      </c>
      <c r="AJ901" t="str">
        <f>IF(OR($B901="",NOT(ISNUMBER(M901))),"",IF(COUNTIF(N901:$T901,M901)&gt;0,0,IF(COUNTIF($G901:$T901,"&gt;"&amp;M901)=0,"",SMALL($G901:$T901,COUNTIF($G901:$T901,"&lt;="&amp;M901)+1)-M901)))</f>
        <v/>
      </c>
      <c r="AK901" t="str">
        <f>IF(OR($B901="",NOT(ISNUMBER(N901))),"",IF(COUNTIF(O901:$T901,N901)&gt;0,0,IF(COUNTIF($G901:$T901,"&gt;"&amp;N901)=0,"",SMALL($G901:$T901,COUNTIF($G901:$T901,"&lt;="&amp;N901)+1)-N901)))</f>
        <v/>
      </c>
      <c r="AL901" t="str">
        <f>IF(OR($B901="",NOT(ISNUMBER(O901))),"",IF(COUNTIF(P901:$T901,O901)&gt;0,0,IF(COUNTIF($G901:$T901,"&gt;"&amp;O901)=0,"",SMALL($G901:$T901,COUNTIF($G901:$T901,"&lt;="&amp;O901)+1)-O901)))</f>
        <v/>
      </c>
      <c r="AM901" t="str">
        <f>IF(OR($B901="",NOT(ISNUMBER(P901))),"",IF(COUNTIF(Q901:$T901,P901)&gt;0,0,IF(COUNTIF($G901:$T901,"&gt;"&amp;P901)=0,"",SMALL($G901:$T901,COUNTIF($G901:$T901,"&lt;="&amp;P901)+1)-P901)))</f>
        <v/>
      </c>
      <c r="AN901" t="str">
        <f>IF(OR($B901="",NOT(ISNUMBER(Q901))),"",IF(COUNTIF(R901:$T901,Q901)&gt;0,0,IF(COUNTIF($G901:$T901,"&gt;"&amp;Q901)=0,"",SMALL($G901:$T901,COUNTIF($G901:$T901,"&lt;="&amp;Q901)+1)-Q901)))</f>
        <v/>
      </c>
      <c r="AO901" t="str">
        <f>IF(OR($B901="",NOT(ISNUMBER(R901))),"",IF(COUNTIF(S901:$T901,R901)&gt;0,0,IF(COUNTIF($G901:$T901,"&gt;"&amp;R901)=0,"",SMALL($G901:$T901,COUNTIF($G901:$T901,"&lt;="&amp;R901)+1)-R901)))</f>
        <v/>
      </c>
      <c r="AP901">
        <f t="shared" ca="1" si="241"/>
        <v>0</v>
      </c>
      <c r="AQ901" s="25" t="str">
        <f t="shared" si="242"/>
        <v/>
      </c>
      <c r="AR901" s="25" t="str">
        <f t="shared" si="243"/>
        <v/>
      </c>
      <c r="AS901" s="25" t="str">
        <f t="shared" si="244"/>
        <v/>
      </c>
      <c r="AT901" s="25" t="str">
        <f t="shared" si="245"/>
        <v/>
      </c>
      <c r="AU901" s="25" t="str">
        <f t="shared" si="246"/>
        <v/>
      </c>
      <c r="AV901" s="25" t="str">
        <f t="shared" si="247"/>
        <v/>
      </c>
      <c r="AW901" s="25" t="str">
        <f t="shared" si="248"/>
        <v/>
      </c>
      <c r="AX901" s="25" t="str">
        <f t="shared" si="249"/>
        <v/>
      </c>
      <c r="AY901" s="25" t="str">
        <f t="shared" si="250"/>
        <v/>
      </c>
      <c r="AZ901" s="25" t="str">
        <f t="shared" si="251"/>
        <v/>
      </c>
      <c r="BA901" s="25" t="str">
        <f t="shared" si="252"/>
        <v/>
      </c>
      <c r="BB901" s="25" t="str">
        <f t="shared" si="253"/>
        <v/>
      </c>
      <c r="BC901" s="25" t="str">
        <f t="shared" si="254"/>
        <v/>
      </c>
    </row>
    <row r="902" spans="1:55" x14ac:dyDescent="0.25">
      <c r="A902" s="19" t="str">
        <f t="shared" si="239"/>
        <v/>
      </c>
      <c r="B902" s="19"/>
      <c r="C902" s="20"/>
      <c r="D902" s="19" t="str">
        <f t="shared" si="238"/>
        <v/>
      </c>
      <c r="E902" s="19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19"/>
      <c r="U902" s="19"/>
      <c r="V902" s="20"/>
      <c r="W902" s="22"/>
      <c r="X902" s="21"/>
      <c r="Y902" s="21"/>
      <c r="Z902" s="23" t="str">
        <f>IF(B902="","",IF(S902&lt;&gt;"","Sevk Edildi",IF(AND(X902&lt;&gt;"",Y902=""),"Reworkte",IF(T902&lt;&gt;"","Kapandı"&amp;IF(COUNT(G902:R902)=0,""," – "&amp;LOOKUP(2,1/(G902:R902=MAX(G902:R902)),{"Tasarım","Ply Cutter","Üretim","Kalite (Üretim sonrası)","Talaşlı","Kalite (Talaşlı sonrası)","Montaj","Kalite (Montaj sonrası)","Boya","Kalite (Boya sonrası)","Yarı Mamül","KM"})),IF(COUNT(G902:R902)=0,"Başlamadı",LOOKUP(2,1/(G902:R902=MAX(G902:R902)),{"Tasarımda","Ply Cutter'da","Üretimde","Kalitede (Üretim sonrası)","Talaşlıda","Kalitede (Talaşlı sonrası)","Montajda","Kalitede (Montaj sonrası)","Boyada","Kalitede (Boya sonrası)","Yarı Mamülde","KM'de"}))))))</f>
        <v/>
      </c>
      <c r="AA902" s="24" t="str">
        <f t="shared" ca="1" si="240"/>
        <v/>
      </c>
      <c r="AB902" s="22"/>
      <c r="AD902" t="str">
        <f>IF(OR($B902="",NOT(ISNUMBER(G902))),"",IF(COUNTIF(H902:$T902,G902)&gt;0,0,IF(COUNTIF($G902:$T902,"&gt;"&amp;G902)=0,"",SMALL($G902:$T902,COUNTIF($G902:$T902,"&lt;="&amp;G902)+1)-G902)))</f>
        <v/>
      </c>
      <c r="AE902" t="str">
        <f>IF(OR($B902="",NOT(ISNUMBER(H902))),"",IF(COUNTIF(I902:$T902,H902)&gt;0,0,IF(COUNTIF($G902:$T902,"&gt;"&amp;H902)=0,"",SMALL($G902:$T902,COUNTIF($G902:$T902,"&lt;="&amp;H902)+1)-H902)))</f>
        <v/>
      </c>
      <c r="AF902" t="str">
        <f>IF(OR($B902="",NOT(ISNUMBER(I902))),"",IF(COUNTIF(J902:$T902,I902)&gt;0,0,IF(COUNTIF($G902:$T902,"&gt;"&amp;I902)=0,"",SMALL($G902:$T902,COUNTIF($G902:$T902,"&lt;="&amp;I902)+1)-I902)))</f>
        <v/>
      </c>
      <c r="AG902" t="str">
        <f>IF(OR($B902="",NOT(ISNUMBER(J902))),"",IF(COUNTIF(K902:$T902,J902)&gt;0,0,IF(COUNTIF($G902:$T902,"&gt;"&amp;J902)=0,"",SMALL($G902:$T902,COUNTIF($G902:$T902,"&lt;="&amp;J902)+1)-J902)))</f>
        <v/>
      </c>
      <c r="AH902" t="str">
        <f>IF(OR($B902="",NOT(ISNUMBER(K902))),"",IF(COUNTIF(L902:$T902,K902)&gt;0,0,IF(COUNTIF($G902:$T902,"&gt;"&amp;K902)=0,"",SMALL($G902:$T902,COUNTIF($G902:$T902,"&lt;="&amp;K902)+1)-K902)))</f>
        <v/>
      </c>
      <c r="AI902" t="str">
        <f>IF(OR($B902="",NOT(ISNUMBER(L902))),"",IF(COUNTIF(M902:$T902,L902)&gt;0,0,IF(COUNTIF($G902:$T902,"&gt;"&amp;L902)=0,"",SMALL($G902:$T902,COUNTIF($G902:$T902,"&lt;="&amp;L902)+1)-L902)))</f>
        <v/>
      </c>
      <c r="AJ902" t="str">
        <f>IF(OR($B902="",NOT(ISNUMBER(M902))),"",IF(COUNTIF(N902:$T902,M902)&gt;0,0,IF(COUNTIF($G902:$T902,"&gt;"&amp;M902)=0,"",SMALL($G902:$T902,COUNTIF($G902:$T902,"&lt;="&amp;M902)+1)-M902)))</f>
        <v/>
      </c>
      <c r="AK902" t="str">
        <f>IF(OR($B902="",NOT(ISNUMBER(N902))),"",IF(COUNTIF(O902:$T902,N902)&gt;0,0,IF(COUNTIF($G902:$T902,"&gt;"&amp;N902)=0,"",SMALL($G902:$T902,COUNTIF($G902:$T902,"&lt;="&amp;N902)+1)-N902)))</f>
        <v/>
      </c>
      <c r="AL902" t="str">
        <f>IF(OR($B902="",NOT(ISNUMBER(O902))),"",IF(COUNTIF(P902:$T902,O902)&gt;0,0,IF(COUNTIF($G902:$T902,"&gt;"&amp;O902)=0,"",SMALL($G902:$T902,COUNTIF($G902:$T902,"&lt;="&amp;O902)+1)-O902)))</f>
        <v/>
      </c>
      <c r="AM902" t="str">
        <f>IF(OR($B902="",NOT(ISNUMBER(P902))),"",IF(COUNTIF(Q902:$T902,P902)&gt;0,0,IF(COUNTIF($G902:$T902,"&gt;"&amp;P902)=0,"",SMALL($G902:$T902,COUNTIF($G902:$T902,"&lt;="&amp;P902)+1)-P902)))</f>
        <v/>
      </c>
      <c r="AN902" t="str">
        <f>IF(OR($B902="",NOT(ISNUMBER(Q902))),"",IF(COUNTIF(R902:$T902,Q902)&gt;0,0,IF(COUNTIF($G902:$T902,"&gt;"&amp;Q902)=0,"",SMALL($G902:$T902,COUNTIF($G902:$T902,"&lt;="&amp;Q902)+1)-Q902)))</f>
        <v/>
      </c>
      <c r="AO902" t="str">
        <f>IF(OR($B902="",NOT(ISNUMBER(R902))),"",IF(COUNTIF(S902:$T902,R902)&gt;0,0,IF(COUNTIF($G902:$T902,"&gt;"&amp;R902)=0,"",SMALL($G902:$T902,COUNTIF($G902:$T902,"&lt;="&amp;R902)+1)-R902)))</f>
        <v/>
      </c>
      <c r="AP902">
        <f t="shared" ca="1" si="241"/>
        <v>0</v>
      </c>
      <c r="AQ902" s="25" t="str">
        <f t="shared" si="242"/>
        <v/>
      </c>
      <c r="AR902" s="25" t="str">
        <f t="shared" si="243"/>
        <v/>
      </c>
      <c r="AS902" s="25" t="str">
        <f t="shared" si="244"/>
        <v/>
      </c>
      <c r="AT902" s="25" t="str">
        <f t="shared" si="245"/>
        <v/>
      </c>
      <c r="AU902" s="25" t="str">
        <f t="shared" si="246"/>
        <v/>
      </c>
      <c r="AV902" s="25" t="str">
        <f t="shared" si="247"/>
        <v/>
      </c>
      <c r="AW902" s="25" t="str">
        <f t="shared" si="248"/>
        <v/>
      </c>
      <c r="AX902" s="25" t="str">
        <f t="shared" si="249"/>
        <v/>
      </c>
      <c r="AY902" s="25" t="str">
        <f t="shared" si="250"/>
        <v/>
      </c>
      <c r="AZ902" s="25" t="str">
        <f t="shared" si="251"/>
        <v/>
      </c>
      <c r="BA902" s="25" t="str">
        <f t="shared" si="252"/>
        <v/>
      </c>
      <c r="BB902" s="25" t="str">
        <f t="shared" si="253"/>
        <v/>
      </c>
      <c r="BC902" s="25" t="str">
        <f t="shared" si="254"/>
        <v/>
      </c>
    </row>
    <row r="903" spans="1:55" x14ac:dyDescent="0.25">
      <c r="A903" s="19" t="str">
        <f t="shared" si="239"/>
        <v/>
      </c>
      <c r="B903" s="19"/>
      <c r="C903" s="20"/>
      <c r="D903" s="19" t="str">
        <f t="shared" si="238"/>
        <v/>
      </c>
      <c r="E903" s="19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19"/>
      <c r="U903" s="19"/>
      <c r="V903" s="20"/>
      <c r="W903" s="22"/>
      <c r="X903" s="21"/>
      <c r="Y903" s="21"/>
      <c r="Z903" s="23" t="str">
        <f>IF(B903="","",IF(S903&lt;&gt;"","Sevk Edildi",IF(AND(X903&lt;&gt;"",Y903=""),"Reworkte",IF(T903&lt;&gt;"","Kapandı"&amp;IF(COUNT(G903:R903)=0,""," – "&amp;LOOKUP(2,1/(G903:R903=MAX(G903:R903)),{"Tasarım","Ply Cutter","Üretim","Kalite (Üretim sonrası)","Talaşlı","Kalite (Talaşlı sonrası)","Montaj","Kalite (Montaj sonrası)","Boya","Kalite (Boya sonrası)","Yarı Mamül","KM"})),IF(COUNT(G903:R903)=0,"Başlamadı",LOOKUP(2,1/(G903:R903=MAX(G903:R903)),{"Tasarımda","Ply Cutter'da","Üretimde","Kalitede (Üretim sonrası)","Talaşlıda","Kalitede (Talaşlı sonrası)","Montajda","Kalitede (Montaj sonrası)","Boyada","Kalitede (Boya sonrası)","Yarı Mamülde","KM'de"}))))))</f>
        <v/>
      </c>
      <c r="AA903" s="24" t="str">
        <f t="shared" ca="1" si="240"/>
        <v/>
      </c>
      <c r="AB903" s="22"/>
      <c r="AD903" t="str">
        <f>IF(OR($B903="",NOT(ISNUMBER(G903))),"",IF(COUNTIF(H903:$T903,G903)&gt;0,0,IF(COUNTIF($G903:$T903,"&gt;"&amp;G903)=0,"",SMALL($G903:$T903,COUNTIF($G903:$T903,"&lt;="&amp;G903)+1)-G903)))</f>
        <v/>
      </c>
      <c r="AE903" t="str">
        <f>IF(OR($B903="",NOT(ISNUMBER(H903))),"",IF(COUNTIF(I903:$T903,H903)&gt;0,0,IF(COUNTIF($G903:$T903,"&gt;"&amp;H903)=0,"",SMALL($G903:$T903,COUNTIF($G903:$T903,"&lt;="&amp;H903)+1)-H903)))</f>
        <v/>
      </c>
      <c r="AF903" t="str">
        <f>IF(OR($B903="",NOT(ISNUMBER(I903))),"",IF(COUNTIF(J903:$T903,I903)&gt;0,0,IF(COUNTIF($G903:$T903,"&gt;"&amp;I903)=0,"",SMALL($G903:$T903,COUNTIF($G903:$T903,"&lt;="&amp;I903)+1)-I903)))</f>
        <v/>
      </c>
      <c r="AG903" t="str">
        <f>IF(OR($B903="",NOT(ISNUMBER(J903))),"",IF(COUNTIF(K903:$T903,J903)&gt;0,0,IF(COUNTIF($G903:$T903,"&gt;"&amp;J903)=0,"",SMALL($G903:$T903,COUNTIF($G903:$T903,"&lt;="&amp;J903)+1)-J903)))</f>
        <v/>
      </c>
      <c r="AH903" t="str">
        <f>IF(OR($B903="",NOT(ISNUMBER(K903))),"",IF(COUNTIF(L903:$T903,K903)&gt;0,0,IF(COUNTIF($G903:$T903,"&gt;"&amp;K903)=0,"",SMALL($G903:$T903,COUNTIF($G903:$T903,"&lt;="&amp;K903)+1)-K903)))</f>
        <v/>
      </c>
      <c r="AI903" t="str">
        <f>IF(OR($B903="",NOT(ISNUMBER(L903))),"",IF(COUNTIF(M903:$T903,L903)&gt;0,0,IF(COUNTIF($G903:$T903,"&gt;"&amp;L903)=0,"",SMALL($G903:$T903,COUNTIF($G903:$T903,"&lt;="&amp;L903)+1)-L903)))</f>
        <v/>
      </c>
      <c r="AJ903" t="str">
        <f>IF(OR($B903="",NOT(ISNUMBER(M903))),"",IF(COUNTIF(N903:$T903,M903)&gt;0,0,IF(COUNTIF($G903:$T903,"&gt;"&amp;M903)=0,"",SMALL($G903:$T903,COUNTIF($G903:$T903,"&lt;="&amp;M903)+1)-M903)))</f>
        <v/>
      </c>
      <c r="AK903" t="str">
        <f>IF(OR($B903="",NOT(ISNUMBER(N903))),"",IF(COUNTIF(O903:$T903,N903)&gt;0,0,IF(COUNTIF($G903:$T903,"&gt;"&amp;N903)=0,"",SMALL($G903:$T903,COUNTIF($G903:$T903,"&lt;="&amp;N903)+1)-N903)))</f>
        <v/>
      </c>
      <c r="AL903" t="str">
        <f>IF(OR($B903="",NOT(ISNUMBER(O903))),"",IF(COUNTIF(P903:$T903,O903)&gt;0,0,IF(COUNTIF($G903:$T903,"&gt;"&amp;O903)=0,"",SMALL($G903:$T903,COUNTIF($G903:$T903,"&lt;="&amp;O903)+1)-O903)))</f>
        <v/>
      </c>
      <c r="AM903" t="str">
        <f>IF(OR($B903="",NOT(ISNUMBER(P903))),"",IF(COUNTIF(Q903:$T903,P903)&gt;0,0,IF(COUNTIF($G903:$T903,"&gt;"&amp;P903)=0,"",SMALL($G903:$T903,COUNTIF($G903:$T903,"&lt;="&amp;P903)+1)-P903)))</f>
        <v/>
      </c>
      <c r="AN903" t="str">
        <f>IF(OR($B903="",NOT(ISNUMBER(Q903))),"",IF(COUNTIF(R903:$T903,Q903)&gt;0,0,IF(COUNTIF($G903:$T903,"&gt;"&amp;Q903)=0,"",SMALL($G903:$T903,COUNTIF($G903:$T903,"&lt;="&amp;Q903)+1)-Q903)))</f>
        <v/>
      </c>
      <c r="AO903" t="str">
        <f>IF(OR($B903="",NOT(ISNUMBER(R903))),"",IF(COUNTIF(S903:$T903,R903)&gt;0,0,IF(COUNTIF($G903:$T903,"&gt;"&amp;R903)=0,"",SMALL($G903:$T903,COUNTIF($G903:$T903,"&lt;="&amp;R903)+1)-R903)))</f>
        <v/>
      </c>
      <c r="AP903">
        <f t="shared" ca="1" si="241"/>
        <v>0</v>
      </c>
      <c r="AQ903" s="25" t="str">
        <f t="shared" si="242"/>
        <v/>
      </c>
      <c r="AR903" s="25" t="str">
        <f t="shared" si="243"/>
        <v/>
      </c>
      <c r="AS903" s="25" t="str">
        <f t="shared" si="244"/>
        <v/>
      </c>
      <c r="AT903" s="25" t="str">
        <f t="shared" si="245"/>
        <v/>
      </c>
      <c r="AU903" s="25" t="str">
        <f t="shared" si="246"/>
        <v/>
      </c>
      <c r="AV903" s="25" t="str">
        <f t="shared" si="247"/>
        <v/>
      </c>
      <c r="AW903" s="25" t="str">
        <f t="shared" si="248"/>
        <v/>
      </c>
      <c r="AX903" s="25" t="str">
        <f t="shared" si="249"/>
        <v/>
      </c>
      <c r="AY903" s="25" t="str">
        <f t="shared" si="250"/>
        <v/>
      </c>
      <c r="AZ903" s="25" t="str">
        <f t="shared" si="251"/>
        <v/>
      </c>
      <c r="BA903" s="25" t="str">
        <f t="shared" si="252"/>
        <v/>
      </c>
      <c r="BB903" s="25" t="str">
        <f t="shared" si="253"/>
        <v/>
      </c>
      <c r="BC903" s="25" t="str">
        <f t="shared" si="254"/>
        <v/>
      </c>
    </row>
    <row r="904" spans="1:55" x14ac:dyDescent="0.25">
      <c r="A904" s="19" t="str">
        <f t="shared" si="239"/>
        <v/>
      </c>
      <c r="B904" s="19"/>
      <c r="C904" s="20"/>
      <c r="D904" s="19" t="str">
        <f t="shared" si="238"/>
        <v/>
      </c>
      <c r="E904" s="19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19"/>
      <c r="U904" s="19"/>
      <c r="V904" s="20"/>
      <c r="W904" s="22"/>
      <c r="X904" s="21"/>
      <c r="Y904" s="21"/>
      <c r="Z904" s="23" t="str">
        <f>IF(B904="","",IF(S904&lt;&gt;"","Sevk Edildi",IF(AND(X904&lt;&gt;"",Y904=""),"Reworkte",IF(T904&lt;&gt;"","Kapandı"&amp;IF(COUNT(G904:R904)=0,""," – "&amp;LOOKUP(2,1/(G904:R904=MAX(G904:R904)),{"Tasarım","Ply Cutter","Üretim","Kalite (Üretim sonrası)","Talaşlı","Kalite (Talaşlı sonrası)","Montaj","Kalite (Montaj sonrası)","Boya","Kalite (Boya sonrası)","Yarı Mamül","KM"})),IF(COUNT(G904:R904)=0,"Başlamadı",LOOKUP(2,1/(G904:R904=MAX(G904:R904)),{"Tasarımda","Ply Cutter'da","Üretimde","Kalitede (Üretim sonrası)","Talaşlıda","Kalitede (Talaşlı sonrası)","Montajda","Kalitede (Montaj sonrası)","Boyada","Kalitede (Boya sonrası)","Yarı Mamülde","KM'de"}))))))</f>
        <v/>
      </c>
      <c r="AA904" s="24" t="str">
        <f t="shared" ca="1" si="240"/>
        <v/>
      </c>
      <c r="AB904" s="22"/>
      <c r="AD904" t="str">
        <f>IF(OR($B904="",NOT(ISNUMBER(G904))),"",IF(COUNTIF(H904:$T904,G904)&gt;0,0,IF(COUNTIF($G904:$T904,"&gt;"&amp;G904)=0,"",SMALL($G904:$T904,COUNTIF($G904:$T904,"&lt;="&amp;G904)+1)-G904)))</f>
        <v/>
      </c>
      <c r="AE904" t="str">
        <f>IF(OR($B904="",NOT(ISNUMBER(H904))),"",IF(COUNTIF(I904:$T904,H904)&gt;0,0,IF(COUNTIF($G904:$T904,"&gt;"&amp;H904)=0,"",SMALL($G904:$T904,COUNTIF($G904:$T904,"&lt;="&amp;H904)+1)-H904)))</f>
        <v/>
      </c>
      <c r="AF904" t="str">
        <f>IF(OR($B904="",NOT(ISNUMBER(I904))),"",IF(COUNTIF(J904:$T904,I904)&gt;0,0,IF(COUNTIF($G904:$T904,"&gt;"&amp;I904)=0,"",SMALL($G904:$T904,COUNTIF($G904:$T904,"&lt;="&amp;I904)+1)-I904)))</f>
        <v/>
      </c>
      <c r="AG904" t="str">
        <f>IF(OR($B904="",NOT(ISNUMBER(J904))),"",IF(COUNTIF(K904:$T904,J904)&gt;0,0,IF(COUNTIF($G904:$T904,"&gt;"&amp;J904)=0,"",SMALL($G904:$T904,COUNTIF($G904:$T904,"&lt;="&amp;J904)+1)-J904)))</f>
        <v/>
      </c>
      <c r="AH904" t="str">
        <f>IF(OR($B904="",NOT(ISNUMBER(K904))),"",IF(COUNTIF(L904:$T904,K904)&gt;0,0,IF(COUNTIF($G904:$T904,"&gt;"&amp;K904)=0,"",SMALL($G904:$T904,COUNTIF($G904:$T904,"&lt;="&amp;K904)+1)-K904)))</f>
        <v/>
      </c>
      <c r="AI904" t="str">
        <f>IF(OR($B904="",NOT(ISNUMBER(L904))),"",IF(COUNTIF(M904:$T904,L904)&gt;0,0,IF(COUNTIF($G904:$T904,"&gt;"&amp;L904)=0,"",SMALL($G904:$T904,COUNTIF($G904:$T904,"&lt;="&amp;L904)+1)-L904)))</f>
        <v/>
      </c>
      <c r="AJ904" t="str">
        <f>IF(OR($B904="",NOT(ISNUMBER(M904))),"",IF(COUNTIF(N904:$T904,M904)&gt;0,0,IF(COUNTIF($G904:$T904,"&gt;"&amp;M904)=0,"",SMALL($G904:$T904,COUNTIF($G904:$T904,"&lt;="&amp;M904)+1)-M904)))</f>
        <v/>
      </c>
      <c r="AK904" t="str">
        <f>IF(OR($B904="",NOT(ISNUMBER(N904))),"",IF(COUNTIF(O904:$T904,N904)&gt;0,0,IF(COUNTIF($G904:$T904,"&gt;"&amp;N904)=0,"",SMALL($G904:$T904,COUNTIF($G904:$T904,"&lt;="&amp;N904)+1)-N904)))</f>
        <v/>
      </c>
      <c r="AL904" t="str">
        <f>IF(OR($B904="",NOT(ISNUMBER(O904))),"",IF(COUNTIF(P904:$T904,O904)&gt;0,0,IF(COUNTIF($G904:$T904,"&gt;"&amp;O904)=0,"",SMALL($G904:$T904,COUNTIF($G904:$T904,"&lt;="&amp;O904)+1)-O904)))</f>
        <v/>
      </c>
      <c r="AM904" t="str">
        <f>IF(OR($B904="",NOT(ISNUMBER(P904))),"",IF(COUNTIF(Q904:$T904,P904)&gt;0,0,IF(COUNTIF($G904:$T904,"&gt;"&amp;P904)=0,"",SMALL($G904:$T904,COUNTIF($G904:$T904,"&lt;="&amp;P904)+1)-P904)))</f>
        <v/>
      </c>
      <c r="AN904" t="str">
        <f>IF(OR($B904="",NOT(ISNUMBER(Q904))),"",IF(COUNTIF(R904:$T904,Q904)&gt;0,0,IF(COUNTIF($G904:$T904,"&gt;"&amp;Q904)=0,"",SMALL($G904:$T904,COUNTIF($G904:$T904,"&lt;="&amp;Q904)+1)-Q904)))</f>
        <v/>
      </c>
      <c r="AO904" t="str">
        <f>IF(OR($B904="",NOT(ISNUMBER(R904))),"",IF(COUNTIF(S904:$T904,R904)&gt;0,0,IF(COUNTIF($G904:$T904,"&gt;"&amp;R904)=0,"",SMALL($G904:$T904,COUNTIF($G904:$T904,"&lt;="&amp;R904)+1)-R904)))</f>
        <v/>
      </c>
      <c r="AP904">
        <f t="shared" ca="1" si="241"/>
        <v>0</v>
      </c>
      <c r="AQ904" s="25" t="str">
        <f t="shared" si="242"/>
        <v/>
      </c>
      <c r="AR904" s="25" t="str">
        <f t="shared" si="243"/>
        <v/>
      </c>
      <c r="AS904" s="25" t="str">
        <f t="shared" si="244"/>
        <v/>
      </c>
      <c r="AT904" s="25" t="str">
        <f t="shared" si="245"/>
        <v/>
      </c>
      <c r="AU904" s="25" t="str">
        <f t="shared" si="246"/>
        <v/>
      </c>
      <c r="AV904" s="25" t="str">
        <f t="shared" si="247"/>
        <v/>
      </c>
      <c r="AW904" s="25" t="str">
        <f t="shared" si="248"/>
        <v/>
      </c>
      <c r="AX904" s="25" t="str">
        <f t="shared" si="249"/>
        <v/>
      </c>
      <c r="AY904" s="25" t="str">
        <f t="shared" si="250"/>
        <v/>
      </c>
      <c r="AZ904" s="25" t="str">
        <f t="shared" si="251"/>
        <v/>
      </c>
      <c r="BA904" s="25" t="str">
        <f t="shared" si="252"/>
        <v/>
      </c>
      <c r="BB904" s="25" t="str">
        <f t="shared" si="253"/>
        <v/>
      </c>
      <c r="BC904" s="25" t="str">
        <f t="shared" si="254"/>
        <v/>
      </c>
    </row>
    <row r="905" spans="1:55" x14ac:dyDescent="0.25">
      <c r="A905" s="19" t="str">
        <f t="shared" si="239"/>
        <v/>
      </c>
      <c r="B905" s="19"/>
      <c r="C905" s="20"/>
      <c r="D905" s="19" t="str">
        <f t="shared" si="238"/>
        <v/>
      </c>
      <c r="E905" s="19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19"/>
      <c r="U905" s="19"/>
      <c r="V905" s="20"/>
      <c r="W905" s="22"/>
      <c r="X905" s="21"/>
      <c r="Y905" s="21"/>
      <c r="Z905" s="23" t="str">
        <f>IF(B905="","",IF(S905&lt;&gt;"","Sevk Edildi",IF(AND(X905&lt;&gt;"",Y905=""),"Reworkte",IF(T905&lt;&gt;"","Kapandı"&amp;IF(COUNT(G905:R905)=0,""," – "&amp;LOOKUP(2,1/(G905:R905=MAX(G905:R905)),{"Tasarım","Ply Cutter","Üretim","Kalite (Üretim sonrası)","Talaşlı","Kalite (Talaşlı sonrası)","Montaj","Kalite (Montaj sonrası)","Boya","Kalite (Boya sonrası)","Yarı Mamül","KM"})),IF(COUNT(G905:R905)=0,"Başlamadı",LOOKUP(2,1/(G905:R905=MAX(G905:R905)),{"Tasarımda","Ply Cutter'da","Üretimde","Kalitede (Üretim sonrası)","Talaşlıda","Kalitede (Talaşlı sonrası)","Montajda","Kalitede (Montaj sonrası)","Boyada","Kalitede (Boya sonrası)","Yarı Mamülde","KM'de"}))))))</f>
        <v/>
      </c>
      <c r="AA905" s="24" t="str">
        <f t="shared" ca="1" si="240"/>
        <v/>
      </c>
      <c r="AB905" s="22"/>
      <c r="AD905" t="str">
        <f>IF(OR($B905="",NOT(ISNUMBER(G905))),"",IF(COUNTIF(H905:$T905,G905)&gt;0,0,IF(COUNTIF($G905:$T905,"&gt;"&amp;G905)=0,"",SMALL($G905:$T905,COUNTIF($G905:$T905,"&lt;="&amp;G905)+1)-G905)))</f>
        <v/>
      </c>
      <c r="AE905" t="str">
        <f>IF(OR($B905="",NOT(ISNUMBER(H905))),"",IF(COUNTIF(I905:$T905,H905)&gt;0,0,IF(COUNTIF($G905:$T905,"&gt;"&amp;H905)=0,"",SMALL($G905:$T905,COUNTIF($G905:$T905,"&lt;="&amp;H905)+1)-H905)))</f>
        <v/>
      </c>
      <c r="AF905" t="str">
        <f>IF(OR($B905="",NOT(ISNUMBER(I905))),"",IF(COUNTIF(J905:$T905,I905)&gt;0,0,IF(COUNTIF($G905:$T905,"&gt;"&amp;I905)=0,"",SMALL($G905:$T905,COUNTIF($G905:$T905,"&lt;="&amp;I905)+1)-I905)))</f>
        <v/>
      </c>
      <c r="AG905" t="str">
        <f>IF(OR($B905="",NOT(ISNUMBER(J905))),"",IF(COUNTIF(K905:$T905,J905)&gt;0,0,IF(COUNTIF($G905:$T905,"&gt;"&amp;J905)=0,"",SMALL($G905:$T905,COUNTIF($G905:$T905,"&lt;="&amp;J905)+1)-J905)))</f>
        <v/>
      </c>
      <c r="AH905" t="str">
        <f>IF(OR($B905="",NOT(ISNUMBER(K905))),"",IF(COUNTIF(L905:$T905,K905)&gt;0,0,IF(COUNTIF($G905:$T905,"&gt;"&amp;K905)=0,"",SMALL($G905:$T905,COUNTIF($G905:$T905,"&lt;="&amp;K905)+1)-K905)))</f>
        <v/>
      </c>
      <c r="AI905" t="str">
        <f>IF(OR($B905="",NOT(ISNUMBER(L905))),"",IF(COUNTIF(M905:$T905,L905)&gt;0,0,IF(COUNTIF($G905:$T905,"&gt;"&amp;L905)=0,"",SMALL($G905:$T905,COUNTIF($G905:$T905,"&lt;="&amp;L905)+1)-L905)))</f>
        <v/>
      </c>
      <c r="AJ905" t="str">
        <f>IF(OR($B905="",NOT(ISNUMBER(M905))),"",IF(COUNTIF(N905:$T905,M905)&gt;0,0,IF(COUNTIF($G905:$T905,"&gt;"&amp;M905)=0,"",SMALL($G905:$T905,COUNTIF($G905:$T905,"&lt;="&amp;M905)+1)-M905)))</f>
        <v/>
      </c>
      <c r="AK905" t="str">
        <f>IF(OR($B905="",NOT(ISNUMBER(N905))),"",IF(COUNTIF(O905:$T905,N905)&gt;0,0,IF(COUNTIF($G905:$T905,"&gt;"&amp;N905)=0,"",SMALL($G905:$T905,COUNTIF($G905:$T905,"&lt;="&amp;N905)+1)-N905)))</f>
        <v/>
      </c>
      <c r="AL905" t="str">
        <f>IF(OR($B905="",NOT(ISNUMBER(O905))),"",IF(COUNTIF(P905:$T905,O905)&gt;0,0,IF(COUNTIF($G905:$T905,"&gt;"&amp;O905)=0,"",SMALL($G905:$T905,COUNTIF($G905:$T905,"&lt;="&amp;O905)+1)-O905)))</f>
        <v/>
      </c>
      <c r="AM905" t="str">
        <f>IF(OR($B905="",NOT(ISNUMBER(P905))),"",IF(COUNTIF(Q905:$T905,P905)&gt;0,0,IF(COUNTIF($G905:$T905,"&gt;"&amp;P905)=0,"",SMALL($G905:$T905,COUNTIF($G905:$T905,"&lt;="&amp;P905)+1)-P905)))</f>
        <v/>
      </c>
      <c r="AN905" t="str">
        <f>IF(OR($B905="",NOT(ISNUMBER(Q905))),"",IF(COUNTIF(R905:$T905,Q905)&gt;0,0,IF(COUNTIF($G905:$T905,"&gt;"&amp;Q905)=0,"",SMALL($G905:$T905,COUNTIF($G905:$T905,"&lt;="&amp;Q905)+1)-Q905)))</f>
        <v/>
      </c>
      <c r="AO905" t="str">
        <f>IF(OR($B905="",NOT(ISNUMBER(R905))),"",IF(COUNTIF(S905:$T905,R905)&gt;0,0,IF(COUNTIF($G905:$T905,"&gt;"&amp;R905)=0,"",SMALL($G905:$T905,COUNTIF($G905:$T905,"&lt;="&amp;R905)+1)-R905)))</f>
        <v/>
      </c>
      <c r="AP905">
        <f t="shared" ca="1" si="241"/>
        <v>0</v>
      </c>
      <c r="AQ905" s="25" t="str">
        <f t="shared" si="242"/>
        <v/>
      </c>
      <c r="AR905" s="25" t="str">
        <f t="shared" si="243"/>
        <v/>
      </c>
      <c r="AS905" s="25" t="str">
        <f t="shared" si="244"/>
        <v/>
      </c>
      <c r="AT905" s="25" t="str">
        <f t="shared" si="245"/>
        <v/>
      </c>
      <c r="AU905" s="25" t="str">
        <f t="shared" si="246"/>
        <v/>
      </c>
      <c r="AV905" s="25" t="str">
        <f t="shared" si="247"/>
        <v/>
      </c>
      <c r="AW905" s="25" t="str">
        <f t="shared" si="248"/>
        <v/>
      </c>
      <c r="AX905" s="25" t="str">
        <f t="shared" si="249"/>
        <v/>
      </c>
      <c r="AY905" s="25" t="str">
        <f t="shared" si="250"/>
        <v/>
      </c>
      <c r="AZ905" s="25" t="str">
        <f t="shared" si="251"/>
        <v/>
      </c>
      <c r="BA905" s="25" t="str">
        <f t="shared" si="252"/>
        <v/>
      </c>
      <c r="BB905" s="25" t="str">
        <f t="shared" si="253"/>
        <v/>
      </c>
      <c r="BC905" s="25" t="str">
        <f t="shared" si="254"/>
        <v/>
      </c>
    </row>
    <row r="906" spans="1:55" x14ac:dyDescent="0.25">
      <c r="A906" s="19" t="str">
        <f t="shared" si="239"/>
        <v/>
      </c>
      <c r="B906" s="19"/>
      <c r="C906" s="20"/>
      <c r="D906" s="19" t="str">
        <f t="shared" si="238"/>
        <v/>
      </c>
      <c r="E906" s="19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19"/>
      <c r="U906" s="19"/>
      <c r="V906" s="20"/>
      <c r="W906" s="22"/>
      <c r="X906" s="21"/>
      <c r="Y906" s="21"/>
      <c r="Z906" s="23" t="str">
        <f>IF(B906="","",IF(S906&lt;&gt;"","Sevk Edildi",IF(AND(X906&lt;&gt;"",Y906=""),"Reworkte",IF(T906&lt;&gt;"","Kapandı"&amp;IF(COUNT(G906:R906)=0,""," – "&amp;LOOKUP(2,1/(G906:R906=MAX(G906:R906)),{"Tasarım","Ply Cutter","Üretim","Kalite (Üretim sonrası)","Talaşlı","Kalite (Talaşlı sonrası)","Montaj","Kalite (Montaj sonrası)","Boya","Kalite (Boya sonrası)","Yarı Mamül","KM"})),IF(COUNT(G906:R906)=0,"Başlamadı",LOOKUP(2,1/(G906:R906=MAX(G906:R906)),{"Tasarımda","Ply Cutter'da","Üretimde","Kalitede (Üretim sonrası)","Talaşlıda","Kalitede (Talaşlı sonrası)","Montajda","Kalitede (Montaj sonrası)","Boyada","Kalitede (Boya sonrası)","Yarı Mamülde","KM'de"}))))))</f>
        <v/>
      </c>
      <c r="AA906" s="24" t="str">
        <f t="shared" ca="1" si="240"/>
        <v/>
      </c>
      <c r="AB906" s="22"/>
      <c r="AD906" t="str">
        <f>IF(OR($B906="",NOT(ISNUMBER(G906))),"",IF(COUNTIF(H906:$T906,G906)&gt;0,0,IF(COUNTIF($G906:$T906,"&gt;"&amp;G906)=0,"",SMALL($G906:$T906,COUNTIF($G906:$T906,"&lt;="&amp;G906)+1)-G906)))</f>
        <v/>
      </c>
      <c r="AE906" t="str">
        <f>IF(OR($B906="",NOT(ISNUMBER(H906))),"",IF(COUNTIF(I906:$T906,H906)&gt;0,0,IF(COUNTIF($G906:$T906,"&gt;"&amp;H906)=0,"",SMALL($G906:$T906,COUNTIF($G906:$T906,"&lt;="&amp;H906)+1)-H906)))</f>
        <v/>
      </c>
      <c r="AF906" t="str">
        <f>IF(OR($B906="",NOT(ISNUMBER(I906))),"",IF(COUNTIF(J906:$T906,I906)&gt;0,0,IF(COUNTIF($G906:$T906,"&gt;"&amp;I906)=0,"",SMALL($G906:$T906,COUNTIF($G906:$T906,"&lt;="&amp;I906)+1)-I906)))</f>
        <v/>
      </c>
      <c r="AG906" t="str">
        <f>IF(OR($B906="",NOT(ISNUMBER(J906))),"",IF(COUNTIF(K906:$T906,J906)&gt;0,0,IF(COUNTIF($G906:$T906,"&gt;"&amp;J906)=0,"",SMALL($G906:$T906,COUNTIF($G906:$T906,"&lt;="&amp;J906)+1)-J906)))</f>
        <v/>
      </c>
      <c r="AH906" t="str">
        <f>IF(OR($B906="",NOT(ISNUMBER(K906))),"",IF(COUNTIF(L906:$T906,K906)&gt;0,0,IF(COUNTIF($G906:$T906,"&gt;"&amp;K906)=0,"",SMALL($G906:$T906,COUNTIF($G906:$T906,"&lt;="&amp;K906)+1)-K906)))</f>
        <v/>
      </c>
      <c r="AI906" t="str">
        <f>IF(OR($B906="",NOT(ISNUMBER(L906))),"",IF(COUNTIF(M906:$T906,L906)&gt;0,0,IF(COUNTIF($G906:$T906,"&gt;"&amp;L906)=0,"",SMALL($G906:$T906,COUNTIF($G906:$T906,"&lt;="&amp;L906)+1)-L906)))</f>
        <v/>
      </c>
      <c r="AJ906" t="str">
        <f>IF(OR($B906="",NOT(ISNUMBER(M906))),"",IF(COUNTIF(N906:$T906,M906)&gt;0,0,IF(COUNTIF($G906:$T906,"&gt;"&amp;M906)=0,"",SMALL($G906:$T906,COUNTIF($G906:$T906,"&lt;="&amp;M906)+1)-M906)))</f>
        <v/>
      </c>
      <c r="AK906" t="str">
        <f>IF(OR($B906="",NOT(ISNUMBER(N906))),"",IF(COUNTIF(O906:$T906,N906)&gt;0,0,IF(COUNTIF($G906:$T906,"&gt;"&amp;N906)=0,"",SMALL($G906:$T906,COUNTIF($G906:$T906,"&lt;="&amp;N906)+1)-N906)))</f>
        <v/>
      </c>
      <c r="AL906" t="str">
        <f>IF(OR($B906="",NOT(ISNUMBER(O906))),"",IF(COUNTIF(P906:$T906,O906)&gt;0,0,IF(COUNTIF($G906:$T906,"&gt;"&amp;O906)=0,"",SMALL($G906:$T906,COUNTIF($G906:$T906,"&lt;="&amp;O906)+1)-O906)))</f>
        <v/>
      </c>
      <c r="AM906" t="str">
        <f>IF(OR($B906="",NOT(ISNUMBER(P906))),"",IF(COUNTIF(Q906:$T906,P906)&gt;0,0,IF(COUNTIF($G906:$T906,"&gt;"&amp;P906)=0,"",SMALL($G906:$T906,COUNTIF($G906:$T906,"&lt;="&amp;P906)+1)-P906)))</f>
        <v/>
      </c>
      <c r="AN906" t="str">
        <f>IF(OR($B906="",NOT(ISNUMBER(Q906))),"",IF(COUNTIF(R906:$T906,Q906)&gt;0,0,IF(COUNTIF($G906:$T906,"&gt;"&amp;Q906)=0,"",SMALL($G906:$T906,COUNTIF($G906:$T906,"&lt;="&amp;Q906)+1)-Q906)))</f>
        <v/>
      </c>
      <c r="AO906" t="str">
        <f>IF(OR($B906="",NOT(ISNUMBER(R906))),"",IF(COUNTIF(S906:$T906,R906)&gt;0,0,IF(COUNTIF($G906:$T906,"&gt;"&amp;R906)=0,"",SMALL($G906:$T906,COUNTIF($G906:$T906,"&lt;="&amp;R906)+1)-R906)))</f>
        <v/>
      </c>
      <c r="AP906">
        <f t="shared" ca="1" si="241"/>
        <v>0</v>
      </c>
      <c r="AQ906" s="25" t="str">
        <f t="shared" si="242"/>
        <v/>
      </c>
      <c r="AR906" s="25" t="str">
        <f t="shared" si="243"/>
        <v/>
      </c>
      <c r="AS906" s="25" t="str">
        <f t="shared" si="244"/>
        <v/>
      </c>
      <c r="AT906" s="25" t="str">
        <f t="shared" si="245"/>
        <v/>
      </c>
      <c r="AU906" s="25" t="str">
        <f t="shared" si="246"/>
        <v/>
      </c>
      <c r="AV906" s="25" t="str">
        <f t="shared" si="247"/>
        <v/>
      </c>
      <c r="AW906" s="25" t="str">
        <f t="shared" si="248"/>
        <v/>
      </c>
      <c r="AX906" s="25" t="str">
        <f t="shared" si="249"/>
        <v/>
      </c>
      <c r="AY906" s="25" t="str">
        <f t="shared" si="250"/>
        <v/>
      </c>
      <c r="AZ906" s="25" t="str">
        <f t="shared" si="251"/>
        <v/>
      </c>
      <c r="BA906" s="25" t="str">
        <f t="shared" si="252"/>
        <v/>
      </c>
      <c r="BB906" s="25" t="str">
        <f t="shared" si="253"/>
        <v/>
      </c>
      <c r="BC906" s="25" t="str">
        <f t="shared" si="254"/>
        <v/>
      </c>
    </row>
    <row r="907" spans="1:55" x14ac:dyDescent="0.25">
      <c r="A907" s="19" t="str">
        <f t="shared" si="239"/>
        <v/>
      </c>
      <c r="B907" s="19"/>
      <c r="C907" s="20"/>
      <c r="D907" s="19" t="str">
        <f t="shared" si="238"/>
        <v/>
      </c>
      <c r="E907" s="19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19"/>
      <c r="U907" s="19"/>
      <c r="V907" s="20"/>
      <c r="W907" s="22"/>
      <c r="X907" s="21"/>
      <c r="Y907" s="21"/>
      <c r="Z907" s="23" t="str">
        <f>IF(B907="","",IF(S907&lt;&gt;"","Sevk Edildi",IF(AND(X907&lt;&gt;"",Y907=""),"Reworkte",IF(T907&lt;&gt;"","Kapandı"&amp;IF(COUNT(G907:R907)=0,""," – "&amp;LOOKUP(2,1/(G907:R907=MAX(G907:R907)),{"Tasarım","Ply Cutter","Üretim","Kalite (Üretim sonrası)","Talaşlı","Kalite (Talaşlı sonrası)","Montaj","Kalite (Montaj sonrası)","Boya","Kalite (Boya sonrası)","Yarı Mamül","KM"})),IF(COUNT(G907:R907)=0,"Başlamadı",LOOKUP(2,1/(G907:R907=MAX(G907:R907)),{"Tasarımda","Ply Cutter'da","Üretimde","Kalitede (Üretim sonrası)","Talaşlıda","Kalitede (Talaşlı sonrası)","Montajda","Kalitede (Montaj sonrası)","Boyada","Kalitede (Boya sonrası)","Yarı Mamülde","KM'de"}))))))</f>
        <v/>
      </c>
      <c r="AA907" s="24" t="str">
        <f t="shared" ca="1" si="240"/>
        <v/>
      </c>
      <c r="AB907" s="22"/>
      <c r="AD907" t="str">
        <f>IF(OR($B907="",NOT(ISNUMBER(G907))),"",IF(COUNTIF(H907:$T907,G907)&gt;0,0,IF(COUNTIF($G907:$T907,"&gt;"&amp;G907)=0,"",SMALL($G907:$T907,COUNTIF($G907:$T907,"&lt;="&amp;G907)+1)-G907)))</f>
        <v/>
      </c>
      <c r="AE907" t="str">
        <f>IF(OR($B907="",NOT(ISNUMBER(H907))),"",IF(COUNTIF(I907:$T907,H907)&gt;0,0,IF(COUNTIF($G907:$T907,"&gt;"&amp;H907)=0,"",SMALL($G907:$T907,COUNTIF($G907:$T907,"&lt;="&amp;H907)+1)-H907)))</f>
        <v/>
      </c>
      <c r="AF907" t="str">
        <f>IF(OR($B907="",NOT(ISNUMBER(I907))),"",IF(COUNTIF(J907:$T907,I907)&gt;0,0,IF(COUNTIF($G907:$T907,"&gt;"&amp;I907)=0,"",SMALL($G907:$T907,COUNTIF($G907:$T907,"&lt;="&amp;I907)+1)-I907)))</f>
        <v/>
      </c>
      <c r="AG907" t="str">
        <f>IF(OR($B907="",NOT(ISNUMBER(J907))),"",IF(COUNTIF(K907:$T907,J907)&gt;0,0,IF(COUNTIF($G907:$T907,"&gt;"&amp;J907)=0,"",SMALL($G907:$T907,COUNTIF($G907:$T907,"&lt;="&amp;J907)+1)-J907)))</f>
        <v/>
      </c>
      <c r="AH907" t="str">
        <f>IF(OR($B907="",NOT(ISNUMBER(K907))),"",IF(COUNTIF(L907:$T907,K907)&gt;0,0,IF(COUNTIF($G907:$T907,"&gt;"&amp;K907)=0,"",SMALL($G907:$T907,COUNTIF($G907:$T907,"&lt;="&amp;K907)+1)-K907)))</f>
        <v/>
      </c>
      <c r="AI907" t="str">
        <f>IF(OR($B907="",NOT(ISNUMBER(L907))),"",IF(COUNTIF(M907:$T907,L907)&gt;0,0,IF(COUNTIF($G907:$T907,"&gt;"&amp;L907)=0,"",SMALL($G907:$T907,COUNTIF($G907:$T907,"&lt;="&amp;L907)+1)-L907)))</f>
        <v/>
      </c>
      <c r="AJ907" t="str">
        <f>IF(OR($B907="",NOT(ISNUMBER(M907))),"",IF(COUNTIF(N907:$T907,M907)&gt;0,0,IF(COUNTIF($G907:$T907,"&gt;"&amp;M907)=0,"",SMALL($G907:$T907,COUNTIF($G907:$T907,"&lt;="&amp;M907)+1)-M907)))</f>
        <v/>
      </c>
      <c r="AK907" t="str">
        <f>IF(OR($B907="",NOT(ISNUMBER(N907))),"",IF(COUNTIF(O907:$T907,N907)&gt;0,0,IF(COUNTIF($G907:$T907,"&gt;"&amp;N907)=0,"",SMALL($G907:$T907,COUNTIF($G907:$T907,"&lt;="&amp;N907)+1)-N907)))</f>
        <v/>
      </c>
      <c r="AL907" t="str">
        <f>IF(OR($B907="",NOT(ISNUMBER(O907))),"",IF(COUNTIF(P907:$T907,O907)&gt;0,0,IF(COUNTIF($G907:$T907,"&gt;"&amp;O907)=0,"",SMALL($G907:$T907,COUNTIF($G907:$T907,"&lt;="&amp;O907)+1)-O907)))</f>
        <v/>
      </c>
      <c r="AM907" t="str">
        <f>IF(OR($B907="",NOT(ISNUMBER(P907))),"",IF(COUNTIF(Q907:$T907,P907)&gt;0,0,IF(COUNTIF($G907:$T907,"&gt;"&amp;P907)=0,"",SMALL($G907:$T907,COUNTIF($G907:$T907,"&lt;="&amp;P907)+1)-P907)))</f>
        <v/>
      </c>
      <c r="AN907" t="str">
        <f>IF(OR($B907="",NOT(ISNUMBER(Q907))),"",IF(COUNTIF(R907:$T907,Q907)&gt;0,0,IF(COUNTIF($G907:$T907,"&gt;"&amp;Q907)=0,"",SMALL($G907:$T907,COUNTIF($G907:$T907,"&lt;="&amp;Q907)+1)-Q907)))</f>
        <v/>
      </c>
      <c r="AO907" t="str">
        <f>IF(OR($B907="",NOT(ISNUMBER(R907))),"",IF(COUNTIF(S907:$T907,R907)&gt;0,0,IF(COUNTIF($G907:$T907,"&gt;"&amp;R907)=0,"",SMALL($G907:$T907,COUNTIF($G907:$T907,"&lt;="&amp;R907)+1)-R907)))</f>
        <v/>
      </c>
      <c r="AP907">
        <f t="shared" ca="1" si="241"/>
        <v>0</v>
      </c>
      <c r="AQ907" s="25" t="str">
        <f t="shared" si="242"/>
        <v/>
      </c>
      <c r="AR907" s="25" t="str">
        <f t="shared" si="243"/>
        <v/>
      </c>
      <c r="AS907" s="25" t="str">
        <f t="shared" si="244"/>
        <v/>
      </c>
      <c r="AT907" s="25" t="str">
        <f t="shared" si="245"/>
        <v/>
      </c>
      <c r="AU907" s="25" t="str">
        <f t="shared" si="246"/>
        <v/>
      </c>
      <c r="AV907" s="25" t="str">
        <f t="shared" si="247"/>
        <v/>
      </c>
      <c r="AW907" s="25" t="str">
        <f t="shared" si="248"/>
        <v/>
      </c>
      <c r="AX907" s="25" t="str">
        <f t="shared" si="249"/>
        <v/>
      </c>
      <c r="AY907" s="25" t="str">
        <f t="shared" si="250"/>
        <v/>
      </c>
      <c r="AZ907" s="25" t="str">
        <f t="shared" si="251"/>
        <v/>
      </c>
      <c r="BA907" s="25" t="str">
        <f t="shared" si="252"/>
        <v/>
      </c>
      <c r="BB907" s="25" t="str">
        <f t="shared" si="253"/>
        <v/>
      </c>
      <c r="BC907" s="25" t="str">
        <f t="shared" si="254"/>
        <v/>
      </c>
    </row>
    <row r="908" spans="1:55" x14ac:dyDescent="0.25">
      <c r="A908" s="19" t="str">
        <f t="shared" si="239"/>
        <v/>
      </c>
      <c r="B908" s="19"/>
      <c r="C908" s="20"/>
      <c r="D908" s="19" t="str">
        <f t="shared" si="238"/>
        <v/>
      </c>
      <c r="E908" s="19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19"/>
      <c r="U908" s="19"/>
      <c r="V908" s="20"/>
      <c r="W908" s="22"/>
      <c r="X908" s="21"/>
      <c r="Y908" s="21"/>
      <c r="Z908" s="23" t="str">
        <f>IF(B908="","",IF(S908&lt;&gt;"","Sevk Edildi",IF(AND(X908&lt;&gt;"",Y908=""),"Reworkte",IF(T908&lt;&gt;"","Kapandı"&amp;IF(COUNT(G908:R908)=0,""," – "&amp;LOOKUP(2,1/(G908:R908=MAX(G908:R908)),{"Tasarım","Ply Cutter","Üretim","Kalite (Üretim sonrası)","Talaşlı","Kalite (Talaşlı sonrası)","Montaj","Kalite (Montaj sonrası)","Boya","Kalite (Boya sonrası)","Yarı Mamül","KM"})),IF(COUNT(G908:R908)=0,"Başlamadı",LOOKUP(2,1/(G908:R908=MAX(G908:R908)),{"Tasarımda","Ply Cutter'da","Üretimde","Kalitede (Üretim sonrası)","Talaşlıda","Kalitede (Talaşlı sonrası)","Montajda","Kalitede (Montaj sonrası)","Boyada","Kalitede (Boya sonrası)","Yarı Mamülde","KM'de"}))))))</f>
        <v/>
      </c>
      <c r="AA908" s="24" t="str">
        <f t="shared" ca="1" si="240"/>
        <v/>
      </c>
      <c r="AB908" s="22"/>
      <c r="AD908" t="str">
        <f>IF(OR($B908="",NOT(ISNUMBER(G908))),"",IF(COUNTIF(H908:$T908,G908)&gt;0,0,IF(COUNTIF($G908:$T908,"&gt;"&amp;G908)=0,"",SMALL($G908:$T908,COUNTIF($G908:$T908,"&lt;="&amp;G908)+1)-G908)))</f>
        <v/>
      </c>
      <c r="AE908" t="str">
        <f>IF(OR($B908="",NOT(ISNUMBER(H908))),"",IF(COUNTIF(I908:$T908,H908)&gt;0,0,IF(COUNTIF($G908:$T908,"&gt;"&amp;H908)=0,"",SMALL($G908:$T908,COUNTIF($G908:$T908,"&lt;="&amp;H908)+1)-H908)))</f>
        <v/>
      </c>
      <c r="AF908" t="str">
        <f>IF(OR($B908="",NOT(ISNUMBER(I908))),"",IF(COUNTIF(J908:$T908,I908)&gt;0,0,IF(COUNTIF($G908:$T908,"&gt;"&amp;I908)=0,"",SMALL($G908:$T908,COUNTIF($G908:$T908,"&lt;="&amp;I908)+1)-I908)))</f>
        <v/>
      </c>
      <c r="AG908" t="str">
        <f>IF(OR($B908="",NOT(ISNUMBER(J908))),"",IF(COUNTIF(K908:$T908,J908)&gt;0,0,IF(COUNTIF($G908:$T908,"&gt;"&amp;J908)=0,"",SMALL($G908:$T908,COUNTIF($G908:$T908,"&lt;="&amp;J908)+1)-J908)))</f>
        <v/>
      </c>
      <c r="AH908" t="str">
        <f>IF(OR($B908="",NOT(ISNUMBER(K908))),"",IF(COUNTIF(L908:$T908,K908)&gt;0,0,IF(COUNTIF($G908:$T908,"&gt;"&amp;K908)=0,"",SMALL($G908:$T908,COUNTIF($G908:$T908,"&lt;="&amp;K908)+1)-K908)))</f>
        <v/>
      </c>
      <c r="AI908" t="str">
        <f>IF(OR($B908="",NOT(ISNUMBER(L908))),"",IF(COUNTIF(M908:$T908,L908)&gt;0,0,IF(COUNTIF($G908:$T908,"&gt;"&amp;L908)=0,"",SMALL($G908:$T908,COUNTIF($G908:$T908,"&lt;="&amp;L908)+1)-L908)))</f>
        <v/>
      </c>
      <c r="AJ908" t="str">
        <f>IF(OR($B908="",NOT(ISNUMBER(M908))),"",IF(COUNTIF(N908:$T908,M908)&gt;0,0,IF(COUNTIF($G908:$T908,"&gt;"&amp;M908)=0,"",SMALL($G908:$T908,COUNTIF($G908:$T908,"&lt;="&amp;M908)+1)-M908)))</f>
        <v/>
      </c>
      <c r="AK908" t="str">
        <f>IF(OR($B908="",NOT(ISNUMBER(N908))),"",IF(COUNTIF(O908:$T908,N908)&gt;0,0,IF(COUNTIF($G908:$T908,"&gt;"&amp;N908)=0,"",SMALL($G908:$T908,COUNTIF($G908:$T908,"&lt;="&amp;N908)+1)-N908)))</f>
        <v/>
      </c>
      <c r="AL908" t="str">
        <f>IF(OR($B908="",NOT(ISNUMBER(O908))),"",IF(COUNTIF(P908:$T908,O908)&gt;0,0,IF(COUNTIF($G908:$T908,"&gt;"&amp;O908)=0,"",SMALL($G908:$T908,COUNTIF($G908:$T908,"&lt;="&amp;O908)+1)-O908)))</f>
        <v/>
      </c>
      <c r="AM908" t="str">
        <f>IF(OR($B908="",NOT(ISNUMBER(P908))),"",IF(COUNTIF(Q908:$T908,P908)&gt;0,0,IF(COUNTIF($G908:$T908,"&gt;"&amp;P908)=0,"",SMALL($G908:$T908,COUNTIF($G908:$T908,"&lt;="&amp;P908)+1)-P908)))</f>
        <v/>
      </c>
      <c r="AN908" t="str">
        <f>IF(OR($B908="",NOT(ISNUMBER(Q908))),"",IF(COUNTIF(R908:$T908,Q908)&gt;0,0,IF(COUNTIF($G908:$T908,"&gt;"&amp;Q908)=0,"",SMALL($G908:$T908,COUNTIF($G908:$T908,"&lt;="&amp;Q908)+1)-Q908)))</f>
        <v/>
      </c>
      <c r="AO908" t="str">
        <f>IF(OR($B908="",NOT(ISNUMBER(R908))),"",IF(COUNTIF(S908:$T908,R908)&gt;0,0,IF(COUNTIF($G908:$T908,"&gt;"&amp;R908)=0,"",SMALL($G908:$T908,COUNTIF($G908:$T908,"&lt;="&amp;R908)+1)-R908)))</f>
        <v/>
      </c>
      <c r="AP908">
        <f t="shared" ca="1" si="241"/>
        <v>0</v>
      </c>
      <c r="AQ908" s="25" t="str">
        <f t="shared" si="242"/>
        <v/>
      </c>
      <c r="AR908" s="25" t="str">
        <f t="shared" si="243"/>
        <v/>
      </c>
      <c r="AS908" s="25" t="str">
        <f t="shared" si="244"/>
        <v/>
      </c>
      <c r="AT908" s="25" t="str">
        <f t="shared" si="245"/>
        <v/>
      </c>
      <c r="AU908" s="25" t="str">
        <f t="shared" si="246"/>
        <v/>
      </c>
      <c r="AV908" s="25" t="str">
        <f t="shared" si="247"/>
        <v/>
      </c>
      <c r="AW908" s="25" t="str">
        <f t="shared" si="248"/>
        <v/>
      </c>
      <c r="AX908" s="25" t="str">
        <f t="shared" si="249"/>
        <v/>
      </c>
      <c r="AY908" s="25" t="str">
        <f t="shared" si="250"/>
        <v/>
      </c>
      <c r="AZ908" s="25" t="str">
        <f t="shared" si="251"/>
        <v/>
      </c>
      <c r="BA908" s="25" t="str">
        <f t="shared" si="252"/>
        <v/>
      </c>
      <c r="BB908" s="25" t="str">
        <f t="shared" si="253"/>
        <v/>
      </c>
      <c r="BC908" s="25" t="str">
        <f t="shared" si="254"/>
        <v/>
      </c>
    </row>
    <row r="909" spans="1:55" x14ac:dyDescent="0.25">
      <c r="A909" s="19" t="str">
        <f t="shared" si="239"/>
        <v/>
      </c>
      <c r="B909" s="19"/>
      <c r="C909" s="20"/>
      <c r="D909" s="19" t="str">
        <f t="shared" si="238"/>
        <v/>
      </c>
      <c r="E909" s="19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19"/>
      <c r="U909" s="19"/>
      <c r="V909" s="20"/>
      <c r="W909" s="22"/>
      <c r="X909" s="21"/>
      <c r="Y909" s="21"/>
      <c r="Z909" s="23" t="str">
        <f>IF(B909="","",IF(S909&lt;&gt;"","Sevk Edildi",IF(AND(X909&lt;&gt;"",Y909=""),"Reworkte",IF(T909&lt;&gt;"","Kapandı"&amp;IF(COUNT(G909:R909)=0,""," – "&amp;LOOKUP(2,1/(G909:R909=MAX(G909:R909)),{"Tasarım","Ply Cutter","Üretim","Kalite (Üretim sonrası)","Talaşlı","Kalite (Talaşlı sonrası)","Montaj","Kalite (Montaj sonrası)","Boya","Kalite (Boya sonrası)","Yarı Mamül","KM"})),IF(COUNT(G909:R909)=0,"Başlamadı",LOOKUP(2,1/(G909:R909=MAX(G909:R909)),{"Tasarımda","Ply Cutter'da","Üretimde","Kalitede (Üretim sonrası)","Talaşlıda","Kalitede (Talaşlı sonrası)","Montajda","Kalitede (Montaj sonrası)","Boyada","Kalitede (Boya sonrası)","Yarı Mamülde","KM'de"}))))))</f>
        <v/>
      </c>
      <c r="AA909" s="24" t="str">
        <f t="shared" ca="1" si="240"/>
        <v/>
      </c>
      <c r="AB909" s="22"/>
      <c r="AD909" t="str">
        <f>IF(OR($B909="",NOT(ISNUMBER(G909))),"",IF(COUNTIF(H909:$T909,G909)&gt;0,0,IF(COUNTIF($G909:$T909,"&gt;"&amp;G909)=0,"",SMALL($G909:$T909,COUNTIF($G909:$T909,"&lt;="&amp;G909)+1)-G909)))</f>
        <v/>
      </c>
      <c r="AE909" t="str">
        <f>IF(OR($B909="",NOT(ISNUMBER(H909))),"",IF(COUNTIF(I909:$T909,H909)&gt;0,0,IF(COUNTIF($G909:$T909,"&gt;"&amp;H909)=0,"",SMALL($G909:$T909,COUNTIF($G909:$T909,"&lt;="&amp;H909)+1)-H909)))</f>
        <v/>
      </c>
      <c r="AF909" t="str">
        <f>IF(OR($B909="",NOT(ISNUMBER(I909))),"",IF(COUNTIF(J909:$T909,I909)&gt;0,0,IF(COUNTIF($G909:$T909,"&gt;"&amp;I909)=0,"",SMALL($G909:$T909,COUNTIF($G909:$T909,"&lt;="&amp;I909)+1)-I909)))</f>
        <v/>
      </c>
      <c r="AG909" t="str">
        <f>IF(OR($B909="",NOT(ISNUMBER(J909))),"",IF(COUNTIF(K909:$T909,J909)&gt;0,0,IF(COUNTIF($G909:$T909,"&gt;"&amp;J909)=0,"",SMALL($G909:$T909,COUNTIF($G909:$T909,"&lt;="&amp;J909)+1)-J909)))</f>
        <v/>
      </c>
      <c r="AH909" t="str">
        <f>IF(OR($B909="",NOT(ISNUMBER(K909))),"",IF(COUNTIF(L909:$T909,K909)&gt;0,0,IF(COUNTIF($G909:$T909,"&gt;"&amp;K909)=0,"",SMALL($G909:$T909,COUNTIF($G909:$T909,"&lt;="&amp;K909)+1)-K909)))</f>
        <v/>
      </c>
      <c r="AI909" t="str">
        <f>IF(OR($B909="",NOT(ISNUMBER(L909))),"",IF(COUNTIF(M909:$T909,L909)&gt;0,0,IF(COUNTIF($G909:$T909,"&gt;"&amp;L909)=0,"",SMALL($G909:$T909,COUNTIF($G909:$T909,"&lt;="&amp;L909)+1)-L909)))</f>
        <v/>
      </c>
      <c r="AJ909" t="str">
        <f>IF(OR($B909="",NOT(ISNUMBER(M909))),"",IF(COUNTIF(N909:$T909,M909)&gt;0,0,IF(COUNTIF($G909:$T909,"&gt;"&amp;M909)=0,"",SMALL($G909:$T909,COUNTIF($G909:$T909,"&lt;="&amp;M909)+1)-M909)))</f>
        <v/>
      </c>
      <c r="AK909" t="str">
        <f>IF(OR($B909="",NOT(ISNUMBER(N909))),"",IF(COUNTIF(O909:$T909,N909)&gt;0,0,IF(COUNTIF($G909:$T909,"&gt;"&amp;N909)=0,"",SMALL($G909:$T909,COUNTIF($G909:$T909,"&lt;="&amp;N909)+1)-N909)))</f>
        <v/>
      </c>
      <c r="AL909" t="str">
        <f>IF(OR($B909="",NOT(ISNUMBER(O909))),"",IF(COUNTIF(P909:$T909,O909)&gt;0,0,IF(COUNTIF($G909:$T909,"&gt;"&amp;O909)=0,"",SMALL($G909:$T909,COUNTIF($G909:$T909,"&lt;="&amp;O909)+1)-O909)))</f>
        <v/>
      </c>
      <c r="AM909" t="str">
        <f>IF(OR($B909="",NOT(ISNUMBER(P909))),"",IF(COUNTIF(Q909:$T909,P909)&gt;0,0,IF(COUNTIF($G909:$T909,"&gt;"&amp;P909)=0,"",SMALL($G909:$T909,COUNTIF($G909:$T909,"&lt;="&amp;P909)+1)-P909)))</f>
        <v/>
      </c>
      <c r="AN909" t="str">
        <f>IF(OR($B909="",NOT(ISNUMBER(Q909))),"",IF(COUNTIF(R909:$T909,Q909)&gt;0,0,IF(COUNTIF($G909:$T909,"&gt;"&amp;Q909)=0,"",SMALL($G909:$T909,COUNTIF($G909:$T909,"&lt;="&amp;Q909)+1)-Q909)))</f>
        <v/>
      </c>
      <c r="AO909" t="str">
        <f>IF(OR($B909="",NOT(ISNUMBER(R909))),"",IF(COUNTIF(S909:$T909,R909)&gt;0,0,IF(COUNTIF($G909:$T909,"&gt;"&amp;R909)=0,"",SMALL($G909:$T909,COUNTIF($G909:$T909,"&lt;="&amp;R909)+1)-R909)))</f>
        <v/>
      </c>
      <c r="AP909">
        <f t="shared" ca="1" si="241"/>
        <v>0</v>
      </c>
      <c r="AQ909" s="25" t="str">
        <f t="shared" si="242"/>
        <v/>
      </c>
      <c r="AR909" s="25" t="str">
        <f t="shared" si="243"/>
        <v/>
      </c>
      <c r="AS909" s="25" t="str">
        <f t="shared" si="244"/>
        <v/>
      </c>
      <c r="AT909" s="25" t="str">
        <f t="shared" si="245"/>
        <v/>
      </c>
      <c r="AU909" s="25" t="str">
        <f t="shared" si="246"/>
        <v/>
      </c>
      <c r="AV909" s="25" t="str">
        <f t="shared" si="247"/>
        <v/>
      </c>
      <c r="AW909" s="25" t="str">
        <f t="shared" si="248"/>
        <v/>
      </c>
      <c r="AX909" s="25" t="str">
        <f t="shared" si="249"/>
        <v/>
      </c>
      <c r="AY909" s="25" t="str">
        <f t="shared" si="250"/>
        <v/>
      </c>
      <c r="AZ909" s="25" t="str">
        <f t="shared" si="251"/>
        <v/>
      </c>
      <c r="BA909" s="25" t="str">
        <f t="shared" si="252"/>
        <v/>
      </c>
      <c r="BB909" s="25" t="str">
        <f t="shared" si="253"/>
        <v/>
      </c>
      <c r="BC909" s="25" t="str">
        <f t="shared" si="254"/>
        <v/>
      </c>
    </row>
    <row r="910" spans="1:55" x14ac:dyDescent="0.25">
      <c r="A910" s="19" t="str">
        <f t="shared" si="239"/>
        <v/>
      </c>
      <c r="B910" s="19"/>
      <c r="C910" s="20"/>
      <c r="D910" s="19" t="str">
        <f t="shared" si="238"/>
        <v/>
      </c>
      <c r="E910" s="19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19"/>
      <c r="U910" s="19"/>
      <c r="V910" s="20"/>
      <c r="W910" s="22"/>
      <c r="X910" s="21"/>
      <c r="Y910" s="21"/>
      <c r="Z910" s="23" t="str">
        <f>IF(B910="","",IF(S910&lt;&gt;"","Sevk Edildi",IF(AND(X910&lt;&gt;"",Y910=""),"Reworkte",IF(T910&lt;&gt;"","Kapandı"&amp;IF(COUNT(G910:R910)=0,""," – "&amp;LOOKUP(2,1/(G910:R910=MAX(G910:R910)),{"Tasarım","Ply Cutter","Üretim","Kalite (Üretim sonrası)","Talaşlı","Kalite (Talaşlı sonrası)","Montaj","Kalite (Montaj sonrası)","Boya","Kalite (Boya sonrası)","Yarı Mamül","KM"})),IF(COUNT(G910:R910)=0,"Başlamadı",LOOKUP(2,1/(G910:R910=MAX(G910:R910)),{"Tasarımda","Ply Cutter'da","Üretimde","Kalitede (Üretim sonrası)","Talaşlıda","Kalitede (Talaşlı sonrası)","Montajda","Kalitede (Montaj sonrası)","Boyada","Kalitede (Boya sonrası)","Yarı Mamülde","KM'de"}))))))</f>
        <v/>
      </c>
      <c r="AA910" s="24" t="str">
        <f t="shared" ca="1" si="240"/>
        <v/>
      </c>
      <c r="AB910" s="22"/>
      <c r="AD910" t="str">
        <f>IF(OR($B910="",NOT(ISNUMBER(G910))),"",IF(COUNTIF(H910:$T910,G910)&gt;0,0,IF(COUNTIF($G910:$T910,"&gt;"&amp;G910)=0,"",SMALL($G910:$T910,COUNTIF($G910:$T910,"&lt;="&amp;G910)+1)-G910)))</f>
        <v/>
      </c>
      <c r="AE910" t="str">
        <f>IF(OR($B910="",NOT(ISNUMBER(H910))),"",IF(COUNTIF(I910:$T910,H910)&gt;0,0,IF(COUNTIF($G910:$T910,"&gt;"&amp;H910)=0,"",SMALL($G910:$T910,COUNTIF($G910:$T910,"&lt;="&amp;H910)+1)-H910)))</f>
        <v/>
      </c>
      <c r="AF910" t="str">
        <f>IF(OR($B910="",NOT(ISNUMBER(I910))),"",IF(COUNTIF(J910:$T910,I910)&gt;0,0,IF(COUNTIF($G910:$T910,"&gt;"&amp;I910)=0,"",SMALL($G910:$T910,COUNTIF($G910:$T910,"&lt;="&amp;I910)+1)-I910)))</f>
        <v/>
      </c>
      <c r="AG910" t="str">
        <f>IF(OR($B910="",NOT(ISNUMBER(J910))),"",IF(COUNTIF(K910:$T910,J910)&gt;0,0,IF(COUNTIF($G910:$T910,"&gt;"&amp;J910)=0,"",SMALL($G910:$T910,COUNTIF($G910:$T910,"&lt;="&amp;J910)+1)-J910)))</f>
        <v/>
      </c>
      <c r="AH910" t="str">
        <f>IF(OR($B910="",NOT(ISNUMBER(K910))),"",IF(COUNTIF(L910:$T910,K910)&gt;0,0,IF(COUNTIF($G910:$T910,"&gt;"&amp;K910)=0,"",SMALL($G910:$T910,COUNTIF($G910:$T910,"&lt;="&amp;K910)+1)-K910)))</f>
        <v/>
      </c>
      <c r="AI910" t="str">
        <f>IF(OR($B910="",NOT(ISNUMBER(L910))),"",IF(COUNTIF(M910:$T910,L910)&gt;0,0,IF(COUNTIF($G910:$T910,"&gt;"&amp;L910)=0,"",SMALL($G910:$T910,COUNTIF($G910:$T910,"&lt;="&amp;L910)+1)-L910)))</f>
        <v/>
      </c>
      <c r="AJ910" t="str">
        <f>IF(OR($B910="",NOT(ISNUMBER(M910))),"",IF(COUNTIF(N910:$T910,M910)&gt;0,0,IF(COUNTIF($G910:$T910,"&gt;"&amp;M910)=0,"",SMALL($G910:$T910,COUNTIF($G910:$T910,"&lt;="&amp;M910)+1)-M910)))</f>
        <v/>
      </c>
      <c r="AK910" t="str">
        <f>IF(OR($B910="",NOT(ISNUMBER(N910))),"",IF(COUNTIF(O910:$T910,N910)&gt;0,0,IF(COUNTIF($G910:$T910,"&gt;"&amp;N910)=0,"",SMALL($G910:$T910,COUNTIF($G910:$T910,"&lt;="&amp;N910)+1)-N910)))</f>
        <v/>
      </c>
      <c r="AL910" t="str">
        <f>IF(OR($B910="",NOT(ISNUMBER(O910))),"",IF(COUNTIF(P910:$T910,O910)&gt;0,0,IF(COUNTIF($G910:$T910,"&gt;"&amp;O910)=0,"",SMALL($G910:$T910,COUNTIF($G910:$T910,"&lt;="&amp;O910)+1)-O910)))</f>
        <v/>
      </c>
      <c r="AM910" t="str">
        <f>IF(OR($B910="",NOT(ISNUMBER(P910))),"",IF(COUNTIF(Q910:$T910,P910)&gt;0,0,IF(COUNTIF($G910:$T910,"&gt;"&amp;P910)=0,"",SMALL($G910:$T910,COUNTIF($G910:$T910,"&lt;="&amp;P910)+1)-P910)))</f>
        <v/>
      </c>
      <c r="AN910" t="str">
        <f>IF(OR($B910="",NOT(ISNUMBER(Q910))),"",IF(COUNTIF(R910:$T910,Q910)&gt;0,0,IF(COUNTIF($G910:$T910,"&gt;"&amp;Q910)=0,"",SMALL($G910:$T910,COUNTIF($G910:$T910,"&lt;="&amp;Q910)+1)-Q910)))</f>
        <v/>
      </c>
      <c r="AO910" t="str">
        <f>IF(OR($B910="",NOT(ISNUMBER(R910))),"",IF(COUNTIF(S910:$T910,R910)&gt;0,0,IF(COUNTIF($G910:$T910,"&gt;"&amp;R910)=0,"",SMALL($G910:$T910,COUNTIF($G910:$T910,"&lt;="&amp;R910)+1)-R910)))</f>
        <v/>
      </c>
      <c r="AP910">
        <f t="shared" ca="1" si="241"/>
        <v>0</v>
      </c>
      <c r="AQ910" s="25" t="str">
        <f t="shared" si="242"/>
        <v/>
      </c>
      <c r="AR910" s="25" t="str">
        <f t="shared" si="243"/>
        <v/>
      </c>
      <c r="AS910" s="25" t="str">
        <f t="shared" si="244"/>
        <v/>
      </c>
      <c r="AT910" s="25" t="str">
        <f t="shared" si="245"/>
        <v/>
      </c>
      <c r="AU910" s="25" t="str">
        <f t="shared" si="246"/>
        <v/>
      </c>
      <c r="AV910" s="25" t="str">
        <f t="shared" si="247"/>
        <v/>
      </c>
      <c r="AW910" s="25" t="str">
        <f t="shared" si="248"/>
        <v/>
      </c>
      <c r="AX910" s="25" t="str">
        <f t="shared" si="249"/>
        <v/>
      </c>
      <c r="AY910" s="25" t="str">
        <f t="shared" si="250"/>
        <v/>
      </c>
      <c r="AZ910" s="25" t="str">
        <f t="shared" si="251"/>
        <v/>
      </c>
      <c r="BA910" s="25" t="str">
        <f t="shared" si="252"/>
        <v/>
      </c>
      <c r="BB910" s="25" t="str">
        <f t="shared" si="253"/>
        <v/>
      </c>
      <c r="BC910" s="25" t="str">
        <f t="shared" si="254"/>
        <v/>
      </c>
    </row>
    <row r="911" spans="1:55" x14ac:dyDescent="0.25">
      <c r="A911" s="19" t="str">
        <f t="shared" si="239"/>
        <v/>
      </c>
      <c r="B911" s="19"/>
      <c r="C911" s="20"/>
      <c r="D911" s="19" t="str">
        <f t="shared" si="238"/>
        <v/>
      </c>
      <c r="E911" s="19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19"/>
      <c r="U911" s="19"/>
      <c r="V911" s="20"/>
      <c r="W911" s="22"/>
      <c r="X911" s="21"/>
      <c r="Y911" s="21"/>
      <c r="Z911" s="23" t="str">
        <f>IF(B911="","",IF(S911&lt;&gt;"","Sevk Edildi",IF(AND(X911&lt;&gt;"",Y911=""),"Reworkte",IF(T911&lt;&gt;"","Kapandı"&amp;IF(COUNT(G911:R911)=0,""," – "&amp;LOOKUP(2,1/(G911:R911=MAX(G911:R911)),{"Tasarım","Ply Cutter","Üretim","Kalite (Üretim sonrası)","Talaşlı","Kalite (Talaşlı sonrası)","Montaj","Kalite (Montaj sonrası)","Boya","Kalite (Boya sonrası)","Yarı Mamül","KM"})),IF(COUNT(G911:R911)=0,"Başlamadı",LOOKUP(2,1/(G911:R911=MAX(G911:R911)),{"Tasarımda","Ply Cutter'da","Üretimde","Kalitede (Üretim sonrası)","Talaşlıda","Kalitede (Talaşlı sonrası)","Montajda","Kalitede (Montaj sonrası)","Boyada","Kalitede (Boya sonrası)","Yarı Mamülde","KM'de"}))))))</f>
        <v/>
      </c>
      <c r="AA911" s="24" t="str">
        <f t="shared" ca="1" si="240"/>
        <v/>
      </c>
      <c r="AB911" s="22"/>
      <c r="AD911" t="str">
        <f>IF(OR($B911="",NOT(ISNUMBER(G911))),"",IF(COUNTIF(H911:$T911,G911)&gt;0,0,IF(COUNTIF($G911:$T911,"&gt;"&amp;G911)=0,"",SMALL($G911:$T911,COUNTIF($G911:$T911,"&lt;="&amp;G911)+1)-G911)))</f>
        <v/>
      </c>
      <c r="AE911" t="str">
        <f>IF(OR($B911="",NOT(ISNUMBER(H911))),"",IF(COUNTIF(I911:$T911,H911)&gt;0,0,IF(COUNTIF($G911:$T911,"&gt;"&amp;H911)=0,"",SMALL($G911:$T911,COUNTIF($G911:$T911,"&lt;="&amp;H911)+1)-H911)))</f>
        <v/>
      </c>
      <c r="AF911" t="str">
        <f>IF(OR($B911="",NOT(ISNUMBER(I911))),"",IF(COUNTIF(J911:$T911,I911)&gt;0,0,IF(COUNTIF($G911:$T911,"&gt;"&amp;I911)=0,"",SMALL($G911:$T911,COUNTIF($G911:$T911,"&lt;="&amp;I911)+1)-I911)))</f>
        <v/>
      </c>
      <c r="AG911" t="str">
        <f>IF(OR($B911="",NOT(ISNUMBER(J911))),"",IF(COUNTIF(K911:$T911,J911)&gt;0,0,IF(COUNTIF($G911:$T911,"&gt;"&amp;J911)=0,"",SMALL($G911:$T911,COUNTIF($G911:$T911,"&lt;="&amp;J911)+1)-J911)))</f>
        <v/>
      </c>
      <c r="AH911" t="str">
        <f>IF(OR($B911="",NOT(ISNUMBER(K911))),"",IF(COUNTIF(L911:$T911,K911)&gt;0,0,IF(COUNTIF($G911:$T911,"&gt;"&amp;K911)=0,"",SMALL($G911:$T911,COUNTIF($G911:$T911,"&lt;="&amp;K911)+1)-K911)))</f>
        <v/>
      </c>
      <c r="AI911" t="str">
        <f>IF(OR($B911="",NOT(ISNUMBER(L911))),"",IF(COUNTIF(M911:$T911,L911)&gt;0,0,IF(COUNTIF($G911:$T911,"&gt;"&amp;L911)=0,"",SMALL($G911:$T911,COUNTIF($G911:$T911,"&lt;="&amp;L911)+1)-L911)))</f>
        <v/>
      </c>
      <c r="AJ911" t="str">
        <f>IF(OR($B911="",NOT(ISNUMBER(M911))),"",IF(COUNTIF(N911:$T911,M911)&gt;0,0,IF(COUNTIF($G911:$T911,"&gt;"&amp;M911)=0,"",SMALL($G911:$T911,COUNTIF($G911:$T911,"&lt;="&amp;M911)+1)-M911)))</f>
        <v/>
      </c>
      <c r="AK911" t="str">
        <f>IF(OR($B911="",NOT(ISNUMBER(N911))),"",IF(COUNTIF(O911:$T911,N911)&gt;0,0,IF(COUNTIF($G911:$T911,"&gt;"&amp;N911)=0,"",SMALL($G911:$T911,COUNTIF($G911:$T911,"&lt;="&amp;N911)+1)-N911)))</f>
        <v/>
      </c>
      <c r="AL911" t="str">
        <f>IF(OR($B911="",NOT(ISNUMBER(O911))),"",IF(COUNTIF(P911:$T911,O911)&gt;0,0,IF(COUNTIF($G911:$T911,"&gt;"&amp;O911)=0,"",SMALL($G911:$T911,COUNTIF($G911:$T911,"&lt;="&amp;O911)+1)-O911)))</f>
        <v/>
      </c>
      <c r="AM911" t="str">
        <f>IF(OR($B911="",NOT(ISNUMBER(P911))),"",IF(COUNTIF(Q911:$T911,P911)&gt;0,0,IF(COUNTIF($G911:$T911,"&gt;"&amp;P911)=0,"",SMALL($G911:$T911,COUNTIF($G911:$T911,"&lt;="&amp;P911)+1)-P911)))</f>
        <v/>
      </c>
      <c r="AN911" t="str">
        <f>IF(OR($B911="",NOT(ISNUMBER(Q911))),"",IF(COUNTIF(R911:$T911,Q911)&gt;0,0,IF(COUNTIF($G911:$T911,"&gt;"&amp;Q911)=0,"",SMALL($G911:$T911,COUNTIF($G911:$T911,"&lt;="&amp;Q911)+1)-Q911)))</f>
        <v/>
      </c>
      <c r="AO911" t="str">
        <f>IF(OR($B911="",NOT(ISNUMBER(R911))),"",IF(COUNTIF(S911:$T911,R911)&gt;0,0,IF(COUNTIF($G911:$T911,"&gt;"&amp;R911)=0,"",SMALL($G911:$T911,COUNTIF($G911:$T911,"&lt;="&amp;R911)+1)-R911)))</f>
        <v/>
      </c>
      <c r="AP911">
        <f t="shared" ca="1" si="241"/>
        <v>0</v>
      </c>
      <c r="AQ911" s="25" t="str">
        <f t="shared" si="242"/>
        <v/>
      </c>
      <c r="AR911" s="25" t="str">
        <f t="shared" si="243"/>
        <v/>
      </c>
      <c r="AS911" s="25" t="str">
        <f t="shared" si="244"/>
        <v/>
      </c>
      <c r="AT911" s="25" t="str">
        <f t="shared" si="245"/>
        <v/>
      </c>
      <c r="AU911" s="25" t="str">
        <f t="shared" si="246"/>
        <v/>
      </c>
      <c r="AV911" s="25" t="str">
        <f t="shared" si="247"/>
        <v/>
      </c>
      <c r="AW911" s="25" t="str">
        <f t="shared" si="248"/>
        <v/>
      </c>
      <c r="AX911" s="25" t="str">
        <f t="shared" si="249"/>
        <v/>
      </c>
      <c r="AY911" s="25" t="str">
        <f t="shared" si="250"/>
        <v/>
      </c>
      <c r="AZ911" s="25" t="str">
        <f t="shared" si="251"/>
        <v/>
      </c>
      <c r="BA911" s="25" t="str">
        <f t="shared" si="252"/>
        <v/>
      </c>
      <c r="BB911" s="25" t="str">
        <f t="shared" si="253"/>
        <v/>
      </c>
      <c r="BC911" s="25" t="str">
        <f t="shared" si="254"/>
        <v/>
      </c>
    </row>
    <row r="912" spans="1:55" x14ac:dyDescent="0.25">
      <c r="A912" s="19" t="str">
        <f t="shared" si="239"/>
        <v/>
      </c>
      <c r="B912" s="19"/>
      <c r="C912" s="20"/>
      <c r="D912" s="19" t="str">
        <f t="shared" si="238"/>
        <v/>
      </c>
      <c r="E912" s="19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19"/>
      <c r="U912" s="19"/>
      <c r="V912" s="20"/>
      <c r="W912" s="22"/>
      <c r="X912" s="21"/>
      <c r="Y912" s="21"/>
      <c r="Z912" s="23" t="str">
        <f>IF(B912="","",IF(S912&lt;&gt;"","Sevk Edildi",IF(AND(X912&lt;&gt;"",Y912=""),"Reworkte",IF(T912&lt;&gt;"","Kapandı"&amp;IF(COUNT(G912:R912)=0,""," – "&amp;LOOKUP(2,1/(G912:R912=MAX(G912:R912)),{"Tasarım","Ply Cutter","Üretim","Kalite (Üretim sonrası)","Talaşlı","Kalite (Talaşlı sonrası)","Montaj","Kalite (Montaj sonrası)","Boya","Kalite (Boya sonrası)","Yarı Mamül","KM"})),IF(COUNT(G912:R912)=0,"Başlamadı",LOOKUP(2,1/(G912:R912=MAX(G912:R912)),{"Tasarımda","Ply Cutter'da","Üretimde","Kalitede (Üretim sonrası)","Talaşlıda","Kalitede (Talaşlı sonrası)","Montajda","Kalitede (Montaj sonrası)","Boyada","Kalitede (Boya sonrası)","Yarı Mamülde","KM'de"}))))))</f>
        <v/>
      </c>
      <c r="AA912" s="24" t="str">
        <f t="shared" ca="1" si="240"/>
        <v/>
      </c>
      <c r="AB912" s="22"/>
      <c r="AD912" t="str">
        <f>IF(OR($B912="",NOT(ISNUMBER(G912))),"",IF(COUNTIF(H912:$T912,G912)&gt;0,0,IF(COUNTIF($G912:$T912,"&gt;"&amp;G912)=0,"",SMALL($G912:$T912,COUNTIF($G912:$T912,"&lt;="&amp;G912)+1)-G912)))</f>
        <v/>
      </c>
      <c r="AE912" t="str">
        <f>IF(OR($B912="",NOT(ISNUMBER(H912))),"",IF(COUNTIF(I912:$T912,H912)&gt;0,0,IF(COUNTIF($G912:$T912,"&gt;"&amp;H912)=0,"",SMALL($G912:$T912,COUNTIF($G912:$T912,"&lt;="&amp;H912)+1)-H912)))</f>
        <v/>
      </c>
      <c r="AF912" t="str">
        <f>IF(OR($B912="",NOT(ISNUMBER(I912))),"",IF(COUNTIF(J912:$T912,I912)&gt;0,0,IF(COUNTIF($G912:$T912,"&gt;"&amp;I912)=0,"",SMALL($G912:$T912,COUNTIF($G912:$T912,"&lt;="&amp;I912)+1)-I912)))</f>
        <v/>
      </c>
      <c r="AG912" t="str">
        <f>IF(OR($B912="",NOT(ISNUMBER(J912))),"",IF(COUNTIF(K912:$T912,J912)&gt;0,0,IF(COUNTIF($G912:$T912,"&gt;"&amp;J912)=0,"",SMALL($G912:$T912,COUNTIF($G912:$T912,"&lt;="&amp;J912)+1)-J912)))</f>
        <v/>
      </c>
      <c r="AH912" t="str">
        <f>IF(OR($B912="",NOT(ISNUMBER(K912))),"",IF(COUNTIF(L912:$T912,K912)&gt;0,0,IF(COUNTIF($G912:$T912,"&gt;"&amp;K912)=0,"",SMALL($G912:$T912,COUNTIF($G912:$T912,"&lt;="&amp;K912)+1)-K912)))</f>
        <v/>
      </c>
      <c r="AI912" t="str">
        <f>IF(OR($B912="",NOT(ISNUMBER(L912))),"",IF(COUNTIF(M912:$T912,L912)&gt;0,0,IF(COUNTIF($G912:$T912,"&gt;"&amp;L912)=0,"",SMALL($G912:$T912,COUNTIF($G912:$T912,"&lt;="&amp;L912)+1)-L912)))</f>
        <v/>
      </c>
      <c r="AJ912" t="str">
        <f>IF(OR($B912="",NOT(ISNUMBER(M912))),"",IF(COUNTIF(N912:$T912,M912)&gt;0,0,IF(COUNTIF($G912:$T912,"&gt;"&amp;M912)=0,"",SMALL($G912:$T912,COUNTIF($G912:$T912,"&lt;="&amp;M912)+1)-M912)))</f>
        <v/>
      </c>
      <c r="AK912" t="str">
        <f>IF(OR($B912="",NOT(ISNUMBER(N912))),"",IF(COUNTIF(O912:$T912,N912)&gt;0,0,IF(COUNTIF($G912:$T912,"&gt;"&amp;N912)=0,"",SMALL($G912:$T912,COUNTIF($G912:$T912,"&lt;="&amp;N912)+1)-N912)))</f>
        <v/>
      </c>
      <c r="AL912" t="str">
        <f>IF(OR($B912="",NOT(ISNUMBER(O912))),"",IF(COUNTIF(P912:$T912,O912)&gt;0,0,IF(COUNTIF($G912:$T912,"&gt;"&amp;O912)=0,"",SMALL($G912:$T912,COUNTIF($G912:$T912,"&lt;="&amp;O912)+1)-O912)))</f>
        <v/>
      </c>
      <c r="AM912" t="str">
        <f>IF(OR($B912="",NOT(ISNUMBER(P912))),"",IF(COUNTIF(Q912:$T912,P912)&gt;0,0,IF(COUNTIF($G912:$T912,"&gt;"&amp;P912)=0,"",SMALL($G912:$T912,COUNTIF($G912:$T912,"&lt;="&amp;P912)+1)-P912)))</f>
        <v/>
      </c>
      <c r="AN912" t="str">
        <f>IF(OR($B912="",NOT(ISNUMBER(Q912))),"",IF(COUNTIF(R912:$T912,Q912)&gt;0,0,IF(COUNTIF($G912:$T912,"&gt;"&amp;Q912)=0,"",SMALL($G912:$T912,COUNTIF($G912:$T912,"&lt;="&amp;Q912)+1)-Q912)))</f>
        <v/>
      </c>
      <c r="AO912" t="str">
        <f>IF(OR($B912="",NOT(ISNUMBER(R912))),"",IF(COUNTIF(S912:$T912,R912)&gt;0,0,IF(COUNTIF($G912:$T912,"&gt;"&amp;R912)=0,"",SMALL($G912:$T912,COUNTIF($G912:$T912,"&lt;="&amp;R912)+1)-R912)))</f>
        <v/>
      </c>
      <c r="AP912">
        <f t="shared" ca="1" si="241"/>
        <v>0</v>
      </c>
      <c r="AQ912" s="25" t="str">
        <f t="shared" si="242"/>
        <v/>
      </c>
      <c r="AR912" s="25" t="str">
        <f t="shared" si="243"/>
        <v/>
      </c>
      <c r="AS912" s="25" t="str">
        <f t="shared" si="244"/>
        <v/>
      </c>
      <c r="AT912" s="25" t="str">
        <f t="shared" si="245"/>
        <v/>
      </c>
      <c r="AU912" s="25" t="str">
        <f t="shared" si="246"/>
        <v/>
      </c>
      <c r="AV912" s="25" t="str">
        <f t="shared" si="247"/>
        <v/>
      </c>
      <c r="AW912" s="25" t="str">
        <f t="shared" si="248"/>
        <v/>
      </c>
      <c r="AX912" s="25" t="str">
        <f t="shared" si="249"/>
        <v/>
      </c>
      <c r="AY912" s="25" t="str">
        <f t="shared" si="250"/>
        <v/>
      </c>
      <c r="AZ912" s="25" t="str">
        <f t="shared" si="251"/>
        <v/>
      </c>
      <c r="BA912" s="25" t="str">
        <f t="shared" si="252"/>
        <v/>
      </c>
      <c r="BB912" s="25" t="str">
        <f t="shared" si="253"/>
        <v/>
      </c>
      <c r="BC912" s="25" t="str">
        <f t="shared" si="254"/>
        <v/>
      </c>
    </row>
    <row r="913" spans="1:55" x14ac:dyDescent="0.25">
      <c r="A913" s="19" t="str">
        <f t="shared" si="239"/>
        <v/>
      </c>
      <c r="B913" s="19"/>
      <c r="C913" s="20"/>
      <c r="D913" s="19" t="str">
        <f t="shared" si="238"/>
        <v/>
      </c>
      <c r="E913" s="19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19"/>
      <c r="U913" s="19"/>
      <c r="V913" s="20"/>
      <c r="W913" s="22"/>
      <c r="X913" s="21"/>
      <c r="Y913" s="21"/>
      <c r="Z913" s="23" t="str">
        <f>IF(B913="","",IF(S913&lt;&gt;"","Sevk Edildi",IF(AND(X913&lt;&gt;"",Y913=""),"Reworkte",IF(T913&lt;&gt;"","Kapandı"&amp;IF(COUNT(G913:R913)=0,""," – "&amp;LOOKUP(2,1/(G913:R913=MAX(G913:R913)),{"Tasarım","Ply Cutter","Üretim","Kalite (Üretim sonrası)","Talaşlı","Kalite (Talaşlı sonrası)","Montaj","Kalite (Montaj sonrası)","Boya","Kalite (Boya sonrası)","Yarı Mamül","KM"})),IF(COUNT(G913:R913)=0,"Başlamadı",LOOKUP(2,1/(G913:R913=MAX(G913:R913)),{"Tasarımda","Ply Cutter'da","Üretimde","Kalitede (Üretim sonrası)","Talaşlıda","Kalitede (Talaşlı sonrası)","Montajda","Kalitede (Montaj sonrası)","Boyada","Kalitede (Boya sonrası)","Yarı Mamülde","KM'de"}))))))</f>
        <v/>
      </c>
      <c r="AA913" s="24" t="str">
        <f t="shared" ca="1" si="240"/>
        <v/>
      </c>
      <c r="AB913" s="22"/>
      <c r="AD913" t="str">
        <f>IF(OR($B913="",NOT(ISNUMBER(G913))),"",IF(COUNTIF(H913:$T913,G913)&gt;0,0,IF(COUNTIF($G913:$T913,"&gt;"&amp;G913)=0,"",SMALL($G913:$T913,COUNTIF($G913:$T913,"&lt;="&amp;G913)+1)-G913)))</f>
        <v/>
      </c>
      <c r="AE913" t="str">
        <f>IF(OR($B913="",NOT(ISNUMBER(H913))),"",IF(COUNTIF(I913:$T913,H913)&gt;0,0,IF(COUNTIF($G913:$T913,"&gt;"&amp;H913)=0,"",SMALL($G913:$T913,COUNTIF($G913:$T913,"&lt;="&amp;H913)+1)-H913)))</f>
        <v/>
      </c>
      <c r="AF913" t="str">
        <f>IF(OR($B913="",NOT(ISNUMBER(I913))),"",IF(COUNTIF(J913:$T913,I913)&gt;0,0,IF(COUNTIF($G913:$T913,"&gt;"&amp;I913)=0,"",SMALL($G913:$T913,COUNTIF($G913:$T913,"&lt;="&amp;I913)+1)-I913)))</f>
        <v/>
      </c>
      <c r="AG913" t="str">
        <f>IF(OR($B913="",NOT(ISNUMBER(J913))),"",IF(COUNTIF(K913:$T913,J913)&gt;0,0,IF(COUNTIF($G913:$T913,"&gt;"&amp;J913)=0,"",SMALL($G913:$T913,COUNTIF($G913:$T913,"&lt;="&amp;J913)+1)-J913)))</f>
        <v/>
      </c>
      <c r="AH913" t="str">
        <f>IF(OR($B913="",NOT(ISNUMBER(K913))),"",IF(COUNTIF(L913:$T913,K913)&gt;0,0,IF(COUNTIF($G913:$T913,"&gt;"&amp;K913)=0,"",SMALL($G913:$T913,COUNTIF($G913:$T913,"&lt;="&amp;K913)+1)-K913)))</f>
        <v/>
      </c>
      <c r="AI913" t="str">
        <f>IF(OR($B913="",NOT(ISNUMBER(L913))),"",IF(COUNTIF(M913:$T913,L913)&gt;0,0,IF(COUNTIF($G913:$T913,"&gt;"&amp;L913)=0,"",SMALL($G913:$T913,COUNTIF($G913:$T913,"&lt;="&amp;L913)+1)-L913)))</f>
        <v/>
      </c>
      <c r="AJ913" t="str">
        <f>IF(OR($B913="",NOT(ISNUMBER(M913))),"",IF(COUNTIF(N913:$T913,M913)&gt;0,0,IF(COUNTIF($G913:$T913,"&gt;"&amp;M913)=0,"",SMALL($G913:$T913,COUNTIF($G913:$T913,"&lt;="&amp;M913)+1)-M913)))</f>
        <v/>
      </c>
      <c r="AK913" t="str">
        <f>IF(OR($B913="",NOT(ISNUMBER(N913))),"",IF(COUNTIF(O913:$T913,N913)&gt;0,0,IF(COUNTIF($G913:$T913,"&gt;"&amp;N913)=0,"",SMALL($G913:$T913,COUNTIF($G913:$T913,"&lt;="&amp;N913)+1)-N913)))</f>
        <v/>
      </c>
      <c r="AL913" t="str">
        <f>IF(OR($B913="",NOT(ISNUMBER(O913))),"",IF(COUNTIF(P913:$T913,O913)&gt;0,0,IF(COUNTIF($G913:$T913,"&gt;"&amp;O913)=0,"",SMALL($G913:$T913,COUNTIF($G913:$T913,"&lt;="&amp;O913)+1)-O913)))</f>
        <v/>
      </c>
      <c r="AM913" t="str">
        <f>IF(OR($B913="",NOT(ISNUMBER(P913))),"",IF(COUNTIF(Q913:$T913,P913)&gt;0,0,IF(COUNTIF($G913:$T913,"&gt;"&amp;P913)=0,"",SMALL($G913:$T913,COUNTIF($G913:$T913,"&lt;="&amp;P913)+1)-P913)))</f>
        <v/>
      </c>
      <c r="AN913" t="str">
        <f>IF(OR($B913="",NOT(ISNUMBER(Q913))),"",IF(COUNTIF(R913:$T913,Q913)&gt;0,0,IF(COUNTIF($G913:$T913,"&gt;"&amp;Q913)=0,"",SMALL($G913:$T913,COUNTIF($G913:$T913,"&lt;="&amp;Q913)+1)-Q913)))</f>
        <v/>
      </c>
      <c r="AO913" t="str">
        <f>IF(OR($B913="",NOT(ISNUMBER(R913))),"",IF(COUNTIF(S913:$T913,R913)&gt;0,0,IF(COUNTIF($G913:$T913,"&gt;"&amp;R913)=0,"",SMALL($G913:$T913,COUNTIF($G913:$T913,"&lt;="&amp;R913)+1)-R913)))</f>
        <v/>
      </c>
      <c r="AP913">
        <f t="shared" ca="1" si="241"/>
        <v>0</v>
      </c>
      <c r="AQ913" s="25" t="str">
        <f t="shared" si="242"/>
        <v/>
      </c>
      <c r="AR913" s="25" t="str">
        <f t="shared" si="243"/>
        <v/>
      </c>
      <c r="AS913" s="25" t="str">
        <f t="shared" si="244"/>
        <v/>
      </c>
      <c r="AT913" s="25" t="str">
        <f t="shared" si="245"/>
        <v/>
      </c>
      <c r="AU913" s="25" t="str">
        <f t="shared" si="246"/>
        <v/>
      </c>
      <c r="AV913" s="25" t="str">
        <f t="shared" si="247"/>
        <v/>
      </c>
      <c r="AW913" s="25" t="str">
        <f t="shared" si="248"/>
        <v/>
      </c>
      <c r="AX913" s="25" t="str">
        <f t="shared" si="249"/>
        <v/>
      </c>
      <c r="AY913" s="25" t="str">
        <f t="shared" si="250"/>
        <v/>
      </c>
      <c r="AZ913" s="25" t="str">
        <f t="shared" si="251"/>
        <v/>
      </c>
      <c r="BA913" s="25" t="str">
        <f t="shared" si="252"/>
        <v/>
      </c>
      <c r="BB913" s="25" t="str">
        <f t="shared" si="253"/>
        <v/>
      </c>
      <c r="BC913" s="25" t="str">
        <f t="shared" si="254"/>
        <v/>
      </c>
    </row>
    <row r="914" spans="1:55" x14ac:dyDescent="0.25">
      <c r="A914" s="19" t="str">
        <f t="shared" si="239"/>
        <v/>
      </c>
      <c r="B914" s="19"/>
      <c r="C914" s="20"/>
      <c r="D914" s="19" t="str">
        <f t="shared" si="238"/>
        <v/>
      </c>
      <c r="E914" s="19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19"/>
      <c r="U914" s="19"/>
      <c r="V914" s="20"/>
      <c r="W914" s="22"/>
      <c r="X914" s="21"/>
      <c r="Y914" s="21"/>
      <c r="Z914" s="23" t="str">
        <f>IF(B914="","",IF(S914&lt;&gt;"","Sevk Edildi",IF(AND(X914&lt;&gt;"",Y914=""),"Reworkte",IF(T914&lt;&gt;"","Kapandı"&amp;IF(COUNT(G914:R914)=0,""," – "&amp;LOOKUP(2,1/(G914:R914=MAX(G914:R914)),{"Tasarım","Ply Cutter","Üretim","Kalite (Üretim sonrası)","Talaşlı","Kalite (Talaşlı sonrası)","Montaj","Kalite (Montaj sonrası)","Boya","Kalite (Boya sonrası)","Yarı Mamül","KM"})),IF(COUNT(G914:R914)=0,"Başlamadı",LOOKUP(2,1/(G914:R914=MAX(G914:R914)),{"Tasarımda","Ply Cutter'da","Üretimde","Kalitede (Üretim sonrası)","Talaşlıda","Kalitede (Talaşlı sonrası)","Montajda","Kalitede (Montaj sonrası)","Boyada","Kalitede (Boya sonrası)","Yarı Mamülde","KM'de"}))))))</f>
        <v/>
      </c>
      <c r="AA914" s="24" t="str">
        <f t="shared" ca="1" si="240"/>
        <v/>
      </c>
      <c r="AB914" s="22"/>
      <c r="AD914" t="str">
        <f>IF(OR($B914="",NOT(ISNUMBER(G914))),"",IF(COUNTIF(H914:$T914,G914)&gt;0,0,IF(COUNTIF($G914:$T914,"&gt;"&amp;G914)=0,"",SMALL($G914:$T914,COUNTIF($G914:$T914,"&lt;="&amp;G914)+1)-G914)))</f>
        <v/>
      </c>
      <c r="AE914" t="str">
        <f>IF(OR($B914="",NOT(ISNUMBER(H914))),"",IF(COUNTIF(I914:$T914,H914)&gt;0,0,IF(COUNTIF($G914:$T914,"&gt;"&amp;H914)=0,"",SMALL($G914:$T914,COUNTIF($G914:$T914,"&lt;="&amp;H914)+1)-H914)))</f>
        <v/>
      </c>
      <c r="AF914" t="str">
        <f>IF(OR($B914="",NOT(ISNUMBER(I914))),"",IF(COUNTIF(J914:$T914,I914)&gt;0,0,IF(COUNTIF($G914:$T914,"&gt;"&amp;I914)=0,"",SMALL($G914:$T914,COUNTIF($G914:$T914,"&lt;="&amp;I914)+1)-I914)))</f>
        <v/>
      </c>
      <c r="AG914" t="str">
        <f>IF(OR($B914="",NOT(ISNUMBER(J914))),"",IF(COUNTIF(K914:$T914,J914)&gt;0,0,IF(COUNTIF($G914:$T914,"&gt;"&amp;J914)=0,"",SMALL($G914:$T914,COUNTIF($G914:$T914,"&lt;="&amp;J914)+1)-J914)))</f>
        <v/>
      </c>
      <c r="AH914" t="str">
        <f>IF(OR($B914="",NOT(ISNUMBER(K914))),"",IF(COUNTIF(L914:$T914,K914)&gt;0,0,IF(COUNTIF($G914:$T914,"&gt;"&amp;K914)=0,"",SMALL($G914:$T914,COUNTIF($G914:$T914,"&lt;="&amp;K914)+1)-K914)))</f>
        <v/>
      </c>
      <c r="AI914" t="str">
        <f>IF(OR($B914="",NOT(ISNUMBER(L914))),"",IF(COUNTIF(M914:$T914,L914)&gt;0,0,IF(COUNTIF($G914:$T914,"&gt;"&amp;L914)=0,"",SMALL($G914:$T914,COUNTIF($G914:$T914,"&lt;="&amp;L914)+1)-L914)))</f>
        <v/>
      </c>
      <c r="AJ914" t="str">
        <f>IF(OR($B914="",NOT(ISNUMBER(M914))),"",IF(COUNTIF(N914:$T914,M914)&gt;0,0,IF(COUNTIF($G914:$T914,"&gt;"&amp;M914)=0,"",SMALL($G914:$T914,COUNTIF($G914:$T914,"&lt;="&amp;M914)+1)-M914)))</f>
        <v/>
      </c>
      <c r="AK914" t="str">
        <f>IF(OR($B914="",NOT(ISNUMBER(N914))),"",IF(COUNTIF(O914:$T914,N914)&gt;0,0,IF(COUNTIF($G914:$T914,"&gt;"&amp;N914)=0,"",SMALL($G914:$T914,COUNTIF($G914:$T914,"&lt;="&amp;N914)+1)-N914)))</f>
        <v/>
      </c>
      <c r="AL914" t="str">
        <f>IF(OR($B914="",NOT(ISNUMBER(O914))),"",IF(COUNTIF(P914:$T914,O914)&gt;0,0,IF(COUNTIF($G914:$T914,"&gt;"&amp;O914)=0,"",SMALL($G914:$T914,COUNTIF($G914:$T914,"&lt;="&amp;O914)+1)-O914)))</f>
        <v/>
      </c>
      <c r="AM914" t="str">
        <f>IF(OR($B914="",NOT(ISNUMBER(P914))),"",IF(COUNTIF(Q914:$T914,P914)&gt;0,0,IF(COUNTIF($G914:$T914,"&gt;"&amp;P914)=0,"",SMALL($G914:$T914,COUNTIF($G914:$T914,"&lt;="&amp;P914)+1)-P914)))</f>
        <v/>
      </c>
      <c r="AN914" t="str">
        <f>IF(OR($B914="",NOT(ISNUMBER(Q914))),"",IF(COUNTIF(R914:$T914,Q914)&gt;0,0,IF(COUNTIF($G914:$T914,"&gt;"&amp;Q914)=0,"",SMALL($G914:$T914,COUNTIF($G914:$T914,"&lt;="&amp;Q914)+1)-Q914)))</f>
        <v/>
      </c>
      <c r="AO914" t="str">
        <f>IF(OR($B914="",NOT(ISNUMBER(R914))),"",IF(COUNTIF(S914:$T914,R914)&gt;0,0,IF(COUNTIF($G914:$T914,"&gt;"&amp;R914)=0,"",SMALL($G914:$T914,COUNTIF($G914:$T914,"&lt;="&amp;R914)+1)-R914)))</f>
        <v/>
      </c>
      <c r="AP914">
        <f t="shared" ca="1" si="241"/>
        <v>0</v>
      </c>
      <c r="AQ914" s="25" t="str">
        <f t="shared" si="242"/>
        <v/>
      </c>
      <c r="AR914" s="25" t="str">
        <f t="shared" si="243"/>
        <v/>
      </c>
      <c r="AS914" s="25" t="str">
        <f t="shared" si="244"/>
        <v/>
      </c>
      <c r="AT914" s="25" t="str">
        <f t="shared" si="245"/>
        <v/>
      </c>
      <c r="AU914" s="25" t="str">
        <f t="shared" si="246"/>
        <v/>
      </c>
      <c r="AV914" s="25" t="str">
        <f t="shared" si="247"/>
        <v/>
      </c>
      <c r="AW914" s="25" t="str">
        <f t="shared" si="248"/>
        <v/>
      </c>
      <c r="AX914" s="25" t="str">
        <f t="shared" si="249"/>
        <v/>
      </c>
      <c r="AY914" s="25" t="str">
        <f t="shared" si="250"/>
        <v/>
      </c>
      <c r="AZ914" s="25" t="str">
        <f t="shared" si="251"/>
        <v/>
      </c>
      <c r="BA914" s="25" t="str">
        <f t="shared" si="252"/>
        <v/>
      </c>
      <c r="BB914" s="25" t="str">
        <f t="shared" si="253"/>
        <v/>
      </c>
      <c r="BC914" s="25" t="str">
        <f t="shared" si="254"/>
        <v/>
      </c>
    </row>
    <row r="915" spans="1:55" x14ac:dyDescent="0.25">
      <c r="A915" s="19" t="str">
        <f t="shared" si="239"/>
        <v/>
      </c>
      <c r="B915" s="19"/>
      <c r="C915" s="20"/>
      <c r="D915" s="19" t="str">
        <f t="shared" si="238"/>
        <v/>
      </c>
      <c r="E915" s="19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19"/>
      <c r="U915" s="19"/>
      <c r="V915" s="20"/>
      <c r="W915" s="22"/>
      <c r="X915" s="21"/>
      <c r="Y915" s="21"/>
      <c r="Z915" s="23" t="str">
        <f>IF(B915="","",IF(S915&lt;&gt;"","Sevk Edildi",IF(AND(X915&lt;&gt;"",Y915=""),"Reworkte",IF(T915&lt;&gt;"","Kapandı"&amp;IF(COUNT(G915:R915)=0,""," – "&amp;LOOKUP(2,1/(G915:R915=MAX(G915:R915)),{"Tasarım","Ply Cutter","Üretim","Kalite (Üretim sonrası)","Talaşlı","Kalite (Talaşlı sonrası)","Montaj","Kalite (Montaj sonrası)","Boya","Kalite (Boya sonrası)","Yarı Mamül","KM"})),IF(COUNT(G915:R915)=0,"Başlamadı",LOOKUP(2,1/(G915:R915=MAX(G915:R915)),{"Tasarımda","Ply Cutter'da","Üretimde","Kalitede (Üretim sonrası)","Talaşlıda","Kalitede (Talaşlı sonrası)","Montajda","Kalitede (Montaj sonrası)","Boyada","Kalitede (Boya sonrası)","Yarı Mamülde","KM'de"}))))))</f>
        <v/>
      </c>
      <c r="AA915" s="24" t="str">
        <f t="shared" ca="1" si="240"/>
        <v/>
      </c>
      <c r="AB915" s="22"/>
      <c r="AD915" t="str">
        <f>IF(OR($B915="",NOT(ISNUMBER(G915))),"",IF(COUNTIF(H915:$T915,G915)&gt;0,0,IF(COUNTIF($G915:$T915,"&gt;"&amp;G915)=0,"",SMALL($G915:$T915,COUNTIF($G915:$T915,"&lt;="&amp;G915)+1)-G915)))</f>
        <v/>
      </c>
      <c r="AE915" t="str">
        <f>IF(OR($B915="",NOT(ISNUMBER(H915))),"",IF(COUNTIF(I915:$T915,H915)&gt;0,0,IF(COUNTIF($G915:$T915,"&gt;"&amp;H915)=0,"",SMALL($G915:$T915,COUNTIF($G915:$T915,"&lt;="&amp;H915)+1)-H915)))</f>
        <v/>
      </c>
      <c r="AF915" t="str">
        <f>IF(OR($B915="",NOT(ISNUMBER(I915))),"",IF(COUNTIF(J915:$T915,I915)&gt;0,0,IF(COUNTIF($G915:$T915,"&gt;"&amp;I915)=0,"",SMALL($G915:$T915,COUNTIF($G915:$T915,"&lt;="&amp;I915)+1)-I915)))</f>
        <v/>
      </c>
      <c r="AG915" t="str">
        <f>IF(OR($B915="",NOT(ISNUMBER(J915))),"",IF(COUNTIF(K915:$T915,J915)&gt;0,0,IF(COUNTIF($G915:$T915,"&gt;"&amp;J915)=0,"",SMALL($G915:$T915,COUNTIF($G915:$T915,"&lt;="&amp;J915)+1)-J915)))</f>
        <v/>
      </c>
      <c r="AH915" t="str">
        <f>IF(OR($B915="",NOT(ISNUMBER(K915))),"",IF(COUNTIF(L915:$T915,K915)&gt;0,0,IF(COUNTIF($G915:$T915,"&gt;"&amp;K915)=0,"",SMALL($G915:$T915,COUNTIF($G915:$T915,"&lt;="&amp;K915)+1)-K915)))</f>
        <v/>
      </c>
      <c r="AI915" t="str">
        <f>IF(OR($B915="",NOT(ISNUMBER(L915))),"",IF(COUNTIF(M915:$T915,L915)&gt;0,0,IF(COUNTIF($G915:$T915,"&gt;"&amp;L915)=0,"",SMALL($G915:$T915,COUNTIF($G915:$T915,"&lt;="&amp;L915)+1)-L915)))</f>
        <v/>
      </c>
      <c r="AJ915" t="str">
        <f>IF(OR($B915="",NOT(ISNUMBER(M915))),"",IF(COUNTIF(N915:$T915,M915)&gt;0,0,IF(COUNTIF($G915:$T915,"&gt;"&amp;M915)=0,"",SMALL($G915:$T915,COUNTIF($G915:$T915,"&lt;="&amp;M915)+1)-M915)))</f>
        <v/>
      </c>
      <c r="AK915" t="str">
        <f>IF(OR($B915="",NOT(ISNUMBER(N915))),"",IF(COUNTIF(O915:$T915,N915)&gt;0,0,IF(COUNTIF($G915:$T915,"&gt;"&amp;N915)=0,"",SMALL($G915:$T915,COUNTIF($G915:$T915,"&lt;="&amp;N915)+1)-N915)))</f>
        <v/>
      </c>
      <c r="AL915" t="str">
        <f>IF(OR($B915="",NOT(ISNUMBER(O915))),"",IF(COUNTIF(P915:$T915,O915)&gt;0,0,IF(COUNTIF($G915:$T915,"&gt;"&amp;O915)=0,"",SMALL($G915:$T915,COUNTIF($G915:$T915,"&lt;="&amp;O915)+1)-O915)))</f>
        <v/>
      </c>
      <c r="AM915" t="str">
        <f>IF(OR($B915="",NOT(ISNUMBER(P915))),"",IF(COUNTIF(Q915:$T915,P915)&gt;0,0,IF(COUNTIF($G915:$T915,"&gt;"&amp;P915)=0,"",SMALL($G915:$T915,COUNTIF($G915:$T915,"&lt;="&amp;P915)+1)-P915)))</f>
        <v/>
      </c>
      <c r="AN915" t="str">
        <f>IF(OR($B915="",NOT(ISNUMBER(Q915))),"",IF(COUNTIF(R915:$T915,Q915)&gt;0,0,IF(COUNTIF($G915:$T915,"&gt;"&amp;Q915)=0,"",SMALL($G915:$T915,COUNTIF($G915:$T915,"&lt;="&amp;Q915)+1)-Q915)))</f>
        <v/>
      </c>
      <c r="AO915" t="str">
        <f>IF(OR($B915="",NOT(ISNUMBER(R915))),"",IF(COUNTIF(S915:$T915,R915)&gt;0,0,IF(COUNTIF($G915:$T915,"&gt;"&amp;R915)=0,"",SMALL($G915:$T915,COUNTIF($G915:$T915,"&lt;="&amp;R915)+1)-R915)))</f>
        <v/>
      </c>
      <c r="AP915">
        <f t="shared" ca="1" si="241"/>
        <v>0</v>
      </c>
      <c r="AQ915" s="25" t="str">
        <f t="shared" si="242"/>
        <v/>
      </c>
      <c r="AR915" s="25" t="str">
        <f t="shared" si="243"/>
        <v/>
      </c>
      <c r="AS915" s="25" t="str">
        <f t="shared" si="244"/>
        <v/>
      </c>
      <c r="AT915" s="25" t="str">
        <f t="shared" si="245"/>
        <v/>
      </c>
      <c r="AU915" s="25" t="str">
        <f t="shared" si="246"/>
        <v/>
      </c>
      <c r="AV915" s="25" t="str">
        <f t="shared" si="247"/>
        <v/>
      </c>
      <c r="AW915" s="25" t="str">
        <f t="shared" si="248"/>
        <v/>
      </c>
      <c r="AX915" s="25" t="str">
        <f t="shared" si="249"/>
        <v/>
      </c>
      <c r="AY915" s="25" t="str">
        <f t="shared" si="250"/>
        <v/>
      </c>
      <c r="AZ915" s="25" t="str">
        <f t="shared" si="251"/>
        <v/>
      </c>
      <c r="BA915" s="25" t="str">
        <f t="shared" si="252"/>
        <v/>
      </c>
      <c r="BB915" s="25" t="str">
        <f t="shared" si="253"/>
        <v/>
      </c>
      <c r="BC915" s="25" t="str">
        <f t="shared" si="254"/>
        <v/>
      </c>
    </row>
    <row r="916" spans="1:55" x14ac:dyDescent="0.25">
      <c r="A916" s="19" t="str">
        <f t="shared" si="239"/>
        <v/>
      </c>
      <c r="B916" s="19"/>
      <c r="C916" s="20"/>
      <c r="D916" s="19" t="str">
        <f t="shared" si="238"/>
        <v/>
      </c>
      <c r="E916" s="19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19"/>
      <c r="U916" s="19"/>
      <c r="V916" s="20"/>
      <c r="W916" s="22"/>
      <c r="X916" s="21"/>
      <c r="Y916" s="21"/>
      <c r="Z916" s="23" t="str">
        <f>IF(B916="","",IF(S916&lt;&gt;"","Sevk Edildi",IF(AND(X916&lt;&gt;"",Y916=""),"Reworkte",IF(T916&lt;&gt;"","Kapandı"&amp;IF(COUNT(G916:R916)=0,""," – "&amp;LOOKUP(2,1/(G916:R916=MAX(G916:R916)),{"Tasarım","Ply Cutter","Üretim","Kalite (Üretim sonrası)","Talaşlı","Kalite (Talaşlı sonrası)","Montaj","Kalite (Montaj sonrası)","Boya","Kalite (Boya sonrası)","Yarı Mamül","KM"})),IF(COUNT(G916:R916)=0,"Başlamadı",LOOKUP(2,1/(G916:R916=MAX(G916:R916)),{"Tasarımda","Ply Cutter'da","Üretimde","Kalitede (Üretim sonrası)","Talaşlıda","Kalitede (Talaşlı sonrası)","Montajda","Kalitede (Montaj sonrası)","Boyada","Kalitede (Boya sonrası)","Yarı Mamülde","KM'de"}))))))</f>
        <v/>
      </c>
      <c r="AA916" s="24" t="str">
        <f t="shared" ca="1" si="240"/>
        <v/>
      </c>
      <c r="AB916" s="22"/>
      <c r="AD916" t="str">
        <f>IF(OR($B916="",NOT(ISNUMBER(G916))),"",IF(COUNTIF(H916:$T916,G916)&gt;0,0,IF(COUNTIF($G916:$T916,"&gt;"&amp;G916)=0,"",SMALL($G916:$T916,COUNTIF($G916:$T916,"&lt;="&amp;G916)+1)-G916)))</f>
        <v/>
      </c>
      <c r="AE916" t="str">
        <f>IF(OR($B916="",NOT(ISNUMBER(H916))),"",IF(COUNTIF(I916:$T916,H916)&gt;0,0,IF(COUNTIF($G916:$T916,"&gt;"&amp;H916)=0,"",SMALL($G916:$T916,COUNTIF($G916:$T916,"&lt;="&amp;H916)+1)-H916)))</f>
        <v/>
      </c>
      <c r="AF916" t="str">
        <f>IF(OR($B916="",NOT(ISNUMBER(I916))),"",IF(COUNTIF(J916:$T916,I916)&gt;0,0,IF(COUNTIF($G916:$T916,"&gt;"&amp;I916)=0,"",SMALL($G916:$T916,COUNTIF($G916:$T916,"&lt;="&amp;I916)+1)-I916)))</f>
        <v/>
      </c>
      <c r="AG916" t="str">
        <f>IF(OR($B916="",NOT(ISNUMBER(J916))),"",IF(COUNTIF(K916:$T916,J916)&gt;0,0,IF(COUNTIF($G916:$T916,"&gt;"&amp;J916)=0,"",SMALL($G916:$T916,COUNTIF($G916:$T916,"&lt;="&amp;J916)+1)-J916)))</f>
        <v/>
      </c>
      <c r="AH916" t="str">
        <f>IF(OR($B916="",NOT(ISNUMBER(K916))),"",IF(COUNTIF(L916:$T916,K916)&gt;0,0,IF(COUNTIF($G916:$T916,"&gt;"&amp;K916)=0,"",SMALL($G916:$T916,COUNTIF($G916:$T916,"&lt;="&amp;K916)+1)-K916)))</f>
        <v/>
      </c>
      <c r="AI916" t="str">
        <f>IF(OR($B916="",NOT(ISNUMBER(L916))),"",IF(COUNTIF(M916:$T916,L916)&gt;0,0,IF(COUNTIF($G916:$T916,"&gt;"&amp;L916)=0,"",SMALL($G916:$T916,COUNTIF($G916:$T916,"&lt;="&amp;L916)+1)-L916)))</f>
        <v/>
      </c>
      <c r="AJ916" t="str">
        <f>IF(OR($B916="",NOT(ISNUMBER(M916))),"",IF(COUNTIF(N916:$T916,M916)&gt;0,0,IF(COUNTIF($G916:$T916,"&gt;"&amp;M916)=0,"",SMALL($G916:$T916,COUNTIF($G916:$T916,"&lt;="&amp;M916)+1)-M916)))</f>
        <v/>
      </c>
      <c r="AK916" t="str">
        <f>IF(OR($B916="",NOT(ISNUMBER(N916))),"",IF(COUNTIF(O916:$T916,N916)&gt;0,0,IF(COUNTIF($G916:$T916,"&gt;"&amp;N916)=0,"",SMALL($G916:$T916,COUNTIF($G916:$T916,"&lt;="&amp;N916)+1)-N916)))</f>
        <v/>
      </c>
      <c r="AL916" t="str">
        <f>IF(OR($B916="",NOT(ISNUMBER(O916))),"",IF(COUNTIF(P916:$T916,O916)&gt;0,0,IF(COUNTIF($G916:$T916,"&gt;"&amp;O916)=0,"",SMALL($G916:$T916,COUNTIF($G916:$T916,"&lt;="&amp;O916)+1)-O916)))</f>
        <v/>
      </c>
      <c r="AM916" t="str">
        <f>IF(OR($B916="",NOT(ISNUMBER(P916))),"",IF(COUNTIF(Q916:$T916,P916)&gt;0,0,IF(COUNTIF($G916:$T916,"&gt;"&amp;P916)=0,"",SMALL($G916:$T916,COUNTIF($G916:$T916,"&lt;="&amp;P916)+1)-P916)))</f>
        <v/>
      </c>
      <c r="AN916" t="str">
        <f>IF(OR($B916="",NOT(ISNUMBER(Q916))),"",IF(COUNTIF(R916:$T916,Q916)&gt;0,0,IF(COUNTIF($G916:$T916,"&gt;"&amp;Q916)=0,"",SMALL($G916:$T916,COUNTIF($G916:$T916,"&lt;="&amp;Q916)+1)-Q916)))</f>
        <v/>
      </c>
      <c r="AO916" t="str">
        <f>IF(OR($B916="",NOT(ISNUMBER(R916))),"",IF(COUNTIF(S916:$T916,R916)&gt;0,0,IF(COUNTIF($G916:$T916,"&gt;"&amp;R916)=0,"",SMALL($G916:$T916,COUNTIF($G916:$T916,"&lt;="&amp;R916)+1)-R916)))</f>
        <v/>
      </c>
      <c r="AP916">
        <f t="shared" ca="1" si="241"/>
        <v>0</v>
      </c>
      <c r="AQ916" s="25" t="str">
        <f t="shared" si="242"/>
        <v/>
      </c>
      <c r="AR916" s="25" t="str">
        <f t="shared" si="243"/>
        <v/>
      </c>
      <c r="AS916" s="25" t="str">
        <f t="shared" si="244"/>
        <v/>
      </c>
      <c r="AT916" s="25" t="str">
        <f t="shared" si="245"/>
        <v/>
      </c>
      <c r="AU916" s="25" t="str">
        <f t="shared" si="246"/>
        <v/>
      </c>
      <c r="AV916" s="25" t="str">
        <f t="shared" si="247"/>
        <v/>
      </c>
      <c r="AW916" s="25" t="str">
        <f t="shared" si="248"/>
        <v/>
      </c>
      <c r="AX916" s="25" t="str">
        <f t="shared" si="249"/>
        <v/>
      </c>
      <c r="AY916" s="25" t="str">
        <f t="shared" si="250"/>
        <v/>
      </c>
      <c r="AZ916" s="25" t="str">
        <f t="shared" si="251"/>
        <v/>
      </c>
      <c r="BA916" s="25" t="str">
        <f t="shared" si="252"/>
        <v/>
      </c>
      <c r="BB916" s="25" t="str">
        <f t="shared" si="253"/>
        <v/>
      </c>
      <c r="BC916" s="25" t="str">
        <f t="shared" si="254"/>
        <v/>
      </c>
    </row>
    <row r="917" spans="1:55" x14ac:dyDescent="0.25">
      <c r="A917" s="19" t="str">
        <f t="shared" si="239"/>
        <v/>
      </c>
      <c r="B917" s="19"/>
      <c r="C917" s="20"/>
      <c r="D917" s="19" t="str">
        <f t="shared" si="238"/>
        <v/>
      </c>
      <c r="E917" s="19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19"/>
      <c r="U917" s="19"/>
      <c r="V917" s="20"/>
      <c r="W917" s="22"/>
      <c r="X917" s="21"/>
      <c r="Y917" s="21"/>
      <c r="Z917" s="23" t="str">
        <f>IF(B917="","",IF(S917&lt;&gt;"","Sevk Edildi",IF(AND(X917&lt;&gt;"",Y917=""),"Reworkte",IF(T917&lt;&gt;"","Kapandı"&amp;IF(COUNT(G917:R917)=0,""," – "&amp;LOOKUP(2,1/(G917:R917=MAX(G917:R917)),{"Tasarım","Ply Cutter","Üretim","Kalite (Üretim sonrası)","Talaşlı","Kalite (Talaşlı sonrası)","Montaj","Kalite (Montaj sonrası)","Boya","Kalite (Boya sonrası)","Yarı Mamül","KM"})),IF(COUNT(G917:R917)=0,"Başlamadı",LOOKUP(2,1/(G917:R917=MAX(G917:R917)),{"Tasarımda","Ply Cutter'da","Üretimde","Kalitede (Üretim sonrası)","Talaşlıda","Kalitede (Talaşlı sonrası)","Montajda","Kalitede (Montaj sonrası)","Boyada","Kalitede (Boya sonrası)","Yarı Mamülde","KM'de"}))))))</f>
        <v/>
      </c>
      <c r="AA917" s="24" t="str">
        <f t="shared" ca="1" si="240"/>
        <v/>
      </c>
      <c r="AB917" s="22"/>
      <c r="AD917" t="str">
        <f>IF(OR($B917="",NOT(ISNUMBER(G917))),"",IF(COUNTIF(H917:$T917,G917)&gt;0,0,IF(COUNTIF($G917:$T917,"&gt;"&amp;G917)=0,"",SMALL($G917:$T917,COUNTIF($G917:$T917,"&lt;="&amp;G917)+1)-G917)))</f>
        <v/>
      </c>
      <c r="AE917" t="str">
        <f>IF(OR($B917="",NOT(ISNUMBER(H917))),"",IF(COUNTIF(I917:$T917,H917)&gt;0,0,IF(COUNTIF($G917:$T917,"&gt;"&amp;H917)=0,"",SMALL($G917:$T917,COUNTIF($G917:$T917,"&lt;="&amp;H917)+1)-H917)))</f>
        <v/>
      </c>
      <c r="AF917" t="str">
        <f>IF(OR($B917="",NOT(ISNUMBER(I917))),"",IF(COUNTIF(J917:$T917,I917)&gt;0,0,IF(COUNTIF($G917:$T917,"&gt;"&amp;I917)=0,"",SMALL($G917:$T917,COUNTIF($G917:$T917,"&lt;="&amp;I917)+1)-I917)))</f>
        <v/>
      </c>
      <c r="AG917" t="str">
        <f>IF(OR($B917="",NOT(ISNUMBER(J917))),"",IF(COUNTIF(K917:$T917,J917)&gt;0,0,IF(COUNTIF($G917:$T917,"&gt;"&amp;J917)=0,"",SMALL($G917:$T917,COUNTIF($G917:$T917,"&lt;="&amp;J917)+1)-J917)))</f>
        <v/>
      </c>
      <c r="AH917" t="str">
        <f>IF(OR($B917="",NOT(ISNUMBER(K917))),"",IF(COUNTIF(L917:$T917,K917)&gt;0,0,IF(COUNTIF($G917:$T917,"&gt;"&amp;K917)=0,"",SMALL($G917:$T917,COUNTIF($G917:$T917,"&lt;="&amp;K917)+1)-K917)))</f>
        <v/>
      </c>
      <c r="AI917" t="str">
        <f>IF(OR($B917="",NOT(ISNUMBER(L917))),"",IF(COUNTIF(M917:$T917,L917)&gt;0,0,IF(COUNTIF($G917:$T917,"&gt;"&amp;L917)=0,"",SMALL($G917:$T917,COUNTIF($G917:$T917,"&lt;="&amp;L917)+1)-L917)))</f>
        <v/>
      </c>
      <c r="AJ917" t="str">
        <f>IF(OR($B917="",NOT(ISNUMBER(M917))),"",IF(COUNTIF(N917:$T917,M917)&gt;0,0,IF(COUNTIF($G917:$T917,"&gt;"&amp;M917)=0,"",SMALL($G917:$T917,COUNTIF($G917:$T917,"&lt;="&amp;M917)+1)-M917)))</f>
        <v/>
      </c>
      <c r="AK917" t="str">
        <f>IF(OR($B917="",NOT(ISNUMBER(N917))),"",IF(COUNTIF(O917:$T917,N917)&gt;0,0,IF(COUNTIF($G917:$T917,"&gt;"&amp;N917)=0,"",SMALL($G917:$T917,COUNTIF($G917:$T917,"&lt;="&amp;N917)+1)-N917)))</f>
        <v/>
      </c>
      <c r="AL917" t="str">
        <f>IF(OR($B917="",NOT(ISNUMBER(O917))),"",IF(COUNTIF(P917:$T917,O917)&gt;0,0,IF(COUNTIF($G917:$T917,"&gt;"&amp;O917)=0,"",SMALL($G917:$T917,COUNTIF($G917:$T917,"&lt;="&amp;O917)+1)-O917)))</f>
        <v/>
      </c>
      <c r="AM917" t="str">
        <f>IF(OR($B917="",NOT(ISNUMBER(P917))),"",IF(COUNTIF(Q917:$T917,P917)&gt;0,0,IF(COUNTIF($G917:$T917,"&gt;"&amp;P917)=0,"",SMALL($G917:$T917,COUNTIF($G917:$T917,"&lt;="&amp;P917)+1)-P917)))</f>
        <v/>
      </c>
      <c r="AN917" t="str">
        <f>IF(OR($B917="",NOT(ISNUMBER(Q917))),"",IF(COUNTIF(R917:$T917,Q917)&gt;0,0,IF(COUNTIF($G917:$T917,"&gt;"&amp;Q917)=0,"",SMALL($G917:$T917,COUNTIF($G917:$T917,"&lt;="&amp;Q917)+1)-Q917)))</f>
        <v/>
      </c>
      <c r="AO917" t="str">
        <f>IF(OR($B917="",NOT(ISNUMBER(R917))),"",IF(COUNTIF(S917:$T917,R917)&gt;0,0,IF(COUNTIF($G917:$T917,"&gt;"&amp;R917)=0,"",SMALL($G917:$T917,COUNTIF($G917:$T917,"&lt;="&amp;R917)+1)-R917)))</f>
        <v/>
      </c>
      <c r="AP917">
        <f t="shared" ca="1" si="241"/>
        <v>0</v>
      </c>
      <c r="AQ917" s="25" t="str">
        <f t="shared" si="242"/>
        <v/>
      </c>
      <c r="AR917" s="25" t="str">
        <f t="shared" si="243"/>
        <v/>
      </c>
      <c r="AS917" s="25" t="str">
        <f t="shared" si="244"/>
        <v/>
      </c>
      <c r="AT917" s="25" t="str">
        <f t="shared" si="245"/>
        <v/>
      </c>
      <c r="AU917" s="25" t="str">
        <f t="shared" si="246"/>
        <v/>
      </c>
      <c r="AV917" s="25" t="str">
        <f t="shared" si="247"/>
        <v/>
      </c>
      <c r="AW917" s="25" t="str">
        <f t="shared" si="248"/>
        <v/>
      </c>
      <c r="AX917" s="25" t="str">
        <f t="shared" si="249"/>
        <v/>
      </c>
      <c r="AY917" s="25" t="str">
        <f t="shared" si="250"/>
        <v/>
      </c>
      <c r="AZ917" s="25" t="str">
        <f t="shared" si="251"/>
        <v/>
      </c>
      <c r="BA917" s="25" t="str">
        <f t="shared" si="252"/>
        <v/>
      </c>
      <c r="BB917" s="25" t="str">
        <f t="shared" si="253"/>
        <v/>
      </c>
      <c r="BC917" s="25" t="str">
        <f t="shared" si="254"/>
        <v/>
      </c>
    </row>
    <row r="918" spans="1:55" x14ac:dyDescent="0.25">
      <c r="A918" s="19" t="str">
        <f t="shared" si="239"/>
        <v/>
      </c>
      <c r="B918" s="19"/>
      <c r="C918" s="20"/>
      <c r="D918" s="19" t="str">
        <f t="shared" si="238"/>
        <v/>
      </c>
      <c r="E918" s="19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19"/>
      <c r="U918" s="19"/>
      <c r="V918" s="20"/>
      <c r="W918" s="22"/>
      <c r="X918" s="21"/>
      <c r="Y918" s="21"/>
      <c r="Z918" s="23" t="str">
        <f>IF(B918="","",IF(S918&lt;&gt;"","Sevk Edildi",IF(AND(X918&lt;&gt;"",Y918=""),"Reworkte",IF(T918&lt;&gt;"","Kapandı"&amp;IF(COUNT(G918:R918)=0,""," – "&amp;LOOKUP(2,1/(G918:R918=MAX(G918:R918)),{"Tasarım","Ply Cutter","Üretim","Kalite (Üretim sonrası)","Talaşlı","Kalite (Talaşlı sonrası)","Montaj","Kalite (Montaj sonrası)","Boya","Kalite (Boya sonrası)","Yarı Mamül","KM"})),IF(COUNT(G918:R918)=0,"Başlamadı",LOOKUP(2,1/(G918:R918=MAX(G918:R918)),{"Tasarımda","Ply Cutter'da","Üretimde","Kalitede (Üretim sonrası)","Talaşlıda","Kalitede (Talaşlı sonrası)","Montajda","Kalitede (Montaj sonrası)","Boyada","Kalitede (Boya sonrası)","Yarı Mamülde","KM'de"}))))))</f>
        <v/>
      </c>
      <c r="AA918" s="24" t="str">
        <f t="shared" ca="1" si="240"/>
        <v/>
      </c>
      <c r="AB918" s="22"/>
      <c r="AD918" t="str">
        <f>IF(OR($B918="",NOT(ISNUMBER(G918))),"",IF(COUNTIF(H918:$T918,G918)&gt;0,0,IF(COUNTIF($G918:$T918,"&gt;"&amp;G918)=0,"",SMALL($G918:$T918,COUNTIF($G918:$T918,"&lt;="&amp;G918)+1)-G918)))</f>
        <v/>
      </c>
      <c r="AE918" t="str">
        <f>IF(OR($B918="",NOT(ISNUMBER(H918))),"",IF(COUNTIF(I918:$T918,H918)&gt;0,0,IF(COUNTIF($G918:$T918,"&gt;"&amp;H918)=0,"",SMALL($G918:$T918,COUNTIF($G918:$T918,"&lt;="&amp;H918)+1)-H918)))</f>
        <v/>
      </c>
      <c r="AF918" t="str">
        <f>IF(OR($B918="",NOT(ISNUMBER(I918))),"",IF(COUNTIF(J918:$T918,I918)&gt;0,0,IF(COUNTIF($G918:$T918,"&gt;"&amp;I918)=0,"",SMALL($G918:$T918,COUNTIF($G918:$T918,"&lt;="&amp;I918)+1)-I918)))</f>
        <v/>
      </c>
      <c r="AG918" t="str">
        <f>IF(OR($B918="",NOT(ISNUMBER(J918))),"",IF(COUNTIF(K918:$T918,J918)&gt;0,0,IF(COUNTIF($G918:$T918,"&gt;"&amp;J918)=0,"",SMALL($G918:$T918,COUNTIF($G918:$T918,"&lt;="&amp;J918)+1)-J918)))</f>
        <v/>
      </c>
      <c r="AH918" t="str">
        <f>IF(OR($B918="",NOT(ISNUMBER(K918))),"",IF(COUNTIF(L918:$T918,K918)&gt;0,0,IF(COUNTIF($G918:$T918,"&gt;"&amp;K918)=0,"",SMALL($G918:$T918,COUNTIF($G918:$T918,"&lt;="&amp;K918)+1)-K918)))</f>
        <v/>
      </c>
      <c r="AI918" t="str">
        <f>IF(OR($B918="",NOT(ISNUMBER(L918))),"",IF(COUNTIF(M918:$T918,L918)&gt;0,0,IF(COUNTIF($G918:$T918,"&gt;"&amp;L918)=0,"",SMALL($G918:$T918,COUNTIF($G918:$T918,"&lt;="&amp;L918)+1)-L918)))</f>
        <v/>
      </c>
      <c r="AJ918" t="str">
        <f>IF(OR($B918="",NOT(ISNUMBER(M918))),"",IF(COUNTIF(N918:$T918,M918)&gt;0,0,IF(COUNTIF($G918:$T918,"&gt;"&amp;M918)=0,"",SMALL($G918:$T918,COUNTIF($G918:$T918,"&lt;="&amp;M918)+1)-M918)))</f>
        <v/>
      </c>
      <c r="AK918" t="str">
        <f>IF(OR($B918="",NOT(ISNUMBER(N918))),"",IF(COUNTIF(O918:$T918,N918)&gt;0,0,IF(COUNTIF($G918:$T918,"&gt;"&amp;N918)=0,"",SMALL($G918:$T918,COUNTIF($G918:$T918,"&lt;="&amp;N918)+1)-N918)))</f>
        <v/>
      </c>
      <c r="AL918" t="str">
        <f>IF(OR($B918="",NOT(ISNUMBER(O918))),"",IF(COUNTIF(P918:$T918,O918)&gt;0,0,IF(COUNTIF($G918:$T918,"&gt;"&amp;O918)=0,"",SMALL($G918:$T918,COUNTIF($G918:$T918,"&lt;="&amp;O918)+1)-O918)))</f>
        <v/>
      </c>
      <c r="AM918" t="str">
        <f>IF(OR($B918="",NOT(ISNUMBER(P918))),"",IF(COUNTIF(Q918:$T918,P918)&gt;0,0,IF(COUNTIF($G918:$T918,"&gt;"&amp;P918)=0,"",SMALL($G918:$T918,COUNTIF($G918:$T918,"&lt;="&amp;P918)+1)-P918)))</f>
        <v/>
      </c>
      <c r="AN918" t="str">
        <f>IF(OR($B918="",NOT(ISNUMBER(Q918))),"",IF(COUNTIF(R918:$T918,Q918)&gt;0,0,IF(COUNTIF($G918:$T918,"&gt;"&amp;Q918)=0,"",SMALL($G918:$T918,COUNTIF($G918:$T918,"&lt;="&amp;Q918)+1)-Q918)))</f>
        <v/>
      </c>
      <c r="AO918" t="str">
        <f>IF(OR($B918="",NOT(ISNUMBER(R918))),"",IF(COUNTIF(S918:$T918,R918)&gt;0,0,IF(COUNTIF($G918:$T918,"&gt;"&amp;R918)=0,"",SMALL($G918:$T918,COUNTIF($G918:$T918,"&lt;="&amp;R918)+1)-R918)))</f>
        <v/>
      </c>
      <c r="AP918">
        <f t="shared" ca="1" si="241"/>
        <v>0</v>
      </c>
      <c r="AQ918" s="25" t="str">
        <f t="shared" si="242"/>
        <v/>
      </c>
      <c r="AR918" s="25" t="str">
        <f t="shared" si="243"/>
        <v/>
      </c>
      <c r="AS918" s="25" t="str">
        <f t="shared" si="244"/>
        <v/>
      </c>
      <c r="AT918" s="25" t="str">
        <f t="shared" si="245"/>
        <v/>
      </c>
      <c r="AU918" s="25" t="str">
        <f t="shared" si="246"/>
        <v/>
      </c>
      <c r="AV918" s="25" t="str">
        <f t="shared" si="247"/>
        <v/>
      </c>
      <c r="AW918" s="25" t="str">
        <f t="shared" si="248"/>
        <v/>
      </c>
      <c r="AX918" s="25" t="str">
        <f t="shared" si="249"/>
        <v/>
      </c>
      <c r="AY918" s="25" t="str">
        <f t="shared" si="250"/>
        <v/>
      </c>
      <c r="AZ918" s="25" t="str">
        <f t="shared" si="251"/>
        <v/>
      </c>
      <c r="BA918" s="25" t="str">
        <f t="shared" si="252"/>
        <v/>
      </c>
      <c r="BB918" s="25" t="str">
        <f t="shared" si="253"/>
        <v/>
      </c>
      <c r="BC918" s="25" t="str">
        <f t="shared" si="254"/>
        <v/>
      </c>
    </row>
    <row r="919" spans="1:55" x14ac:dyDescent="0.25">
      <c r="A919" s="19" t="str">
        <f t="shared" si="239"/>
        <v/>
      </c>
      <c r="B919" s="19"/>
      <c r="C919" s="20"/>
      <c r="D919" s="19" t="str">
        <f t="shared" si="238"/>
        <v/>
      </c>
      <c r="E919" s="19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19"/>
      <c r="U919" s="19"/>
      <c r="V919" s="20"/>
      <c r="W919" s="22"/>
      <c r="X919" s="21"/>
      <c r="Y919" s="21"/>
      <c r="Z919" s="23" t="str">
        <f>IF(B919="","",IF(S919&lt;&gt;"","Sevk Edildi",IF(AND(X919&lt;&gt;"",Y919=""),"Reworkte",IF(T919&lt;&gt;"","Kapandı"&amp;IF(COUNT(G919:R919)=0,""," – "&amp;LOOKUP(2,1/(G919:R919=MAX(G919:R919)),{"Tasarım","Ply Cutter","Üretim","Kalite (Üretim sonrası)","Talaşlı","Kalite (Talaşlı sonrası)","Montaj","Kalite (Montaj sonrası)","Boya","Kalite (Boya sonrası)","Yarı Mamül","KM"})),IF(COUNT(G919:R919)=0,"Başlamadı",LOOKUP(2,1/(G919:R919=MAX(G919:R919)),{"Tasarımda","Ply Cutter'da","Üretimde","Kalitede (Üretim sonrası)","Talaşlıda","Kalitede (Talaşlı sonrası)","Montajda","Kalitede (Montaj sonrası)","Boyada","Kalitede (Boya sonrası)","Yarı Mamülde","KM'de"}))))))</f>
        <v/>
      </c>
      <c r="AA919" s="24" t="str">
        <f t="shared" ca="1" si="240"/>
        <v/>
      </c>
      <c r="AB919" s="22"/>
      <c r="AD919" t="str">
        <f>IF(OR($B919="",NOT(ISNUMBER(G919))),"",IF(COUNTIF(H919:$T919,G919)&gt;0,0,IF(COUNTIF($G919:$T919,"&gt;"&amp;G919)=0,"",SMALL($G919:$T919,COUNTIF($G919:$T919,"&lt;="&amp;G919)+1)-G919)))</f>
        <v/>
      </c>
      <c r="AE919" t="str">
        <f>IF(OR($B919="",NOT(ISNUMBER(H919))),"",IF(COUNTIF(I919:$T919,H919)&gt;0,0,IF(COUNTIF($G919:$T919,"&gt;"&amp;H919)=0,"",SMALL($G919:$T919,COUNTIF($G919:$T919,"&lt;="&amp;H919)+1)-H919)))</f>
        <v/>
      </c>
      <c r="AF919" t="str">
        <f>IF(OR($B919="",NOT(ISNUMBER(I919))),"",IF(COUNTIF(J919:$T919,I919)&gt;0,0,IF(COUNTIF($G919:$T919,"&gt;"&amp;I919)=0,"",SMALL($G919:$T919,COUNTIF($G919:$T919,"&lt;="&amp;I919)+1)-I919)))</f>
        <v/>
      </c>
      <c r="AG919" t="str">
        <f>IF(OR($B919="",NOT(ISNUMBER(J919))),"",IF(COUNTIF(K919:$T919,J919)&gt;0,0,IF(COUNTIF($G919:$T919,"&gt;"&amp;J919)=0,"",SMALL($G919:$T919,COUNTIF($G919:$T919,"&lt;="&amp;J919)+1)-J919)))</f>
        <v/>
      </c>
      <c r="AH919" t="str">
        <f>IF(OR($B919="",NOT(ISNUMBER(K919))),"",IF(COUNTIF(L919:$T919,K919)&gt;0,0,IF(COUNTIF($G919:$T919,"&gt;"&amp;K919)=0,"",SMALL($G919:$T919,COUNTIF($G919:$T919,"&lt;="&amp;K919)+1)-K919)))</f>
        <v/>
      </c>
      <c r="AI919" t="str">
        <f>IF(OR($B919="",NOT(ISNUMBER(L919))),"",IF(COUNTIF(M919:$T919,L919)&gt;0,0,IF(COUNTIF($G919:$T919,"&gt;"&amp;L919)=0,"",SMALL($G919:$T919,COUNTIF($G919:$T919,"&lt;="&amp;L919)+1)-L919)))</f>
        <v/>
      </c>
      <c r="AJ919" t="str">
        <f>IF(OR($B919="",NOT(ISNUMBER(M919))),"",IF(COUNTIF(N919:$T919,M919)&gt;0,0,IF(COUNTIF($G919:$T919,"&gt;"&amp;M919)=0,"",SMALL($G919:$T919,COUNTIF($G919:$T919,"&lt;="&amp;M919)+1)-M919)))</f>
        <v/>
      </c>
      <c r="AK919" t="str">
        <f>IF(OR($B919="",NOT(ISNUMBER(N919))),"",IF(COUNTIF(O919:$T919,N919)&gt;0,0,IF(COUNTIF($G919:$T919,"&gt;"&amp;N919)=0,"",SMALL($G919:$T919,COUNTIF($G919:$T919,"&lt;="&amp;N919)+1)-N919)))</f>
        <v/>
      </c>
      <c r="AL919" t="str">
        <f>IF(OR($B919="",NOT(ISNUMBER(O919))),"",IF(COUNTIF(P919:$T919,O919)&gt;0,0,IF(COUNTIF($G919:$T919,"&gt;"&amp;O919)=0,"",SMALL($G919:$T919,COUNTIF($G919:$T919,"&lt;="&amp;O919)+1)-O919)))</f>
        <v/>
      </c>
      <c r="AM919" t="str">
        <f>IF(OR($B919="",NOT(ISNUMBER(P919))),"",IF(COUNTIF(Q919:$T919,P919)&gt;0,0,IF(COUNTIF($G919:$T919,"&gt;"&amp;P919)=0,"",SMALL($G919:$T919,COUNTIF($G919:$T919,"&lt;="&amp;P919)+1)-P919)))</f>
        <v/>
      </c>
      <c r="AN919" t="str">
        <f>IF(OR($B919="",NOT(ISNUMBER(Q919))),"",IF(COUNTIF(R919:$T919,Q919)&gt;0,0,IF(COUNTIF($G919:$T919,"&gt;"&amp;Q919)=0,"",SMALL($G919:$T919,COUNTIF($G919:$T919,"&lt;="&amp;Q919)+1)-Q919)))</f>
        <v/>
      </c>
      <c r="AO919" t="str">
        <f>IF(OR($B919="",NOT(ISNUMBER(R919))),"",IF(COUNTIF(S919:$T919,R919)&gt;0,0,IF(COUNTIF($G919:$T919,"&gt;"&amp;R919)=0,"",SMALL($G919:$T919,COUNTIF($G919:$T919,"&lt;="&amp;R919)+1)-R919)))</f>
        <v/>
      </c>
      <c r="AP919">
        <f t="shared" ca="1" si="241"/>
        <v>0</v>
      </c>
      <c r="AQ919" s="25" t="str">
        <f t="shared" si="242"/>
        <v/>
      </c>
      <c r="AR919" s="25" t="str">
        <f t="shared" si="243"/>
        <v/>
      </c>
      <c r="AS919" s="25" t="str">
        <f t="shared" si="244"/>
        <v/>
      </c>
      <c r="AT919" s="25" t="str">
        <f t="shared" si="245"/>
        <v/>
      </c>
      <c r="AU919" s="25" t="str">
        <f t="shared" si="246"/>
        <v/>
      </c>
      <c r="AV919" s="25" t="str">
        <f t="shared" si="247"/>
        <v/>
      </c>
      <c r="AW919" s="25" t="str">
        <f t="shared" si="248"/>
        <v/>
      </c>
      <c r="AX919" s="25" t="str">
        <f t="shared" si="249"/>
        <v/>
      </c>
      <c r="AY919" s="25" t="str">
        <f t="shared" si="250"/>
        <v/>
      </c>
      <c r="AZ919" s="25" t="str">
        <f t="shared" si="251"/>
        <v/>
      </c>
      <c r="BA919" s="25" t="str">
        <f t="shared" si="252"/>
        <v/>
      </c>
      <c r="BB919" s="25" t="str">
        <f t="shared" si="253"/>
        <v/>
      </c>
      <c r="BC919" s="25" t="str">
        <f t="shared" si="254"/>
        <v/>
      </c>
    </row>
    <row r="920" spans="1:55" x14ac:dyDescent="0.25">
      <c r="A920" s="19" t="str">
        <f t="shared" si="239"/>
        <v/>
      </c>
      <c r="B920" s="19"/>
      <c r="C920" s="20"/>
      <c r="D920" s="19" t="str">
        <f t="shared" si="238"/>
        <v/>
      </c>
      <c r="E920" s="19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19"/>
      <c r="U920" s="19"/>
      <c r="V920" s="20"/>
      <c r="W920" s="22"/>
      <c r="X920" s="21"/>
      <c r="Y920" s="21"/>
      <c r="Z920" s="23" t="str">
        <f>IF(B920="","",IF(S920&lt;&gt;"","Sevk Edildi",IF(AND(X920&lt;&gt;"",Y920=""),"Reworkte",IF(T920&lt;&gt;"","Kapandı"&amp;IF(COUNT(G920:R920)=0,""," – "&amp;LOOKUP(2,1/(G920:R920=MAX(G920:R920)),{"Tasarım","Ply Cutter","Üretim","Kalite (Üretim sonrası)","Talaşlı","Kalite (Talaşlı sonrası)","Montaj","Kalite (Montaj sonrası)","Boya","Kalite (Boya sonrası)","Yarı Mamül","KM"})),IF(COUNT(G920:R920)=0,"Başlamadı",LOOKUP(2,1/(G920:R920=MAX(G920:R920)),{"Tasarımda","Ply Cutter'da","Üretimde","Kalitede (Üretim sonrası)","Talaşlıda","Kalitede (Talaşlı sonrası)","Montajda","Kalitede (Montaj sonrası)","Boyada","Kalitede (Boya sonrası)","Yarı Mamülde","KM'de"}))))))</f>
        <v/>
      </c>
      <c r="AA920" s="24" t="str">
        <f t="shared" ca="1" si="240"/>
        <v/>
      </c>
      <c r="AB920" s="22"/>
      <c r="AD920" t="str">
        <f>IF(OR($B920="",NOT(ISNUMBER(G920))),"",IF(COUNTIF(H920:$T920,G920)&gt;0,0,IF(COUNTIF($G920:$T920,"&gt;"&amp;G920)=0,"",SMALL($G920:$T920,COUNTIF($G920:$T920,"&lt;="&amp;G920)+1)-G920)))</f>
        <v/>
      </c>
      <c r="AE920" t="str">
        <f>IF(OR($B920="",NOT(ISNUMBER(H920))),"",IF(COUNTIF(I920:$T920,H920)&gt;0,0,IF(COUNTIF($G920:$T920,"&gt;"&amp;H920)=0,"",SMALL($G920:$T920,COUNTIF($G920:$T920,"&lt;="&amp;H920)+1)-H920)))</f>
        <v/>
      </c>
      <c r="AF920" t="str">
        <f>IF(OR($B920="",NOT(ISNUMBER(I920))),"",IF(COUNTIF(J920:$T920,I920)&gt;0,0,IF(COUNTIF($G920:$T920,"&gt;"&amp;I920)=0,"",SMALL($G920:$T920,COUNTIF($G920:$T920,"&lt;="&amp;I920)+1)-I920)))</f>
        <v/>
      </c>
      <c r="AG920" t="str">
        <f>IF(OR($B920="",NOT(ISNUMBER(J920))),"",IF(COUNTIF(K920:$T920,J920)&gt;0,0,IF(COUNTIF($G920:$T920,"&gt;"&amp;J920)=0,"",SMALL($G920:$T920,COUNTIF($G920:$T920,"&lt;="&amp;J920)+1)-J920)))</f>
        <v/>
      </c>
      <c r="AH920" t="str">
        <f>IF(OR($B920="",NOT(ISNUMBER(K920))),"",IF(COUNTIF(L920:$T920,K920)&gt;0,0,IF(COUNTIF($G920:$T920,"&gt;"&amp;K920)=0,"",SMALL($G920:$T920,COUNTIF($G920:$T920,"&lt;="&amp;K920)+1)-K920)))</f>
        <v/>
      </c>
      <c r="AI920" t="str">
        <f>IF(OR($B920="",NOT(ISNUMBER(L920))),"",IF(COUNTIF(M920:$T920,L920)&gt;0,0,IF(COUNTIF($G920:$T920,"&gt;"&amp;L920)=0,"",SMALL($G920:$T920,COUNTIF($G920:$T920,"&lt;="&amp;L920)+1)-L920)))</f>
        <v/>
      </c>
      <c r="AJ920" t="str">
        <f>IF(OR($B920="",NOT(ISNUMBER(M920))),"",IF(COUNTIF(N920:$T920,M920)&gt;0,0,IF(COUNTIF($G920:$T920,"&gt;"&amp;M920)=0,"",SMALL($G920:$T920,COUNTIF($G920:$T920,"&lt;="&amp;M920)+1)-M920)))</f>
        <v/>
      </c>
      <c r="AK920" t="str">
        <f>IF(OR($B920="",NOT(ISNUMBER(N920))),"",IF(COUNTIF(O920:$T920,N920)&gt;0,0,IF(COUNTIF($G920:$T920,"&gt;"&amp;N920)=0,"",SMALL($G920:$T920,COUNTIF($G920:$T920,"&lt;="&amp;N920)+1)-N920)))</f>
        <v/>
      </c>
      <c r="AL920" t="str">
        <f>IF(OR($B920="",NOT(ISNUMBER(O920))),"",IF(COUNTIF(P920:$T920,O920)&gt;0,0,IF(COUNTIF($G920:$T920,"&gt;"&amp;O920)=0,"",SMALL($G920:$T920,COUNTIF($G920:$T920,"&lt;="&amp;O920)+1)-O920)))</f>
        <v/>
      </c>
      <c r="AM920" t="str">
        <f>IF(OR($B920="",NOT(ISNUMBER(P920))),"",IF(COUNTIF(Q920:$T920,P920)&gt;0,0,IF(COUNTIF($G920:$T920,"&gt;"&amp;P920)=0,"",SMALL($G920:$T920,COUNTIF($G920:$T920,"&lt;="&amp;P920)+1)-P920)))</f>
        <v/>
      </c>
      <c r="AN920" t="str">
        <f>IF(OR($B920="",NOT(ISNUMBER(Q920))),"",IF(COUNTIF(R920:$T920,Q920)&gt;0,0,IF(COUNTIF($G920:$T920,"&gt;"&amp;Q920)=0,"",SMALL($G920:$T920,COUNTIF($G920:$T920,"&lt;="&amp;Q920)+1)-Q920)))</f>
        <v/>
      </c>
      <c r="AO920" t="str">
        <f>IF(OR($B920="",NOT(ISNUMBER(R920))),"",IF(COUNTIF(S920:$T920,R920)&gt;0,0,IF(COUNTIF($G920:$T920,"&gt;"&amp;R920)=0,"",SMALL($G920:$T920,COUNTIF($G920:$T920,"&lt;="&amp;R920)+1)-R920)))</f>
        <v/>
      </c>
      <c r="AP920">
        <f t="shared" ca="1" si="241"/>
        <v>0</v>
      </c>
      <c r="AQ920" s="25" t="str">
        <f t="shared" si="242"/>
        <v/>
      </c>
      <c r="AR920" s="25" t="str">
        <f t="shared" si="243"/>
        <v/>
      </c>
      <c r="AS920" s="25" t="str">
        <f t="shared" si="244"/>
        <v/>
      </c>
      <c r="AT920" s="25" t="str">
        <f t="shared" si="245"/>
        <v/>
      </c>
      <c r="AU920" s="25" t="str">
        <f t="shared" si="246"/>
        <v/>
      </c>
      <c r="AV920" s="25" t="str">
        <f t="shared" si="247"/>
        <v/>
      </c>
      <c r="AW920" s="25" t="str">
        <f t="shared" si="248"/>
        <v/>
      </c>
      <c r="AX920" s="25" t="str">
        <f t="shared" si="249"/>
        <v/>
      </c>
      <c r="AY920" s="25" t="str">
        <f t="shared" si="250"/>
        <v/>
      </c>
      <c r="AZ920" s="25" t="str">
        <f t="shared" si="251"/>
        <v/>
      </c>
      <c r="BA920" s="25" t="str">
        <f t="shared" si="252"/>
        <v/>
      </c>
      <c r="BB920" s="25" t="str">
        <f t="shared" si="253"/>
        <v/>
      </c>
      <c r="BC920" s="25" t="str">
        <f t="shared" si="254"/>
        <v/>
      </c>
    </row>
    <row r="921" spans="1:55" x14ac:dyDescent="0.25">
      <c r="A921" s="19" t="str">
        <f t="shared" si="239"/>
        <v/>
      </c>
      <c r="B921" s="19"/>
      <c r="C921" s="20"/>
      <c r="D921" s="19" t="str">
        <f t="shared" si="238"/>
        <v/>
      </c>
      <c r="E921" s="19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19"/>
      <c r="U921" s="19"/>
      <c r="V921" s="20"/>
      <c r="W921" s="22"/>
      <c r="X921" s="21"/>
      <c r="Y921" s="21"/>
      <c r="Z921" s="23" t="str">
        <f>IF(B921="","",IF(S921&lt;&gt;"","Sevk Edildi",IF(AND(X921&lt;&gt;"",Y921=""),"Reworkte",IF(T921&lt;&gt;"","Kapandı"&amp;IF(COUNT(G921:R921)=0,""," – "&amp;LOOKUP(2,1/(G921:R921=MAX(G921:R921)),{"Tasarım","Ply Cutter","Üretim","Kalite (Üretim sonrası)","Talaşlı","Kalite (Talaşlı sonrası)","Montaj","Kalite (Montaj sonrası)","Boya","Kalite (Boya sonrası)","Yarı Mamül","KM"})),IF(COUNT(G921:R921)=0,"Başlamadı",LOOKUP(2,1/(G921:R921=MAX(G921:R921)),{"Tasarımda","Ply Cutter'da","Üretimde","Kalitede (Üretim sonrası)","Talaşlıda","Kalitede (Talaşlı sonrası)","Montajda","Kalitede (Montaj sonrası)","Boyada","Kalitede (Boya sonrası)","Yarı Mamülde","KM'de"}))))))</f>
        <v/>
      </c>
      <c r="AA921" s="24" t="str">
        <f t="shared" ca="1" si="240"/>
        <v/>
      </c>
      <c r="AB921" s="22"/>
      <c r="AD921" t="str">
        <f>IF(OR($B921="",NOT(ISNUMBER(G921))),"",IF(COUNTIF(H921:$T921,G921)&gt;0,0,IF(COUNTIF($G921:$T921,"&gt;"&amp;G921)=0,"",SMALL($G921:$T921,COUNTIF($G921:$T921,"&lt;="&amp;G921)+1)-G921)))</f>
        <v/>
      </c>
      <c r="AE921" t="str">
        <f>IF(OR($B921="",NOT(ISNUMBER(H921))),"",IF(COUNTIF(I921:$T921,H921)&gt;0,0,IF(COUNTIF($G921:$T921,"&gt;"&amp;H921)=0,"",SMALL($G921:$T921,COUNTIF($G921:$T921,"&lt;="&amp;H921)+1)-H921)))</f>
        <v/>
      </c>
      <c r="AF921" t="str">
        <f>IF(OR($B921="",NOT(ISNUMBER(I921))),"",IF(COUNTIF(J921:$T921,I921)&gt;0,0,IF(COUNTIF($G921:$T921,"&gt;"&amp;I921)=0,"",SMALL($G921:$T921,COUNTIF($G921:$T921,"&lt;="&amp;I921)+1)-I921)))</f>
        <v/>
      </c>
      <c r="AG921" t="str">
        <f>IF(OR($B921="",NOT(ISNUMBER(J921))),"",IF(COUNTIF(K921:$T921,J921)&gt;0,0,IF(COUNTIF($G921:$T921,"&gt;"&amp;J921)=0,"",SMALL($G921:$T921,COUNTIF($G921:$T921,"&lt;="&amp;J921)+1)-J921)))</f>
        <v/>
      </c>
      <c r="AH921" t="str">
        <f>IF(OR($B921="",NOT(ISNUMBER(K921))),"",IF(COUNTIF(L921:$T921,K921)&gt;0,0,IF(COUNTIF($G921:$T921,"&gt;"&amp;K921)=0,"",SMALL($G921:$T921,COUNTIF($G921:$T921,"&lt;="&amp;K921)+1)-K921)))</f>
        <v/>
      </c>
      <c r="AI921" t="str">
        <f>IF(OR($B921="",NOT(ISNUMBER(L921))),"",IF(COUNTIF(M921:$T921,L921)&gt;0,0,IF(COUNTIF($G921:$T921,"&gt;"&amp;L921)=0,"",SMALL($G921:$T921,COUNTIF($G921:$T921,"&lt;="&amp;L921)+1)-L921)))</f>
        <v/>
      </c>
      <c r="AJ921" t="str">
        <f>IF(OR($B921="",NOT(ISNUMBER(M921))),"",IF(COUNTIF(N921:$T921,M921)&gt;0,0,IF(COUNTIF($G921:$T921,"&gt;"&amp;M921)=0,"",SMALL($G921:$T921,COUNTIF($G921:$T921,"&lt;="&amp;M921)+1)-M921)))</f>
        <v/>
      </c>
      <c r="AK921" t="str">
        <f>IF(OR($B921="",NOT(ISNUMBER(N921))),"",IF(COUNTIF(O921:$T921,N921)&gt;0,0,IF(COUNTIF($G921:$T921,"&gt;"&amp;N921)=0,"",SMALL($G921:$T921,COUNTIF($G921:$T921,"&lt;="&amp;N921)+1)-N921)))</f>
        <v/>
      </c>
      <c r="AL921" t="str">
        <f>IF(OR($B921="",NOT(ISNUMBER(O921))),"",IF(COUNTIF(P921:$T921,O921)&gt;0,0,IF(COUNTIF($G921:$T921,"&gt;"&amp;O921)=0,"",SMALL($G921:$T921,COUNTIF($G921:$T921,"&lt;="&amp;O921)+1)-O921)))</f>
        <v/>
      </c>
      <c r="AM921" t="str">
        <f>IF(OR($B921="",NOT(ISNUMBER(P921))),"",IF(COUNTIF(Q921:$T921,P921)&gt;0,0,IF(COUNTIF($G921:$T921,"&gt;"&amp;P921)=0,"",SMALL($G921:$T921,COUNTIF($G921:$T921,"&lt;="&amp;P921)+1)-P921)))</f>
        <v/>
      </c>
      <c r="AN921" t="str">
        <f>IF(OR($B921="",NOT(ISNUMBER(Q921))),"",IF(COUNTIF(R921:$T921,Q921)&gt;0,0,IF(COUNTIF($G921:$T921,"&gt;"&amp;Q921)=0,"",SMALL($G921:$T921,COUNTIF($G921:$T921,"&lt;="&amp;Q921)+1)-Q921)))</f>
        <v/>
      </c>
      <c r="AO921" t="str">
        <f>IF(OR($B921="",NOT(ISNUMBER(R921))),"",IF(COUNTIF(S921:$T921,R921)&gt;0,0,IF(COUNTIF($G921:$T921,"&gt;"&amp;R921)=0,"",SMALL($G921:$T921,COUNTIF($G921:$T921,"&lt;="&amp;R921)+1)-R921)))</f>
        <v/>
      </c>
      <c r="AP921">
        <f t="shared" ca="1" si="241"/>
        <v>0</v>
      </c>
      <c r="AQ921" s="25" t="str">
        <f t="shared" si="242"/>
        <v/>
      </c>
      <c r="AR921" s="25" t="str">
        <f t="shared" si="243"/>
        <v/>
      </c>
      <c r="AS921" s="25" t="str">
        <f t="shared" si="244"/>
        <v/>
      </c>
      <c r="AT921" s="25" t="str">
        <f t="shared" si="245"/>
        <v/>
      </c>
      <c r="AU921" s="25" t="str">
        <f t="shared" si="246"/>
        <v/>
      </c>
      <c r="AV921" s="25" t="str">
        <f t="shared" si="247"/>
        <v/>
      </c>
      <c r="AW921" s="25" t="str">
        <f t="shared" si="248"/>
        <v/>
      </c>
      <c r="AX921" s="25" t="str">
        <f t="shared" si="249"/>
        <v/>
      </c>
      <c r="AY921" s="25" t="str">
        <f t="shared" si="250"/>
        <v/>
      </c>
      <c r="AZ921" s="25" t="str">
        <f t="shared" si="251"/>
        <v/>
      </c>
      <c r="BA921" s="25" t="str">
        <f t="shared" si="252"/>
        <v/>
      </c>
      <c r="BB921" s="25" t="str">
        <f t="shared" si="253"/>
        <v/>
      </c>
      <c r="BC921" s="25" t="str">
        <f t="shared" si="254"/>
        <v/>
      </c>
    </row>
    <row r="922" spans="1:55" x14ac:dyDescent="0.25">
      <c r="A922" s="19" t="str">
        <f t="shared" si="239"/>
        <v/>
      </c>
      <c r="B922" s="19"/>
      <c r="C922" s="20"/>
      <c r="D922" s="19" t="str">
        <f t="shared" si="238"/>
        <v/>
      </c>
      <c r="E922" s="19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19"/>
      <c r="U922" s="19"/>
      <c r="V922" s="20"/>
      <c r="W922" s="22"/>
      <c r="X922" s="21"/>
      <c r="Y922" s="21"/>
      <c r="Z922" s="23" t="str">
        <f>IF(B922="","",IF(S922&lt;&gt;"","Sevk Edildi",IF(AND(X922&lt;&gt;"",Y922=""),"Reworkte",IF(T922&lt;&gt;"","Kapandı"&amp;IF(COUNT(G922:R922)=0,""," – "&amp;LOOKUP(2,1/(G922:R922=MAX(G922:R922)),{"Tasarım","Ply Cutter","Üretim","Kalite (Üretim sonrası)","Talaşlı","Kalite (Talaşlı sonrası)","Montaj","Kalite (Montaj sonrası)","Boya","Kalite (Boya sonrası)","Yarı Mamül","KM"})),IF(COUNT(G922:R922)=0,"Başlamadı",LOOKUP(2,1/(G922:R922=MAX(G922:R922)),{"Tasarımda","Ply Cutter'da","Üretimde","Kalitede (Üretim sonrası)","Talaşlıda","Kalitede (Talaşlı sonrası)","Montajda","Kalitede (Montaj sonrası)","Boyada","Kalitede (Boya sonrası)","Yarı Mamülde","KM'de"}))))))</f>
        <v/>
      </c>
      <c r="AA922" s="24" t="str">
        <f t="shared" ca="1" si="240"/>
        <v/>
      </c>
      <c r="AB922" s="22"/>
      <c r="AD922" t="str">
        <f>IF(OR($B922="",NOT(ISNUMBER(G922))),"",IF(COUNTIF(H922:$T922,G922)&gt;0,0,IF(COUNTIF($G922:$T922,"&gt;"&amp;G922)=0,"",SMALL($G922:$T922,COUNTIF($G922:$T922,"&lt;="&amp;G922)+1)-G922)))</f>
        <v/>
      </c>
      <c r="AE922" t="str">
        <f>IF(OR($B922="",NOT(ISNUMBER(H922))),"",IF(COUNTIF(I922:$T922,H922)&gt;0,0,IF(COUNTIF($G922:$T922,"&gt;"&amp;H922)=0,"",SMALL($G922:$T922,COUNTIF($G922:$T922,"&lt;="&amp;H922)+1)-H922)))</f>
        <v/>
      </c>
      <c r="AF922" t="str">
        <f>IF(OR($B922="",NOT(ISNUMBER(I922))),"",IF(COUNTIF(J922:$T922,I922)&gt;0,0,IF(COUNTIF($G922:$T922,"&gt;"&amp;I922)=0,"",SMALL($G922:$T922,COUNTIF($G922:$T922,"&lt;="&amp;I922)+1)-I922)))</f>
        <v/>
      </c>
      <c r="AG922" t="str">
        <f>IF(OR($B922="",NOT(ISNUMBER(J922))),"",IF(COUNTIF(K922:$T922,J922)&gt;0,0,IF(COUNTIF($G922:$T922,"&gt;"&amp;J922)=0,"",SMALL($G922:$T922,COUNTIF($G922:$T922,"&lt;="&amp;J922)+1)-J922)))</f>
        <v/>
      </c>
      <c r="AH922" t="str">
        <f>IF(OR($B922="",NOT(ISNUMBER(K922))),"",IF(COUNTIF(L922:$T922,K922)&gt;0,0,IF(COUNTIF($G922:$T922,"&gt;"&amp;K922)=0,"",SMALL($G922:$T922,COUNTIF($G922:$T922,"&lt;="&amp;K922)+1)-K922)))</f>
        <v/>
      </c>
      <c r="AI922" t="str">
        <f>IF(OR($B922="",NOT(ISNUMBER(L922))),"",IF(COUNTIF(M922:$T922,L922)&gt;0,0,IF(COUNTIF($G922:$T922,"&gt;"&amp;L922)=0,"",SMALL($G922:$T922,COUNTIF($G922:$T922,"&lt;="&amp;L922)+1)-L922)))</f>
        <v/>
      </c>
      <c r="AJ922" t="str">
        <f>IF(OR($B922="",NOT(ISNUMBER(M922))),"",IF(COUNTIF(N922:$T922,M922)&gt;0,0,IF(COUNTIF($G922:$T922,"&gt;"&amp;M922)=0,"",SMALL($G922:$T922,COUNTIF($G922:$T922,"&lt;="&amp;M922)+1)-M922)))</f>
        <v/>
      </c>
      <c r="AK922" t="str">
        <f>IF(OR($B922="",NOT(ISNUMBER(N922))),"",IF(COUNTIF(O922:$T922,N922)&gt;0,0,IF(COUNTIF($G922:$T922,"&gt;"&amp;N922)=0,"",SMALL($G922:$T922,COUNTIF($G922:$T922,"&lt;="&amp;N922)+1)-N922)))</f>
        <v/>
      </c>
      <c r="AL922" t="str">
        <f>IF(OR($B922="",NOT(ISNUMBER(O922))),"",IF(COUNTIF(P922:$T922,O922)&gt;0,0,IF(COUNTIF($G922:$T922,"&gt;"&amp;O922)=0,"",SMALL($G922:$T922,COUNTIF($G922:$T922,"&lt;="&amp;O922)+1)-O922)))</f>
        <v/>
      </c>
      <c r="AM922" t="str">
        <f>IF(OR($B922="",NOT(ISNUMBER(P922))),"",IF(COUNTIF(Q922:$T922,P922)&gt;0,0,IF(COUNTIF($G922:$T922,"&gt;"&amp;P922)=0,"",SMALL($G922:$T922,COUNTIF($G922:$T922,"&lt;="&amp;P922)+1)-P922)))</f>
        <v/>
      </c>
      <c r="AN922" t="str">
        <f>IF(OR($B922="",NOT(ISNUMBER(Q922))),"",IF(COUNTIF(R922:$T922,Q922)&gt;0,0,IF(COUNTIF($G922:$T922,"&gt;"&amp;Q922)=0,"",SMALL($G922:$T922,COUNTIF($G922:$T922,"&lt;="&amp;Q922)+1)-Q922)))</f>
        <v/>
      </c>
      <c r="AO922" t="str">
        <f>IF(OR($B922="",NOT(ISNUMBER(R922))),"",IF(COUNTIF(S922:$T922,R922)&gt;0,0,IF(COUNTIF($G922:$T922,"&gt;"&amp;R922)=0,"",SMALL($G922:$T922,COUNTIF($G922:$T922,"&lt;="&amp;R922)+1)-R922)))</f>
        <v/>
      </c>
      <c r="AP922">
        <f t="shared" ca="1" si="241"/>
        <v>0</v>
      </c>
      <c r="AQ922" s="25" t="str">
        <f t="shared" si="242"/>
        <v/>
      </c>
      <c r="AR922" s="25" t="str">
        <f t="shared" si="243"/>
        <v/>
      </c>
      <c r="AS922" s="25" t="str">
        <f t="shared" si="244"/>
        <v/>
      </c>
      <c r="AT922" s="25" t="str">
        <f t="shared" si="245"/>
        <v/>
      </c>
      <c r="AU922" s="25" t="str">
        <f t="shared" si="246"/>
        <v/>
      </c>
      <c r="AV922" s="25" t="str">
        <f t="shared" si="247"/>
        <v/>
      </c>
      <c r="AW922" s="25" t="str">
        <f t="shared" si="248"/>
        <v/>
      </c>
      <c r="AX922" s="25" t="str">
        <f t="shared" si="249"/>
        <v/>
      </c>
      <c r="AY922" s="25" t="str">
        <f t="shared" si="250"/>
        <v/>
      </c>
      <c r="AZ922" s="25" t="str">
        <f t="shared" si="251"/>
        <v/>
      </c>
      <c r="BA922" s="25" t="str">
        <f t="shared" si="252"/>
        <v/>
      </c>
      <c r="BB922" s="25" t="str">
        <f t="shared" si="253"/>
        <v/>
      </c>
      <c r="BC922" s="25" t="str">
        <f t="shared" si="254"/>
        <v/>
      </c>
    </row>
    <row r="923" spans="1:55" x14ac:dyDescent="0.25">
      <c r="A923" s="19" t="str">
        <f t="shared" si="239"/>
        <v/>
      </c>
      <c r="B923" s="19"/>
      <c r="C923" s="20"/>
      <c r="D923" s="19" t="str">
        <f t="shared" si="238"/>
        <v/>
      </c>
      <c r="E923" s="19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19"/>
      <c r="U923" s="19"/>
      <c r="V923" s="20"/>
      <c r="W923" s="22"/>
      <c r="X923" s="21"/>
      <c r="Y923" s="21"/>
      <c r="Z923" s="23" t="str">
        <f>IF(B923="","",IF(S923&lt;&gt;"","Sevk Edildi",IF(AND(X923&lt;&gt;"",Y923=""),"Reworkte",IF(T923&lt;&gt;"","Kapandı"&amp;IF(COUNT(G923:R923)=0,""," – "&amp;LOOKUP(2,1/(G923:R923=MAX(G923:R923)),{"Tasarım","Ply Cutter","Üretim","Kalite (Üretim sonrası)","Talaşlı","Kalite (Talaşlı sonrası)","Montaj","Kalite (Montaj sonrası)","Boya","Kalite (Boya sonrası)","Yarı Mamül","KM"})),IF(COUNT(G923:R923)=0,"Başlamadı",LOOKUP(2,1/(G923:R923=MAX(G923:R923)),{"Tasarımda","Ply Cutter'da","Üretimde","Kalitede (Üretim sonrası)","Talaşlıda","Kalitede (Talaşlı sonrası)","Montajda","Kalitede (Montaj sonrası)","Boyada","Kalitede (Boya sonrası)","Yarı Mamülde","KM'de"}))))))</f>
        <v/>
      </c>
      <c r="AA923" s="24" t="str">
        <f t="shared" ca="1" si="240"/>
        <v/>
      </c>
      <c r="AB923" s="22"/>
      <c r="AD923" t="str">
        <f>IF(OR($B923="",NOT(ISNUMBER(G923))),"",IF(COUNTIF(H923:$T923,G923)&gt;0,0,IF(COUNTIF($G923:$T923,"&gt;"&amp;G923)=0,"",SMALL($G923:$T923,COUNTIF($G923:$T923,"&lt;="&amp;G923)+1)-G923)))</f>
        <v/>
      </c>
      <c r="AE923" t="str">
        <f>IF(OR($B923="",NOT(ISNUMBER(H923))),"",IF(COUNTIF(I923:$T923,H923)&gt;0,0,IF(COUNTIF($G923:$T923,"&gt;"&amp;H923)=0,"",SMALL($G923:$T923,COUNTIF($G923:$T923,"&lt;="&amp;H923)+1)-H923)))</f>
        <v/>
      </c>
      <c r="AF923" t="str">
        <f>IF(OR($B923="",NOT(ISNUMBER(I923))),"",IF(COUNTIF(J923:$T923,I923)&gt;0,0,IF(COUNTIF($G923:$T923,"&gt;"&amp;I923)=0,"",SMALL($G923:$T923,COUNTIF($G923:$T923,"&lt;="&amp;I923)+1)-I923)))</f>
        <v/>
      </c>
      <c r="AG923" t="str">
        <f>IF(OR($B923="",NOT(ISNUMBER(J923))),"",IF(COUNTIF(K923:$T923,J923)&gt;0,0,IF(COUNTIF($G923:$T923,"&gt;"&amp;J923)=0,"",SMALL($G923:$T923,COUNTIF($G923:$T923,"&lt;="&amp;J923)+1)-J923)))</f>
        <v/>
      </c>
      <c r="AH923" t="str">
        <f>IF(OR($B923="",NOT(ISNUMBER(K923))),"",IF(COUNTIF(L923:$T923,K923)&gt;0,0,IF(COUNTIF($G923:$T923,"&gt;"&amp;K923)=0,"",SMALL($G923:$T923,COUNTIF($G923:$T923,"&lt;="&amp;K923)+1)-K923)))</f>
        <v/>
      </c>
      <c r="AI923" t="str">
        <f>IF(OR($B923="",NOT(ISNUMBER(L923))),"",IF(COUNTIF(M923:$T923,L923)&gt;0,0,IF(COUNTIF($G923:$T923,"&gt;"&amp;L923)=0,"",SMALL($G923:$T923,COUNTIF($G923:$T923,"&lt;="&amp;L923)+1)-L923)))</f>
        <v/>
      </c>
      <c r="AJ923" t="str">
        <f>IF(OR($B923="",NOT(ISNUMBER(M923))),"",IF(COUNTIF(N923:$T923,M923)&gt;0,0,IF(COUNTIF($G923:$T923,"&gt;"&amp;M923)=0,"",SMALL($G923:$T923,COUNTIF($G923:$T923,"&lt;="&amp;M923)+1)-M923)))</f>
        <v/>
      </c>
      <c r="AK923" t="str">
        <f>IF(OR($B923="",NOT(ISNUMBER(N923))),"",IF(COUNTIF(O923:$T923,N923)&gt;0,0,IF(COUNTIF($G923:$T923,"&gt;"&amp;N923)=0,"",SMALL($G923:$T923,COUNTIF($G923:$T923,"&lt;="&amp;N923)+1)-N923)))</f>
        <v/>
      </c>
      <c r="AL923" t="str">
        <f>IF(OR($B923="",NOT(ISNUMBER(O923))),"",IF(COUNTIF(P923:$T923,O923)&gt;0,0,IF(COUNTIF($G923:$T923,"&gt;"&amp;O923)=0,"",SMALL($G923:$T923,COUNTIF($G923:$T923,"&lt;="&amp;O923)+1)-O923)))</f>
        <v/>
      </c>
      <c r="AM923" t="str">
        <f>IF(OR($B923="",NOT(ISNUMBER(P923))),"",IF(COUNTIF(Q923:$T923,P923)&gt;0,0,IF(COUNTIF($G923:$T923,"&gt;"&amp;P923)=0,"",SMALL($G923:$T923,COUNTIF($G923:$T923,"&lt;="&amp;P923)+1)-P923)))</f>
        <v/>
      </c>
      <c r="AN923" t="str">
        <f>IF(OR($B923="",NOT(ISNUMBER(Q923))),"",IF(COUNTIF(R923:$T923,Q923)&gt;0,0,IF(COUNTIF($G923:$T923,"&gt;"&amp;Q923)=0,"",SMALL($G923:$T923,COUNTIF($G923:$T923,"&lt;="&amp;Q923)+1)-Q923)))</f>
        <v/>
      </c>
      <c r="AO923" t="str">
        <f>IF(OR($B923="",NOT(ISNUMBER(R923))),"",IF(COUNTIF(S923:$T923,R923)&gt;0,0,IF(COUNTIF($G923:$T923,"&gt;"&amp;R923)=0,"",SMALL($G923:$T923,COUNTIF($G923:$T923,"&lt;="&amp;R923)+1)-R923)))</f>
        <v/>
      </c>
      <c r="AP923">
        <f t="shared" ca="1" si="241"/>
        <v>0</v>
      </c>
      <c r="AQ923" s="25" t="str">
        <f t="shared" si="242"/>
        <v/>
      </c>
      <c r="AR923" s="25" t="str">
        <f t="shared" si="243"/>
        <v/>
      </c>
      <c r="AS923" s="25" t="str">
        <f t="shared" si="244"/>
        <v/>
      </c>
      <c r="AT923" s="25" t="str">
        <f t="shared" si="245"/>
        <v/>
      </c>
      <c r="AU923" s="25" t="str">
        <f t="shared" si="246"/>
        <v/>
      </c>
      <c r="AV923" s="25" t="str">
        <f t="shared" si="247"/>
        <v/>
      </c>
      <c r="AW923" s="25" t="str">
        <f t="shared" si="248"/>
        <v/>
      </c>
      <c r="AX923" s="25" t="str">
        <f t="shared" si="249"/>
        <v/>
      </c>
      <c r="AY923" s="25" t="str">
        <f t="shared" si="250"/>
        <v/>
      </c>
      <c r="AZ923" s="25" t="str">
        <f t="shared" si="251"/>
        <v/>
      </c>
      <c r="BA923" s="25" t="str">
        <f t="shared" si="252"/>
        <v/>
      </c>
      <c r="BB923" s="25" t="str">
        <f t="shared" si="253"/>
        <v/>
      </c>
      <c r="BC923" s="25" t="str">
        <f t="shared" si="254"/>
        <v/>
      </c>
    </row>
    <row r="924" spans="1:55" x14ac:dyDescent="0.25">
      <c r="A924" s="19" t="str">
        <f t="shared" si="239"/>
        <v/>
      </c>
      <c r="B924" s="19"/>
      <c r="C924" s="20"/>
      <c r="D924" s="19" t="str">
        <f t="shared" si="238"/>
        <v/>
      </c>
      <c r="E924" s="19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19"/>
      <c r="U924" s="19"/>
      <c r="V924" s="20"/>
      <c r="W924" s="22"/>
      <c r="X924" s="21"/>
      <c r="Y924" s="21"/>
      <c r="Z924" s="23" t="str">
        <f>IF(B924="","",IF(S924&lt;&gt;"","Sevk Edildi",IF(AND(X924&lt;&gt;"",Y924=""),"Reworkte",IF(T924&lt;&gt;"","Kapandı"&amp;IF(COUNT(G924:R924)=0,""," – "&amp;LOOKUP(2,1/(G924:R924=MAX(G924:R924)),{"Tasarım","Ply Cutter","Üretim","Kalite (Üretim sonrası)","Talaşlı","Kalite (Talaşlı sonrası)","Montaj","Kalite (Montaj sonrası)","Boya","Kalite (Boya sonrası)","Yarı Mamül","KM"})),IF(COUNT(G924:R924)=0,"Başlamadı",LOOKUP(2,1/(G924:R924=MAX(G924:R924)),{"Tasarımda","Ply Cutter'da","Üretimde","Kalitede (Üretim sonrası)","Talaşlıda","Kalitede (Talaşlı sonrası)","Montajda","Kalitede (Montaj sonrası)","Boyada","Kalitede (Boya sonrası)","Yarı Mamülde","KM'de"}))))))</f>
        <v/>
      </c>
      <c r="AA924" s="24" t="str">
        <f t="shared" ca="1" si="240"/>
        <v/>
      </c>
      <c r="AB924" s="22"/>
      <c r="AD924" t="str">
        <f>IF(OR($B924="",NOT(ISNUMBER(G924))),"",IF(COUNTIF(H924:$T924,G924)&gt;0,0,IF(COUNTIF($G924:$T924,"&gt;"&amp;G924)=0,"",SMALL($G924:$T924,COUNTIF($G924:$T924,"&lt;="&amp;G924)+1)-G924)))</f>
        <v/>
      </c>
      <c r="AE924" t="str">
        <f>IF(OR($B924="",NOT(ISNUMBER(H924))),"",IF(COUNTIF(I924:$T924,H924)&gt;0,0,IF(COUNTIF($G924:$T924,"&gt;"&amp;H924)=0,"",SMALL($G924:$T924,COUNTIF($G924:$T924,"&lt;="&amp;H924)+1)-H924)))</f>
        <v/>
      </c>
      <c r="AF924" t="str">
        <f>IF(OR($B924="",NOT(ISNUMBER(I924))),"",IF(COUNTIF(J924:$T924,I924)&gt;0,0,IF(COUNTIF($G924:$T924,"&gt;"&amp;I924)=0,"",SMALL($G924:$T924,COUNTIF($G924:$T924,"&lt;="&amp;I924)+1)-I924)))</f>
        <v/>
      </c>
      <c r="AG924" t="str">
        <f>IF(OR($B924="",NOT(ISNUMBER(J924))),"",IF(COUNTIF(K924:$T924,J924)&gt;0,0,IF(COUNTIF($G924:$T924,"&gt;"&amp;J924)=0,"",SMALL($G924:$T924,COUNTIF($G924:$T924,"&lt;="&amp;J924)+1)-J924)))</f>
        <v/>
      </c>
      <c r="AH924" t="str">
        <f>IF(OR($B924="",NOT(ISNUMBER(K924))),"",IF(COUNTIF(L924:$T924,K924)&gt;0,0,IF(COUNTIF($G924:$T924,"&gt;"&amp;K924)=0,"",SMALL($G924:$T924,COUNTIF($G924:$T924,"&lt;="&amp;K924)+1)-K924)))</f>
        <v/>
      </c>
      <c r="AI924" t="str">
        <f>IF(OR($B924="",NOT(ISNUMBER(L924))),"",IF(COUNTIF(M924:$T924,L924)&gt;0,0,IF(COUNTIF($G924:$T924,"&gt;"&amp;L924)=0,"",SMALL($G924:$T924,COUNTIF($G924:$T924,"&lt;="&amp;L924)+1)-L924)))</f>
        <v/>
      </c>
      <c r="AJ924" t="str">
        <f>IF(OR($B924="",NOT(ISNUMBER(M924))),"",IF(COUNTIF(N924:$T924,M924)&gt;0,0,IF(COUNTIF($G924:$T924,"&gt;"&amp;M924)=0,"",SMALL($G924:$T924,COUNTIF($G924:$T924,"&lt;="&amp;M924)+1)-M924)))</f>
        <v/>
      </c>
      <c r="AK924" t="str">
        <f>IF(OR($B924="",NOT(ISNUMBER(N924))),"",IF(COUNTIF(O924:$T924,N924)&gt;0,0,IF(COUNTIF($G924:$T924,"&gt;"&amp;N924)=0,"",SMALL($G924:$T924,COUNTIF($G924:$T924,"&lt;="&amp;N924)+1)-N924)))</f>
        <v/>
      </c>
      <c r="AL924" t="str">
        <f>IF(OR($B924="",NOT(ISNUMBER(O924))),"",IF(COUNTIF(P924:$T924,O924)&gt;0,0,IF(COUNTIF($G924:$T924,"&gt;"&amp;O924)=0,"",SMALL($G924:$T924,COUNTIF($G924:$T924,"&lt;="&amp;O924)+1)-O924)))</f>
        <v/>
      </c>
      <c r="AM924" t="str">
        <f>IF(OR($B924="",NOT(ISNUMBER(P924))),"",IF(COUNTIF(Q924:$T924,P924)&gt;0,0,IF(COUNTIF($G924:$T924,"&gt;"&amp;P924)=0,"",SMALL($G924:$T924,COUNTIF($G924:$T924,"&lt;="&amp;P924)+1)-P924)))</f>
        <v/>
      </c>
      <c r="AN924" t="str">
        <f>IF(OR($B924="",NOT(ISNUMBER(Q924))),"",IF(COUNTIF(R924:$T924,Q924)&gt;0,0,IF(COUNTIF($G924:$T924,"&gt;"&amp;Q924)=0,"",SMALL($G924:$T924,COUNTIF($G924:$T924,"&lt;="&amp;Q924)+1)-Q924)))</f>
        <v/>
      </c>
      <c r="AO924" t="str">
        <f>IF(OR($B924="",NOT(ISNUMBER(R924))),"",IF(COUNTIF(S924:$T924,R924)&gt;0,0,IF(COUNTIF($G924:$T924,"&gt;"&amp;R924)=0,"",SMALL($G924:$T924,COUNTIF($G924:$T924,"&lt;="&amp;R924)+1)-R924)))</f>
        <v/>
      </c>
      <c r="AP924">
        <f t="shared" ca="1" si="241"/>
        <v>0</v>
      </c>
      <c r="AQ924" s="25" t="str">
        <f t="shared" si="242"/>
        <v/>
      </c>
      <c r="AR924" s="25" t="str">
        <f t="shared" si="243"/>
        <v/>
      </c>
      <c r="AS924" s="25" t="str">
        <f t="shared" si="244"/>
        <v/>
      </c>
      <c r="AT924" s="25" t="str">
        <f t="shared" si="245"/>
        <v/>
      </c>
      <c r="AU924" s="25" t="str">
        <f t="shared" si="246"/>
        <v/>
      </c>
      <c r="AV924" s="25" t="str">
        <f t="shared" si="247"/>
        <v/>
      </c>
      <c r="AW924" s="25" t="str">
        <f t="shared" si="248"/>
        <v/>
      </c>
      <c r="AX924" s="25" t="str">
        <f t="shared" si="249"/>
        <v/>
      </c>
      <c r="AY924" s="25" t="str">
        <f t="shared" si="250"/>
        <v/>
      </c>
      <c r="AZ924" s="25" t="str">
        <f t="shared" si="251"/>
        <v/>
      </c>
      <c r="BA924" s="25" t="str">
        <f t="shared" si="252"/>
        <v/>
      </c>
      <c r="BB924" s="25" t="str">
        <f t="shared" si="253"/>
        <v/>
      </c>
      <c r="BC924" s="25" t="str">
        <f t="shared" si="254"/>
        <v/>
      </c>
    </row>
    <row r="925" spans="1:55" x14ac:dyDescent="0.25">
      <c r="A925" s="19" t="str">
        <f t="shared" si="239"/>
        <v/>
      </c>
      <c r="B925" s="19"/>
      <c r="C925" s="20"/>
      <c r="D925" s="19" t="str">
        <f t="shared" si="238"/>
        <v/>
      </c>
      <c r="E925" s="19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19"/>
      <c r="U925" s="19"/>
      <c r="V925" s="20"/>
      <c r="W925" s="22"/>
      <c r="X925" s="21"/>
      <c r="Y925" s="21"/>
      <c r="Z925" s="23" t="str">
        <f>IF(B925="","",IF(S925&lt;&gt;"","Sevk Edildi",IF(AND(X925&lt;&gt;"",Y925=""),"Reworkte",IF(T925&lt;&gt;"","Kapandı"&amp;IF(COUNT(G925:R925)=0,""," – "&amp;LOOKUP(2,1/(G925:R925=MAX(G925:R925)),{"Tasarım","Ply Cutter","Üretim","Kalite (Üretim sonrası)","Talaşlı","Kalite (Talaşlı sonrası)","Montaj","Kalite (Montaj sonrası)","Boya","Kalite (Boya sonrası)","Yarı Mamül","KM"})),IF(COUNT(G925:R925)=0,"Başlamadı",LOOKUP(2,1/(G925:R925=MAX(G925:R925)),{"Tasarımda","Ply Cutter'da","Üretimde","Kalitede (Üretim sonrası)","Talaşlıda","Kalitede (Talaşlı sonrası)","Montajda","Kalitede (Montaj sonrası)","Boyada","Kalitede (Boya sonrası)","Yarı Mamülde","KM'de"}))))))</f>
        <v/>
      </c>
      <c r="AA925" s="24" t="str">
        <f t="shared" ca="1" si="240"/>
        <v/>
      </c>
      <c r="AB925" s="22"/>
      <c r="AD925" t="str">
        <f>IF(OR($B925="",NOT(ISNUMBER(G925))),"",IF(COUNTIF(H925:$T925,G925)&gt;0,0,IF(COUNTIF($G925:$T925,"&gt;"&amp;G925)=0,"",SMALL($G925:$T925,COUNTIF($G925:$T925,"&lt;="&amp;G925)+1)-G925)))</f>
        <v/>
      </c>
      <c r="AE925" t="str">
        <f>IF(OR($B925="",NOT(ISNUMBER(H925))),"",IF(COUNTIF(I925:$T925,H925)&gt;0,0,IF(COUNTIF($G925:$T925,"&gt;"&amp;H925)=0,"",SMALL($G925:$T925,COUNTIF($G925:$T925,"&lt;="&amp;H925)+1)-H925)))</f>
        <v/>
      </c>
      <c r="AF925" t="str">
        <f>IF(OR($B925="",NOT(ISNUMBER(I925))),"",IF(COUNTIF(J925:$T925,I925)&gt;0,0,IF(COUNTIF($G925:$T925,"&gt;"&amp;I925)=0,"",SMALL($G925:$T925,COUNTIF($G925:$T925,"&lt;="&amp;I925)+1)-I925)))</f>
        <v/>
      </c>
      <c r="AG925" t="str">
        <f>IF(OR($B925="",NOT(ISNUMBER(J925))),"",IF(COUNTIF(K925:$T925,J925)&gt;0,0,IF(COUNTIF($G925:$T925,"&gt;"&amp;J925)=0,"",SMALL($G925:$T925,COUNTIF($G925:$T925,"&lt;="&amp;J925)+1)-J925)))</f>
        <v/>
      </c>
      <c r="AH925" t="str">
        <f>IF(OR($B925="",NOT(ISNUMBER(K925))),"",IF(COUNTIF(L925:$T925,K925)&gt;0,0,IF(COUNTIF($G925:$T925,"&gt;"&amp;K925)=0,"",SMALL($G925:$T925,COUNTIF($G925:$T925,"&lt;="&amp;K925)+1)-K925)))</f>
        <v/>
      </c>
      <c r="AI925" t="str">
        <f>IF(OR($B925="",NOT(ISNUMBER(L925))),"",IF(COUNTIF(M925:$T925,L925)&gt;0,0,IF(COUNTIF($G925:$T925,"&gt;"&amp;L925)=0,"",SMALL($G925:$T925,COUNTIF($G925:$T925,"&lt;="&amp;L925)+1)-L925)))</f>
        <v/>
      </c>
      <c r="AJ925" t="str">
        <f>IF(OR($B925="",NOT(ISNUMBER(M925))),"",IF(COUNTIF(N925:$T925,M925)&gt;0,0,IF(COUNTIF($G925:$T925,"&gt;"&amp;M925)=0,"",SMALL($G925:$T925,COUNTIF($G925:$T925,"&lt;="&amp;M925)+1)-M925)))</f>
        <v/>
      </c>
      <c r="AK925" t="str">
        <f>IF(OR($B925="",NOT(ISNUMBER(N925))),"",IF(COUNTIF(O925:$T925,N925)&gt;0,0,IF(COUNTIF($G925:$T925,"&gt;"&amp;N925)=0,"",SMALL($G925:$T925,COUNTIF($G925:$T925,"&lt;="&amp;N925)+1)-N925)))</f>
        <v/>
      </c>
      <c r="AL925" t="str">
        <f>IF(OR($B925="",NOT(ISNUMBER(O925))),"",IF(COUNTIF(P925:$T925,O925)&gt;0,0,IF(COUNTIF($G925:$T925,"&gt;"&amp;O925)=0,"",SMALL($G925:$T925,COUNTIF($G925:$T925,"&lt;="&amp;O925)+1)-O925)))</f>
        <v/>
      </c>
      <c r="AM925" t="str">
        <f>IF(OR($B925="",NOT(ISNUMBER(P925))),"",IF(COUNTIF(Q925:$T925,P925)&gt;0,0,IF(COUNTIF($G925:$T925,"&gt;"&amp;P925)=0,"",SMALL($G925:$T925,COUNTIF($G925:$T925,"&lt;="&amp;P925)+1)-P925)))</f>
        <v/>
      </c>
      <c r="AN925" t="str">
        <f>IF(OR($B925="",NOT(ISNUMBER(Q925))),"",IF(COUNTIF(R925:$T925,Q925)&gt;0,0,IF(COUNTIF($G925:$T925,"&gt;"&amp;Q925)=0,"",SMALL($G925:$T925,COUNTIF($G925:$T925,"&lt;="&amp;Q925)+1)-Q925)))</f>
        <v/>
      </c>
      <c r="AO925" t="str">
        <f>IF(OR($B925="",NOT(ISNUMBER(R925))),"",IF(COUNTIF(S925:$T925,R925)&gt;0,0,IF(COUNTIF($G925:$T925,"&gt;"&amp;R925)=0,"",SMALL($G925:$T925,COUNTIF($G925:$T925,"&lt;="&amp;R925)+1)-R925)))</f>
        <v/>
      </c>
      <c r="AP925">
        <f t="shared" ca="1" si="241"/>
        <v>0</v>
      </c>
      <c r="AQ925" s="25" t="str">
        <f t="shared" si="242"/>
        <v/>
      </c>
      <c r="AR925" s="25" t="str">
        <f t="shared" si="243"/>
        <v/>
      </c>
      <c r="AS925" s="25" t="str">
        <f t="shared" si="244"/>
        <v/>
      </c>
      <c r="AT925" s="25" t="str">
        <f t="shared" si="245"/>
        <v/>
      </c>
      <c r="AU925" s="25" t="str">
        <f t="shared" si="246"/>
        <v/>
      </c>
      <c r="AV925" s="25" t="str">
        <f t="shared" si="247"/>
        <v/>
      </c>
      <c r="AW925" s="25" t="str">
        <f t="shared" si="248"/>
        <v/>
      </c>
      <c r="AX925" s="25" t="str">
        <f t="shared" si="249"/>
        <v/>
      </c>
      <c r="AY925" s="25" t="str">
        <f t="shared" si="250"/>
        <v/>
      </c>
      <c r="AZ925" s="25" t="str">
        <f t="shared" si="251"/>
        <v/>
      </c>
      <c r="BA925" s="25" t="str">
        <f t="shared" si="252"/>
        <v/>
      </c>
      <c r="BB925" s="25" t="str">
        <f t="shared" si="253"/>
        <v/>
      </c>
      <c r="BC925" s="25" t="str">
        <f t="shared" si="254"/>
        <v/>
      </c>
    </row>
    <row r="926" spans="1:55" x14ac:dyDescent="0.25">
      <c r="A926" s="19" t="str">
        <f t="shared" si="239"/>
        <v/>
      </c>
      <c r="B926" s="19"/>
      <c r="C926" s="20"/>
      <c r="D926" s="19" t="str">
        <f t="shared" si="238"/>
        <v/>
      </c>
      <c r="E926" s="19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19"/>
      <c r="U926" s="19"/>
      <c r="V926" s="20"/>
      <c r="W926" s="22"/>
      <c r="X926" s="21"/>
      <c r="Y926" s="21"/>
      <c r="Z926" s="23" t="str">
        <f>IF(B926="","",IF(S926&lt;&gt;"","Sevk Edildi",IF(AND(X926&lt;&gt;"",Y926=""),"Reworkte",IF(T926&lt;&gt;"","Kapandı"&amp;IF(COUNT(G926:R926)=0,""," – "&amp;LOOKUP(2,1/(G926:R926=MAX(G926:R926)),{"Tasarım","Ply Cutter","Üretim","Kalite (Üretim sonrası)","Talaşlı","Kalite (Talaşlı sonrası)","Montaj","Kalite (Montaj sonrası)","Boya","Kalite (Boya sonrası)","Yarı Mamül","KM"})),IF(COUNT(G926:R926)=0,"Başlamadı",LOOKUP(2,1/(G926:R926=MAX(G926:R926)),{"Tasarımda","Ply Cutter'da","Üretimde","Kalitede (Üretim sonrası)","Talaşlıda","Kalitede (Talaşlı sonrası)","Montajda","Kalitede (Montaj sonrası)","Boyada","Kalitede (Boya sonrası)","Yarı Mamülde","KM'de"}))))))</f>
        <v/>
      </c>
      <c r="AA926" s="24" t="str">
        <f t="shared" ca="1" si="240"/>
        <v/>
      </c>
      <c r="AB926" s="22"/>
      <c r="AD926" t="str">
        <f>IF(OR($B926="",NOT(ISNUMBER(G926))),"",IF(COUNTIF(H926:$T926,G926)&gt;0,0,IF(COUNTIF($G926:$T926,"&gt;"&amp;G926)=0,"",SMALL($G926:$T926,COUNTIF($G926:$T926,"&lt;="&amp;G926)+1)-G926)))</f>
        <v/>
      </c>
      <c r="AE926" t="str">
        <f>IF(OR($B926="",NOT(ISNUMBER(H926))),"",IF(COUNTIF(I926:$T926,H926)&gt;0,0,IF(COUNTIF($G926:$T926,"&gt;"&amp;H926)=0,"",SMALL($G926:$T926,COUNTIF($G926:$T926,"&lt;="&amp;H926)+1)-H926)))</f>
        <v/>
      </c>
      <c r="AF926" t="str">
        <f>IF(OR($B926="",NOT(ISNUMBER(I926))),"",IF(COUNTIF(J926:$T926,I926)&gt;0,0,IF(COUNTIF($G926:$T926,"&gt;"&amp;I926)=0,"",SMALL($G926:$T926,COUNTIF($G926:$T926,"&lt;="&amp;I926)+1)-I926)))</f>
        <v/>
      </c>
      <c r="AG926" t="str">
        <f>IF(OR($B926="",NOT(ISNUMBER(J926))),"",IF(COUNTIF(K926:$T926,J926)&gt;0,0,IF(COUNTIF($G926:$T926,"&gt;"&amp;J926)=0,"",SMALL($G926:$T926,COUNTIF($G926:$T926,"&lt;="&amp;J926)+1)-J926)))</f>
        <v/>
      </c>
      <c r="AH926" t="str">
        <f>IF(OR($B926="",NOT(ISNUMBER(K926))),"",IF(COUNTIF(L926:$T926,K926)&gt;0,0,IF(COUNTIF($G926:$T926,"&gt;"&amp;K926)=0,"",SMALL($G926:$T926,COUNTIF($G926:$T926,"&lt;="&amp;K926)+1)-K926)))</f>
        <v/>
      </c>
      <c r="AI926" t="str">
        <f>IF(OR($B926="",NOT(ISNUMBER(L926))),"",IF(COUNTIF(M926:$T926,L926)&gt;0,0,IF(COUNTIF($G926:$T926,"&gt;"&amp;L926)=0,"",SMALL($G926:$T926,COUNTIF($G926:$T926,"&lt;="&amp;L926)+1)-L926)))</f>
        <v/>
      </c>
      <c r="AJ926" t="str">
        <f>IF(OR($B926="",NOT(ISNUMBER(M926))),"",IF(COUNTIF(N926:$T926,M926)&gt;0,0,IF(COUNTIF($G926:$T926,"&gt;"&amp;M926)=0,"",SMALL($G926:$T926,COUNTIF($G926:$T926,"&lt;="&amp;M926)+1)-M926)))</f>
        <v/>
      </c>
      <c r="AK926" t="str">
        <f>IF(OR($B926="",NOT(ISNUMBER(N926))),"",IF(COUNTIF(O926:$T926,N926)&gt;0,0,IF(COUNTIF($G926:$T926,"&gt;"&amp;N926)=0,"",SMALL($G926:$T926,COUNTIF($G926:$T926,"&lt;="&amp;N926)+1)-N926)))</f>
        <v/>
      </c>
      <c r="AL926" t="str">
        <f>IF(OR($B926="",NOT(ISNUMBER(O926))),"",IF(COUNTIF(P926:$T926,O926)&gt;0,0,IF(COUNTIF($G926:$T926,"&gt;"&amp;O926)=0,"",SMALL($G926:$T926,COUNTIF($G926:$T926,"&lt;="&amp;O926)+1)-O926)))</f>
        <v/>
      </c>
      <c r="AM926" t="str">
        <f>IF(OR($B926="",NOT(ISNUMBER(P926))),"",IF(COUNTIF(Q926:$T926,P926)&gt;0,0,IF(COUNTIF($G926:$T926,"&gt;"&amp;P926)=0,"",SMALL($G926:$T926,COUNTIF($G926:$T926,"&lt;="&amp;P926)+1)-P926)))</f>
        <v/>
      </c>
      <c r="AN926" t="str">
        <f>IF(OR($B926="",NOT(ISNUMBER(Q926))),"",IF(COUNTIF(R926:$T926,Q926)&gt;0,0,IF(COUNTIF($G926:$T926,"&gt;"&amp;Q926)=0,"",SMALL($G926:$T926,COUNTIF($G926:$T926,"&lt;="&amp;Q926)+1)-Q926)))</f>
        <v/>
      </c>
      <c r="AO926" t="str">
        <f>IF(OR($B926="",NOT(ISNUMBER(R926))),"",IF(COUNTIF(S926:$T926,R926)&gt;0,0,IF(COUNTIF($G926:$T926,"&gt;"&amp;R926)=0,"",SMALL($G926:$T926,COUNTIF($G926:$T926,"&lt;="&amp;R926)+1)-R926)))</f>
        <v/>
      </c>
      <c r="AP926">
        <f t="shared" ca="1" si="241"/>
        <v>0</v>
      </c>
      <c r="AQ926" s="25" t="str">
        <f t="shared" si="242"/>
        <v/>
      </c>
      <c r="AR926" s="25" t="str">
        <f t="shared" si="243"/>
        <v/>
      </c>
      <c r="AS926" s="25" t="str">
        <f t="shared" si="244"/>
        <v/>
      </c>
      <c r="AT926" s="25" t="str">
        <f t="shared" si="245"/>
        <v/>
      </c>
      <c r="AU926" s="25" t="str">
        <f t="shared" si="246"/>
        <v/>
      </c>
      <c r="AV926" s="25" t="str">
        <f t="shared" si="247"/>
        <v/>
      </c>
      <c r="AW926" s="25" t="str">
        <f t="shared" si="248"/>
        <v/>
      </c>
      <c r="AX926" s="25" t="str">
        <f t="shared" si="249"/>
        <v/>
      </c>
      <c r="AY926" s="25" t="str">
        <f t="shared" si="250"/>
        <v/>
      </c>
      <c r="AZ926" s="25" t="str">
        <f t="shared" si="251"/>
        <v/>
      </c>
      <c r="BA926" s="25" t="str">
        <f t="shared" si="252"/>
        <v/>
      </c>
      <c r="BB926" s="25" t="str">
        <f t="shared" si="253"/>
        <v/>
      </c>
      <c r="BC926" s="25" t="str">
        <f t="shared" si="254"/>
        <v/>
      </c>
    </row>
    <row r="927" spans="1:55" x14ac:dyDescent="0.25">
      <c r="A927" s="19" t="str">
        <f t="shared" si="239"/>
        <v/>
      </c>
      <c r="B927" s="19"/>
      <c r="C927" s="20"/>
      <c r="D927" s="19" t="str">
        <f t="shared" si="238"/>
        <v/>
      </c>
      <c r="E927" s="19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19"/>
      <c r="U927" s="19"/>
      <c r="V927" s="20"/>
      <c r="W927" s="22"/>
      <c r="X927" s="21"/>
      <c r="Y927" s="21"/>
      <c r="Z927" s="23" t="str">
        <f>IF(B927="","",IF(S927&lt;&gt;"","Sevk Edildi",IF(AND(X927&lt;&gt;"",Y927=""),"Reworkte",IF(T927&lt;&gt;"","Kapandı"&amp;IF(COUNT(G927:R927)=0,""," – "&amp;LOOKUP(2,1/(G927:R927=MAX(G927:R927)),{"Tasarım","Ply Cutter","Üretim","Kalite (Üretim sonrası)","Talaşlı","Kalite (Talaşlı sonrası)","Montaj","Kalite (Montaj sonrası)","Boya","Kalite (Boya sonrası)","Yarı Mamül","KM"})),IF(COUNT(G927:R927)=0,"Başlamadı",LOOKUP(2,1/(G927:R927=MAX(G927:R927)),{"Tasarımda","Ply Cutter'da","Üretimde","Kalitede (Üretim sonrası)","Talaşlıda","Kalitede (Talaşlı sonrası)","Montajda","Kalitede (Montaj sonrası)","Boyada","Kalitede (Boya sonrası)","Yarı Mamülde","KM'de"}))))))</f>
        <v/>
      </c>
      <c r="AA927" s="24" t="str">
        <f t="shared" ca="1" si="240"/>
        <v/>
      </c>
      <c r="AB927" s="22"/>
      <c r="AD927" t="str">
        <f>IF(OR($B927="",NOT(ISNUMBER(G927))),"",IF(COUNTIF(H927:$T927,G927)&gt;0,0,IF(COUNTIF($G927:$T927,"&gt;"&amp;G927)=0,"",SMALL($G927:$T927,COUNTIF($G927:$T927,"&lt;="&amp;G927)+1)-G927)))</f>
        <v/>
      </c>
      <c r="AE927" t="str">
        <f>IF(OR($B927="",NOT(ISNUMBER(H927))),"",IF(COUNTIF(I927:$T927,H927)&gt;0,0,IF(COUNTIF($G927:$T927,"&gt;"&amp;H927)=0,"",SMALL($G927:$T927,COUNTIF($G927:$T927,"&lt;="&amp;H927)+1)-H927)))</f>
        <v/>
      </c>
      <c r="AF927" t="str">
        <f>IF(OR($B927="",NOT(ISNUMBER(I927))),"",IF(COUNTIF(J927:$T927,I927)&gt;0,0,IF(COUNTIF($G927:$T927,"&gt;"&amp;I927)=0,"",SMALL($G927:$T927,COUNTIF($G927:$T927,"&lt;="&amp;I927)+1)-I927)))</f>
        <v/>
      </c>
      <c r="AG927" t="str">
        <f>IF(OR($B927="",NOT(ISNUMBER(J927))),"",IF(COUNTIF(K927:$T927,J927)&gt;0,0,IF(COUNTIF($G927:$T927,"&gt;"&amp;J927)=0,"",SMALL($G927:$T927,COUNTIF($G927:$T927,"&lt;="&amp;J927)+1)-J927)))</f>
        <v/>
      </c>
      <c r="AH927" t="str">
        <f>IF(OR($B927="",NOT(ISNUMBER(K927))),"",IF(COUNTIF(L927:$T927,K927)&gt;0,0,IF(COUNTIF($G927:$T927,"&gt;"&amp;K927)=0,"",SMALL($G927:$T927,COUNTIF($G927:$T927,"&lt;="&amp;K927)+1)-K927)))</f>
        <v/>
      </c>
      <c r="AI927" t="str">
        <f>IF(OR($B927="",NOT(ISNUMBER(L927))),"",IF(COUNTIF(M927:$T927,L927)&gt;0,0,IF(COUNTIF($G927:$T927,"&gt;"&amp;L927)=0,"",SMALL($G927:$T927,COUNTIF($G927:$T927,"&lt;="&amp;L927)+1)-L927)))</f>
        <v/>
      </c>
      <c r="AJ927" t="str">
        <f>IF(OR($B927="",NOT(ISNUMBER(M927))),"",IF(COUNTIF(N927:$T927,M927)&gt;0,0,IF(COUNTIF($G927:$T927,"&gt;"&amp;M927)=0,"",SMALL($G927:$T927,COUNTIF($G927:$T927,"&lt;="&amp;M927)+1)-M927)))</f>
        <v/>
      </c>
      <c r="AK927" t="str">
        <f>IF(OR($B927="",NOT(ISNUMBER(N927))),"",IF(COUNTIF(O927:$T927,N927)&gt;0,0,IF(COUNTIF($G927:$T927,"&gt;"&amp;N927)=0,"",SMALL($G927:$T927,COUNTIF($G927:$T927,"&lt;="&amp;N927)+1)-N927)))</f>
        <v/>
      </c>
      <c r="AL927" t="str">
        <f>IF(OR($B927="",NOT(ISNUMBER(O927))),"",IF(COUNTIF(P927:$T927,O927)&gt;0,0,IF(COUNTIF($G927:$T927,"&gt;"&amp;O927)=0,"",SMALL($G927:$T927,COUNTIF($G927:$T927,"&lt;="&amp;O927)+1)-O927)))</f>
        <v/>
      </c>
      <c r="AM927" t="str">
        <f>IF(OR($B927="",NOT(ISNUMBER(P927))),"",IF(COUNTIF(Q927:$T927,P927)&gt;0,0,IF(COUNTIF($G927:$T927,"&gt;"&amp;P927)=0,"",SMALL($G927:$T927,COUNTIF($G927:$T927,"&lt;="&amp;P927)+1)-P927)))</f>
        <v/>
      </c>
      <c r="AN927" t="str">
        <f>IF(OR($B927="",NOT(ISNUMBER(Q927))),"",IF(COUNTIF(R927:$T927,Q927)&gt;0,0,IF(COUNTIF($G927:$T927,"&gt;"&amp;Q927)=0,"",SMALL($G927:$T927,COUNTIF($G927:$T927,"&lt;="&amp;Q927)+1)-Q927)))</f>
        <v/>
      </c>
      <c r="AO927" t="str">
        <f>IF(OR($B927="",NOT(ISNUMBER(R927))),"",IF(COUNTIF(S927:$T927,R927)&gt;0,0,IF(COUNTIF($G927:$T927,"&gt;"&amp;R927)=0,"",SMALL($G927:$T927,COUNTIF($G927:$T927,"&lt;="&amp;R927)+1)-R927)))</f>
        <v/>
      </c>
      <c r="AP927">
        <f t="shared" ca="1" si="241"/>
        <v>0</v>
      </c>
      <c r="AQ927" s="25" t="str">
        <f t="shared" si="242"/>
        <v/>
      </c>
      <c r="AR927" s="25" t="str">
        <f t="shared" si="243"/>
        <v/>
      </c>
      <c r="AS927" s="25" t="str">
        <f t="shared" si="244"/>
        <v/>
      </c>
      <c r="AT927" s="25" t="str">
        <f t="shared" si="245"/>
        <v/>
      </c>
      <c r="AU927" s="25" t="str">
        <f t="shared" si="246"/>
        <v/>
      </c>
      <c r="AV927" s="25" t="str">
        <f t="shared" si="247"/>
        <v/>
      </c>
      <c r="AW927" s="25" t="str">
        <f t="shared" si="248"/>
        <v/>
      </c>
      <c r="AX927" s="25" t="str">
        <f t="shared" si="249"/>
        <v/>
      </c>
      <c r="AY927" s="25" t="str">
        <f t="shared" si="250"/>
        <v/>
      </c>
      <c r="AZ927" s="25" t="str">
        <f t="shared" si="251"/>
        <v/>
      </c>
      <c r="BA927" s="25" t="str">
        <f t="shared" si="252"/>
        <v/>
      </c>
      <c r="BB927" s="25" t="str">
        <f t="shared" si="253"/>
        <v/>
      </c>
      <c r="BC927" s="25" t="str">
        <f t="shared" si="254"/>
        <v/>
      </c>
    </row>
    <row r="928" spans="1:55" x14ac:dyDescent="0.25">
      <c r="A928" s="19" t="str">
        <f t="shared" si="239"/>
        <v/>
      </c>
      <c r="B928" s="19"/>
      <c r="C928" s="20"/>
      <c r="D928" s="19" t="str">
        <f t="shared" si="238"/>
        <v/>
      </c>
      <c r="E928" s="19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19"/>
      <c r="U928" s="19"/>
      <c r="V928" s="20"/>
      <c r="W928" s="22"/>
      <c r="X928" s="21"/>
      <c r="Y928" s="21"/>
      <c r="Z928" s="23" t="str">
        <f>IF(B928="","",IF(S928&lt;&gt;"","Sevk Edildi",IF(AND(X928&lt;&gt;"",Y928=""),"Reworkte",IF(T928&lt;&gt;"","Kapandı"&amp;IF(COUNT(G928:R928)=0,""," – "&amp;LOOKUP(2,1/(G928:R928=MAX(G928:R928)),{"Tasarım","Ply Cutter","Üretim","Kalite (Üretim sonrası)","Talaşlı","Kalite (Talaşlı sonrası)","Montaj","Kalite (Montaj sonrası)","Boya","Kalite (Boya sonrası)","Yarı Mamül","KM"})),IF(COUNT(G928:R928)=0,"Başlamadı",LOOKUP(2,1/(G928:R928=MAX(G928:R928)),{"Tasarımda","Ply Cutter'da","Üretimde","Kalitede (Üretim sonrası)","Talaşlıda","Kalitede (Talaşlı sonrası)","Montajda","Kalitede (Montaj sonrası)","Boyada","Kalitede (Boya sonrası)","Yarı Mamülde","KM'de"}))))))</f>
        <v/>
      </c>
      <c r="AA928" s="24" t="str">
        <f t="shared" ca="1" si="240"/>
        <v/>
      </c>
      <c r="AB928" s="22"/>
      <c r="AD928" t="str">
        <f>IF(OR($B928="",NOT(ISNUMBER(G928))),"",IF(COUNTIF(H928:$T928,G928)&gt;0,0,IF(COUNTIF($G928:$T928,"&gt;"&amp;G928)=0,"",SMALL($G928:$T928,COUNTIF($G928:$T928,"&lt;="&amp;G928)+1)-G928)))</f>
        <v/>
      </c>
      <c r="AE928" t="str">
        <f>IF(OR($B928="",NOT(ISNUMBER(H928))),"",IF(COUNTIF(I928:$T928,H928)&gt;0,0,IF(COUNTIF($G928:$T928,"&gt;"&amp;H928)=0,"",SMALL($G928:$T928,COUNTIF($G928:$T928,"&lt;="&amp;H928)+1)-H928)))</f>
        <v/>
      </c>
      <c r="AF928" t="str">
        <f>IF(OR($B928="",NOT(ISNUMBER(I928))),"",IF(COUNTIF(J928:$T928,I928)&gt;0,0,IF(COUNTIF($G928:$T928,"&gt;"&amp;I928)=0,"",SMALL($G928:$T928,COUNTIF($G928:$T928,"&lt;="&amp;I928)+1)-I928)))</f>
        <v/>
      </c>
      <c r="AG928" t="str">
        <f>IF(OR($B928="",NOT(ISNUMBER(J928))),"",IF(COUNTIF(K928:$T928,J928)&gt;0,0,IF(COUNTIF($G928:$T928,"&gt;"&amp;J928)=0,"",SMALL($G928:$T928,COUNTIF($G928:$T928,"&lt;="&amp;J928)+1)-J928)))</f>
        <v/>
      </c>
      <c r="AH928" t="str">
        <f>IF(OR($B928="",NOT(ISNUMBER(K928))),"",IF(COUNTIF(L928:$T928,K928)&gt;0,0,IF(COUNTIF($G928:$T928,"&gt;"&amp;K928)=0,"",SMALL($G928:$T928,COUNTIF($G928:$T928,"&lt;="&amp;K928)+1)-K928)))</f>
        <v/>
      </c>
      <c r="AI928" t="str">
        <f>IF(OR($B928="",NOT(ISNUMBER(L928))),"",IF(COUNTIF(M928:$T928,L928)&gt;0,0,IF(COUNTIF($G928:$T928,"&gt;"&amp;L928)=0,"",SMALL($G928:$T928,COUNTIF($G928:$T928,"&lt;="&amp;L928)+1)-L928)))</f>
        <v/>
      </c>
      <c r="AJ928" t="str">
        <f>IF(OR($B928="",NOT(ISNUMBER(M928))),"",IF(COUNTIF(N928:$T928,M928)&gt;0,0,IF(COUNTIF($G928:$T928,"&gt;"&amp;M928)=0,"",SMALL($G928:$T928,COUNTIF($G928:$T928,"&lt;="&amp;M928)+1)-M928)))</f>
        <v/>
      </c>
      <c r="AK928" t="str">
        <f>IF(OR($B928="",NOT(ISNUMBER(N928))),"",IF(COUNTIF(O928:$T928,N928)&gt;0,0,IF(COUNTIF($G928:$T928,"&gt;"&amp;N928)=0,"",SMALL($G928:$T928,COUNTIF($G928:$T928,"&lt;="&amp;N928)+1)-N928)))</f>
        <v/>
      </c>
      <c r="AL928" t="str">
        <f>IF(OR($B928="",NOT(ISNUMBER(O928))),"",IF(COUNTIF(P928:$T928,O928)&gt;0,0,IF(COUNTIF($G928:$T928,"&gt;"&amp;O928)=0,"",SMALL($G928:$T928,COUNTIF($G928:$T928,"&lt;="&amp;O928)+1)-O928)))</f>
        <v/>
      </c>
      <c r="AM928" t="str">
        <f>IF(OR($B928="",NOT(ISNUMBER(P928))),"",IF(COUNTIF(Q928:$T928,P928)&gt;0,0,IF(COUNTIF($G928:$T928,"&gt;"&amp;P928)=0,"",SMALL($G928:$T928,COUNTIF($G928:$T928,"&lt;="&amp;P928)+1)-P928)))</f>
        <v/>
      </c>
      <c r="AN928" t="str">
        <f>IF(OR($B928="",NOT(ISNUMBER(Q928))),"",IF(COUNTIF(R928:$T928,Q928)&gt;0,0,IF(COUNTIF($G928:$T928,"&gt;"&amp;Q928)=0,"",SMALL($G928:$T928,COUNTIF($G928:$T928,"&lt;="&amp;Q928)+1)-Q928)))</f>
        <v/>
      </c>
      <c r="AO928" t="str">
        <f>IF(OR($B928="",NOT(ISNUMBER(R928))),"",IF(COUNTIF(S928:$T928,R928)&gt;0,0,IF(COUNTIF($G928:$T928,"&gt;"&amp;R928)=0,"",SMALL($G928:$T928,COUNTIF($G928:$T928,"&lt;="&amp;R928)+1)-R928)))</f>
        <v/>
      </c>
      <c r="AP928">
        <f t="shared" ca="1" si="241"/>
        <v>0</v>
      </c>
      <c r="AQ928" s="25" t="str">
        <f t="shared" si="242"/>
        <v/>
      </c>
      <c r="AR928" s="25" t="str">
        <f t="shared" si="243"/>
        <v/>
      </c>
      <c r="AS928" s="25" t="str">
        <f t="shared" si="244"/>
        <v/>
      </c>
      <c r="AT928" s="25" t="str">
        <f t="shared" si="245"/>
        <v/>
      </c>
      <c r="AU928" s="25" t="str">
        <f t="shared" si="246"/>
        <v/>
      </c>
      <c r="AV928" s="25" t="str">
        <f t="shared" si="247"/>
        <v/>
      </c>
      <c r="AW928" s="25" t="str">
        <f t="shared" si="248"/>
        <v/>
      </c>
      <c r="AX928" s="25" t="str">
        <f t="shared" si="249"/>
        <v/>
      </c>
      <c r="AY928" s="25" t="str">
        <f t="shared" si="250"/>
        <v/>
      </c>
      <c r="AZ928" s="25" t="str">
        <f t="shared" si="251"/>
        <v/>
      </c>
      <c r="BA928" s="25" t="str">
        <f t="shared" si="252"/>
        <v/>
      </c>
      <c r="BB928" s="25" t="str">
        <f t="shared" si="253"/>
        <v/>
      </c>
      <c r="BC928" s="25" t="str">
        <f t="shared" si="254"/>
        <v/>
      </c>
    </row>
    <row r="929" spans="1:55" x14ac:dyDescent="0.25">
      <c r="A929" s="19" t="str">
        <f t="shared" si="239"/>
        <v/>
      </c>
      <c r="B929" s="19"/>
      <c r="C929" s="20"/>
      <c r="D929" s="19" t="str">
        <f t="shared" si="238"/>
        <v/>
      </c>
      <c r="E929" s="19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19"/>
      <c r="U929" s="19"/>
      <c r="V929" s="20"/>
      <c r="W929" s="22"/>
      <c r="X929" s="21"/>
      <c r="Y929" s="21"/>
      <c r="Z929" s="23" t="str">
        <f>IF(B929="","",IF(S929&lt;&gt;"","Sevk Edildi",IF(AND(X929&lt;&gt;"",Y929=""),"Reworkte",IF(T929&lt;&gt;"","Kapandı"&amp;IF(COUNT(G929:R929)=0,""," – "&amp;LOOKUP(2,1/(G929:R929=MAX(G929:R929)),{"Tasarım","Ply Cutter","Üretim","Kalite (Üretim sonrası)","Talaşlı","Kalite (Talaşlı sonrası)","Montaj","Kalite (Montaj sonrası)","Boya","Kalite (Boya sonrası)","Yarı Mamül","KM"})),IF(COUNT(G929:R929)=0,"Başlamadı",LOOKUP(2,1/(G929:R929=MAX(G929:R929)),{"Tasarımda","Ply Cutter'da","Üretimde","Kalitede (Üretim sonrası)","Talaşlıda","Kalitede (Talaşlı sonrası)","Montajda","Kalitede (Montaj sonrası)","Boyada","Kalitede (Boya sonrası)","Yarı Mamülde","KM'de"}))))))</f>
        <v/>
      </c>
      <c r="AA929" s="24" t="str">
        <f t="shared" ca="1" si="240"/>
        <v/>
      </c>
      <c r="AB929" s="22"/>
      <c r="AD929" t="str">
        <f>IF(OR($B929="",NOT(ISNUMBER(G929))),"",IF(COUNTIF(H929:$T929,G929)&gt;0,0,IF(COUNTIF($G929:$T929,"&gt;"&amp;G929)=0,"",SMALL($G929:$T929,COUNTIF($G929:$T929,"&lt;="&amp;G929)+1)-G929)))</f>
        <v/>
      </c>
      <c r="AE929" t="str">
        <f>IF(OR($B929="",NOT(ISNUMBER(H929))),"",IF(COUNTIF(I929:$T929,H929)&gt;0,0,IF(COUNTIF($G929:$T929,"&gt;"&amp;H929)=0,"",SMALL($G929:$T929,COUNTIF($G929:$T929,"&lt;="&amp;H929)+1)-H929)))</f>
        <v/>
      </c>
      <c r="AF929" t="str">
        <f>IF(OR($B929="",NOT(ISNUMBER(I929))),"",IF(COUNTIF(J929:$T929,I929)&gt;0,0,IF(COUNTIF($G929:$T929,"&gt;"&amp;I929)=0,"",SMALL($G929:$T929,COUNTIF($G929:$T929,"&lt;="&amp;I929)+1)-I929)))</f>
        <v/>
      </c>
      <c r="AG929" t="str">
        <f>IF(OR($B929="",NOT(ISNUMBER(J929))),"",IF(COUNTIF(K929:$T929,J929)&gt;0,0,IF(COUNTIF($G929:$T929,"&gt;"&amp;J929)=0,"",SMALL($G929:$T929,COUNTIF($G929:$T929,"&lt;="&amp;J929)+1)-J929)))</f>
        <v/>
      </c>
      <c r="AH929" t="str">
        <f>IF(OR($B929="",NOT(ISNUMBER(K929))),"",IF(COUNTIF(L929:$T929,K929)&gt;0,0,IF(COUNTIF($G929:$T929,"&gt;"&amp;K929)=0,"",SMALL($G929:$T929,COUNTIF($G929:$T929,"&lt;="&amp;K929)+1)-K929)))</f>
        <v/>
      </c>
      <c r="AI929" t="str">
        <f>IF(OR($B929="",NOT(ISNUMBER(L929))),"",IF(COUNTIF(M929:$T929,L929)&gt;0,0,IF(COUNTIF($G929:$T929,"&gt;"&amp;L929)=0,"",SMALL($G929:$T929,COUNTIF($G929:$T929,"&lt;="&amp;L929)+1)-L929)))</f>
        <v/>
      </c>
      <c r="AJ929" t="str">
        <f>IF(OR($B929="",NOT(ISNUMBER(M929))),"",IF(COUNTIF(N929:$T929,M929)&gt;0,0,IF(COUNTIF($G929:$T929,"&gt;"&amp;M929)=0,"",SMALL($G929:$T929,COUNTIF($G929:$T929,"&lt;="&amp;M929)+1)-M929)))</f>
        <v/>
      </c>
      <c r="AK929" t="str">
        <f>IF(OR($B929="",NOT(ISNUMBER(N929))),"",IF(COUNTIF(O929:$T929,N929)&gt;0,0,IF(COUNTIF($G929:$T929,"&gt;"&amp;N929)=0,"",SMALL($G929:$T929,COUNTIF($G929:$T929,"&lt;="&amp;N929)+1)-N929)))</f>
        <v/>
      </c>
      <c r="AL929" t="str">
        <f>IF(OR($B929="",NOT(ISNUMBER(O929))),"",IF(COUNTIF(P929:$T929,O929)&gt;0,0,IF(COUNTIF($G929:$T929,"&gt;"&amp;O929)=0,"",SMALL($G929:$T929,COUNTIF($G929:$T929,"&lt;="&amp;O929)+1)-O929)))</f>
        <v/>
      </c>
      <c r="AM929" t="str">
        <f>IF(OR($B929="",NOT(ISNUMBER(P929))),"",IF(COUNTIF(Q929:$T929,P929)&gt;0,0,IF(COUNTIF($G929:$T929,"&gt;"&amp;P929)=0,"",SMALL($G929:$T929,COUNTIF($G929:$T929,"&lt;="&amp;P929)+1)-P929)))</f>
        <v/>
      </c>
      <c r="AN929" t="str">
        <f>IF(OR($B929="",NOT(ISNUMBER(Q929))),"",IF(COUNTIF(R929:$T929,Q929)&gt;0,0,IF(COUNTIF($G929:$T929,"&gt;"&amp;Q929)=0,"",SMALL($G929:$T929,COUNTIF($G929:$T929,"&lt;="&amp;Q929)+1)-Q929)))</f>
        <v/>
      </c>
      <c r="AO929" t="str">
        <f>IF(OR($B929="",NOT(ISNUMBER(R929))),"",IF(COUNTIF(S929:$T929,R929)&gt;0,0,IF(COUNTIF($G929:$T929,"&gt;"&amp;R929)=0,"",SMALL($G929:$T929,COUNTIF($G929:$T929,"&lt;="&amp;R929)+1)-R929)))</f>
        <v/>
      </c>
      <c r="AP929">
        <f t="shared" ca="1" si="241"/>
        <v>0</v>
      </c>
      <c r="AQ929" s="25" t="str">
        <f t="shared" si="242"/>
        <v/>
      </c>
      <c r="AR929" s="25" t="str">
        <f t="shared" si="243"/>
        <v/>
      </c>
      <c r="AS929" s="25" t="str">
        <f t="shared" si="244"/>
        <v/>
      </c>
      <c r="AT929" s="25" t="str">
        <f t="shared" si="245"/>
        <v/>
      </c>
      <c r="AU929" s="25" t="str">
        <f t="shared" si="246"/>
        <v/>
      </c>
      <c r="AV929" s="25" t="str">
        <f t="shared" si="247"/>
        <v/>
      </c>
      <c r="AW929" s="25" t="str">
        <f t="shared" si="248"/>
        <v/>
      </c>
      <c r="AX929" s="25" t="str">
        <f t="shared" si="249"/>
        <v/>
      </c>
      <c r="AY929" s="25" t="str">
        <f t="shared" si="250"/>
        <v/>
      </c>
      <c r="AZ929" s="25" t="str">
        <f t="shared" si="251"/>
        <v/>
      </c>
      <c r="BA929" s="25" t="str">
        <f t="shared" si="252"/>
        <v/>
      </c>
      <c r="BB929" s="25" t="str">
        <f t="shared" si="253"/>
        <v/>
      </c>
      <c r="BC929" s="25" t="str">
        <f t="shared" si="254"/>
        <v/>
      </c>
    </row>
    <row r="930" spans="1:55" x14ac:dyDescent="0.25">
      <c r="A930" s="19" t="str">
        <f t="shared" si="239"/>
        <v/>
      </c>
      <c r="B930" s="19"/>
      <c r="C930" s="20"/>
      <c r="D930" s="19" t="str">
        <f t="shared" si="238"/>
        <v/>
      </c>
      <c r="E930" s="19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19"/>
      <c r="U930" s="19"/>
      <c r="V930" s="20"/>
      <c r="W930" s="22"/>
      <c r="X930" s="21"/>
      <c r="Y930" s="21"/>
      <c r="Z930" s="23" t="str">
        <f>IF(B930="","",IF(S930&lt;&gt;"","Sevk Edildi",IF(AND(X930&lt;&gt;"",Y930=""),"Reworkte",IF(T930&lt;&gt;"","Kapandı"&amp;IF(COUNT(G930:R930)=0,""," – "&amp;LOOKUP(2,1/(G930:R930=MAX(G930:R930)),{"Tasarım","Ply Cutter","Üretim","Kalite (Üretim sonrası)","Talaşlı","Kalite (Talaşlı sonrası)","Montaj","Kalite (Montaj sonrası)","Boya","Kalite (Boya sonrası)","Yarı Mamül","KM"})),IF(COUNT(G930:R930)=0,"Başlamadı",LOOKUP(2,1/(G930:R930=MAX(G930:R930)),{"Tasarımda","Ply Cutter'da","Üretimde","Kalitede (Üretim sonrası)","Talaşlıda","Kalitede (Talaşlı sonrası)","Montajda","Kalitede (Montaj sonrası)","Boyada","Kalitede (Boya sonrası)","Yarı Mamülde","KM'de"}))))))</f>
        <v/>
      </c>
      <c r="AA930" s="24" t="str">
        <f t="shared" ca="1" si="240"/>
        <v/>
      </c>
      <c r="AB930" s="22"/>
      <c r="AD930" t="str">
        <f>IF(OR($B930="",NOT(ISNUMBER(G930))),"",IF(COUNTIF(H930:$T930,G930)&gt;0,0,IF(COUNTIF($G930:$T930,"&gt;"&amp;G930)=0,"",SMALL($G930:$T930,COUNTIF($G930:$T930,"&lt;="&amp;G930)+1)-G930)))</f>
        <v/>
      </c>
      <c r="AE930" t="str">
        <f>IF(OR($B930="",NOT(ISNUMBER(H930))),"",IF(COUNTIF(I930:$T930,H930)&gt;0,0,IF(COUNTIF($G930:$T930,"&gt;"&amp;H930)=0,"",SMALL($G930:$T930,COUNTIF($G930:$T930,"&lt;="&amp;H930)+1)-H930)))</f>
        <v/>
      </c>
      <c r="AF930" t="str">
        <f>IF(OR($B930="",NOT(ISNUMBER(I930))),"",IF(COUNTIF(J930:$T930,I930)&gt;0,0,IF(COUNTIF($G930:$T930,"&gt;"&amp;I930)=0,"",SMALL($G930:$T930,COUNTIF($G930:$T930,"&lt;="&amp;I930)+1)-I930)))</f>
        <v/>
      </c>
      <c r="AG930" t="str">
        <f>IF(OR($B930="",NOT(ISNUMBER(J930))),"",IF(COUNTIF(K930:$T930,J930)&gt;0,0,IF(COUNTIF($G930:$T930,"&gt;"&amp;J930)=0,"",SMALL($G930:$T930,COUNTIF($G930:$T930,"&lt;="&amp;J930)+1)-J930)))</f>
        <v/>
      </c>
      <c r="AH930" t="str">
        <f>IF(OR($B930="",NOT(ISNUMBER(K930))),"",IF(COUNTIF(L930:$T930,K930)&gt;0,0,IF(COUNTIF($G930:$T930,"&gt;"&amp;K930)=0,"",SMALL($G930:$T930,COUNTIF($G930:$T930,"&lt;="&amp;K930)+1)-K930)))</f>
        <v/>
      </c>
      <c r="AI930" t="str">
        <f>IF(OR($B930="",NOT(ISNUMBER(L930))),"",IF(COUNTIF(M930:$T930,L930)&gt;0,0,IF(COUNTIF($G930:$T930,"&gt;"&amp;L930)=0,"",SMALL($G930:$T930,COUNTIF($G930:$T930,"&lt;="&amp;L930)+1)-L930)))</f>
        <v/>
      </c>
      <c r="AJ930" t="str">
        <f>IF(OR($B930="",NOT(ISNUMBER(M930))),"",IF(COUNTIF(N930:$T930,M930)&gt;0,0,IF(COUNTIF($G930:$T930,"&gt;"&amp;M930)=0,"",SMALL($G930:$T930,COUNTIF($G930:$T930,"&lt;="&amp;M930)+1)-M930)))</f>
        <v/>
      </c>
      <c r="AK930" t="str">
        <f>IF(OR($B930="",NOT(ISNUMBER(N930))),"",IF(COUNTIF(O930:$T930,N930)&gt;0,0,IF(COUNTIF($G930:$T930,"&gt;"&amp;N930)=0,"",SMALL($G930:$T930,COUNTIF($G930:$T930,"&lt;="&amp;N930)+1)-N930)))</f>
        <v/>
      </c>
      <c r="AL930" t="str">
        <f>IF(OR($B930="",NOT(ISNUMBER(O930))),"",IF(COUNTIF(P930:$T930,O930)&gt;0,0,IF(COUNTIF($G930:$T930,"&gt;"&amp;O930)=0,"",SMALL($G930:$T930,COUNTIF($G930:$T930,"&lt;="&amp;O930)+1)-O930)))</f>
        <v/>
      </c>
      <c r="AM930" t="str">
        <f>IF(OR($B930="",NOT(ISNUMBER(P930))),"",IF(COUNTIF(Q930:$T930,P930)&gt;0,0,IF(COUNTIF($G930:$T930,"&gt;"&amp;P930)=0,"",SMALL($G930:$T930,COUNTIF($G930:$T930,"&lt;="&amp;P930)+1)-P930)))</f>
        <v/>
      </c>
      <c r="AN930" t="str">
        <f>IF(OR($B930="",NOT(ISNUMBER(Q930))),"",IF(COUNTIF(R930:$T930,Q930)&gt;0,0,IF(COUNTIF($G930:$T930,"&gt;"&amp;Q930)=0,"",SMALL($G930:$T930,COUNTIF($G930:$T930,"&lt;="&amp;Q930)+1)-Q930)))</f>
        <v/>
      </c>
      <c r="AO930" t="str">
        <f>IF(OR($B930="",NOT(ISNUMBER(R930))),"",IF(COUNTIF(S930:$T930,R930)&gt;0,0,IF(COUNTIF($G930:$T930,"&gt;"&amp;R930)=0,"",SMALL($G930:$T930,COUNTIF($G930:$T930,"&lt;="&amp;R930)+1)-R930)))</f>
        <v/>
      </c>
      <c r="AP930">
        <f t="shared" ca="1" si="241"/>
        <v>0</v>
      </c>
      <c r="AQ930" s="25" t="str">
        <f t="shared" si="242"/>
        <v/>
      </c>
      <c r="AR930" s="25" t="str">
        <f t="shared" si="243"/>
        <v/>
      </c>
      <c r="AS930" s="25" t="str">
        <f t="shared" si="244"/>
        <v/>
      </c>
      <c r="AT930" s="25" t="str">
        <f t="shared" si="245"/>
        <v/>
      </c>
      <c r="AU930" s="25" t="str">
        <f t="shared" si="246"/>
        <v/>
      </c>
      <c r="AV930" s="25" t="str">
        <f t="shared" si="247"/>
        <v/>
      </c>
      <c r="AW930" s="25" t="str">
        <f t="shared" si="248"/>
        <v/>
      </c>
      <c r="AX930" s="25" t="str">
        <f t="shared" si="249"/>
        <v/>
      </c>
      <c r="AY930" s="25" t="str">
        <f t="shared" si="250"/>
        <v/>
      </c>
      <c r="AZ930" s="25" t="str">
        <f t="shared" si="251"/>
        <v/>
      </c>
      <c r="BA930" s="25" t="str">
        <f t="shared" si="252"/>
        <v/>
      </c>
      <c r="BB930" s="25" t="str">
        <f t="shared" si="253"/>
        <v/>
      </c>
      <c r="BC930" s="25" t="str">
        <f t="shared" si="254"/>
        <v/>
      </c>
    </row>
    <row r="931" spans="1:55" x14ac:dyDescent="0.25">
      <c r="A931" s="19" t="str">
        <f t="shared" si="239"/>
        <v/>
      </c>
      <c r="B931" s="19"/>
      <c r="C931" s="20"/>
      <c r="D931" s="19" t="str">
        <f t="shared" si="238"/>
        <v/>
      </c>
      <c r="E931" s="19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19"/>
      <c r="U931" s="19"/>
      <c r="V931" s="20"/>
      <c r="W931" s="22"/>
      <c r="X931" s="21"/>
      <c r="Y931" s="21"/>
      <c r="Z931" s="23" t="str">
        <f>IF(B931="","",IF(S931&lt;&gt;"","Sevk Edildi",IF(AND(X931&lt;&gt;"",Y931=""),"Reworkte",IF(T931&lt;&gt;"","Kapandı"&amp;IF(COUNT(G931:R931)=0,""," – "&amp;LOOKUP(2,1/(G931:R931=MAX(G931:R931)),{"Tasarım","Ply Cutter","Üretim","Kalite (Üretim sonrası)","Talaşlı","Kalite (Talaşlı sonrası)","Montaj","Kalite (Montaj sonrası)","Boya","Kalite (Boya sonrası)","Yarı Mamül","KM"})),IF(COUNT(G931:R931)=0,"Başlamadı",LOOKUP(2,1/(G931:R931=MAX(G931:R931)),{"Tasarımda","Ply Cutter'da","Üretimde","Kalitede (Üretim sonrası)","Talaşlıda","Kalitede (Talaşlı sonrası)","Montajda","Kalitede (Montaj sonrası)","Boyada","Kalitede (Boya sonrası)","Yarı Mamülde","KM'de"}))))))</f>
        <v/>
      </c>
      <c r="AA931" s="24" t="str">
        <f t="shared" ca="1" si="240"/>
        <v/>
      </c>
      <c r="AB931" s="22"/>
      <c r="AD931" t="str">
        <f>IF(OR($B931="",NOT(ISNUMBER(G931))),"",IF(COUNTIF(H931:$T931,G931)&gt;0,0,IF(COUNTIF($G931:$T931,"&gt;"&amp;G931)=0,"",SMALL($G931:$T931,COUNTIF($G931:$T931,"&lt;="&amp;G931)+1)-G931)))</f>
        <v/>
      </c>
      <c r="AE931" t="str">
        <f>IF(OR($B931="",NOT(ISNUMBER(H931))),"",IF(COUNTIF(I931:$T931,H931)&gt;0,0,IF(COUNTIF($G931:$T931,"&gt;"&amp;H931)=0,"",SMALL($G931:$T931,COUNTIF($G931:$T931,"&lt;="&amp;H931)+1)-H931)))</f>
        <v/>
      </c>
      <c r="AF931" t="str">
        <f>IF(OR($B931="",NOT(ISNUMBER(I931))),"",IF(COUNTIF(J931:$T931,I931)&gt;0,0,IF(COUNTIF($G931:$T931,"&gt;"&amp;I931)=0,"",SMALL($G931:$T931,COUNTIF($G931:$T931,"&lt;="&amp;I931)+1)-I931)))</f>
        <v/>
      </c>
      <c r="AG931" t="str">
        <f>IF(OR($B931="",NOT(ISNUMBER(J931))),"",IF(COUNTIF(K931:$T931,J931)&gt;0,0,IF(COUNTIF($G931:$T931,"&gt;"&amp;J931)=0,"",SMALL($G931:$T931,COUNTIF($G931:$T931,"&lt;="&amp;J931)+1)-J931)))</f>
        <v/>
      </c>
      <c r="AH931" t="str">
        <f>IF(OR($B931="",NOT(ISNUMBER(K931))),"",IF(COUNTIF(L931:$T931,K931)&gt;0,0,IF(COUNTIF($G931:$T931,"&gt;"&amp;K931)=0,"",SMALL($G931:$T931,COUNTIF($G931:$T931,"&lt;="&amp;K931)+1)-K931)))</f>
        <v/>
      </c>
      <c r="AI931" t="str">
        <f>IF(OR($B931="",NOT(ISNUMBER(L931))),"",IF(COUNTIF(M931:$T931,L931)&gt;0,0,IF(COUNTIF($G931:$T931,"&gt;"&amp;L931)=0,"",SMALL($G931:$T931,COUNTIF($G931:$T931,"&lt;="&amp;L931)+1)-L931)))</f>
        <v/>
      </c>
      <c r="AJ931" t="str">
        <f>IF(OR($B931="",NOT(ISNUMBER(M931))),"",IF(COUNTIF(N931:$T931,M931)&gt;0,0,IF(COUNTIF($G931:$T931,"&gt;"&amp;M931)=0,"",SMALL($G931:$T931,COUNTIF($G931:$T931,"&lt;="&amp;M931)+1)-M931)))</f>
        <v/>
      </c>
      <c r="AK931" t="str">
        <f>IF(OR($B931="",NOT(ISNUMBER(N931))),"",IF(COUNTIF(O931:$T931,N931)&gt;0,0,IF(COUNTIF($G931:$T931,"&gt;"&amp;N931)=0,"",SMALL($G931:$T931,COUNTIF($G931:$T931,"&lt;="&amp;N931)+1)-N931)))</f>
        <v/>
      </c>
      <c r="AL931" t="str">
        <f>IF(OR($B931="",NOT(ISNUMBER(O931))),"",IF(COUNTIF(P931:$T931,O931)&gt;0,0,IF(COUNTIF($G931:$T931,"&gt;"&amp;O931)=0,"",SMALL($G931:$T931,COUNTIF($G931:$T931,"&lt;="&amp;O931)+1)-O931)))</f>
        <v/>
      </c>
      <c r="AM931" t="str">
        <f>IF(OR($B931="",NOT(ISNUMBER(P931))),"",IF(COUNTIF(Q931:$T931,P931)&gt;0,0,IF(COUNTIF($G931:$T931,"&gt;"&amp;P931)=0,"",SMALL($G931:$T931,COUNTIF($G931:$T931,"&lt;="&amp;P931)+1)-P931)))</f>
        <v/>
      </c>
      <c r="AN931" t="str">
        <f>IF(OR($B931="",NOT(ISNUMBER(Q931))),"",IF(COUNTIF(R931:$T931,Q931)&gt;0,0,IF(COUNTIF($G931:$T931,"&gt;"&amp;Q931)=0,"",SMALL($G931:$T931,COUNTIF($G931:$T931,"&lt;="&amp;Q931)+1)-Q931)))</f>
        <v/>
      </c>
      <c r="AO931" t="str">
        <f>IF(OR($B931="",NOT(ISNUMBER(R931))),"",IF(COUNTIF(S931:$T931,R931)&gt;0,0,IF(COUNTIF($G931:$T931,"&gt;"&amp;R931)=0,"",SMALL($G931:$T931,COUNTIF($G931:$T931,"&lt;="&amp;R931)+1)-R931)))</f>
        <v/>
      </c>
      <c r="AP931">
        <f t="shared" ca="1" si="241"/>
        <v>0</v>
      </c>
      <c r="AQ931" s="25" t="str">
        <f t="shared" si="242"/>
        <v/>
      </c>
      <c r="AR931" s="25" t="str">
        <f t="shared" si="243"/>
        <v/>
      </c>
      <c r="AS931" s="25" t="str">
        <f t="shared" si="244"/>
        <v/>
      </c>
      <c r="AT931" s="25" t="str">
        <f t="shared" si="245"/>
        <v/>
      </c>
      <c r="AU931" s="25" t="str">
        <f t="shared" si="246"/>
        <v/>
      </c>
      <c r="AV931" s="25" t="str">
        <f t="shared" si="247"/>
        <v/>
      </c>
      <c r="AW931" s="25" t="str">
        <f t="shared" si="248"/>
        <v/>
      </c>
      <c r="AX931" s="25" t="str">
        <f t="shared" si="249"/>
        <v/>
      </c>
      <c r="AY931" s="25" t="str">
        <f t="shared" si="250"/>
        <v/>
      </c>
      <c r="AZ931" s="25" t="str">
        <f t="shared" si="251"/>
        <v/>
      </c>
      <c r="BA931" s="25" t="str">
        <f t="shared" si="252"/>
        <v/>
      </c>
      <c r="BB931" s="25" t="str">
        <f t="shared" si="253"/>
        <v/>
      </c>
      <c r="BC931" s="25" t="str">
        <f t="shared" si="254"/>
        <v/>
      </c>
    </row>
    <row r="932" spans="1:55" x14ac:dyDescent="0.25">
      <c r="A932" s="19" t="str">
        <f t="shared" si="239"/>
        <v/>
      </c>
      <c r="B932" s="19"/>
      <c r="C932" s="20"/>
      <c r="D932" s="19" t="str">
        <f t="shared" si="238"/>
        <v/>
      </c>
      <c r="E932" s="19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19"/>
      <c r="U932" s="19"/>
      <c r="V932" s="20"/>
      <c r="W932" s="22"/>
      <c r="X932" s="21"/>
      <c r="Y932" s="21"/>
      <c r="Z932" s="23" t="str">
        <f>IF(B932="","",IF(S932&lt;&gt;"","Sevk Edildi",IF(AND(X932&lt;&gt;"",Y932=""),"Reworkte",IF(T932&lt;&gt;"","Kapandı"&amp;IF(COUNT(G932:R932)=0,""," – "&amp;LOOKUP(2,1/(G932:R932=MAX(G932:R932)),{"Tasarım","Ply Cutter","Üretim","Kalite (Üretim sonrası)","Talaşlı","Kalite (Talaşlı sonrası)","Montaj","Kalite (Montaj sonrası)","Boya","Kalite (Boya sonrası)","Yarı Mamül","KM"})),IF(COUNT(G932:R932)=0,"Başlamadı",LOOKUP(2,1/(G932:R932=MAX(G932:R932)),{"Tasarımda","Ply Cutter'da","Üretimde","Kalitede (Üretim sonrası)","Talaşlıda","Kalitede (Talaşlı sonrası)","Montajda","Kalitede (Montaj sonrası)","Boyada","Kalitede (Boya sonrası)","Yarı Mamülde","KM'de"}))))))</f>
        <v/>
      </c>
      <c r="AA932" s="24" t="str">
        <f t="shared" ca="1" si="240"/>
        <v/>
      </c>
      <c r="AB932" s="22"/>
      <c r="AD932" t="str">
        <f>IF(OR($B932="",NOT(ISNUMBER(G932))),"",IF(COUNTIF(H932:$T932,G932)&gt;0,0,IF(COUNTIF($G932:$T932,"&gt;"&amp;G932)=0,"",SMALL($G932:$T932,COUNTIF($G932:$T932,"&lt;="&amp;G932)+1)-G932)))</f>
        <v/>
      </c>
      <c r="AE932" t="str">
        <f>IF(OR($B932="",NOT(ISNUMBER(H932))),"",IF(COUNTIF(I932:$T932,H932)&gt;0,0,IF(COUNTIF($G932:$T932,"&gt;"&amp;H932)=0,"",SMALL($G932:$T932,COUNTIF($G932:$T932,"&lt;="&amp;H932)+1)-H932)))</f>
        <v/>
      </c>
      <c r="AF932" t="str">
        <f>IF(OR($B932="",NOT(ISNUMBER(I932))),"",IF(COUNTIF(J932:$T932,I932)&gt;0,0,IF(COUNTIF($G932:$T932,"&gt;"&amp;I932)=0,"",SMALL($G932:$T932,COUNTIF($G932:$T932,"&lt;="&amp;I932)+1)-I932)))</f>
        <v/>
      </c>
      <c r="AG932" t="str">
        <f>IF(OR($B932="",NOT(ISNUMBER(J932))),"",IF(COUNTIF(K932:$T932,J932)&gt;0,0,IF(COUNTIF($G932:$T932,"&gt;"&amp;J932)=0,"",SMALL($G932:$T932,COUNTIF($G932:$T932,"&lt;="&amp;J932)+1)-J932)))</f>
        <v/>
      </c>
      <c r="AH932" t="str">
        <f>IF(OR($B932="",NOT(ISNUMBER(K932))),"",IF(COUNTIF(L932:$T932,K932)&gt;0,0,IF(COUNTIF($G932:$T932,"&gt;"&amp;K932)=0,"",SMALL($G932:$T932,COUNTIF($G932:$T932,"&lt;="&amp;K932)+1)-K932)))</f>
        <v/>
      </c>
      <c r="AI932" t="str">
        <f>IF(OR($B932="",NOT(ISNUMBER(L932))),"",IF(COUNTIF(M932:$T932,L932)&gt;0,0,IF(COUNTIF($G932:$T932,"&gt;"&amp;L932)=0,"",SMALL($G932:$T932,COUNTIF($G932:$T932,"&lt;="&amp;L932)+1)-L932)))</f>
        <v/>
      </c>
      <c r="AJ932" t="str">
        <f>IF(OR($B932="",NOT(ISNUMBER(M932))),"",IF(COUNTIF(N932:$T932,M932)&gt;0,0,IF(COUNTIF($G932:$T932,"&gt;"&amp;M932)=0,"",SMALL($G932:$T932,COUNTIF($G932:$T932,"&lt;="&amp;M932)+1)-M932)))</f>
        <v/>
      </c>
      <c r="AK932" t="str">
        <f>IF(OR($B932="",NOT(ISNUMBER(N932))),"",IF(COUNTIF(O932:$T932,N932)&gt;0,0,IF(COUNTIF($G932:$T932,"&gt;"&amp;N932)=0,"",SMALL($G932:$T932,COUNTIF($G932:$T932,"&lt;="&amp;N932)+1)-N932)))</f>
        <v/>
      </c>
      <c r="AL932" t="str">
        <f>IF(OR($B932="",NOT(ISNUMBER(O932))),"",IF(COUNTIF(P932:$T932,O932)&gt;0,0,IF(COUNTIF($G932:$T932,"&gt;"&amp;O932)=0,"",SMALL($G932:$T932,COUNTIF($G932:$T932,"&lt;="&amp;O932)+1)-O932)))</f>
        <v/>
      </c>
      <c r="AM932" t="str">
        <f>IF(OR($B932="",NOT(ISNUMBER(P932))),"",IF(COUNTIF(Q932:$T932,P932)&gt;0,0,IF(COUNTIF($G932:$T932,"&gt;"&amp;P932)=0,"",SMALL($G932:$T932,COUNTIF($G932:$T932,"&lt;="&amp;P932)+1)-P932)))</f>
        <v/>
      </c>
      <c r="AN932" t="str">
        <f>IF(OR($B932="",NOT(ISNUMBER(Q932))),"",IF(COUNTIF(R932:$T932,Q932)&gt;0,0,IF(COUNTIF($G932:$T932,"&gt;"&amp;Q932)=0,"",SMALL($G932:$T932,COUNTIF($G932:$T932,"&lt;="&amp;Q932)+1)-Q932)))</f>
        <v/>
      </c>
      <c r="AO932" t="str">
        <f>IF(OR($B932="",NOT(ISNUMBER(R932))),"",IF(COUNTIF(S932:$T932,R932)&gt;0,0,IF(COUNTIF($G932:$T932,"&gt;"&amp;R932)=0,"",SMALL($G932:$T932,COUNTIF($G932:$T932,"&lt;="&amp;R932)+1)-R932)))</f>
        <v/>
      </c>
      <c r="AP932">
        <f t="shared" ca="1" si="241"/>
        <v>0</v>
      </c>
      <c r="AQ932" s="25" t="str">
        <f t="shared" si="242"/>
        <v/>
      </c>
      <c r="AR932" s="25" t="str">
        <f t="shared" si="243"/>
        <v/>
      </c>
      <c r="AS932" s="25" t="str">
        <f t="shared" si="244"/>
        <v/>
      </c>
      <c r="AT932" s="25" t="str">
        <f t="shared" si="245"/>
        <v/>
      </c>
      <c r="AU932" s="25" t="str">
        <f t="shared" si="246"/>
        <v/>
      </c>
      <c r="AV932" s="25" t="str">
        <f t="shared" si="247"/>
        <v/>
      </c>
      <c r="AW932" s="25" t="str">
        <f t="shared" si="248"/>
        <v/>
      </c>
      <c r="AX932" s="25" t="str">
        <f t="shared" si="249"/>
        <v/>
      </c>
      <c r="AY932" s="25" t="str">
        <f t="shared" si="250"/>
        <v/>
      </c>
      <c r="AZ932" s="25" t="str">
        <f t="shared" si="251"/>
        <v/>
      </c>
      <c r="BA932" s="25" t="str">
        <f t="shared" si="252"/>
        <v/>
      </c>
      <c r="BB932" s="25" t="str">
        <f t="shared" si="253"/>
        <v/>
      </c>
      <c r="BC932" s="25" t="str">
        <f t="shared" si="254"/>
        <v/>
      </c>
    </row>
    <row r="933" spans="1:55" x14ac:dyDescent="0.25">
      <c r="A933" s="19" t="str">
        <f t="shared" si="239"/>
        <v/>
      </c>
      <c r="B933" s="19"/>
      <c r="C933" s="20"/>
      <c r="D933" s="19" t="str">
        <f t="shared" si="238"/>
        <v/>
      </c>
      <c r="E933" s="19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19"/>
      <c r="U933" s="19"/>
      <c r="V933" s="20"/>
      <c r="W933" s="22"/>
      <c r="X933" s="21"/>
      <c r="Y933" s="21"/>
      <c r="Z933" s="23" t="str">
        <f>IF(B933="","",IF(S933&lt;&gt;"","Sevk Edildi",IF(AND(X933&lt;&gt;"",Y933=""),"Reworkte",IF(T933&lt;&gt;"","Kapandı"&amp;IF(COUNT(G933:R933)=0,""," – "&amp;LOOKUP(2,1/(G933:R933=MAX(G933:R933)),{"Tasarım","Ply Cutter","Üretim","Kalite (Üretim sonrası)","Talaşlı","Kalite (Talaşlı sonrası)","Montaj","Kalite (Montaj sonrası)","Boya","Kalite (Boya sonrası)","Yarı Mamül","KM"})),IF(COUNT(G933:R933)=0,"Başlamadı",LOOKUP(2,1/(G933:R933=MAX(G933:R933)),{"Tasarımda","Ply Cutter'da","Üretimde","Kalitede (Üretim sonrası)","Talaşlıda","Kalitede (Talaşlı sonrası)","Montajda","Kalitede (Montaj sonrası)","Boyada","Kalitede (Boya sonrası)","Yarı Mamülde","KM'de"}))))))</f>
        <v/>
      </c>
      <c r="AA933" s="24" t="str">
        <f t="shared" ca="1" si="240"/>
        <v/>
      </c>
      <c r="AB933" s="22"/>
      <c r="AD933" t="str">
        <f>IF(OR($B933="",NOT(ISNUMBER(G933))),"",IF(COUNTIF(H933:$T933,G933)&gt;0,0,IF(COUNTIF($G933:$T933,"&gt;"&amp;G933)=0,"",SMALL($G933:$T933,COUNTIF($G933:$T933,"&lt;="&amp;G933)+1)-G933)))</f>
        <v/>
      </c>
      <c r="AE933" t="str">
        <f>IF(OR($B933="",NOT(ISNUMBER(H933))),"",IF(COUNTIF(I933:$T933,H933)&gt;0,0,IF(COUNTIF($G933:$T933,"&gt;"&amp;H933)=0,"",SMALL($G933:$T933,COUNTIF($G933:$T933,"&lt;="&amp;H933)+1)-H933)))</f>
        <v/>
      </c>
      <c r="AF933" t="str">
        <f>IF(OR($B933="",NOT(ISNUMBER(I933))),"",IF(COUNTIF(J933:$T933,I933)&gt;0,0,IF(COUNTIF($G933:$T933,"&gt;"&amp;I933)=0,"",SMALL($G933:$T933,COUNTIF($G933:$T933,"&lt;="&amp;I933)+1)-I933)))</f>
        <v/>
      </c>
      <c r="AG933" t="str">
        <f>IF(OR($B933="",NOT(ISNUMBER(J933))),"",IF(COUNTIF(K933:$T933,J933)&gt;0,0,IF(COUNTIF($G933:$T933,"&gt;"&amp;J933)=0,"",SMALL($G933:$T933,COUNTIF($G933:$T933,"&lt;="&amp;J933)+1)-J933)))</f>
        <v/>
      </c>
      <c r="AH933" t="str">
        <f>IF(OR($B933="",NOT(ISNUMBER(K933))),"",IF(COUNTIF(L933:$T933,K933)&gt;0,0,IF(COUNTIF($G933:$T933,"&gt;"&amp;K933)=0,"",SMALL($G933:$T933,COUNTIF($G933:$T933,"&lt;="&amp;K933)+1)-K933)))</f>
        <v/>
      </c>
      <c r="AI933" t="str">
        <f>IF(OR($B933="",NOT(ISNUMBER(L933))),"",IF(COUNTIF(M933:$T933,L933)&gt;0,0,IF(COUNTIF($G933:$T933,"&gt;"&amp;L933)=0,"",SMALL($G933:$T933,COUNTIF($G933:$T933,"&lt;="&amp;L933)+1)-L933)))</f>
        <v/>
      </c>
      <c r="AJ933" t="str">
        <f>IF(OR($B933="",NOT(ISNUMBER(M933))),"",IF(COUNTIF(N933:$T933,M933)&gt;0,0,IF(COUNTIF($G933:$T933,"&gt;"&amp;M933)=0,"",SMALL($G933:$T933,COUNTIF($G933:$T933,"&lt;="&amp;M933)+1)-M933)))</f>
        <v/>
      </c>
      <c r="AK933" t="str">
        <f>IF(OR($B933="",NOT(ISNUMBER(N933))),"",IF(COUNTIF(O933:$T933,N933)&gt;0,0,IF(COUNTIF($G933:$T933,"&gt;"&amp;N933)=0,"",SMALL($G933:$T933,COUNTIF($G933:$T933,"&lt;="&amp;N933)+1)-N933)))</f>
        <v/>
      </c>
      <c r="AL933" t="str">
        <f>IF(OR($B933="",NOT(ISNUMBER(O933))),"",IF(COUNTIF(P933:$T933,O933)&gt;0,0,IF(COUNTIF($G933:$T933,"&gt;"&amp;O933)=0,"",SMALL($G933:$T933,COUNTIF($G933:$T933,"&lt;="&amp;O933)+1)-O933)))</f>
        <v/>
      </c>
      <c r="AM933" t="str">
        <f>IF(OR($B933="",NOT(ISNUMBER(P933))),"",IF(COUNTIF(Q933:$T933,P933)&gt;0,0,IF(COUNTIF($G933:$T933,"&gt;"&amp;P933)=0,"",SMALL($G933:$T933,COUNTIF($G933:$T933,"&lt;="&amp;P933)+1)-P933)))</f>
        <v/>
      </c>
      <c r="AN933" t="str">
        <f>IF(OR($B933="",NOT(ISNUMBER(Q933))),"",IF(COUNTIF(R933:$T933,Q933)&gt;0,0,IF(COUNTIF($G933:$T933,"&gt;"&amp;Q933)=0,"",SMALL($G933:$T933,COUNTIF($G933:$T933,"&lt;="&amp;Q933)+1)-Q933)))</f>
        <v/>
      </c>
      <c r="AO933" t="str">
        <f>IF(OR($B933="",NOT(ISNUMBER(R933))),"",IF(COUNTIF(S933:$T933,R933)&gt;0,0,IF(COUNTIF($G933:$T933,"&gt;"&amp;R933)=0,"",SMALL($G933:$T933,COUNTIF($G933:$T933,"&lt;="&amp;R933)+1)-R933)))</f>
        <v/>
      </c>
      <c r="AP933">
        <f t="shared" ca="1" si="241"/>
        <v>0</v>
      </c>
      <c r="AQ933" s="25" t="str">
        <f t="shared" si="242"/>
        <v/>
      </c>
      <c r="AR933" s="25" t="str">
        <f t="shared" si="243"/>
        <v/>
      </c>
      <c r="AS933" s="25" t="str">
        <f t="shared" si="244"/>
        <v/>
      </c>
      <c r="AT933" s="25" t="str">
        <f t="shared" si="245"/>
        <v/>
      </c>
      <c r="AU933" s="25" t="str">
        <f t="shared" si="246"/>
        <v/>
      </c>
      <c r="AV933" s="25" t="str">
        <f t="shared" si="247"/>
        <v/>
      </c>
      <c r="AW933" s="25" t="str">
        <f t="shared" si="248"/>
        <v/>
      </c>
      <c r="AX933" s="25" t="str">
        <f t="shared" si="249"/>
        <v/>
      </c>
      <c r="AY933" s="25" t="str">
        <f t="shared" si="250"/>
        <v/>
      </c>
      <c r="AZ933" s="25" t="str">
        <f t="shared" si="251"/>
        <v/>
      </c>
      <c r="BA933" s="25" t="str">
        <f t="shared" si="252"/>
        <v/>
      </c>
      <c r="BB933" s="25" t="str">
        <f t="shared" si="253"/>
        <v/>
      </c>
      <c r="BC933" s="25" t="str">
        <f t="shared" si="254"/>
        <v/>
      </c>
    </row>
    <row r="934" spans="1:55" x14ac:dyDescent="0.25">
      <c r="A934" s="19" t="str">
        <f t="shared" si="239"/>
        <v/>
      </c>
      <c r="B934" s="19"/>
      <c r="C934" s="20"/>
      <c r="D934" s="19" t="str">
        <f t="shared" si="238"/>
        <v/>
      </c>
      <c r="E934" s="19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19"/>
      <c r="U934" s="19"/>
      <c r="V934" s="20"/>
      <c r="W934" s="22"/>
      <c r="X934" s="21"/>
      <c r="Y934" s="21"/>
      <c r="Z934" s="23" t="str">
        <f>IF(B934="","",IF(S934&lt;&gt;"","Sevk Edildi",IF(AND(X934&lt;&gt;"",Y934=""),"Reworkte",IF(T934&lt;&gt;"","Kapandı"&amp;IF(COUNT(G934:R934)=0,""," – "&amp;LOOKUP(2,1/(G934:R934=MAX(G934:R934)),{"Tasarım","Ply Cutter","Üretim","Kalite (Üretim sonrası)","Talaşlı","Kalite (Talaşlı sonrası)","Montaj","Kalite (Montaj sonrası)","Boya","Kalite (Boya sonrası)","Yarı Mamül","KM"})),IF(COUNT(G934:R934)=0,"Başlamadı",LOOKUP(2,1/(G934:R934=MAX(G934:R934)),{"Tasarımda","Ply Cutter'da","Üretimde","Kalitede (Üretim sonrası)","Talaşlıda","Kalitede (Talaşlı sonrası)","Montajda","Kalitede (Montaj sonrası)","Boyada","Kalitede (Boya sonrası)","Yarı Mamülde","KM'de"}))))))</f>
        <v/>
      </c>
      <c r="AA934" s="24" t="str">
        <f t="shared" ca="1" si="240"/>
        <v/>
      </c>
      <c r="AB934" s="22"/>
      <c r="AD934" t="str">
        <f>IF(OR($B934="",NOT(ISNUMBER(G934))),"",IF(COUNTIF(H934:$T934,G934)&gt;0,0,IF(COUNTIF($G934:$T934,"&gt;"&amp;G934)=0,"",SMALL($G934:$T934,COUNTIF($G934:$T934,"&lt;="&amp;G934)+1)-G934)))</f>
        <v/>
      </c>
      <c r="AE934" t="str">
        <f>IF(OR($B934="",NOT(ISNUMBER(H934))),"",IF(COUNTIF(I934:$T934,H934)&gt;0,0,IF(COUNTIF($G934:$T934,"&gt;"&amp;H934)=0,"",SMALL($G934:$T934,COUNTIF($G934:$T934,"&lt;="&amp;H934)+1)-H934)))</f>
        <v/>
      </c>
      <c r="AF934" t="str">
        <f>IF(OR($B934="",NOT(ISNUMBER(I934))),"",IF(COUNTIF(J934:$T934,I934)&gt;0,0,IF(COUNTIF($G934:$T934,"&gt;"&amp;I934)=0,"",SMALL($G934:$T934,COUNTIF($G934:$T934,"&lt;="&amp;I934)+1)-I934)))</f>
        <v/>
      </c>
      <c r="AG934" t="str">
        <f>IF(OR($B934="",NOT(ISNUMBER(J934))),"",IF(COUNTIF(K934:$T934,J934)&gt;0,0,IF(COUNTIF($G934:$T934,"&gt;"&amp;J934)=0,"",SMALL($G934:$T934,COUNTIF($G934:$T934,"&lt;="&amp;J934)+1)-J934)))</f>
        <v/>
      </c>
      <c r="AH934" t="str">
        <f>IF(OR($B934="",NOT(ISNUMBER(K934))),"",IF(COUNTIF(L934:$T934,K934)&gt;0,0,IF(COUNTIF($G934:$T934,"&gt;"&amp;K934)=0,"",SMALL($G934:$T934,COUNTIF($G934:$T934,"&lt;="&amp;K934)+1)-K934)))</f>
        <v/>
      </c>
      <c r="AI934" t="str">
        <f>IF(OR($B934="",NOT(ISNUMBER(L934))),"",IF(COUNTIF(M934:$T934,L934)&gt;0,0,IF(COUNTIF($G934:$T934,"&gt;"&amp;L934)=0,"",SMALL($G934:$T934,COUNTIF($G934:$T934,"&lt;="&amp;L934)+1)-L934)))</f>
        <v/>
      </c>
      <c r="AJ934" t="str">
        <f>IF(OR($B934="",NOT(ISNUMBER(M934))),"",IF(COUNTIF(N934:$T934,M934)&gt;0,0,IF(COUNTIF($G934:$T934,"&gt;"&amp;M934)=0,"",SMALL($G934:$T934,COUNTIF($G934:$T934,"&lt;="&amp;M934)+1)-M934)))</f>
        <v/>
      </c>
      <c r="AK934" t="str">
        <f>IF(OR($B934="",NOT(ISNUMBER(N934))),"",IF(COUNTIF(O934:$T934,N934)&gt;0,0,IF(COUNTIF($G934:$T934,"&gt;"&amp;N934)=0,"",SMALL($G934:$T934,COUNTIF($G934:$T934,"&lt;="&amp;N934)+1)-N934)))</f>
        <v/>
      </c>
      <c r="AL934" t="str">
        <f>IF(OR($B934="",NOT(ISNUMBER(O934))),"",IF(COUNTIF(P934:$T934,O934)&gt;0,0,IF(COUNTIF($G934:$T934,"&gt;"&amp;O934)=0,"",SMALL($G934:$T934,COUNTIF($G934:$T934,"&lt;="&amp;O934)+1)-O934)))</f>
        <v/>
      </c>
      <c r="AM934" t="str">
        <f>IF(OR($B934="",NOT(ISNUMBER(P934))),"",IF(COUNTIF(Q934:$T934,P934)&gt;0,0,IF(COUNTIF($G934:$T934,"&gt;"&amp;P934)=0,"",SMALL($G934:$T934,COUNTIF($G934:$T934,"&lt;="&amp;P934)+1)-P934)))</f>
        <v/>
      </c>
      <c r="AN934" t="str">
        <f>IF(OR($B934="",NOT(ISNUMBER(Q934))),"",IF(COUNTIF(R934:$T934,Q934)&gt;0,0,IF(COUNTIF($G934:$T934,"&gt;"&amp;Q934)=0,"",SMALL($G934:$T934,COUNTIF($G934:$T934,"&lt;="&amp;Q934)+1)-Q934)))</f>
        <v/>
      </c>
      <c r="AO934" t="str">
        <f>IF(OR($B934="",NOT(ISNUMBER(R934))),"",IF(COUNTIF(S934:$T934,R934)&gt;0,0,IF(COUNTIF($G934:$T934,"&gt;"&amp;R934)=0,"",SMALL($G934:$T934,COUNTIF($G934:$T934,"&lt;="&amp;R934)+1)-R934)))</f>
        <v/>
      </c>
      <c r="AP934">
        <f t="shared" ca="1" si="241"/>
        <v>0</v>
      </c>
      <c r="AQ934" s="25" t="str">
        <f t="shared" si="242"/>
        <v/>
      </c>
      <c r="AR934" s="25" t="str">
        <f t="shared" si="243"/>
        <v/>
      </c>
      <c r="AS934" s="25" t="str">
        <f t="shared" si="244"/>
        <v/>
      </c>
      <c r="AT934" s="25" t="str">
        <f t="shared" si="245"/>
        <v/>
      </c>
      <c r="AU934" s="25" t="str">
        <f t="shared" si="246"/>
        <v/>
      </c>
      <c r="AV934" s="25" t="str">
        <f t="shared" si="247"/>
        <v/>
      </c>
      <c r="AW934" s="25" t="str">
        <f t="shared" si="248"/>
        <v/>
      </c>
      <c r="AX934" s="25" t="str">
        <f t="shared" si="249"/>
        <v/>
      </c>
      <c r="AY934" s="25" t="str">
        <f t="shared" si="250"/>
        <v/>
      </c>
      <c r="AZ934" s="25" t="str">
        <f t="shared" si="251"/>
        <v/>
      </c>
      <c r="BA934" s="25" t="str">
        <f t="shared" si="252"/>
        <v/>
      </c>
      <c r="BB934" s="25" t="str">
        <f t="shared" si="253"/>
        <v/>
      </c>
      <c r="BC934" s="25" t="str">
        <f t="shared" si="254"/>
        <v/>
      </c>
    </row>
    <row r="935" spans="1:55" x14ac:dyDescent="0.25">
      <c r="A935" s="19" t="str">
        <f t="shared" si="239"/>
        <v/>
      </c>
      <c r="B935" s="19"/>
      <c r="C935" s="20"/>
      <c r="D935" s="19" t="str">
        <f t="shared" si="238"/>
        <v/>
      </c>
      <c r="E935" s="19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19"/>
      <c r="U935" s="19"/>
      <c r="V935" s="20"/>
      <c r="W935" s="22"/>
      <c r="X935" s="21"/>
      <c r="Y935" s="21"/>
      <c r="Z935" s="23" t="str">
        <f>IF(B935="","",IF(S935&lt;&gt;"","Sevk Edildi",IF(AND(X935&lt;&gt;"",Y935=""),"Reworkte",IF(T935&lt;&gt;"","Kapandı"&amp;IF(COUNT(G935:R935)=0,""," – "&amp;LOOKUP(2,1/(G935:R935=MAX(G935:R935)),{"Tasarım","Ply Cutter","Üretim","Kalite (Üretim sonrası)","Talaşlı","Kalite (Talaşlı sonrası)","Montaj","Kalite (Montaj sonrası)","Boya","Kalite (Boya sonrası)","Yarı Mamül","KM"})),IF(COUNT(G935:R935)=0,"Başlamadı",LOOKUP(2,1/(G935:R935=MAX(G935:R935)),{"Tasarımda","Ply Cutter'da","Üretimde","Kalitede (Üretim sonrası)","Talaşlıda","Kalitede (Talaşlı sonrası)","Montajda","Kalitede (Montaj sonrası)","Boyada","Kalitede (Boya sonrası)","Yarı Mamülde","KM'de"}))))))</f>
        <v/>
      </c>
      <c r="AA935" s="24" t="str">
        <f t="shared" ca="1" si="240"/>
        <v/>
      </c>
      <c r="AB935" s="22"/>
      <c r="AD935" t="str">
        <f>IF(OR($B935="",NOT(ISNUMBER(G935))),"",IF(COUNTIF(H935:$T935,G935)&gt;0,0,IF(COUNTIF($G935:$T935,"&gt;"&amp;G935)=0,"",SMALL($G935:$T935,COUNTIF($G935:$T935,"&lt;="&amp;G935)+1)-G935)))</f>
        <v/>
      </c>
      <c r="AE935" t="str">
        <f>IF(OR($B935="",NOT(ISNUMBER(H935))),"",IF(COUNTIF(I935:$T935,H935)&gt;0,0,IF(COUNTIF($G935:$T935,"&gt;"&amp;H935)=0,"",SMALL($G935:$T935,COUNTIF($G935:$T935,"&lt;="&amp;H935)+1)-H935)))</f>
        <v/>
      </c>
      <c r="AF935" t="str">
        <f>IF(OR($B935="",NOT(ISNUMBER(I935))),"",IF(COUNTIF(J935:$T935,I935)&gt;0,0,IF(COUNTIF($G935:$T935,"&gt;"&amp;I935)=0,"",SMALL($G935:$T935,COUNTIF($G935:$T935,"&lt;="&amp;I935)+1)-I935)))</f>
        <v/>
      </c>
      <c r="AG935" t="str">
        <f>IF(OR($B935="",NOT(ISNUMBER(J935))),"",IF(COUNTIF(K935:$T935,J935)&gt;0,0,IF(COUNTIF($G935:$T935,"&gt;"&amp;J935)=0,"",SMALL($G935:$T935,COUNTIF($G935:$T935,"&lt;="&amp;J935)+1)-J935)))</f>
        <v/>
      </c>
      <c r="AH935" t="str">
        <f>IF(OR($B935="",NOT(ISNUMBER(K935))),"",IF(COUNTIF(L935:$T935,K935)&gt;0,0,IF(COUNTIF($G935:$T935,"&gt;"&amp;K935)=0,"",SMALL($G935:$T935,COUNTIF($G935:$T935,"&lt;="&amp;K935)+1)-K935)))</f>
        <v/>
      </c>
      <c r="AI935" t="str">
        <f>IF(OR($B935="",NOT(ISNUMBER(L935))),"",IF(COUNTIF(M935:$T935,L935)&gt;0,0,IF(COUNTIF($G935:$T935,"&gt;"&amp;L935)=0,"",SMALL($G935:$T935,COUNTIF($G935:$T935,"&lt;="&amp;L935)+1)-L935)))</f>
        <v/>
      </c>
      <c r="AJ935" t="str">
        <f>IF(OR($B935="",NOT(ISNUMBER(M935))),"",IF(COUNTIF(N935:$T935,M935)&gt;0,0,IF(COUNTIF($G935:$T935,"&gt;"&amp;M935)=0,"",SMALL($G935:$T935,COUNTIF($G935:$T935,"&lt;="&amp;M935)+1)-M935)))</f>
        <v/>
      </c>
      <c r="AK935" t="str">
        <f>IF(OR($B935="",NOT(ISNUMBER(N935))),"",IF(COUNTIF(O935:$T935,N935)&gt;0,0,IF(COUNTIF($G935:$T935,"&gt;"&amp;N935)=0,"",SMALL($G935:$T935,COUNTIF($G935:$T935,"&lt;="&amp;N935)+1)-N935)))</f>
        <v/>
      </c>
      <c r="AL935" t="str">
        <f>IF(OR($B935="",NOT(ISNUMBER(O935))),"",IF(COUNTIF(P935:$T935,O935)&gt;0,0,IF(COUNTIF($G935:$T935,"&gt;"&amp;O935)=0,"",SMALL($G935:$T935,COUNTIF($G935:$T935,"&lt;="&amp;O935)+1)-O935)))</f>
        <v/>
      </c>
      <c r="AM935" t="str">
        <f>IF(OR($B935="",NOT(ISNUMBER(P935))),"",IF(COUNTIF(Q935:$T935,P935)&gt;0,0,IF(COUNTIF($G935:$T935,"&gt;"&amp;P935)=0,"",SMALL($G935:$T935,COUNTIF($G935:$T935,"&lt;="&amp;P935)+1)-P935)))</f>
        <v/>
      </c>
      <c r="AN935" t="str">
        <f>IF(OR($B935="",NOT(ISNUMBER(Q935))),"",IF(COUNTIF(R935:$T935,Q935)&gt;0,0,IF(COUNTIF($G935:$T935,"&gt;"&amp;Q935)=0,"",SMALL($G935:$T935,COUNTIF($G935:$T935,"&lt;="&amp;Q935)+1)-Q935)))</f>
        <v/>
      </c>
      <c r="AO935" t="str">
        <f>IF(OR($B935="",NOT(ISNUMBER(R935))),"",IF(COUNTIF(S935:$T935,R935)&gt;0,0,IF(COUNTIF($G935:$T935,"&gt;"&amp;R935)=0,"",SMALL($G935:$T935,COUNTIF($G935:$T935,"&lt;="&amp;R935)+1)-R935)))</f>
        <v/>
      </c>
      <c r="AP935">
        <f t="shared" ca="1" si="241"/>
        <v>0</v>
      </c>
      <c r="AQ935" s="25" t="str">
        <f t="shared" si="242"/>
        <v/>
      </c>
      <c r="AR935" s="25" t="str">
        <f t="shared" si="243"/>
        <v/>
      </c>
      <c r="AS935" s="25" t="str">
        <f t="shared" si="244"/>
        <v/>
      </c>
      <c r="AT935" s="25" t="str">
        <f t="shared" si="245"/>
        <v/>
      </c>
      <c r="AU935" s="25" t="str">
        <f t="shared" si="246"/>
        <v/>
      </c>
      <c r="AV935" s="25" t="str">
        <f t="shared" si="247"/>
        <v/>
      </c>
      <c r="AW935" s="25" t="str">
        <f t="shared" si="248"/>
        <v/>
      </c>
      <c r="AX935" s="25" t="str">
        <f t="shared" si="249"/>
        <v/>
      </c>
      <c r="AY935" s="25" t="str">
        <f t="shared" si="250"/>
        <v/>
      </c>
      <c r="AZ935" s="25" t="str">
        <f t="shared" si="251"/>
        <v/>
      </c>
      <c r="BA935" s="25" t="str">
        <f t="shared" si="252"/>
        <v/>
      </c>
      <c r="BB935" s="25" t="str">
        <f t="shared" si="253"/>
        <v/>
      </c>
      <c r="BC935" s="25" t="str">
        <f t="shared" si="254"/>
        <v/>
      </c>
    </row>
    <row r="936" spans="1:55" x14ac:dyDescent="0.25">
      <c r="A936" s="19" t="str">
        <f t="shared" si="239"/>
        <v/>
      </c>
      <c r="B936" s="19"/>
      <c r="C936" s="20"/>
      <c r="D936" s="19" t="str">
        <f t="shared" si="238"/>
        <v/>
      </c>
      <c r="E936" s="19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19"/>
      <c r="U936" s="19"/>
      <c r="V936" s="20"/>
      <c r="W936" s="22"/>
      <c r="X936" s="21"/>
      <c r="Y936" s="21"/>
      <c r="Z936" s="23" t="str">
        <f>IF(B936="","",IF(S936&lt;&gt;"","Sevk Edildi",IF(AND(X936&lt;&gt;"",Y936=""),"Reworkte",IF(T936&lt;&gt;"","Kapandı"&amp;IF(COUNT(G936:R936)=0,""," – "&amp;LOOKUP(2,1/(G936:R936=MAX(G936:R936)),{"Tasarım","Ply Cutter","Üretim","Kalite (Üretim sonrası)","Talaşlı","Kalite (Talaşlı sonrası)","Montaj","Kalite (Montaj sonrası)","Boya","Kalite (Boya sonrası)","Yarı Mamül","KM"})),IF(COUNT(G936:R936)=0,"Başlamadı",LOOKUP(2,1/(G936:R936=MAX(G936:R936)),{"Tasarımda","Ply Cutter'da","Üretimde","Kalitede (Üretim sonrası)","Talaşlıda","Kalitede (Talaşlı sonrası)","Montajda","Kalitede (Montaj sonrası)","Boyada","Kalitede (Boya sonrası)","Yarı Mamülde","KM'de"}))))))</f>
        <v/>
      </c>
      <c r="AA936" s="24" t="str">
        <f t="shared" ca="1" si="240"/>
        <v/>
      </c>
      <c r="AB936" s="22"/>
      <c r="AD936" t="str">
        <f>IF(OR($B936="",NOT(ISNUMBER(G936))),"",IF(COUNTIF(H936:$T936,G936)&gt;0,0,IF(COUNTIF($G936:$T936,"&gt;"&amp;G936)=0,"",SMALL($G936:$T936,COUNTIF($G936:$T936,"&lt;="&amp;G936)+1)-G936)))</f>
        <v/>
      </c>
      <c r="AE936" t="str">
        <f>IF(OR($B936="",NOT(ISNUMBER(H936))),"",IF(COUNTIF(I936:$T936,H936)&gt;0,0,IF(COUNTIF($G936:$T936,"&gt;"&amp;H936)=0,"",SMALL($G936:$T936,COUNTIF($G936:$T936,"&lt;="&amp;H936)+1)-H936)))</f>
        <v/>
      </c>
      <c r="AF936" t="str">
        <f>IF(OR($B936="",NOT(ISNUMBER(I936))),"",IF(COUNTIF(J936:$T936,I936)&gt;0,0,IF(COUNTIF($G936:$T936,"&gt;"&amp;I936)=0,"",SMALL($G936:$T936,COUNTIF($G936:$T936,"&lt;="&amp;I936)+1)-I936)))</f>
        <v/>
      </c>
      <c r="AG936" t="str">
        <f>IF(OR($B936="",NOT(ISNUMBER(J936))),"",IF(COUNTIF(K936:$T936,J936)&gt;0,0,IF(COUNTIF($G936:$T936,"&gt;"&amp;J936)=0,"",SMALL($G936:$T936,COUNTIF($G936:$T936,"&lt;="&amp;J936)+1)-J936)))</f>
        <v/>
      </c>
      <c r="AH936" t="str">
        <f>IF(OR($B936="",NOT(ISNUMBER(K936))),"",IF(COUNTIF(L936:$T936,K936)&gt;0,0,IF(COUNTIF($G936:$T936,"&gt;"&amp;K936)=0,"",SMALL($G936:$T936,COUNTIF($G936:$T936,"&lt;="&amp;K936)+1)-K936)))</f>
        <v/>
      </c>
      <c r="AI936" t="str">
        <f>IF(OR($B936="",NOT(ISNUMBER(L936))),"",IF(COUNTIF(M936:$T936,L936)&gt;0,0,IF(COUNTIF($G936:$T936,"&gt;"&amp;L936)=0,"",SMALL($G936:$T936,COUNTIF($G936:$T936,"&lt;="&amp;L936)+1)-L936)))</f>
        <v/>
      </c>
      <c r="AJ936" t="str">
        <f>IF(OR($B936="",NOT(ISNUMBER(M936))),"",IF(COUNTIF(N936:$T936,M936)&gt;0,0,IF(COUNTIF($G936:$T936,"&gt;"&amp;M936)=0,"",SMALL($G936:$T936,COUNTIF($G936:$T936,"&lt;="&amp;M936)+1)-M936)))</f>
        <v/>
      </c>
      <c r="AK936" t="str">
        <f>IF(OR($B936="",NOT(ISNUMBER(N936))),"",IF(COUNTIF(O936:$T936,N936)&gt;0,0,IF(COUNTIF($G936:$T936,"&gt;"&amp;N936)=0,"",SMALL($G936:$T936,COUNTIF($G936:$T936,"&lt;="&amp;N936)+1)-N936)))</f>
        <v/>
      </c>
      <c r="AL936" t="str">
        <f>IF(OR($B936="",NOT(ISNUMBER(O936))),"",IF(COUNTIF(P936:$T936,O936)&gt;0,0,IF(COUNTIF($G936:$T936,"&gt;"&amp;O936)=0,"",SMALL($G936:$T936,COUNTIF($G936:$T936,"&lt;="&amp;O936)+1)-O936)))</f>
        <v/>
      </c>
      <c r="AM936" t="str">
        <f>IF(OR($B936="",NOT(ISNUMBER(P936))),"",IF(COUNTIF(Q936:$T936,P936)&gt;0,0,IF(COUNTIF($G936:$T936,"&gt;"&amp;P936)=0,"",SMALL($G936:$T936,COUNTIF($G936:$T936,"&lt;="&amp;P936)+1)-P936)))</f>
        <v/>
      </c>
      <c r="AN936" t="str">
        <f>IF(OR($B936="",NOT(ISNUMBER(Q936))),"",IF(COUNTIF(R936:$T936,Q936)&gt;0,0,IF(COUNTIF($G936:$T936,"&gt;"&amp;Q936)=0,"",SMALL($G936:$T936,COUNTIF($G936:$T936,"&lt;="&amp;Q936)+1)-Q936)))</f>
        <v/>
      </c>
      <c r="AO936" t="str">
        <f>IF(OR($B936="",NOT(ISNUMBER(R936))),"",IF(COUNTIF(S936:$T936,R936)&gt;0,0,IF(COUNTIF($G936:$T936,"&gt;"&amp;R936)=0,"",SMALL($G936:$T936,COUNTIF($G936:$T936,"&lt;="&amp;R936)+1)-R936)))</f>
        <v/>
      </c>
      <c r="AP936">
        <f t="shared" ca="1" si="241"/>
        <v>0</v>
      </c>
      <c r="AQ936" s="25" t="str">
        <f t="shared" si="242"/>
        <v/>
      </c>
      <c r="AR936" s="25" t="str">
        <f t="shared" si="243"/>
        <v/>
      </c>
      <c r="AS936" s="25" t="str">
        <f t="shared" si="244"/>
        <v/>
      </c>
      <c r="AT936" s="25" t="str">
        <f t="shared" si="245"/>
        <v/>
      </c>
      <c r="AU936" s="25" t="str">
        <f t="shared" si="246"/>
        <v/>
      </c>
      <c r="AV936" s="25" t="str">
        <f t="shared" si="247"/>
        <v/>
      </c>
      <c r="AW936" s="25" t="str">
        <f t="shared" si="248"/>
        <v/>
      </c>
      <c r="AX936" s="25" t="str">
        <f t="shared" si="249"/>
        <v/>
      </c>
      <c r="AY936" s="25" t="str">
        <f t="shared" si="250"/>
        <v/>
      </c>
      <c r="AZ936" s="25" t="str">
        <f t="shared" si="251"/>
        <v/>
      </c>
      <c r="BA936" s="25" t="str">
        <f t="shared" si="252"/>
        <v/>
      </c>
      <c r="BB936" s="25" t="str">
        <f t="shared" si="253"/>
        <v/>
      </c>
      <c r="BC936" s="25" t="str">
        <f t="shared" si="254"/>
        <v/>
      </c>
    </row>
    <row r="937" spans="1:55" x14ac:dyDescent="0.25">
      <c r="A937" s="19" t="str">
        <f t="shared" si="239"/>
        <v/>
      </c>
      <c r="B937" s="19"/>
      <c r="C937" s="20"/>
      <c r="D937" s="19" t="str">
        <f t="shared" si="238"/>
        <v/>
      </c>
      <c r="E937" s="19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19"/>
      <c r="U937" s="19"/>
      <c r="V937" s="20"/>
      <c r="W937" s="22"/>
      <c r="X937" s="21"/>
      <c r="Y937" s="21"/>
      <c r="Z937" s="23" t="str">
        <f>IF(B937="","",IF(S937&lt;&gt;"","Sevk Edildi",IF(AND(X937&lt;&gt;"",Y937=""),"Reworkte",IF(T937&lt;&gt;"","Kapandı"&amp;IF(COUNT(G937:R937)=0,""," – "&amp;LOOKUP(2,1/(G937:R937=MAX(G937:R937)),{"Tasarım","Ply Cutter","Üretim","Kalite (Üretim sonrası)","Talaşlı","Kalite (Talaşlı sonrası)","Montaj","Kalite (Montaj sonrası)","Boya","Kalite (Boya sonrası)","Yarı Mamül","KM"})),IF(COUNT(G937:R937)=0,"Başlamadı",LOOKUP(2,1/(G937:R937=MAX(G937:R937)),{"Tasarımda","Ply Cutter'da","Üretimde","Kalitede (Üretim sonrası)","Talaşlıda","Kalitede (Talaşlı sonrası)","Montajda","Kalitede (Montaj sonrası)","Boyada","Kalitede (Boya sonrası)","Yarı Mamülde","KM'de"}))))))</f>
        <v/>
      </c>
      <c r="AA937" s="24" t="str">
        <f t="shared" ca="1" si="240"/>
        <v/>
      </c>
      <c r="AB937" s="22"/>
      <c r="AD937" t="str">
        <f>IF(OR($B937="",NOT(ISNUMBER(G937))),"",IF(COUNTIF(H937:$T937,G937)&gt;0,0,IF(COUNTIF($G937:$T937,"&gt;"&amp;G937)=0,"",SMALL($G937:$T937,COUNTIF($G937:$T937,"&lt;="&amp;G937)+1)-G937)))</f>
        <v/>
      </c>
      <c r="AE937" t="str">
        <f>IF(OR($B937="",NOT(ISNUMBER(H937))),"",IF(COUNTIF(I937:$T937,H937)&gt;0,0,IF(COUNTIF($G937:$T937,"&gt;"&amp;H937)=0,"",SMALL($G937:$T937,COUNTIF($G937:$T937,"&lt;="&amp;H937)+1)-H937)))</f>
        <v/>
      </c>
      <c r="AF937" t="str">
        <f>IF(OR($B937="",NOT(ISNUMBER(I937))),"",IF(COUNTIF(J937:$T937,I937)&gt;0,0,IF(COUNTIF($G937:$T937,"&gt;"&amp;I937)=0,"",SMALL($G937:$T937,COUNTIF($G937:$T937,"&lt;="&amp;I937)+1)-I937)))</f>
        <v/>
      </c>
      <c r="AG937" t="str">
        <f>IF(OR($B937="",NOT(ISNUMBER(J937))),"",IF(COUNTIF(K937:$T937,J937)&gt;0,0,IF(COUNTIF($G937:$T937,"&gt;"&amp;J937)=0,"",SMALL($G937:$T937,COUNTIF($G937:$T937,"&lt;="&amp;J937)+1)-J937)))</f>
        <v/>
      </c>
      <c r="AH937" t="str">
        <f>IF(OR($B937="",NOT(ISNUMBER(K937))),"",IF(COUNTIF(L937:$T937,K937)&gt;0,0,IF(COUNTIF($G937:$T937,"&gt;"&amp;K937)=0,"",SMALL($G937:$T937,COUNTIF($G937:$T937,"&lt;="&amp;K937)+1)-K937)))</f>
        <v/>
      </c>
      <c r="AI937" t="str">
        <f>IF(OR($B937="",NOT(ISNUMBER(L937))),"",IF(COUNTIF(M937:$T937,L937)&gt;0,0,IF(COUNTIF($G937:$T937,"&gt;"&amp;L937)=0,"",SMALL($G937:$T937,COUNTIF($G937:$T937,"&lt;="&amp;L937)+1)-L937)))</f>
        <v/>
      </c>
      <c r="AJ937" t="str">
        <f>IF(OR($B937="",NOT(ISNUMBER(M937))),"",IF(COUNTIF(N937:$T937,M937)&gt;0,0,IF(COUNTIF($G937:$T937,"&gt;"&amp;M937)=0,"",SMALL($G937:$T937,COUNTIF($G937:$T937,"&lt;="&amp;M937)+1)-M937)))</f>
        <v/>
      </c>
      <c r="AK937" t="str">
        <f>IF(OR($B937="",NOT(ISNUMBER(N937))),"",IF(COUNTIF(O937:$T937,N937)&gt;0,0,IF(COUNTIF($G937:$T937,"&gt;"&amp;N937)=0,"",SMALL($G937:$T937,COUNTIF($G937:$T937,"&lt;="&amp;N937)+1)-N937)))</f>
        <v/>
      </c>
      <c r="AL937" t="str">
        <f>IF(OR($B937="",NOT(ISNUMBER(O937))),"",IF(COUNTIF(P937:$T937,O937)&gt;0,0,IF(COUNTIF($G937:$T937,"&gt;"&amp;O937)=0,"",SMALL($G937:$T937,COUNTIF($G937:$T937,"&lt;="&amp;O937)+1)-O937)))</f>
        <v/>
      </c>
      <c r="AM937" t="str">
        <f>IF(OR($B937="",NOT(ISNUMBER(P937))),"",IF(COUNTIF(Q937:$T937,P937)&gt;0,0,IF(COUNTIF($G937:$T937,"&gt;"&amp;P937)=0,"",SMALL($G937:$T937,COUNTIF($G937:$T937,"&lt;="&amp;P937)+1)-P937)))</f>
        <v/>
      </c>
      <c r="AN937" t="str">
        <f>IF(OR($B937="",NOT(ISNUMBER(Q937))),"",IF(COUNTIF(R937:$T937,Q937)&gt;0,0,IF(COUNTIF($G937:$T937,"&gt;"&amp;Q937)=0,"",SMALL($G937:$T937,COUNTIF($G937:$T937,"&lt;="&amp;Q937)+1)-Q937)))</f>
        <v/>
      </c>
      <c r="AO937" t="str">
        <f>IF(OR($B937="",NOT(ISNUMBER(R937))),"",IF(COUNTIF(S937:$T937,R937)&gt;0,0,IF(COUNTIF($G937:$T937,"&gt;"&amp;R937)=0,"",SMALL($G937:$T937,COUNTIF($G937:$T937,"&lt;="&amp;R937)+1)-R937)))</f>
        <v/>
      </c>
      <c r="AP937">
        <f t="shared" ca="1" si="241"/>
        <v>0</v>
      </c>
      <c r="AQ937" s="25" t="str">
        <f t="shared" si="242"/>
        <v/>
      </c>
      <c r="AR937" s="25" t="str">
        <f t="shared" si="243"/>
        <v/>
      </c>
      <c r="AS937" s="25" t="str">
        <f t="shared" si="244"/>
        <v/>
      </c>
      <c r="AT937" s="25" t="str">
        <f t="shared" si="245"/>
        <v/>
      </c>
      <c r="AU937" s="25" t="str">
        <f t="shared" si="246"/>
        <v/>
      </c>
      <c r="AV937" s="25" t="str">
        <f t="shared" si="247"/>
        <v/>
      </c>
      <c r="AW937" s="25" t="str">
        <f t="shared" si="248"/>
        <v/>
      </c>
      <c r="AX937" s="25" t="str">
        <f t="shared" si="249"/>
        <v/>
      </c>
      <c r="AY937" s="25" t="str">
        <f t="shared" si="250"/>
        <v/>
      </c>
      <c r="AZ937" s="25" t="str">
        <f t="shared" si="251"/>
        <v/>
      </c>
      <c r="BA937" s="25" t="str">
        <f t="shared" si="252"/>
        <v/>
      </c>
      <c r="BB937" s="25" t="str">
        <f t="shared" si="253"/>
        <v/>
      </c>
      <c r="BC937" s="25" t="str">
        <f t="shared" si="254"/>
        <v/>
      </c>
    </row>
    <row r="938" spans="1:55" x14ac:dyDescent="0.25">
      <c r="A938" s="19" t="str">
        <f t="shared" si="239"/>
        <v/>
      </c>
      <c r="B938" s="19"/>
      <c r="C938" s="20"/>
      <c r="D938" s="19" t="str">
        <f t="shared" si="238"/>
        <v/>
      </c>
      <c r="E938" s="19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19"/>
      <c r="U938" s="19"/>
      <c r="V938" s="20"/>
      <c r="W938" s="22"/>
      <c r="X938" s="21"/>
      <c r="Y938" s="21"/>
      <c r="Z938" s="23" t="str">
        <f>IF(B938="","",IF(S938&lt;&gt;"","Sevk Edildi",IF(AND(X938&lt;&gt;"",Y938=""),"Reworkte",IF(T938&lt;&gt;"","Kapandı"&amp;IF(COUNT(G938:R938)=0,""," – "&amp;LOOKUP(2,1/(G938:R938=MAX(G938:R938)),{"Tasarım","Ply Cutter","Üretim","Kalite (Üretim sonrası)","Talaşlı","Kalite (Talaşlı sonrası)","Montaj","Kalite (Montaj sonrası)","Boya","Kalite (Boya sonrası)","Yarı Mamül","KM"})),IF(COUNT(G938:R938)=0,"Başlamadı",LOOKUP(2,1/(G938:R938=MAX(G938:R938)),{"Tasarımda","Ply Cutter'da","Üretimde","Kalitede (Üretim sonrası)","Talaşlıda","Kalitede (Talaşlı sonrası)","Montajda","Kalitede (Montaj sonrası)","Boyada","Kalitede (Boya sonrası)","Yarı Mamülde","KM'de"}))))))</f>
        <v/>
      </c>
      <c r="AA938" s="24" t="str">
        <f t="shared" ca="1" si="240"/>
        <v/>
      </c>
      <c r="AB938" s="22"/>
      <c r="AD938" t="str">
        <f>IF(OR($B938="",NOT(ISNUMBER(G938))),"",IF(COUNTIF(H938:$T938,G938)&gt;0,0,IF(COUNTIF($G938:$T938,"&gt;"&amp;G938)=0,"",SMALL($G938:$T938,COUNTIF($G938:$T938,"&lt;="&amp;G938)+1)-G938)))</f>
        <v/>
      </c>
      <c r="AE938" t="str">
        <f>IF(OR($B938="",NOT(ISNUMBER(H938))),"",IF(COUNTIF(I938:$T938,H938)&gt;0,0,IF(COUNTIF($G938:$T938,"&gt;"&amp;H938)=0,"",SMALL($G938:$T938,COUNTIF($G938:$T938,"&lt;="&amp;H938)+1)-H938)))</f>
        <v/>
      </c>
      <c r="AF938" t="str">
        <f>IF(OR($B938="",NOT(ISNUMBER(I938))),"",IF(COUNTIF(J938:$T938,I938)&gt;0,0,IF(COUNTIF($G938:$T938,"&gt;"&amp;I938)=0,"",SMALL($G938:$T938,COUNTIF($G938:$T938,"&lt;="&amp;I938)+1)-I938)))</f>
        <v/>
      </c>
      <c r="AG938" t="str">
        <f>IF(OR($B938="",NOT(ISNUMBER(J938))),"",IF(COUNTIF(K938:$T938,J938)&gt;0,0,IF(COUNTIF($G938:$T938,"&gt;"&amp;J938)=0,"",SMALL($G938:$T938,COUNTIF($G938:$T938,"&lt;="&amp;J938)+1)-J938)))</f>
        <v/>
      </c>
      <c r="AH938" t="str">
        <f>IF(OR($B938="",NOT(ISNUMBER(K938))),"",IF(COUNTIF(L938:$T938,K938)&gt;0,0,IF(COUNTIF($G938:$T938,"&gt;"&amp;K938)=0,"",SMALL($G938:$T938,COUNTIF($G938:$T938,"&lt;="&amp;K938)+1)-K938)))</f>
        <v/>
      </c>
      <c r="AI938" t="str">
        <f>IF(OR($B938="",NOT(ISNUMBER(L938))),"",IF(COUNTIF(M938:$T938,L938)&gt;0,0,IF(COUNTIF($G938:$T938,"&gt;"&amp;L938)=0,"",SMALL($G938:$T938,COUNTIF($G938:$T938,"&lt;="&amp;L938)+1)-L938)))</f>
        <v/>
      </c>
      <c r="AJ938" t="str">
        <f>IF(OR($B938="",NOT(ISNUMBER(M938))),"",IF(COUNTIF(N938:$T938,M938)&gt;0,0,IF(COUNTIF($G938:$T938,"&gt;"&amp;M938)=0,"",SMALL($G938:$T938,COUNTIF($G938:$T938,"&lt;="&amp;M938)+1)-M938)))</f>
        <v/>
      </c>
      <c r="AK938" t="str">
        <f>IF(OR($B938="",NOT(ISNUMBER(N938))),"",IF(COUNTIF(O938:$T938,N938)&gt;0,0,IF(COUNTIF($G938:$T938,"&gt;"&amp;N938)=0,"",SMALL($G938:$T938,COUNTIF($G938:$T938,"&lt;="&amp;N938)+1)-N938)))</f>
        <v/>
      </c>
      <c r="AL938" t="str">
        <f>IF(OR($B938="",NOT(ISNUMBER(O938))),"",IF(COUNTIF(P938:$T938,O938)&gt;0,0,IF(COUNTIF($G938:$T938,"&gt;"&amp;O938)=0,"",SMALL($G938:$T938,COUNTIF($G938:$T938,"&lt;="&amp;O938)+1)-O938)))</f>
        <v/>
      </c>
      <c r="AM938" t="str">
        <f>IF(OR($B938="",NOT(ISNUMBER(P938))),"",IF(COUNTIF(Q938:$T938,P938)&gt;0,0,IF(COUNTIF($G938:$T938,"&gt;"&amp;P938)=0,"",SMALL($G938:$T938,COUNTIF($G938:$T938,"&lt;="&amp;P938)+1)-P938)))</f>
        <v/>
      </c>
      <c r="AN938" t="str">
        <f>IF(OR($B938="",NOT(ISNUMBER(Q938))),"",IF(COUNTIF(R938:$T938,Q938)&gt;0,0,IF(COUNTIF($G938:$T938,"&gt;"&amp;Q938)=0,"",SMALL($G938:$T938,COUNTIF($G938:$T938,"&lt;="&amp;Q938)+1)-Q938)))</f>
        <v/>
      </c>
      <c r="AO938" t="str">
        <f>IF(OR($B938="",NOT(ISNUMBER(R938))),"",IF(COUNTIF(S938:$T938,R938)&gt;0,0,IF(COUNTIF($G938:$T938,"&gt;"&amp;R938)=0,"",SMALL($G938:$T938,COUNTIF($G938:$T938,"&lt;="&amp;R938)+1)-R938)))</f>
        <v/>
      </c>
      <c r="AP938">
        <f t="shared" ca="1" si="241"/>
        <v>0</v>
      </c>
      <c r="AQ938" s="25" t="str">
        <f t="shared" si="242"/>
        <v/>
      </c>
      <c r="AR938" s="25" t="str">
        <f t="shared" si="243"/>
        <v/>
      </c>
      <c r="AS938" s="25" t="str">
        <f t="shared" si="244"/>
        <v/>
      </c>
      <c r="AT938" s="25" t="str">
        <f t="shared" si="245"/>
        <v/>
      </c>
      <c r="AU938" s="25" t="str">
        <f t="shared" si="246"/>
        <v/>
      </c>
      <c r="AV938" s="25" t="str">
        <f t="shared" si="247"/>
        <v/>
      </c>
      <c r="AW938" s="25" t="str">
        <f t="shared" si="248"/>
        <v/>
      </c>
      <c r="AX938" s="25" t="str">
        <f t="shared" si="249"/>
        <v/>
      </c>
      <c r="AY938" s="25" t="str">
        <f t="shared" si="250"/>
        <v/>
      </c>
      <c r="AZ938" s="25" t="str">
        <f t="shared" si="251"/>
        <v/>
      </c>
      <c r="BA938" s="25" t="str">
        <f t="shared" si="252"/>
        <v/>
      </c>
      <c r="BB938" s="25" t="str">
        <f t="shared" si="253"/>
        <v/>
      </c>
      <c r="BC938" s="25" t="str">
        <f t="shared" si="254"/>
        <v/>
      </c>
    </row>
    <row r="939" spans="1:55" x14ac:dyDescent="0.25">
      <c r="A939" s="19" t="str">
        <f t="shared" si="239"/>
        <v/>
      </c>
      <c r="B939" s="19"/>
      <c r="C939" s="20"/>
      <c r="D939" s="19" t="str">
        <f t="shared" si="238"/>
        <v/>
      </c>
      <c r="E939" s="19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19"/>
      <c r="U939" s="19"/>
      <c r="V939" s="20"/>
      <c r="W939" s="22"/>
      <c r="X939" s="21"/>
      <c r="Y939" s="21"/>
      <c r="Z939" s="23" t="str">
        <f>IF(B939="","",IF(S939&lt;&gt;"","Sevk Edildi",IF(AND(X939&lt;&gt;"",Y939=""),"Reworkte",IF(T939&lt;&gt;"","Kapandı"&amp;IF(COUNT(G939:R939)=0,""," – "&amp;LOOKUP(2,1/(G939:R939=MAX(G939:R939)),{"Tasarım","Ply Cutter","Üretim","Kalite (Üretim sonrası)","Talaşlı","Kalite (Talaşlı sonrası)","Montaj","Kalite (Montaj sonrası)","Boya","Kalite (Boya sonrası)","Yarı Mamül","KM"})),IF(COUNT(G939:R939)=0,"Başlamadı",LOOKUP(2,1/(G939:R939=MAX(G939:R939)),{"Tasarımda","Ply Cutter'da","Üretimde","Kalitede (Üretim sonrası)","Talaşlıda","Kalitede (Talaşlı sonrası)","Montajda","Kalitede (Montaj sonrası)","Boyada","Kalitede (Boya sonrası)","Yarı Mamülde","KM'de"}))))))</f>
        <v/>
      </c>
      <c r="AA939" s="24" t="str">
        <f t="shared" ca="1" si="240"/>
        <v/>
      </c>
      <c r="AB939" s="22"/>
      <c r="AD939" t="str">
        <f>IF(OR($B939="",NOT(ISNUMBER(G939))),"",IF(COUNTIF(H939:$T939,G939)&gt;0,0,IF(COUNTIF($G939:$T939,"&gt;"&amp;G939)=0,"",SMALL($G939:$T939,COUNTIF($G939:$T939,"&lt;="&amp;G939)+1)-G939)))</f>
        <v/>
      </c>
      <c r="AE939" t="str">
        <f>IF(OR($B939="",NOT(ISNUMBER(H939))),"",IF(COUNTIF(I939:$T939,H939)&gt;0,0,IF(COUNTIF($G939:$T939,"&gt;"&amp;H939)=0,"",SMALL($G939:$T939,COUNTIF($G939:$T939,"&lt;="&amp;H939)+1)-H939)))</f>
        <v/>
      </c>
      <c r="AF939" t="str">
        <f>IF(OR($B939="",NOT(ISNUMBER(I939))),"",IF(COUNTIF(J939:$T939,I939)&gt;0,0,IF(COUNTIF($G939:$T939,"&gt;"&amp;I939)=0,"",SMALL($G939:$T939,COUNTIF($G939:$T939,"&lt;="&amp;I939)+1)-I939)))</f>
        <v/>
      </c>
      <c r="AG939" t="str">
        <f>IF(OR($B939="",NOT(ISNUMBER(J939))),"",IF(COUNTIF(K939:$T939,J939)&gt;0,0,IF(COUNTIF($G939:$T939,"&gt;"&amp;J939)=0,"",SMALL($G939:$T939,COUNTIF($G939:$T939,"&lt;="&amp;J939)+1)-J939)))</f>
        <v/>
      </c>
      <c r="AH939" t="str">
        <f>IF(OR($B939="",NOT(ISNUMBER(K939))),"",IF(COUNTIF(L939:$T939,K939)&gt;0,0,IF(COUNTIF($G939:$T939,"&gt;"&amp;K939)=0,"",SMALL($G939:$T939,COUNTIF($G939:$T939,"&lt;="&amp;K939)+1)-K939)))</f>
        <v/>
      </c>
      <c r="AI939" t="str">
        <f>IF(OR($B939="",NOT(ISNUMBER(L939))),"",IF(COUNTIF(M939:$T939,L939)&gt;0,0,IF(COUNTIF($G939:$T939,"&gt;"&amp;L939)=0,"",SMALL($G939:$T939,COUNTIF($G939:$T939,"&lt;="&amp;L939)+1)-L939)))</f>
        <v/>
      </c>
      <c r="AJ939" t="str">
        <f>IF(OR($B939="",NOT(ISNUMBER(M939))),"",IF(COUNTIF(N939:$T939,M939)&gt;0,0,IF(COUNTIF($G939:$T939,"&gt;"&amp;M939)=0,"",SMALL($G939:$T939,COUNTIF($G939:$T939,"&lt;="&amp;M939)+1)-M939)))</f>
        <v/>
      </c>
      <c r="AK939" t="str">
        <f>IF(OR($B939="",NOT(ISNUMBER(N939))),"",IF(COUNTIF(O939:$T939,N939)&gt;0,0,IF(COUNTIF($G939:$T939,"&gt;"&amp;N939)=0,"",SMALL($G939:$T939,COUNTIF($G939:$T939,"&lt;="&amp;N939)+1)-N939)))</f>
        <v/>
      </c>
      <c r="AL939" t="str">
        <f>IF(OR($B939="",NOT(ISNUMBER(O939))),"",IF(COUNTIF(P939:$T939,O939)&gt;0,0,IF(COUNTIF($G939:$T939,"&gt;"&amp;O939)=0,"",SMALL($G939:$T939,COUNTIF($G939:$T939,"&lt;="&amp;O939)+1)-O939)))</f>
        <v/>
      </c>
      <c r="AM939" t="str">
        <f>IF(OR($B939="",NOT(ISNUMBER(P939))),"",IF(COUNTIF(Q939:$T939,P939)&gt;0,0,IF(COUNTIF($G939:$T939,"&gt;"&amp;P939)=0,"",SMALL($G939:$T939,COUNTIF($G939:$T939,"&lt;="&amp;P939)+1)-P939)))</f>
        <v/>
      </c>
      <c r="AN939" t="str">
        <f>IF(OR($B939="",NOT(ISNUMBER(Q939))),"",IF(COUNTIF(R939:$T939,Q939)&gt;0,0,IF(COUNTIF($G939:$T939,"&gt;"&amp;Q939)=0,"",SMALL($G939:$T939,COUNTIF($G939:$T939,"&lt;="&amp;Q939)+1)-Q939)))</f>
        <v/>
      </c>
      <c r="AO939" t="str">
        <f>IF(OR($B939="",NOT(ISNUMBER(R939))),"",IF(COUNTIF(S939:$T939,R939)&gt;0,0,IF(COUNTIF($G939:$T939,"&gt;"&amp;R939)=0,"",SMALL($G939:$T939,COUNTIF($G939:$T939,"&lt;="&amp;R939)+1)-R939)))</f>
        <v/>
      </c>
      <c r="AP939">
        <f t="shared" ca="1" si="241"/>
        <v>0</v>
      </c>
      <c r="AQ939" s="25" t="str">
        <f t="shared" si="242"/>
        <v/>
      </c>
      <c r="AR939" s="25" t="str">
        <f t="shared" si="243"/>
        <v/>
      </c>
      <c r="AS939" s="25" t="str">
        <f t="shared" si="244"/>
        <v/>
      </c>
      <c r="AT939" s="25" t="str">
        <f t="shared" si="245"/>
        <v/>
      </c>
      <c r="AU939" s="25" t="str">
        <f t="shared" si="246"/>
        <v/>
      </c>
      <c r="AV939" s="25" t="str">
        <f t="shared" si="247"/>
        <v/>
      </c>
      <c r="AW939" s="25" t="str">
        <f t="shared" si="248"/>
        <v/>
      </c>
      <c r="AX939" s="25" t="str">
        <f t="shared" si="249"/>
        <v/>
      </c>
      <c r="AY939" s="25" t="str">
        <f t="shared" si="250"/>
        <v/>
      </c>
      <c r="AZ939" s="25" t="str">
        <f t="shared" si="251"/>
        <v/>
      </c>
      <c r="BA939" s="25" t="str">
        <f t="shared" si="252"/>
        <v/>
      </c>
      <c r="BB939" s="25" t="str">
        <f t="shared" si="253"/>
        <v/>
      </c>
      <c r="BC939" s="25" t="str">
        <f t="shared" si="254"/>
        <v/>
      </c>
    </row>
    <row r="940" spans="1:55" x14ac:dyDescent="0.25">
      <c r="A940" s="19" t="str">
        <f t="shared" si="239"/>
        <v/>
      </c>
      <c r="B940" s="19"/>
      <c r="C940" s="20"/>
      <c r="D940" s="19" t="str">
        <f t="shared" si="238"/>
        <v/>
      </c>
      <c r="E940" s="19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19"/>
      <c r="U940" s="19"/>
      <c r="V940" s="20"/>
      <c r="W940" s="22"/>
      <c r="X940" s="21"/>
      <c r="Y940" s="21"/>
      <c r="Z940" s="23" t="str">
        <f>IF(B940="","",IF(S940&lt;&gt;"","Sevk Edildi",IF(AND(X940&lt;&gt;"",Y940=""),"Reworkte",IF(T940&lt;&gt;"","Kapandı"&amp;IF(COUNT(G940:R940)=0,""," – "&amp;LOOKUP(2,1/(G940:R940=MAX(G940:R940)),{"Tasarım","Ply Cutter","Üretim","Kalite (Üretim sonrası)","Talaşlı","Kalite (Talaşlı sonrası)","Montaj","Kalite (Montaj sonrası)","Boya","Kalite (Boya sonrası)","Yarı Mamül","KM"})),IF(COUNT(G940:R940)=0,"Başlamadı",LOOKUP(2,1/(G940:R940=MAX(G940:R940)),{"Tasarımda","Ply Cutter'da","Üretimde","Kalitede (Üretim sonrası)","Talaşlıda","Kalitede (Talaşlı sonrası)","Montajda","Kalitede (Montaj sonrası)","Boyada","Kalitede (Boya sonrası)","Yarı Mamülde","KM'de"}))))))</f>
        <v/>
      </c>
      <c r="AA940" s="24" t="str">
        <f t="shared" ca="1" si="240"/>
        <v/>
      </c>
      <c r="AB940" s="22"/>
      <c r="AD940" t="str">
        <f>IF(OR($B940="",NOT(ISNUMBER(G940))),"",IF(COUNTIF(H940:$T940,G940)&gt;0,0,IF(COUNTIF($G940:$T940,"&gt;"&amp;G940)=0,"",SMALL($G940:$T940,COUNTIF($G940:$T940,"&lt;="&amp;G940)+1)-G940)))</f>
        <v/>
      </c>
      <c r="AE940" t="str">
        <f>IF(OR($B940="",NOT(ISNUMBER(H940))),"",IF(COUNTIF(I940:$T940,H940)&gt;0,0,IF(COUNTIF($G940:$T940,"&gt;"&amp;H940)=0,"",SMALL($G940:$T940,COUNTIF($G940:$T940,"&lt;="&amp;H940)+1)-H940)))</f>
        <v/>
      </c>
      <c r="AF940" t="str">
        <f>IF(OR($B940="",NOT(ISNUMBER(I940))),"",IF(COUNTIF(J940:$T940,I940)&gt;0,0,IF(COUNTIF($G940:$T940,"&gt;"&amp;I940)=0,"",SMALL($G940:$T940,COUNTIF($G940:$T940,"&lt;="&amp;I940)+1)-I940)))</f>
        <v/>
      </c>
      <c r="AG940" t="str">
        <f>IF(OR($B940="",NOT(ISNUMBER(J940))),"",IF(COUNTIF(K940:$T940,J940)&gt;0,0,IF(COUNTIF($G940:$T940,"&gt;"&amp;J940)=0,"",SMALL($G940:$T940,COUNTIF($G940:$T940,"&lt;="&amp;J940)+1)-J940)))</f>
        <v/>
      </c>
      <c r="AH940" t="str">
        <f>IF(OR($B940="",NOT(ISNUMBER(K940))),"",IF(COUNTIF(L940:$T940,K940)&gt;0,0,IF(COUNTIF($G940:$T940,"&gt;"&amp;K940)=0,"",SMALL($G940:$T940,COUNTIF($G940:$T940,"&lt;="&amp;K940)+1)-K940)))</f>
        <v/>
      </c>
      <c r="AI940" t="str">
        <f>IF(OR($B940="",NOT(ISNUMBER(L940))),"",IF(COUNTIF(M940:$T940,L940)&gt;0,0,IF(COUNTIF($G940:$T940,"&gt;"&amp;L940)=0,"",SMALL($G940:$T940,COUNTIF($G940:$T940,"&lt;="&amp;L940)+1)-L940)))</f>
        <v/>
      </c>
      <c r="AJ940" t="str">
        <f>IF(OR($B940="",NOT(ISNUMBER(M940))),"",IF(COUNTIF(N940:$T940,M940)&gt;0,0,IF(COUNTIF($G940:$T940,"&gt;"&amp;M940)=0,"",SMALL($G940:$T940,COUNTIF($G940:$T940,"&lt;="&amp;M940)+1)-M940)))</f>
        <v/>
      </c>
      <c r="AK940" t="str">
        <f>IF(OR($B940="",NOT(ISNUMBER(N940))),"",IF(COUNTIF(O940:$T940,N940)&gt;0,0,IF(COUNTIF($G940:$T940,"&gt;"&amp;N940)=0,"",SMALL($G940:$T940,COUNTIF($G940:$T940,"&lt;="&amp;N940)+1)-N940)))</f>
        <v/>
      </c>
      <c r="AL940" t="str">
        <f>IF(OR($B940="",NOT(ISNUMBER(O940))),"",IF(COUNTIF(P940:$T940,O940)&gt;0,0,IF(COUNTIF($G940:$T940,"&gt;"&amp;O940)=0,"",SMALL($G940:$T940,COUNTIF($G940:$T940,"&lt;="&amp;O940)+1)-O940)))</f>
        <v/>
      </c>
      <c r="AM940" t="str">
        <f>IF(OR($B940="",NOT(ISNUMBER(P940))),"",IF(COUNTIF(Q940:$T940,P940)&gt;0,0,IF(COUNTIF($G940:$T940,"&gt;"&amp;P940)=0,"",SMALL($G940:$T940,COUNTIF($G940:$T940,"&lt;="&amp;P940)+1)-P940)))</f>
        <v/>
      </c>
      <c r="AN940" t="str">
        <f>IF(OR($B940="",NOT(ISNUMBER(Q940))),"",IF(COUNTIF(R940:$T940,Q940)&gt;0,0,IF(COUNTIF($G940:$T940,"&gt;"&amp;Q940)=0,"",SMALL($G940:$T940,COUNTIF($G940:$T940,"&lt;="&amp;Q940)+1)-Q940)))</f>
        <v/>
      </c>
      <c r="AO940" t="str">
        <f>IF(OR($B940="",NOT(ISNUMBER(R940))),"",IF(COUNTIF(S940:$T940,R940)&gt;0,0,IF(COUNTIF($G940:$T940,"&gt;"&amp;R940)=0,"",SMALL($G940:$T940,COUNTIF($G940:$T940,"&lt;="&amp;R940)+1)-R940)))</f>
        <v/>
      </c>
      <c r="AP940">
        <f t="shared" ca="1" si="241"/>
        <v>0</v>
      </c>
      <c r="AQ940" s="25" t="str">
        <f t="shared" si="242"/>
        <v/>
      </c>
      <c r="AR940" s="25" t="str">
        <f t="shared" si="243"/>
        <v/>
      </c>
      <c r="AS940" s="25" t="str">
        <f t="shared" si="244"/>
        <v/>
      </c>
      <c r="AT940" s="25" t="str">
        <f t="shared" si="245"/>
        <v/>
      </c>
      <c r="AU940" s="25" t="str">
        <f t="shared" si="246"/>
        <v/>
      </c>
      <c r="AV940" s="25" t="str">
        <f t="shared" si="247"/>
        <v/>
      </c>
      <c r="AW940" s="25" t="str">
        <f t="shared" si="248"/>
        <v/>
      </c>
      <c r="AX940" s="25" t="str">
        <f t="shared" si="249"/>
        <v/>
      </c>
      <c r="AY940" s="25" t="str">
        <f t="shared" si="250"/>
        <v/>
      </c>
      <c r="AZ940" s="25" t="str">
        <f t="shared" si="251"/>
        <v/>
      </c>
      <c r="BA940" s="25" t="str">
        <f t="shared" si="252"/>
        <v/>
      </c>
      <c r="BB940" s="25" t="str">
        <f t="shared" si="253"/>
        <v/>
      </c>
      <c r="BC940" s="25" t="str">
        <f t="shared" si="254"/>
        <v/>
      </c>
    </row>
    <row r="941" spans="1:55" x14ac:dyDescent="0.25">
      <c r="A941" s="19" t="str">
        <f t="shared" si="239"/>
        <v/>
      </c>
      <c r="B941" s="19"/>
      <c r="C941" s="20"/>
      <c r="D941" s="19" t="str">
        <f t="shared" si="238"/>
        <v/>
      </c>
      <c r="E941" s="19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19"/>
      <c r="U941" s="19"/>
      <c r="V941" s="20"/>
      <c r="W941" s="22"/>
      <c r="X941" s="21"/>
      <c r="Y941" s="21"/>
      <c r="Z941" s="23" t="str">
        <f>IF(B941="","",IF(S941&lt;&gt;"","Sevk Edildi",IF(AND(X941&lt;&gt;"",Y941=""),"Reworkte",IF(T941&lt;&gt;"","Kapandı"&amp;IF(COUNT(G941:R941)=0,""," – "&amp;LOOKUP(2,1/(G941:R941=MAX(G941:R941)),{"Tasarım","Ply Cutter","Üretim","Kalite (Üretim sonrası)","Talaşlı","Kalite (Talaşlı sonrası)","Montaj","Kalite (Montaj sonrası)","Boya","Kalite (Boya sonrası)","Yarı Mamül","KM"})),IF(COUNT(G941:R941)=0,"Başlamadı",LOOKUP(2,1/(G941:R941=MAX(G941:R941)),{"Tasarımda","Ply Cutter'da","Üretimde","Kalitede (Üretim sonrası)","Talaşlıda","Kalitede (Talaşlı sonrası)","Montajda","Kalitede (Montaj sonrası)","Boyada","Kalitede (Boya sonrası)","Yarı Mamülde","KM'de"}))))))</f>
        <v/>
      </c>
      <c r="AA941" s="24" t="str">
        <f t="shared" ca="1" si="240"/>
        <v/>
      </c>
      <c r="AB941" s="22"/>
      <c r="AD941" t="str">
        <f>IF(OR($B941="",NOT(ISNUMBER(G941))),"",IF(COUNTIF(H941:$T941,G941)&gt;0,0,IF(COUNTIF($G941:$T941,"&gt;"&amp;G941)=0,"",SMALL($G941:$T941,COUNTIF($G941:$T941,"&lt;="&amp;G941)+1)-G941)))</f>
        <v/>
      </c>
      <c r="AE941" t="str">
        <f>IF(OR($B941="",NOT(ISNUMBER(H941))),"",IF(COUNTIF(I941:$T941,H941)&gt;0,0,IF(COUNTIF($G941:$T941,"&gt;"&amp;H941)=0,"",SMALL($G941:$T941,COUNTIF($G941:$T941,"&lt;="&amp;H941)+1)-H941)))</f>
        <v/>
      </c>
      <c r="AF941" t="str">
        <f>IF(OR($B941="",NOT(ISNUMBER(I941))),"",IF(COUNTIF(J941:$T941,I941)&gt;0,0,IF(COUNTIF($G941:$T941,"&gt;"&amp;I941)=0,"",SMALL($G941:$T941,COUNTIF($G941:$T941,"&lt;="&amp;I941)+1)-I941)))</f>
        <v/>
      </c>
      <c r="AG941" t="str">
        <f>IF(OR($B941="",NOT(ISNUMBER(J941))),"",IF(COUNTIF(K941:$T941,J941)&gt;0,0,IF(COUNTIF($G941:$T941,"&gt;"&amp;J941)=0,"",SMALL($G941:$T941,COUNTIF($G941:$T941,"&lt;="&amp;J941)+1)-J941)))</f>
        <v/>
      </c>
      <c r="AH941" t="str">
        <f>IF(OR($B941="",NOT(ISNUMBER(K941))),"",IF(COUNTIF(L941:$T941,K941)&gt;0,0,IF(COUNTIF($G941:$T941,"&gt;"&amp;K941)=0,"",SMALL($G941:$T941,COUNTIF($G941:$T941,"&lt;="&amp;K941)+1)-K941)))</f>
        <v/>
      </c>
      <c r="AI941" t="str">
        <f>IF(OR($B941="",NOT(ISNUMBER(L941))),"",IF(COUNTIF(M941:$T941,L941)&gt;0,0,IF(COUNTIF($G941:$T941,"&gt;"&amp;L941)=0,"",SMALL($G941:$T941,COUNTIF($G941:$T941,"&lt;="&amp;L941)+1)-L941)))</f>
        <v/>
      </c>
      <c r="AJ941" t="str">
        <f>IF(OR($B941="",NOT(ISNUMBER(M941))),"",IF(COUNTIF(N941:$T941,M941)&gt;0,0,IF(COUNTIF($G941:$T941,"&gt;"&amp;M941)=0,"",SMALL($G941:$T941,COUNTIF($G941:$T941,"&lt;="&amp;M941)+1)-M941)))</f>
        <v/>
      </c>
      <c r="AK941" t="str">
        <f>IF(OR($B941="",NOT(ISNUMBER(N941))),"",IF(COUNTIF(O941:$T941,N941)&gt;0,0,IF(COUNTIF($G941:$T941,"&gt;"&amp;N941)=0,"",SMALL($G941:$T941,COUNTIF($G941:$T941,"&lt;="&amp;N941)+1)-N941)))</f>
        <v/>
      </c>
      <c r="AL941" t="str">
        <f>IF(OR($B941="",NOT(ISNUMBER(O941))),"",IF(COUNTIF(P941:$T941,O941)&gt;0,0,IF(COUNTIF($G941:$T941,"&gt;"&amp;O941)=0,"",SMALL($G941:$T941,COUNTIF($G941:$T941,"&lt;="&amp;O941)+1)-O941)))</f>
        <v/>
      </c>
      <c r="AM941" t="str">
        <f>IF(OR($B941="",NOT(ISNUMBER(P941))),"",IF(COUNTIF(Q941:$T941,P941)&gt;0,0,IF(COUNTIF($G941:$T941,"&gt;"&amp;P941)=0,"",SMALL($G941:$T941,COUNTIF($G941:$T941,"&lt;="&amp;P941)+1)-P941)))</f>
        <v/>
      </c>
      <c r="AN941" t="str">
        <f>IF(OR($B941="",NOT(ISNUMBER(Q941))),"",IF(COUNTIF(R941:$T941,Q941)&gt;0,0,IF(COUNTIF($G941:$T941,"&gt;"&amp;Q941)=0,"",SMALL($G941:$T941,COUNTIF($G941:$T941,"&lt;="&amp;Q941)+1)-Q941)))</f>
        <v/>
      </c>
      <c r="AO941" t="str">
        <f>IF(OR($B941="",NOT(ISNUMBER(R941))),"",IF(COUNTIF(S941:$T941,R941)&gt;0,0,IF(COUNTIF($G941:$T941,"&gt;"&amp;R941)=0,"",SMALL($G941:$T941,COUNTIF($G941:$T941,"&lt;="&amp;R941)+1)-R941)))</f>
        <v/>
      </c>
      <c r="AP941">
        <f t="shared" ca="1" si="241"/>
        <v>0</v>
      </c>
      <c r="AQ941" s="25" t="str">
        <f t="shared" si="242"/>
        <v/>
      </c>
      <c r="AR941" s="25" t="str">
        <f t="shared" si="243"/>
        <v/>
      </c>
      <c r="AS941" s="25" t="str">
        <f t="shared" si="244"/>
        <v/>
      </c>
      <c r="AT941" s="25" t="str">
        <f t="shared" si="245"/>
        <v/>
      </c>
      <c r="AU941" s="25" t="str">
        <f t="shared" si="246"/>
        <v/>
      </c>
      <c r="AV941" s="25" t="str">
        <f t="shared" si="247"/>
        <v/>
      </c>
      <c r="AW941" s="25" t="str">
        <f t="shared" si="248"/>
        <v/>
      </c>
      <c r="AX941" s="25" t="str">
        <f t="shared" si="249"/>
        <v/>
      </c>
      <c r="AY941" s="25" t="str">
        <f t="shared" si="250"/>
        <v/>
      </c>
      <c r="AZ941" s="25" t="str">
        <f t="shared" si="251"/>
        <v/>
      </c>
      <c r="BA941" s="25" t="str">
        <f t="shared" si="252"/>
        <v/>
      </c>
      <c r="BB941" s="25" t="str">
        <f t="shared" si="253"/>
        <v/>
      </c>
      <c r="BC941" s="25" t="str">
        <f t="shared" si="254"/>
        <v/>
      </c>
    </row>
    <row r="942" spans="1:55" x14ac:dyDescent="0.25">
      <c r="A942" s="19" t="str">
        <f t="shared" si="239"/>
        <v/>
      </c>
      <c r="B942" s="19"/>
      <c r="C942" s="20"/>
      <c r="D942" s="19" t="str">
        <f t="shared" si="238"/>
        <v/>
      </c>
      <c r="E942" s="19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19"/>
      <c r="U942" s="19"/>
      <c r="V942" s="20"/>
      <c r="W942" s="22"/>
      <c r="X942" s="21"/>
      <c r="Y942" s="21"/>
      <c r="Z942" s="23" t="str">
        <f>IF(B942="","",IF(S942&lt;&gt;"","Sevk Edildi",IF(AND(X942&lt;&gt;"",Y942=""),"Reworkte",IF(T942&lt;&gt;"","Kapandı"&amp;IF(COUNT(G942:R942)=0,""," – "&amp;LOOKUP(2,1/(G942:R942=MAX(G942:R942)),{"Tasarım","Ply Cutter","Üretim","Kalite (Üretim sonrası)","Talaşlı","Kalite (Talaşlı sonrası)","Montaj","Kalite (Montaj sonrası)","Boya","Kalite (Boya sonrası)","Yarı Mamül","KM"})),IF(COUNT(G942:R942)=0,"Başlamadı",LOOKUP(2,1/(G942:R942=MAX(G942:R942)),{"Tasarımda","Ply Cutter'da","Üretimde","Kalitede (Üretim sonrası)","Talaşlıda","Kalitede (Talaşlı sonrası)","Montajda","Kalitede (Montaj sonrası)","Boyada","Kalitede (Boya sonrası)","Yarı Mamülde","KM'de"}))))))</f>
        <v/>
      </c>
      <c r="AA942" s="24" t="str">
        <f t="shared" ca="1" si="240"/>
        <v/>
      </c>
      <c r="AB942" s="22"/>
      <c r="AD942" t="str">
        <f>IF(OR($B942="",NOT(ISNUMBER(G942))),"",IF(COUNTIF(H942:$T942,G942)&gt;0,0,IF(COUNTIF($G942:$T942,"&gt;"&amp;G942)=0,"",SMALL($G942:$T942,COUNTIF($G942:$T942,"&lt;="&amp;G942)+1)-G942)))</f>
        <v/>
      </c>
      <c r="AE942" t="str">
        <f>IF(OR($B942="",NOT(ISNUMBER(H942))),"",IF(COUNTIF(I942:$T942,H942)&gt;0,0,IF(COUNTIF($G942:$T942,"&gt;"&amp;H942)=0,"",SMALL($G942:$T942,COUNTIF($G942:$T942,"&lt;="&amp;H942)+1)-H942)))</f>
        <v/>
      </c>
      <c r="AF942" t="str">
        <f>IF(OR($B942="",NOT(ISNUMBER(I942))),"",IF(COUNTIF(J942:$T942,I942)&gt;0,0,IF(COUNTIF($G942:$T942,"&gt;"&amp;I942)=0,"",SMALL($G942:$T942,COUNTIF($G942:$T942,"&lt;="&amp;I942)+1)-I942)))</f>
        <v/>
      </c>
      <c r="AG942" t="str">
        <f>IF(OR($B942="",NOT(ISNUMBER(J942))),"",IF(COUNTIF(K942:$T942,J942)&gt;0,0,IF(COUNTIF($G942:$T942,"&gt;"&amp;J942)=0,"",SMALL($G942:$T942,COUNTIF($G942:$T942,"&lt;="&amp;J942)+1)-J942)))</f>
        <v/>
      </c>
      <c r="AH942" t="str">
        <f>IF(OR($B942="",NOT(ISNUMBER(K942))),"",IF(COUNTIF(L942:$T942,K942)&gt;0,0,IF(COUNTIF($G942:$T942,"&gt;"&amp;K942)=0,"",SMALL($G942:$T942,COUNTIF($G942:$T942,"&lt;="&amp;K942)+1)-K942)))</f>
        <v/>
      </c>
      <c r="AI942" t="str">
        <f>IF(OR($B942="",NOT(ISNUMBER(L942))),"",IF(COUNTIF(M942:$T942,L942)&gt;0,0,IF(COUNTIF($G942:$T942,"&gt;"&amp;L942)=0,"",SMALL($G942:$T942,COUNTIF($G942:$T942,"&lt;="&amp;L942)+1)-L942)))</f>
        <v/>
      </c>
      <c r="AJ942" t="str">
        <f>IF(OR($B942="",NOT(ISNUMBER(M942))),"",IF(COUNTIF(N942:$T942,M942)&gt;0,0,IF(COUNTIF($G942:$T942,"&gt;"&amp;M942)=0,"",SMALL($G942:$T942,COUNTIF($G942:$T942,"&lt;="&amp;M942)+1)-M942)))</f>
        <v/>
      </c>
      <c r="AK942" t="str">
        <f>IF(OR($B942="",NOT(ISNUMBER(N942))),"",IF(COUNTIF(O942:$T942,N942)&gt;0,0,IF(COUNTIF($G942:$T942,"&gt;"&amp;N942)=0,"",SMALL($G942:$T942,COUNTIF($G942:$T942,"&lt;="&amp;N942)+1)-N942)))</f>
        <v/>
      </c>
      <c r="AL942" t="str">
        <f>IF(OR($B942="",NOT(ISNUMBER(O942))),"",IF(COUNTIF(P942:$T942,O942)&gt;0,0,IF(COUNTIF($G942:$T942,"&gt;"&amp;O942)=0,"",SMALL($G942:$T942,COUNTIF($G942:$T942,"&lt;="&amp;O942)+1)-O942)))</f>
        <v/>
      </c>
      <c r="AM942" t="str">
        <f>IF(OR($B942="",NOT(ISNUMBER(P942))),"",IF(COUNTIF(Q942:$T942,P942)&gt;0,0,IF(COUNTIF($G942:$T942,"&gt;"&amp;P942)=0,"",SMALL($G942:$T942,COUNTIF($G942:$T942,"&lt;="&amp;P942)+1)-P942)))</f>
        <v/>
      </c>
      <c r="AN942" t="str">
        <f>IF(OR($B942="",NOT(ISNUMBER(Q942))),"",IF(COUNTIF(R942:$T942,Q942)&gt;0,0,IF(COUNTIF($G942:$T942,"&gt;"&amp;Q942)=0,"",SMALL($G942:$T942,COUNTIF($G942:$T942,"&lt;="&amp;Q942)+1)-Q942)))</f>
        <v/>
      </c>
      <c r="AO942" t="str">
        <f>IF(OR($B942="",NOT(ISNUMBER(R942))),"",IF(COUNTIF(S942:$T942,R942)&gt;0,0,IF(COUNTIF($G942:$T942,"&gt;"&amp;R942)=0,"",SMALL($G942:$T942,COUNTIF($G942:$T942,"&lt;="&amp;R942)+1)-R942)))</f>
        <v/>
      </c>
      <c r="AP942">
        <f t="shared" ca="1" si="241"/>
        <v>0</v>
      </c>
      <c r="AQ942" s="25" t="str">
        <f t="shared" si="242"/>
        <v/>
      </c>
      <c r="AR942" s="25" t="str">
        <f t="shared" si="243"/>
        <v/>
      </c>
      <c r="AS942" s="25" t="str">
        <f t="shared" si="244"/>
        <v/>
      </c>
      <c r="AT942" s="25" t="str">
        <f t="shared" si="245"/>
        <v/>
      </c>
      <c r="AU942" s="25" t="str">
        <f t="shared" si="246"/>
        <v/>
      </c>
      <c r="AV942" s="25" t="str">
        <f t="shared" si="247"/>
        <v/>
      </c>
      <c r="AW942" s="25" t="str">
        <f t="shared" si="248"/>
        <v/>
      </c>
      <c r="AX942" s="25" t="str">
        <f t="shared" si="249"/>
        <v/>
      </c>
      <c r="AY942" s="25" t="str">
        <f t="shared" si="250"/>
        <v/>
      </c>
      <c r="AZ942" s="25" t="str">
        <f t="shared" si="251"/>
        <v/>
      </c>
      <c r="BA942" s="25" t="str">
        <f t="shared" si="252"/>
        <v/>
      </c>
      <c r="BB942" s="25" t="str">
        <f t="shared" si="253"/>
        <v/>
      </c>
      <c r="BC942" s="25" t="str">
        <f t="shared" si="254"/>
        <v/>
      </c>
    </row>
    <row r="943" spans="1:55" x14ac:dyDescent="0.25">
      <c r="A943" s="19" t="str">
        <f t="shared" si="239"/>
        <v/>
      </c>
      <c r="B943" s="19"/>
      <c r="C943" s="20"/>
      <c r="D943" s="19" t="str">
        <f t="shared" si="238"/>
        <v/>
      </c>
      <c r="E943" s="19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19"/>
      <c r="U943" s="19"/>
      <c r="V943" s="20"/>
      <c r="W943" s="22"/>
      <c r="X943" s="21"/>
      <c r="Y943" s="21"/>
      <c r="Z943" s="23" t="str">
        <f>IF(B943="","",IF(S943&lt;&gt;"","Sevk Edildi",IF(AND(X943&lt;&gt;"",Y943=""),"Reworkte",IF(T943&lt;&gt;"","Kapandı"&amp;IF(COUNT(G943:R943)=0,""," – "&amp;LOOKUP(2,1/(G943:R943=MAX(G943:R943)),{"Tasarım","Ply Cutter","Üretim","Kalite (Üretim sonrası)","Talaşlı","Kalite (Talaşlı sonrası)","Montaj","Kalite (Montaj sonrası)","Boya","Kalite (Boya sonrası)","Yarı Mamül","KM"})),IF(COUNT(G943:R943)=0,"Başlamadı",LOOKUP(2,1/(G943:R943=MAX(G943:R943)),{"Tasarımda","Ply Cutter'da","Üretimde","Kalitede (Üretim sonrası)","Talaşlıda","Kalitede (Talaşlı sonrası)","Montajda","Kalitede (Montaj sonrası)","Boyada","Kalitede (Boya sonrası)","Yarı Mamülde","KM'de"}))))))</f>
        <v/>
      </c>
      <c r="AA943" s="24" t="str">
        <f t="shared" ca="1" si="240"/>
        <v/>
      </c>
      <c r="AB943" s="22"/>
      <c r="AD943" t="str">
        <f>IF(OR($B943="",NOT(ISNUMBER(G943))),"",IF(COUNTIF(H943:$T943,G943)&gt;0,0,IF(COUNTIF($G943:$T943,"&gt;"&amp;G943)=0,"",SMALL($G943:$T943,COUNTIF($G943:$T943,"&lt;="&amp;G943)+1)-G943)))</f>
        <v/>
      </c>
      <c r="AE943" t="str">
        <f>IF(OR($B943="",NOT(ISNUMBER(H943))),"",IF(COUNTIF(I943:$T943,H943)&gt;0,0,IF(COUNTIF($G943:$T943,"&gt;"&amp;H943)=0,"",SMALL($G943:$T943,COUNTIF($G943:$T943,"&lt;="&amp;H943)+1)-H943)))</f>
        <v/>
      </c>
      <c r="AF943" t="str">
        <f>IF(OR($B943="",NOT(ISNUMBER(I943))),"",IF(COUNTIF(J943:$T943,I943)&gt;0,0,IF(COUNTIF($G943:$T943,"&gt;"&amp;I943)=0,"",SMALL($G943:$T943,COUNTIF($G943:$T943,"&lt;="&amp;I943)+1)-I943)))</f>
        <v/>
      </c>
      <c r="AG943" t="str">
        <f>IF(OR($B943="",NOT(ISNUMBER(J943))),"",IF(COUNTIF(K943:$T943,J943)&gt;0,0,IF(COUNTIF($G943:$T943,"&gt;"&amp;J943)=0,"",SMALL($G943:$T943,COUNTIF($G943:$T943,"&lt;="&amp;J943)+1)-J943)))</f>
        <v/>
      </c>
      <c r="AH943" t="str">
        <f>IF(OR($B943="",NOT(ISNUMBER(K943))),"",IF(COUNTIF(L943:$T943,K943)&gt;0,0,IF(COUNTIF($G943:$T943,"&gt;"&amp;K943)=0,"",SMALL($G943:$T943,COUNTIF($G943:$T943,"&lt;="&amp;K943)+1)-K943)))</f>
        <v/>
      </c>
      <c r="AI943" t="str">
        <f>IF(OR($B943="",NOT(ISNUMBER(L943))),"",IF(COUNTIF(M943:$T943,L943)&gt;0,0,IF(COUNTIF($G943:$T943,"&gt;"&amp;L943)=0,"",SMALL($G943:$T943,COUNTIF($G943:$T943,"&lt;="&amp;L943)+1)-L943)))</f>
        <v/>
      </c>
      <c r="AJ943" t="str">
        <f>IF(OR($B943="",NOT(ISNUMBER(M943))),"",IF(COUNTIF(N943:$T943,M943)&gt;0,0,IF(COUNTIF($G943:$T943,"&gt;"&amp;M943)=0,"",SMALL($G943:$T943,COUNTIF($G943:$T943,"&lt;="&amp;M943)+1)-M943)))</f>
        <v/>
      </c>
      <c r="AK943" t="str">
        <f>IF(OR($B943="",NOT(ISNUMBER(N943))),"",IF(COUNTIF(O943:$T943,N943)&gt;0,0,IF(COUNTIF($G943:$T943,"&gt;"&amp;N943)=0,"",SMALL($G943:$T943,COUNTIF($G943:$T943,"&lt;="&amp;N943)+1)-N943)))</f>
        <v/>
      </c>
      <c r="AL943" t="str">
        <f>IF(OR($B943="",NOT(ISNUMBER(O943))),"",IF(COUNTIF(P943:$T943,O943)&gt;0,0,IF(COUNTIF($G943:$T943,"&gt;"&amp;O943)=0,"",SMALL($G943:$T943,COUNTIF($G943:$T943,"&lt;="&amp;O943)+1)-O943)))</f>
        <v/>
      </c>
      <c r="AM943" t="str">
        <f>IF(OR($B943="",NOT(ISNUMBER(P943))),"",IF(COUNTIF(Q943:$T943,P943)&gt;0,0,IF(COUNTIF($G943:$T943,"&gt;"&amp;P943)=0,"",SMALL($G943:$T943,COUNTIF($G943:$T943,"&lt;="&amp;P943)+1)-P943)))</f>
        <v/>
      </c>
      <c r="AN943" t="str">
        <f>IF(OR($B943="",NOT(ISNUMBER(Q943))),"",IF(COUNTIF(R943:$T943,Q943)&gt;0,0,IF(COUNTIF($G943:$T943,"&gt;"&amp;Q943)=0,"",SMALL($G943:$T943,COUNTIF($G943:$T943,"&lt;="&amp;Q943)+1)-Q943)))</f>
        <v/>
      </c>
      <c r="AO943" t="str">
        <f>IF(OR($B943="",NOT(ISNUMBER(R943))),"",IF(COUNTIF(S943:$T943,R943)&gt;0,0,IF(COUNTIF($G943:$T943,"&gt;"&amp;R943)=0,"",SMALL($G943:$T943,COUNTIF($G943:$T943,"&lt;="&amp;R943)+1)-R943)))</f>
        <v/>
      </c>
      <c r="AP943">
        <f t="shared" ca="1" si="241"/>
        <v>0</v>
      </c>
      <c r="AQ943" s="25" t="str">
        <f t="shared" si="242"/>
        <v/>
      </c>
      <c r="AR943" s="25" t="str">
        <f t="shared" si="243"/>
        <v/>
      </c>
      <c r="AS943" s="25" t="str">
        <f t="shared" si="244"/>
        <v/>
      </c>
      <c r="AT943" s="25" t="str">
        <f t="shared" si="245"/>
        <v/>
      </c>
      <c r="AU943" s="25" t="str">
        <f t="shared" si="246"/>
        <v/>
      </c>
      <c r="AV943" s="25" t="str">
        <f t="shared" si="247"/>
        <v/>
      </c>
      <c r="AW943" s="25" t="str">
        <f t="shared" si="248"/>
        <v/>
      </c>
      <c r="AX943" s="25" t="str">
        <f t="shared" si="249"/>
        <v/>
      </c>
      <c r="AY943" s="25" t="str">
        <f t="shared" si="250"/>
        <v/>
      </c>
      <c r="AZ943" s="25" t="str">
        <f t="shared" si="251"/>
        <v/>
      </c>
      <c r="BA943" s="25" t="str">
        <f t="shared" si="252"/>
        <v/>
      </c>
      <c r="BB943" s="25" t="str">
        <f t="shared" si="253"/>
        <v/>
      </c>
      <c r="BC943" s="25" t="str">
        <f t="shared" si="254"/>
        <v/>
      </c>
    </row>
    <row r="944" spans="1:55" x14ac:dyDescent="0.25">
      <c r="A944" s="19" t="str">
        <f t="shared" si="239"/>
        <v/>
      </c>
      <c r="B944" s="19"/>
      <c r="C944" s="20"/>
      <c r="D944" s="19" t="str">
        <f t="shared" si="238"/>
        <v/>
      </c>
      <c r="E944" s="19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19"/>
      <c r="U944" s="19"/>
      <c r="V944" s="20"/>
      <c r="W944" s="22"/>
      <c r="X944" s="21"/>
      <c r="Y944" s="21"/>
      <c r="Z944" s="23" t="str">
        <f>IF(B944="","",IF(S944&lt;&gt;"","Sevk Edildi",IF(AND(X944&lt;&gt;"",Y944=""),"Reworkte",IF(T944&lt;&gt;"","Kapandı"&amp;IF(COUNT(G944:R944)=0,""," – "&amp;LOOKUP(2,1/(G944:R944=MAX(G944:R944)),{"Tasarım","Ply Cutter","Üretim","Kalite (Üretim sonrası)","Talaşlı","Kalite (Talaşlı sonrası)","Montaj","Kalite (Montaj sonrası)","Boya","Kalite (Boya sonrası)","Yarı Mamül","KM"})),IF(COUNT(G944:R944)=0,"Başlamadı",LOOKUP(2,1/(G944:R944=MAX(G944:R944)),{"Tasarımda","Ply Cutter'da","Üretimde","Kalitede (Üretim sonrası)","Talaşlıda","Kalitede (Talaşlı sonrası)","Montajda","Kalitede (Montaj sonrası)","Boyada","Kalitede (Boya sonrası)","Yarı Mamülde","KM'de"}))))))</f>
        <v/>
      </c>
      <c r="AA944" s="24" t="str">
        <f t="shared" ca="1" si="240"/>
        <v/>
      </c>
      <c r="AB944" s="22"/>
      <c r="AD944" t="str">
        <f>IF(OR($B944="",NOT(ISNUMBER(G944))),"",IF(COUNTIF(H944:$T944,G944)&gt;0,0,IF(COUNTIF($G944:$T944,"&gt;"&amp;G944)=0,"",SMALL($G944:$T944,COUNTIF($G944:$T944,"&lt;="&amp;G944)+1)-G944)))</f>
        <v/>
      </c>
      <c r="AE944" t="str">
        <f>IF(OR($B944="",NOT(ISNUMBER(H944))),"",IF(COUNTIF(I944:$T944,H944)&gt;0,0,IF(COUNTIF($G944:$T944,"&gt;"&amp;H944)=0,"",SMALL($G944:$T944,COUNTIF($G944:$T944,"&lt;="&amp;H944)+1)-H944)))</f>
        <v/>
      </c>
      <c r="AF944" t="str">
        <f>IF(OR($B944="",NOT(ISNUMBER(I944))),"",IF(COUNTIF(J944:$T944,I944)&gt;0,0,IF(COUNTIF($G944:$T944,"&gt;"&amp;I944)=0,"",SMALL($G944:$T944,COUNTIF($G944:$T944,"&lt;="&amp;I944)+1)-I944)))</f>
        <v/>
      </c>
      <c r="AG944" t="str">
        <f>IF(OR($B944="",NOT(ISNUMBER(J944))),"",IF(COUNTIF(K944:$T944,J944)&gt;0,0,IF(COUNTIF($G944:$T944,"&gt;"&amp;J944)=0,"",SMALL($G944:$T944,COUNTIF($G944:$T944,"&lt;="&amp;J944)+1)-J944)))</f>
        <v/>
      </c>
      <c r="AH944" t="str">
        <f>IF(OR($B944="",NOT(ISNUMBER(K944))),"",IF(COUNTIF(L944:$T944,K944)&gt;0,0,IF(COUNTIF($G944:$T944,"&gt;"&amp;K944)=0,"",SMALL($G944:$T944,COUNTIF($G944:$T944,"&lt;="&amp;K944)+1)-K944)))</f>
        <v/>
      </c>
      <c r="AI944" t="str">
        <f>IF(OR($B944="",NOT(ISNUMBER(L944))),"",IF(COUNTIF(M944:$T944,L944)&gt;0,0,IF(COUNTIF($G944:$T944,"&gt;"&amp;L944)=0,"",SMALL($G944:$T944,COUNTIF($G944:$T944,"&lt;="&amp;L944)+1)-L944)))</f>
        <v/>
      </c>
      <c r="AJ944" t="str">
        <f>IF(OR($B944="",NOT(ISNUMBER(M944))),"",IF(COUNTIF(N944:$T944,M944)&gt;0,0,IF(COUNTIF($G944:$T944,"&gt;"&amp;M944)=0,"",SMALL($G944:$T944,COUNTIF($G944:$T944,"&lt;="&amp;M944)+1)-M944)))</f>
        <v/>
      </c>
      <c r="AK944" t="str">
        <f>IF(OR($B944="",NOT(ISNUMBER(N944))),"",IF(COUNTIF(O944:$T944,N944)&gt;0,0,IF(COUNTIF($G944:$T944,"&gt;"&amp;N944)=0,"",SMALL($G944:$T944,COUNTIF($G944:$T944,"&lt;="&amp;N944)+1)-N944)))</f>
        <v/>
      </c>
      <c r="AL944" t="str">
        <f>IF(OR($B944="",NOT(ISNUMBER(O944))),"",IF(COUNTIF(P944:$T944,O944)&gt;0,0,IF(COUNTIF($G944:$T944,"&gt;"&amp;O944)=0,"",SMALL($G944:$T944,COUNTIF($G944:$T944,"&lt;="&amp;O944)+1)-O944)))</f>
        <v/>
      </c>
      <c r="AM944" t="str">
        <f>IF(OR($B944="",NOT(ISNUMBER(P944))),"",IF(COUNTIF(Q944:$T944,P944)&gt;0,0,IF(COUNTIF($G944:$T944,"&gt;"&amp;P944)=0,"",SMALL($G944:$T944,COUNTIF($G944:$T944,"&lt;="&amp;P944)+1)-P944)))</f>
        <v/>
      </c>
      <c r="AN944" t="str">
        <f>IF(OR($B944="",NOT(ISNUMBER(Q944))),"",IF(COUNTIF(R944:$T944,Q944)&gt;0,0,IF(COUNTIF($G944:$T944,"&gt;"&amp;Q944)=0,"",SMALL($G944:$T944,COUNTIF($G944:$T944,"&lt;="&amp;Q944)+1)-Q944)))</f>
        <v/>
      </c>
      <c r="AO944" t="str">
        <f>IF(OR($B944="",NOT(ISNUMBER(R944))),"",IF(COUNTIF(S944:$T944,R944)&gt;0,0,IF(COUNTIF($G944:$T944,"&gt;"&amp;R944)=0,"",SMALL($G944:$T944,COUNTIF($G944:$T944,"&lt;="&amp;R944)+1)-R944)))</f>
        <v/>
      </c>
      <c r="AP944">
        <f t="shared" ca="1" si="241"/>
        <v>0</v>
      </c>
      <c r="AQ944" s="25" t="str">
        <f t="shared" si="242"/>
        <v/>
      </c>
      <c r="AR944" s="25" t="str">
        <f t="shared" si="243"/>
        <v/>
      </c>
      <c r="AS944" s="25" t="str">
        <f t="shared" si="244"/>
        <v/>
      </c>
      <c r="AT944" s="25" t="str">
        <f t="shared" si="245"/>
        <v/>
      </c>
      <c r="AU944" s="25" t="str">
        <f t="shared" si="246"/>
        <v/>
      </c>
      <c r="AV944" s="25" t="str">
        <f t="shared" si="247"/>
        <v/>
      </c>
      <c r="AW944" s="25" t="str">
        <f t="shared" si="248"/>
        <v/>
      </c>
      <c r="AX944" s="25" t="str">
        <f t="shared" si="249"/>
        <v/>
      </c>
      <c r="AY944" s="25" t="str">
        <f t="shared" si="250"/>
        <v/>
      </c>
      <c r="AZ944" s="25" t="str">
        <f t="shared" si="251"/>
        <v/>
      </c>
      <c r="BA944" s="25" t="str">
        <f t="shared" si="252"/>
        <v/>
      </c>
      <c r="BB944" s="25" t="str">
        <f t="shared" si="253"/>
        <v/>
      </c>
      <c r="BC944" s="25" t="str">
        <f t="shared" si="254"/>
        <v/>
      </c>
    </row>
    <row r="945" spans="1:55" x14ac:dyDescent="0.25">
      <c r="A945" s="19" t="str">
        <f t="shared" si="239"/>
        <v/>
      </c>
      <c r="B945" s="19"/>
      <c r="C945" s="20"/>
      <c r="D945" s="19" t="str">
        <f t="shared" si="238"/>
        <v/>
      </c>
      <c r="E945" s="19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19"/>
      <c r="U945" s="19"/>
      <c r="V945" s="20"/>
      <c r="W945" s="22"/>
      <c r="X945" s="21"/>
      <c r="Y945" s="21"/>
      <c r="Z945" s="23" t="str">
        <f>IF(B945="","",IF(S945&lt;&gt;"","Sevk Edildi",IF(AND(X945&lt;&gt;"",Y945=""),"Reworkte",IF(T945&lt;&gt;"","Kapandı"&amp;IF(COUNT(G945:R945)=0,""," – "&amp;LOOKUP(2,1/(G945:R945=MAX(G945:R945)),{"Tasarım","Ply Cutter","Üretim","Kalite (Üretim sonrası)","Talaşlı","Kalite (Talaşlı sonrası)","Montaj","Kalite (Montaj sonrası)","Boya","Kalite (Boya sonrası)","Yarı Mamül","KM"})),IF(COUNT(G945:R945)=0,"Başlamadı",LOOKUP(2,1/(G945:R945=MAX(G945:R945)),{"Tasarımda","Ply Cutter'da","Üretimde","Kalitede (Üretim sonrası)","Talaşlıda","Kalitede (Talaşlı sonrası)","Montajda","Kalitede (Montaj sonrası)","Boyada","Kalitede (Boya sonrası)","Yarı Mamülde","KM'de"}))))))</f>
        <v/>
      </c>
      <c r="AA945" s="24" t="str">
        <f t="shared" ca="1" si="240"/>
        <v/>
      </c>
      <c r="AB945" s="22"/>
      <c r="AD945" t="str">
        <f>IF(OR($B945="",NOT(ISNUMBER(G945))),"",IF(COUNTIF(H945:$T945,G945)&gt;0,0,IF(COUNTIF($G945:$T945,"&gt;"&amp;G945)=0,"",SMALL($G945:$T945,COUNTIF($G945:$T945,"&lt;="&amp;G945)+1)-G945)))</f>
        <v/>
      </c>
      <c r="AE945" t="str">
        <f>IF(OR($B945="",NOT(ISNUMBER(H945))),"",IF(COUNTIF(I945:$T945,H945)&gt;0,0,IF(COUNTIF($G945:$T945,"&gt;"&amp;H945)=0,"",SMALL($G945:$T945,COUNTIF($G945:$T945,"&lt;="&amp;H945)+1)-H945)))</f>
        <v/>
      </c>
      <c r="AF945" t="str">
        <f>IF(OR($B945="",NOT(ISNUMBER(I945))),"",IF(COUNTIF(J945:$T945,I945)&gt;0,0,IF(COUNTIF($G945:$T945,"&gt;"&amp;I945)=0,"",SMALL($G945:$T945,COUNTIF($G945:$T945,"&lt;="&amp;I945)+1)-I945)))</f>
        <v/>
      </c>
      <c r="AG945" t="str">
        <f>IF(OR($B945="",NOT(ISNUMBER(J945))),"",IF(COUNTIF(K945:$T945,J945)&gt;0,0,IF(COUNTIF($G945:$T945,"&gt;"&amp;J945)=0,"",SMALL($G945:$T945,COUNTIF($G945:$T945,"&lt;="&amp;J945)+1)-J945)))</f>
        <v/>
      </c>
      <c r="AH945" t="str">
        <f>IF(OR($B945="",NOT(ISNUMBER(K945))),"",IF(COUNTIF(L945:$T945,K945)&gt;0,0,IF(COUNTIF($G945:$T945,"&gt;"&amp;K945)=0,"",SMALL($G945:$T945,COUNTIF($G945:$T945,"&lt;="&amp;K945)+1)-K945)))</f>
        <v/>
      </c>
      <c r="AI945" t="str">
        <f>IF(OR($B945="",NOT(ISNUMBER(L945))),"",IF(COUNTIF(M945:$T945,L945)&gt;0,0,IF(COUNTIF($G945:$T945,"&gt;"&amp;L945)=0,"",SMALL($G945:$T945,COUNTIF($G945:$T945,"&lt;="&amp;L945)+1)-L945)))</f>
        <v/>
      </c>
      <c r="AJ945" t="str">
        <f>IF(OR($B945="",NOT(ISNUMBER(M945))),"",IF(COUNTIF(N945:$T945,M945)&gt;0,0,IF(COUNTIF($G945:$T945,"&gt;"&amp;M945)=0,"",SMALL($G945:$T945,COUNTIF($G945:$T945,"&lt;="&amp;M945)+1)-M945)))</f>
        <v/>
      </c>
      <c r="AK945" t="str">
        <f>IF(OR($B945="",NOT(ISNUMBER(N945))),"",IF(COUNTIF(O945:$T945,N945)&gt;0,0,IF(COUNTIF($G945:$T945,"&gt;"&amp;N945)=0,"",SMALL($G945:$T945,COUNTIF($G945:$T945,"&lt;="&amp;N945)+1)-N945)))</f>
        <v/>
      </c>
      <c r="AL945" t="str">
        <f>IF(OR($B945="",NOT(ISNUMBER(O945))),"",IF(COUNTIF(P945:$T945,O945)&gt;0,0,IF(COUNTIF($G945:$T945,"&gt;"&amp;O945)=0,"",SMALL($G945:$T945,COUNTIF($G945:$T945,"&lt;="&amp;O945)+1)-O945)))</f>
        <v/>
      </c>
      <c r="AM945" t="str">
        <f>IF(OR($B945="",NOT(ISNUMBER(P945))),"",IF(COUNTIF(Q945:$T945,P945)&gt;0,0,IF(COUNTIF($G945:$T945,"&gt;"&amp;P945)=0,"",SMALL($G945:$T945,COUNTIF($G945:$T945,"&lt;="&amp;P945)+1)-P945)))</f>
        <v/>
      </c>
      <c r="AN945" t="str">
        <f>IF(OR($B945="",NOT(ISNUMBER(Q945))),"",IF(COUNTIF(R945:$T945,Q945)&gt;0,0,IF(COUNTIF($G945:$T945,"&gt;"&amp;Q945)=0,"",SMALL($G945:$T945,COUNTIF($G945:$T945,"&lt;="&amp;Q945)+1)-Q945)))</f>
        <v/>
      </c>
      <c r="AO945" t="str">
        <f>IF(OR($B945="",NOT(ISNUMBER(R945))),"",IF(COUNTIF(S945:$T945,R945)&gt;0,0,IF(COUNTIF($G945:$T945,"&gt;"&amp;R945)=0,"",SMALL($G945:$T945,COUNTIF($G945:$T945,"&lt;="&amp;R945)+1)-R945)))</f>
        <v/>
      </c>
      <c r="AP945">
        <f t="shared" ca="1" si="241"/>
        <v>0</v>
      </c>
      <c r="AQ945" s="25" t="str">
        <f t="shared" si="242"/>
        <v/>
      </c>
      <c r="AR945" s="25" t="str">
        <f t="shared" si="243"/>
        <v/>
      </c>
      <c r="AS945" s="25" t="str">
        <f t="shared" si="244"/>
        <v/>
      </c>
      <c r="AT945" s="25" t="str">
        <f t="shared" si="245"/>
        <v/>
      </c>
      <c r="AU945" s="25" t="str">
        <f t="shared" si="246"/>
        <v/>
      </c>
      <c r="AV945" s="25" t="str">
        <f t="shared" si="247"/>
        <v/>
      </c>
      <c r="AW945" s="25" t="str">
        <f t="shared" si="248"/>
        <v/>
      </c>
      <c r="AX945" s="25" t="str">
        <f t="shared" si="249"/>
        <v/>
      </c>
      <c r="AY945" s="25" t="str">
        <f t="shared" si="250"/>
        <v/>
      </c>
      <c r="AZ945" s="25" t="str">
        <f t="shared" si="251"/>
        <v/>
      </c>
      <c r="BA945" s="25" t="str">
        <f t="shared" si="252"/>
        <v/>
      </c>
      <c r="BB945" s="25" t="str">
        <f t="shared" si="253"/>
        <v/>
      </c>
      <c r="BC945" s="25" t="str">
        <f t="shared" si="254"/>
        <v/>
      </c>
    </row>
    <row r="946" spans="1:55" x14ac:dyDescent="0.25">
      <c r="A946" s="19" t="str">
        <f t="shared" si="239"/>
        <v/>
      </c>
      <c r="B946" s="19"/>
      <c r="C946" s="20"/>
      <c r="D946" s="19" t="str">
        <f t="shared" si="238"/>
        <v/>
      </c>
      <c r="E946" s="19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19"/>
      <c r="U946" s="19"/>
      <c r="V946" s="20"/>
      <c r="W946" s="22"/>
      <c r="X946" s="21"/>
      <c r="Y946" s="21"/>
      <c r="Z946" s="23" t="str">
        <f>IF(B946="","",IF(S946&lt;&gt;"","Sevk Edildi",IF(AND(X946&lt;&gt;"",Y946=""),"Reworkte",IF(T946&lt;&gt;"","Kapandı"&amp;IF(COUNT(G946:R946)=0,""," – "&amp;LOOKUP(2,1/(G946:R946=MAX(G946:R946)),{"Tasarım","Ply Cutter","Üretim","Kalite (Üretim sonrası)","Talaşlı","Kalite (Talaşlı sonrası)","Montaj","Kalite (Montaj sonrası)","Boya","Kalite (Boya sonrası)","Yarı Mamül","KM"})),IF(COUNT(G946:R946)=0,"Başlamadı",LOOKUP(2,1/(G946:R946=MAX(G946:R946)),{"Tasarımda","Ply Cutter'da","Üretimde","Kalitede (Üretim sonrası)","Talaşlıda","Kalitede (Talaşlı sonrası)","Montajda","Kalitede (Montaj sonrası)","Boyada","Kalitede (Boya sonrası)","Yarı Mamülde","KM'de"}))))))</f>
        <v/>
      </c>
      <c r="AA946" s="24" t="str">
        <f t="shared" ca="1" si="240"/>
        <v/>
      </c>
      <c r="AB946" s="22"/>
      <c r="AD946" t="str">
        <f>IF(OR($B946="",NOT(ISNUMBER(G946))),"",IF(COUNTIF(H946:$T946,G946)&gt;0,0,IF(COUNTIF($G946:$T946,"&gt;"&amp;G946)=0,"",SMALL($G946:$T946,COUNTIF($G946:$T946,"&lt;="&amp;G946)+1)-G946)))</f>
        <v/>
      </c>
      <c r="AE946" t="str">
        <f>IF(OR($B946="",NOT(ISNUMBER(H946))),"",IF(COUNTIF(I946:$T946,H946)&gt;0,0,IF(COUNTIF($G946:$T946,"&gt;"&amp;H946)=0,"",SMALL($G946:$T946,COUNTIF($G946:$T946,"&lt;="&amp;H946)+1)-H946)))</f>
        <v/>
      </c>
      <c r="AF946" t="str">
        <f>IF(OR($B946="",NOT(ISNUMBER(I946))),"",IF(COUNTIF(J946:$T946,I946)&gt;0,0,IF(COUNTIF($G946:$T946,"&gt;"&amp;I946)=0,"",SMALL($G946:$T946,COUNTIF($G946:$T946,"&lt;="&amp;I946)+1)-I946)))</f>
        <v/>
      </c>
      <c r="AG946" t="str">
        <f>IF(OR($B946="",NOT(ISNUMBER(J946))),"",IF(COUNTIF(K946:$T946,J946)&gt;0,0,IF(COUNTIF($G946:$T946,"&gt;"&amp;J946)=0,"",SMALL($G946:$T946,COUNTIF($G946:$T946,"&lt;="&amp;J946)+1)-J946)))</f>
        <v/>
      </c>
      <c r="AH946" t="str">
        <f>IF(OR($B946="",NOT(ISNUMBER(K946))),"",IF(COUNTIF(L946:$T946,K946)&gt;0,0,IF(COUNTIF($G946:$T946,"&gt;"&amp;K946)=0,"",SMALL($G946:$T946,COUNTIF($G946:$T946,"&lt;="&amp;K946)+1)-K946)))</f>
        <v/>
      </c>
      <c r="AI946" t="str">
        <f>IF(OR($B946="",NOT(ISNUMBER(L946))),"",IF(COUNTIF(M946:$T946,L946)&gt;0,0,IF(COUNTIF($G946:$T946,"&gt;"&amp;L946)=0,"",SMALL($G946:$T946,COUNTIF($G946:$T946,"&lt;="&amp;L946)+1)-L946)))</f>
        <v/>
      </c>
      <c r="AJ946" t="str">
        <f>IF(OR($B946="",NOT(ISNUMBER(M946))),"",IF(COUNTIF(N946:$T946,M946)&gt;0,0,IF(COUNTIF($G946:$T946,"&gt;"&amp;M946)=0,"",SMALL($G946:$T946,COUNTIF($G946:$T946,"&lt;="&amp;M946)+1)-M946)))</f>
        <v/>
      </c>
      <c r="AK946" t="str">
        <f>IF(OR($B946="",NOT(ISNUMBER(N946))),"",IF(COUNTIF(O946:$T946,N946)&gt;0,0,IF(COUNTIF($G946:$T946,"&gt;"&amp;N946)=0,"",SMALL($G946:$T946,COUNTIF($G946:$T946,"&lt;="&amp;N946)+1)-N946)))</f>
        <v/>
      </c>
      <c r="AL946" t="str">
        <f>IF(OR($B946="",NOT(ISNUMBER(O946))),"",IF(COUNTIF(P946:$T946,O946)&gt;0,0,IF(COUNTIF($G946:$T946,"&gt;"&amp;O946)=0,"",SMALL($G946:$T946,COUNTIF($G946:$T946,"&lt;="&amp;O946)+1)-O946)))</f>
        <v/>
      </c>
      <c r="AM946" t="str">
        <f>IF(OR($B946="",NOT(ISNUMBER(P946))),"",IF(COUNTIF(Q946:$T946,P946)&gt;0,0,IF(COUNTIF($G946:$T946,"&gt;"&amp;P946)=0,"",SMALL($G946:$T946,COUNTIF($G946:$T946,"&lt;="&amp;P946)+1)-P946)))</f>
        <v/>
      </c>
      <c r="AN946" t="str">
        <f>IF(OR($B946="",NOT(ISNUMBER(Q946))),"",IF(COUNTIF(R946:$T946,Q946)&gt;0,0,IF(COUNTIF($G946:$T946,"&gt;"&amp;Q946)=0,"",SMALL($G946:$T946,COUNTIF($G946:$T946,"&lt;="&amp;Q946)+1)-Q946)))</f>
        <v/>
      </c>
      <c r="AO946" t="str">
        <f>IF(OR($B946="",NOT(ISNUMBER(R946))),"",IF(COUNTIF(S946:$T946,R946)&gt;0,0,IF(COUNTIF($G946:$T946,"&gt;"&amp;R946)=0,"",SMALL($G946:$T946,COUNTIF($G946:$T946,"&lt;="&amp;R946)+1)-R946)))</f>
        <v/>
      </c>
      <c r="AP946">
        <f t="shared" ca="1" si="241"/>
        <v>0</v>
      </c>
      <c r="AQ946" s="25" t="str">
        <f t="shared" si="242"/>
        <v/>
      </c>
      <c r="AR946" s="25" t="str">
        <f t="shared" si="243"/>
        <v/>
      </c>
      <c r="AS946" s="25" t="str">
        <f t="shared" si="244"/>
        <v/>
      </c>
      <c r="AT946" s="25" t="str">
        <f t="shared" si="245"/>
        <v/>
      </c>
      <c r="AU946" s="25" t="str">
        <f t="shared" si="246"/>
        <v/>
      </c>
      <c r="AV946" s="25" t="str">
        <f t="shared" si="247"/>
        <v/>
      </c>
      <c r="AW946" s="25" t="str">
        <f t="shared" si="248"/>
        <v/>
      </c>
      <c r="AX946" s="25" t="str">
        <f t="shared" si="249"/>
        <v/>
      </c>
      <c r="AY946" s="25" t="str">
        <f t="shared" si="250"/>
        <v/>
      </c>
      <c r="AZ946" s="25" t="str">
        <f t="shared" si="251"/>
        <v/>
      </c>
      <c r="BA946" s="25" t="str">
        <f t="shared" si="252"/>
        <v/>
      </c>
      <c r="BB946" s="25" t="str">
        <f t="shared" si="253"/>
        <v/>
      </c>
      <c r="BC946" s="25" t="str">
        <f t="shared" si="254"/>
        <v/>
      </c>
    </row>
    <row r="947" spans="1:55" x14ac:dyDescent="0.25">
      <c r="A947" s="19" t="str">
        <f t="shared" si="239"/>
        <v/>
      </c>
      <c r="B947" s="19"/>
      <c r="C947" s="20"/>
      <c r="D947" s="19" t="str">
        <f t="shared" si="238"/>
        <v/>
      </c>
      <c r="E947" s="19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19"/>
      <c r="U947" s="19"/>
      <c r="V947" s="20"/>
      <c r="W947" s="22"/>
      <c r="X947" s="21"/>
      <c r="Y947" s="21"/>
      <c r="Z947" s="23" t="str">
        <f>IF(B947="","",IF(S947&lt;&gt;"","Sevk Edildi",IF(AND(X947&lt;&gt;"",Y947=""),"Reworkte",IF(T947&lt;&gt;"","Kapandı"&amp;IF(COUNT(G947:R947)=0,""," – "&amp;LOOKUP(2,1/(G947:R947=MAX(G947:R947)),{"Tasarım","Ply Cutter","Üretim","Kalite (Üretim sonrası)","Talaşlı","Kalite (Talaşlı sonrası)","Montaj","Kalite (Montaj sonrası)","Boya","Kalite (Boya sonrası)","Yarı Mamül","KM"})),IF(COUNT(G947:R947)=0,"Başlamadı",LOOKUP(2,1/(G947:R947=MAX(G947:R947)),{"Tasarımda","Ply Cutter'da","Üretimde","Kalitede (Üretim sonrası)","Talaşlıda","Kalitede (Talaşlı sonrası)","Montajda","Kalitede (Montaj sonrası)","Boyada","Kalitede (Boya sonrası)","Yarı Mamülde","KM'de"}))))))</f>
        <v/>
      </c>
      <c r="AA947" s="24" t="str">
        <f t="shared" ca="1" si="240"/>
        <v/>
      </c>
      <c r="AB947" s="22"/>
      <c r="AD947" t="str">
        <f>IF(OR($B947="",NOT(ISNUMBER(G947))),"",IF(COUNTIF(H947:$T947,G947)&gt;0,0,IF(COUNTIF($G947:$T947,"&gt;"&amp;G947)=0,"",SMALL($G947:$T947,COUNTIF($G947:$T947,"&lt;="&amp;G947)+1)-G947)))</f>
        <v/>
      </c>
      <c r="AE947" t="str">
        <f>IF(OR($B947="",NOT(ISNUMBER(H947))),"",IF(COUNTIF(I947:$T947,H947)&gt;0,0,IF(COUNTIF($G947:$T947,"&gt;"&amp;H947)=0,"",SMALL($G947:$T947,COUNTIF($G947:$T947,"&lt;="&amp;H947)+1)-H947)))</f>
        <v/>
      </c>
      <c r="AF947" t="str">
        <f>IF(OR($B947="",NOT(ISNUMBER(I947))),"",IF(COUNTIF(J947:$T947,I947)&gt;0,0,IF(COUNTIF($G947:$T947,"&gt;"&amp;I947)=0,"",SMALL($G947:$T947,COUNTIF($G947:$T947,"&lt;="&amp;I947)+1)-I947)))</f>
        <v/>
      </c>
      <c r="AG947" t="str">
        <f>IF(OR($B947="",NOT(ISNUMBER(J947))),"",IF(COUNTIF(K947:$T947,J947)&gt;0,0,IF(COUNTIF($G947:$T947,"&gt;"&amp;J947)=0,"",SMALL($G947:$T947,COUNTIF($G947:$T947,"&lt;="&amp;J947)+1)-J947)))</f>
        <v/>
      </c>
      <c r="AH947" t="str">
        <f>IF(OR($B947="",NOT(ISNUMBER(K947))),"",IF(COUNTIF(L947:$T947,K947)&gt;0,0,IF(COUNTIF($G947:$T947,"&gt;"&amp;K947)=0,"",SMALL($G947:$T947,COUNTIF($G947:$T947,"&lt;="&amp;K947)+1)-K947)))</f>
        <v/>
      </c>
      <c r="AI947" t="str">
        <f>IF(OR($B947="",NOT(ISNUMBER(L947))),"",IF(COUNTIF(M947:$T947,L947)&gt;0,0,IF(COUNTIF($G947:$T947,"&gt;"&amp;L947)=0,"",SMALL($G947:$T947,COUNTIF($G947:$T947,"&lt;="&amp;L947)+1)-L947)))</f>
        <v/>
      </c>
      <c r="AJ947" t="str">
        <f>IF(OR($B947="",NOT(ISNUMBER(M947))),"",IF(COUNTIF(N947:$T947,M947)&gt;0,0,IF(COUNTIF($G947:$T947,"&gt;"&amp;M947)=0,"",SMALL($G947:$T947,COUNTIF($G947:$T947,"&lt;="&amp;M947)+1)-M947)))</f>
        <v/>
      </c>
      <c r="AK947" t="str">
        <f>IF(OR($B947="",NOT(ISNUMBER(N947))),"",IF(COUNTIF(O947:$T947,N947)&gt;0,0,IF(COUNTIF($G947:$T947,"&gt;"&amp;N947)=0,"",SMALL($G947:$T947,COUNTIF($G947:$T947,"&lt;="&amp;N947)+1)-N947)))</f>
        <v/>
      </c>
      <c r="AL947" t="str">
        <f>IF(OR($B947="",NOT(ISNUMBER(O947))),"",IF(COUNTIF(P947:$T947,O947)&gt;0,0,IF(COUNTIF($G947:$T947,"&gt;"&amp;O947)=0,"",SMALL($G947:$T947,COUNTIF($G947:$T947,"&lt;="&amp;O947)+1)-O947)))</f>
        <v/>
      </c>
      <c r="AM947" t="str">
        <f>IF(OR($B947="",NOT(ISNUMBER(P947))),"",IF(COUNTIF(Q947:$T947,P947)&gt;0,0,IF(COUNTIF($G947:$T947,"&gt;"&amp;P947)=0,"",SMALL($G947:$T947,COUNTIF($G947:$T947,"&lt;="&amp;P947)+1)-P947)))</f>
        <v/>
      </c>
      <c r="AN947" t="str">
        <f>IF(OR($B947="",NOT(ISNUMBER(Q947))),"",IF(COUNTIF(R947:$T947,Q947)&gt;0,0,IF(COUNTIF($G947:$T947,"&gt;"&amp;Q947)=0,"",SMALL($G947:$T947,COUNTIF($G947:$T947,"&lt;="&amp;Q947)+1)-Q947)))</f>
        <v/>
      </c>
      <c r="AO947" t="str">
        <f>IF(OR($B947="",NOT(ISNUMBER(R947))),"",IF(COUNTIF(S947:$T947,R947)&gt;0,0,IF(COUNTIF($G947:$T947,"&gt;"&amp;R947)=0,"",SMALL($G947:$T947,COUNTIF($G947:$T947,"&lt;="&amp;R947)+1)-R947)))</f>
        <v/>
      </c>
      <c r="AP947">
        <f t="shared" ca="1" si="241"/>
        <v>0</v>
      </c>
      <c r="AQ947" s="25" t="str">
        <f t="shared" si="242"/>
        <v/>
      </c>
      <c r="AR947" s="25" t="str">
        <f t="shared" si="243"/>
        <v/>
      </c>
      <c r="AS947" s="25" t="str">
        <f t="shared" si="244"/>
        <v/>
      </c>
      <c r="AT947" s="25" t="str">
        <f t="shared" si="245"/>
        <v/>
      </c>
      <c r="AU947" s="25" t="str">
        <f t="shared" si="246"/>
        <v/>
      </c>
      <c r="AV947" s="25" t="str">
        <f t="shared" si="247"/>
        <v/>
      </c>
      <c r="AW947" s="25" t="str">
        <f t="shared" si="248"/>
        <v/>
      </c>
      <c r="AX947" s="25" t="str">
        <f t="shared" si="249"/>
        <v/>
      </c>
      <c r="AY947" s="25" t="str">
        <f t="shared" si="250"/>
        <v/>
      </c>
      <c r="AZ947" s="25" t="str">
        <f t="shared" si="251"/>
        <v/>
      </c>
      <c r="BA947" s="25" t="str">
        <f t="shared" si="252"/>
        <v/>
      </c>
      <c r="BB947" s="25" t="str">
        <f t="shared" si="253"/>
        <v/>
      </c>
      <c r="BC947" s="25" t="str">
        <f t="shared" si="254"/>
        <v/>
      </c>
    </row>
    <row r="948" spans="1:55" x14ac:dyDescent="0.25">
      <c r="A948" s="19" t="str">
        <f t="shared" si="239"/>
        <v/>
      </c>
      <c r="B948" s="19"/>
      <c r="C948" s="20"/>
      <c r="D948" s="19" t="str">
        <f t="shared" si="238"/>
        <v/>
      </c>
      <c r="E948" s="19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19"/>
      <c r="U948" s="19"/>
      <c r="V948" s="20"/>
      <c r="W948" s="22"/>
      <c r="X948" s="21"/>
      <c r="Y948" s="21"/>
      <c r="Z948" s="23" t="str">
        <f>IF(B948="","",IF(S948&lt;&gt;"","Sevk Edildi",IF(AND(X948&lt;&gt;"",Y948=""),"Reworkte",IF(T948&lt;&gt;"","Kapandı"&amp;IF(COUNT(G948:R948)=0,""," – "&amp;LOOKUP(2,1/(G948:R948=MAX(G948:R948)),{"Tasarım","Ply Cutter","Üretim","Kalite (Üretim sonrası)","Talaşlı","Kalite (Talaşlı sonrası)","Montaj","Kalite (Montaj sonrası)","Boya","Kalite (Boya sonrası)","Yarı Mamül","KM"})),IF(COUNT(G948:R948)=0,"Başlamadı",LOOKUP(2,1/(G948:R948=MAX(G948:R948)),{"Tasarımda","Ply Cutter'da","Üretimde","Kalitede (Üretim sonrası)","Talaşlıda","Kalitede (Talaşlı sonrası)","Montajda","Kalitede (Montaj sonrası)","Boyada","Kalitede (Boya sonrası)","Yarı Mamülde","KM'de"}))))))</f>
        <v/>
      </c>
      <c r="AA948" s="24" t="str">
        <f t="shared" ca="1" si="240"/>
        <v/>
      </c>
      <c r="AB948" s="22"/>
      <c r="AD948" t="str">
        <f>IF(OR($B948="",NOT(ISNUMBER(G948))),"",IF(COUNTIF(H948:$T948,G948)&gt;0,0,IF(COUNTIF($G948:$T948,"&gt;"&amp;G948)=0,"",SMALL($G948:$T948,COUNTIF($G948:$T948,"&lt;="&amp;G948)+1)-G948)))</f>
        <v/>
      </c>
      <c r="AE948" t="str">
        <f>IF(OR($B948="",NOT(ISNUMBER(H948))),"",IF(COUNTIF(I948:$T948,H948)&gt;0,0,IF(COUNTIF($G948:$T948,"&gt;"&amp;H948)=0,"",SMALL($G948:$T948,COUNTIF($G948:$T948,"&lt;="&amp;H948)+1)-H948)))</f>
        <v/>
      </c>
      <c r="AF948" t="str">
        <f>IF(OR($B948="",NOT(ISNUMBER(I948))),"",IF(COUNTIF(J948:$T948,I948)&gt;0,0,IF(COUNTIF($G948:$T948,"&gt;"&amp;I948)=0,"",SMALL($G948:$T948,COUNTIF($G948:$T948,"&lt;="&amp;I948)+1)-I948)))</f>
        <v/>
      </c>
      <c r="AG948" t="str">
        <f>IF(OR($B948="",NOT(ISNUMBER(J948))),"",IF(COUNTIF(K948:$T948,J948)&gt;0,0,IF(COUNTIF($G948:$T948,"&gt;"&amp;J948)=0,"",SMALL($G948:$T948,COUNTIF($G948:$T948,"&lt;="&amp;J948)+1)-J948)))</f>
        <v/>
      </c>
      <c r="AH948" t="str">
        <f>IF(OR($B948="",NOT(ISNUMBER(K948))),"",IF(COUNTIF(L948:$T948,K948)&gt;0,0,IF(COUNTIF($G948:$T948,"&gt;"&amp;K948)=0,"",SMALL($G948:$T948,COUNTIF($G948:$T948,"&lt;="&amp;K948)+1)-K948)))</f>
        <v/>
      </c>
      <c r="AI948" t="str">
        <f>IF(OR($B948="",NOT(ISNUMBER(L948))),"",IF(COUNTIF(M948:$T948,L948)&gt;0,0,IF(COUNTIF($G948:$T948,"&gt;"&amp;L948)=0,"",SMALL($G948:$T948,COUNTIF($G948:$T948,"&lt;="&amp;L948)+1)-L948)))</f>
        <v/>
      </c>
      <c r="AJ948" t="str">
        <f>IF(OR($B948="",NOT(ISNUMBER(M948))),"",IF(COUNTIF(N948:$T948,M948)&gt;0,0,IF(COUNTIF($G948:$T948,"&gt;"&amp;M948)=0,"",SMALL($G948:$T948,COUNTIF($G948:$T948,"&lt;="&amp;M948)+1)-M948)))</f>
        <v/>
      </c>
      <c r="AK948" t="str">
        <f>IF(OR($B948="",NOT(ISNUMBER(N948))),"",IF(COUNTIF(O948:$T948,N948)&gt;0,0,IF(COUNTIF($G948:$T948,"&gt;"&amp;N948)=0,"",SMALL($G948:$T948,COUNTIF($G948:$T948,"&lt;="&amp;N948)+1)-N948)))</f>
        <v/>
      </c>
      <c r="AL948" t="str">
        <f>IF(OR($B948="",NOT(ISNUMBER(O948))),"",IF(COUNTIF(P948:$T948,O948)&gt;0,0,IF(COUNTIF($G948:$T948,"&gt;"&amp;O948)=0,"",SMALL($G948:$T948,COUNTIF($G948:$T948,"&lt;="&amp;O948)+1)-O948)))</f>
        <v/>
      </c>
      <c r="AM948" t="str">
        <f>IF(OR($B948="",NOT(ISNUMBER(P948))),"",IF(COUNTIF(Q948:$T948,P948)&gt;0,0,IF(COUNTIF($G948:$T948,"&gt;"&amp;P948)=0,"",SMALL($G948:$T948,COUNTIF($G948:$T948,"&lt;="&amp;P948)+1)-P948)))</f>
        <v/>
      </c>
      <c r="AN948" t="str">
        <f>IF(OR($B948="",NOT(ISNUMBER(Q948))),"",IF(COUNTIF(R948:$T948,Q948)&gt;0,0,IF(COUNTIF($G948:$T948,"&gt;"&amp;Q948)=0,"",SMALL($G948:$T948,COUNTIF($G948:$T948,"&lt;="&amp;Q948)+1)-Q948)))</f>
        <v/>
      </c>
      <c r="AO948" t="str">
        <f>IF(OR($B948="",NOT(ISNUMBER(R948))),"",IF(COUNTIF(S948:$T948,R948)&gt;0,0,IF(COUNTIF($G948:$T948,"&gt;"&amp;R948)=0,"",SMALL($G948:$T948,COUNTIF($G948:$T948,"&lt;="&amp;R948)+1)-R948)))</f>
        <v/>
      </c>
      <c r="AP948">
        <f t="shared" ca="1" si="241"/>
        <v>0</v>
      </c>
      <c r="AQ948" s="25" t="str">
        <f t="shared" si="242"/>
        <v/>
      </c>
      <c r="AR948" s="25" t="str">
        <f t="shared" si="243"/>
        <v/>
      </c>
      <c r="AS948" s="25" t="str">
        <f t="shared" si="244"/>
        <v/>
      </c>
      <c r="AT948" s="25" t="str">
        <f t="shared" si="245"/>
        <v/>
      </c>
      <c r="AU948" s="25" t="str">
        <f t="shared" si="246"/>
        <v/>
      </c>
      <c r="AV948" s="25" t="str">
        <f t="shared" si="247"/>
        <v/>
      </c>
      <c r="AW948" s="25" t="str">
        <f t="shared" si="248"/>
        <v/>
      </c>
      <c r="AX948" s="25" t="str">
        <f t="shared" si="249"/>
        <v/>
      </c>
      <c r="AY948" s="25" t="str">
        <f t="shared" si="250"/>
        <v/>
      </c>
      <c r="AZ948" s="25" t="str">
        <f t="shared" si="251"/>
        <v/>
      </c>
      <c r="BA948" s="25" t="str">
        <f t="shared" si="252"/>
        <v/>
      </c>
      <c r="BB948" s="25" t="str">
        <f t="shared" si="253"/>
        <v/>
      </c>
      <c r="BC948" s="25" t="str">
        <f t="shared" si="254"/>
        <v/>
      </c>
    </row>
    <row r="949" spans="1:55" x14ac:dyDescent="0.25">
      <c r="A949" s="19" t="str">
        <f t="shared" si="239"/>
        <v/>
      </c>
      <c r="B949" s="19"/>
      <c r="C949" s="20"/>
      <c r="D949" s="19" t="str">
        <f t="shared" si="238"/>
        <v/>
      </c>
      <c r="E949" s="19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19"/>
      <c r="U949" s="19"/>
      <c r="V949" s="20"/>
      <c r="W949" s="22"/>
      <c r="X949" s="21"/>
      <c r="Y949" s="21"/>
      <c r="Z949" s="23" t="str">
        <f>IF(B949="","",IF(S949&lt;&gt;"","Sevk Edildi",IF(AND(X949&lt;&gt;"",Y949=""),"Reworkte",IF(T949&lt;&gt;"","Kapandı"&amp;IF(COUNT(G949:R949)=0,""," – "&amp;LOOKUP(2,1/(G949:R949=MAX(G949:R949)),{"Tasarım","Ply Cutter","Üretim","Kalite (Üretim sonrası)","Talaşlı","Kalite (Talaşlı sonrası)","Montaj","Kalite (Montaj sonrası)","Boya","Kalite (Boya sonrası)","Yarı Mamül","KM"})),IF(COUNT(G949:R949)=0,"Başlamadı",LOOKUP(2,1/(G949:R949=MAX(G949:R949)),{"Tasarımda","Ply Cutter'da","Üretimde","Kalitede (Üretim sonrası)","Talaşlıda","Kalitede (Talaşlı sonrası)","Montajda","Kalitede (Montaj sonrası)","Boyada","Kalitede (Boya sonrası)","Yarı Mamülde","KM'de"}))))))</f>
        <v/>
      </c>
      <c r="AA949" s="24" t="str">
        <f t="shared" ca="1" si="240"/>
        <v/>
      </c>
      <c r="AB949" s="22"/>
      <c r="AD949" t="str">
        <f>IF(OR($B949="",NOT(ISNUMBER(G949))),"",IF(COUNTIF(H949:$T949,G949)&gt;0,0,IF(COUNTIF($G949:$T949,"&gt;"&amp;G949)=0,"",SMALL($G949:$T949,COUNTIF($G949:$T949,"&lt;="&amp;G949)+1)-G949)))</f>
        <v/>
      </c>
      <c r="AE949" t="str">
        <f>IF(OR($B949="",NOT(ISNUMBER(H949))),"",IF(COUNTIF(I949:$T949,H949)&gt;0,0,IF(COUNTIF($G949:$T949,"&gt;"&amp;H949)=0,"",SMALL($G949:$T949,COUNTIF($G949:$T949,"&lt;="&amp;H949)+1)-H949)))</f>
        <v/>
      </c>
      <c r="AF949" t="str">
        <f>IF(OR($B949="",NOT(ISNUMBER(I949))),"",IF(COUNTIF(J949:$T949,I949)&gt;0,0,IF(COUNTIF($G949:$T949,"&gt;"&amp;I949)=0,"",SMALL($G949:$T949,COUNTIF($G949:$T949,"&lt;="&amp;I949)+1)-I949)))</f>
        <v/>
      </c>
      <c r="AG949" t="str">
        <f>IF(OR($B949="",NOT(ISNUMBER(J949))),"",IF(COUNTIF(K949:$T949,J949)&gt;0,0,IF(COUNTIF($G949:$T949,"&gt;"&amp;J949)=0,"",SMALL($G949:$T949,COUNTIF($G949:$T949,"&lt;="&amp;J949)+1)-J949)))</f>
        <v/>
      </c>
      <c r="AH949" t="str">
        <f>IF(OR($B949="",NOT(ISNUMBER(K949))),"",IF(COUNTIF(L949:$T949,K949)&gt;0,0,IF(COUNTIF($G949:$T949,"&gt;"&amp;K949)=0,"",SMALL($G949:$T949,COUNTIF($G949:$T949,"&lt;="&amp;K949)+1)-K949)))</f>
        <v/>
      </c>
      <c r="AI949" t="str">
        <f>IF(OR($B949="",NOT(ISNUMBER(L949))),"",IF(COUNTIF(M949:$T949,L949)&gt;0,0,IF(COUNTIF($G949:$T949,"&gt;"&amp;L949)=0,"",SMALL($G949:$T949,COUNTIF($G949:$T949,"&lt;="&amp;L949)+1)-L949)))</f>
        <v/>
      </c>
      <c r="AJ949" t="str">
        <f>IF(OR($B949="",NOT(ISNUMBER(M949))),"",IF(COUNTIF(N949:$T949,M949)&gt;0,0,IF(COUNTIF($G949:$T949,"&gt;"&amp;M949)=0,"",SMALL($G949:$T949,COUNTIF($G949:$T949,"&lt;="&amp;M949)+1)-M949)))</f>
        <v/>
      </c>
      <c r="AK949" t="str">
        <f>IF(OR($B949="",NOT(ISNUMBER(N949))),"",IF(COUNTIF(O949:$T949,N949)&gt;0,0,IF(COUNTIF($G949:$T949,"&gt;"&amp;N949)=0,"",SMALL($G949:$T949,COUNTIF($G949:$T949,"&lt;="&amp;N949)+1)-N949)))</f>
        <v/>
      </c>
      <c r="AL949" t="str">
        <f>IF(OR($B949="",NOT(ISNUMBER(O949))),"",IF(COUNTIF(P949:$T949,O949)&gt;0,0,IF(COUNTIF($G949:$T949,"&gt;"&amp;O949)=0,"",SMALL($G949:$T949,COUNTIF($G949:$T949,"&lt;="&amp;O949)+1)-O949)))</f>
        <v/>
      </c>
      <c r="AM949" t="str">
        <f>IF(OR($B949="",NOT(ISNUMBER(P949))),"",IF(COUNTIF(Q949:$T949,P949)&gt;0,0,IF(COUNTIF($G949:$T949,"&gt;"&amp;P949)=0,"",SMALL($G949:$T949,COUNTIF($G949:$T949,"&lt;="&amp;P949)+1)-P949)))</f>
        <v/>
      </c>
      <c r="AN949" t="str">
        <f>IF(OR($B949="",NOT(ISNUMBER(Q949))),"",IF(COUNTIF(R949:$T949,Q949)&gt;0,0,IF(COUNTIF($G949:$T949,"&gt;"&amp;Q949)=0,"",SMALL($G949:$T949,COUNTIF($G949:$T949,"&lt;="&amp;Q949)+1)-Q949)))</f>
        <v/>
      </c>
      <c r="AO949" t="str">
        <f>IF(OR($B949="",NOT(ISNUMBER(R949))),"",IF(COUNTIF(S949:$T949,R949)&gt;0,0,IF(COUNTIF($G949:$T949,"&gt;"&amp;R949)=0,"",SMALL($G949:$T949,COUNTIF($G949:$T949,"&lt;="&amp;R949)+1)-R949)))</f>
        <v/>
      </c>
      <c r="AP949">
        <f t="shared" ca="1" si="241"/>
        <v>0</v>
      </c>
      <c r="AQ949" s="25" t="str">
        <f t="shared" si="242"/>
        <v/>
      </c>
      <c r="AR949" s="25" t="str">
        <f t="shared" si="243"/>
        <v/>
      </c>
      <c r="AS949" s="25" t="str">
        <f t="shared" si="244"/>
        <v/>
      </c>
      <c r="AT949" s="25" t="str">
        <f t="shared" si="245"/>
        <v/>
      </c>
      <c r="AU949" s="25" t="str">
        <f t="shared" si="246"/>
        <v/>
      </c>
      <c r="AV949" s="25" t="str">
        <f t="shared" si="247"/>
        <v/>
      </c>
      <c r="AW949" s="25" t="str">
        <f t="shared" si="248"/>
        <v/>
      </c>
      <c r="AX949" s="25" t="str">
        <f t="shared" si="249"/>
        <v/>
      </c>
      <c r="AY949" s="25" t="str">
        <f t="shared" si="250"/>
        <v/>
      </c>
      <c r="AZ949" s="25" t="str">
        <f t="shared" si="251"/>
        <v/>
      </c>
      <c r="BA949" s="25" t="str">
        <f t="shared" si="252"/>
        <v/>
      </c>
      <c r="BB949" s="25" t="str">
        <f t="shared" si="253"/>
        <v/>
      </c>
      <c r="BC949" s="25" t="str">
        <f t="shared" si="254"/>
        <v/>
      </c>
    </row>
    <row r="950" spans="1:55" x14ac:dyDescent="0.25">
      <c r="A950" s="19" t="str">
        <f t="shared" si="239"/>
        <v/>
      </c>
      <c r="B950" s="19"/>
      <c r="C950" s="20"/>
      <c r="D950" s="19" t="str">
        <f t="shared" si="238"/>
        <v/>
      </c>
      <c r="E950" s="19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19"/>
      <c r="U950" s="19"/>
      <c r="V950" s="20"/>
      <c r="W950" s="22"/>
      <c r="X950" s="21"/>
      <c r="Y950" s="21"/>
      <c r="Z950" s="23" t="str">
        <f>IF(B950="","",IF(S950&lt;&gt;"","Sevk Edildi",IF(AND(X950&lt;&gt;"",Y950=""),"Reworkte",IF(T950&lt;&gt;"","Kapandı"&amp;IF(COUNT(G950:R950)=0,""," – "&amp;LOOKUP(2,1/(G950:R950=MAX(G950:R950)),{"Tasarım","Ply Cutter","Üretim","Kalite (Üretim sonrası)","Talaşlı","Kalite (Talaşlı sonrası)","Montaj","Kalite (Montaj sonrası)","Boya","Kalite (Boya sonrası)","Yarı Mamül","KM"})),IF(COUNT(G950:R950)=0,"Başlamadı",LOOKUP(2,1/(G950:R950=MAX(G950:R950)),{"Tasarımda","Ply Cutter'da","Üretimde","Kalitede (Üretim sonrası)","Talaşlıda","Kalitede (Talaşlı sonrası)","Montajda","Kalitede (Montaj sonrası)","Boyada","Kalitede (Boya sonrası)","Yarı Mamülde","KM'de"}))))))</f>
        <v/>
      </c>
      <c r="AA950" s="24" t="str">
        <f t="shared" ca="1" si="240"/>
        <v/>
      </c>
      <c r="AB950" s="22"/>
      <c r="AD950" t="str">
        <f>IF(OR($B950="",NOT(ISNUMBER(G950))),"",IF(COUNTIF(H950:$T950,G950)&gt;0,0,IF(COUNTIF($G950:$T950,"&gt;"&amp;G950)=0,"",SMALL($G950:$T950,COUNTIF($G950:$T950,"&lt;="&amp;G950)+1)-G950)))</f>
        <v/>
      </c>
      <c r="AE950" t="str">
        <f>IF(OR($B950="",NOT(ISNUMBER(H950))),"",IF(COUNTIF(I950:$T950,H950)&gt;0,0,IF(COUNTIF($G950:$T950,"&gt;"&amp;H950)=0,"",SMALL($G950:$T950,COUNTIF($G950:$T950,"&lt;="&amp;H950)+1)-H950)))</f>
        <v/>
      </c>
      <c r="AF950" t="str">
        <f>IF(OR($B950="",NOT(ISNUMBER(I950))),"",IF(COUNTIF(J950:$T950,I950)&gt;0,0,IF(COUNTIF($G950:$T950,"&gt;"&amp;I950)=0,"",SMALL($G950:$T950,COUNTIF($G950:$T950,"&lt;="&amp;I950)+1)-I950)))</f>
        <v/>
      </c>
      <c r="AG950" t="str">
        <f>IF(OR($B950="",NOT(ISNUMBER(J950))),"",IF(COUNTIF(K950:$T950,J950)&gt;0,0,IF(COUNTIF($G950:$T950,"&gt;"&amp;J950)=0,"",SMALL($G950:$T950,COUNTIF($G950:$T950,"&lt;="&amp;J950)+1)-J950)))</f>
        <v/>
      </c>
      <c r="AH950" t="str">
        <f>IF(OR($B950="",NOT(ISNUMBER(K950))),"",IF(COUNTIF(L950:$T950,K950)&gt;0,0,IF(COUNTIF($G950:$T950,"&gt;"&amp;K950)=0,"",SMALL($G950:$T950,COUNTIF($G950:$T950,"&lt;="&amp;K950)+1)-K950)))</f>
        <v/>
      </c>
      <c r="AI950" t="str">
        <f>IF(OR($B950="",NOT(ISNUMBER(L950))),"",IF(COUNTIF(M950:$T950,L950)&gt;0,0,IF(COUNTIF($G950:$T950,"&gt;"&amp;L950)=0,"",SMALL($G950:$T950,COUNTIF($G950:$T950,"&lt;="&amp;L950)+1)-L950)))</f>
        <v/>
      </c>
      <c r="AJ950" t="str">
        <f>IF(OR($B950="",NOT(ISNUMBER(M950))),"",IF(COUNTIF(N950:$T950,M950)&gt;0,0,IF(COUNTIF($G950:$T950,"&gt;"&amp;M950)=0,"",SMALL($G950:$T950,COUNTIF($G950:$T950,"&lt;="&amp;M950)+1)-M950)))</f>
        <v/>
      </c>
      <c r="AK950" t="str">
        <f>IF(OR($B950="",NOT(ISNUMBER(N950))),"",IF(COUNTIF(O950:$T950,N950)&gt;0,0,IF(COUNTIF($G950:$T950,"&gt;"&amp;N950)=0,"",SMALL($G950:$T950,COUNTIF($G950:$T950,"&lt;="&amp;N950)+1)-N950)))</f>
        <v/>
      </c>
      <c r="AL950" t="str">
        <f>IF(OR($B950="",NOT(ISNUMBER(O950))),"",IF(COUNTIF(P950:$T950,O950)&gt;0,0,IF(COUNTIF($G950:$T950,"&gt;"&amp;O950)=0,"",SMALL($G950:$T950,COUNTIF($G950:$T950,"&lt;="&amp;O950)+1)-O950)))</f>
        <v/>
      </c>
      <c r="AM950" t="str">
        <f>IF(OR($B950="",NOT(ISNUMBER(P950))),"",IF(COUNTIF(Q950:$T950,P950)&gt;0,0,IF(COUNTIF($G950:$T950,"&gt;"&amp;P950)=0,"",SMALL($G950:$T950,COUNTIF($G950:$T950,"&lt;="&amp;P950)+1)-P950)))</f>
        <v/>
      </c>
      <c r="AN950" t="str">
        <f>IF(OR($B950="",NOT(ISNUMBER(Q950))),"",IF(COUNTIF(R950:$T950,Q950)&gt;0,0,IF(COUNTIF($G950:$T950,"&gt;"&amp;Q950)=0,"",SMALL($G950:$T950,COUNTIF($G950:$T950,"&lt;="&amp;Q950)+1)-Q950)))</f>
        <v/>
      </c>
      <c r="AO950" t="str">
        <f>IF(OR($B950="",NOT(ISNUMBER(R950))),"",IF(COUNTIF(S950:$T950,R950)&gt;0,0,IF(COUNTIF($G950:$T950,"&gt;"&amp;R950)=0,"",SMALL($G950:$T950,COUNTIF($G950:$T950,"&lt;="&amp;R950)+1)-R950)))</f>
        <v/>
      </c>
      <c r="AP950">
        <f t="shared" ca="1" si="241"/>
        <v>0</v>
      </c>
      <c r="AQ950" s="25" t="str">
        <f t="shared" si="242"/>
        <v/>
      </c>
      <c r="AR950" s="25" t="str">
        <f t="shared" si="243"/>
        <v/>
      </c>
      <c r="AS950" s="25" t="str">
        <f t="shared" si="244"/>
        <v/>
      </c>
      <c r="AT950" s="25" t="str">
        <f t="shared" si="245"/>
        <v/>
      </c>
      <c r="AU950" s="25" t="str">
        <f t="shared" si="246"/>
        <v/>
      </c>
      <c r="AV950" s="25" t="str">
        <f t="shared" si="247"/>
        <v/>
      </c>
      <c r="AW950" s="25" t="str">
        <f t="shared" si="248"/>
        <v/>
      </c>
      <c r="AX950" s="25" t="str">
        <f t="shared" si="249"/>
        <v/>
      </c>
      <c r="AY950" s="25" t="str">
        <f t="shared" si="250"/>
        <v/>
      </c>
      <c r="AZ950" s="25" t="str">
        <f t="shared" si="251"/>
        <v/>
      </c>
      <c r="BA950" s="25" t="str">
        <f t="shared" si="252"/>
        <v/>
      </c>
      <c r="BB950" s="25" t="str">
        <f t="shared" si="253"/>
        <v/>
      </c>
      <c r="BC950" s="25" t="str">
        <f t="shared" si="254"/>
        <v/>
      </c>
    </row>
    <row r="951" spans="1:55" x14ac:dyDescent="0.25">
      <c r="A951" s="19" t="str">
        <f t="shared" si="239"/>
        <v/>
      </c>
      <c r="B951" s="19"/>
      <c r="C951" s="20"/>
      <c r="D951" s="19" t="str">
        <f t="shared" si="238"/>
        <v/>
      </c>
      <c r="E951" s="19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19"/>
      <c r="U951" s="19"/>
      <c r="V951" s="20"/>
      <c r="W951" s="22"/>
      <c r="X951" s="21"/>
      <c r="Y951" s="21"/>
      <c r="Z951" s="23" t="str">
        <f>IF(B951="","",IF(S951&lt;&gt;"","Sevk Edildi",IF(AND(X951&lt;&gt;"",Y951=""),"Reworkte",IF(T951&lt;&gt;"","Kapandı"&amp;IF(COUNT(G951:R951)=0,""," – "&amp;LOOKUP(2,1/(G951:R951=MAX(G951:R951)),{"Tasarım","Ply Cutter","Üretim","Kalite (Üretim sonrası)","Talaşlı","Kalite (Talaşlı sonrası)","Montaj","Kalite (Montaj sonrası)","Boya","Kalite (Boya sonrası)","Yarı Mamül","KM"})),IF(COUNT(G951:R951)=0,"Başlamadı",LOOKUP(2,1/(G951:R951=MAX(G951:R951)),{"Tasarımda","Ply Cutter'da","Üretimde","Kalitede (Üretim sonrası)","Talaşlıda","Kalitede (Talaşlı sonrası)","Montajda","Kalitede (Montaj sonrası)","Boyada","Kalitede (Boya sonrası)","Yarı Mamülde","KM'de"}))))))</f>
        <v/>
      </c>
      <c r="AA951" s="24" t="str">
        <f t="shared" ca="1" si="240"/>
        <v/>
      </c>
      <c r="AB951" s="22"/>
      <c r="AD951" t="str">
        <f>IF(OR($B951="",NOT(ISNUMBER(G951))),"",IF(COUNTIF(H951:$T951,G951)&gt;0,0,IF(COUNTIF($G951:$T951,"&gt;"&amp;G951)=0,"",SMALL($G951:$T951,COUNTIF($G951:$T951,"&lt;="&amp;G951)+1)-G951)))</f>
        <v/>
      </c>
      <c r="AE951" t="str">
        <f>IF(OR($B951="",NOT(ISNUMBER(H951))),"",IF(COUNTIF(I951:$T951,H951)&gt;0,0,IF(COUNTIF($G951:$T951,"&gt;"&amp;H951)=0,"",SMALL($G951:$T951,COUNTIF($G951:$T951,"&lt;="&amp;H951)+1)-H951)))</f>
        <v/>
      </c>
      <c r="AF951" t="str">
        <f>IF(OR($B951="",NOT(ISNUMBER(I951))),"",IF(COUNTIF(J951:$T951,I951)&gt;0,0,IF(COUNTIF($G951:$T951,"&gt;"&amp;I951)=0,"",SMALL($G951:$T951,COUNTIF($G951:$T951,"&lt;="&amp;I951)+1)-I951)))</f>
        <v/>
      </c>
      <c r="AG951" t="str">
        <f>IF(OR($B951="",NOT(ISNUMBER(J951))),"",IF(COUNTIF(K951:$T951,J951)&gt;0,0,IF(COUNTIF($G951:$T951,"&gt;"&amp;J951)=0,"",SMALL($G951:$T951,COUNTIF($G951:$T951,"&lt;="&amp;J951)+1)-J951)))</f>
        <v/>
      </c>
      <c r="AH951" t="str">
        <f>IF(OR($B951="",NOT(ISNUMBER(K951))),"",IF(COUNTIF(L951:$T951,K951)&gt;0,0,IF(COUNTIF($G951:$T951,"&gt;"&amp;K951)=0,"",SMALL($G951:$T951,COUNTIF($G951:$T951,"&lt;="&amp;K951)+1)-K951)))</f>
        <v/>
      </c>
      <c r="AI951" t="str">
        <f>IF(OR($B951="",NOT(ISNUMBER(L951))),"",IF(COUNTIF(M951:$T951,L951)&gt;0,0,IF(COUNTIF($G951:$T951,"&gt;"&amp;L951)=0,"",SMALL($G951:$T951,COUNTIF($G951:$T951,"&lt;="&amp;L951)+1)-L951)))</f>
        <v/>
      </c>
      <c r="AJ951" t="str">
        <f>IF(OR($B951="",NOT(ISNUMBER(M951))),"",IF(COUNTIF(N951:$T951,M951)&gt;0,0,IF(COUNTIF($G951:$T951,"&gt;"&amp;M951)=0,"",SMALL($G951:$T951,COUNTIF($G951:$T951,"&lt;="&amp;M951)+1)-M951)))</f>
        <v/>
      </c>
      <c r="AK951" t="str">
        <f>IF(OR($B951="",NOT(ISNUMBER(N951))),"",IF(COUNTIF(O951:$T951,N951)&gt;0,0,IF(COUNTIF($G951:$T951,"&gt;"&amp;N951)=0,"",SMALL($G951:$T951,COUNTIF($G951:$T951,"&lt;="&amp;N951)+1)-N951)))</f>
        <v/>
      </c>
      <c r="AL951" t="str">
        <f>IF(OR($B951="",NOT(ISNUMBER(O951))),"",IF(COUNTIF(P951:$T951,O951)&gt;0,0,IF(COUNTIF($G951:$T951,"&gt;"&amp;O951)=0,"",SMALL($G951:$T951,COUNTIF($G951:$T951,"&lt;="&amp;O951)+1)-O951)))</f>
        <v/>
      </c>
      <c r="AM951" t="str">
        <f>IF(OR($B951="",NOT(ISNUMBER(P951))),"",IF(COUNTIF(Q951:$T951,P951)&gt;0,0,IF(COUNTIF($G951:$T951,"&gt;"&amp;P951)=0,"",SMALL($G951:$T951,COUNTIF($G951:$T951,"&lt;="&amp;P951)+1)-P951)))</f>
        <v/>
      </c>
      <c r="AN951" t="str">
        <f>IF(OR($B951="",NOT(ISNUMBER(Q951))),"",IF(COUNTIF(R951:$T951,Q951)&gt;0,0,IF(COUNTIF($G951:$T951,"&gt;"&amp;Q951)=0,"",SMALL($G951:$T951,COUNTIF($G951:$T951,"&lt;="&amp;Q951)+1)-Q951)))</f>
        <v/>
      </c>
      <c r="AO951" t="str">
        <f>IF(OR($B951="",NOT(ISNUMBER(R951))),"",IF(COUNTIF(S951:$T951,R951)&gt;0,0,IF(COUNTIF($G951:$T951,"&gt;"&amp;R951)=0,"",SMALL($G951:$T951,COUNTIF($G951:$T951,"&lt;="&amp;R951)+1)-R951)))</f>
        <v/>
      </c>
      <c r="AP951">
        <f t="shared" ca="1" si="241"/>
        <v>0</v>
      </c>
      <c r="AQ951" s="25" t="str">
        <f t="shared" si="242"/>
        <v/>
      </c>
      <c r="AR951" s="25" t="str">
        <f t="shared" si="243"/>
        <v/>
      </c>
      <c r="AS951" s="25" t="str">
        <f t="shared" si="244"/>
        <v/>
      </c>
      <c r="AT951" s="25" t="str">
        <f t="shared" si="245"/>
        <v/>
      </c>
      <c r="AU951" s="25" t="str">
        <f t="shared" si="246"/>
        <v/>
      </c>
      <c r="AV951" s="25" t="str">
        <f t="shared" si="247"/>
        <v/>
      </c>
      <c r="AW951" s="25" t="str">
        <f t="shared" si="248"/>
        <v/>
      </c>
      <c r="AX951" s="25" t="str">
        <f t="shared" si="249"/>
        <v/>
      </c>
      <c r="AY951" s="25" t="str">
        <f t="shared" si="250"/>
        <v/>
      </c>
      <c r="AZ951" s="25" t="str">
        <f t="shared" si="251"/>
        <v/>
      </c>
      <c r="BA951" s="25" t="str">
        <f t="shared" si="252"/>
        <v/>
      </c>
      <c r="BB951" s="25" t="str">
        <f t="shared" si="253"/>
        <v/>
      </c>
      <c r="BC951" s="25" t="str">
        <f t="shared" si="254"/>
        <v/>
      </c>
    </row>
    <row r="952" spans="1:55" x14ac:dyDescent="0.25">
      <c r="A952" s="19" t="str">
        <f t="shared" si="239"/>
        <v/>
      </c>
      <c r="B952" s="19"/>
      <c r="C952" s="20"/>
      <c r="D952" s="19" t="str">
        <f t="shared" si="238"/>
        <v/>
      </c>
      <c r="E952" s="19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19"/>
      <c r="U952" s="19"/>
      <c r="V952" s="20"/>
      <c r="W952" s="22"/>
      <c r="X952" s="21"/>
      <c r="Y952" s="21"/>
      <c r="Z952" s="23" t="str">
        <f>IF(B952="","",IF(S952&lt;&gt;"","Sevk Edildi",IF(AND(X952&lt;&gt;"",Y952=""),"Reworkte",IF(T952&lt;&gt;"","Kapandı"&amp;IF(COUNT(G952:R952)=0,""," – "&amp;LOOKUP(2,1/(G952:R952=MAX(G952:R952)),{"Tasarım","Ply Cutter","Üretim","Kalite (Üretim sonrası)","Talaşlı","Kalite (Talaşlı sonrası)","Montaj","Kalite (Montaj sonrası)","Boya","Kalite (Boya sonrası)","Yarı Mamül","KM"})),IF(COUNT(G952:R952)=0,"Başlamadı",LOOKUP(2,1/(G952:R952=MAX(G952:R952)),{"Tasarımda","Ply Cutter'da","Üretimde","Kalitede (Üretim sonrası)","Talaşlıda","Kalitede (Talaşlı sonrası)","Montajda","Kalitede (Montaj sonrası)","Boyada","Kalitede (Boya sonrası)","Yarı Mamülde","KM'de"}))))))</f>
        <v/>
      </c>
      <c r="AA952" s="24" t="str">
        <f t="shared" ca="1" si="240"/>
        <v/>
      </c>
      <c r="AB952" s="22"/>
      <c r="AD952" t="str">
        <f>IF(OR($B952="",NOT(ISNUMBER(G952))),"",IF(COUNTIF(H952:$T952,G952)&gt;0,0,IF(COUNTIF($G952:$T952,"&gt;"&amp;G952)=0,"",SMALL($G952:$T952,COUNTIF($G952:$T952,"&lt;="&amp;G952)+1)-G952)))</f>
        <v/>
      </c>
      <c r="AE952" t="str">
        <f>IF(OR($B952="",NOT(ISNUMBER(H952))),"",IF(COUNTIF(I952:$T952,H952)&gt;0,0,IF(COUNTIF($G952:$T952,"&gt;"&amp;H952)=0,"",SMALL($G952:$T952,COUNTIF($G952:$T952,"&lt;="&amp;H952)+1)-H952)))</f>
        <v/>
      </c>
      <c r="AF952" t="str">
        <f>IF(OR($B952="",NOT(ISNUMBER(I952))),"",IF(COUNTIF(J952:$T952,I952)&gt;0,0,IF(COUNTIF($G952:$T952,"&gt;"&amp;I952)=0,"",SMALL($G952:$T952,COUNTIF($G952:$T952,"&lt;="&amp;I952)+1)-I952)))</f>
        <v/>
      </c>
      <c r="AG952" t="str">
        <f>IF(OR($B952="",NOT(ISNUMBER(J952))),"",IF(COUNTIF(K952:$T952,J952)&gt;0,0,IF(COUNTIF($G952:$T952,"&gt;"&amp;J952)=0,"",SMALL($G952:$T952,COUNTIF($G952:$T952,"&lt;="&amp;J952)+1)-J952)))</f>
        <v/>
      </c>
      <c r="AH952" t="str">
        <f>IF(OR($B952="",NOT(ISNUMBER(K952))),"",IF(COUNTIF(L952:$T952,K952)&gt;0,0,IF(COUNTIF($G952:$T952,"&gt;"&amp;K952)=0,"",SMALL($G952:$T952,COUNTIF($G952:$T952,"&lt;="&amp;K952)+1)-K952)))</f>
        <v/>
      </c>
      <c r="AI952" t="str">
        <f>IF(OR($B952="",NOT(ISNUMBER(L952))),"",IF(COUNTIF(M952:$T952,L952)&gt;0,0,IF(COUNTIF($G952:$T952,"&gt;"&amp;L952)=0,"",SMALL($G952:$T952,COUNTIF($G952:$T952,"&lt;="&amp;L952)+1)-L952)))</f>
        <v/>
      </c>
      <c r="AJ952" t="str">
        <f>IF(OR($B952="",NOT(ISNUMBER(M952))),"",IF(COUNTIF(N952:$T952,M952)&gt;0,0,IF(COUNTIF($G952:$T952,"&gt;"&amp;M952)=0,"",SMALL($G952:$T952,COUNTIF($G952:$T952,"&lt;="&amp;M952)+1)-M952)))</f>
        <v/>
      </c>
      <c r="AK952" t="str">
        <f>IF(OR($B952="",NOT(ISNUMBER(N952))),"",IF(COUNTIF(O952:$T952,N952)&gt;0,0,IF(COUNTIF($G952:$T952,"&gt;"&amp;N952)=0,"",SMALL($G952:$T952,COUNTIF($G952:$T952,"&lt;="&amp;N952)+1)-N952)))</f>
        <v/>
      </c>
      <c r="AL952" t="str">
        <f>IF(OR($B952="",NOT(ISNUMBER(O952))),"",IF(COUNTIF(P952:$T952,O952)&gt;0,0,IF(COUNTIF($G952:$T952,"&gt;"&amp;O952)=0,"",SMALL($G952:$T952,COUNTIF($G952:$T952,"&lt;="&amp;O952)+1)-O952)))</f>
        <v/>
      </c>
      <c r="AM952" t="str">
        <f>IF(OR($B952="",NOT(ISNUMBER(P952))),"",IF(COUNTIF(Q952:$T952,P952)&gt;0,0,IF(COUNTIF($G952:$T952,"&gt;"&amp;P952)=0,"",SMALL($G952:$T952,COUNTIF($G952:$T952,"&lt;="&amp;P952)+1)-P952)))</f>
        <v/>
      </c>
      <c r="AN952" t="str">
        <f>IF(OR($B952="",NOT(ISNUMBER(Q952))),"",IF(COUNTIF(R952:$T952,Q952)&gt;0,0,IF(COUNTIF($G952:$T952,"&gt;"&amp;Q952)=0,"",SMALL($G952:$T952,COUNTIF($G952:$T952,"&lt;="&amp;Q952)+1)-Q952)))</f>
        <v/>
      </c>
      <c r="AO952" t="str">
        <f>IF(OR($B952="",NOT(ISNUMBER(R952))),"",IF(COUNTIF(S952:$T952,R952)&gt;0,0,IF(COUNTIF($G952:$T952,"&gt;"&amp;R952)=0,"",SMALL($G952:$T952,COUNTIF($G952:$T952,"&lt;="&amp;R952)+1)-R952)))</f>
        <v/>
      </c>
      <c r="AP952">
        <f t="shared" ca="1" si="241"/>
        <v>0</v>
      </c>
      <c r="AQ952" s="25" t="str">
        <f t="shared" si="242"/>
        <v/>
      </c>
      <c r="AR952" s="25" t="str">
        <f t="shared" si="243"/>
        <v/>
      </c>
      <c r="AS952" s="25" t="str">
        <f t="shared" si="244"/>
        <v/>
      </c>
      <c r="AT952" s="25" t="str">
        <f t="shared" si="245"/>
        <v/>
      </c>
      <c r="AU952" s="25" t="str">
        <f t="shared" si="246"/>
        <v/>
      </c>
      <c r="AV952" s="25" t="str">
        <f t="shared" si="247"/>
        <v/>
      </c>
      <c r="AW952" s="25" t="str">
        <f t="shared" si="248"/>
        <v/>
      </c>
      <c r="AX952" s="25" t="str">
        <f t="shared" si="249"/>
        <v/>
      </c>
      <c r="AY952" s="25" t="str">
        <f t="shared" si="250"/>
        <v/>
      </c>
      <c r="AZ952" s="25" t="str">
        <f t="shared" si="251"/>
        <v/>
      </c>
      <c r="BA952" s="25" t="str">
        <f t="shared" si="252"/>
        <v/>
      </c>
      <c r="BB952" s="25" t="str">
        <f t="shared" si="253"/>
        <v/>
      </c>
      <c r="BC952" s="25" t="str">
        <f t="shared" si="254"/>
        <v/>
      </c>
    </row>
    <row r="953" spans="1:55" x14ac:dyDescent="0.25">
      <c r="A953" s="19" t="str">
        <f t="shared" si="239"/>
        <v/>
      </c>
      <c r="B953" s="19"/>
      <c r="C953" s="20"/>
      <c r="D953" s="19" t="str">
        <f t="shared" si="238"/>
        <v/>
      </c>
      <c r="E953" s="19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19"/>
      <c r="U953" s="19"/>
      <c r="V953" s="20"/>
      <c r="W953" s="22"/>
      <c r="X953" s="21"/>
      <c r="Y953" s="21"/>
      <c r="Z953" s="23" t="str">
        <f>IF(B953="","",IF(S953&lt;&gt;"","Sevk Edildi",IF(AND(X953&lt;&gt;"",Y953=""),"Reworkte",IF(T953&lt;&gt;"","Kapandı"&amp;IF(COUNT(G953:R953)=0,""," – "&amp;LOOKUP(2,1/(G953:R953=MAX(G953:R953)),{"Tasarım","Ply Cutter","Üretim","Kalite (Üretim sonrası)","Talaşlı","Kalite (Talaşlı sonrası)","Montaj","Kalite (Montaj sonrası)","Boya","Kalite (Boya sonrası)","Yarı Mamül","KM"})),IF(COUNT(G953:R953)=0,"Başlamadı",LOOKUP(2,1/(G953:R953=MAX(G953:R953)),{"Tasarımda","Ply Cutter'da","Üretimde","Kalitede (Üretim sonrası)","Talaşlıda","Kalitede (Talaşlı sonrası)","Montajda","Kalitede (Montaj sonrası)","Boyada","Kalitede (Boya sonrası)","Yarı Mamülde","KM'de"}))))))</f>
        <v/>
      </c>
      <c r="AA953" s="24" t="str">
        <f t="shared" ca="1" si="240"/>
        <v/>
      </c>
      <c r="AB953" s="22"/>
      <c r="AD953" t="str">
        <f>IF(OR($B953="",NOT(ISNUMBER(G953))),"",IF(COUNTIF(H953:$T953,G953)&gt;0,0,IF(COUNTIF($G953:$T953,"&gt;"&amp;G953)=0,"",SMALL($G953:$T953,COUNTIF($G953:$T953,"&lt;="&amp;G953)+1)-G953)))</f>
        <v/>
      </c>
      <c r="AE953" t="str">
        <f>IF(OR($B953="",NOT(ISNUMBER(H953))),"",IF(COUNTIF(I953:$T953,H953)&gt;0,0,IF(COUNTIF($G953:$T953,"&gt;"&amp;H953)=0,"",SMALL($G953:$T953,COUNTIF($G953:$T953,"&lt;="&amp;H953)+1)-H953)))</f>
        <v/>
      </c>
      <c r="AF953" t="str">
        <f>IF(OR($B953="",NOT(ISNUMBER(I953))),"",IF(COUNTIF(J953:$T953,I953)&gt;0,0,IF(COUNTIF($G953:$T953,"&gt;"&amp;I953)=0,"",SMALL($G953:$T953,COUNTIF($G953:$T953,"&lt;="&amp;I953)+1)-I953)))</f>
        <v/>
      </c>
      <c r="AG953" t="str">
        <f>IF(OR($B953="",NOT(ISNUMBER(J953))),"",IF(COUNTIF(K953:$T953,J953)&gt;0,0,IF(COUNTIF($G953:$T953,"&gt;"&amp;J953)=0,"",SMALL($G953:$T953,COUNTIF($G953:$T953,"&lt;="&amp;J953)+1)-J953)))</f>
        <v/>
      </c>
      <c r="AH953" t="str">
        <f>IF(OR($B953="",NOT(ISNUMBER(K953))),"",IF(COUNTIF(L953:$T953,K953)&gt;0,0,IF(COUNTIF($G953:$T953,"&gt;"&amp;K953)=0,"",SMALL($G953:$T953,COUNTIF($G953:$T953,"&lt;="&amp;K953)+1)-K953)))</f>
        <v/>
      </c>
      <c r="AI953" t="str">
        <f>IF(OR($B953="",NOT(ISNUMBER(L953))),"",IF(COUNTIF(M953:$T953,L953)&gt;0,0,IF(COUNTIF($G953:$T953,"&gt;"&amp;L953)=0,"",SMALL($G953:$T953,COUNTIF($G953:$T953,"&lt;="&amp;L953)+1)-L953)))</f>
        <v/>
      </c>
      <c r="AJ953" t="str">
        <f>IF(OR($B953="",NOT(ISNUMBER(M953))),"",IF(COUNTIF(N953:$T953,M953)&gt;0,0,IF(COUNTIF($G953:$T953,"&gt;"&amp;M953)=0,"",SMALL($G953:$T953,COUNTIF($G953:$T953,"&lt;="&amp;M953)+1)-M953)))</f>
        <v/>
      </c>
      <c r="AK953" t="str">
        <f>IF(OR($B953="",NOT(ISNUMBER(N953))),"",IF(COUNTIF(O953:$T953,N953)&gt;0,0,IF(COUNTIF($G953:$T953,"&gt;"&amp;N953)=0,"",SMALL($G953:$T953,COUNTIF($G953:$T953,"&lt;="&amp;N953)+1)-N953)))</f>
        <v/>
      </c>
      <c r="AL953" t="str">
        <f>IF(OR($B953="",NOT(ISNUMBER(O953))),"",IF(COUNTIF(P953:$T953,O953)&gt;0,0,IF(COUNTIF($G953:$T953,"&gt;"&amp;O953)=0,"",SMALL($G953:$T953,COUNTIF($G953:$T953,"&lt;="&amp;O953)+1)-O953)))</f>
        <v/>
      </c>
      <c r="AM953" t="str">
        <f>IF(OR($B953="",NOT(ISNUMBER(P953))),"",IF(COUNTIF(Q953:$T953,P953)&gt;0,0,IF(COUNTIF($G953:$T953,"&gt;"&amp;P953)=0,"",SMALL($G953:$T953,COUNTIF($G953:$T953,"&lt;="&amp;P953)+1)-P953)))</f>
        <v/>
      </c>
      <c r="AN953" t="str">
        <f>IF(OR($B953="",NOT(ISNUMBER(Q953))),"",IF(COUNTIF(R953:$T953,Q953)&gt;0,0,IF(COUNTIF($G953:$T953,"&gt;"&amp;Q953)=0,"",SMALL($G953:$T953,COUNTIF($G953:$T953,"&lt;="&amp;Q953)+1)-Q953)))</f>
        <v/>
      </c>
      <c r="AO953" t="str">
        <f>IF(OR($B953="",NOT(ISNUMBER(R953))),"",IF(COUNTIF(S953:$T953,R953)&gt;0,0,IF(COUNTIF($G953:$T953,"&gt;"&amp;R953)=0,"",SMALL($G953:$T953,COUNTIF($G953:$T953,"&lt;="&amp;R953)+1)-R953)))</f>
        <v/>
      </c>
      <c r="AP953">
        <f t="shared" ca="1" si="241"/>
        <v>0</v>
      </c>
      <c r="AQ953" s="25" t="str">
        <f t="shared" si="242"/>
        <v/>
      </c>
      <c r="AR953" s="25" t="str">
        <f t="shared" si="243"/>
        <v/>
      </c>
      <c r="AS953" s="25" t="str">
        <f t="shared" si="244"/>
        <v/>
      </c>
      <c r="AT953" s="25" t="str">
        <f t="shared" si="245"/>
        <v/>
      </c>
      <c r="AU953" s="25" t="str">
        <f t="shared" si="246"/>
        <v/>
      </c>
      <c r="AV953" s="25" t="str">
        <f t="shared" si="247"/>
        <v/>
      </c>
      <c r="AW953" s="25" t="str">
        <f t="shared" si="248"/>
        <v/>
      </c>
      <c r="AX953" s="25" t="str">
        <f t="shared" si="249"/>
        <v/>
      </c>
      <c r="AY953" s="25" t="str">
        <f t="shared" si="250"/>
        <v/>
      </c>
      <c r="AZ953" s="25" t="str">
        <f t="shared" si="251"/>
        <v/>
      </c>
      <c r="BA953" s="25" t="str">
        <f t="shared" si="252"/>
        <v/>
      </c>
      <c r="BB953" s="25" t="str">
        <f t="shared" si="253"/>
        <v/>
      </c>
      <c r="BC953" s="25" t="str">
        <f t="shared" si="254"/>
        <v/>
      </c>
    </row>
    <row r="954" spans="1:55" x14ac:dyDescent="0.25">
      <c r="A954" s="19" t="str">
        <f t="shared" si="239"/>
        <v/>
      </c>
      <c r="B954" s="19"/>
      <c r="C954" s="20"/>
      <c r="D954" s="19" t="str">
        <f t="shared" si="238"/>
        <v/>
      </c>
      <c r="E954" s="19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19"/>
      <c r="U954" s="19"/>
      <c r="V954" s="20"/>
      <c r="W954" s="22"/>
      <c r="X954" s="21"/>
      <c r="Y954" s="21"/>
      <c r="Z954" s="23" t="str">
        <f>IF(B954="","",IF(S954&lt;&gt;"","Sevk Edildi",IF(AND(X954&lt;&gt;"",Y954=""),"Reworkte",IF(T954&lt;&gt;"","Kapandı"&amp;IF(COUNT(G954:R954)=0,""," – "&amp;LOOKUP(2,1/(G954:R954=MAX(G954:R954)),{"Tasarım","Ply Cutter","Üretim","Kalite (Üretim sonrası)","Talaşlı","Kalite (Talaşlı sonrası)","Montaj","Kalite (Montaj sonrası)","Boya","Kalite (Boya sonrası)","Yarı Mamül","KM"})),IF(COUNT(G954:R954)=0,"Başlamadı",LOOKUP(2,1/(G954:R954=MAX(G954:R954)),{"Tasarımda","Ply Cutter'da","Üretimde","Kalitede (Üretim sonrası)","Talaşlıda","Kalitede (Talaşlı sonrası)","Montajda","Kalitede (Montaj sonrası)","Boyada","Kalitede (Boya sonrası)","Yarı Mamülde","KM'de"}))))))</f>
        <v/>
      </c>
      <c r="AA954" s="24" t="str">
        <f t="shared" ca="1" si="240"/>
        <v/>
      </c>
      <c r="AB954" s="22"/>
      <c r="AD954" t="str">
        <f>IF(OR($B954="",NOT(ISNUMBER(G954))),"",IF(COUNTIF(H954:$T954,G954)&gt;0,0,IF(COUNTIF($G954:$T954,"&gt;"&amp;G954)=0,"",SMALL($G954:$T954,COUNTIF($G954:$T954,"&lt;="&amp;G954)+1)-G954)))</f>
        <v/>
      </c>
      <c r="AE954" t="str">
        <f>IF(OR($B954="",NOT(ISNUMBER(H954))),"",IF(COUNTIF(I954:$T954,H954)&gt;0,0,IF(COUNTIF($G954:$T954,"&gt;"&amp;H954)=0,"",SMALL($G954:$T954,COUNTIF($G954:$T954,"&lt;="&amp;H954)+1)-H954)))</f>
        <v/>
      </c>
      <c r="AF954" t="str">
        <f>IF(OR($B954="",NOT(ISNUMBER(I954))),"",IF(COUNTIF(J954:$T954,I954)&gt;0,0,IF(COUNTIF($G954:$T954,"&gt;"&amp;I954)=0,"",SMALL($G954:$T954,COUNTIF($G954:$T954,"&lt;="&amp;I954)+1)-I954)))</f>
        <v/>
      </c>
      <c r="AG954" t="str">
        <f>IF(OR($B954="",NOT(ISNUMBER(J954))),"",IF(COUNTIF(K954:$T954,J954)&gt;0,0,IF(COUNTIF($G954:$T954,"&gt;"&amp;J954)=0,"",SMALL($G954:$T954,COUNTIF($G954:$T954,"&lt;="&amp;J954)+1)-J954)))</f>
        <v/>
      </c>
      <c r="AH954" t="str">
        <f>IF(OR($B954="",NOT(ISNUMBER(K954))),"",IF(COUNTIF(L954:$T954,K954)&gt;0,0,IF(COUNTIF($G954:$T954,"&gt;"&amp;K954)=0,"",SMALL($G954:$T954,COUNTIF($G954:$T954,"&lt;="&amp;K954)+1)-K954)))</f>
        <v/>
      </c>
      <c r="AI954" t="str">
        <f>IF(OR($B954="",NOT(ISNUMBER(L954))),"",IF(COUNTIF(M954:$T954,L954)&gt;0,0,IF(COUNTIF($G954:$T954,"&gt;"&amp;L954)=0,"",SMALL($G954:$T954,COUNTIF($G954:$T954,"&lt;="&amp;L954)+1)-L954)))</f>
        <v/>
      </c>
      <c r="AJ954" t="str">
        <f>IF(OR($B954="",NOT(ISNUMBER(M954))),"",IF(COUNTIF(N954:$T954,M954)&gt;0,0,IF(COUNTIF($G954:$T954,"&gt;"&amp;M954)=0,"",SMALL($G954:$T954,COUNTIF($G954:$T954,"&lt;="&amp;M954)+1)-M954)))</f>
        <v/>
      </c>
      <c r="AK954" t="str">
        <f>IF(OR($B954="",NOT(ISNUMBER(N954))),"",IF(COUNTIF(O954:$T954,N954)&gt;0,0,IF(COUNTIF($G954:$T954,"&gt;"&amp;N954)=0,"",SMALL($G954:$T954,COUNTIF($G954:$T954,"&lt;="&amp;N954)+1)-N954)))</f>
        <v/>
      </c>
      <c r="AL954" t="str">
        <f>IF(OR($B954="",NOT(ISNUMBER(O954))),"",IF(COUNTIF(P954:$T954,O954)&gt;0,0,IF(COUNTIF($G954:$T954,"&gt;"&amp;O954)=0,"",SMALL($G954:$T954,COUNTIF($G954:$T954,"&lt;="&amp;O954)+1)-O954)))</f>
        <v/>
      </c>
      <c r="AM954" t="str">
        <f>IF(OR($B954="",NOT(ISNUMBER(P954))),"",IF(COUNTIF(Q954:$T954,P954)&gt;0,0,IF(COUNTIF($G954:$T954,"&gt;"&amp;P954)=0,"",SMALL($G954:$T954,COUNTIF($G954:$T954,"&lt;="&amp;P954)+1)-P954)))</f>
        <v/>
      </c>
      <c r="AN954" t="str">
        <f>IF(OR($B954="",NOT(ISNUMBER(Q954))),"",IF(COUNTIF(R954:$T954,Q954)&gt;0,0,IF(COUNTIF($G954:$T954,"&gt;"&amp;Q954)=0,"",SMALL($G954:$T954,COUNTIF($G954:$T954,"&lt;="&amp;Q954)+1)-Q954)))</f>
        <v/>
      </c>
      <c r="AO954" t="str">
        <f>IF(OR($B954="",NOT(ISNUMBER(R954))),"",IF(COUNTIF(S954:$T954,R954)&gt;0,0,IF(COUNTIF($G954:$T954,"&gt;"&amp;R954)=0,"",SMALL($G954:$T954,COUNTIF($G954:$T954,"&lt;="&amp;R954)+1)-R954)))</f>
        <v/>
      </c>
      <c r="AP954">
        <f t="shared" ca="1" si="241"/>
        <v>0</v>
      </c>
      <c r="AQ954" s="25" t="str">
        <f t="shared" si="242"/>
        <v/>
      </c>
      <c r="AR954" s="25" t="str">
        <f t="shared" si="243"/>
        <v/>
      </c>
      <c r="AS954" s="25" t="str">
        <f t="shared" si="244"/>
        <v/>
      </c>
      <c r="AT954" s="25" t="str">
        <f t="shared" si="245"/>
        <v/>
      </c>
      <c r="AU954" s="25" t="str">
        <f t="shared" si="246"/>
        <v/>
      </c>
      <c r="AV954" s="25" t="str">
        <f t="shared" si="247"/>
        <v/>
      </c>
      <c r="AW954" s="25" t="str">
        <f t="shared" si="248"/>
        <v/>
      </c>
      <c r="AX954" s="25" t="str">
        <f t="shared" si="249"/>
        <v/>
      </c>
      <c r="AY954" s="25" t="str">
        <f t="shared" si="250"/>
        <v/>
      </c>
      <c r="AZ954" s="25" t="str">
        <f t="shared" si="251"/>
        <v/>
      </c>
      <c r="BA954" s="25" t="str">
        <f t="shared" si="252"/>
        <v/>
      </c>
      <c r="BB954" s="25" t="str">
        <f t="shared" si="253"/>
        <v/>
      </c>
      <c r="BC954" s="25" t="str">
        <f t="shared" si="254"/>
        <v/>
      </c>
    </row>
    <row r="955" spans="1:55" x14ac:dyDescent="0.25">
      <c r="A955" s="19" t="str">
        <f t="shared" si="239"/>
        <v/>
      </c>
      <c r="B955" s="19"/>
      <c r="C955" s="20"/>
      <c r="D955" s="19" t="str">
        <f t="shared" si="238"/>
        <v/>
      </c>
      <c r="E955" s="19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19"/>
      <c r="U955" s="19"/>
      <c r="V955" s="20"/>
      <c r="W955" s="22"/>
      <c r="X955" s="21"/>
      <c r="Y955" s="21"/>
      <c r="Z955" s="23" t="str">
        <f>IF(B955="","",IF(S955&lt;&gt;"","Sevk Edildi",IF(AND(X955&lt;&gt;"",Y955=""),"Reworkte",IF(T955&lt;&gt;"","Kapandı"&amp;IF(COUNT(G955:R955)=0,""," – "&amp;LOOKUP(2,1/(G955:R955=MAX(G955:R955)),{"Tasarım","Ply Cutter","Üretim","Kalite (Üretim sonrası)","Talaşlı","Kalite (Talaşlı sonrası)","Montaj","Kalite (Montaj sonrası)","Boya","Kalite (Boya sonrası)","Yarı Mamül","KM"})),IF(COUNT(G955:R955)=0,"Başlamadı",LOOKUP(2,1/(G955:R955=MAX(G955:R955)),{"Tasarımda","Ply Cutter'da","Üretimde","Kalitede (Üretim sonrası)","Talaşlıda","Kalitede (Talaşlı sonrası)","Montajda","Kalitede (Montaj sonrası)","Boyada","Kalitede (Boya sonrası)","Yarı Mamülde","KM'de"}))))))</f>
        <v/>
      </c>
      <c r="AA955" s="24" t="str">
        <f t="shared" ca="1" si="240"/>
        <v/>
      </c>
      <c r="AB955" s="22"/>
      <c r="AD955" t="str">
        <f>IF(OR($B955="",NOT(ISNUMBER(G955))),"",IF(COUNTIF(H955:$T955,G955)&gt;0,0,IF(COUNTIF($G955:$T955,"&gt;"&amp;G955)=0,"",SMALL($G955:$T955,COUNTIF($G955:$T955,"&lt;="&amp;G955)+1)-G955)))</f>
        <v/>
      </c>
      <c r="AE955" t="str">
        <f>IF(OR($B955="",NOT(ISNUMBER(H955))),"",IF(COUNTIF(I955:$T955,H955)&gt;0,0,IF(COUNTIF($G955:$T955,"&gt;"&amp;H955)=0,"",SMALL($G955:$T955,COUNTIF($G955:$T955,"&lt;="&amp;H955)+1)-H955)))</f>
        <v/>
      </c>
      <c r="AF955" t="str">
        <f>IF(OR($B955="",NOT(ISNUMBER(I955))),"",IF(COUNTIF(J955:$T955,I955)&gt;0,0,IF(COUNTIF($G955:$T955,"&gt;"&amp;I955)=0,"",SMALL($G955:$T955,COUNTIF($G955:$T955,"&lt;="&amp;I955)+1)-I955)))</f>
        <v/>
      </c>
      <c r="AG955" t="str">
        <f>IF(OR($B955="",NOT(ISNUMBER(J955))),"",IF(COUNTIF(K955:$T955,J955)&gt;0,0,IF(COUNTIF($G955:$T955,"&gt;"&amp;J955)=0,"",SMALL($G955:$T955,COUNTIF($G955:$T955,"&lt;="&amp;J955)+1)-J955)))</f>
        <v/>
      </c>
      <c r="AH955" t="str">
        <f>IF(OR($B955="",NOT(ISNUMBER(K955))),"",IF(COUNTIF(L955:$T955,K955)&gt;0,0,IF(COUNTIF($G955:$T955,"&gt;"&amp;K955)=0,"",SMALL($G955:$T955,COUNTIF($G955:$T955,"&lt;="&amp;K955)+1)-K955)))</f>
        <v/>
      </c>
      <c r="AI955" t="str">
        <f>IF(OR($B955="",NOT(ISNUMBER(L955))),"",IF(COUNTIF(M955:$T955,L955)&gt;0,0,IF(COUNTIF($G955:$T955,"&gt;"&amp;L955)=0,"",SMALL($G955:$T955,COUNTIF($G955:$T955,"&lt;="&amp;L955)+1)-L955)))</f>
        <v/>
      </c>
      <c r="AJ955" t="str">
        <f>IF(OR($B955="",NOT(ISNUMBER(M955))),"",IF(COUNTIF(N955:$T955,M955)&gt;0,0,IF(COUNTIF($G955:$T955,"&gt;"&amp;M955)=0,"",SMALL($G955:$T955,COUNTIF($G955:$T955,"&lt;="&amp;M955)+1)-M955)))</f>
        <v/>
      </c>
      <c r="AK955" t="str">
        <f>IF(OR($B955="",NOT(ISNUMBER(N955))),"",IF(COUNTIF(O955:$T955,N955)&gt;0,0,IF(COUNTIF($G955:$T955,"&gt;"&amp;N955)=0,"",SMALL($G955:$T955,COUNTIF($G955:$T955,"&lt;="&amp;N955)+1)-N955)))</f>
        <v/>
      </c>
      <c r="AL955" t="str">
        <f>IF(OR($B955="",NOT(ISNUMBER(O955))),"",IF(COUNTIF(P955:$T955,O955)&gt;0,0,IF(COUNTIF($G955:$T955,"&gt;"&amp;O955)=0,"",SMALL($G955:$T955,COUNTIF($G955:$T955,"&lt;="&amp;O955)+1)-O955)))</f>
        <v/>
      </c>
      <c r="AM955" t="str">
        <f>IF(OR($B955="",NOT(ISNUMBER(P955))),"",IF(COUNTIF(Q955:$T955,P955)&gt;0,0,IF(COUNTIF($G955:$T955,"&gt;"&amp;P955)=0,"",SMALL($G955:$T955,COUNTIF($G955:$T955,"&lt;="&amp;P955)+1)-P955)))</f>
        <v/>
      </c>
      <c r="AN955" t="str">
        <f>IF(OR($B955="",NOT(ISNUMBER(Q955))),"",IF(COUNTIF(R955:$T955,Q955)&gt;0,0,IF(COUNTIF($G955:$T955,"&gt;"&amp;Q955)=0,"",SMALL($G955:$T955,COUNTIF($G955:$T955,"&lt;="&amp;Q955)+1)-Q955)))</f>
        <v/>
      </c>
      <c r="AO955" t="str">
        <f>IF(OR($B955="",NOT(ISNUMBER(R955))),"",IF(COUNTIF(S955:$T955,R955)&gt;0,0,IF(COUNTIF($G955:$T955,"&gt;"&amp;R955)=0,"",SMALL($G955:$T955,COUNTIF($G955:$T955,"&lt;="&amp;R955)+1)-R955)))</f>
        <v/>
      </c>
      <c r="AP955">
        <f t="shared" ca="1" si="241"/>
        <v>0</v>
      </c>
      <c r="AQ955" s="25" t="str">
        <f t="shared" si="242"/>
        <v/>
      </c>
      <c r="AR955" s="25" t="str">
        <f t="shared" si="243"/>
        <v/>
      </c>
      <c r="AS955" s="25" t="str">
        <f t="shared" si="244"/>
        <v/>
      </c>
      <c r="AT955" s="25" t="str">
        <f t="shared" si="245"/>
        <v/>
      </c>
      <c r="AU955" s="25" t="str">
        <f t="shared" si="246"/>
        <v/>
      </c>
      <c r="AV955" s="25" t="str">
        <f t="shared" si="247"/>
        <v/>
      </c>
      <c r="AW955" s="25" t="str">
        <f t="shared" si="248"/>
        <v/>
      </c>
      <c r="AX955" s="25" t="str">
        <f t="shared" si="249"/>
        <v/>
      </c>
      <c r="AY955" s="25" t="str">
        <f t="shared" si="250"/>
        <v/>
      </c>
      <c r="AZ955" s="25" t="str">
        <f t="shared" si="251"/>
        <v/>
      </c>
      <c r="BA955" s="25" t="str">
        <f t="shared" si="252"/>
        <v/>
      </c>
      <c r="BB955" s="25" t="str">
        <f t="shared" si="253"/>
        <v/>
      </c>
      <c r="BC955" s="25" t="str">
        <f t="shared" si="254"/>
        <v/>
      </c>
    </row>
    <row r="956" spans="1:55" x14ac:dyDescent="0.25">
      <c r="A956" s="19" t="str">
        <f t="shared" si="239"/>
        <v/>
      </c>
      <c r="B956" s="19"/>
      <c r="C956" s="20"/>
      <c r="D956" s="19" t="str">
        <f t="shared" si="238"/>
        <v/>
      </c>
      <c r="E956" s="19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19"/>
      <c r="U956" s="19"/>
      <c r="V956" s="20"/>
      <c r="W956" s="22"/>
      <c r="X956" s="21"/>
      <c r="Y956" s="21"/>
      <c r="Z956" s="23" t="str">
        <f>IF(B956="","",IF(S956&lt;&gt;"","Sevk Edildi",IF(AND(X956&lt;&gt;"",Y956=""),"Reworkte",IF(T956&lt;&gt;"","Kapandı"&amp;IF(COUNT(G956:R956)=0,""," – "&amp;LOOKUP(2,1/(G956:R956=MAX(G956:R956)),{"Tasarım","Ply Cutter","Üretim","Kalite (Üretim sonrası)","Talaşlı","Kalite (Talaşlı sonrası)","Montaj","Kalite (Montaj sonrası)","Boya","Kalite (Boya sonrası)","Yarı Mamül","KM"})),IF(COUNT(G956:R956)=0,"Başlamadı",LOOKUP(2,1/(G956:R956=MAX(G956:R956)),{"Tasarımda","Ply Cutter'da","Üretimde","Kalitede (Üretim sonrası)","Talaşlıda","Kalitede (Talaşlı sonrası)","Montajda","Kalitede (Montaj sonrası)","Boyada","Kalitede (Boya sonrası)","Yarı Mamülde","KM'de"}))))))</f>
        <v/>
      </c>
      <c r="AA956" s="24" t="str">
        <f t="shared" ca="1" si="240"/>
        <v/>
      </c>
      <c r="AB956" s="22"/>
      <c r="AD956" t="str">
        <f>IF(OR($B956="",NOT(ISNUMBER(G956))),"",IF(COUNTIF(H956:$T956,G956)&gt;0,0,IF(COUNTIF($G956:$T956,"&gt;"&amp;G956)=0,"",SMALL($G956:$T956,COUNTIF($G956:$T956,"&lt;="&amp;G956)+1)-G956)))</f>
        <v/>
      </c>
      <c r="AE956" t="str">
        <f>IF(OR($B956="",NOT(ISNUMBER(H956))),"",IF(COUNTIF(I956:$T956,H956)&gt;0,0,IF(COUNTIF($G956:$T956,"&gt;"&amp;H956)=0,"",SMALL($G956:$T956,COUNTIF($G956:$T956,"&lt;="&amp;H956)+1)-H956)))</f>
        <v/>
      </c>
      <c r="AF956" t="str">
        <f>IF(OR($B956="",NOT(ISNUMBER(I956))),"",IF(COUNTIF(J956:$T956,I956)&gt;0,0,IF(COUNTIF($G956:$T956,"&gt;"&amp;I956)=0,"",SMALL($G956:$T956,COUNTIF($G956:$T956,"&lt;="&amp;I956)+1)-I956)))</f>
        <v/>
      </c>
      <c r="AG956" t="str">
        <f>IF(OR($B956="",NOT(ISNUMBER(J956))),"",IF(COUNTIF(K956:$T956,J956)&gt;0,0,IF(COUNTIF($G956:$T956,"&gt;"&amp;J956)=0,"",SMALL($G956:$T956,COUNTIF($G956:$T956,"&lt;="&amp;J956)+1)-J956)))</f>
        <v/>
      </c>
      <c r="AH956" t="str">
        <f>IF(OR($B956="",NOT(ISNUMBER(K956))),"",IF(COUNTIF(L956:$T956,K956)&gt;0,0,IF(COUNTIF($G956:$T956,"&gt;"&amp;K956)=0,"",SMALL($G956:$T956,COUNTIF($G956:$T956,"&lt;="&amp;K956)+1)-K956)))</f>
        <v/>
      </c>
      <c r="AI956" t="str">
        <f>IF(OR($B956="",NOT(ISNUMBER(L956))),"",IF(COUNTIF(M956:$T956,L956)&gt;0,0,IF(COUNTIF($G956:$T956,"&gt;"&amp;L956)=0,"",SMALL($G956:$T956,COUNTIF($G956:$T956,"&lt;="&amp;L956)+1)-L956)))</f>
        <v/>
      </c>
      <c r="AJ956" t="str">
        <f>IF(OR($B956="",NOT(ISNUMBER(M956))),"",IF(COUNTIF(N956:$T956,M956)&gt;0,0,IF(COUNTIF($G956:$T956,"&gt;"&amp;M956)=0,"",SMALL($G956:$T956,COUNTIF($G956:$T956,"&lt;="&amp;M956)+1)-M956)))</f>
        <v/>
      </c>
      <c r="AK956" t="str">
        <f>IF(OR($B956="",NOT(ISNUMBER(N956))),"",IF(COUNTIF(O956:$T956,N956)&gt;0,0,IF(COUNTIF($G956:$T956,"&gt;"&amp;N956)=0,"",SMALL($G956:$T956,COUNTIF($G956:$T956,"&lt;="&amp;N956)+1)-N956)))</f>
        <v/>
      </c>
      <c r="AL956" t="str">
        <f>IF(OR($B956="",NOT(ISNUMBER(O956))),"",IF(COUNTIF(P956:$T956,O956)&gt;0,0,IF(COUNTIF($G956:$T956,"&gt;"&amp;O956)=0,"",SMALL($G956:$T956,COUNTIF($G956:$T956,"&lt;="&amp;O956)+1)-O956)))</f>
        <v/>
      </c>
      <c r="AM956" t="str">
        <f>IF(OR($B956="",NOT(ISNUMBER(P956))),"",IF(COUNTIF(Q956:$T956,P956)&gt;0,0,IF(COUNTIF($G956:$T956,"&gt;"&amp;P956)=0,"",SMALL($G956:$T956,COUNTIF($G956:$T956,"&lt;="&amp;P956)+1)-P956)))</f>
        <v/>
      </c>
      <c r="AN956" t="str">
        <f>IF(OR($B956="",NOT(ISNUMBER(Q956))),"",IF(COUNTIF(R956:$T956,Q956)&gt;0,0,IF(COUNTIF($G956:$T956,"&gt;"&amp;Q956)=0,"",SMALL($G956:$T956,COUNTIF($G956:$T956,"&lt;="&amp;Q956)+1)-Q956)))</f>
        <v/>
      </c>
      <c r="AO956" t="str">
        <f>IF(OR($B956="",NOT(ISNUMBER(R956))),"",IF(COUNTIF(S956:$T956,R956)&gt;0,0,IF(COUNTIF($G956:$T956,"&gt;"&amp;R956)=0,"",SMALL($G956:$T956,COUNTIF($G956:$T956,"&lt;="&amp;R956)+1)-R956)))</f>
        <v/>
      </c>
      <c r="AP956">
        <f t="shared" ca="1" si="241"/>
        <v>0</v>
      </c>
      <c r="AQ956" s="25" t="str">
        <f t="shared" si="242"/>
        <v/>
      </c>
      <c r="AR956" s="25" t="str">
        <f t="shared" si="243"/>
        <v/>
      </c>
      <c r="AS956" s="25" t="str">
        <f t="shared" si="244"/>
        <v/>
      </c>
      <c r="AT956" s="25" t="str">
        <f t="shared" si="245"/>
        <v/>
      </c>
      <c r="AU956" s="25" t="str">
        <f t="shared" si="246"/>
        <v/>
      </c>
      <c r="AV956" s="25" t="str">
        <f t="shared" si="247"/>
        <v/>
      </c>
      <c r="AW956" s="25" t="str">
        <f t="shared" si="248"/>
        <v/>
      </c>
      <c r="AX956" s="25" t="str">
        <f t="shared" si="249"/>
        <v/>
      </c>
      <c r="AY956" s="25" t="str">
        <f t="shared" si="250"/>
        <v/>
      </c>
      <c r="AZ956" s="25" t="str">
        <f t="shared" si="251"/>
        <v/>
      </c>
      <c r="BA956" s="25" t="str">
        <f t="shared" si="252"/>
        <v/>
      </c>
      <c r="BB956" s="25" t="str">
        <f t="shared" si="253"/>
        <v/>
      </c>
      <c r="BC956" s="25" t="str">
        <f t="shared" si="254"/>
        <v/>
      </c>
    </row>
    <row r="957" spans="1:55" x14ac:dyDescent="0.25">
      <c r="A957" s="19" t="str">
        <f t="shared" si="239"/>
        <v/>
      </c>
      <c r="B957" s="19"/>
      <c r="C957" s="20"/>
      <c r="D957" s="19" t="str">
        <f t="shared" si="238"/>
        <v/>
      </c>
      <c r="E957" s="19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19"/>
      <c r="U957" s="19"/>
      <c r="V957" s="20"/>
      <c r="W957" s="22"/>
      <c r="X957" s="21"/>
      <c r="Y957" s="21"/>
      <c r="Z957" s="23" t="str">
        <f>IF(B957="","",IF(S957&lt;&gt;"","Sevk Edildi",IF(AND(X957&lt;&gt;"",Y957=""),"Reworkte",IF(T957&lt;&gt;"","Kapandı"&amp;IF(COUNT(G957:R957)=0,""," – "&amp;LOOKUP(2,1/(G957:R957=MAX(G957:R957)),{"Tasarım","Ply Cutter","Üretim","Kalite (Üretim sonrası)","Talaşlı","Kalite (Talaşlı sonrası)","Montaj","Kalite (Montaj sonrası)","Boya","Kalite (Boya sonrası)","Yarı Mamül","KM"})),IF(COUNT(G957:R957)=0,"Başlamadı",LOOKUP(2,1/(G957:R957=MAX(G957:R957)),{"Tasarımda","Ply Cutter'da","Üretimde","Kalitede (Üretim sonrası)","Talaşlıda","Kalitede (Talaşlı sonrası)","Montajda","Kalitede (Montaj sonrası)","Boyada","Kalitede (Boya sonrası)","Yarı Mamülde","KM'de"}))))))</f>
        <v/>
      </c>
      <c r="AA957" s="24" t="str">
        <f t="shared" ca="1" si="240"/>
        <v/>
      </c>
      <c r="AB957" s="22"/>
      <c r="AD957" t="str">
        <f>IF(OR($B957="",NOT(ISNUMBER(G957))),"",IF(COUNTIF(H957:$T957,G957)&gt;0,0,IF(COUNTIF($G957:$T957,"&gt;"&amp;G957)=0,"",SMALL($G957:$T957,COUNTIF($G957:$T957,"&lt;="&amp;G957)+1)-G957)))</f>
        <v/>
      </c>
      <c r="AE957" t="str">
        <f>IF(OR($B957="",NOT(ISNUMBER(H957))),"",IF(COUNTIF(I957:$T957,H957)&gt;0,0,IF(COUNTIF($G957:$T957,"&gt;"&amp;H957)=0,"",SMALL($G957:$T957,COUNTIF($G957:$T957,"&lt;="&amp;H957)+1)-H957)))</f>
        <v/>
      </c>
      <c r="AF957" t="str">
        <f>IF(OR($B957="",NOT(ISNUMBER(I957))),"",IF(COUNTIF(J957:$T957,I957)&gt;0,0,IF(COUNTIF($G957:$T957,"&gt;"&amp;I957)=0,"",SMALL($G957:$T957,COUNTIF($G957:$T957,"&lt;="&amp;I957)+1)-I957)))</f>
        <v/>
      </c>
      <c r="AG957" t="str">
        <f>IF(OR($B957="",NOT(ISNUMBER(J957))),"",IF(COUNTIF(K957:$T957,J957)&gt;0,0,IF(COUNTIF($G957:$T957,"&gt;"&amp;J957)=0,"",SMALL($G957:$T957,COUNTIF($G957:$T957,"&lt;="&amp;J957)+1)-J957)))</f>
        <v/>
      </c>
      <c r="AH957" t="str">
        <f>IF(OR($B957="",NOT(ISNUMBER(K957))),"",IF(COUNTIF(L957:$T957,K957)&gt;0,0,IF(COUNTIF($G957:$T957,"&gt;"&amp;K957)=0,"",SMALL($G957:$T957,COUNTIF($G957:$T957,"&lt;="&amp;K957)+1)-K957)))</f>
        <v/>
      </c>
      <c r="AI957" t="str">
        <f>IF(OR($B957="",NOT(ISNUMBER(L957))),"",IF(COUNTIF(M957:$T957,L957)&gt;0,0,IF(COUNTIF($G957:$T957,"&gt;"&amp;L957)=0,"",SMALL($G957:$T957,COUNTIF($G957:$T957,"&lt;="&amp;L957)+1)-L957)))</f>
        <v/>
      </c>
      <c r="AJ957" t="str">
        <f>IF(OR($B957="",NOT(ISNUMBER(M957))),"",IF(COUNTIF(N957:$T957,M957)&gt;0,0,IF(COUNTIF($G957:$T957,"&gt;"&amp;M957)=0,"",SMALL($G957:$T957,COUNTIF($G957:$T957,"&lt;="&amp;M957)+1)-M957)))</f>
        <v/>
      </c>
      <c r="AK957" t="str">
        <f>IF(OR($B957="",NOT(ISNUMBER(N957))),"",IF(COUNTIF(O957:$T957,N957)&gt;0,0,IF(COUNTIF($G957:$T957,"&gt;"&amp;N957)=0,"",SMALL($G957:$T957,COUNTIF($G957:$T957,"&lt;="&amp;N957)+1)-N957)))</f>
        <v/>
      </c>
      <c r="AL957" t="str">
        <f>IF(OR($B957="",NOT(ISNUMBER(O957))),"",IF(COUNTIF(P957:$T957,O957)&gt;0,0,IF(COUNTIF($G957:$T957,"&gt;"&amp;O957)=0,"",SMALL($G957:$T957,COUNTIF($G957:$T957,"&lt;="&amp;O957)+1)-O957)))</f>
        <v/>
      </c>
      <c r="AM957" t="str">
        <f>IF(OR($B957="",NOT(ISNUMBER(P957))),"",IF(COUNTIF(Q957:$T957,P957)&gt;0,0,IF(COUNTIF($G957:$T957,"&gt;"&amp;P957)=0,"",SMALL($G957:$T957,COUNTIF($G957:$T957,"&lt;="&amp;P957)+1)-P957)))</f>
        <v/>
      </c>
      <c r="AN957" t="str">
        <f>IF(OR($B957="",NOT(ISNUMBER(Q957))),"",IF(COUNTIF(R957:$T957,Q957)&gt;0,0,IF(COUNTIF($G957:$T957,"&gt;"&amp;Q957)=0,"",SMALL($G957:$T957,COUNTIF($G957:$T957,"&lt;="&amp;Q957)+1)-Q957)))</f>
        <v/>
      </c>
      <c r="AO957" t="str">
        <f>IF(OR($B957="",NOT(ISNUMBER(R957))),"",IF(COUNTIF(S957:$T957,R957)&gt;0,0,IF(COUNTIF($G957:$T957,"&gt;"&amp;R957)=0,"",SMALL($G957:$T957,COUNTIF($G957:$T957,"&lt;="&amp;R957)+1)-R957)))</f>
        <v/>
      </c>
      <c r="AP957">
        <f t="shared" ca="1" si="241"/>
        <v>0</v>
      </c>
      <c r="AQ957" s="25" t="str">
        <f t="shared" si="242"/>
        <v/>
      </c>
      <c r="AR957" s="25" t="str">
        <f t="shared" si="243"/>
        <v/>
      </c>
      <c r="AS957" s="25" t="str">
        <f t="shared" si="244"/>
        <v/>
      </c>
      <c r="AT957" s="25" t="str">
        <f t="shared" si="245"/>
        <v/>
      </c>
      <c r="AU957" s="25" t="str">
        <f t="shared" si="246"/>
        <v/>
      </c>
      <c r="AV957" s="25" t="str">
        <f t="shared" si="247"/>
        <v/>
      </c>
      <c r="AW957" s="25" t="str">
        <f t="shared" si="248"/>
        <v/>
      </c>
      <c r="AX957" s="25" t="str">
        <f t="shared" si="249"/>
        <v/>
      </c>
      <c r="AY957" s="25" t="str">
        <f t="shared" si="250"/>
        <v/>
      </c>
      <c r="AZ957" s="25" t="str">
        <f t="shared" si="251"/>
        <v/>
      </c>
      <c r="BA957" s="25" t="str">
        <f t="shared" si="252"/>
        <v/>
      </c>
      <c r="BB957" s="25" t="str">
        <f t="shared" si="253"/>
        <v/>
      </c>
      <c r="BC957" s="25" t="str">
        <f t="shared" si="254"/>
        <v/>
      </c>
    </row>
    <row r="958" spans="1:55" x14ac:dyDescent="0.25">
      <c r="A958" s="19" t="str">
        <f t="shared" si="239"/>
        <v/>
      </c>
      <c r="B958" s="19"/>
      <c r="C958" s="20"/>
      <c r="D958" s="19" t="str">
        <f t="shared" si="238"/>
        <v/>
      </c>
      <c r="E958" s="19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19"/>
      <c r="U958" s="19"/>
      <c r="V958" s="20"/>
      <c r="W958" s="22"/>
      <c r="X958" s="21"/>
      <c r="Y958" s="21"/>
      <c r="Z958" s="23" t="str">
        <f>IF(B958="","",IF(S958&lt;&gt;"","Sevk Edildi",IF(AND(X958&lt;&gt;"",Y958=""),"Reworkte",IF(T958&lt;&gt;"","Kapandı"&amp;IF(COUNT(G958:R958)=0,""," – "&amp;LOOKUP(2,1/(G958:R958=MAX(G958:R958)),{"Tasarım","Ply Cutter","Üretim","Kalite (Üretim sonrası)","Talaşlı","Kalite (Talaşlı sonrası)","Montaj","Kalite (Montaj sonrası)","Boya","Kalite (Boya sonrası)","Yarı Mamül","KM"})),IF(COUNT(G958:R958)=0,"Başlamadı",LOOKUP(2,1/(G958:R958=MAX(G958:R958)),{"Tasarımda","Ply Cutter'da","Üretimde","Kalitede (Üretim sonrası)","Talaşlıda","Kalitede (Talaşlı sonrası)","Montajda","Kalitede (Montaj sonrası)","Boyada","Kalitede (Boya sonrası)","Yarı Mamülde","KM'de"}))))))</f>
        <v/>
      </c>
      <c r="AA958" s="24" t="str">
        <f t="shared" ca="1" si="240"/>
        <v/>
      </c>
      <c r="AB958" s="22"/>
      <c r="AD958" t="str">
        <f>IF(OR($B958="",NOT(ISNUMBER(G958))),"",IF(COUNTIF(H958:$T958,G958)&gt;0,0,IF(COUNTIF($G958:$T958,"&gt;"&amp;G958)=0,"",SMALL($G958:$T958,COUNTIF($G958:$T958,"&lt;="&amp;G958)+1)-G958)))</f>
        <v/>
      </c>
      <c r="AE958" t="str">
        <f>IF(OR($B958="",NOT(ISNUMBER(H958))),"",IF(COUNTIF(I958:$T958,H958)&gt;0,0,IF(COUNTIF($G958:$T958,"&gt;"&amp;H958)=0,"",SMALL($G958:$T958,COUNTIF($G958:$T958,"&lt;="&amp;H958)+1)-H958)))</f>
        <v/>
      </c>
      <c r="AF958" t="str">
        <f>IF(OR($B958="",NOT(ISNUMBER(I958))),"",IF(COUNTIF(J958:$T958,I958)&gt;0,0,IF(COUNTIF($G958:$T958,"&gt;"&amp;I958)=0,"",SMALL($G958:$T958,COUNTIF($G958:$T958,"&lt;="&amp;I958)+1)-I958)))</f>
        <v/>
      </c>
      <c r="AG958" t="str">
        <f>IF(OR($B958="",NOT(ISNUMBER(J958))),"",IF(COUNTIF(K958:$T958,J958)&gt;0,0,IF(COUNTIF($G958:$T958,"&gt;"&amp;J958)=0,"",SMALL($G958:$T958,COUNTIF($G958:$T958,"&lt;="&amp;J958)+1)-J958)))</f>
        <v/>
      </c>
      <c r="AH958" t="str">
        <f>IF(OR($B958="",NOT(ISNUMBER(K958))),"",IF(COUNTIF(L958:$T958,K958)&gt;0,0,IF(COUNTIF($G958:$T958,"&gt;"&amp;K958)=0,"",SMALL($G958:$T958,COUNTIF($G958:$T958,"&lt;="&amp;K958)+1)-K958)))</f>
        <v/>
      </c>
      <c r="AI958" t="str">
        <f>IF(OR($B958="",NOT(ISNUMBER(L958))),"",IF(COUNTIF(M958:$T958,L958)&gt;0,0,IF(COUNTIF($G958:$T958,"&gt;"&amp;L958)=0,"",SMALL($G958:$T958,COUNTIF($G958:$T958,"&lt;="&amp;L958)+1)-L958)))</f>
        <v/>
      </c>
      <c r="AJ958" t="str">
        <f>IF(OR($B958="",NOT(ISNUMBER(M958))),"",IF(COUNTIF(N958:$T958,M958)&gt;0,0,IF(COUNTIF($G958:$T958,"&gt;"&amp;M958)=0,"",SMALL($G958:$T958,COUNTIF($G958:$T958,"&lt;="&amp;M958)+1)-M958)))</f>
        <v/>
      </c>
      <c r="AK958" t="str">
        <f>IF(OR($B958="",NOT(ISNUMBER(N958))),"",IF(COUNTIF(O958:$T958,N958)&gt;0,0,IF(COUNTIF($G958:$T958,"&gt;"&amp;N958)=0,"",SMALL($G958:$T958,COUNTIF($G958:$T958,"&lt;="&amp;N958)+1)-N958)))</f>
        <v/>
      </c>
      <c r="AL958" t="str">
        <f>IF(OR($B958="",NOT(ISNUMBER(O958))),"",IF(COUNTIF(P958:$T958,O958)&gt;0,0,IF(COUNTIF($G958:$T958,"&gt;"&amp;O958)=0,"",SMALL($G958:$T958,COUNTIF($G958:$T958,"&lt;="&amp;O958)+1)-O958)))</f>
        <v/>
      </c>
      <c r="AM958" t="str">
        <f>IF(OR($B958="",NOT(ISNUMBER(P958))),"",IF(COUNTIF(Q958:$T958,P958)&gt;0,0,IF(COUNTIF($G958:$T958,"&gt;"&amp;P958)=0,"",SMALL($G958:$T958,COUNTIF($G958:$T958,"&lt;="&amp;P958)+1)-P958)))</f>
        <v/>
      </c>
      <c r="AN958" t="str">
        <f>IF(OR($B958="",NOT(ISNUMBER(Q958))),"",IF(COUNTIF(R958:$T958,Q958)&gt;0,0,IF(COUNTIF($G958:$T958,"&gt;"&amp;Q958)=0,"",SMALL($G958:$T958,COUNTIF($G958:$T958,"&lt;="&amp;Q958)+1)-Q958)))</f>
        <v/>
      </c>
      <c r="AO958" t="str">
        <f>IF(OR($B958="",NOT(ISNUMBER(R958))),"",IF(COUNTIF(S958:$T958,R958)&gt;0,0,IF(COUNTIF($G958:$T958,"&gt;"&amp;R958)=0,"",SMALL($G958:$T958,COUNTIF($G958:$T958,"&lt;="&amp;R958)+1)-R958)))</f>
        <v/>
      </c>
      <c r="AP958">
        <f t="shared" ca="1" si="241"/>
        <v>0</v>
      </c>
      <c r="AQ958" s="25" t="str">
        <f t="shared" si="242"/>
        <v/>
      </c>
      <c r="AR958" s="25" t="str">
        <f t="shared" si="243"/>
        <v/>
      </c>
      <c r="AS958" s="25" t="str">
        <f t="shared" si="244"/>
        <v/>
      </c>
      <c r="AT958" s="25" t="str">
        <f t="shared" si="245"/>
        <v/>
      </c>
      <c r="AU958" s="25" t="str">
        <f t="shared" si="246"/>
        <v/>
      </c>
      <c r="AV958" s="25" t="str">
        <f t="shared" si="247"/>
        <v/>
      </c>
      <c r="AW958" s="25" t="str">
        <f t="shared" si="248"/>
        <v/>
      </c>
      <c r="AX958" s="25" t="str">
        <f t="shared" si="249"/>
        <v/>
      </c>
      <c r="AY958" s="25" t="str">
        <f t="shared" si="250"/>
        <v/>
      </c>
      <c r="AZ958" s="25" t="str">
        <f t="shared" si="251"/>
        <v/>
      </c>
      <c r="BA958" s="25" t="str">
        <f t="shared" si="252"/>
        <v/>
      </c>
      <c r="BB958" s="25" t="str">
        <f t="shared" si="253"/>
        <v/>
      </c>
      <c r="BC958" s="25" t="str">
        <f t="shared" si="254"/>
        <v/>
      </c>
    </row>
    <row r="959" spans="1:55" x14ac:dyDescent="0.25">
      <c r="A959" s="19" t="str">
        <f t="shared" si="239"/>
        <v/>
      </c>
      <c r="B959" s="19"/>
      <c r="C959" s="20"/>
      <c r="D959" s="19" t="str">
        <f t="shared" ref="D959:D1000" si="255">IFERROR(VALUE(TRIM(MID(C959,FIND(" - ",C959)+3,FIND(" - ",C959,FIND(" - ",C959)+3)-FIND(" - ",C959)-3))),"")</f>
        <v/>
      </c>
      <c r="E959" s="19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19"/>
      <c r="U959" s="19"/>
      <c r="V959" s="20"/>
      <c r="W959" s="22"/>
      <c r="X959" s="21"/>
      <c r="Y959" s="21"/>
      <c r="Z959" s="23" t="str">
        <f>IF(B959="","",IF(S959&lt;&gt;"","Sevk Edildi",IF(AND(X959&lt;&gt;"",Y959=""),"Reworkte",IF(T959&lt;&gt;"","Kapandı"&amp;IF(COUNT(G959:R959)=0,""," – "&amp;LOOKUP(2,1/(G959:R959=MAX(G959:R959)),{"Tasarım","Ply Cutter","Üretim","Kalite (Üretim sonrası)","Talaşlı","Kalite (Talaşlı sonrası)","Montaj","Kalite (Montaj sonrası)","Boya","Kalite (Boya sonrası)","Yarı Mamül","KM"})),IF(COUNT(G959:R959)=0,"Başlamadı",LOOKUP(2,1/(G959:R959=MAX(G959:R959)),{"Tasarımda","Ply Cutter'da","Üretimde","Kalitede (Üretim sonrası)","Talaşlıda","Kalitede (Talaşlı sonrası)","Montajda","Kalitede (Montaj sonrası)","Boyada","Kalitede (Boya sonrası)","Yarı Mamülde","KM'de"}))))))</f>
        <v/>
      </c>
      <c r="AA959" s="24" t="str">
        <f t="shared" ca="1" si="240"/>
        <v/>
      </c>
      <c r="AB959" s="22"/>
      <c r="AD959" t="str">
        <f>IF(OR($B959="",NOT(ISNUMBER(G959))),"",IF(COUNTIF(H959:$T959,G959)&gt;0,0,IF(COUNTIF($G959:$T959,"&gt;"&amp;G959)=0,"",SMALL($G959:$T959,COUNTIF($G959:$T959,"&lt;="&amp;G959)+1)-G959)))</f>
        <v/>
      </c>
      <c r="AE959" t="str">
        <f>IF(OR($B959="",NOT(ISNUMBER(H959))),"",IF(COUNTIF(I959:$T959,H959)&gt;0,0,IF(COUNTIF($G959:$T959,"&gt;"&amp;H959)=0,"",SMALL($G959:$T959,COUNTIF($G959:$T959,"&lt;="&amp;H959)+1)-H959)))</f>
        <v/>
      </c>
      <c r="AF959" t="str">
        <f>IF(OR($B959="",NOT(ISNUMBER(I959))),"",IF(COUNTIF(J959:$T959,I959)&gt;0,0,IF(COUNTIF($G959:$T959,"&gt;"&amp;I959)=0,"",SMALL($G959:$T959,COUNTIF($G959:$T959,"&lt;="&amp;I959)+1)-I959)))</f>
        <v/>
      </c>
      <c r="AG959" t="str">
        <f>IF(OR($B959="",NOT(ISNUMBER(J959))),"",IF(COUNTIF(K959:$T959,J959)&gt;0,0,IF(COUNTIF($G959:$T959,"&gt;"&amp;J959)=0,"",SMALL($G959:$T959,COUNTIF($G959:$T959,"&lt;="&amp;J959)+1)-J959)))</f>
        <v/>
      </c>
      <c r="AH959" t="str">
        <f>IF(OR($B959="",NOT(ISNUMBER(K959))),"",IF(COUNTIF(L959:$T959,K959)&gt;0,0,IF(COUNTIF($G959:$T959,"&gt;"&amp;K959)=0,"",SMALL($G959:$T959,COUNTIF($G959:$T959,"&lt;="&amp;K959)+1)-K959)))</f>
        <v/>
      </c>
      <c r="AI959" t="str">
        <f>IF(OR($B959="",NOT(ISNUMBER(L959))),"",IF(COUNTIF(M959:$T959,L959)&gt;0,0,IF(COUNTIF($G959:$T959,"&gt;"&amp;L959)=0,"",SMALL($G959:$T959,COUNTIF($G959:$T959,"&lt;="&amp;L959)+1)-L959)))</f>
        <v/>
      </c>
      <c r="AJ959" t="str">
        <f>IF(OR($B959="",NOT(ISNUMBER(M959))),"",IF(COUNTIF(N959:$T959,M959)&gt;0,0,IF(COUNTIF($G959:$T959,"&gt;"&amp;M959)=0,"",SMALL($G959:$T959,COUNTIF($G959:$T959,"&lt;="&amp;M959)+1)-M959)))</f>
        <v/>
      </c>
      <c r="AK959" t="str">
        <f>IF(OR($B959="",NOT(ISNUMBER(N959))),"",IF(COUNTIF(O959:$T959,N959)&gt;0,0,IF(COUNTIF($G959:$T959,"&gt;"&amp;N959)=0,"",SMALL($G959:$T959,COUNTIF($G959:$T959,"&lt;="&amp;N959)+1)-N959)))</f>
        <v/>
      </c>
      <c r="AL959" t="str">
        <f>IF(OR($B959="",NOT(ISNUMBER(O959))),"",IF(COUNTIF(P959:$T959,O959)&gt;0,0,IF(COUNTIF($G959:$T959,"&gt;"&amp;O959)=0,"",SMALL($G959:$T959,COUNTIF($G959:$T959,"&lt;="&amp;O959)+1)-O959)))</f>
        <v/>
      </c>
      <c r="AM959" t="str">
        <f>IF(OR($B959="",NOT(ISNUMBER(P959))),"",IF(COUNTIF(Q959:$T959,P959)&gt;0,0,IF(COUNTIF($G959:$T959,"&gt;"&amp;P959)=0,"",SMALL($G959:$T959,COUNTIF($G959:$T959,"&lt;="&amp;P959)+1)-P959)))</f>
        <v/>
      </c>
      <c r="AN959" t="str">
        <f>IF(OR($B959="",NOT(ISNUMBER(Q959))),"",IF(COUNTIF(R959:$T959,Q959)&gt;0,0,IF(COUNTIF($G959:$T959,"&gt;"&amp;Q959)=0,"",SMALL($G959:$T959,COUNTIF($G959:$T959,"&lt;="&amp;Q959)+1)-Q959)))</f>
        <v/>
      </c>
      <c r="AO959" t="str">
        <f>IF(OR($B959="",NOT(ISNUMBER(R959))),"",IF(COUNTIF(S959:$T959,R959)&gt;0,0,IF(COUNTIF($G959:$T959,"&gt;"&amp;R959)=0,"",SMALL($G959:$T959,COUNTIF($G959:$T959,"&lt;="&amp;R959)+1)-R959)))</f>
        <v/>
      </c>
      <c r="AP959">
        <f t="shared" ca="1" si="241"/>
        <v>0</v>
      </c>
      <c r="AQ959" s="25" t="str">
        <f t="shared" si="242"/>
        <v/>
      </c>
      <c r="AR959" s="25" t="str">
        <f t="shared" si="243"/>
        <v/>
      </c>
      <c r="AS959" s="25" t="str">
        <f t="shared" si="244"/>
        <v/>
      </c>
      <c r="AT959" s="25" t="str">
        <f t="shared" si="245"/>
        <v/>
      </c>
      <c r="AU959" s="25" t="str">
        <f t="shared" si="246"/>
        <v/>
      </c>
      <c r="AV959" s="25" t="str">
        <f t="shared" si="247"/>
        <v/>
      </c>
      <c r="AW959" s="25" t="str">
        <f t="shared" si="248"/>
        <v/>
      </c>
      <c r="AX959" s="25" t="str">
        <f t="shared" si="249"/>
        <v/>
      </c>
      <c r="AY959" s="25" t="str">
        <f t="shared" si="250"/>
        <v/>
      </c>
      <c r="AZ959" s="25" t="str">
        <f t="shared" si="251"/>
        <v/>
      </c>
      <c r="BA959" s="25" t="str">
        <f t="shared" si="252"/>
        <v/>
      </c>
      <c r="BB959" s="25" t="str">
        <f t="shared" si="253"/>
        <v/>
      </c>
      <c r="BC959" s="25" t="str">
        <f t="shared" si="254"/>
        <v/>
      </c>
    </row>
    <row r="960" spans="1:55" x14ac:dyDescent="0.25">
      <c r="A960" s="19" t="str">
        <f t="shared" si="239"/>
        <v/>
      </c>
      <c r="B960" s="19"/>
      <c r="C960" s="20"/>
      <c r="D960" s="19" t="str">
        <f t="shared" si="255"/>
        <v/>
      </c>
      <c r="E960" s="19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19"/>
      <c r="U960" s="19"/>
      <c r="V960" s="20"/>
      <c r="W960" s="22"/>
      <c r="X960" s="21"/>
      <c r="Y960" s="21"/>
      <c r="Z960" s="23" t="str">
        <f>IF(B960="","",IF(S960&lt;&gt;"","Sevk Edildi",IF(AND(X960&lt;&gt;"",Y960=""),"Reworkte",IF(T960&lt;&gt;"","Kapandı"&amp;IF(COUNT(G960:R960)=0,""," – "&amp;LOOKUP(2,1/(G960:R960=MAX(G960:R960)),{"Tasarım","Ply Cutter","Üretim","Kalite (Üretim sonrası)","Talaşlı","Kalite (Talaşlı sonrası)","Montaj","Kalite (Montaj sonrası)","Boya","Kalite (Boya sonrası)","Yarı Mamül","KM"})),IF(COUNT(G960:R960)=0,"Başlamadı",LOOKUP(2,1/(G960:R960=MAX(G960:R960)),{"Tasarımda","Ply Cutter'da","Üretimde","Kalitede (Üretim sonrası)","Talaşlıda","Kalitede (Talaşlı sonrası)","Montajda","Kalitede (Montaj sonrası)","Boyada","Kalitede (Boya sonrası)","Yarı Mamülde","KM'de"}))))))</f>
        <v/>
      </c>
      <c r="AA960" s="24" t="str">
        <f t="shared" ca="1" si="240"/>
        <v/>
      </c>
      <c r="AB960" s="22"/>
      <c r="AD960" t="str">
        <f>IF(OR($B960="",NOT(ISNUMBER(G960))),"",IF(COUNTIF(H960:$T960,G960)&gt;0,0,IF(COUNTIF($G960:$T960,"&gt;"&amp;G960)=0,"",SMALL($G960:$T960,COUNTIF($G960:$T960,"&lt;="&amp;G960)+1)-G960)))</f>
        <v/>
      </c>
      <c r="AE960" t="str">
        <f>IF(OR($B960="",NOT(ISNUMBER(H960))),"",IF(COUNTIF(I960:$T960,H960)&gt;0,0,IF(COUNTIF($G960:$T960,"&gt;"&amp;H960)=0,"",SMALL($G960:$T960,COUNTIF($G960:$T960,"&lt;="&amp;H960)+1)-H960)))</f>
        <v/>
      </c>
      <c r="AF960" t="str">
        <f>IF(OR($B960="",NOT(ISNUMBER(I960))),"",IF(COUNTIF(J960:$T960,I960)&gt;0,0,IF(COUNTIF($G960:$T960,"&gt;"&amp;I960)=0,"",SMALL($G960:$T960,COUNTIF($G960:$T960,"&lt;="&amp;I960)+1)-I960)))</f>
        <v/>
      </c>
      <c r="AG960" t="str">
        <f>IF(OR($B960="",NOT(ISNUMBER(J960))),"",IF(COUNTIF(K960:$T960,J960)&gt;0,0,IF(COUNTIF($G960:$T960,"&gt;"&amp;J960)=0,"",SMALL($G960:$T960,COUNTIF($G960:$T960,"&lt;="&amp;J960)+1)-J960)))</f>
        <v/>
      </c>
      <c r="AH960" t="str">
        <f>IF(OR($B960="",NOT(ISNUMBER(K960))),"",IF(COUNTIF(L960:$T960,K960)&gt;0,0,IF(COUNTIF($G960:$T960,"&gt;"&amp;K960)=0,"",SMALL($G960:$T960,COUNTIF($G960:$T960,"&lt;="&amp;K960)+1)-K960)))</f>
        <v/>
      </c>
      <c r="AI960" t="str">
        <f>IF(OR($B960="",NOT(ISNUMBER(L960))),"",IF(COUNTIF(M960:$T960,L960)&gt;0,0,IF(COUNTIF($G960:$T960,"&gt;"&amp;L960)=0,"",SMALL($G960:$T960,COUNTIF($G960:$T960,"&lt;="&amp;L960)+1)-L960)))</f>
        <v/>
      </c>
      <c r="AJ960" t="str">
        <f>IF(OR($B960="",NOT(ISNUMBER(M960))),"",IF(COUNTIF(N960:$T960,M960)&gt;0,0,IF(COUNTIF($G960:$T960,"&gt;"&amp;M960)=0,"",SMALL($G960:$T960,COUNTIF($G960:$T960,"&lt;="&amp;M960)+1)-M960)))</f>
        <v/>
      </c>
      <c r="AK960" t="str">
        <f>IF(OR($B960="",NOT(ISNUMBER(N960))),"",IF(COUNTIF(O960:$T960,N960)&gt;0,0,IF(COUNTIF($G960:$T960,"&gt;"&amp;N960)=0,"",SMALL($G960:$T960,COUNTIF($G960:$T960,"&lt;="&amp;N960)+1)-N960)))</f>
        <v/>
      </c>
      <c r="AL960" t="str">
        <f>IF(OR($B960="",NOT(ISNUMBER(O960))),"",IF(COUNTIF(P960:$T960,O960)&gt;0,0,IF(COUNTIF($G960:$T960,"&gt;"&amp;O960)=0,"",SMALL($G960:$T960,COUNTIF($G960:$T960,"&lt;="&amp;O960)+1)-O960)))</f>
        <v/>
      </c>
      <c r="AM960" t="str">
        <f>IF(OR($B960="",NOT(ISNUMBER(P960))),"",IF(COUNTIF(Q960:$T960,P960)&gt;0,0,IF(COUNTIF($G960:$T960,"&gt;"&amp;P960)=0,"",SMALL($G960:$T960,COUNTIF($G960:$T960,"&lt;="&amp;P960)+1)-P960)))</f>
        <v/>
      </c>
      <c r="AN960" t="str">
        <f>IF(OR($B960="",NOT(ISNUMBER(Q960))),"",IF(COUNTIF(R960:$T960,Q960)&gt;0,0,IF(COUNTIF($G960:$T960,"&gt;"&amp;Q960)=0,"",SMALL($G960:$T960,COUNTIF($G960:$T960,"&lt;="&amp;Q960)+1)-Q960)))</f>
        <v/>
      </c>
      <c r="AO960" t="str">
        <f>IF(OR($B960="",NOT(ISNUMBER(R960))),"",IF(COUNTIF(S960:$T960,R960)&gt;0,0,IF(COUNTIF($G960:$T960,"&gt;"&amp;R960)=0,"",SMALL($G960:$T960,COUNTIF($G960:$T960,"&lt;="&amp;R960)+1)-R960)))</f>
        <v/>
      </c>
      <c r="AP960">
        <f t="shared" ca="1" si="241"/>
        <v>0</v>
      </c>
      <c r="AQ960" s="25" t="str">
        <f t="shared" si="242"/>
        <v/>
      </c>
      <c r="AR960" s="25" t="str">
        <f t="shared" si="243"/>
        <v/>
      </c>
      <c r="AS960" s="25" t="str">
        <f t="shared" si="244"/>
        <v/>
      </c>
      <c r="AT960" s="25" t="str">
        <f t="shared" si="245"/>
        <v/>
      </c>
      <c r="AU960" s="25" t="str">
        <f t="shared" si="246"/>
        <v/>
      </c>
      <c r="AV960" s="25" t="str">
        <f t="shared" si="247"/>
        <v/>
      </c>
      <c r="AW960" s="25" t="str">
        <f t="shared" si="248"/>
        <v/>
      </c>
      <c r="AX960" s="25" t="str">
        <f t="shared" si="249"/>
        <v/>
      </c>
      <c r="AY960" s="25" t="str">
        <f t="shared" si="250"/>
        <v/>
      </c>
      <c r="AZ960" s="25" t="str">
        <f t="shared" si="251"/>
        <v/>
      </c>
      <c r="BA960" s="25" t="str">
        <f t="shared" si="252"/>
        <v/>
      </c>
      <c r="BB960" s="25" t="str">
        <f t="shared" si="253"/>
        <v/>
      </c>
      <c r="BC960" s="25" t="str">
        <f t="shared" si="254"/>
        <v/>
      </c>
    </row>
    <row r="961" spans="1:55" x14ac:dyDescent="0.25">
      <c r="A961" s="19" t="str">
        <f t="shared" si="239"/>
        <v/>
      </c>
      <c r="B961" s="19"/>
      <c r="C961" s="20"/>
      <c r="D961" s="19" t="str">
        <f t="shared" si="255"/>
        <v/>
      </c>
      <c r="E961" s="19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19"/>
      <c r="U961" s="19"/>
      <c r="V961" s="20"/>
      <c r="W961" s="22"/>
      <c r="X961" s="21"/>
      <c r="Y961" s="21"/>
      <c r="Z961" s="23" t="str">
        <f>IF(B961="","",IF(S961&lt;&gt;"","Sevk Edildi",IF(AND(X961&lt;&gt;"",Y961=""),"Reworkte",IF(T961&lt;&gt;"","Kapandı"&amp;IF(COUNT(G961:R961)=0,""," – "&amp;LOOKUP(2,1/(G961:R961=MAX(G961:R961)),{"Tasarım","Ply Cutter","Üretim","Kalite (Üretim sonrası)","Talaşlı","Kalite (Talaşlı sonrası)","Montaj","Kalite (Montaj sonrası)","Boya","Kalite (Boya sonrası)","Yarı Mamül","KM"})),IF(COUNT(G961:R961)=0,"Başlamadı",LOOKUP(2,1/(G961:R961=MAX(G961:R961)),{"Tasarımda","Ply Cutter'da","Üretimde","Kalitede (Üretim sonrası)","Talaşlıda","Kalitede (Talaşlı sonrası)","Montajda","Kalitede (Montaj sonrası)","Boyada","Kalitede (Boya sonrası)","Yarı Mamülde","KM'de"}))))))</f>
        <v/>
      </c>
      <c r="AA961" s="24" t="str">
        <f t="shared" ca="1" si="240"/>
        <v/>
      </c>
      <c r="AB961" s="22"/>
      <c r="AD961" t="str">
        <f>IF(OR($B961="",NOT(ISNUMBER(G961))),"",IF(COUNTIF(H961:$T961,G961)&gt;0,0,IF(COUNTIF($G961:$T961,"&gt;"&amp;G961)=0,"",SMALL($G961:$T961,COUNTIF($G961:$T961,"&lt;="&amp;G961)+1)-G961)))</f>
        <v/>
      </c>
      <c r="AE961" t="str">
        <f>IF(OR($B961="",NOT(ISNUMBER(H961))),"",IF(COUNTIF(I961:$T961,H961)&gt;0,0,IF(COUNTIF($G961:$T961,"&gt;"&amp;H961)=0,"",SMALL($G961:$T961,COUNTIF($G961:$T961,"&lt;="&amp;H961)+1)-H961)))</f>
        <v/>
      </c>
      <c r="AF961" t="str">
        <f>IF(OR($B961="",NOT(ISNUMBER(I961))),"",IF(COUNTIF(J961:$T961,I961)&gt;0,0,IF(COUNTIF($G961:$T961,"&gt;"&amp;I961)=0,"",SMALL($G961:$T961,COUNTIF($G961:$T961,"&lt;="&amp;I961)+1)-I961)))</f>
        <v/>
      </c>
      <c r="AG961" t="str">
        <f>IF(OR($B961="",NOT(ISNUMBER(J961))),"",IF(COUNTIF(K961:$T961,J961)&gt;0,0,IF(COUNTIF($G961:$T961,"&gt;"&amp;J961)=0,"",SMALL($G961:$T961,COUNTIF($G961:$T961,"&lt;="&amp;J961)+1)-J961)))</f>
        <v/>
      </c>
      <c r="AH961" t="str">
        <f>IF(OR($B961="",NOT(ISNUMBER(K961))),"",IF(COUNTIF(L961:$T961,K961)&gt;0,0,IF(COUNTIF($G961:$T961,"&gt;"&amp;K961)=0,"",SMALL($G961:$T961,COUNTIF($G961:$T961,"&lt;="&amp;K961)+1)-K961)))</f>
        <v/>
      </c>
      <c r="AI961" t="str">
        <f>IF(OR($B961="",NOT(ISNUMBER(L961))),"",IF(COUNTIF(M961:$T961,L961)&gt;0,0,IF(COUNTIF($G961:$T961,"&gt;"&amp;L961)=0,"",SMALL($G961:$T961,COUNTIF($G961:$T961,"&lt;="&amp;L961)+1)-L961)))</f>
        <v/>
      </c>
      <c r="AJ961" t="str">
        <f>IF(OR($B961="",NOT(ISNUMBER(M961))),"",IF(COUNTIF(N961:$T961,M961)&gt;0,0,IF(COUNTIF($G961:$T961,"&gt;"&amp;M961)=0,"",SMALL($G961:$T961,COUNTIF($G961:$T961,"&lt;="&amp;M961)+1)-M961)))</f>
        <v/>
      </c>
      <c r="AK961" t="str">
        <f>IF(OR($B961="",NOT(ISNUMBER(N961))),"",IF(COUNTIF(O961:$T961,N961)&gt;0,0,IF(COUNTIF($G961:$T961,"&gt;"&amp;N961)=0,"",SMALL($G961:$T961,COUNTIF($G961:$T961,"&lt;="&amp;N961)+1)-N961)))</f>
        <v/>
      </c>
      <c r="AL961" t="str">
        <f>IF(OR($B961="",NOT(ISNUMBER(O961))),"",IF(COUNTIF(P961:$T961,O961)&gt;0,0,IF(COUNTIF($G961:$T961,"&gt;"&amp;O961)=0,"",SMALL($G961:$T961,COUNTIF($G961:$T961,"&lt;="&amp;O961)+1)-O961)))</f>
        <v/>
      </c>
      <c r="AM961" t="str">
        <f>IF(OR($B961="",NOT(ISNUMBER(P961))),"",IF(COUNTIF(Q961:$T961,P961)&gt;0,0,IF(COUNTIF($G961:$T961,"&gt;"&amp;P961)=0,"",SMALL($G961:$T961,COUNTIF($G961:$T961,"&lt;="&amp;P961)+1)-P961)))</f>
        <v/>
      </c>
      <c r="AN961" t="str">
        <f>IF(OR($B961="",NOT(ISNUMBER(Q961))),"",IF(COUNTIF(R961:$T961,Q961)&gt;0,0,IF(COUNTIF($G961:$T961,"&gt;"&amp;Q961)=0,"",SMALL($G961:$T961,COUNTIF($G961:$T961,"&lt;="&amp;Q961)+1)-Q961)))</f>
        <v/>
      </c>
      <c r="AO961" t="str">
        <f>IF(OR($B961="",NOT(ISNUMBER(R961))),"",IF(COUNTIF(S961:$T961,R961)&gt;0,0,IF(COUNTIF($G961:$T961,"&gt;"&amp;R961)=0,"",SMALL($G961:$T961,COUNTIF($G961:$T961,"&lt;="&amp;R961)+1)-R961)))</f>
        <v/>
      </c>
      <c r="AP961">
        <f t="shared" ca="1" si="241"/>
        <v>0</v>
      </c>
      <c r="AQ961" s="25" t="str">
        <f t="shared" si="242"/>
        <v/>
      </c>
      <c r="AR961" s="25" t="str">
        <f t="shared" si="243"/>
        <v/>
      </c>
      <c r="AS961" s="25" t="str">
        <f t="shared" si="244"/>
        <v/>
      </c>
      <c r="AT961" s="25" t="str">
        <f t="shared" si="245"/>
        <v/>
      </c>
      <c r="AU961" s="25" t="str">
        <f t="shared" si="246"/>
        <v/>
      </c>
      <c r="AV961" s="25" t="str">
        <f t="shared" si="247"/>
        <v/>
      </c>
      <c r="AW961" s="25" t="str">
        <f t="shared" si="248"/>
        <v/>
      </c>
      <c r="AX961" s="25" t="str">
        <f t="shared" si="249"/>
        <v/>
      </c>
      <c r="AY961" s="25" t="str">
        <f t="shared" si="250"/>
        <v/>
      </c>
      <c r="AZ961" s="25" t="str">
        <f t="shared" si="251"/>
        <v/>
      </c>
      <c r="BA961" s="25" t="str">
        <f t="shared" si="252"/>
        <v/>
      </c>
      <c r="BB961" s="25" t="str">
        <f t="shared" si="253"/>
        <v/>
      </c>
      <c r="BC961" s="25" t="str">
        <f t="shared" si="254"/>
        <v/>
      </c>
    </row>
    <row r="962" spans="1:55" x14ac:dyDescent="0.25">
      <c r="A962" s="19" t="str">
        <f t="shared" si="239"/>
        <v/>
      </c>
      <c r="B962" s="19"/>
      <c r="C962" s="20"/>
      <c r="D962" s="19" t="str">
        <f t="shared" si="255"/>
        <v/>
      </c>
      <c r="E962" s="19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19"/>
      <c r="U962" s="19"/>
      <c r="V962" s="20"/>
      <c r="W962" s="22"/>
      <c r="X962" s="21"/>
      <c r="Y962" s="21"/>
      <c r="Z962" s="23" t="str">
        <f>IF(B962="","",IF(S962&lt;&gt;"","Sevk Edildi",IF(AND(X962&lt;&gt;"",Y962=""),"Reworkte",IF(T962&lt;&gt;"","Kapandı"&amp;IF(COUNT(G962:R962)=0,""," – "&amp;LOOKUP(2,1/(G962:R962=MAX(G962:R962)),{"Tasarım","Ply Cutter","Üretim","Kalite (Üretim sonrası)","Talaşlı","Kalite (Talaşlı sonrası)","Montaj","Kalite (Montaj sonrası)","Boya","Kalite (Boya sonrası)","Yarı Mamül","KM"})),IF(COUNT(G962:R962)=0,"Başlamadı",LOOKUP(2,1/(G962:R962=MAX(G962:R962)),{"Tasarımda","Ply Cutter'da","Üretimde","Kalitede (Üretim sonrası)","Talaşlıda","Kalitede (Talaşlı sonrası)","Montajda","Kalitede (Montaj sonrası)","Boyada","Kalitede (Boya sonrası)","Yarı Mamülde","KM'de"}))))))</f>
        <v/>
      </c>
      <c r="AA962" s="24" t="str">
        <f t="shared" ca="1" si="240"/>
        <v/>
      </c>
      <c r="AB962" s="22"/>
      <c r="AD962" t="str">
        <f>IF(OR($B962="",NOT(ISNUMBER(G962))),"",IF(COUNTIF(H962:$T962,G962)&gt;0,0,IF(COUNTIF($G962:$T962,"&gt;"&amp;G962)=0,"",SMALL($G962:$T962,COUNTIF($G962:$T962,"&lt;="&amp;G962)+1)-G962)))</f>
        <v/>
      </c>
      <c r="AE962" t="str">
        <f>IF(OR($B962="",NOT(ISNUMBER(H962))),"",IF(COUNTIF(I962:$T962,H962)&gt;0,0,IF(COUNTIF($G962:$T962,"&gt;"&amp;H962)=0,"",SMALL($G962:$T962,COUNTIF($G962:$T962,"&lt;="&amp;H962)+1)-H962)))</f>
        <v/>
      </c>
      <c r="AF962" t="str">
        <f>IF(OR($B962="",NOT(ISNUMBER(I962))),"",IF(COUNTIF(J962:$T962,I962)&gt;0,0,IF(COUNTIF($G962:$T962,"&gt;"&amp;I962)=0,"",SMALL($G962:$T962,COUNTIF($G962:$T962,"&lt;="&amp;I962)+1)-I962)))</f>
        <v/>
      </c>
      <c r="AG962" t="str">
        <f>IF(OR($B962="",NOT(ISNUMBER(J962))),"",IF(COUNTIF(K962:$T962,J962)&gt;0,0,IF(COUNTIF($G962:$T962,"&gt;"&amp;J962)=0,"",SMALL($G962:$T962,COUNTIF($G962:$T962,"&lt;="&amp;J962)+1)-J962)))</f>
        <v/>
      </c>
      <c r="AH962" t="str">
        <f>IF(OR($B962="",NOT(ISNUMBER(K962))),"",IF(COUNTIF(L962:$T962,K962)&gt;0,0,IF(COUNTIF($G962:$T962,"&gt;"&amp;K962)=0,"",SMALL($G962:$T962,COUNTIF($G962:$T962,"&lt;="&amp;K962)+1)-K962)))</f>
        <v/>
      </c>
      <c r="AI962" t="str">
        <f>IF(OR($B962="",NOT(ISNUMBER(L962))),"",IF(COUNTIF(M962:$T962,L962)&gt;0,0,IF(COUNTIF($G962:$T962,"&gt;"&amp;L962)=0,"",SMALL($G962:$T962,COUNTIF($G962:$T962,"&lt;="&amp;L962)+1)-L962)))</f>
        <v/>
      </c>
      <c r="AJ962" t="str">
        <f>IF(OR($B962="",NOT(ISNUMBER(M962))),"",IF(COUNTIF(N962:$T962,M962)&gt;0,0,IF(COUNTIF($G962:$T962,"&gt;"&amp;M962)=0,"",SMALL($G962:$T962,COUNTIF($G962:$T962,"&lt;="&amp;M962)+1)-M962)))</f>
        <v/>
      </c>
      <c r="AK962" t="str">
        <f>IF(OR($B962="",NOT(ISNUMBER(N962))),"",IF(COUNTIF(O962:$T962,N962)&gt;0,0,IF(COUNTIF($G962:$T962,"&gt;"&amp;N962)=0,"",SMALL($G962:$T962,COUNTIF($G962:$T962,"&lt;="&amp;N962)+1)-N962)))</f>
        <v/>
      </c>
      <c r="AL962" t="str">
        <f>IF(OR($B962="",NOT(ISNUMBER(O962))),"",IF(COUNTIF(P962:$T962,O962)&gt;0,0,IF(COUNTIF($G962:$T962,"&gt;"&amp;O962)=0,"",SMALL($G962:$T962,COUNTIF($G962:$T962,"&lt;="&amp;O962)+1)-O962)))</f>
        <v/>
      </c>
      <c r="AM962" t="str">
        <f>IF(OR($B962="",NOT(ISNUMBER(P962))),"",IF(COUNTIF(Q962:$T962,P962)&gt;0,0,IF(COUNTIF($G962:$T962,"&gt;"&amp;P962)=0,"",SMALL($G962:$T962,COUNTIF($G962:$T962,"&lt;="&amp;P962)+1)-P962)))</f>
        <v/>
      </c>
      <c r="AN962" t="str">
        <f>IF(OR($B962="",NOT(ISNUMBER(Q962))),"",IF(COUNTIF(R962:$T962,Q962)&gt;0,0,IF(COUNTIF($G962:$T962,"&gt;"&amp;Q962)=0,"",SMALL($G962:$T962,COUNTIF($G962:$T962,"&lt;="&amp;Q962)+1)-Q962)))</f>
        <v/>
      </c>
      <c r="AO962" t="str">
        <f>IF(OR($B962="",NOT(ISNUMBER(R962))),"",IF(COUNTIF(S962:$T962,R962)&gt;0,0,IF(COUNTIF($G962:$T962,"&gt;"&amp;R962)=0,"",SMALL($G962:$T962,COUNTIF($G962:$T962,"&lt;="&amp;R962)+1)-R962)))</f>
        <v/>
      </c>
      <c r="AP962">
        <f t="shared" ca="1" si="241"/>
        <v>0</v>
      </c>
      <c r="AQ962" s="25" t="str">
        <f t="shared" si="242"/>
        <v/>
      </c>
      <c r="AR962" s="25" t="str">
        <f t="shared" si="243"/>
        <v/>
      </c>
      <c r="AS962" s="25" t="str">
        <f t="shared" si="244"/>
        <v/>
      </c>
      <c r="AT962" s="25" t="str">
        <f t="shared" si="245"/>
        <v/>
      </c>
      <c r="AU962" s="25" t="str">
        <f t="shared" si="246"/>
        <v/>
      </c>
      <c r="AV962" s="25" t="str">
        <f t="shared" si="247"/>
        <v/>
      </c>
      <c r="AW962" s="25" t="str">
        <f t="shared" si="248"/>
        <v/>
      </c>
      <c r="AX962" s="25" t="str">
        <f t="shared" si="249"/>
        <v/>
      </c>
      <c r="AY962" s="25" t="str">
        <f t="shared" si="250"/>
        <v/>
      </c>
      <c r="AZ962" s="25" t="str">
        <f t="shared" si="251"/>
        <v/>
      </c>
      <c r="BA962" s="25" t="str">
        <f t="shared" si="252"/>
        <v/>
      </c>
      <c r="BB962" s="25" t="str">
        <f t="shared" si="253"/>
        <v/>
      </c>
      <c r="BC962" s="25" t="str">
        <f t="shared" si="254"/>
        <v/>
      </c>
    </row>
    <row r="963" spans="1:55" x14ac:dyDescent="0.25">
      <c r="A963" s="19" t="str">
        <f t="shared" ref="A963:A1000" si="256">IF(B963="","",ROW()-2)</f>
        <v/>
      </c>
      <c r="B963" s="19"/>
      <c r="C963" s="20"/>
      <c r="D963" s="19" t="str">
        <f t="shared" si="255"/>
        <v/>
      </c>
      <c r="E963" s="19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19"/>
      <c r="U963" s="19"/>
      <c r="V963" s="20"/>
      <c r="W963" s="22"/>
      <c r="X963" s="21"/>
      <c r="Y963" s="21"/>
      <c r="Z963" s="23" t="str">
        <f>IF(B963="","",IF(S963&lt;&gt;"","Sevk Edildi",IF(AND(X963&lt;&gt;"",Y963=""),"Reworkte",IF(T963&lt;&gt;"","Kapandı"&amp;IF(COUNT(G963:R963)=0,""," – "&amp;LOOKUP(2,1/(G963:R963=MAX(G963:R963)),{"Tasarım","Ply Cutter","Üretim","Kalite (Üretim sonrası)","Talaşlı","Kalite (Talaşlı sonrası)","Montaj","Kalite (Montaj sonrası)","Boya","Kalite (Boya sonrası)","Yarı Mamül","KM"})),IF(COUNT(G963:R963)=0,"Başlamadı",LOOKUP(2,1/(G963:R963=MAX(G963:R963)),{"Tasarımda","Ply Cutter'da","Üretimde","Kalitede (Üretim sonrası)","Talaşlıda","Kalitede (Talaşlı sonrası)","Montajda","Kalitede (Montaj sonrası)","Boyada","Kalitede (Boya sonrası)","Yarı Mamülde","KM'de"}))))))</f>
        <v/>
      </c>
      <c r="AA963" s="24" t="str">
        <f t="shared" ref="AA963:AA1000" ca="1" si="257">IF(OR(B963="",F963=""),"",IFERROR(IF(S963&lt;&gt;"",S963-F963,IF(T963&lt;&gt;"",T963-F963,TODAY()-F963)),""))</f>
        <v/>
      </c>
      <c r="AB963" s="22"/>
      <c r="AD963" t="str">
        <f>IF(OR($B963="",NOT(ISNUMBER(G963))),"",IF(COUNTIF(H963:$T963,G963)&gt;0,0,IF(COUNTIF($G963:$T963,"&gt;"&amp;G963)=0,"",SMALL($G963:$T963,COUNTIF($G963:$T963,"&lt;="&amp;G963)+1)-G963)))</f>
        <v/>
      </c>
      <c r="AE963" t="str">
        <f>IF(OR($B963="",NOT(ISNUMBER(H963))),"",IF(COUNTIF(I963:$T963,H963)&gt;0,0,IF(COUNTIF($G963:$T963,"&gt;"&amp;H963)=0,"",SMALL($G963:$T963,COUNTIF($G963:$T963,"&lt;="&amp;H963)+1)-H963)))</f>
        <v/>
      </c>
      <c r="AF963" t="str">
        <f>IF(OR($B963="",NOT(ISNUMBER(I963))),"",IF(COUNTIF(J963:$T963,I963)&gt;0,0,IF(COUNTIF($G963:$T963,"&gt;"&amp;I963)=0,"",SMALL($G963:$T963,COUNTIF($G963:$T963,"&lt;="&amp;I963)+1)-I963)))</f>
        <v/>
      </c>
      <c r="AG963" t="str">
        <f>IF(OR($B963="",NOT(ISNUMBER(J963))),"",IF(COUNTIF(K963:$T963,J963)&gt;0,0,IF(COUNTIF($G963:$T963,"&gt;"&amp;J963)=0,"",SMALL($G963:$T963,COUNTIF($G963:$T963,"&lt;="&amp;J963)+1)-J963)))</f>
        <v/>
      </c>
      <c r="AH963" t="str">
        <f>IF(OR($B963="",NOT(ISNUMBER(K963))),"",IF(COUNTIF(L963:$T963,K963)&gt;0,0,IF(COUNTIF($G963:$T963,"&gt;"&amp;K963)=0,"",SMALL($G963:$T963,COUNTIF($G963:$T963,"&lt;="&amp;K963)+1)-K963)))</f>
        <v/>
      </c>
      <c r="AI963" t="str">
        <f>IF(OR($B963="",NOT(ISNUMBER(L963))),"",IF(COUNTIF(M963:$T963,L963)&gt;0,0,IF(COUNTIF($G963:$T963,"&gt;"&amp;L963)=0,"",SMALL($G963:$T963,COUNTIF($G963:$T963,"&lt;="&amp;L963)+1)-L963)))</f>
        <v/>
      </c>
      <c r="AJ963" t="str">
        <f>IF(OR($B963="",NOT(ISNUMBER(M963))),"",IF(COUNTIF(N963:$T963,M963)&gt;0,0,IF(COUNTIF($G963:$T963,"&gt;"&amp;M963)=0,"",SMALL($G963:$T963,COUNTIF($G963:$T963,"&lt;="&amp;M963)+1)-M963)))</f>
        <v/>
      </c>
      <c r="AK963" t="str">
        <f>IF(OR($B963="",NOT(ISNUMBER(N963))),"",IF(COUNTIF(O963:$T963,N963)&gt;0,0,IF(COUNTIF($G963:$T963,"&gt;"&amp;N963)=0,"",SMALL($G963:$T963,COUNTIF($G963:$T963,"&lt;="&amp;N963)+1)-N963)))</f>
        <v/>
      </c>
      <c r="AL963" t="str">
        <f>IF(OR($B963="",NOT(ISNUMBER(O963))),"",IF(COUNTIF(P963:$T963,O963)&gt;0,0,IF(COUNTIF($G963:$T963,"&gt;"&amp;O963)=0,"",SMALL($G963:$T963,COUNTIF($G963:$T963,"&lt;="&amp;O963)+1)-O963)))</f>
        <v/>
      </c>
      <c r="AM963" t="str">
        <f>IF(OR($B963="",NOT(ISNUMBER(P963))),"",IF(COUNTIF(Q963:$T963,P963)&gt;0,0,IF(COUNTIF($G963:$T963,"&gt;"&amp;P963)=0,"",SMALL($G963:$T963,COUNTIF($G963:$T963,"&lt;="&amp;P963)+1)-P963)))</f>
        <v/>
      </c>
      <c r="AN963" t="str">
        <f>IF(OR($B963="",NOT(ISNUMBER(Q963))),"",IF(COUNTIF(R963:$T963,Q963)&gt;0,0,IF(COUNTIF($G963:$T963,"&gt;"&amp;Q963)=0,"",SMALL($G963:$T963,COUNTIF($G963:$T963,"&lt;="&amp;Q963)+1)-Q963)))</f>
        <v/>
      </c>
      <c r="AO963" t="str">
        <f>IF(OR($B963="",NOT(ISNUMBER(R963))),"",IF(COUNTIF(S963:$T963,R963)&gt;0,0,IF(COUNTIF($G963:$T963,"&gt;"&amp;R963)=0,"",SMALL($G963:$T963,COUNTIF($G963:$T963,"&lt;="&amp;R963)+1)-R963)))</f>
        <v/>
      </c>
      <c r="AP963">
        <f t="shared" ref="AP963:AP1000" ca="1" si="258">IF(OR($B963="",Z963="",Z963="Başlamadı",Z963="Sevk Edildi",Z963="Reworkte",LEFT(Z963,7)="Kapandı"),0,TODAY()-MAX($G963:$R963))</f>
        <v>0</v>
      </c>
      <c r="AQ963" s="25" t="str">
        <f t="shared" ref="AQ963:AQ1000" si="259">IF(AND(ISNUMBER(G963),ISNUMBER(AD963)),G963+AD963,"")</f>
        <v/>
      </c>
      <c r="AR963" s="25" t="str">
        <f t="shared" ref="AR963:AR1000" si="260">IF(AND(ISNUMBER(H963),ISNUMBER(AE963)),H963+AE963,"")</f>
        <v/>
      </c>
      <c r="AS963" s="25" t="str">
        <f t="shared" ref="AS963:AS1000" si="261">IF(AND(ISNUMBER(I963),ISNUMBER(AF963)),I963+AF963,"")</f>
        <v/>
      </c>
      <c r="AT963" s="25" t="str">
        <f t="shared" ref="AT963:AT1000" si="262">IF(AND(ISNUMBER(J963),ISNUMBER(AG963)),J963+AG963,"")</f>
        <v/>
      </c>
      <c r="AU963" s="25" t="str">
        <f t="shared" ref="AU963:AU1000" si="263">IF(AND(ISNUMBER(K963),ISNUMBER(AH963)),K963+AH963,"")</f>
        <v/>
      </c>
      <c r="AV963" s="25" t="str">
        <f t="shared" ref="AV963:AV1000" si="264">IF(AND(ISNUMBER(L963),ISNUMBER(AI963)),L963+AI963,"")</f>
        <v/>
      </c>
      <c r="AW963" s="25" t="str">
        <f t="shared" ref="AW963:AW1000" si="265">IF(AND(ISNUMBER(M963),ISNUMBER(AJ963)),M963+AJ963,"")</f>
        <v/>
      </c>
      <c r="AX963" s="25" t="str">
        <f t="shared" ref="AX963:AX1000" si="266">IF(AND(ISNUMBER(N963),ISNUMBER(AK963)),N963+AK963,"")</f>
        <v/>
      </c>
      <c r="AY963" s="25" t="str">
        <f t="shared" ref="AY963:AY1000" si="267">IF(AND(ISNUMBER(O963),ISNUMBER(AL963)),O963+AL963,"")</f>
        <v/>
      </c>
      <c r="AZ963" s="25" t="str">
        <f t="shared" ref="AZ963:AZ1000" si="268">IF(AND(ISNUMBER(P963),ISNUMBER(AM963)),P963+AM963,"")</f>
        <v/>
      </c>
      <c r="BA963" s="25" t="str">
        <f t="shared" ref="BA963:BA1000" si="269">IF(AND(ISNUMBER(Q963),ISNUMBER(AN963)),Q963+AN963,"")</f>
        <v/>
      </c>
      <c r="BB963" s="25" t="str">
        <f t="shared" ref="BB963:BB1000" si="270">IF(AND(ISNUMBER(R963),ISNUMBER(AO963)),R963+AO963,"")</f>
        <v/>
      </c>
      <c r="BC963" s="25" t="str">
        <f t="shared" ref="BC963:BC1000" si="271">IF(AND(S963="",T963=""),"",MIN(S963,T963))</f>
        <v/>
      </c>
    </row>
    <row r="964" spans="1:55" x14ac:dyDescent="0.25">
      <c r="A964" s="19" t="str">
        <f t="shared" si="256"/>
        <v/>
      </c>
      <c r="B964" s="19"/>
      <c r="C964" s="20"/>
      <c r="D964" s="19" t="str">
        <f t="shared" si="255"/>
        <v/>
      </c>
      <c r="E964" s="19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19"/>
      <c r="U964" s="19"/>
      <c r="V964" s="20"/>
      <c r="W964" s="22"/>
      <c r="X964" s="21"/>
      <c r="Y964" s="21"/>
      <c r="Z964" s="23" t="str">
        <f>IF(B964="","",IF(S964&lt;&gt;"","Sevk Edildi",IF(AND(X964&lt;&gt;"",Y964=""),"Reworkte",IF(T964&lt;&gt;"","Kapandı"&amp;IF(COUNT(G964:R964)=0,""," – "&amp;LOOKUP(2,1/(G964:R964=MAX(G964:R964)),{"Tasarım","Ply Cutter","Üretim","Kalite (Üretim sonrası)","Talaşlı","Kalite (Talaşlı sonrası)","Montaj","Kalite (Montaj sonrası)","Boya","Kalite (Boya sonrası)","Yarı Mamül","KM"})),IF(COUNT(G964:R964)=0,"Başlamadı",LOOKUP(2,1/(G964:R964=MAX(G964:R964)),{"Tasarımda","Ply Cutter'da","Üretimde","Kalitede (Üretim sonrası)","Talaşlıda","Kalitede (Talaşlı sonrası)","Montajda","Kalitede (Montaj sonrası)","Boyada","Kalitede (Boya sonrası)","Yarı Mamülde","KM'de"}))))))</f>
        <v/>
      </c>
      <c r="AA964" s="24" t="str">
        <f t="shared" ca="1" si="257"/>
        <v/>
      </c>
      <c r="AB964" s="22"/>
      <c r="AD964" t="str">
        <f>IF(OR($B964="",NOT(ISNUMBER(G964))),"",IF(COUNTIF(H964:$T964,G964)&gt;0,0,IF(COUNTIF($G964:$T964,"&gt;"&amp;G964)=0,"",SMALL($G964:$T964,COUNTIF($G964:$T964,"&lt;="&amp;G964)+1)-G964)))</f>
        <v/>
      </c>
      <c r="AE964" t="str">
        <f>IF(OR($B964="",NOT(ISNUMBER(H964))),"",IF(COUNTIF(I964:$T964,H964)&gt;0,0,IF(COUNTIF($G964:$T964,"&gt;"&amp;H964)=0,"",SMALL($G964:$T964,COUNTIF($G964:$T964,"&lt;="&amp;H964)+1)-H964)))</f>
        <v/>
      </c>
      <c r="AF964" t="str">
        <f>IF(OR($B964="",NOT(ISNUMBER(I964))),"",IF(COUNTIF(J964:$T964,I964)&gt;0,0,IF(COUNTIF($G964:$T964,"&gt;"&amp;I964)=0,"",SMALL($G964:$T964,COUNTIF($G964:$T964,"&lt;="&amp;I964)+1)-I964)))</f>
        <v/>
      </c>
      <c r="AG964" t="str">
        <f>IF(OR($B964="",NOT(ISNUMBER(J964))),"",IF(COUNTIF(K964:$T964,J964)&gt;0,0,IF(COUNTIF($G964:$T964,"&gt;"&amp;J964)=0,"",SMALL($G964:$T964,COUNTIF($G964:$T964,"&lt;="&amp;J964)+1)-J964)))</f>
        <v/>
      </c>
      <c r="AH964" t="str">
        <f>IF(OR($B964="",NOT(ISNUMBER(K964))),"",IF(COUNTIF(L964:$T964,K964)&gt;0,0,IF(COUNTIF($G964:$T964,"&gt;"&amp;K964)=0,"",SMALL($G964:$T964,COUNTIF($G964:$T964,"&lt;="&amp;K964)+1)-K964)))</f>
        <v/>
      </c>
      <c r="AI964" t="str">
        <f>IF(OR($B964="",NOT(ISNUMBER(L964))),"",IF(COUNTIF(M964:$T964,L964)&gt;0,0,IF(COUNTIF($G964:$T964,"&gt;"&amp;L964)=0,"",SMALL($G964:$T964,COUNTIF($G964:$T964,"&lt;="&amp;L964)+1)-L964)))</f>
        <v/>
      </c>
      <c r="AJ964" t="str">
        <f>IF(OR($B964="",NOT(ISNUMBER(M964))),"",IF(COUNTIF(N964:$T964,M964)&gt;0,0,IF(COUNTIF($G964:$T964,"&gt;"&amp;M964)=0,"",SMALL($G964:$T964,COUNTIF($G964:$T964,"&lt;="&amp;M964)+1)-M964)))</f>
        <v/>
      </c>
      <c r="AK964" t="str">
        <f>IF(OR($B964="",NOT(ISNUMBER(N964))),"",IF(COUNTIF(O964:$T964,N964)&gt;0,0,IF(COUNTIF($G964:$T964,"&gt;"&amp;N964)=0,"",SMALL($G964:$T964,COUNTIF($G964:$T964,"&lt;="&amp;N964)+1)-N964)))</f>
        <v/>
      </c>
      <c r="AL964" t="str">
        <f>IF(OR($B964="",NOT(ISNUMBER(O964))),"",IF(COUNTIF(P964:$T964,O964)&gt;0,0,IF(COUNTIF($G964:$T964,"&gt;"&amp;O964)=0,"",SMALL($G964:$T964,COUNTIF($G964:$T964,"&lt;="&amp;O964)+1)-O964)))</f>
        <v/>
      </c>
      <c r="AM964" t="str">
        <f>IF(OR($B964="",NOT(ISNUMBER(P964))),"",IF(COUNTIF(Q964:$T964,P964)&gt;0,0,IF(COUNTIF($G964:$T964,"&gt;"&amp;P964)=0,"",SMALL($G964:$T964,COUNTIF($G964:$T964,"&lt;="&amp;P964)+1)-P964)))</f>
        <v/>
      </c>
      <c r="AN964" t="str">
        <f>IF(OR($B964="",NOT(ISNUMBER(Q964))),"",IF(COUNTIF(R964:$T964,Q964)&gt;0,0,IF(COUNTIF($G964:$T964,"&gt;"&amp;Q964)=0,"",SMALL($G964:$T964,COUNTIF($G964:$T964,"&lt;="&amp;Q964)+1)-Q964)))</f>
        <v/>
      </c>
      <c r="AO964" t="str">
        <f>IF(OR($B964="",NOT(ISNUMBER(R964))),"",IF(COUNTIF(S964:$T964,R964)&gt;0,0,IF(COUNTIF($G964:$T964,"&gt;"&amp;R964)=0,"",SMALL($G964:$T964,COUNTIF($G964:$T964,"&lt;="&amp;R964)+1)-R964)))</f>
        <v/>
      </c>
      <c r="AP964">
        <f t="shared" ca="1" si="258"/>
        <v>0</v>
      </c>
      <c r="AQ964" s="25" t="str">
        <f t="shared" si="259"/>
        <v/>
      </c>
      <c r="AR964" s="25" t="str">
        <f t="shared" si="260"/>
        <v/>
      </c>
      <c r="AS964" s="25" t="str">
        <f t="shared" si="261"/>
        <v/>
      </c>
      <c r="AT964" s="25" t="str">
        <f t="shared" si="262"/>
        <v/>
      </c>
      <c r="AU964" s="25" t="str">
        <f t="shared" si="263"/>
        <v/>
      </c>
      <c r="AV964" s="25" t="str">
        <f t="shared" si="264"/>
        <v/>
      </c>
      <c r="AW964" s="25" t="str">
        <f t="shared" si="265"/>
        <v/>
      </c>
      <c r="AX964" s="25" t="str">
        <f t="shared" si="266"/>
        <v/>
      </c>
      <c r="AY964" s="25" t="str">
        <f t="shared" si="267"/>
        <v/>
      </c>
      <c r="AZ964" s="25" t="str">
        <f t="shared" si="268"/>
        <v/>
      </c>
      <c r="BA964" s="25" t="str">
        <f t="shared" si="269"/>
        <v/>
      </c>
      <c r="BB964" s="25" t="str">
        <f t="shared" si="270"/>
        <v/>
      </c>
      <c r="BC964" s="25" t="str">
        <f t="shared" si="271"/>
        <v/>
      </c>
    </row>
    <row r="965" spans="1:55" x14ac:dyDescent="0.25">
      <c r="A965" s="19" t="str">
        <f t="shared" si="256"/>
        <v/>
      </c>
      <c r="B965" s="19"/>
      <c r="C965" s="20"/>
      <c r="D965" s="19" t="str">
        <f t="shared" si="255"/>
        <v/>
      </c>
      <c r="E965" s="19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19"/>
      <c r="U965" s="19"/>
      <c r="V965" s="20"/>
      <c r="W965" s="22"/>
      <c r="X965" s="21"/>
      <c r="Y965" s="21"/>
      <c r="Z965" s="23" t="str">
        <f>IF(B965="","",IF(S965&lt;&gt;"","Sevk Edildi",IF(AND(X965&lt;&gt;"",Y965=""),"Reworkte",IF(T965&lt;&gt;"","Kapandı"&amp;IF(COUNT(G965:R965)=0,""," – "&amp;LOOKUP(2,1/(G965:R965=MAX(G965:R965)),{"Tasarım","Ply Cutter","Üretim","Kalite (Üretim sonrası)","Talaşlı","Kalite (Talaşlı sonrası)","Montaj","Kalite (Montaj sonrası)","Boya","Kalite (Boya sonrası)","Yarı Mamül","KM"})),IF(COUNT(G965:R965)=0,"Başlamadı",LOOKUP(2,1/(G965:R965=MAX(G965:R965)),{"Tasarımda","Ply Cutter'da","Üretimde","Kalitede (Üretim sonrası)","Talaşlıda","Kalitede (Talaşlı sonrası)","Montajda","Kalitede (Montaj sonrası)","Boyada","Kalitede (Boya sonrası)","Yarı Mamülde","KM'de"}))))))</f>
        <v/>
      </c>
      <c r="AA965" s="24" t="str">
        <f t="shared" ca="1" si="257"/>
        <v/>
      </c>
      <c r="AB965" s="22"/>
      <c r="AD965" t="str">
        <f>IF(OR($B965="",NOT(ISNUMBER(G965))),"",IF(COUNTIF(H965:$T965,G965)&gt;0,0,IF(COUNTIF($G965:$T965,"&gt;"&amp;G965)=0,"",SMALL($G965:$T965,COUNTIF($G965:$T965,"&lt;="&amp;G965)+1)-G965)))</f>
        <v/>
      </c>
      <c r="AE965" t="str">
        <f>IF(OR($B965="",NOT(ISNUMBER(H965))),"",IF(COUNTIF(I965:$T965,H965)&gt;0,0,IF(COUNTIF($G965:$T965,"&gt;"&amp;H965)=0,"",SMALL($G965:$T965,COUNTIF($G965:$T965,"&lt;="&amp;H965)+1)-H965)))</f>
        <v/>
      </c>
      <c r="AF965" t="str">
        <f>IF(OR($B965="",NOT(ISNUMBER(I965))),"",IF(COUNTIF(J965:$T965,I965)&gt;0,0,IF(COUNTIF($G965:$T965,"&gt;"&amp;I965)=0,"",SMALL($G965:$T965,COUNTIF($G965:$T965,"&lt;="&amp;I965)+1)-I965)))</f>
        <v/>
      </c>
      <c r="AG965" t="str">
        <f>IF(OR($B965="",NOT(ISNUMBER(J965))),"",IF(COUNTIF(K965:$T965,J965)&gt;0,0,IF(COUNTIF($G965:$T965,"&gt;"&amp;J965)=0,"",SMALL($G965:$T965,COUNTIF($G965:$T965,"&lt;="&amp;J965)+1)-J965)))</f>
        <v/>
      </c>
      <c r="AH965" t="str">
        <f>IF(OR($B965="",NOT(ISNUMBER(K965))),"",IF(COUNTIF(L965:$T965,K965)&gt;0,0,IF(COUNTIF($G965:$T965,"&gt;"&amp;K965)=0,"",SMALL($G965:$T965,COUNTIF($G965:$T965,"&lt;="&amp;K965)+1)-K965)))</f>
        <v/>
      </c>
      <c r="AI965" t="str">
        <f>IF(OR($B965="",NOT(ISNUMBER(L965))),"",IF(COUNTIF(M965:$T965,L965)&gt;0,0,IF(COUNTIF($G965:$T965,"&gt;"&amp;L965)=0,"",SMALL($G965:$T965,COUNTIF($G965:$T965,"&lt;="&amp;L965)+1)-L965)))</f>
        <v/>
      </c>
      <c r="AJ965" t="str">
        <f>IF(OR($B965="",NOT(ISNUMBER(M965))),"",IF(COUNTIF(N965:$T965,M965)&gt;0,0,IF(COUNTIF($G965:$T965,"&gt;"&amp;M965)=0,"",SMALL($G965:$T965,COUNTIF($G965:$T965,"&lt;="&amp;M965)+1)-M965)))</f>
        <v/>
      </c>
      <c r="AK965" t="str">
        <f>IF(OR($B965="",NOT(ISNUMBER(N965))),"",IF(COUNTIF(O965:$T965,N965)&gt;0,0,IF(COUNTIF($G965:$T965,"&gt;"&amp;N965)=0,"",SMALL($G965:$T965,COUNTIF($G965:$T965,"&lt;="&amp;N965)+1)-N965)))</f>
        <v/>
      </c>
      <c r="AL965" t="str">
        <f>IF(OR($B965="",NOT(ISNUMBER(O965))),"",IF(COUNTIF(P965:$T965,O965)&gt;0,0,IF(COUNTIF($G965:$T965,"&gt;"&amp;O965)=0,"",SMALL($G965:$T965,COUNTIF($G965:$T965,"&lt;="&amp;O965)+1)-O965)))</f>
        <v/>
      </c>
      <c r="AM965" t="str">
        <f>IF(OR($B965="",NOT(ISNUMBER(P965))),"",IF(COUNTIF(Q965:$T965,P965)&gt;0,0,IF(COUNTIF($G965:$T965,"&gt;"&amp;P965)=0,"",SMALL($G965:$T965,COUNTIF($G965:$T965,"&lt;="&amp;P965)+1)-P965)))</f>
        <v/>
      </c>
      <c r="AN965" t="str">
        <f>IF(OR($B965="",NOT(ISNUMBER(Q965))),"",IF(COUNTIF(R965:$T965,Q965)&gt;0,0,IF(COUNTIF($G965:$T965,"&gt;"&amp;Q965)=0,"",SMALL($G965:$T965,COUNTIF($G965:$T965,"&lt;="&amp;Q965)+1)-Q965)))</f>
        <v/>
      </c>
      <c r="AO965" t="str">
        <f>IF(OR($B965="",NOT(ISNUMBER(R965))),"",IF(COUNTIF(S965:$T965,R965)&gt;0,0,IF(COUNTIF($G965:$T965,"&gt;"&amp;R965)=0,"",SMALL($G965:$T965,COUNTIF($G965:$T965,"&lt;="&amp;R965)+1)-R965)))</f>
        <v/>
      </c>
      <c r="AP965">
        <f t="shared" ca="1" si="258"/>
        <v>0</v>
      </c>
      <c r="AQ965" s="25" t="str">
        <f t="shared" si="259"/>
        <v/>
      </c>
      <c r="AR965" s="25" t="str">
        <f t="shared" si="260"/>
        <v/>
      </c>
      <c r="AS965" s="25" t="str">
        <f t="shared" si="261"/>
        <v/>
      </c>
      <c r="AT965" s="25" t="str">
        <f t="shared" si="262"/>
        <v/>
      </c>
      <c r="AU965" s="25" t="str">
        <f t="shared" si="263"/>
        <v/>
      </c>
      <c r="AV965" s="25" t="str">
        <f t="shared" si="264"/>
        <v/>
      </c>
      <c r="AW965" s="25" t="str">
        <f t="shared" si="265"/>
        <v/>
      </c>
      <c r="AX965" s="25" t="str">
        <f t="shared" si="266"/>
        <v/>
      </c>
      <c r="AY965" s="25" t="str">
        <f t="shared" si="267"/>
        <v/>
      </c>
      <c r="AZ965" s="25" t="str">
        <f t="shared" si="268"/>
        <v/>
      </c>
      <c r="BA965" s="25" t="str">
        <f t="shared" si="269"/>
        <v/>
      </c>
      <c r="BB965" s="25" t="str">
        <f t="shared" si="270"/>
        <v/>
      </c>
      <c r="BC965" s="25" t="str">
        <f t="shared" si="271"/>
        <v/>
      </c>
    </row>
    <row r="966" spans="1:55" x14ac:dyDescent="0.25">
      <c r="A966" s="19" t="str">
        <f t="shared" si="256"/>
        <v/>
      </c>
      <c r="B966" s="19"/>
      <c r="C966" s="20"/>
      <c r="D966" s="19" t="str">
        <f t="shared" si="255"/>
        <v/>
      </c>
      <c r="E966" s="19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19"/>
      <c r="U966" s="19"/>
      <c r="V966" s="20"/>
      <c r="W966" s="22"/>
      <c r="X966" s="21"/>
      <c r="Y966" s="21"/>
      <c r="Z966" s="23" t="str">
        <f>IF(B966="","",IF(S966&lt;&gt;"","Sevk Edildi",IF(AND(X966&lt;&gt;"",Y966=""),"Reworkte",IF(T966&lt;&gt;"","Kapandı"&amp;IF(COUNT(G966:R966)=0,""," – "&amp;LOOKUP(2,1/(G966:R966=MAX(G966:R966)),{"Tasarım","Ply Cutter","Üretim","Kalite (Üretim sonrası)","Talaşlı","Kalite (Talaşlı sonrası)","Montaj","Kalite (Montaj sonrası)","Boya","Kalite (Boya sonrası)","Yarı Mamül","KM"})),IF(COUNT(G966:R966)=0,"Başlamadı",LOOKUP(2,1/(G966:R966=MAX(G966:R966)),{"Tasarımda","Ply Cutter'da","Üretimde","Kalitede (Üretim sonrası)","Talaşlıda","Kalitede (Talaşlı sonrası)","Montajda","Kalitede (Montaj sonrası)","Boyada","Kalitede (Boya sonrası)","Yarı Mamülde","KM'de"}))))))</f>
        <v/>
      </c>
      <c r="AA966" s="24" t="str">
        <f t="shared" ca="1" si="257"/>
        <v/>
      </c>
      <c r="AB966" s="22"/>
      <c r="AD966" t="str">
        <f>IF(OR($B966="",NOT(ISNUMBER(G966))),"",IF(COUNTIF(H966:$T966,G966)&gt;0,0,IF(COUNTIF($G966:$T966,"&gt;"&amp;G966)=0,"",SMALL($G966:$T966,COUNTIF($G966:$T966,"&lt;="&amp;G966)+1)-G966)))</f>
        <v/>
      </c>
      <c r="AE966" t="str">
        <f>IF(OR($B966="",NOT(ISNUMBER(H966))),"",IF(COUNTIF(I966:$T966,H966)&gt;0,0,IF(COUNTIF($G966:$T966,"&gt;"&amp;H966)=0,"",SMALL($G966:$T966,COUNTIF($G966:$T966,"&lt;="&amp;H966)+1)-H966)))</f>
        <v/>
      </c>
      <c r="AF966" t="str">
        <f>IF(OR($B966="",NOT(ISNUMBER(I966))),"",IF(COUNTIF(J966:$T966,I966)&gt;0,0,IF(COUNTIF($G966:$T966,"&gt;"&amp;I966)=0,"",SMALL($G966:$T966,COUNTIF($G966:$T966,"&lt;="&amp;I966)+1)-I966)))</f>
        <v/>
      </c>
      <c r="AG966" t="str">
        <f>IF(OR($B966="",NOT(ISNUMBER(J966))),"",IF(COUNTIF(K966:$T966,J966)&gt;0,0,IF(COUNTIF($G966:$T966,"&gt;"&amp;J966)=0,"",SMALL($G966:$T966,COUNTIF($G966:$T966,"&lt;="&amp;J966)+1)-J966)))</f>
        <v/>
      </c>
      <c r="AH966" t="str">
        <f>IF(OR($B966="",NOT(ISNUMBER(K966))),"",IF(COUNTIF(L966:$T966,K966)&gt;0,0,IF(COUNTIF($G966:$T966,"&gt;"&amp;K966)=0,"",SMALL($G966:$T966,COUNTIF($G966:$T966,"&lt;="&amp;K966)+1)-K966)))</f>
        <v/>
      </c>
      <c r="AI966" t="str">
        <f>IF(OR($B966="",NOT(ISNUMBER(L966))),"",IF(COUNTIF(M966:$T966,L966)&gt;0,0,IF(COUNTIF($G966:$T966,"&gt;"&amp;L966)=0,"",SMALL($G966:$T966,COUNTIF($G966:$T966,"&lt;="&amp;L966)+1)-L966)))</f>
        <v/>
      </c>
      <c r="AJ966" t="str">
        <f>IF(OR($B966="",NOT(ISNUMBER(M966))),"",IF(COUNTIF(N966:$T966,M966)&gt;0,0,IF(COUNTIF($G966:$T966,"&gt;"&amp;M966)=0,"",SMALL($G966:$T966,COUNTIF($G966:$T966,"&lt;="&amp;M966)+1)-M966)))</f>
        <v/>
      </c>
      <c r="AK966" t="str">
        <f>IF(OR($B966="",NOT(ISNUMBER(N966))),"",IF(COUNTIF(O966:$T966,N966)&gt;0,0,IF(COUNTIF($G966:$T966,"&gt;"&amp;N966)=0,"",SMALL($G966:$T966,COUNTIF($G966:$T966,"&lt;="&amp;N966)+1)-N966)))</f>
        <v/>
      </c>
      <c r="AL966" t="str">
        <f>IF(OR($B966="",NOT(ISNUMBER(O966))),"",IF(COUNTIF(P966:$T966,O966)&gt;0,0,IF(COUNTIF($G966:$T966,"&gt;"&amp;O966)=0,"",SMALL($G966:$T966,COUNTIF($G966:$T966,"&lt;="&amp;O966)+1)-O966)))</f>
        <v/>
      </c>
      <c r="AM966" t="str">
        <f>IF(OR($B966="",NOT(ISNUMBER(P966))),"",IF(COUNTIF(Q966:$T966,P966)&gt;0,0,IF(COUNTIF($G966:$T966,"&gt;"&amp;P966)=0,"",SMALL($G966:$T966,COUNTIF($G966:$T966,"&lt;="&amp;P966)+1)-P966)))</f>
        <v/>
      </c>
      <c r="AN966" t="str">
        <f>IF(OR($B966="",NOT(ISNUMBER(Q966))),"",IF(COUNTIF(R966:$T966,Q966)&gt;0,0,IF(COUNTIF($G966:$T966,"&gt;"&amp;Q966)=0,"",SMALL($G966:$T966,COUNTIF($G966:$T966,"&lt;="&amp;Q966)+1)-Q966)))</f>
        <v/>
      </c>
      <c r="AO966" t="str">
        <f>IF(OR($B966="",NOT(ISNUMBER(R966))),"",IF(COUNTIF(S966:$T966,R966)&gt;0,0,IF(COUNTIF($G966:$T966,"&gt;"&amp;R966)=0,"",SMALL($G966:$T966,COUNTIF($G966:$T966,"&lt;="&amp;R966)+1)-R966)))</f>
        <v/>
      </c>
      <c r="AP966">
        <f t="shared" ca="1" si="258"/>
        <v>0</v>
      </c>
      <c r="AQ966" s="25" t="str">
        <f t="shared" si="259"/>
        <v/>
      </c>
      <c r="AR966" s="25" t="str">
        <f t="shared" si="260"/>
        <v/>
      </c>
      <c r="AS966" s="25" t="str">
        <f t="shared" si="261"/>
        <v/>
      </c>
      <c r="AT966" s="25" t="str">
        <f t="shared" si="262"/>
        <v/>
      </c>
      <c r="AU966" s="25" t="str">
        <f t="shared" si="263"/>
        <v/>
      </c>
      <c r="AV966" s="25" t="str">
        <f t="shared" si="264"/>
        <v/>
      </c>
      <c r="AW966" s="25" t="str">
        <f t="shared" si="265"/>
        <v/>
      </c>
      <c r="AX966" s="25" t="str">
        <f t="shared" si="266"/>
        <v/>
      </c>
      <c r="AY966" s="25" t="str">
        <f t="shared" si="267"/>
        <v/>
      </c>
      <c r="AZ966" s="25" t="str">
        <f t="shared" si="268"/>
        <v/>
      </c>
      <c r="BA966" s="25" t="str">
        <f t="shared" si="269"/>
        <v/>
      </c>
      <c r="BB966" s="25" t="str">
        <f t="shared" si="270"/>
        <v/>
      </c>
      <c r="BC966" s="25" t="str">
        <f t="shared" si="271"/>
        <v/>
      </c>
    </row>
    <row r="967" spans="1:55" x14ac:dyDescent="0.25">
      <c r="A967" s="19" t="str">
        <f t="shared" si="256"/>
        <v/>
      </c>
      <c r="B967" s="19"/>
      <c r="C967" s="20"/>
      <c r="D967" s="19" t="str">
        <f t="shared" si="255"/>
        <v/>
      </c>
      <c r="E967" s="19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19"/>
      <c r="U967" s="19"/>
      <c r="V967" s="20"/>
      <c r="W967" s="22"/>
      <c r="X967" s="21"/>
      <c r="Y967" s="21"/>
      <c r="Z967" s="23" t="str">
        <f>IF(B967="","",IF(S967&lt;&gt;"","Sevk Edildi",IF(AND(X967&lt;&gt;"",Y967=""),"Reworkte",IF(T967&lt;&gt;"","Kapandı"&amp;IF(COUNT(G967:R967)=0,""," – "&amp;LOOKUP(2,1/(G967:R967=MAX(G967:R967)),{"Tasarım","Ply Cutter","Üretim","Kalite (Üretim sonrası)","Talaşlı","Kalite (Talaşlı sonrası)","Montaj","Kalite (Montaj sonrası)","Boya","Kalite (Boya sonrası)","Yarı Mamül","KM"})),IF(COUNT(G967:R967)=0,"Başlamadı",LOOKUP(2,1/(G967:R967=MAX(G967:R967)),{"Tasarımda","Ply Cutter'da","Üretimde","Kalitede (Üretim sonrası)","Talaşlıda","Kalitede (Talaşlı sonrası)","Montajda","Kalitede (Montaj sonrası)","Boyada","Kalitede (Boya sonrası)","Yarı Mamülde","KM'de"}))))))</f>
        <v/>
      </c>
      <c r="AA967" s="24" t="str">
        <f t="shared" ca="1" si="257"/>
        <v/>
      </c>
      <c r="AB967" s="22"/>
      <c r="AD967" t="str">
        <f>IF(OR($B967="",NOT(ISNUMBER(G967))),"",IF(COUNTIF(H967:$T967,G967)&gt;0,0,IF(COUNTIF($G967:$T967,"&gt;"&amp;G967)=0,"",SMALL($G967:$T967,COUNTIF($G967:$T967,"&lt;="&amp;G967)+1)-G967)))</f>
        <v/>
      </c>
      <c r="AE967" t="str">
        <f>IF(OR($B967="",NOT(ISNUMBER(H967))),"",IF(COUNTIF(I967:$T967,H967)&gt;0,0,IF(COUNTIF($G967:$T967,"&gt;"&amp;H967)=0,"",SMALL($G967:$T967,COUNTIF($G967:$T967,"&lt;="&amp;H967)+1)-H967)))</f>
        <v/>
      </c>
      <c r="AF967" t="str">
        <f>IF(OR($B967="",NOT(ISNUMBER(I967))),"",IF(COUNTIF(J967:$T967,I967)&gt;0,0,IF(COUNTIF($G967:$T967,"&gt;"&amp;I967)=0,"",SMALL($G967:$T967,COUNTIF($G967:$T967,"&lt;="&amp;I967)+1)-I967)))</f>
        <v/>
      </c>
      <c r="AG967" t="str">
        <f>IF(OR($B967="",NOT(ISNUMBER(J967))),"",IF(COUNTIF(K967:$T967,J967)&gt;0,0,IF(COUNTIF($G967:$T967,"&gt;"&amp;J967)=0,"",SMALL($G967:$T967,COUNTIF($G967:$T967,"&lt;="&amp;J967)+1)-J967)))</f>
        <v/>
      </c>
      <c r="AH967" t="str">
        <f>IF(OR($B967="",NOT(ISNUMBER(K967))),"",IF(COUNTIF(L967:$T967,K967)&gt;0,0,IF(COUNTIF($G967:$T967,"&gt;"&amp;K967)=0,"",SMALL($G967:$T967,COUNTIF($G967:$T967,"&lt;="&amp;K967)+1)-K967)))</f>
        <v/>
      </c>
      <c r="AI967" t="str">
        <f>IF(OR($B967="",NOT(ISNUMBER(L967))),"",IF(COUNTIF(M967:$T967,L967)&gt;0,0,IF(COUNTIF($G967:$T967,"&gt;"&amp;L967)=0,"",SMALL($G967:$T967,COUNTIF($G967:$T967,"&lt;="&amp;L967)+1)-L967)))</f>
        <v/>
      </c>
      <c r="AJ967" t="str">
        <f>IF(OR($B967="",NOT(ISNUMBER(M967))),"",IF(COUNTIF(N967:$T967,M967)&gt;0,0,IF(COUNTIF($G967:$T967,"&gt;"&amp;M967)=0,"",SMALL($G967:$T967,COUNTIF($G967:$T967,"&lt;="&amp;M967)+1)-M967)))</f>
        <v/>
      </c>
      <c r="AK967" t="str">
        <f>IF(OR($B967="",NOT(ISNUMBER(N967))),"",IF(COUNTIF(O967:$T967,N967)&gt;0,0,IF(COUNTIF($G967:$T967,"&gt;"&amp;N967)=0,"",SMALL($G967:$T967,COUNTIF($G967:$T967,"&lt;="&amp;N967)+1)-N967)))</f>
        <v/>
      </c>
      <c r="AL967" t="str">
        <f>IF(OR($B967="",NOT(ISNUMBER(O967))),"",IF(COUNTIF(P967:$T967,O967)&gt;0,0,IF(COUNTIF($G967:$T967,"&gt;"&amp;O967)=0,"",SMALL($G967:$T967,COUNTIF($G967:$T967,"&lt;="&amp;O967)+1)-O967)))</f>
        <v/>
      </c>
      <c r="AM967" t="str">
        <f>IF(OR($B967="",NOT(ISNUMBER(P967))),"",IF(COUNTIF(Q967:$T967,P967)&gt;0,0,IF(COUNTIF($G967:$T967,"&gt;"&amp;P967)=0,"",SMALL($G967:$T967,COUNTIF($G967:$T967,"&lt;="&amp;P967)+1)-P967)))</f>
        <v/>
      </c>
      <c r="AN967" t="str">
        <f>IF(OR($B967="",NOT(ISNUMBER(Q967))),"",IF(COUNTIF(R967:$T967,Q967)&gt;0,0,IF(COUNTIF($G967:$T967,"&gt;"&amp;Q967)=0,"",SMALL($G967:$T967,COUNTIF($G967:$T967,"&lt;="&amp;Q967)+1)-Q967)))</f>
        <v/>
      </c>
      <c r="AO967" t="str">
        <f>IF(OR($B967="",NOT(ISNUMBER(R967))),"",IF(COUNTIF(S967:$T967,R967)&gt;0,0,IF(COUNTIF($G967:$T967,"&gt;"&amp;R967)=0,"",SMALL($G967:$T967,COUNTIF($G967:$T967,"&lt;="&amp;R967)+1)-R967)))</f>
        <v/>
      </c>
      <c r="AP967">
        <f t="shared" ca="1" si="258"/>
        <v>0</v>
      </c>
      <c r="AQ967" s="25" t="str">
        <f t="shared" si="259"/>
        <v/>
      </c>
      <c r="AR967" s="25" t="str">
        <f t="shared" si="260"/>
        <v/>
      </c>
      <c r="AS967" s="25" t="str">
        <f t="shared" si="261"/>
        <v/>
      </c>
      <c r="AT967" s="25" t="str">
        <f t="shared" si="262"/>
        <v/>
      </c>
      <c r="AU967" s="25" t="str">
        <f t="shared" si="263"/>
        <v/>
      </c>
      <c r="AV967" s="25" t="str">
        <f t="shared" si="264"/>
        <v/>
      </c>
      <c r="AW967" s="25" t="str">
        <f t="shared" si="265"/>
        <v/>
      </c>
      <c r="AX967" s="25" t="str">
        <f t="shared" si="266"/>
        <v/>
      </c>
      <c r="AY967" s="25" t="str">
        <f t="shared" si="267"/>
        <v/>
      </c>
      <c r="AZ967" s="25" t="str">
        <f t="shared" si="268"/>
        <v/>
      </c>
      <c r="BA967" s="25" t="str">
        <f t="shared" si="269"/>
        <v/>
      </c>
      <c r="BB967" s="25" t="str">
        <f t="shared" si="270"/>
        <v/>
      </c>
      <c r="BC967" s="25" t="str">
        <f t="shared" si="271"/>
        <v/>
      </c>
    </row>
    <row r="968" spans="1:55" x14ac:dyDescent="0.25">
      <c r="A968" s="19" t="str">
        <f t="shared" si="256"/>
        <v/>
      </c>
      <c r="B968" s="19"/>
      <c r="C968" s="20"/>
      <c r="D968" s="19" t="str">
        <f t="shared" si="255"/>
        <v/>
      </c>
      <c r="E968" s="19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19"/>
      <c r="U968" s="19"/>
      <c r="V968" s="20"/>
      <c r="W968" s="22"/>
      <c r="X968" s="21"/>
      <c r="Y968" s="21"/>
      <c r="Z968" s="23" t="str">
        <f>IF(B968="","",IF(S968&lt;&gt;"","Sevk Edildi",IF(AND(X968&lt;&gt;"",Y968=""),"Reworkte",IF(T968&lt;&gt;"","Kapandı"&amp;IF(COUNT(G968:R968)=0,""," – "&amp;LOOKUP(2,1/(G968:R968=MAX(G968:R968)),{"Tasarım","Ply Cutter","Üretim","Kalite (Üretim sonrası)","Talaşlı","Kalite (Talaşlı sonrası)","Montaj","Kalite (Montaj sonrası)","Boya","Kalite (Boya sonrası)","Yarı Mamül","KM"})),IF(COUNT(G968:R968)=0,"Başlamadı",LOOKUP(2,1/(G968:R968=MAX(G968:R968)),{"Tasarımda","Ply Cutter'da","Üretimde","Kalitede (Üretim sonrası)","Talaşlıda","Kalitede (Talaşlı sonrası)","Montajda","Kalitede (Montaj sonrası)","Boyada","Kalitede (Boya sonrası)","Yarı Mamülde","KM'de"}))))))</f>
        <v/>
      </c>
      <c r="AA968" s="24" t="str">
        <f t="shared" ca="1" si="257"/>
        <v/>
      </c>
      <c r="AB968" s="22"/>
      <c r="AD968" t="str">
        <f>IF(OR($B968="",NOT(ISNUMBER(G968))),"",IF(COUNTIF(H968:$T968,G968)&gt;0,0,IF(COUNTIF($G968:$T968,"&gt;"&amp;G968)=0,"",SMALL($G968:$T968,COUNTIF($G968:$T968,"&lt;="&amp;G968)+1)-G968)))</f>
        <v/>
      </c>
      <c r="AE968" t="str">
        <f>IF(OR($B968="",NOT(ISNUMBER(H968))),"",IF(COUNTIF(I968:$T968,H968)&gt;0,0,IF(COUNTIF($G968:$T968,"&gt;"&amp;H968)=0,"",SMALL($G968:$T968,COUNTIF($G968:$T968,"&lt;="&amp;H968)+1)-H968)))</f>
        <v/>
      </c>
      <c r="AF968" t="str">
        <f>IF(OR($B968="",NOT(ISNUMBER(I968))),"",IF(COUNTIF(J968:$T968,I968)&gt;0,0,IF(COUNTIF($G968:$T968,"&gt;"&amp;I968)=0,"",SMALL($G968:$T968,COUNTIF($G968:$T968,"&lt;="&amp;I968)+1)-I968)))</f>
        <v/>
      </c>
      <c r="AG968" t="str">
        <f>IF(OR($B968="",NOT(ISNUMBER(J968))),"",IF(COUNTIF(K968:$T968,J968)&gt;0,0,IF(COUNTIF($G968:$T968,"&gt;"&amp;J968)=0,"",SMALL($G968:$T968,COUNTIF($G968:$T968,"&lt;="&amp;J968)+1)-J968)))</f>
        <v/>
      </c>
      <c r="AH968" t="str">
        <f>IF(OR($B968="",NOT(ISNUMBER(K968))),"",IF(COUNTIF(L968:$T968,K968)&gt;0,0,IF(COUNTIF($G968:$T968,"&gt;"&amp;K968)=0,"",SMALL($G968:$T968,COUNTIF($G968:$T968,"&lt;="&amp;K968)+1)-K968)))</f>
        <v/>
      </c>
      <c r="AI968" t="str">
        <f>IF(OR($B968="",NOT(ISNUMBER(L968))),"",IF(COUNTIF(M968:$T968,L968)&gt;0,0,IF(COUNTIF($G968:$T968,"&gt;"&amp;L968)=0,"",SMALL($G968:$T968,COUNTIF($G968:$T968,"&lt;="&amp;L968)+1)-L968)))</f>
        <v/>
      </c>
      <c r="AJ968" t="str">
        <f>IF(OR($B968="",NOT(ISNUMBER(M968))),"",IF(COUNTIF(N968:$T968,M968)&gt;0,0,IF(COUNTIF($G968:$T968,"&gt;"&amp;M968)=0,"",SMALL($G968:$T968,COUNTIF($G968:$T968,"&lt;="&amp;M968)+1)-M968)))</f>
        <v/>
      </c>
      <c r="AK968" t="str">
        <f>IF(OR($B968="",NOT(ISNUMBER(N968))),"",IF(COUNTIF(O968:$T968,N968)&gt;0,0,IF(COUNTIF($G968:$T968,"&gt;"&amp;N968)=0,"",SMALL($G968:$T968,COUNTIF($G968:$T968,"&lt;="&amp;N968)+1)-N968)))</f>
        <v/>
      </c>
      <c r="AL968" t="str">
        <f>IF(OR($B968="",NOT(ISNUMBER(O968))),"",IF(COUNTIF(P968:$T968,O968)&gt;0,0,IF(COUNTIF($G968:$T968,"&gt;"&amp;O968)=0,"",SMALL($G968:$T968,COUNTIF($G968:$T968,"&lt;="&amp;O968)+1)-O968)))</f>
        <v/>
      </c>
      <c r="AM968" t="str">
        <f>IF(OR($B968="",NOT(ISNUMBER(P968))),"",IF(COUNTIF(Q968:$T968,P968)&gt;0,0,IF(COUNTIF($G968:$T968,"&gt;"&amp;P968)=0,"",SMALL($G968:$T968,COUNTIF($G968:$T968,"&lt;="&amp;P968)+1)-P968)))</f>
        <v/>
      </c>
      <c r="AN968" t="str">
        <f>IF(OR($B968="",NOT(ISNUMBER(Q968))),"",IF(COUNTIF(R968:$T968,Q968)&gt;0,0,IF(COUNTIF($G968:$T968,"&gt;"&amp;Q968)=0,"",SMALL($G968:$T968,COUNTIF($G968:$T968,"&lt;="&amp;Q968)+1)-Q968)))</f>
        <v/>
      </c>
      <c r="AO968" t="str">
        <f>IF(OR($B968="",NOT(ISNUMBER(R968))),"",IF(COUNTIF(S968:$T968,R968)&gt;0,0,IF(COUNTIF($G968:$T968,"&gt;"&amp;R968)=0,"",SMALL($G968:$T968,COUNTIF($G968:$T968,"&lt;="&amp;R968)+1)-R968)))</f>
        <v/>
      </c>
      <c r="AP968">
        <f t="shared" ca="1" si="258"/>
        <v>0</v>
      </c>
      <c r="AQ968" s="25" t="str">
        <f t="shared" si="259"/>
        <v/>
      </c>
      <c r="AR968" s="25" t="str">
        <f t="shared" si="260"/>
        <v/>
      </c>
      <c r="AS968" s="25" t="str">
        <f t="shared" si="261"/>
        <v/>
      </c>
      <c r="AT968" s="25" t="str">
        <f t="shared" si="262"/>
        <v/>
      </c>
      <c r="AU968" s="25" t="str">
        <f t="shared" si="263"/>
        <v/>
      </c>
      <c r="AV968" s="25" t="str">
        <f t="shared" si="264"/>
        <v/>
      </c>
      <c r="AW968" s="25" t="str">
        <f t="shared" si="265"/>
        <v/>
      </c>
      <c r="AX968" s="25" t="str">
        <f t="shared" si="266"/>
        <v/>
      </c>
      <c r="AY968" s="25" t="str">
        <f t="shared" si="267"/>
        <v/>
      </c>
      <c r="AZ968" s="25" t="str">
        <f t="shared" si="268"/>
        <v/>
      </c>
      <c r="BA968" s="25" t="str">
        <f t="shared" si="269"/>
        <v/>
      </c>
      <c r="BB968" s="25" t="str">
        <f t="shared" si="270"/>
        <v/>
      </c>
      <c r="BC968" s="25" t="str">
        <f t="shared" si="271"/>
        <v/>
      </c>
    </row>
    <row r="969" spans="1:55" x14ac:dyDescent="0.25">
      <c r="A969" s="19" t="str">
        <f t="shared" si="256"/>
        <v/>
      </c>
      <c r="B969" s="19"/>
      <c r="C969" s="20"/>
      <c r="D969" s="19" t="str">
        <f t="shared" si="255"/>
        <v/>
      </c>
      <c r="E969" s="19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19"/>
      <c r="U969" s="19"/>
      <c r="V969" s="20"/>
      <c r="W969" s="22"/>
      <c r="X969" s="21"/>
      <c r="Y969" s="21"/>
      <c r="Z969" s="23" t="str">
        <f>IF(B969="","",IF(S969&lt;&gt;"","Sevk Edildi",IF(AND(X969&lt;&gt;"",Y969=""),"Reworkte",IF(T969&lt;&gt;"","Kapandı"&amp;IF(COUNT(G969:R969)=0,""," – "&amp;LOOKUP(2,1/(G969:R969=MAX(G969:R969)),{"Tasarım","Ply Cutter","Üretim","Kalite (Üretim sonrası)","Talaşlı","Kalite (Talaşlı sonrası)","Montaj","Kalite (Montaj sonrası)","Boya","Kalite (Boya sonrası)","Yarı Mamül","KM"})),IF(COUNT(G969:R969)=0,"Başlamadı",LOOKUP(2,1/(G969:R969=MAX(G969:R969)),{"Tasarımda","Ply Cutter'da","Üretimde","Kalitede (Üretim sonrası)","Talaşlıda","Kalitede (Talaşlı sonrası)","Montajda","Kalitede (Montaj sonrası)","Boyada","Kalitede (Boya sonrası)","Yarı Mamülde","KM'de"}))))))</f>
        <v/>
      </c>
      <c r="AA969" s="24" t="str">
        <f t="shared" ca="1" si="257"/>
        <v/>
      </c>
      <c r="AB969" s="22"/>
      <c r="AD969" t="str">
        <f>IF(OR($B969="",NOT(ISNUMBER(G969))),"",IF(COUNTIF(H969:$T969,G969)&gt;0,0,IF(COUNTIF($G969:$T969,"&gt;"&amp;G969)=0,"",SMALL($G969:$T969,COUNTIF($G969:$T969,"&lt;="&amp;G969)+1)-G969)))</f>
        <v/>
      </c>
      <c r="AE969" t="str">
        <f>IF(OR($B969="",NOT(ISNUMBER(H969))),"",IF(COUNTIF(I969:$T969,H969)&gt;0,0,IF(COUNTIF($G969:$T969,"&gt;"&amp;H969)=0,"",SMALL($G969:$T969,COUNTIF($G969:$T969,"&lt;="&amp;H969)+1)-H969)))</f>
        <v/>
      </c>
      <c r="AF969" t="str">
        <f>IF(OR($B969="",NOT(ISNUMBER(I969))),"",IF(COUNTIF(J969:$T969,I969)&gt;0,0,IF(COUNTIF($G969:$T969,"&gt;"&amp;I969)=0,"",SMALL($G969:$T969,COUNTIF($G969:$T969,"&lt;="&amp;I969)+1)-I969)))</f>
        <v/>
      </c>
      <c r="AG969" t="str">
        <f>IF(OR($B969="",NOT(ISNUMBER(J969))),"",IF(COUNTIF(K969:$T969,J969)&gt;0,0,IF(COUNTIF($G969:$T969,"&gt;"&amp;J969)=0,"",SMALL($G969:$T969,COUNTIF($G969:$T969,"&lt;="&amp;J969)+1)-J969)))</f>
        <v/>
      </c>
      <c r="AH969" t="str">
        <f>IF(OR($B969="",NOT(ISNUMBER(K969))),"",IF(COUNTIF(L969:$T969,K969)&gt;0,0,IF(COUNTIF($G969:$T969,"&gt;"&amp;K969)=0,"",SMALL($G969:$T969,COUNTIF($G969:$T969,"&lt;="&amp;K969)+1)-K969)))</f>
        <v/>
      </c>
      <c r="AI969" t="str">
        <f>IF(OR($B969="",NOT(ISNUMBER(L969))),"",IF(COUNTIF(M969:$T969,L969)&gt;0,0,IF(COUNTIF($G969:$T969,"&gt;"&amp;L969)=0,"",SMALL($G969:$T969,COUNTIF($G969:$T969,"&lt;="&amp;L969)+1)-L969)))</f>
        <v/>
      </c>
      <c r="AJ969" t="str">
        <f>IF(OR($B969="",NOT(ISNUMBER(M969))),"",IF(COUNTIF(N969:$T969,M969)&gt;0,0,IF(COUNTIF($G969:$T969,"&gt;"&amp;M969)=0,"",SMALL($G969:$T969,COUNTIF($G969:$T969,"&lt;="&amp;M969)+1)-M969)))</f>
        <v/>
      </c>
      <c r="AK969" t="str">
        <f>IF(OR($B969="",NOT(ISNUMBER(N969))),"",IF(COUNTIF(O969:$T969,N969)&gt;0,0,IF(COUNTIF($G969:$T969,"&gt;"&amp;N969)=0,"",SMALL($G969:$T969,COUNTIF($G969:$T969,"&lt;="&amp;N969)+1)-N969)))</f>
        <v/>
      </c>
      <c r="AL969" t="str">
        <f>IF(OR($B969="",NOT(ISNUMBER(O969))),"",IF(COUNTIF(P969:$T969,O969)&gt;0,0,IF(COUNTIF($G969:$T969,"&gt;"&amp;O969)=0,"",SMALL($G969:$T969,COUNTIF($G969:$T969,"&lt;="&amp;O969)+1)-O969)))</f>
        <v/>
      </c>
      <c r="AM969" t="str">
        <f>IF(OR($B969="",NOT(ISNUMBER(P969))),"",IF(COUNTIF(Q969:$T969,P969)&gt;0,0,IF(COUNTIF($G969:$T969,"&gt;"&amp;P969)=0,"",SMALL($G969:$T969,COUNTIF($G969:$T969,"&lt;="&amp;P969)+1)-P969)))</f>
        <v/>
      </c>
      <c r="AN969" t="str">
        <f>IF(OR($B969="",NOT(ISNUMBER(Q969))),"",IF(COUNTIF(R969:$T969,Q969)&gt;0,0,IF(COUNTIF($G969:$T969,"&gt;"&amp;Q969)=0,"",SMALL($G969:$T969,COUNTIF($G969:$T969,"&lt;="&amp;Q969)+1)-Q969)))</f>
        <v/>
      </c>
      <c r="AO969" t="str">
        <f>IF(OR($B969="",NOT(ISNUMBER(R969))),"",IF(COUNTIF(S969:$T969,R969)&gt;0,0,IF(COUNTIF($G969:$T969,"&gt;"&amp;R969)=0,"",SMALL($G969:$T969,COUNTIF($G969:$T969,"&lt;="&amp;R969)+1)-R969)))</f>
        <v/>
      </c>
      <c r="AP969">
        <f t="shared" ca="1" si="258"/>
        <v>0</v>
      </c>
      <c r="AQ969" s="25" t="str">
        <f t="shared" si="259"/>
        <v/>
      </c>
      <c r="AR969" s="25" t="str">
        <f t="shared" si="260"/>
        <v/>
      </c>
      <c r="AS969" s="25" t="str">
        <f t="shared" si="261"/>
        <v/>
      </c>
      <c r="AT969" s="25" t="str">
        <f t="shared" si="262"/>
        <v/>
      </c>
      <c r="AU969" s="25" t="str">
        <f t="shared" si="263"/>
        <v/>
      </c>
      <c r="AV969" s="25" t="str">
        <f t="shared" si="264"/>
        <v/>
      </c>
      <c r="AW969" s="25" t="str">
        <f t="shared" si="265"/>
        <v/>
      </c>
      <c r="AX969" s="25" t="str">
        <f t="shared" si="266"/>
        <v/>
      </c>
      <c r="AY969" s="25" t="str">
        <f t="shared" si="267"/>
        <v/>
      </c>
      <c r="AZ969" s="25" t="str">
        <f t="shared" si="268"/>
        <v/>
      </c>
      <c r="BA969" s="25" t="str">
        <f t="shared" si="269"/>
        <v/>
      </c>
      <c r="BB969" s="25" t="str">
        <f t="shared" si="270"/>
        <v/>
      </c>
      <c r="BC969" s="25" t="str">
        <f t="shared" si="271"/>
        <v/>
      </c>
    </row>
    <row r="970" spans="1:55" x14ac:dyDescent="0.25">
      <c r="A970" s="19" t="str">
        <f t="shared" si="256"/>
        <v/>
      </c>
      <c r="B970" s="19"/>
      <c r="C970" s="20"/>
      <c r="D970" s="19" t="str">
        <f t="shared" si="255"/>
        <v/>
      </c>
      <c r="E970" s="19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19"/>
      <c r="U970" s="19"/>
      <c r="V970" s="20"/>
      <c r="W970" s="22"/>
      <c r="X970" s="21"/>
      <c r="Y970" s="21"/>
      <c r="Z970" s="23" t="str">
        <f>IF(B970="","",IF(S970&lt;&gt;"","Sevk Edildi",IF(AND(X970&lt;&gt;"",Y970=""),"Reworkte",IF(T970&lt;&gt;"","Kapandı"&amp;IF(COUNT(G970:R970)=0,""," – "&amp;LOOKUP(2,1/(G970:R970=MAX(G970:R970)),{"Tasarım","Ply Cutter","Üretim","Kalite (Üretim sonrası)","Talaşlı","Kalite (Talaşlı sonrası)","Montaj","Kalite (Montaj sonrası)","Boya","Kalite (Boya sonrası)","Yarı Mamül","KM"})),IF(COUNT(G970:R970)=0,"Başlamadı",LOOKUP(2,1/(G970:R970=MAX(G970:R970)),{"Tasarımda","Ply Cutter'da","Üretimde","Kalitede (Üretim sonrası)","Talaşlıda","Kalitede (Talaşlı sonrası)","Montajda","Kalitede (Montaj sonrası)","Boyada","Kalitede (Boya sonrası)","Yarı Mamülde","KM'de"}))))))</f>
        <v/>
      </c>
      <c r="AA970" s="24" t="str">
        <f t="shared" ca="1" si="257"/>
        <v/>
      </c>
      <c r="AB970" s="22"/>
      <c r="AD970" t="str">
        <f>IF(OR($B970="",NOT(ISNUMBER(G970))),"",IF(COUNTIF(H970:$T970,G970)&gt;0,0,IF(COUNTIF($G970:$T970,"&gt;"&amp;G970)=0,"",SMALL($G970:$T970,COUNTIF($G970:$T970,"&lt;="&amp;G970)+1)-G970)))</f>
        <v/>
      </c>
      <c r="AE970" t="str">
        <f>IF(OR($B970="",NOT(ISNUMBER(H970))),"",IF(COUNTIF(I970:$T970,H970)&gt;0,0,IF(COUNTIF($G970:$T970,"&gt;"&amp;H970)=0,"",SMALL($G970:$T970,COUNTIF($G970:$T970,"&lt;="&amp;H970)+1)-H970)))</f>
        <v/>
      </c>
      <c r="AF970" t="str">
        <f>IF(OR($B970="",NOT(ISNUMBER(I970))),"",IF(COUNTIF(J970:$T970,I970)&gt;0,0,IF(COUNTIF($G970:$T970,"&gt;"&amp;I970)=0,"",SMALL($G970:$T970,COUNTIF($G970:$T970,"&lt;="&amp;I970)+1)-I970)))</f>
        <v/>
      </c>
      <c r="AG970" t="str">
        <f>IF(OR($B970="",NOT(ISNUMBER(J970))),"",IF(COUNTIF(K970:$T970,J970)&gt;0,0,IF(COUNTIF($G970:$T970,"&gt;"&amp;J970)=0,"",SMALL($G970:$T970,COUNTIF($G970:$T970,"&lt;="&amp;J970)+1)-J970)))</f>
        <v/>
      </c>
      <c r="AH970" t="str">
        <f>IF(OR($B970="",NOT(ISNUMBER(K970))),"",IF(COUNTIF(L970:$T970,K970)&gt;0,0,IF(COUNTIF($G970:$T970,"&gt;"&amp;K970)=0,"",SMALL($G970:$T970,COUNTIF($G970:$T970,"&lt;="&amp;K970)+1)-K970)))</f>
        <v/>
      </c>
      <c r="AI970" t="str">
        <f>IF(OR($B970="",NOT(ISNUMBER(L970))),"",IF(COUNTIF(M970:$T970,L970)&gt;0,0,IF(COUNTIF($G970:$T970,"&gt;"&amp;L970)=0,"",SMALL($G970:$T970,COUNTIF($G970:$T970,"&lt;="&amp;L970)+1)-L970)))</f>
        <v/>
      </c>
      <c r="AJ970" t="str">
        <f>IF(OR($B970="",NOT(ISNUMBER(M970))),"",IF(COUNTIF(N970:$T970,M970)&gt;0,0,IF(COUNTIF($G970:$T970,"&gt;"&amp;M970)=0,"",SMALL($G970:$T970,COUNTIF($G970:$T970,"&lt;="&amp;M970)+1)-M970)))</f>
        <v/>
      </c>
      <c r="AK970" t="str">
        <f>IF(OR($B970="",NOT(ISNUMBER(N970))),"",IF(COUNTIF(O970:$T970,N970)&gt;0,0,IF(COUNTIF($G970:$T970,"&gt;"&amp;N970)=0,"",SMALL($G970:$T970,COUNTIF($G970:$T970,"&lt;="&amp;N970)+1)-N970)))</f>
        <v/>
      </c>
      <c r="AL970" t="str">
        <f>IF(OR($B970="",NOT(ISNUMBER(O970))),"",IF(COUNTIF(P970:$T970,O970)&gt;0,0,IF(COUNTIF($G970:$T970,"&gt;"&amp;O970)=0,"",SMALL($G970:$T970,COUNTIF($G970:$T970,"&lt;="&amp;O970)+1)-O970)))</f>
        <v/>
      </c>
      <c r="AM970" t="str">
        <f>IF(OR($B970="",NOT(ISNUMBER(P970))),"",IF(COUNTIF(Q970:$T970,P970)&gt;0,0,IF(COUNTIF($G970:$T970,"&gt;"&amp;P970)=0,"",SMALL($G970:$T970,COUNTIF($G970:$T970,"&lt;="&amp;P970)+1)-P970)))</f>
        <v/>
      </c>
      <c r="AN970" t="str">
        <f>IF(OR($B970="",NOT(ISNUMBER(Q970))),"",IF(COUNTIF(R970:$T970,Q970)&gt;0,0,IF(COUNTIF($G970:$T970,"&gt;"&amp;Q970)=0,"",SMALL($G970:$T970,COUNTIF($G970:$T970,"&lt;="&amp;Q970)+1)-Q970)))</f>
        <v/>
      </c>
      <c r="AO970" t="str">
        <f>IF(OR($B970="",NOT(ISNUMBER(R970))),"",IF(COUNTIF(S970:$T970,R970)&gt;0,0,IF(COUNTIF($G970:$T970,"&gt;"&amp;R970)=0,"",SMALL($G970:$T970,COUNTIF($G970:$T970,"&lt;="&amp;R970)+1)-R970)))</f>
        <v/>
      </c>
      <c r="AP970">
        <f t="shared" ca="1" si="258"/>
        <v>0</v>
      </c>
      <c r="AQ970" s="25" t="str">
        <f t="shared" si="259"/>
        <v/>
      </c>
      <c r="AR970" s="25" t="str">
        <f t="shared" si="260"/>
        <v/>
      </c>
      <c r="AS970" s="25" t="str">
        <f t="shared" si="261"/>
        <v/>
      </c>
      <c r="AT970" s="25" t="str">
        <f t="shared" si="262"/>
        <v/>
      </c>
      <c r="AU970" s="25" t="str">
        <f t="shared" si="263"/>
        <v/>
      </c>
      <c r="AV970" s="25" t="str">
        <f t="shared" si="264"/>
        <v/>
      </c>
      <c r="AW970" s="25" t="str">
        <f t="shared" si="265"/>
        <v/>
      </c>
      <c r="AX970" s="25" t="str">
        <f t="shared" si="266"/>
        <v/>
      </c>
      <c r="AY970" s="25" t="str">
        <f t="shared" si="267"/>
        <v/>
      </c>
      <c r="AZ970" s="25" t="str">
        <f t="shared" si="268"/>
        <v/>
      </c>
      <c r="BA970" s="25" t="str">
        <f t="shared" si="269"/>
        <v/>
      </c>
      <c r="BB970" s="25" t="str">
        <f t="shared" si="270"/>
        <v/>
      </c>
      <c r="BC970" s="25" t="str">
        <f t="shared" si="271"/>
        <v/>
      </c>
    </row>
    <row r="971" spans="1:55" x14ac:dyDescent="0.25">
      <c r="A971" s="19" t="str">
        <f t="shared" si="256"/>
        <v/>
      </c>
      <c r="B971" s="19"/>
      <c r="C971" s="20"/>
      <c r="D971" s="19" t="str">
        <f t="shared" si="255"/>
        <v/>
      </c>
      <c r="E971" s="19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19"/>
      <c r="U971" s="19"/>
      <c r="V971" s="20"/>
      <c r="W971" s="22"/>
      <c r="X971" s="21"/>
      <c r="Y971" s="21"/>
      <c r="Z971" s="23" t="str">
        <f>IF(B971="","",IF(S971&lt;&gt;"","Sevk Edildi",IF(AND(X971&lt;&gt;"",Y971=""),"Reworkte",IF(T971&lt;&gt;"","Kapandı"&amp;IF(COUNT(G971:R971)=0,""," – "&amp;LOOKUP(2,1/(G971:R971=MAX(G971:R971)),{"Tasarım","Ply Cutter","Üretim","Kalite (Üretim sonrası)","Talaşlı","Kalite (Talaşlı sonrası)","Montaj","Kalite (Montaj sonrası)","Boya","Kalite (Boya sonrası)","Yarı Mamül","KM"})),IF(COUNT(G971:R971)=0,"Başlamadı",LOOKUP(2,1/(G971:R971=MAX(G971:R971)),{"Tasarımda","Ply Cutter'da","Üretimde","Kalitede (Üretim sonrası)","Talaşlıda","Kalitede (Talaşlı sonrası)","Montajda","Kalitede (Montaj sonrası)","Boyada","Kalitede (Boya sonrası)","Yarı Mamülde","KM'de"}))))))</f>
        <v/>
      </c>
      <c r="AA971" s="24" t="str">
        <f t="shared" ca="1" si="257"/>
        <v/>
      </c>
      <c r="AB971" s="22"/>
      <c r="AD971" t="str">
        <f>IF(OR($B971="",NOT(ISNUMBER(G971))),"",IF(COUNTIF(H971:$T971,G971)&gt;0,0,IF(COUNTIF($G971:$T971,"&gt;"&amp;G971)=0,"",SMALL($G971:$T971,COUNTIF($G971:$T971,"&lt;="&amp;G971)+1)-G971)))</f>
        <v/>
      </c>
      <c r="AE971" t="str">
        <f>IF(OR($B971="",NOT(ISNUMBER(H971))),"",IF(COUNTIF(I971:$T971,H971)&gt;0,0,IF(COUNTIF($G971:$T971,"&gt;"&amp;H971)=0,"",SMALL($G971:$T971,COUNTIF($G971:$T971,"&lt;="&amp;H971)+1)-H971)))</f>
        <v/>
      </c>
      <c r="AF971" t="str">
        <f>IF(OR($B971="",NOT(ISNUMBER(I971))),"",IF(COUNTIF(J971:$T971,I971)&gt;0,0,IF(COUNTIF($G971:$T971,"&gt;"&amp;I971)=0,"",SMALL($G971:$T971,COUNTIF($G971:$T971,"&lt;="&amp;I971)+1)-I971)))</f>
        <v/>
      </c>
      <c r="AG971" t="str">
        <f>IF(OR($B971="",NOT(ISNUMBER(J971))),"",IF(COUNTIF(K971:$T971,J971)&gt;0,0,IF(COUNTIF($G971:$T971,"&gt;"&amp;J971)=0,"",SMALL($G971:$T971,COUNTIF($G971:$T971,"&lt;="&amp;J971)+1)-J971)))</f>
        <v/>
      </c>
      <c r="AH971" t="str">
        <f>IF(OR($B971="",NOT(ISNUMBER(K971))),"",IF(COUNTIF(L971:$T971,K971)&gt;0,0,IF(COUNTIF($G971:$T971,"&gt;"&amp;K971)=0,"",SMALL($G971:$T971,COUNTIF($G971:$T971,"&lt;="&amp;K971)+1)-K971)))</f>
        <v/>
      </c>
      <c r="AI971" t="str">
        <f>IF(OR($B971="",NOT(ISNUMBER(L971))),"",IF(COUNTIF(M971:$T971,L971)&gt;0,0,IF(COUNTIF($G971:$T971,"&gt;"&amp;L971)=0,"",SMALL($G971:$T971,COUNTIF($G971:$T971,"&lt;="&amp;L971)+1)-L971)))</f>
        <v/>
      </c>
      <c r="AJ971" t="str">
        <f>IF(OR($B971="",NOT(ISNUMBER(M971))),"",IF(COUNTIF(N971:$T971,M971)&gt;0,0,IF(COUNTIF($G971:$T971,"&gt;"&amp;M971)=0,"",SMALL($G971:$T971,COUNTIF($G971:$T971,"&lt;="&amp;M971)+1)-M971)))</f>
        <v/>
      </c>
      <c r="AK971" t="str">
        <f>IF(OR($B971="",NOT(ISNUMBER(N971))),"",IF(COUNTIF(O971:$T971,N971)&gt;0,0,IF(COUNTIF($G971:$T971,"&gt;"&amp;N971)=0,"",SMALL($G971:$T971,COUNTIF($G971:$T971,"&lt;="&amp;N971)+1)-N971)))</f>
        <v/>
      </c>
      <c r="AL971" t="str">
        <f>IF(OR($B971="",NOT(ISNUMBER(O971))),"",IF(COUNTIF(P971:$T971,O971)&gt;0,0,IF(COUNTIF($G971:$T971,"&gt;"&amp;O971)=0,"",SMALL($G971:$T971,COUNTIF($G971:$T971,"&lt;="&amp;O971)+1)-O971)))</f>
        <v/>
      </c>
      <c r="AM971" t="str">
        <f>IF(OR($B971="",NOT(ISNUMBER(P971))),"",IF(COUNTIF(Q971:$T971,P971)&gt;0,0,IF(COUNTIF($G971:$T971,"&gt;"&amp;P971)=0,"",SMALL($G971:$T971,COUNTIF($G971:$T971,"&lt;="&amp;P971)+1)-P971)))</f>
        <v/>
      </c>
      <c r="AN971" t="str">
        <f>IF(OR($B971="",NOT(ISNUMBER(Q971))),"",IF(COUNTIF(R971:$T971,Q971)&gt;0,0,IF(COUNTIF($G971:$T971,"&gt;"&amp;Q971)=0,"",SMALL($G971:$T971,COUNTIF($G971:$T971,"&lt;="&amp;Q971)+1)-Q971)))</f>
        <v/>
      </c>
      <c r="AO971" t="str">
        <f>IF(OR($B971="",NOT(ISNUMBER(R971))),"",IF(COUNTIF(S971:$T971,R971)&gt;0,0,IF(COUNTIF($G971:$T971,"&gt;"&amp;R971)=0,"",SMALL($G971:$T971,COUNTIF($G971:$T971,"&lt;="&amp;R971)+1)-R971)))</f>
        <v/>
      </c>
      <c r="AP971">
        <f t="shared" ca="1" si="258"/>
        <v>0</v>
      </c>
      <c r="AQ971" s="25" t="str">
        <f t="shared" si="259"/>
        <v/>
      </c>
      <c r="AR971" s="25" t="str">
        <f t="shared" si="260"/>
        <v/>
      </c>
      <c r="AS971" s="25" t="str">
        <f t="shared" si="261"/>
        <v/>
      </c>
      <c r="AT971" s="25" t="str">
        <f t="shared" si="262"/>
        <v/>
      </c>
      <c r="AU971" s="25" t="str">
        <f t="shared" si="263"/>
        <v/>
      </c>
      <c r="AV971" s="25" t="str">
        <f t="shared" si="264"/>
        <v/>
      </c>
      <c r="AW971" s="25" t="str">
        <f t="shared" si="265"/>
        <v/>
      </c>
      <c r="AX971" s="25" t="str">
        <f t="shared" si="266"/>
        <v/>
      </c>
      <c r="AY971" s="25" t="str">
        <f t="shared" si="267"/>
        <v/>
      </c>
      <c r="AZ971" s="25" t="str">
        <f t="shared" si="268"/>
        <v/>
      </c>
      <c r="BA971" s="25" t="str">
        <f t="shared" si="269"/>
        <v/>
      </c>
      <c r="BB971" s="25" t="str">
        <f t="shared" si="270"/>
        <v/>
      </c>
      <c r="BC971" s="25" t="str">
        <f t="shared" si="271"/>
        <v/>
      </c>
    </row>
    <row r="972" spans="1:55" x14ac:dyDescent="0.25">
      <c r="A972" s="19" t="str">
        <f t="shared" si="256"/>
        <v/>
      </c>
      <c r="B972" s="19"/>
      <c r="C972" s="20"/>
      <c r="D972" s="19" t="str">
        <f t="shared" si="255"/>
        <v/>
      </c>
      <c r="E972" s="19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19"/>
      <c r="U972" s="19"/>
      <c r="V972" s="20"/>
      <c r="W972" s="22"/>
      <c r="X972" s="21"/>
      <c r="Y972" s="21"/>
      <c r="Z972" s="23" t="str">
        <f>IF(B972="","",IF(S972&lt;&gt;"","Sevk Edildi",IF(AND(X972&lt;&gt;"",Y972=""),"Reworkte",IF(T972&lt;&gt;"","Kapandı"&amp;IF(COUNT(G972:R972)=0,""," – "&amp;LOOKUP(2,1/(G972:R972=MAX(G972:R972)),{"Tasarım","Ply Cutter","Üretim","Kalite (Üretim sonrası)","Talaşlı","Kalite (Talaşlı sonrası)","Montaj","Kalite (Montaj sonrası)","Boya","Kalite (Boya sonrası)","Yarı Mamül","KM"})),IF(COUNT(G972:R972)=0,"Başlamadı",LOOKUP(2,1/(G972:R972=MAX(G972:R972)),{"Tasarımda","Ply Cutter'da","Üretimde","Kalitede (Üretim sonrası)","Talaşlıda","Kalitede (Talaşlı sonrası)","Montajda","Kalitede (Montaj sonrası)","Boyada","Kalitede (Boya sonrası)","Yarı Mamülde","KM'de"}))))))</f>
        <v/>
      </c>
      <c r="AA972" s="24" t="str">
        <f t="shared" ca="1" si="257"/>
        <v/>
      </c>
      <c r="AB972" s="22"/>
      <c r="AD972" t="str">
        <f>IF(OR($B972="",NOT(ISNUMBER(G972))),"",IF(COUNTIF(H972:$T972,G972)&gt;0,0,IF(COUNTIF($G972:$T972,"&gt;"&amp;G972)=0,"",SMALL($G972:$T972,COUNTIF($G972:$T972,"&lt;="&amp;G972)+1)-G972)))</f>
        <v/>
      </c>
      <c r="AE972" t="str">
        <f>IF(OR($B972="",NOT(ISNUMBER(H972))),"",IF(COUNTIF(I972:$T972,H972)&gt;0,0,IF(COUNTIF($G972:$T972,"&gt;"&amp;H972)=0,"",SMALL($G972:$T972,COUNTIF($G972:$T972,"&lt;="&amp;H972)+1)-H972)))</f>
        <v/>
      </c>
      <c r="AF972" t="str">
        <f>IF(OR($B972="",NOT(ISNUMBER(I972))),"",IF(COUNTIF(J972:$T972,I972)&gt;0,0,IF(COUNTIF($G972:$T972,"&gt;"&amp;I972)=0,"",SMALL($G972:$T972,COUNTIF($G972:$T972,"&lt;="&amp;I972)+1)-I972)))</f>
        <v/>
      </c>
      <c r="AG972" t="str">
        <f>IF(OR($B972="",NOT(ISNUMBER(J972))),"",IF(COUNTIF(K972:$T972,J972)&gt;0,0,IF(COUNTIF($G972:$T972,"&gt;"&amp;J972)=0,"",SMALL($G972:$T972,COUNTIF($G972:$T972,"&lt;="&amp;J972)+1)-J972)))</f>
        <v/>
      </c>
      <c r="AH972" t="str">
        <f>IF(OR($B972="",NOT(ISNUMBER(K972))),"",IF(COUNTIF(L972:$T972,K972)&gt;0,0,IF(COUNTIF($G972:$T972,"&gt;"&amp;K972)=0,"",SMALL($G972:$T972,COUNTIF($G972:$T972,"&lt;="&amp;K972)+1)-K972)))</f>
        <v/>
      </c>
      <c r="AI972" t="str">
        <f>IF(OR($B972="",NOT(ISNUMBER(L972))),"",IF(COUNTIF(M972:$T972,L972)&gt;0,0,IF(COUNTIF($G972:$T972,"&gt;"&amp;L972)=0,"",SMALL($G972:$T972,COUNTIF($G972:$T972,"&lt;="&amp;L972)+1)-L972)))</f>
        <v/>
      </c>
      <c r="AJ972" t="str">
        <f>IF(OR($B972="",NOT(ISNUMBER(M972))),"",IF(COUNTIF(N972:$T972,M972)&gt;0,0,IF(COUNTIF($G972:$T972,"&gt;"&amp;M972)=0,"",SMALL($G972:$T972,COUNTIF($G972:$T972,"&lt;="&amp;M972)+1)-M972)))</f>
        <v/>
      </c>
      <c r="AK972" t="str">
        <f>IF(OR($B972="",NOT(ISNUMBER(N972))),"",IF(COUNTIF(O972:$T972,N972)&gt;0,0,IF(COUNTIF($G972:$T972,"&gt;"&amp;N972)=0,"",SMALL($G972:$T972,COUNTIF($G972:$T972,"&lt;="&amp;N972)+1)-N972)))</f>
        <v/>
      </c>
      <c r="AL972" t="str">
        <f>IF(OR($B972="",NOT(ISNUMBER(O972))),"",IF(COUNTIF(P972:$T972,O972)&gt;0,0,IF(COUNTIF($G972:$T972,"&gt;"&amp;O972)=0,"",SMALL($G972:$T972,COUNTIF($G972:$T972,"&lt;="&amp;O972)+1)-O972)))</f>
        <v/>
      </c>
      <c r="AM972" t="str">
        <f>IF(OR($B972="",NOT(ISNUMBER(P972))),"",IF(COUNTIF(Q972:$T972,P972)&gt;0,0,IF(COUNTIF($G972:$T972,"&gt;"&amp;P972)=0,"",SMALL($G972:$T972,COUNTIF($G972:$T972,"&lt;="&amp;P972)+1)-P972)))</f>
        <v/>
      </c>
      <c r="AN972" t="str">
        <f>IF(OR($B972="",NOT(ISNUMBER(Q972))),"",IF(COUNTIF(R972:$T972,Q972)&gt;0,0,IF(COUNTIF($G972:$T972,"&gt;"&amp;Q972)=0,"",SMALL($G972:$T972,COUNTIF($G972:$T972,"&lt;="&amp;Q972)+1)-Q972)))</f>
        <v/>
      </c>
      <c r="AO972" t="str">
        <f>IF(OR($B972="",NOT(ISNUMBER(R972))),"",IF(COUNTIF(S972:$T972,R972)&gt;0,0,IF(COUNTIF($G972:$T972,"&gt;"&amp;R972)=0,"",SMALL($G972:$T972,COUNTIF($G972:$T972,"&lt;="&amp;R972)+1)-R972)))</f>
        <v/>
      </c>
      <c r="AP972">
        <f t="shared" ca="1" si="258"/>
        <v>0</v>
      </c>
      <c r="AQ972" s="25" t="str">
        <f t="shared" si="259"/>
        <v/>
      </c>
      <c r="AR972" s="25" t="str">
        <f t="shared" si="260"/>
        <v/>
      </c>
      <c r="AS972" s="25" t="str">
        <f t="shared" si="261"/>
        <v/>
      </c>
      <c r="AT972" s="25" t="str">
        <f t="shared" si="262"/>
        <v/>
      </c>
      <c r="AU972" s="25" t="str">
        <f t="shared" si="263"/>
        <v/>
      </c>
      <c r="AV972" s="25" t="str">
        <f t="shared" si="264"/>
        <v/>
      </c>
      <c r="AW972" s="25" t="str">
        <f t="shared" si="265"/>
        <v/>
      </c>
      <c r="AX972" s="25" t="str">
        <f t="shared" si="266"/>
        <v/>
      </c>
      <c r="AY972" s="25" t="str">
        <f t="shared" si="267"/>
        <v/>
      </c>
      <c r="AZ972" s="25" t="str">
        <f t="shared" si="268"/>
        <v/>
      </c>
      <c r="BA972" s="25" t="str">
        <f t="shared" si="269"/>
        <v/>
      </c>
      <c r="BB972" s="25" t="str">
        <f t="shared" si="270"/>
        <v/>
      </c>
      <c r="BC972" s="25" t="str">
        <f t="shared" si="271"/>
        <v/>
      </c>
    </row>
    <row r="973" spans="1:55" x14ac:dyDescent="0.25">
      <c r="A973" s="19" t="str">
        <f t="shared" si="256"/>
        <v/>
      </c>
      <c r="B973" s="19"/>
      <c r="C973" s="20"/>
      <c r="D973" s="19" t="str">
        <f t="shared" si="255"/>
        <v/>
      </c>
      <c r="E973" s="19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19"/>
      <c r="U973" s="19"/>
      <c r="V973" s="20"/>
      <c r="W973" s="22"/>
      <c r="X973" s="21"/>
      <c r="Y973" s="21"/>
      <c r="Z973" s="23" t="str">
        <f>IF(B973="","",IF(S973&lt;&gt;"","Sevk Edildi",IF(AND(X973&lt;&gt;"",Y973=""),"Reworkte",IF(T973&lt;&gt;"","Kapandı"&amp;IF(COUNT(G973:R973)=0,""," – "&amp;LOOKUP(2,1/(G973:R973=MAX(G973:R973)),{"Tasarım","Ply Cutter","Üretim","Kalite (Üretim sonrası)","Talaşlı","Kalite (Talaşlı sonrası)","Montaj","Kalite (Montaj sonrası)","Boya","Kalite (Boya sonrası)","Yarı Mamül","KM"})),IF(COUNT(G973:R973)=0,"Başlamadı",LOOKUP(2,1/(G973:R973=MAX(G973:R973)),{"Tasarımda","Ply Cutter'da","Üretimde","Kalitede (Üretim sonrası)","Talaşlıda","Kalitede (Talaşlı sonrası)","Montajda","Kalitede (Montaj sonrası)","Boyada","Kalitede (Boya sonrası)","Yarı Mamülde","KM'de"}))))))</f>
        <v/>
      </c>
      <c r="AA973" s="24" t="str">
        <f t="shared" ca="1" si="257"/>
        <v/>
      </c>
      <c r="AB973" s="22"/>
      <c r="AD973" t="str">
        <f>IF(OR($B973="",NOT(ISNUMBER(G973))),"",IF(COUNTIF(H973:$T973,G973)&gt;0,0,IF(COUNTIF($G973:$T973,"&gt;"&amp;G973)=0,"",SMALL($G973:$T973,COUNTIF($G973:$T973,"&lt;="&amp;G973)+1)-G973)))</f>
        <v/>
      </c>
      <c r="AE973" t="str">
        <f>IF(OR($B973="",NOT(ISNUMBER(H973))),"",IF(COUNTIF(I973:$T973,H973)&gt;0,0,IF(COUNTIF($G973:$T973,"&gt;"&amp;H973)=0,"",SMALL($G973:$T973,COUNTIF($G973:$T973,"&lt;="&amp;H973)+1)-H973)))</f>
        <v/>
      </c>
      <c r="AF973" t="str">
        <f>IF(OR($B973="",NOT(ISNUMBER(I973))),"",IF(COUNTIF(J973:$T973,I973)&gt;0,0,IF(COUNTIF($G973:$T973,"&gt;"&amp;I973)=0,"",SMALL($G973:$T973,COUNTIF($G973:$T973,"&lt;="&amp;I973)+1)-I973)))</f>
        <v/>
      </c>
      <c r="AG973" t="str">
        <f>IF(OR($B973="",NOT(ISNUMBER(J973))),"",IF(COUNTIF(K973:$T973,J973)&gt;0,0,IF(COUNTIF($G973:$T973,"&gt;"&amp;J973)=0,"",SMALL($G973:$T973,COUNTIF($G973:$T973,"&lt;="&amp;J973)+1)-J973)))</f>
        <v/>
      </c>
      <c r="AH973" t="str">
        <f>IF(OR($B973="",NOT(ISNUMBER(K973))),"",IF(COUNTIF(L973:$T973,K973)&gt;0,0,IF(COUNTIF($G973:$T973,"&gt;"&amp;K973)=0,"",SMALL($G973:$T973,COUNTIF($G973:$T973,"&lt;="&amp;K973)+1)-K973)))</f>
        <v/>
      </c>
      <c r="AI973" t="str">
        <f>IF(OR($B973="",NOT(ISNUMBER(L973))),"",IF(COUNTIF(M973:$T973,L973)&gt;0,0,IF(COUNTIF($G973:$T973,"&gt;"&amp;L973)=0,"",SMALL($G973:$T973,COUNTIF($G973:$T973,"&lt;="&amp;L973)+1)-L973)))</f>
        <v/>
      </c>
      <c r="AJ973" t="str">
        <f>IF(OR($B973="",NOT(ISNUMBER(M973))),"",IF(COUNTIF(N973:$T973,M973)&gt;0,0,IF(COUNTIF($G973:$T973,"&gt;"&amp;M973)=0,"",SMALL($G973:$T973,COUNTIF($G973:$T973,"&lt;="&amp;M973)+1)-M973)))</f>
        <v/>
      </c>
      <c r="AK973" t="str">
        <f>IF(OR($B973="",NOT(ISNUMBER(N973))),"",IF(COUNTIF(O973:$T973,N973)&gt;0,0,IF(COUNTIF($G973:$T973,"&gt;"&amp;N973)=0,"",SMALL($G973:$T973,COUNTIF($G973:$T973,"&lt;="&amp;N973)+1)-N973)))</f>
        <v/>
      </c>
      <c r="AL973" t="str">
        <f>IF(OR($B973="",NOT(ISNUMBER(O973))),"",IF(COUNTIF(P973:$T973,O973)&gt;0,0,IF(COUNTIF($G973:$T973,"&gt;"&amp;O973)=0,"",SMALL($G973:$T973,COUNTIF($G973:$T973,"&lt;="&amp;O973)+1)-O973)))</f>
        <v/>
      </c>
      <c r="AM973" t="str">
        <f>IF(OR($B973="",NOT(ISNUMBER(P973))),"",IF(COUNTIF(Q973:$T973,P973)&gt;0,0,IF(COUNTIF($G973:$T973,"&gt;"&amp;P973)=0,"",SMALL($G973:$T973,COUNTIF($G973:$T973,"&lt;="&amp;P973)+1)-P973)))</f>
        <v/>
      </c>
      <c r="AN973" t="str">
        <f>IF(OR($B973="",NOT(ISNUMBER(Q973))),"",IF(COUNTIF(R973:$T973,Q973)&gt;0,0,IF(COUNTIF($G973:$T973,"&gt;"&amp;Q973)=0,"",SMALL($G973:$T973,COUNTIF($G973:$T973,"&lt;="&amp;Q973)+1)-Q973)))</f>
        <v/>
      </c>
      <c r="AO973" t="str">
        <f>IF(OR($B973="",NOT(ISNUMBER(R973))),"",IF(COUNTIF(S973:$T973,R973)&gt;0,0,IF(COUNTIF($G973:$T973,"&gt;"&amp;R973)=0,"",SMALL($G973:$T973,COUNTIF($G973:$T973,"&lt;="&amp;R973)+1)-R973)))</f>
        <v/>
      </c>
      <c r="AP973">
        <f t="shared" ca="1" si="258"/>
        <v>0</v>
      </c>
      <c r="AQ973" s="25" t="str">
        <f t="shared" si="259"/>
        <v/>
      </c>
      <c r="AR973" s="25" t="str">
        <f t="shared" si="260"/>
        <v/>
      </c>
      <c r="AS973" s="25" t="str">
        <f t="shared" si="261"/>
        <v/>
      </c>
      <c r="AT973" s="25" t="str">
        <f t="shared" si="262"/>
        <v/>
      </c>
      <c r="AU973" s="25" t="str">
        <f t="shared" si="263"/>
        <v/>
      </c>
      <c r="AV973" s="25" t="str">
        <f t="shared" si="264"/>
        <v/>
      </c>
      <c r="AW973" s="25" t="str">
        <f t="shared" si="265"/>
        <v/>
      </c>
      <c r="AX973" s="25" t="str">
        <f t="shared" si="266"/>
        <v/>
      </c>
      <c r="AY973" s="25" t="str">
        <f t="shared" si="267"/>
        <v/>
      </c>
      <c r="AZ973" s="25" t="str">
        <f t="shared" si="268"/>
        <v/>
      </c>
      <c r="BA973" s="25" t="str">
        <f t="shared" si="269"/>
        <v/>
      </c>
      <c r="BB973" s="25" t="str">
        <f t="shared" si="270"/>
        <v/>
      </c>
      <c r="BC973" s="25" t="str">
        <f t="shared" si="271"/>
        <v/>
      </c>
    </row>
    <row r="974" spans="1:55" x14ac:dyDescent="0.25">
      <c r="A974" s="19" t="str">
        <f t="shared" si="256"/>
        <v/>
      </c>
      <c r="B974" s="19"/>
      <c r="C974" s="20"/>
      <c r="D974" s="19" t="str">
        <f t="shared" si="255"/>
        <v/>
      </c>
      <c r="E974" s="19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19"/>
      <c r="U974" s="19"/>
      <c r="V974" s="20"/>
      <c r="W974" s="22"/>
      <c r="X974" s="21"/>
      <c r="Y974" s="21"/>
      <c r="Z974" s="23" t="str">
        <f>IF(B974="","",IF(S974&lt;&gt;"","Sevk Edildi",IF(AND(X974&lt;&gt;"",Y974=""),"Reworkte",IF(T974&lt;&gt;"","Kapandı"&amp;IF(COUNT(G974:R974)=0,""," – "&amp;LOOKUP(2,1/(G974:R974=MAX(G974:R974)),{"Tasarım","Ply Cutter","Üretim","Kalite (Üretim sonrası)","Talaşlı","Kalite (Talaşlı sonrası)","Montaj","Kalite (Montaj sonrası)","Boya","Kalite (Boya sonrası)","Yarı Mamül","KM"})),IF(COUNT(G974:R974)=0,"Başlamadı",LOOKUP(2,1/(G974:R974=MAX(G974:R974)),{"Tasarımda","Ply Cutter'da","Üretimde","Kalitede (Üretim sonrası)","Talaşlıda","Kalitede (Talaşlı sonrası)","Montajda","Kalitede (Montaj sonrası)","Boyada","Kalitede (Boya sonrası)","Yarı Mamülde","KM'de"}))))))</f>
        <v/>
      </c>
      <c r="AA974" s="24" t="str">
        <f t="shared" ca="1" si="257"/>
        <v/>
      </c>
      <c r="AB974" s="22"/>
      <c r="AD974" t="str">
        <f>IF(OR($B974="",NOT(ISNUMBER(G974))),"",IF(COUNTIF(H974:$T974,G974)&gt;0,0,IF(COUNTIF($G974:$T974,"&gt;"&amp;G974)=0,"",SMALL($G974:$T974,COUNTIF($G974:$T974,"&lt;="&amp;G974)+1)-G974)))</f>
        <v/>
      </c>
      <c r="AE974" t="str">
        <f>IF(OR($B974="",NOT(ISNUMBER(H974))),"",IF(COUNTIF(I974:$T974,H974)&gt;0,0,IF(COUNTIF($G974:$T974,"&gt;"&amp;H974)=0,"",SMALL($G974:$T974,COUNTIF($G974:$T974,"&lt;="&amp;H974)+1)-H974)))</f>
        <v/>
      </c>
      <c r="AF974" t="str">
        <f>IF(OR($B974="",NOT(ISNUMBER(I974))),"",IF(COUNTIF(J974:$T974,I974)&gt;0,0,IF(COUNTIF($G974:$T974,"&gt;"&amp;I974)=0,"",SMALL($G974:$T974,COUNTIF($G974:$T974,"&lt;="&amp;I974)+1)-I974)))</f>
        <v/>
      </c>
      <c r="AG974" t="str">
        <f>IF(OR($B974="",NOT(ISNUMBER(J974))),"",IF(COUNTIF(K974:$T974,J974)&gt;0,0,IF(COUNTIF($G974:$T974,"&gt;"&amp;J974)=0,"",SMALL($G974:$T974,COUNTIF($G974:$T974,"&lt;="&amp;J974)+1)-J974)))</f>
        <v/>
      </c>
      <c r="AH974" t="str">
        <f>IF(OR($B974="",NOT(ISNUMBER(K974))),"",IF(COUNTIF(L974:$T974,K974)&gt;0,0,IF(COUNTIF($G974:$T974,"&gt;"&amp;K974)=0,"",SMALL($G974:$T974,COUNTIF($G974:$T974,"&lt;="&amp;K974)+1)-K974)))</f>
        <v/>
      </c>
      <c r="AI974" t="str">
        <f>IF(OR($B974="",NOT(ISNUMBER(L974))),"",IF(COUNTIF(M974:$T974,L974)&gt;0,0,IF(COUNTIF($G974:$T974,"&gt;"&amp;L974)=0,"",SMALL($G974:$T974,COUNTIF($G974:$T974,"&lt;="&amp;L974)+1)-L974)))</f>
        <v/>
      </c>
      <c r="AJ974" t="str">
        <f>IF(OR($B974="",NOT(ISNUMBER(M974))),"",IF(COUNTIF(N974:$T974,M974)&gt;0,0,IF(COUNTIF($G974:$T974,"&gt;"&amp;M974)=0,"",SMALL($G974:$T974,COUNTIF($G974:$T974,"&lt;="&amp;M974)+1)-M974)))</f>
        <v/>
      </c>
      <c r="AK974" t="str">
        <f>IF(OR($B974="",NOT(ISNUMBER(N974))),"",IF(COUNTIF(O974:$T974,N974)&gt;0,0,IF(COUNTIF($G974:$T974,"&gt;"&amp;N974)=0,"",SMALL($G974:$T974,COUNTIF($G974:$T974,"&lt;="&amp;N974)+1)-N974)))</f>
        <v/>
      </c>
      <c r="AL974" t="str">
        <f>IF(OR($B974="",NOT(ISNUMBER(O974))),"",IF(COUNTIF(P974:$T974,O974)&gt;0,0,IF(COUNTIF($G974:$T974,"&gt;"&amp;O974)=0,"",SMALL($G974:$T974,COUNTIF($G974:$T974,"&lt;="&amp;O974)+1)-O974)))</f>
        <v/>
      </c>
      <c r="AM974" t="str">
        <f>IF(OR($B974="",NOT(ISNUMBER(P974))),"",IF(COUNTIF(Q974:$T974,P974)&gt;0,0,IF(COUNTIF($G974:$T974,"&gt;"&amp;P974)=0,"",SMALL($G974:$T974,COUNTIF($G974:$T974,"&lt;="&amp;P974)+1)-P974)))</f>
        <v/>
      </c>
      <c r="AN974" t="str">
        <f>IF(OR($B974="",NOT(ISNUMBER(Q974))),"",IF(COUNTIF(R974:$T974,Q974)&gt;0,0,IF(COUNTIF($G974:$T974,"&gt;"&amp;Q974)=0,"",SMALL($G974:$T974,COUNTIF($G974:$T974,"&lt;="&amp;Q974)+1)-Q974)))</f>
        <v/>
      </c>
      <c r="AO974" t="str">
        <f>IF(OR($B974="",NOT(ISNUMBER(R974))),"",IF(COUNTIF(S974:$T974,R974)&gt;0,0,IF(COUNTIF($G974:$T974,"&gt;"&amp;R974)=0,"",SMALL($G974:$T974,COUNTIF($G974:$T974,"&lt;="&amp;R974)+1)-R974)))</f>
        <v/>
      </c>
      <c r="AP974">
        <f t="shared" ca="1" si="258"/>
        <v>0</v>
      </c>
      <c r="AQ974" s="25" t="str">
        <f t="shared" si="259"/>
        <v/>
      </c>
      <c r="AR974" s="25" t="str">
        <f t="shared" si="260"/>
        <v/>
      </c>
      <c r="AS974" s="25" t="str">
        <f t="shared" si="261"/>
        <v/>
      </c>
      <c r="AT974" s="25" t="str">
        <f t="shared" si="262"/>
        <v/>
      </c>
      <c r="AU974" s="25" t="str">
        <f t="shared" si="263"/>
        <v/>
      </c>
      <c r="AV974" s="25" t="str">
        <f t="shared" si="264"/>
        <v/>
      </c>
      <c r="AW974" s="25" t="str">
        <f t="shared" si="265"/>
        <v/>
      </c>
      <c r="AX974" s="25" t="str">
        <f t="shared" si="266"/>
        <v/>
      </c>
      <c r="AY974" s="25" t="str">
        <f t="shared" si="267"/>
        <v/>
      </c>
      <c r="AZ974" s="25" t="str">
        <f t="shared" si="268"/>
        <v/>
      </c>
      <c r="BA974" s="25" t="str">
        <f t="shared" si="269"/>
        <v/>
      </c>
      <c r="BB974" s="25" t="str">
        <f t="shared" si="270"/>
        <v/>
      </c>
      <c r="BC974" s="25" t="str">
        <f t="shared" si="271"/>
        <v/>
      </c>
    </row>
    <row r="975" spans="1:55" x14ac:dyDescent="0.25">
      <c r="A975" s="19" t="str">
        <f t="shared" si="256"/>
        <v/>
      </c>
      <c r="B975" s="19"/>
      <c r="C975" s="20"/>
      <c r="D975" s="19" t="str">
        <f t="shared" si="255"/>
        <v/>
      </c>
      <c r="E975" s="19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19"/>
      <c r="U975" s="19"/>
      <c r="V975" s="20"/>
      <c r="W975" s="22"/>
      <c r="X975" s="21"/>
      <c r="Y975" s="21"/>
      <c r="Z975" s="23" t="str">
        <f>IF(B975="","",IF(S975&lt;&gt;"","Sevk Edildi",IF(AND(X975&lt;&gt;"",Y975=""),"Reworkte",IF(T975&lt;&gt;"","Kapandı"&amp;IF(COUNT(G975:R975)=0,""," – "&amp;LOOKUP(2,1/(G975:R975=MAX(G975:R975)),{"Tasarım","Ply Cutter","Üretim","Kalite (Üretim sonrası)","Talaşlı","Kalite (Talaşlı sonrası)","Montaj","Kalite (Montaj sonrası)","Boya","Kalite (Boya sonrası)","Yarı Mamül","KM"})),IF(COUNT(G975:R975)=0,"Başlamadı",LOOKUP(2,1/(G975:R975=MAX(G975:R975)),{"Tasarımda","Ply Cutter'da","Üretimde","Kalitede (Üretim sonrası)","Talaşlıda","Kalitede (Talaşlı sonrası)","Montajda","Kalitede (Montaj sonrası)","Boyada","Kalitede (Boya sonrası)","Yarı Mamülde","KM'de"}))))))</f>
        <v/>
      </c>
      <c r="AA975" s="24" t="str">
        <f t="shared" ca="1" si="257"/>
        <v/>
      </c>
      <c r="AB975" s="22"/>
      <c r="AD975" t="str">
        <f>IF(OR($B975="",NOT(ISNUMBER(G975))),"",IF(COUNTIF(H975:$T975,G975)&gt;0,0,IF(COUNTIF($G975:$T975,"&gt;"&amp;G975)=0,"",SMALL($G975:$T975,COUNTIF($G975:$T975,"&lt;="&amp;G975)+1)-G975)))</f>
        <v/>
      </c>
      <c r="AE975" t="str">
        <f>IF(OR($B975="",NOT(ISNUMBER(H975))),"",IF(COUNTIF(I975:$T975,H975)&gt;0,0,IF(COUNTIF($G975:$T975,"&gt;"&amp;H975)=0,"",SMALL($G975:$T975,COUNTIF($G975:$T975,"&lt;="&amp;H975)+1)-H975)))</f>
        <v/>
      </c>
      <c r="AF975" t="str">
        <f>IF(OR($B975="",NOT(ISNUMBER(I975))),"",IF(COUNTIF(J975:$T975,I975)&gt;0,0,IF(COUNTIF($G975:$T975,"&gt;"&amp;I975)=0,"",SMALL($G975:$T975,COUNTIF($G975:$T975,"&lt;="&amp;I975)+1)-I975)))</f>
        <v/>
      </c>
      <c r="AG975" t="str">
        <f>IF(OR($B975="",NOT(ISNUMBER(J975))),"",IF(COUNTIF(K975:$T975,J975)&gt;0,0,IF(COUNTIF($G975:$T975,"&gt;"&amp;J975)=0,"",SMALL($G975:$T975,COUNTIF($G975:$T975,"&lt;="&amp;J975)+1)-J975)))</f>
        <v/>
      </c>
      <c r="AH975" t="str">
        <f>IF(OR($B975="",NOT(ISNUMBER(K975))),"",IF(COUNTIF(L975:$T975,K975)&gt;0,0,IF(COUNTIF($G975:$T975,"&gt;"&amp;K975)=0,"",SMALL($G975:$T975,COUNTIF($G975:$T975,"&lt;="&amp;K975)+1)-K975)))</f>
        <v/>
      </c>
      <c r="AI975" t="str">
        <f>IF(OR($B975="",NOT(ISNUMBER(L975))),"",IF(COUNTIF(M975:$T975,L975)&gt;0,0,IF(COUNTIF($G975:$T975,"&gt;"&amp;L975)=0,"",SMALL($G975:$T975,COUNTIF($G975:$T975,"&lt;="&amp;L975)+1)-L975)))</f>
        <v/>
      </c>
      <c r="AJ975" t="str">
        <f>IF(OR($B975="",NOT(ISNUMBER(M975))),"",IF(COUNTIF(N975:$T975,M975)&gt;0,0,IF(COUNTIF($G975:$T975,"&gt;"&amp;M975)=0,"",SMALL($G975:$T975,COUNTIF($G975:$T975,"&lt;="&amp;M975)+1)-M975)))</f>
        <v/>
      </c>
      <c r="AK975" t="str">
        <f>IF(OR($B975="",NOT(ISNUMBER(N975))),"",IF(COUNTIF(O975:$T975,N975)&gt;0,0,IF(COUNTIF($G975:$T975,"&gt;"&amp;N975)=0,"",SMALL($G975:$T975,COUNTIF($G975:$T975,"&lt;="&amp;N975)+1)-N975)))</f>
        <v/>
      </c>
      <c r="AL975" t="str">
        <f>IF(OR($B975="",NOT(ISNUMBER(O975))),"",IF(COUNTIF(P975:$T975,O975)&gt;0,0,IF(COUNTIF($G975:$T975,"&gt;"&amp;O975)=0,"",SMALL($G975:$T975,COUNTIF($G975:$T975,"&lt;="&amp;O975)+1)-O975)))</f>
        <v/>
      </c>
      <c r="AM975" t="str">
        <f>IF(OR($B975="",NOT(ISNUMBER(P975))),"",IF(COUNTIF(Q975:$T975,P975)&gt;0,0,IF(COUNTIF($G975:$T975,"&gt;"&amp;P975)=0,"",SMALL($G975:$T975,COUNTIF($G975:$T975,"&lt;="&amp;P975)+1)-P975)))</f>
        <v/>
      </c>
      <c r="AN975" t="str">
        <f>IF(OR($B975="",NOT(ISNUMBER(Q975))),"",IF(COUNTIF(R975:$T975,Q975)&gt;0,0,IF(COUNTIF($G975:$T975,"&gt;"&amp;Q975)=0,"",SMALL($G975:$T975,COUNTIF($G975:$T975,"&lt;="&amp;Q975)+1)-Q975)))</f>
        <v/>
      </c>
      <c r="AO975" t="str">
        <f>IF(OR($B975="",NOT(ISNUMBER(R975))),"",IF(COUNTIF(S975:$T975,R975)&gt;0,0,IF(COUNTIF($G975:$T975,"&gt;"&amp;R975)=0,"",SMALL($G975:$T975,COUNTIF($G975:$T975,"&lt;="&amp;R975)+1)-R975)))</f>
        <v/>
      </c>
      <c r="AP975">
        <f t="shared" ca="1" si="258"/>
        <v>0</v>
      </c>
      <c r="AQ975" s="25" t="str">
        <f t="shared" si="259"/>
        <v/>
      </c>
      <c r="AR975" s="25" t="str">
        <f t="shared" si="260"/>
        <v/>
      </c>
      <c r="AS975" s="25" t="str">
        <f t="shared" si="261"/>
        <v/>
      </c>
      <c r="AT975" s="25" t="str">
        <f t="shared" si="262"/>
        <v/>
      </c>
      <c r="AU975" s="25" t="str">
        <f t="shared" si="263"/>
        <v/>
      </c>
      <c r="AV975" s="25" t="str">
        <f t="shared" si="264"/>
        <v/>
      </c>
      <c r="AW975" s="25" t="str">
        <f t="shared" si="265"/>
        <v/>
      </c>
      <c r="AX975" s="25" t="str">
        <f t="shared" si="266"/>
        <v/>
      </c>
      <c r="AY975" s="25" t="str">
        <f t="shared" si="267"/>
        <v/>
      </c>
      <c r="AZ975" s="25" t="str">
        <f t="shared" si="268"/>
        <v/>
      </c>
      <c r="BA975" s="25" t="str">
        <f t="shared" si="269"/>
        <v/>
      </c>
      <c r="BB975" s="25" t="str">
        <f t="shared" si="270"/>
        <v/>
      </c>
      <c r="BC975" s="25" t="str">
        <f t="shared" si="271"/>
        <v/>
      </c>
    </row>
    <row r="976" spans="1:55" x14ac:dyDescent="0.25">
      <c r="A976" s="19" t="str">
        <f t="shared" si="256"/>
        <v/>
      </c>
      <c r="B976" s="19"/>
      <c r="C976" s="20"/>
      <c r="D976" s="19" t="str">
        <f t="shared" si="255"/>
        <v/>
      </c>
      <c r="E976" s="19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19"/>
      <c r="U976" s="19"/>
      <c r="V976" s="20"/>
      <c r="W976" s="22"/>
      <c r="X976" s="21"/>
      <c r="Y976" s="21"/>
      <c r="Z976" s="23" t="str">
        <f>IF(B976="","",IF(S976&lt;&gt;"","Sevk Edildi",IF(AND(X976&lt;&gt;"",Y976=""),"Reworkte",IF(T976&lt;&gt;"","Kapandı"&amp;IF(COUNT(G976:R976)=0,""," – "&amp;LOOKUP(2,1/(G976:R976=MAX(G976:R976)),{"Tasarım","Ply Cutter","Üretim","Kalite (Üretim sonrası)","Talaşlı","Kalite (Talaşlı sonrası)","Montaj","Kalite (Montaj sonrası)","Boya","Kalite (Boya sonrası)","Yarı Mamül","KM"})),IF(COUNT(G976:R976)=0,"Başlamadı",LOOKUP(2,1/(G976:R976=MAX(G976:R976)),{"Tasarımda","Ply Cutter'da","Üretimde","Kalitede (Üretim sonrası)","Talaşlıda","Kalitede (Talaşlı sonrası)","Montajda","Kalitede (Montaj sonrası)","Boyada","Kalitede (Boya sonrası)","Yarı Mamülde","KM'de"}))))))</f>
        <v/>
      </c>
      <c r="AA976" s="24" t="str">
        <f t="shared" ca="1" si="257"/>
        <v/>
      </c>
      <c r="AB976" s="22"/>
      <c r="AD976" t="str">
        <f>IF(OR($B976="",NOT(ISNUMBER(G976))),"",IF(COUNTIF(H976:$T976,G976)&gt;0,0,IF(COUNTIF($G976:$T976,"&gt;"&amp;G976)=0,"",SMALL($G976:$T976,COUNTIF($G976:$T976,"&lt;="&amp;G976)+1)-G976)))</f>
        <v/>
      </c>
      <c r="AE976" t="str">
        <f>IF(OR($B976="",NOT(ISNUMBER(H976))),"",IF(COUNTIF(I976:$T976,H976)&gt;0,0,IF(COUNTIF($G976:$T976,"&gt;"&amp;H976)=0,"",SMALL($G976:$T976,COUNTIF($G976:$T976,"&lt;="&amp;H976)+1)-H976)))</f>
        <v/>
      </c>
      <c r="AF976" t="str">
        <f>IF(OR($B976="",NOT(ISNUMBER(I976))),"",IF(COUNTIF(J976:$T976,I976)&gt;0,0,IF(COUNTIF($G976:$T976,"&gt;"&amp;I976)=0,"",SMALL($G976:$T976,COUNTIF($G976:$T976,"&lt;="&amp;I976)+1)-I976)))</f>
        <v/>
      </c>
      <c r="AG976" t="str">
        <f>IF(OR($B976="",NOT(ISNUMBER(J976))),"",IF(COUNTIF(K976:$T976,J976)&gt;0,0,IF(COUNTIF($G976:$T976,"&gt;"&amp;J976)=0,"",SMALL($G976:$T976,COUNTIF($G976:$T976,"&lt;="&amp;J976)+1)-J976)))</f>
        <v/>
      </c>
      <c r="AH976" t="str">
        <f>IF(OR($B976="",NOT(ISNUMBER(K976))),"",IF(COUNTIF(L976:$T976,K976)&gt;0,0,IF(COUNTIF($G976:$T976,"&gt;"&amp;K976)=0,"",SMALL($G976:$T976,COUNTIF($G976:$T976,"&lt;="&amp;K976)+1)-K976)))</f>
        <v/>
      </c>
      <c r="AI976" t="str">
        <f>IF(OR($B976="",NOT(ISNUMBER(L976))),"",IF(COUNTIF(M976:$T976,L976)&gt;0,0,IF(COUNTIF($G976:$T976,"&gt;"&amp;L976)=0,"",SMALL($G976:$T976,COUNTIF($G976:$T976,"&lt;="&amp;L976)+1)-L976)))</f>
        <v/>
      </c>
      <c r="AJ976" t="str">
        <f>IF(OR($B976="",NOT(ISNUMBER(M976))),"",IF(COUNTIF(N976:$T976,M976)&gt;0,0,IF(COUNTIF($G976:$T976,"&gt;"&amp;M976)=0,"",SMALL($G976:$T976,COUNTIF($G976:$T976,"&lt;="&amp;M976)+1)-M976)))</f>
        <v/>
      </c>
      <c r="AK976" t="str">
        <f>IF(OR($B976="",NOT(ISNUMBER(N976))),"",IF(COUNTIF(O976:$T976,N976)&gt;0,0,IF(COUNTIF($G976:$T976,"&gt;"&amp;N976)=0,"",SMALL($G976:$T976,COUNTIF($G976:$T976,"&lt;="&amp;N976)+1)-N976)))</f>
        <v/>
      </c>
      <c r="AL976" t="str">
        <f>IF(OR($B976="",NOT(ISNUMBER(O976))),"",IF(COUNTIF(P976:$T976,O976)&gt;0,0,IF(COUNTIF($G976:$T976,"&gt;"&amp;O976)=0,"",SMALL($G976:$T976,COUNTIF($G976:$T976,"&lt;="&amp;O976)+1)-O976)))</f>
        <v/>
      </c>
      <c r="AM976" t="str">
        <f>IF(OR($B976="",NOT(ISNUMBER(P976))),"",IF(COUNTIF(Q976:$T976,P976)&gt;0,0,IF(COUNTIF($G976:$T976,"&gt;"&amp;P976)=0,"",SMALL($G976:$T976,COUNTIF($G976:$T976,"&lt;="&amp;P976)+1)-P976)))</f>
        <v/>
      </c>
      <c r="AN976" t="str">
        <f>IF(OR($B976="",NOT(ISNUMBER(Q976))),"",IF(COUNTIF(R976:$T976,Q976)&gt;0,0,IF(COUNTIF($G976:$T976,"&gt;"&amp;Q976)=0,"",SMALL($G976:$T976,COUNTIF($G976:$T976,"&lt;="&amp;Q976)+1)-Q976)))</f>
        <v/>
      </c>
      <c r="AO976" t="str">
        <f>IF(OR($B976="",NOT(ISNUMBER(R976))),"",IF(COUNTIF(S976:$T976,R976)&gt;0,0,IF(COUNTIF($G976:$T976,"&gt;"&amp;R976)=0,"",SMALL($G976:$T976,COUNTIF($G976:$T976,"&lt;="&amp;R976)+1)-R976)))</f>
        <v/>
      </c>
      <c r="AP976">
        <f t="shared" ca="1" si="258"/>
        <v>0</v>
      </c>
      <c r="AQ976" s="25" t="str">
        <f t="shared" si="259"/>
        <v/>
      </c>
      <c r="AR976" s="25" t="str">
        <f t="shared" si="260"/>
        <v/>
      </c>
      <c r="AS976" s="25" t="str">
        <f t="shared" si="261"/>
        <v/>
      </c>
      <c r="AT976" s="25" t="str">
        <f t="shared" si="262"/>
        <v/>
      </c>
      <c r="AU976" s="25" t="str">
        <f t="shared" si="263"/>
        <v/>
      </c>
      <c r="AV976" s="25" t="str">
        <f t="shared" si="264"/>
        <v/>
      </c>
      <c r="AW976" s="25" t="str">
        <f t="shared" si="265"/>
        <v/>
      </c>
      <c r="AX976" s="25" t="str">
        <f t="shared" si="266"/>
        <v/>
      </c>
      <c r="AY976" s="25" t="str">
        <f t="shared" si="267"/>
        <v/>
      </c>
      <c r="AZ976" s="25" t="str">
        <f t="shared" si="268"/>
        <v/>
      </c>
      <c r="BA976" s="25" t="str">
        <f t="shared" si="269"/>
        <v/>
      </c>
      <c r="BB976" s="25" t="str">
        <f t="shared" si="270"/>
        <v/>
      </c>
      <c r="BC976" s="25" t="str">
        <f t="shared" si="271"/>
        <v/>
      </c>
    </row>
    <row r="977" spans="1:55" x14ac:dyDescent="0.25">
      <c r="A977" s="19" t="str">
        <f t="shared" si="256"/>
        <v/>
      </c>
      <c r="B977" s="19"/>
      <c r="C977" s="20"/>
      <c r="D977" s="19" t="str">
        <f t="shared" si="255"/>
        <v/>
      </c>
      <c r="E977" s="19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19"/>
      <c r="U977" s="19"/>
      <c r="V977" s="20"/>
      <c r="W977" s="22"/>
      <c r="X977" s="21"/>
      <c r="Y977" s="21"/>
      <c r="Z977" s="23" t="str">
        <f>IF(B977="","",IF(S977&lt;&gt;"","Sevk Edildi",IF(AND(X977&lt;&gt;"",Y977=""),"Reworkte",IF(T977&lt;&gt;"","Kapandı"&amp;IF(COUNT(G977:R977)=0,""," – "&amp;LOOKUP(2,1/(G977:R977=MAX(G977:R977)),{"Tasarım","Ply Cutter","Üretim","Kalite (Üretim sonrası)","Talaşlı","Kalite (Talaşlı sonrası)","Montaj","Kalite (Montaj sonrası)","Boya","Kalite (Boya sonrası)","Yarı Mamül","KM"})),IF(COUNT(G977:R977)=0,"Başlamadı",LOOKUP(2,1/(G977:R977=MAX(G977:R977)),{"Tasarımda","Ply Cutter'da","Üretimde","Kalitede (Üretim sonrası)","Talaşlıda","Kalitede (Talaşlı sonrası)","Montajda","Kalitede (Montaj sonrası)","Boyada","Kalitede (Boya sonrası)","Yarı Mamülde","KM'de"}))))))</f>
        <v/>
      </c>
      <c r="AA977" s="24" t="str">
        <f t="shared" ca="1" si="257"/>
        <v/>
      </c>
      <c r="AB977" s="22"/>
      <c r="AD977" t="str">
        <f>IF(OR($B977="",NOT(ISNUMBER(G977))),"",IF(COUNTIF(H977:$T977,G977)&gt;0,0,IF(COUNTIF($G977:$T977,"&gt;"&amp;G977)=0,"",SMALL($G977:$T977,COUNTIF($G977:$T977,"&lt;="&amp;G977)+1)-G977)))</f>
        <v/>
      </c>
      <c r="AE977" t="str">
        <f>IF(OR($B977="",NOT(ISNUMBER(H977))),"",IF(COUNTIF(I977:$T977,H977)&gt;0,0,IF(COUNTIF($G977:$T977,"&gt;"&amp;H977)=0,"",SMALL($G977:$T977,COUNTIF($G977:$T977,"&lt;="&amp;H977)+1)-H977)))</f>
        <v/>
      </c>
      <c r="AF977" t="str">
        <f>IF(OR($B977="",NOT(ISNUMBER(I977))),"",IF(COUNTIF(J977:$T977,I977)&gt;0,0,IF(COUNTIF($G977:$T977,"&gt;"&amp;I977)=0,"",SMALL($G977:$T977,COUNTIF($G977:$T977,"&lt;="&amp;I977)+1)-I977)))</f>
        <v/>
      </c>
      <c r="AG977" t="str">
        <f>IF(OR($B977="",NOT(ISNUMBER(J977))),"",IF(COUNTIF(K977:$T977,J977)&gt;0,0,IF(COUNTIF($G977:$T977,"&gt;"&amp;J977)=0,"",SMALL($G977:$T977,COUNTIF($G977:$T977,"&lt;="&amp;J977)+1)-J977)))</f>
        <v/>
      </c>
      <c r="AH977" t="str">
        <f>IF(OR($B977="",NOT(ISNUMBER(K977))),"",IF(COUNTIF(L977:$T977,K977)&gt;0,0,IF(COUNTIF($G977:$T977,"&gt;"&amp;K977)=0,"",SMALL($G977:$T977,COUNTIF($G977:$T977,"&lt;="&amp;K977)+1)-K977)))</f>
        <v/>
      </c>
      <c r="AI977" t="str">
        <f>IF(OR($B977="",NOT(ISNUMBER(L977))),"",IF(COUNTIF(M977:$T977,L977)&gt;0,0,IF(COUNTIF($G977:$T977,"&gt;"&amp;L977)=0,"",SMALL($G977:$T977,COUNTIF($G977:$T977,"&lt;="&amp;L977)+1)-L977)))</f>
        <v/>
      </c>
      <c r="AJ977" t="str">
        <f>IF(OR($B977="",NOT(ISNUMBER(M977))),"",IF(COUNTIF(N977:$T977,M977)&gt;0,0,IF(COUNTIF($G977:$T977,"&gt;"&amp;M977)=0,"",SMALL($G977:$T977,COUNTIF($G977:$T977,"&lt;="&amp;M977)+1)-M977)))</f>
        <v/>
      </c>
      <c r="AK977" t="str">
        <f>IF(OR($B977="",NOT(ISNUMBER(N977))),"",IF(COUNTIF(O977:$T977,N977)&gt;0,0,IF(COUNTIF($G977:$T977,"&gt;"&amp;N977)=0,"",SMALL($G977:$T977,COUNTIF($G977:$T977,"&lt;="&amp;N977)+1)-N977)))</f>
        <v/>
      </c>
      <c r="AL977" t="str">
        <f>IF(OR($B977="",NOT(ISNUMBER(O977))),"",IF(COUNTIF(P977:$T977,O977)&gt;0,0,IF(COUNTIF($G977:$T977,"&gt;"&amp;O977)=0,"",SMALL($G977:$T977,COUNTIF($G977:$T977,"&lt;="&amp;O977)+1)-O977)))</f>
        <v/>
      </c>
      <c r="AM977" t="str">
        <f>IF(OR($B977="",NOT(ISNUMBER(P977))),"",IF(COUNTIF(Q977:$T977,P977)&gt;0,0,IF(COUNTIF($G977:$T977,"&gt;"&amp;P977)=0,"",SMALL($G977:$T977,COUNTIF($G977:$T977,"&lt;="&amp;P977)+1)-P977)))</f>
        <v/>
      </c>
      <c r="AN977" t="str">
        <f>IF(OR($B977="",NOT(ISNUMBER(Q977))),"",IF(COUNTIF(R977:$T977,Q977)&gt;0,0,IF(COUNTIF($G977:$T977,"&gt;"&amp;Q977)=0,"",SMALL($G977:$T977,COUNTIF($G977:$T977,"&lt;="&amp;Q977)+1)-Q977)))</f>
        <v/>
      </c>
      <c r="AO977" t="str">
        <f>IF(OR($B977="",NOT(ISNUMBER(R977))),"",IF(COUNTIF(S977:$T977,R977)&gt;0,0,IF(COUNTIF($G977:$T977,"&gt;"&amp;R977)=0,"",SMALL($G977:$T977,COUNTIF($G977:$T977,"&lt;="&amp;R977)+1)-R977)))</f>
        <v/>
      </c>
      <c r="AP977">
        <f t="shared" ca="1" si="258"/>
        <v>0</v>
      </c>
      <c r="AQ977" s="25" t="str">
        <f t="shared" si="259"/>
        <v/>
      </c>
      <c r="AR977" s="25" t="str">
        <f t="shared" si="260"/>
        <v/>
      </c>
      <c r="AS977" s="25" t="str">
        <f t="shared" si="261"/>
        <v/>
      </c>
      <c r="AT977" s="25" t="str">
        <f t="shared" si="262"/>
        <v/>
      </c>
      <c r="AU977" s="25" t="str">
        <f t="shared" si="263"/>
        <v/>
      </c>
      <c r="AV977" s="25" t="str">
        <f t="shared" si="264"/>
        <v/>
      </c>
      <c r="AW977" s="25" t="str">
        <f t="shared" si="265"/>
        <v/>
      </c>
      <c r="AX977" s="25" t="str">
        <f t="shared" si="266"/>
        <v/>
      </c>
      <c r="AY977" s="25" t="str">
        <f t="shared" si="267"/>
        <v/>
      </c>
      <c r="AZ977" s="25" t="str">
        <f t="shared" si="268"/>
        <v/>
      </c>
      <c r="BA977" s="25" t="str">
        <f t="shared" si="269"/>
        <v/>
      </c>
      <c r="BB977" s="25" t="str">
        <f t="shared" si="270"/>
        <v/>
      </c>
      <c r="BC977" s="25" t="str">
        <f t="shared" si="271"/>
        <v/>
      </c>
    </row>
    <row r="978" spans="1:55" x14ac:dyDescent="0.25">
      <c r="A978" s="19" t="str">
        <f t="shared" si="256"/>
        <v/>
      </c>
      <c r="B978" s="19"/>
      <c r="C978" s="20"/>
      <c r="D978" s="19" t="str">
        <f t="shared" si="255"/>
        <v/>
      </c>
      <c r="E978" s="19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19"/>
      <c r="U978" s="19"/>
      <c r="V978" s="20"/>
      <c r="W978" s="22"/>
      <c r="X978" s="21"/>
      <c r="Y978" s="21"/>
      <c r="Z978" s="23" t="str">
        <f>IF(B978="","",IF(S978&lt;&gt;"","Sevk Edildi",IF(AND(X978&lt;&gt;"",Y978=""),"Reworkte",IF(T978&lt;&gt;"","Kapandı"&amp;IF(COUNT(G978:R978)=0,""," – "&amp;LOOKUP(2,1/(G978:R978=MAX(G978:R978)),{"Tasarım","Ply Cutter","Üretim","Kalite (Üretim sonrası)","Talaşlı","Kalite (Talaşlı sonrası)","Montaj","Kalite (Montaj sonrası)","Boya","Kalite (Boya sonrası)","Yarı Mamül","KM"})),IF(COUNT(G978:R978)=0,"Başlamadı",LOOKUP(2,1/(G978:R978=MAX(G978:R978)),{"Tasarımda","Ply Cutter'da","Üretimde","Kalitede (Üretim sonrası)","Talaşlıda","Kalitede (Talaşlı sonrası)","Montajda","Kalitede (Montaj sonrası)","Boyada","Kalitede (Boya sonrası)","Yarı Mamülde","KM'de"}))))))</f>
        <v/>
      </c>
      <c r="AA978" s="24" t="str">
        <f t="shared" ca="1" si="257"/>
        <v/>
      </c>
      <c r="AB978" s="22"/>
      <c r="AD978" t="str">
        <f>IF(OR($B978="",NOT(ISNUMBER(G978))),"",IF(COUNTIF(H978:$T978,G978)&gt;0,0,IF(COUNTIF($G978:$T978,"&gt;"&amp;G978)=0,"",SMALL($G978:$T978,COUNTIF($G978:$T978,"&lt;="&amp;G978)+1)-G978)))</f>
        <v/>
      </c>
      <c r="AE978" t="str">
        <f>IF(OR($B978="",NOT(ISNUMBER(H978))),"",IF(COUNTIF(I978:$T978,H978)&gt;0,0,IF(COUNTIF($G978:$T978,"&gt;"&amp;H978)=0,"",SMALL($G978:$T978,COUNTIF($G978:$T978,"&lt;="&amp;H978)+1)-H978)))</f>
        <v/>
      </c>
      <c r="AF978" t="str">
        <f>IF(OR($B978="",NOT(ISNUMBER(I978))),"",IF(COUNTIF(J978:$T978,I978)&gt;0,0,IF(COUNTIF($G978:$T978,"&gt;"&amp;I978)=0,"",SMALL($G978:$T978,COUNTIF($G978:$T978,"&lt;="&amp;I978)+1)-I978)))</f>
        <v/>
      </c>
      <c r="AG978" t="str">
        <f>IF(OR($B978="",NOT(ISNUMBER(J978))),"",IF(COUNTIF(K978:$T978,J978)&gt;0,0,IF(COUNTIF($G978:$T978,"&gt;"&amp;J978)=0,"",SMALL($G978:$T978,COUNTIF($G978:$T978,"&lt;="&amp;J978)+1)-J978)))</f>
        <v/>
      </c>
      <c r="AH978" t="str">
        <f>IF(OR($B978="",NOT(ISNUMBER(K978))),"",IF(COUNTIF(L978:$T978,K978)&gt;0,0,IF(COUNTIF($G978:$T978,"&gt;"&amp;K978)=0,"",SMALL($G978:$T978,COUNTIF($G978:$T978,"&lt;="&amp;K978)+1)-K978)))</f>
        <v/>
      </c>
      <c r="AI978" t="str">
        <f>IF(OR($B978="",NOT(ISNUMBER(L978))),"",IF(COUNTIF(M978:$T978,L978)&gt;0,0,IF(COUNTIF($G978:$T978,"&gt;"&amp;L978)=0,"",SMALL($G978:$T978,COUNTIF($G978:$T978,"&lt;="&amp;L978)+1)-L978)))</f>
        <v/>
      </c>
      <c r="AJ978" t="str">
        <f>IF(OR($B978="",NOT(ISNUMBER(M978))),"",IF(COUNTIF(N978:$T978,M978)&gt;0,0,IF(COUNTIF($G978:$T978,"&gt;"&amp;M978)=0,"",SMALL($G978:$T978,COUNTIF($G978:$T978,"&lt;="&amp;M978)+1)-M978)))</f>
        <v/>
      </c>
      <c r="AK978" t="str">
        <f>IF(OR($B978="",NOT(ISNUMBER(N978))),"",IF(COUNTIF(O978:$T978,N978)&gt;0,0,IF(COUNTIF($G978:$T978,"&gt;"&amp;N978)=0,"",SMALL($G978:$T978,COUNTIF($G978:$T978,"&lt;="&amp;N978)+1)-N978)))</f>
        <v/>
      </c>
      <c r="AL978" t="str">
        <f>IF(OR($B978="",NOT(ISNUMBER(O978))),"",IF(COUNTIF(P978:$T978,O978)&gt;0,0,IF(COUNTIF($G978:$T978,"&gt;"&amp;O978)=0,"",SMALL($G978:$T978,COUNTIF($G978:$T978,"&lt;="&amp;O978)+1)-O978)))</f>
        <v/>
      </c>
      <c r="AM978" t="str">
        <f>IF(OR($B978="",NOT(ISNUMBER(P978))),"",IF(COUNTIF(Q978:$T978,P978)&gt;0,0,IF(COUNTIF($G978:$T978,"&gt;"&amp;P978)=0,"",SMALL($G978:$T978,COUNTIF($G978:$T978,"&lt;="&amp;P978)+1)-P978)))</f>
        <v/>
      </c>
      <c r="AN978" t="str">
        <f>IF(OR($B978="",NOT(ISNUMBER(Q978))),"",IF(COUNTIF(R978:$T978,Q978)&gt;0,0,IF(COUNTIF($G978:$T978,"&gt;"&amp;Q978)=0,"",SMALL($G978:$T978,COUNTIF($G978:$T978,"&lt;="&amp;Q978)+1)-Q978)))</f>
        <v/>
      </c>
      <c r="AO978" t="str">
        <f>IF(OR($B978="",NOT(ISNUMBER(R978))),"",IF(COUNTIF(S978:$T978,R978)&gt;0,0,IF(COUNTIF($G978:$T978,"&gt;"&amp;R978)=0,"",SMALL($G978:$T978,COUNTIF($G978:$T978,"&lt;="&amp;R978)+1)-R978)))</f>
        <v/>
      </c>
      <c r="AP978">
        <f t="shared" ca="1" si="258"/>
        <v>0</v>
      </c>
      <c r="AQ978" s="25" t="str">
        <f t="shared" si="259"/>
        <v/>
      </c>
      <c r="AR978" s="25" t="str">
        <f t="shared" si="260"/>
        <v/>
      </c>
      <c r="AS978" s="25" t="str">
        <f t="shared" si="261"/>
        <v/>
      </c>
      <c r="AT978" s="25" t="str">
        <f t="shared" si="262"/>
        <v/>
      </c>
      <c r="AU978" s="25" t="str">
        <f t="shared" si="263"/>
        <v/>
      </c>
      <c r="AV978" s="25" t="str">
        <f t="shared" si="264"/>
        <v/>
      </c>
      <c r="AW978" s="25" t="str">
        <f t="shared" si="265"/>
        <v/>
      </c>
      <c r="AX978" s="25" t="str">
        <f t="shared" si="266"/>
        <v/>
      </c>
      <c r="AY978" s="25" t="str">
        <f t="shared" si="267"/>
        <v/>
      </c>
      <c r="AZ978" s="25" t="str">
        <f t="shared" si="268"/>
        <v/>
      </c>
      <c r="BA978" s="25" t="str">
        <f t="shared" si="269"/>
        <v/>
      </c>
      <c r="BB978" s="25" t="str">
        <f t="shared" si="270"/>
        <v/>
      </c>
      <c r="BC978" s="25" t="str">
        <f t="shared" si="271"/>
        <v/>
      </c>
    </row>
    <row r="979" spans="1:55" x14ac:dyDescent="0.25">
      <c r="A979" s="19" t="str">
        <f t="shared" si="256"/>
        <v/>
      </c>
      <c r="B979" s="19"/>
      <c r="C979" s="20"/>
      <c r="D979" s="19" t="str">
        <f t="shared" si="255"/>
        <v/>
      </c>
      <c r="E979" s="19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19"/>
      <c r="U979" s="19"/>
      <c r="V979" s="20"/>
      <c r="W979" s="22"/>
      <c r="X979" s="21"/>
      <c r="Y979" s="21"/>
      <c r="Z979" s="23" t="str">
        <f>IF(B979="","",IF(S979&lt;&gt;"","Sevk Edildi",IF(AND(X979&lt;&gt;"",Y979=""),"Reworkte",IF(T979&lt;&gt;"","Kapandı"&amp;IF(COUNT(G979:R979)=0,""," – "&amp;LOOKUP(2,1/(G979:R979=MAX(G979:R979)),{"Tasarım","Ply Cutter","Üretim","Kalite (Üretim sonrası)","Talaşlı","Kalite (Talaşlı sonrası)","Montaj","Kalite (Montaj sonrası)","Boya","Kalite (Boya sonrası)","Yarı Mamül","KM"})),IF(COUNT(G979:R979)=0,"Başlamadı",LOOKUP(2,1/(G979:R979=MAX(G979:R979)),{"Tasarımda","Ply Cutter'da","Üretimde","Kalitede (Üretim sonrası)","Talaşlıda","Kalitede (Talaşlı sonrası)","Montajda","Kalitede (Montaj sonrası)","Boyada","Kalitede (Boya sonrası)","Yarı Mamülde","KM'de"}))))))</f>
        <v/>
      </c>
      <c r="AA979" s="24" t="str">
        <f t="shared" ca="1" si="257"/>
        <v/>
      </c>
      <c r="AB979" s="22"/>
      <c r="AD979" t="str">
        <f>IF(OR($B979="",NOT(ISNUMBER(G979))),"",IF(COUNTIF(H979:$T979,G979)&gt;0,0,IF(COUNTIF($G979:$T979,"&gt;"&amp;G979)=0,"",SMALL($G979:$T979,COUNTIF($G979:$T979,"&lt;="&amp;G979)+1)-G979)))</f>
        <v/>
      </c>
      <c r="AE979" t="str">
        <f>IF(OR($B979="",NOT(ISNUMBER(H979))),"",IF(COUNTIF(I979:$T979,H979)&gt;0,0,IF(COUNTIF($G979:$T979,"&gt;"&amp;H979)=0,"",SMALL($G979:$T979,COUNTIF($G979:$T979,"&lt;="&amp;H979)+1)-H979)))</f>
        <v/>
      </c>
      <c r="AF979" t="str">
        <f>IF(OR($B979="",NOT(ISNUMBER(I979))),"",IF(COUNTIF(J979:$T979,I979)&gt;0,0,IF(COUNTIF($G979:$T979,"&gt;"&amp;I979)=0,"",SMALL($G979:$T979,COUNTIF($G979:$T979,"&lt;="&amp;I979)+1)-I979)))</f>
        <v/>
      </c>
      <c r="AG979" t="str">
        <f>IF(OR($B979="",NOT(ISNUMBER(J979))),"",IF(COUNTIF(K979:$T979,J979)&gt;0,0,IF(COUNTIF($G979:$T979,"&gt;"&amp;J979)=0,"",SMALL($G979:$T979,COUNTIF($G979:$T979,"&lt;="&amp;J979)+1)-J979)))</f>
        <v/>
      </c>
      <c r="AH979" t="str">
        <f>IF(OR($B979="",NOT(ISNUMBER(K979))),"",IF(COUNTIF(L979:$T979,K979)&gt;0,0,IF(COUNTIF($G979:$T979,"&gt;"&amp;K979)=0,"",SMALL($G979:$T979,COUNTIF($G979:$T979,"&lt;="&amp;K979)+1)-K979)))</f>
        <v/>
      </c>
      <c r="AI979" t="str">
        <f>IF(OR($B979="",NOT(ISNUMBER(L979))),"",IF(COUNTIF(M979:$T979,L979)&gt;0,0,IF(COUNTIF($G979:$T979,"&gt;"&amp;L979)=0,"",SMALL($G979:$T979,COUNTIF($G979:$T979,"&lt;="&amp;L979)+1)-L979)))</f>
        <v/>
      </c>
      <c r="AJ979" t="str">
        <f>IF(OR($B979="",NOT(ISNUMBER(M979))),"",IF(COUNTIF(N979:$T979,M979)&gt;0,0,IF(COUNTIF($G979:$T979,"&gt;"&amp;M979)=0,"",SMALL($G979:$T979,COUNTIF($G979:$T979,"&lt;="&amp;M979)+1)-M979)))</f>
        <v/>
      </c>
      <c r="AK979" t="str">
        <f>IF(OR($B979="",NOT(ISNUMBER(N979))),"",IF(COUNTIF(O979:$T979,N979)&gt;0,0,IF(COUNTIF($G979:$T979,"&gt;"&amp;N979)=0,"",SMALL($G979:$T979,COUNTIF($G979:$T979,"&lt;="&amp;N979)+1)-N979)))</f>
        <v/>
      </c>
      <c r="AL979" t="str">
        <f>IF(OR($B979="",NOT(ISNUMBER(O979))),"",IF(COUNTIF(P979:$T979,O979)&gt;0,0,IF(COUNTIF($G979:$T979,"&gt;"&amp;O979)=0,"",SMALL($G979:$T979,COUNTIF($G979:$T979,"&lt;="&amp;O979)+1)-O979)))</f>
        <v/>
      </c>
      <c r="AM979" t="str">
        <f>IF(OR($B979="",NOT(ISNUMBER(P979))),"",IF(COUNTIF(Q979:$T979,P979)&gt;0,0,IF(COUNTIF($G979:$T979,"&gt;"&amp;P979)=0,"",SMALL($G979:$T979,COUNTIF($G979:$T979,"&lt;="&amp;P979)+1)-P979)))</f>
        <v/>
      </c>
      <c r="AN979" t="str">
        <f>IF(OR($B979="",NOT(ISNUMBER(Q979))),"",IF(COUNTIF(R979:$T979,Q979)&gt;0,0,IF(COUNTIF($G979:$T979,"&gt;"&amp;Q979)=0,"",SMALL($G979:$T979,COUNTIF($G979:$T979,"&lt;="&amp;Q979)+1)-Q979)))</f>
        <v/>
      </c>
      <c r="AO979" t="str">
        <f>IF(OR($B979="",NOT(ISNUMBER(R979))),"",IF(COUNTIF(S979:$T979,R979)&gt;0,0,IF(COUNTIF($G979:$T979,"&gt;"&amp;R979)=0,"",SMALL($G979:$T979,COUNTIF($G979:$T979,"&lt;="&amp;R979)+1)-R979)))</f>
        <v/>
      </c>
      <c r="AP979">
        <f t="shared" ca="1" si="258"/>
        <v>0</v>
      </c>
      <c r="AQ979" s="25" t="str">
        <f t="shared" si="259"/>
        <v/>
      </c>
      <c r="AR979" s="25" t="str">
        <f t="shared" si="260"/>
        <v/>
      </c>
      <c r="AS979" s="25" t="str">
        <f t="shared" si="261"/>
        <v/>
      </c>
      <c r="AT979" s="25" t="str">
        <f t="shared" si="262"/>
        <v/>
      </c>
      <c r="AU979" s="25" t="str">
        <f t="shared" si="263"/>
        <v/>
      </c>
      <c r="AV979" s="25" t="str">
        <f t="shared" si="264"/>
        <v/>
      </c>
      <c r="AW979" s="25" t="str">
        <f t="shared" si="265"/>
        <v/>
      </c>
      <c r="AX979" s="25" t="str">
        <f t="shared" si="266"/>
        <v/>
      </c>
      <c r="AY979" s="25" t="str">
        <f t="shared" si="267"/>
        <v/>
      </c>
      <c r="AZ979" s="25" t="str">
        <f t="shared" si="268"/>
        <v/>
      </c>
      <c r="BA979" s="25" t="str">
        <f t="shared" si="269"/>
        <v/>
      </c>
      <c r="BB979" s="25" t="str">
        <f t="shared" si="270"/>
        <v/>
      </c>
      <c r="BC979" s="25" t="str">
        <f t="shared" si="271"/>
        <v/>
      </c>
    </row>
    <row r="980" spans="1:55" x14ac:dyDescent="0.25">
      <c r="A980" s="19" t="str">
        <f t="shared" si="256"/>
        <v/>
      </c>
      <c r="B980" s="19"/>
      <c r="C980" s="20"/>
      <c r="D980" s="19" t="str">
        <f t="shared" si="255"/>
        <v/>
      </c>
      <c r="E980" s="19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19"/>
      <c r="U980" s="19"/>
      <c r="V980" s="20"/>
      <c r="W980" s="22"/>
      <c r="X980" s="21"/>
      <c r="Y980" s="21"/>
      <c r="Z980" s="23" t="str">
        <f>IF(B980="","",IF(S980&lt;&gt;"","Sevk Edildi",IF(AND(X980&lt;&gt;"",Y980=""),"Reworkte",IF(T980&lt;&gt;"","Kapandı"&amp;IF(COUNT(G980:R980)=0,""," – "&amp;LOOKUP(2,1/(G980:R980=MAX(G980:R980)),{"Tasarım","Ply Cutter","Üretim","Kalite (Üretim sonrası)","Talaşlı","Kalite (Talaşlı sonrası)","Montaj","Kalite (Montaj sonrası)","Boya","Kalite (Boya sonrası)","Yarı Mamül","KM"})),IF(COUNT(G980:R980)=0,"Başlamadı",LOOKUP(2,1/(G980:R980=MAX(G980:R980)),{"Tasarımda","Ply Cutter'da","Üretimde","Kalitede (Üretim sonrası)","Talaşlıda","Kalitede (Talaşlı sonrası)","Montajda","Kalitede (Montaj sonrası)","Boyada","Kalitede (Boya sonrası)","Yarı Mamülde","KM'de"}))))))</f>
        <v/>
      </c>
      <c r="AA980" s="24" t="str">
        <f t="shared" ca="1" si="257"/>
        <v/>
      </c>
      <c r="AB980" s="22"/>
      <c r="AD980" t="str">
        <f>IF(OR($B980="",NOT(ISNUMBER(G980))),"",IF(COUNTIF(H980:$T980,G980)&gt;0,0,IF(COUNTIF($G980:$T980,"&gt;"&amp;G980)=0,"",SMALL($G980:$T980,COUNTIF($G980:$T980,"&lt;="&amp;G980)+1)-G980)))</f>
        <v/>
      </c>
      <c r="AE980" t="str">
        <f>IF(OR($B980="",NOT(ISNUMBER(H980))),"",IF(COUNTIF(I980:$T980,H980)&gt;0,0,IF(COUNTIF($G980:$T980,"&gt;"&amp;H980)=0,"",SMALL($G980:$T980,COUNTIF($G980:$T980,"&lt;="&amp;H980)+1)-H980)))</f>
        <v/>
      </c>
      <c r="AF980" t="str">
        <f>IF(OR($B980="",NOT(ISNUMBER(I980))),"",IF(COUNTIF(J980:$T980,I980)&gt;0,0,IF(COUNTIF($G980:$T980,"&gt;"&amp;I980)=0,"",SMALL($G980:$T980,COUNTIF($G980:$T980,"&lt;="&amp;I980)+1)-I980)))</f>
        <v/>
      </c>
      <c r="AG980" t="str">
        <f>IF(OR($B980="",NOT(ISNUMBER(J980))),"",IF(COUNTIF(K980:$T980,J980)&gt;0,0,IF(COUNTIF($G980:$T980,"&gt;"&amp;J980)=0,"",SMALL($G980:$T980,COUNTIF($G980:$T980,"&lt;="&amp;J980)+1)-J980)))</f>
        <v/>
      </c>
      <c r="AH980" t="str">
        <f>IF(OR($B980="",NOT(ISNUMBER(K980))),"",IF(COUNTIF(L980:$T980,K980)&gt;0,0,IF(COUNTIF($G980:$T980,"&gt;"&amp;K980)=0,"",SMALL($G980:$T980,COUNTIF($G980:$T980,"&lt;="&amp;K980)+1)-K980)))</f>
        <v/>
      </c>
      <c r="AI980" t="str">
        <f>IF(OR($B980="",NOT(ISNUMBER(L980))),"",IF(COUNTIF(M980:$T980,L980)&gt;0,0,IF(COUNTIF($G980:$T980,"&gt;"&amp;L980)=0,"",SMALL($G980:$T980,COUNTIF($G980:$T980,"&lt;="&amp;L980)+1)-L980)))</f>
        <v/>
      </c>
      <c r="AJ980" t="str">
        <f>IF(OR($B980="",NOT(ISNUMBER(M980))),"",IF(COUNTIF(N980:$T980,M980)&gt;0,0,IF(COUNTIF($G980:$T980,"&gt;"&amp;M980)=0,"",SMALL($G980:$T980,COUNTIF($G980:$T980,"&lt;="&amp;M980)+1)-M980)))</f>
        <v/>
      </c>
      <c r="AK980" t="str">
        <f>IF(OR($B980="",NOT(ISNUMBER(N980))),"",IF(COUNTIF(O980:$T980,N980)&gt;0,0,IF(COUNTIF($G980:$T980,"&gt;"&amp;N980)=0,"",SMALL($G980:$T980,COUNTIF($G980:$T980,"&lt;="&amp;N980)+1)-N980)))</f>
        <v/>
      </c>
      <c r="AL980" t="str">
        <f>IF(OR($B980="",NOT(ISNUMBER(O980))),"",IF(COUNTIF(P980:$T980,O980)&gt;0,0,IF(COUNTIF($G980:$T980,"&gt;"&amp;O980)=0,"",SMALL($G980:$T980,COUNTIF($G980:$T980,"&lt;="&amp;O980)+1)-O980)))</f>
        <v/>
      </c>
      <c r="AM980" t="str">
        <f>IF(OR($B980="",NOT(ISNUMBER(P980))),"",IF(COUNTIF(Q980:$T980,P980)&gt;0,0,IF(COUNTIF($G980:$T980,"&gt;"&amp;P980)=0,"",SMALL($G980:$T980,COUNTIF($G980:$T980,"&lt;="&amp;P980)+1)-P980)))</f>
        <v/>
      </c>
      <c r="AN980" t="str">
        <f>IF(OR($B980="",NOT(ISNUMBER(Q980))),"",IF(COUNTIF(R980:$T980,Q980)&gt;0,0,IF(COUNTIF($G980:$T980,"&gt;"&amp;Q980)=0,"",SMALL($G980:$T980,COUNTIF($G980:$T980,"&lt;="&amp;Q980)+1)-Q980)))</f>
        <v/>
      </c>
      <c r="AO980" t="str">
        <f>IF(OR($B980="",NOT(ISNUMBER(R980))),"",IF(COUNTIF(S980:$T980,R980)&gt;0,0,IF(COUNTIF($G980:$T980,"&gt;"&amp;R980)=0,"",SMALL($G980:$T980,COUNTIF($G980:$T980,"&lt;="&amp;R980)+1)-R980)))</f>
        <v/>
      </c>
      <c r="AP980">
        <f t="shared" ca="1" si="258"/>
        <v>0</v>
      </c>
      <c r="AQ980" s="25" t="str">
        <f t="shared" si="259"/>
        <v/>
      </c>
      <c r="AR980" s="25" t="str">
        <f t="shared" si="260"/>
        <v/>
      </c>
      <c r="AS980" s="25" t="str">
        <f t="shared" si="261"/>
        <v/>
      </c>
      <c r="AT980" s="25" t="str">
        <f t="shared" si="262"/>
        <v/>
      </c>
      <c r="AU980" s="25" t="str">
        <f t="shared" si="263"/>
        <v/>
      </c>
      <c r="AV980" s="25" t="str">
        <f t="shared" si="264"/>
        <v/>
      </c>
      <c r="AW980" s="25" t="str">
        <f t="shared" si="265"/>
        <v/>
      </c>
      <c r="AX980" s="25" t="str">
        <f t="shared" si="266"/>
        <v/>
      </c>
      <c r="AY980" s="25" t="str">
        <f t="shared" si="267"/>
        <v/>
      </c>
      <c r="AZ980" s="25" t="str">
        <f t="shared" si="268"/>
        <v/>
      </c>
      <c r="BA980" s="25" t="str">
        <f t="shared" si="269"/>
        <v/>
      </c>
      <c r="BB980" s="25" t="str">
        <f t="shared" si="270"/>
        <v/>
      </c>
      <c r="BC980" s="25" t="str">
        <f t="shared" si="271"/>
        <v/>
      </c>
    </row>
    <row r="981" spans="1:55" x14ac:dyDescent="0.25">
      <c r="A981" s="19" t="str">
        <f t="shared" si="256"/>
        <v/>
      </c>
      <c r="B981" s="19"/>
      <c r="C981" s="20"/>
      <c r="D981" s="19" t="str">
        <f t="shared" si="255"/>
        <v/>
      </c>
      <c r="E981" s="19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19"/>
      <c r="U981" s="19"/>
      <c r="V981" s="20"/>
      <c r="W981" s="22"/>
      <c r="X981" s="21"/>
      <c r="Y981" s="21"/>
      <c r="Z981" s="23" t="str">
        <f>IF(B981="","",IF(S981&lt;&gt;"","Sevk Edildi",IF(AND(X981&lt;&gt;"",Y981=""),"Reworkte",IF(T981&lt;&gt;"","Kapandı"&amp;IF(COUNT(G981:R981)=0,""," – "&amp;LOOKUP(2,1/(G981:R981=MAX(G981:R981)),{"Tasarım","Ply Cutter","Üretim","Kalite (Üretim sonrası)","Talaşlı","Kalite (Talaşlı sonrası)","Montaj","Kalite (Montaj sonrası)","Boya","Kalite (Boya sonrası)","Yarı Mamül","KM"})),IF(COUNT(G981:R981)=0,"Başlamadı",LOOKUP(2,1/(G981:R981=MAX(G981:R981)),{"Tasarımda","Ply Cutter'da","Üretimde","Kalitede (Üretim sonrası)","Talaşlıda","Kalitede (Talaşlı sonrası)","Montajda","Kalitede (Montaj sonrası)","Boyada","Kalitede (Boya sonrası)","Yarı Mamülde","KM'de"}))))))</f>
        <v/>
      </c>
      <c r="AA981" s="24" t="str">
        <f t="shared" ca="1" si="257"/>
        <v/>
      </c>
      <c r="AB981" s="22"/>
      <c r="AD981" t="str">
        <f>IF(OR($B981="",NOT(ISNUMBER(G981))),"",IF(COUNTIF(H981:$T981,G981)&gt;0,0,IF(COUNTIF($G981:$T981,"&gt;"&amp;G981)=0,"",SMALL($G981:$T981,COUNTIF($G981:$T981,"&lt;="&amp;G981)+1)-G981)))</f>
        <v/>
      </c>
      <c r="AE981" t="str">
        <f>IF(OR($B981="",NOT(ISNUMBER(H981))),"",IF(COUNTIF(I981:$T981,H981)&gt;0,0,IF(COUNTIF($G981:$T981,"&gt;"&amp;H981)=0,"",SMALL($G981:$T981,COUNTIF($G981:$T981,"&lt;="&amp;H981)+1)-H981)))</f>
        <v/>
      </c>
      <c r="AF981" t="str">
        <f>IF(OR($B981="",NOT(ISNUMBER(I981))),"",IF(COUNTIF(J981:$T981,I981)&gt;0,0,IF(COUNTIF($G981:$T981,"&gt;"&amp;I981)=0,"",SMALL($G981:$T981,COUNTIF($G981:$T981,"&lt;="&amp;I981)+1)-I981)))</f>
        <v/>
      </c>
      <c r="AG981" t="str">
        <f>IF(OR($B981="",NOT(ISNUMBER(J981))),"",IF(COUNTIF(K981:$T981,J981)&gt;0,0,IF(COUNTIF($G981:$T981,"&gt;"&amp;J981)=0,"",SMALL($G981:$T981,COUNTIF($G981:$T981,"&lt;="&amp;J981)+1)-J981)))</f>
        <v/>
      </c>
      <c r="AH981" t="str">
        <f>IF(OR($B981="",NOT(ISNUMBER(K981))),"",IF(COUNTIF(L981:$T981,K981)&gt;0,0,IF(COUNTIF($G981:$T981,"&gt;"&amp;K981)=0,"",SMALL($G981:$T981,COUNTIF($G981:$T981,"&lt;="&amp;K981)+1)-K981)))</f>
        <v/>
      </c>
      <c r="AI981" t="str">
        <f>IF(OR($B981="",NOT(ISNUMBER(L981))),"",IF(COUNTIF(M981:$T981,L981)&gt;0,0,IF(COUNTIF($G981:$T981,"&gt;"&amp;L981)=0,"",SMALL($G981:$T981,COUNTIF($G981:$T981,"&lt;="&amp;L981)+1)-L981)))</f>
        <v/>
      </c>
      <c r="AJ981" t="str">
        <f>IF(OR($B981="",NOT(ISNUMBER(M981))),"",IF(COUNTIF(N981:$T981,M981)&gt;0,0,IF(COUNTIF($G981:$T981,"&gt;"&amp;M981)=0,"",SMALL($G981:$T981,COUNTIF($G981:$T981,"&lt;="&amp;M981)+1)-M981)))</f>
        <v/>
      </c>
      <c r="AK981" t="str">
        <f>IF(OR($B981="",NOT(ISNUMBER(N981))),"",IF(COUNTIF(O981:$T981,N981)&gt;0,0,IF(COUNTIF($G981:$T981,"&gt;"&amp;N981)=0,"",SMALL($G981:$T981,COUNTIF($G981:$T981,"&lt;="&amp;N981)+1)-N981)))</f>
        <v/>
      </c>
      <c r="AL981" t="str">
        <f>IF(OR($B981="",NOT(ISNUMBER(O981))),"",IF(COUNTIF(P981:$T981,O981)&gt;0,0,IF(COUNTIF($G981:$T981,"&gt;"&amp;O981)=0,"",SMALL($G981:$T981,COUNTIF($G981:$T981,"&lt;="&amp;O981)+1)-O981)))</f>
        <v/>
      </c>
      <c r="AM981" t="str">
        <f>IF(OR($B981="",NOT(ISNUMBER(P981))),"",IF(COUNTIF(Q981:$T981,P981)&gt;0,0,IF(COUNTIF($G981:$T981,"&gt;"&amp;P981)=0,"",SMALL($G981:$T981,COUNTIF($G981:$T981,"&lt;="&amp;P981)+1)-P981)))</f>
        <v/>
      </c>
      <c r="AN981" t="str">
        <f>IF(OR($B981="",NOT(ISNUMBER(Q981))),"",IF(COUNTIF(R981:$T981,Q981)&gt;0,0,IF(COUNTIF($G981:$T981,"&gt;"&amp;Q981)=0,"",SMALL($G981:$T981,COUNTIF($G981:$T981,"&lt;="&amp;Q981)+1)-Q981)))</f>
        <v/>
      </c>
      <c r="AO981" t="str">
        <f>IF(OR($B981="",NOT(ISNUMBER(R981))),"",IF(COUNTIF(S981:$T981,R981)&gt;0,0,IF(COUNTIF($G981:$T981,"&gt;"&amp;R981)=0,"",SMALL($G981:$T981,COUNTIF($G981:$T981,"&lt;="&amp;R981)+1)-R981)))</f>
        <v/>
      </c>
      <c r="AP981">
        <f t="shared" ca="1" si="258"/>
        <v>0</v>
      </c>
      <c r="AQ981" s="25" t="str">
        <f t="shared" si="259"/>
        <v/>
      </c>
      <c r="AR981" s="25" t="str">
        <f t="shared" si="260"/>
        <v/>
      </c>
      <c r="AS981" s="25" t="str">
        <f t="shared" si="261"/>
        <v/>
      </c>
      <c r="AT981" s="25" t="str">
        <f t="shared" si="262"/>
        <v/>
      </c>
      <c r="AU981" s="25" t="str">
        <f t="shared" si="263"/>
        <v/>
      </c>
      <c r="AV981" s="25" t="str">
        <f t="shared" si="264"/>
        <v/>
      </c>
      <c r="AW981" s="25" t="str">
        <f t="shared" si="265"/>
        <v/>
      </c>
      <c r="AX981" s="25" t="str">
        <f t="shared" si="266"/>
        <v/>
      </c>
      <c r="AY981" s="25" t="str">
        <f t="shared" si="267"/>
        <v/>
      </c>
      <c r="AZ981" s="25" t="str">
        <f t="shared" si="268"/>
        <v/>
      </c>
      <c r="BA981" s="25" t="str">
        <f t="shared" si="269"/>
        <v/>
      </c>
      <c r="BB981" s="25" t="str">
        <f t="shared" si="270"/>
        <v/>
      </c>
      <c r="BC981" s="25" t="str">
        <f t="shared" si="271"/>
        <v/>
      </c>
    </row>
    <row r="982" spans="1:55" x14ac:dyDescent="0.25">
      <c r="A982" s="19" t="str">
        <f t="shared" si="256"/>
        <v/>
      </c>
      <c r="B982" s="19"/>
      <c r="C982" s="20"/>
      <c r="D982" s="19" t="str">
        <f t="shared" si="255"/>
        <v/>
      </c>
      <c r="E982" s="19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19"/>
      <c r="U982" s="19"/>
      <c r="V982" s="20"/>
      <c r="W982" s="22"/>
      <c r="X982" s="21"/>
      <c r="Y982" s="21"/>
      <c r="Z982" s="23" t="str">
        <f>IF(B982="","",IF(S982&lt;&gt;"","Sevk Edildi",IF(AND(X982&lt;&gt;"",Y982=""),"Reworkte",IF(T982&lt;&gt;"","Kapandı"&amp;IF(COUNT(G982:R982)=0,""," – "&amp;LOOKUP(2,1/(G982:R982=MAX(G982:R982)),{"Tasarım","Ply Cutter","Üretim","Kalite (Üretim sonrası)","Talaşlı","Kalite (Talaşlı sonrası)","Montaj","Kalite (Montaj sonrası)","Boya","Kalite (Boya sonrası)","Yarı Mamül","KM"})),IF(COUNT(G982:R982)=0,"Başlamadı",LOOKUP(2,1/(G982:R982=MAX(G982:R982)),{"Tasarımda","Ply Cutter'da","Üretimde","Kalitede (Üretim sonrası)","Talaşlıda","Kalitede (Talaşlı sonrası)","Montajda","Kalitede (Montaj sonrası)","Boyada","Kalitede (Boya sonrası)","Yarı Mamülde","KM'de"}))))))</f>
        <v/>
      </c>
      <c r="AA982" s="24" t="str">
        <f t="shared" ca="1" si="257"/>
        <v/>
      </c>
      <c r="AB982" s="22"/>
      <c r="AD982" t="str">
        <f>IF(OR($B982="",NOT(ISNUMBER(G982))),"",IF(COUNTIF(H982:$T982,G982)&gt;0,0,IF(COUNTIF($G982:$T982,"&gt;"&amp;G982)=0,"",SMALL($G982:$T982,COUNTIF($G982:$T982,"&lt;="&amp;G982)+1)-G982)))</f>
        <v/>
      </c>
      <c r="AE982" t="str">
        <f>IF(OR($B982="",NOT(ISNUMBER(H982))),"",IF(COUNTIF(I982:$T982,H982)&gt;0,0,IF(COUNTIF($G982:$T982,"&gt;"&amp;H982)=0,"",SMALL($G982:$T982,COUNTIF($G982:$T982,"&lt;="&amp;H982)+1)-H982)))</f>
        <v/>
      </c>
      <c r="AF982" t="str">
        <f>IF(OR($B982="",NOT(ISNUMBER(I982))),"",IF(COUNTIF(J982:$T982,I982)&gt;0,0,IF(COUNTIF($G982:$T982,"&gt;"&amp;I982)=0,"",SMALL($G982:$T982,COUNTIF($G982:$T982,"&lt;="&amp;I982)+1)-I982)))</f>
        <v/>
      </c>
      <c r="AG982" t="str">
        <f>IF(OR($B982="",NOT(ISNUMBER(J982))),"",IF(COUNTIF(K982:$T982,J982)&gt;0,0,IF(COUNTIF($G982:$T982,"&gt;"&amp;J982)=0,"",SMALL($G982:$T982,COUNTIF($G982:$T982,"&lt;="&amp;J982)+1)-J982)))</f>
        <v/>
      </c>
      <c r="AH982" t="str">
        <f>IF(OR($B982="",NOT(ISNUMBER(K982))),"",IF(COUNTIF(L982:$T982,K982)&gt;0,0,IF(COUNTIF($G982:$T982,"&gt;"&amp;K982)=0,"",SMALL($G982:$T982,COUNTIF($G982:$T982,"&lt;="&amp;K982)+1)-K982)))</f>
        <v/>
      </c>
      <c r="AI982" t="str">
        <f>IF(OR($B982="",NOT(ISNUMBER(L982))),"",IF(COUNTIF(M982:$T982,L982)&gt;0,0,IF(COUNTIF($G982:$T982,"&gt;"&amp;L982)=0,"",SMALL($G982:$T982,COUNTIF($G982:$T982,"&lt;="&amp;L982)+1)-L982)))</f>
        <v/>
      </c>
      <c r="AJ982" t="str">
        <f>IF(OR($B982="",NOT(ISNUMBER(M982))),"",IF(COUNTIF(N982:$T982,M982)&gt;0,0,IF(COUNTIF($G982:$T982,"&gt;"&amp;M982)=0,"",SMALL($G982:$T982,COUNTIF($G982:$T982,"&lt;="&amp;M982)+1)-M982)))</f>
        <v/>
      </c>
      <c r="AK982" t="str">
        <f>IF(OR($B982="",NOT(ISNUMBER(N982))),"",IF(COUNTIF(O982:$T982,N982)&gt;0,0,IF(COUNTIF($G982:$T982,"&gt;"&amp;N982)=0,"",SMALL($G982:$T982,COUNTIF($G982:$T982,"&lt;="&amp;N982)+1)-N982)))</f>
        <v/>
      </c>
      <c r="AL982" t="str">
        <f>IF(OR($B982="",NOT(ISNUMBER(O982))),"",IF(COUNTIF(P982:$T982,O982)&gt;0,0,IF(COUNTIF($G982:$T982,"&gt;"&amp;O982)=0,"",SMALL($G982:$T982,COUNTIF($G982:$T982,"&lt;="&amp;O982)+1)-O982)))</f>
        <v/>
      </c>
      <c r="AM982" t="str">
        <f>IF(OR($B982="",NOT(ISNUMBER(P982))),"",IF(COUNTIF(Q982:$T982,P982)&gt;0,0,IF(COUNTIF($G982:$T982,"&gt;"&amp;P982)=0,"",SMALL($G982:$T982,COUNTIF($G982:$T982,"&lt;="&amp;P982)+1)-P982)))</f>
        <v/>
      </c>
      <c r="AN982" t="str">
        <f>IF(OR($B982="",NOT(ISNUMBER(Q982))),"",IF(COUNTIF(R982:$T982,Q982)&gt;0,0,IF(COUNTIF($G982:$T982,"&gt;"&amp;Q982)=0,"",SMALL($G982:$T982,COUNTIF($G982:$T982,"&lt;="&amp;Q982)+1)-Q982)))</f>
        <v/>
      </c>
      <c r="AO982" t="str">
        <f>IF(OR($B982="",NOT(ISNUMBER(R982))),"",IF(COUNTIF(S982:$T982,R982)&gt;0,0,IF(COUNTIF($G982:$T982,"&gt;"&amp;R982)=0,"",SMALL($G982:$T982,COUNTIF($G982:$T982,"&lt;="&amp;R982)+1)-R982)))</f>
        <v/>
      </c>
      <c r="AP982">
        <f t="shared" ca="1" si="258"/>
        <v>0</v>
      </c>
      <c r="AQ982" s="25" t="str">
        <f t="shared" si="259"/>
        <v/>
      </c>
      <c r="AR982" s="25" t="str">
        <f t="shared" si="260"/>
        <v/>
      </c>
      <c r="AS982" s="25" t="str">
        <f t="shared" si="261"/>
        <v/>
      </c>
      <c r="AT982" s="25" t="str">
        <f t="shared" si="262"/>
        <v/>
      </c>
      <c r="AU982" s="25" t="str">
        <f t="shared" si="263"/>
        <v/>
      </c>
      <c r="AV982" s="25" t="str">
        <f t="shared" si="264"/>
        <v/>
      </c>
      <c r="AW982" s="25" t="str">
        <f t="shared" si="265"/>
        <v/>
      </c>
      <c r="AX982" s="25" t="str">
        <f t="shared" si="266"/>
        <v/>
      </c>
      <c r="AY982" s="25" t="str">
        <f t="shared" si="267"/>
        <v/>
      </c>
      <c r="AZ982" s="25" t="str">
        <f t="shared" si="268"/>
        <v/>
      </c>
      <c r="BA982" s="25" t="str">
        <f t="shared" si="269"/>
        <v/>
      </c>
      <c r="BB982" s="25" t="str">
        <f t="shared" si="270"/>
        <v/>
      </c>
      <c r="BC982" s="25" t="str">
        <f t="shared" si="271"/>
        <v/>
      </c>
    </row>
    <row r="983" spans="1:55" x14ac:dyDescent="0.25">
      <c r="A983" s="19" t="str">
        <f t="shared" si="256"/>
        <v/>
      </c>
      <c r="B983" s="19"/>
      <c r="C983" s="20"/>
      <c r="D983" s="19" t="str">
        <f t="shared" si="255"/>
        <v/>
      </c>
      <c r="E983" s="19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19"/>
      <c r="U983" s="19"/>
      <c r="V983" s="20"/>
      <c r="W983" s="22"/>
      <c r="X983" s="21"/>
      <c r="Y983" s="21"/>
      <c r="Z983" s="23" t="str">
        <f>IF(B983="","",IF(S983&lt;&gt;"","Sevk Edildi",IF(AND(X983&lt;&gt;"",Y983=""),"Reworkte",IF(T983&lt;&gt;"","Kapandı"&amp;IF(COUNT(G983:R983)=0,""," – "&amp;LOOKUP(2,1/(G983:R983=MAX(G983:R983)),{"Tasarım","Ply Cutter","Üretim","Kalite (Üretim sonrası)","Talaşlı","Kalite (Talaşlı sonrası)","Montaj","Kalite (Montaj sonrası)","Boya","Kalite (Boya sonrası)","Yarı Mamül","KM"})),IF(COUNT(G983:R983)=0,"Başlamadı",LOOKUP(2,1/(G983:R983=MAX(G983:R983)),{"Tasarımda","Ply Cutter'da","Üretimde","Kalitede (Üretim sonrası)","Talaşlıda","Kalitede (Talaşlı sonrası)","Montajda","Kalitede (Montaj sonrası)","Boyada","Kalitede (Boya sonrası)","Yarı Mamülde","KM'de"}))))))</f>
        <v/>
      </c>
      <c r="AA983" s="24" t="str">
        <f t="shared" ca="1" si="257"/>
        <v/>
      </c>
      <c r="AB983" s="22"/>
      <c r="AD983" t="str">
        <f>IF(OR($B983="",NOT(ISNUMBER(G983))),"",IF(COUNTIF(H983:$T983,G983)&gt;0,0,IF(COUNTIF($G983:$T983,"&gt;"&amp;G983)=0,"",SMALL($G983:$T983,COUNTIF($G983:$T983,"&lt;="&amp;G983)+1)-G983)))</f>
        <v/>
      </c>
      <c r="AE983" t="str">
        <f>IF(OR($B983="",NOT(ISNUMBER(H983))),"",IF(COUNTIF(I983:$T983,H983)&gt;0,0,IF(COUNTIF($G983:$T983,"&gt;"&amp;H983)=0,"",SMALL($G983:$T983,COUNTIF($G983:$T983,"&lt;="&amp;H983)+1)-H983)))</f>
        <v/>
      </c>
      <c r="AF983" t="str">
        <f>IF(OR($B983="",NOT(ISNUMBER(I983))),"",IF(COUNTIF(J983:$T983,I983)&gt;0,0,IF(COUNTIF($G983:$T983,"&gt;"&amp;I983)=0,"",SMALL($G983:$T983,COUNTIF($G983:$T983,"&lt;="&amp;I983)+1)-I983)))</f>
        <v/>
      </c>
      <c r="AG983" t="str">
        <f>IF(OR($B983="",NOT(ISNUMBER(J983))),"",IF(COUNTIF(K983:$T983,J983)&gt;0,0,IF(COUNTIF($G983:$T983,"&gt;"&amp;J983)=0,"",SMALL($G983:$T983,COUNTIF($G983:$T983,"&lt;="&amp;J983)+1)-J983)))</f>
        <v/>
      </c>
      <c r="AH983" t="str">
        <f>IF(OR($B983="",NOT(ISNUMBER(K983))),"",IF(COUNTIF(L983:$T983,K983)&gt;0,0,IF(COUNTIF($G983:$T983,"&gt;"&amp;K983)=0,"",SMALL($G983:$T983,COUNTIF($G983:$T983,"&lt;="&amp;K983)+1)-K983)))</f>
        <v/>
      </c>
      <c r="AI983" t="str">
        <f>IF(OR($B983="",NOT(ISNUMBER(L983))),"",IF(COUNTIF(M983:$T983,L983)&gt;0,0,IF(COUNTIF($G983:$T983,"&gt;"&amp;L983)=0,"",SMALL($G983:$T983,COUNTIF($G983:$T983,"&lt;="&amp;L983)+1)-L983)))</f>
        <v/>
      </c>
      <c r="AJ983" t="str">
        <f>IF(OR($B983="",NOT(ISNUMBER(M983))),"",IF(COUNTIF(N983:$T983,M983)&gt;0,0,IF(COUNTIF($G983:$T983,"&gt;"&amp;M983)=0,"",SMALL($G983:$T983,COUNTIF($G983:$T983,"&lt;="&amp;M983)+1)-M983)))</f>
        <v/>
      </c>
      <c r="AK983" t="str">
        <f>IF(OR($B983="",NOT(ISNUMBER(N983))),"",IF(COUNTIF(O983:$T983,N983)&gt;0,0,IF(COUNTIF($G983:$T983,"&gt;"&amp;N983)=0,"",SMALL($G983:$T983,COUNTIF($G983:$T983,"&lt;="&amp;N983)+1)-N983)))</f>
        <v/>
      </c>
      <c r="AL983" t="str">
        <f>IF(OR($B983="",NOT(ISNUMBER(O983))),"",IF(COUNTIF(P983:$T983,O983)&gt;0,0,IF(COUNTIF($G983:$T983,"&gt;"&amp;O983)=0,"",SMALL($G983:$T983,COUNTIF($G983:$T983,"&lt;="&amp;O983)+1)-O983)))</f>
        <v/>
      </c>
      <c r="AM983" t="str">
        <f>IF(OR($B983="",NOT(ISNUMBER(P983))),"",IF(COUNTIF(Q983:$T983,P983)&gt;0,0,IF(COUNTIF($G983:$T983,"&gt;"&amp;P983)=0,"",SMALL($G983:$T983,COUNTIF($G983:$T983,"&lt;="&amp;P983)+1)-P983)))</f>
        <v/>
      </c>
      <c r="AN983" t="str">
        <f>IF(OR($B983="",NOT(ISNUMBER(Q983))),"",IF(COUNTIF(R983:$T983,Q983)&gt;0,0,IF(COUNTIF($G983:$T983,"&gt;"&amp;Q983)=0,"",SMALL($G983:$T983,COUNTIF($G983:$T983,"&lt;="&amp;Q983)+1)-Q983)))</f>
        <v/>
      </c>
      <c r="AO983" t="str">
        <f>IF(OR($B983="",NOT(ISNUMBER(R983))),"",IF(COUNTIF(S983:$T983,R983)&gt;0,0,IF(COUNTIF($G983:$T983,"&gt;"&amp;R983)=0,"",SMALL($G983:$T983,COUNTIF($G983:$T983,"&lt;="&amp;R983)+1)-R983)))</f>
        <v/>
      </c>
      <c r="AP983">
        <f t="shared" ca="1" si="258"/>
        <v>0</v>
      </c>
      <c r="AQ983" s="25" t="str">
        <f t="shared" si="259"/>
        <v/>
      </c>
      <c r="AR983" s="25" t="str">
        <f t="shared" si="260"/>
        <v/>
      </c>
      <c r="AS983" s="25" t="str">
        <f t="shared" si="261"/>
        <v/>
      </c>
      <c r="AT983" s="25" t="str">
        <f t="shared" si="262"/>
        <v/>
      </c>
      <c r="AU983" s="25" t="str">
        <f t="shared" si="263"/>
        <v/>
      </c>
      <c r="AV983" s="25" t="str">
        <f t="shared" si="264"/>
        <v/>
      </c>
      <c r="AW983" s="25" t="str">
        <f t="shared" si="265"/>
        <v/>
      </c>
      <c r="AX983" s="25" t="str">
        <f t="shared" si="266"/>
        <v/>
      </c>
      <c r="AY983" s="25" t="str">
        <f t="shared" si="267"/>
        <v/>
      </c>
      <c r="AZ983" s="25" t="str">
        <f t="shared" si="268"/>
        <v/>
      </c>
      <c r="BA983" s="25" t="str">
        <f t="shared" si="269"/>
        <v/>
      </c>
      <c r="BB983" s="25" t="str">
        <f t="shared" si="270"/>
        <v/>
      </c>
      <c r="BC983" s="25" t="str">
        <f t="shared" si="271"/>
        <v/>
      </c>
    </row>
    <row r="984" spans="1:55" x14ac:dyDescent="0.25">
      <c r="A984" s="19" t="str">
        <f t="shared" si="256"/>
        <v/>
      </c>
      <c r="B984" s="19"/>
      <c r="C984" s="20"/>
      <c r="D984" s="19" t="str">
        <f t="shared" si="255"/>
        <v/>
      </c>
      <c r="E984" s="19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19"/>
      <c r="U984" s="19"/>
      <c r="V984" s="20"/>
      <c r="W984" s="22"/>
      <c r="X984" s="21"/>
      <c r="Y984" s="21"/>
      <c r="Z984" s="23" t="str">
        <f>IF(B984="","",IF(S984&lt;&gt;"","Sevk Edildi",IF(AND(X984&lt;&gt;"",Y984=""),"Reworkte",IF(T984&lt;&gt;"","Kapandı"&amp;IF(COUNT(G984:R984)=0,""," – "&amp;LOOKUP(2,1/(G984:R984=MAX(G984:R984)),{"Tasarım","Ply Cutter","Üretim","Kalite (Üretim sonrası)","Talaşlı","Kalite (Talaşlı sonrası)","Montaj","Kalite (Montaj sonrası)","Boya","Kalite (Boya sonrası)","Yarı Mamül","KM"})),IF(COUNT(G984:R984)=0,"Başlamadı",LOOKUP(2,1/(G984:R984=MAX(G984:R984)),{"Tasarımda","Ply Cutter'da","Üretimde","Kalitede (Üretim sonrası)","Talaşlıda","Kalitede (Talaşlı sonrası)","Montajda","Kalitede (Montaj sonrası)","Boyada","Kalitede (Boya sonrası)","Yarı Mamülde","KM'de"}))))))</f>
        <v/>
      </c>
      <c r="AA984" s="24" t="str">
        <f t="shared" ca="1" si="257"/>
        <v/>
      </c>
      <c r="AB984" s="22"/>
      <c r="AD984" t="str">
        <f>IF(OR($B984="",NOT(ISNUMBER(G984))),"",IF(COUNTIF(H984:$T984,G984)&gt;0,0,IF(COUNTIF($G984:$T984,"&gt;"&amp;G984)=0,"",SMALL($G984:$T984,COUNTIF($G984:$T984,"&lt;="&amp;G984)+1)-G984)))</f>
        <v/>
      </c>
      <c r="AE984" t="str">
        <f>IF(OR($B984="",NOT(ISNUMBER(H984))),"",IF(COUNTIF(I984:$T984,H984)&gt;0,0,IF(COUNTIF($G984:$T984,"&gt;"&amp;H984)=0,"",SMALL($G984:$T984,COUNTIF($G984:$T984,"&lt;="&amp;H984)+1)-H984)))</f>
        <v/>
      </c>
      <c r="AF984" t="str">
        <f>IF(OR($B984="",NOT(ISNUMBER(I984))),"",IF(COUNTIF(J984:$T984,I984)&gt;0,0,IF(COUNTIF($G984:$T984,"&gt;"&amp;I984)=0,"",SMALL($G984:$T984,COUNTIF($G984:$T984,"&lt;="&amp;I984)+1)-I984)))</f>
        <v/>
      </c>
      <c r="AG984" t="str">
        <f>IF(OR($B984="",NOT(ISNUMBER(J984))),"",IF(COUNTIF(K984:$T984,J984)&gt;0,0,IF(COUNTIF($G984:$T984,"&gt;"&amp;J984)=0,"",SMALL($G984:$T984,COUNTIF($G984:$T984,"&lt;="&amp;J984)+1)-J984)))</f>
        <v/>
      </c>
      <c r="AH984" t="str">
        <f>IF(OR($B984="",NOT(ISNUMBER(K984))),"",IF(COUNTIF(L984:$T984,K984)&gt;0,0,IF(COUNTIF($G984:$T984,"&gt;"&amp;K984)=0,"",SMALL($G984:$T984,COUNTIF($G984:$T984,"&lt;="&amp;K984)+1)-K984)))</f>
        <v/>
      </c>
      <c r="AI984" t="str">
        <f>IF(OR($B984="",NOT(ISNUMBER(L984))),"",IF(COUNTIF(M984:$T984,L984)&gt;0,0,IF(COUNTIF($G984:$T984,"&gt;"&amp;L984)=0,"",SMALL($G984:$T984,COUNTIF($G984:$T984,"&lt;="&amp;L984)+1)-L984)))</f>
        <v/>
      </c>
      <c r="AJ984" t="str">
        <f>IF(OR($B984="",NOT(ISNUMBER(M984))),"",IF(COUNTIF(N984:$T984,M984)&gt;0,0,IF(COUNTIF($G984:$T984,"&gt;"&amp;M984)=0,"",SMALL($G984:$T984,COUNTIF($G984:$T984,"&lt;="&amp;M984)+1)-M984)))</f>
        <v/>
      </c>
      <c r="AK984" t="str">
        <f>IF(OR($B984="",NOT(ISNUMBER(N984))),"",IF(COUNTIF(O984:$T984,N984)&gt;0,0,IF(COUNTIF($G984:$T984,"&gt;"&amp;N984)=0,"",SMALL($G984:$T984,COUNTIF($G984:$T984,"&lt;="&amp;N984)+1)-N984)))</f>
        <v/>
      </c>
      <c r="AL984" t="str">
        <f>IF(OR($B984="",NOT(ISNUMBER(O984))),"",IF(COUNTIF(P984:$T984,O984)&gt;0,0,IF(COUNTIF($G984:$T984,"&gt;"&amp;O984)=0,"",SMALL($G984:$T984,COUNTIF($G984:$T984,"&lt;="&amp;O984)+1)-O984)))</f>
        <v/>
      </c>
      <c r="AM984" t="str">
        <f>IF(OR($B984="",NOT(ISNUMBER(P984))),"",IF(COUNTIF(Q984:$T984,P984)&gt;0,0,IF(COUNTIF($G984:$T984,"&gt;"&amp;P984)=0,"",SMALL($G984:$T984,COUNTIF($G984:$T984,"&lt;="&amp;P984)+1)-P984)))</f>
        <v/>
      </c>
      <c r="AN984" t="str">
        <f>IF(OR($B984="",NOT(ISNUMBER(Q984))),"",IF(COUNTIF(R984:$T984,Q984)&gt;0,0,IF(COUNTIF($G984:$T984,"&gt;"&amp;Q984)=0,"",SMALL($G984:$T984,COUNTIF($G984:$T984,"&lt;="&amp;Q984)+1)-Q984)))</f>
        <v/>
      </c>
      <c r="AO984" t="str">
        <f>IF(OR($B984="",NOT(ISNUMBER(R984))),"",IF(COUNTIF(S984:$T984,R984)&gt;0,0,IF(COUNTIF($G984:$T984,"&gt;"&amp;R984)=0,"",SMALL($G984:$T984,COUNTIF($G984:$T984,"&lt;="&amp;R984)+1)-R984)))</f>
        <v/>
      </c>
      <c r="AP984">
        <f t="shared" ca="1" si="258"/>
        <v>0</v>
      </c>
      <c r="AQ984" s="25" t="str">
        <f t="shared" si="259"/>
        <v/>
      </c>
      <c r="AR984" s="25" t="str">
        <f t="shared" si="260"/>
        <v/>
      </c>
      <c r="AS984" s="25" t="str">
        <f t="shared" si="261"/>
        <v/>
      </c>
      <c r="AT984" s="25" t="str">
        <f t="shared" si="262"/>
        <v/>
      </c>
      <c r="AU984" s="25" t="str">
        <f t="shared" si="263"/>
        <v/>
      </c>
      <c r="AV984" s="25" t="str">
        <f t="shared" si="264"/>
        <v/>
      </c>
      <c r="AW984" s="25" t="str">
        <f t="shared" si="265"/>
        <v/>
      </c>
      <c r="AX984" s="25" t="str">
        <f t="shared" si="266"/>
        <v/>
      </c>
      <c r="AY984" s="25" t="str">
        <f t="shared" si="267"/>
        <v/>
      </c>
      <c r="AZ984" s="25" t="str">
        <f t="shared" si="268"/>
        <v/>
      </c>
      <c r="BA984" s="25" t="str">
        <f t="shared" si="269"/>
        <v/>
      </c>
      <c r="BB984" s="25" t="str">
        <f t="shared" si="270"/>
        <v/>
      </c>
      <c r="BC984" s="25" t="str">
        <f t="shared" si="271"/>
        <v/>
      </c>
    </row>
    <row r="985" spans="1:55" x14ac:dyDescent="0.25">
      <c r="A985" s="19" t="str">
        <f t="shared" si="256"/>
        <v/>
      </c>
      <c r="B985" s="19"/>
      <c r="C985" s="20"/>
      <c r="D985" s="19" t="str">
        <f t="shared" si="255"/>
        <v/>
      </c>
      <c r="E985" s="19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19"/>
      <c r="U985" s="19"/>
      <c r="V985" s="20"/>
      <c r="W985" s="22"/>
      <c r="X985" s="21"/>
      <c r="Y985" s="21"/>
      <c r="Z985" s="23" t="str">
        <f>IF(B985="","",IF(S985&lt;&gt;"","Sevk Edildi",IF(AND(X985&lt;&gt;"",Y985=""),"Reworkte",IF(T985&lt;&gt;"","Kapandı"&amp;IF(COUNT(G985:R985)=0,""," – "&amp;LOOKUP(2,1/(G985:R985=MAX(G985:R985)),{"Tasarım","Ply Cutter","Üretim","Kalite (Üretim sonrası)","Talaşlı","Kalite (Talaşlı sonrası)","Montaj","Kalite (Montaj sonrası)","Boya","Kalite (Boya sonrası)","Yarı Mamül","KM"})),IF(COUNT(G985:R985)=0,"Başlamadı",LOOKUP(2,1/(G985:R985=MAX(G985:R985)),{"Tasarımda","Ply Cutter'da","Üretimde","Kalitede (Üretim sonrası)","Talaşlıda","Kalitede (Talaşlı sonrası)","Montajda","Kalitede (Montaj sonrası)","Boyada","Kalitede (Boya sonrası)","Yarı Mamülde","KM'de"}))))))</f>
        <v/>
      </c>
      <c r="AA985" s="24" t="str">
        <f t="shared" ca="1" si="257"/>
        <v/>
      </c>
      <c r="AB985" s="22"/>
      <c r="AD985" t="str">
        <f>IF(OR($B985="",NOT(ISNUMBER(G985))),"",IF(COUNTIF(H985:$T985,G985)&gt;0,0,IF(COUNTIF($G985:$T985,"&gt;"&amp;G985)=0,"",SMALL($G985:$T985,COUNTIF($G985:$T985,"&lt;="&amp;G985)+1)-G985)))</f>
        <v/>
      </c>
      <c r="AE985" t="str">
        <f>IF(OR($B985="",NOT(ISNUMBER(H985))),"",IF(COUNTIF(I985:$T985,H985)&gt;0,0,IF(COUNTIF($G985:$T985,"&gt;"&amp;H985)=0,"",SMALL($G985:$T985,COUNTIF($G985:$T985,"&lt;="&amp;H985)+1)-H985)))</f>
        <v/>
      </c>
      <c r="AF985" t="str">
        <f>IF(OR($B985="",NOT(ISNUMBER(I985))),"",IF(COUNTIF(J985:$T985,I985)&gt;0,0,IF(COUNTIF($G985:$T985,"&gt;"&amp;I985)=0,"",SMALL($G985:$T985,COUNTIF($G985:$T985,"&lt;="&amp;I985)+1)-I985)))</f>
        <v/>
      </c>
      <c r="AG985" t="str">
        <f>IF(OR($B985="",NOT(ISNUMBER(J985))),"",IF(COUNTIF(K985:$T985,J985)&gt;0,0,IF(COUNTIF($G985:$T985,"&gt;"&amp;J985)=0,"",SMALL($G985:$T985,COUNTIF($G985:$T985,"&lt;="&amp;J985)+1)-J985)))</f>
        <v/>
      </c>
      <c r="AH985" t="str">
        <f>IF(OR($B985="",NOT(ISNUMBER(K985))),"",IF(COUNTIF(L985:$T985,K985)&gt;0,0,IF(COUNTIF($G985:$T985,"&gt;"&amp;K985)=0,"",SMALL($G985:$T985,COUNTIF($G985:$T985,"&lt;="&amp;K985)+1)-K985)))</f>
        <v/>
      </c>
      <c r="AI985" t="str">
        <f>IF(OR($B985="",NOT(ISNUMBER(L985))),"",IF(COUNTIF(M985:$T985,L985)&gt;0,0,IF(COUNTIF($G985:$T985,"&gt;"&amp;L985)=0,"",SMALL($G985:$T985,COUNTIF($G985:$T985,"&lt;="&amp;L985)+1)-L985)))</f>
        <v/>
      </c>
      <c r="AJ985" t="str">
        <f>IF(OR($B985="",NOT(ISNUMBER(M985))),"",IF(COUNTIF(N985:$T985,M985)&gt;0,0,IF(COUNTIF($G985:$T985,"&gt;"&amp;M985)=0,"",SMALL($G985:$T985,COUNTIF($G985:$T985,"&lt;="&amp;M985)+1)-M985)))</f>
        <v/>
      </c>
      <c r="AK985" t="str">
        <f>IF(OR($B985="",NOT(ISNUMBER(N985))),"",IF(COUNTIF(O985:$T985,N985)&gt;0,0,IF(COUNTIF($G985:$T985,"&gt;"&amp;N985)=0,"",SMALL($G985:$T985,COUNTIF($G985:$T985,"&lt;="&amp;N985)+1)-N985)))</f>
        <v/>
      </c>
      <c r="AL985" t="str">
        <f>IF(OR($B985="",NOT(ISNUMBER(O985))),"",IF(COUNTIF(P985:$T985,O985)&gt;0,0,IF(COUNTIF($G985:$T985,"&gt;"&amp;O985)=0,"",SMALL($G985:$T985,COUNTIF($G985:$T985,"&lt;="&amp;O985)+1)-O985)))</f>
        <v/>
      </c>
      <c r="AM985" t="str">
        <f>IF(OR($B985="",NOT(ISNUMBER(P985))),"",IF(COUNTIF(Q985:$T985,P985)&gt;0,0,IF(COUNTIF($G985:$T985,"&gt;"&amp;P985)=0,"",SMALL($G985:$T985,COUNTIF($G985:$T985,"&lt;="&amp;P985)+1)-P985)))</f>
        <v/>
      </c>
      <c r="AN985" t="str">
        <f>IF(OR($B985="",NOT(ISNUMBER(Q985))),"",IF(COUNTIF(R985:$T985,Q985)&gt;0,0,IF(COUNTIF($G985:$T985,"&gt;"&amp;Q985)=0,"",SMALL($G985:$T985,COUNTIF($G985:$T985,"&lt;="&amp;Q985)+1)-Q985)))</f>
        <v/>
      </c>
      <c r="AO985" t="str">
        <f>IF(OR($B985="",NOT(ISNUMBER(R985))),"",IF(COUNTIF(S985:$T985,R985)&gt;0,0,IF(COUNTIF($G985:$T985,"&gt;"&amp;R985)=0,"",SMALL($G985:$T985,COUNTIF($G985:$T985,"&lt;="&amp;R985)+1)-R985)))</f>
        <v/>
      </c>
      <c r="AP985">
        <f t="shared" ca="1" si="258"/>
        <v>0</v>
      </c>
      <c r="AQ985" s="25" t="str">
        <f t="shared" si="259"/>
        <v/>
      </c>
      <c r="AR985" s="25" t="str">
        <f t="shared" si="260"/>
        <v/>
      </c>
      <c r="AS985" s="25" t="str">
        <f t="shared" si="261"/>
        <v/>
      </c>
      <c r="AT985" s="25" t="str">
        <f t="shared" si="262"/>
        <v/>
      </c>
      <c r="AU985" s="25" t="str">
        <f t="shared" si="263"/>
        <v/>
      </c>
      <c r="AV985" s="25" t="str">
        <f t="shared" si="264"/>
        <v/>
      </c>
      <c r="AW985" s="25" t="str">
        <f t="shared" si="265"/>
        <v/>
      </c>
      <c r="AX985" s="25" t="str">
        <f t="shared" si="266"/>
        <v/>
      </c>
      <c r="AY985" s="25" t="str">
        <f t="shared" si="267"/>
        <v/>
      </c>
      <c r="AZ985" s="25" t="str">
        <f t="shared" si="268"/>
        <v/>
      </c>
      <c r="BA985" s="25" t="str">
        <f t="shared" si="269"/>
        <v/>
      </c>
      <c r="BB985" s="25" t="str">
        <f t="shared" si="270"/>
        <v/>
      </c>
      <c r="BC985" s="25" t="str">
        <f t="shared" si="271"/>
        <v/>
      </c>
    </row>
    <row r="986" spans="1:55" x14ac:dyDescent="0.25">
      <c r="A986" s="19" t="str">
        <f t="shared" si="256"/>
        <v/>
      </c>
      <c r="B986" s="19"/>
      <c r="C986" s="20"/>
      <c r="D986" s="19" t="str">
        <f t="shared" si="255"/>
        <v/>
      </c>
      <c r="E986" s="19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19"/>
      <c r="U986" s="19"/>
      <c r="V986" s="20"/>
      <c r="W986" s="22"/>
      <c r="X986" s="21"/>
      <c r="Y986" s="21"/>
      <c r="Z986" s="23" t="str">
        <f>IF(B986="","",IF(S986&lt;&gt;"","Sevk Edildi",IF(AND(X986&lt;&gt;"",Y986=""),"Reworkte",IF(T986&lt;&gt;"","Kapandı"&amp;IF(COUNT(G986:R986)=0,""," – "&amp;LOOKUP(2,1/(G986:R986=MAX(G986:R986)),{"Tasarım","Ply Cutter","Üretim","Kalite (Üretim sonrası)","Talaşlı","Kalite (Talaşlı sonrası)","Montaj","Kalite (Montaj sonrası)","Boya","Kalite (Boya sonrası)","Yarı Mamül","KM"})),IF(COUNT(G986:R986)=0,"Başlamadı",LOOKUP(2,1/(G986:R986=MAX(G986:R986)),{"Tasarımda","Ply Cutter'da","Üretimde","Kalitede (Üretim sonrası)","Talaşlıda","Kalitede (Talaşlı sonrası)","Montajda","Kalitede (Montaj sonrası)","Boyada","Kalitede (Boya sonrası)","Yarı Mamülde","KM'de"}))))))</f>
        <v/>
      </c>
      <c r="AA986" s="24" t="str">
        <f t="shared" ca="1" si="257"/>
        <v/>
      </c>
      <c r="AB986" s="22"/>
      <c r="AD986" t="str">
        <f>IF(OR($B986="",NOT(ISNUMBER(G986))),"",IF(COUNTIF(H986:$T986,G986)&gt;0,0,IF(COUNTIF($G986:$T986,"&gt;"&amp;G986)=0,"",SMALL($G986:$T986,COUNTIF($G986:$T986,"&lt;="&amp;G986)+1)-G986)))</f>
        <v/>
      </c>
      <c r="AE986" t="str">
        <f>IF(OR($B986="",NOT(ISNUMBER(H986))),"",IF(COUNTIF(I986:$T986,H986)&gt;0,0,IF(COUNTIF($G986:$T986,"&gt;"&amp;H986)=0,"",SMALL($G986:$T986,COUNTIF($G986:$T986,"&lt;="&amp;H986)+1)-H986)))</f>
        <v/>
      </c>
      <c r="AF986" t="str">
        <f>IF(OR($B986="",NOT(ISNUMBER(I986))),"",IF(COUNTIF(J986:$T986,I986)&gt;0,0,IF(COUNTIF($G986:$T986,"&gt;"&amp;I986)=0,"",SMALL($G986:$T986,COUNTIF($G986:$T986,"&lt;="&amp;I986)+1)-I986)))</f>
        <v/>
      </c>
      <c r="AG986" t="str">
        <f>IF(OR($B986="",NOT(ISNUMBER(J986))),"",IF(COUNTIF(K986:$T986,J986)&gt;0,0,IF(COUNTIF($G986:$T986,"&gt;"&amp;J986)=0,"",SMALL($G986:$T986,COUNTIF($G986:$T986,"&lt;="&amp;J986)+1)-J986)))</f>
        <v/>
      </c>
      <c r="AH986" t="str">
        <f>IF(OR($B986="",NOT(ISNUMBER(K986))),"",IF(COUNTIF(L986:$T986,K986)&gt;0,0,IF(COUNTIF($G986:$T986,"&gt;"&amp;K986)=0,"",SMALL($G986:$T986,COUNTIF($G986:$T986,"&lt;="&amp;K986)+1)-K986)))</f>
        <v/>
      </c>
      <c r="AI986" t="str">
        <f>IF(OR($B986="",NOT(ISNUMBER(L986))),"",IF(COUNTIF(M986:$T986,L986)&gt;0,0,IF(COUNTIF($G986:$T986,"&gt;"&amp;L986)=0,"",SMALL($G986:$T986,COUNTIF($G986:$T986,"&lt;="&amp;L986)+1)-L986)))</f>
        <v/>
      </c>
      <c r="AJ986" t="str">
        <f>IF(OR($B986="",NOT(ISNUMBER(M986))),"",IF(COUNTIF(N986:$T986,M986)&gt;0,0,IF(COUNTIF($G986:$T986,"&gt;"&amp;M986)=0,"",SMALL($G986:$T986,COUNTIF($G986:$T986,"&lt;="&amp;M986)+1)-M986)))</f>
        <v/>
      </c>
      <c r="AK986" t="str">
        <f>IF(OR($B986="",NOT(ISNUMBER(N986))),"",IF(COUNTIF(O986:$T986,N986)&gt;0,0,IF(COUNTIF($G986:$T986,"&gt;"&amp;N986)=0,"",SMALL($G986:$T986,COUNTIF($G986:$T986,"&lt;="&amp;N986)+1)-N986)))</f>
        <v/>
      </c>
      <c r="AL986" t="str">
        <f>IF(OR($B986="",NOT(ISNUMBER(O986))),"",IF(COUNTIF(P986:$T986,O986)&gt;0,0,IF(COUNTIF($G986:$T986,"&gt;"&amp;O986)=0,"",SMALL($G986:$T986,COUNTIF($G986:$T986,"&lt;="&amp;O986)+1)-O986)))</f>
        <v/>
      </c>
      <c r="AM986" t="str">
        <f>IF(OR($B986="",NOT(ISNUMBER(P986))),"",IF(COUNTIF(Q986:$T986,P986)&gt;0,0,IF(COUNTIF($G986:$T986,"&gt;"&amp;P986)=0,"",SMALL($G986:$T986,COUNTIF($G986:$T986,"&lt;="&amp;P986)+1)-P986)))</f>
        <v/>
      </c>
      <c r="AN986" t="str">
        <f>IF(OR($B986="",NOT(ISNUMBER(Q986))),"",IF(COUNTIF(R986:$T986,Q986)&gt;0,0,IF(COUNTIF($G986:$T986,"&gt;"&amp;Q986)=0,"",SMALL($G986:$T986,COUNTIF($G986:$T986,"&lt;="&amp;Q986)+1)-Q986)))</f>
        <v/>
      </c>
      <c r="AO986" t="str">
        <f>IF(OR($B986="",NOT(ISNUMBER(R986))),"",IF(COUNTIF(S986:$T986,R986)&gt;0,0,IF(COUNTIF($G986:$T986,"&gt;"&amp;R986)=0,"",SMALL($G986:$T986,COUNTIF($G986:$T986,"&lt;="&amp;R986)+1)-R986)))</f>
        <v/>
      </c>
      <c r="AP986">
        <f t="shared" ca="1" si="258"/>
        <v>0</v>
      </c>
      <c r="AQ986" s="25" t="str">
        <f t="shared" si="259"/>
        <v/>
      </c>
      <c r="AR986" s="25" t="str">
        <f t="shared" si="260"/>
        <v/>
      </c>
      <c r="AS986" s="25" t="str">
        <f t="shared" si="261"/>
        <v/>
      </c>
      <c r="AT986" s="25" t="str">
        <f t="shared" si="262"/>
        <v/>
      </c>
      <c r="AU986" s="25" t="str">
        <f t="shared" si="263"/>
        <v/>
      </c>
      <c r="AV986" s="25" t="str">
        <f t="shared" si="264"/>
        <v/>
      </c>
      <c r="AW986" s="25" t="str">
        <f t="shared" si="265"/>
        <v/>
      </c>
      <c r="AX986" s="25" t="str">
        <f t="shared" si="266"/>
        <v/>
      </c>
      <c r="AY986" s="25" t="str">
        <f t="shared" si="267"/>
        <v/>
      </c>
      <c r="AZ986" s="25" t="str">
        <f t="shared" si="268"/>
        <v/>
      </c>
      <c r="BA986" s="25" t="str">
        <f t="shared" si="269"/>
        <v/>
      </c>
      <c r="BB986" s="25" t="str">
        <f t="shared" si="270"/>
        <v/>
      </c>
      <c r="BC986" s="25" t="str">
        <f t="shared" si="271"/>
        <v/>
      </c>
    </row>
    <row r="987" spans="1:55" x14ac:dyDescent="0.25">
      <c r="A987" s="19" t="str">
        <f t="shared" si="256"/>
        <v/>
      </c>
      <c r="B987" s="19"/>
      <c r="C987" s="20"/>
      <c r="D987" s="19" t="str">
        <f t="shared" si="255"/>
        <v/>
      </c>
      <c r="E987" s="19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19"/>
      <c r="U987" s="19"/>
      <c r="V987" s="20"/>
      <c r="W987" s="22"/>
      <c r="X987" s="21"/>
      <c r="Y987" s="21"/>
      <c r="Z987" s="23" t="str">
        <f>IF(B987="","",IF(S987&lt;&gt;"","Sevk Edildi",IF(AND(X987&lt;&gt;"",Y987=""),"Reworkte",IF(T987&lt;&gt;"","Kapandı"&amp;IF(COUNT(G987:R987)=0,""," – "&amp;LOOKUP(2,1/(G987:R987=MAX(G987:R987)),{"Tasarım","Ply Cutter","Üretim","Kalite (Üretim sonrası)","Talaşlı","Kalite (Talaşlı sonrası)","Montaj","Kalite (Montaj sonrası)","Boya","Kalite (Boya sonrası)","Yarı Mamül","KM"})),IF(COUNT(G987:R987)=0,"Başlamadı",LOOKUP(2,1/(G987:R987=MAX(G987:R987)),{"Tasarımda","Ply Cutter'da","Üretimde","Kalitede (Üretim sonrası)","Talaşlıda","Kalitede (Talaşlı sonrası)","Montajda","Kalitede (Montaj sonrası)","Boyada","Kalitede (Boya sonrası)","Yarı Mamülde","KM'de"}))))))</f>
        <v/>
      </c>
      <c r="AA987" s="24" t="str">
        <f t="shared" ca="1" si="257"/>
        <v/>
      </c>
      <c r="AB987" s="22"/>
      <c r="AD987" t="str">
        <f>IF(OR($B987="",NOT(ISNUMBER(G987))),"",IF(COUNTIF(H987:$T987,G987)&gt;0,0,IF(COUNTIF($G987:$T987,"&gt;"&amp;G987)=0,"",SMALL($G987:$T987,COUNTIF($G987:$T987,"&lt;="&amp;G987)+1)-G987)))</f>
        <v/>
      </c>
      <c r="AE987" t="str">
        <f>IF(OR($B987="",NOT(ISNUMBER(H987))),"",IF(COUNTIF(I987:$T987,H987)&gt;0,0,IF(COUNTIF($G987:$T987,"&gt;"&amp;H987)=0,"",SMALL($G987:$T987,COUNTIF($G987:$T987,"&lt;="&amp;H987)+1)-H987)))</f>
        <v/>
      </c>
      <c r="AF987" t="str">
        <f>IF(OR($B987="",NOT(ISNUMBER(I987))),"",IF(COUNTIF(J987:$T987,I987)&gt;0,0,IF(COUNTIF($G987:$T987,"&gt;"&amp;I987)=0,"",SMALL($G987:$T987,COUNTIF($G987:$T987,"&lt;="&amp;I987)+1)-I987)))</f>
        <v/>
      </c>
      <c r="AG987" t="str">
        <f>IF(OR($B987="",NOT(ISNUMBER(J987))),"",IF(COUNTIF(K987:$T987,J987)&gt;0,0,IF(COUNTIF($G987:$T987,"&gt;"&amp;J987)=0,"",SMALL($G987:$T987,COUNTIF($G987:$T987,"&lt;="&amp;J987)+1)-J987)))</f>
        <v/>
      </c>
      <c r="AH987" t="str">
        <f>IF(OR($B987="",NOT(ISNUMBER(K987))),"",IF(COUNTIF(L987:$T987,K987)&gt;0,0,IF(COUNTIF($G987:$T987,"&gt;"&amp;K987)=0,"",SMALL($G987:$T987,COUNTIF($G987:$T987,"&lt;="&amp;K987)+1)-K987)))</f>
        <v/>
      </c>
      <c r="AI987" t="str">
        <f>IF(OR($B987="",NOT(ISNUMBER(L987))),"",IF(COUNTIF(M987:$T987,L987)&gt;0,0,IF(COUNTIF($G987:$T987,"&gt;"&amp;L987)=0,"",SMALL($G987:$T987,COUNTIF($G987:$T987,"&lt;="&amp;L987)+1)-L987)))</f>
        <v/>
      </c>
      <c r="AJ987" t="str">
        <f>IF(OR($B987="",NOT(ISNUMBER(M987))),"",IF(COUNTIF(N987:$T987,M987)&gt;0,0,IF(COUNTIF($G987:$T987,"&gt;"&amp;M987)=0,"",SMALL($G987:$T987,COUNTIF($G987:$T987,"&lt;="&amp;M987)+1)-M987)))</f>
        <v/>
      </c>
      <c r="AK987" t="str">
        <f>IF(OR($B987="",NOT(ISNUMBER(N987))),"",IF(COUNTIF(O987:$T987,N987)&gt;0,0,IF(COUNTIF($G987:$T987,"&gt;"&amp;N987)=0,"",SMALL($G987:$T987,COUNTIF($G987:$T987,"&lt;="&amp;N987)+1)-N987)))</f>
        <v/>
      </c>
      <c r="AL987" t="str">
        <f>IF(OR($B987="",NOT(ISNUMBER(O987))),"",IF(COUNTIF(P987:$T987,O987)&gt;0,0,IF(COUNTIF($G987:$T987,"&gt;"&amp;O987)=0,"",SMALL($G987:$T987,COUNTIF($G987:$T987,"&lt;="&amp;O987)+1)-O987)))</f>
        <v/>
      </c>
      <c r="AM987" t="str">
        <f>IF(OR($B987="",NOT(ISNUMBER(P987))),"",IF(COUNTIF(Q987:$T987,P987)&gt;0,0,IF(COUNTIF($G987:$T987,"&gt;"&amp;P987)=0,"",SMALL($G987:$T987,COUNTIF($G987:$T987,"&lt;="&amp;P987)+1)-P987)))</f>
        <v/>
      </c>
      <c r="AN987" t="str">
        <f>IF(OR($B987="",NOT(ISNUMBER(Q987))),"",IF(COUNTIF(R987:$T987,Q987)&gt;0,0,IF(COUNTIF($G987:$T987,"&gt;"&amp;Q987)=0,"",SMALL($G987:$T987,COUNTIF($G987:$T987,"&lt;="&amp;Q987)+1)-Q987)))</f>
        <v/>
      </c>
      <c r="AO987" t="str">
        <f>IF(OR($B987="",NOT(ISNUMBER(R987))),"",IF(COUNTIF(S987:$T987,R987)&gt;0,0,IF(COUNTIF($G987:$T987,"&gt;"&amp;R987)=0,"",SMALL($G987:$T987,COUNTIF($G987:$T987,"&lt;="&amp;R987)+1)-R987)))</f>
        <v/>
      </c>
      <c r="AP987">
        <f t="shared" ca="1" si="258"/>
        <v>0</v>
      </c>
      <c r="AQ987" s="25" t="str">
        <f t="shared" si="259"/>
        <v/>
      </c>
      <c r="AR987" s="25" t="str">
        <f t="shared" si="260"/>
        <v/>
      </c>
      <c r="AS987" s="25" t="str">
        <f t="shared" si="261"/>
        <v/>
      </c>
      <c r="AT987" s="25" t="str">
        <f t="shared" si="262"/>
        <v/>
      </c>
      <c r="AU987" s="25" t="str">
        <f t="shared" si="263"/>
        <v/>
      </c>
      <c r="AV987" s="25" t="str">
        <f t="shared" si="264"/>
        <v/>
      </c>
      <c r="AW987" s="25" t="str">
        <f t="shared" si="265"/>
        <v/>
      </c>
      <c r="AX987" s="25" t="str">
        <f t="shared" si="266"/>
        <v/>
      </c>
      <c r="AY987" s="25" t="str">
        <f t="shared" si="267"/>
        <v/>
      </c>
      <c r="AZ987" s="25" t="str">
        <f t="shared" si="268"/>
        <v/>
      </c>
      <c r="BA987" s="25" t="str">
        <f t="shared" si="269"/>
        <v/>
      </c>
      <c r="BB987" s="25" t="str">
        <f t="shared" si="270"/>
        <v/>
      </c>
      <c r="BC987" s="25" t="str">
        <f t="shared" si="271"/>
        <v/>
      </c>
    </row>
    <row r="988" spans="1:55" x14ac:dyDescent="0.25">
      <c r="A988" s="19" t="str">
        <f t="shared" si="256"/>
        <v/>
      </c>
      <c r="B988" s="19"/>
      <c r="C988" s="20"/>
      <c r="D988" s="19" t="str">
        <f t="shared" si="255"/>
        <v/>
      </c>
      <c r="E988" s="19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19"/>
      <c r="U988" s="19"/>
      <c r="V988" s="20"/>
      <c r="W988" s="22"/>
      <c r="X988" s="21"/>
      <c r="Y988" s="21"/>
      <c r="Z988" s="23" t="str">
        <f>IF(B988="","",IF(S988&lt;&gt;"","Sevk Edildi",IF(AND(X988&lt;&gt;"",Y988=""),"Reworkte",IF(T988&lt;&gt;"","Kapandı"&amp;IF(COUNT(G988:R988)=0,""," – "&amp;LOOKUP(2,1/(G988:R988=MAX(G988:R988)),{"Tasarım","Ply Cutter","Üretim","Kalite (Üretim sonrası)","Talaşlı","Kalite (Talaşlı sonrası)","Montaj","Kalite (Montaj sonrası)","Boya","Kalite (Boya sonrası)","Yarı Mamül","KM"})),IF(COUNT(G988:R988)=0,"Başlamadı",LOOKUP(2,1/(G988:R988=MAX(G988:R988)),{"Tasarımda","Ply Cutter'da","Üretimde","Kalitede (Üretim sonrası)","Talaşlıda","Kalitede (Talaşlı sonrası)","Montajda","Kalitede (Montaj sonrası)","Boyada","Kalitede (Boya sonrası)","Yarı Mamülde","KM'de"}))))))</f>
        <v/>
      </c>
      <c r="AA988" s="24" t="str">
        <f t="shared" ca="1" si="257"/>
        <v/>
      </c>
      <c r="AB988" s="22"/>
      <c r="AD988" t="str">
        <f>IF(OR($B988="",NOT(ISNUMBER(G988))),"",IF(COUNTIF(H988:$T988,G988)&gt;0,0,IF(COUNTIF($G988:$T988,"&gt;"&amp;G988)=0,"",SMALL($G988:$T988,COUNTIF($G988:$T988,"&lt;="&amp;G988)+1)-G988)))</f>
        <v/>
      </c>
      <c r="AE988" t="str">
        <f>IF(OR($B988="",NOT(ISNUMBER(H988))),"",IF(COUNTIF(I988:$T988,H988)&gt;0,0,IF(COUNTIF($G988:$T988,"&gt;"&amp;H988)=0,"",SMALL($G988:$T988,COUNTIF($G988:$T988,"&lt;="&amp;H988)+1)-H988)))</f>
        <v/>
      </c>
      <c r="AF988" t="str">
        <f>IF(OR($B988="",NOT(ISNUMBER(I988))),"",IF(COUNTIF(J988:$T988,I988)&gt;0,0,IF(COUNTIF($G988:$T988,"&gt;"&amp;I988)=0,"",SMALL($G988:$T988,COUNTIF($G988:$T988,"&lt;="&amp;I988)+1)-I988)))</f>
        <v/>
      </c>
      <c r="AG988" t="str">
        <f>IF(OR($B988="",NOT(ISNUMBER(J988))),"",IF(COUNTIF(K988:$T988,J988)&gt;0,0,IF(COUNTIF($G988:$T988,"&gt;"&amp;J988)=0,"",SMALL($G988:$T988,COUNTIF($G988:$T988,"&lt;="&amp;J988)+1)-J988)))</f>
        <v/>
      </c>
      <c r="AH988" t="str">
        <f>IF(OR($B988="",NOT(ISNUMBER(K988))),"",IF(COUNTIF(L988:$T988,K988)&gt;0,0,IF(COUNTIF($G988:$T988,"&gt;"&amp;K988)=0,"",SMALL($G988:$T988,COUNTIF($G988:$T988,"&lt;="&amp;K988)+1)-K988)))</f>
        <v/>
      </c>
      <c r="AI988" t="str">
        <f>IF(OR($B988="",NOT(ISNUMBER(L988))),"",IF(COUNTIF(M988:$T988,L988)&gt;0,0,IF(COUNTIF($G988:$T988,"&gt;"&amp;L988)=0,"",SMALL($G988:$T988,COUNTIF($G988:$T988,"&lt;="&amp;L988)+1)-L988)))</f>
        <v/>
      </c>
      <c r="AJ988" t="str">
        <f>IF(OR($B988="",NOT(ISNUMBER(M988))),"",IF(COUNTIF(N988:$T988,M988)&gt;0,0,IF(COUNTIF($G988:$T988,"&gt;"&amp;M988)=0,"",SMALL($G988:$T988,COUNTIF($G988:$T988,"&lt;="&amp;M988)+1)-M988)))</f>
        <v/>
      </c>
      <c r="AK988" t="str">
        <f>IF(OR($B988="",NOT(ISNUMBER(N988))),"",IF(COUNTIF(O988:$T988,N988)&gt;0,0,IF(COUNTIF($G988:$T988,"&gt;"&amp;N988)=0,"",SMALL($G988:$T988,COUNTIF($G988:$T988,"&lt;="&amp;N988)+1)-N988)))</f>
        <v/>
      </c>
      <c r="AL988" t="str">
        <f>IF(OR($B988="",NOT(ISNUMBER(O988))),"",IF(COUNTIF(P988:$T988,O988)&gt;0,0,IF(COUNTIF($G988:$T988,"&gt;"&amp;O988)=0,"",SMALL($G988:$T988,COUNTIF($G988:$T988,"&lt;="&amp;O988)+1)-O988)))</f>
        <v/>
      </c>
      <c r="AM988" t="str">
        <f>IF(OR($B988="",NOT(ISNUMBER(P988))),"",IF(COUNTIF(Q988:$T988,P988)&gt;0,0,IF(COUNTIF($G988:$T988,"&gt;"&amp;P988)=0,"",SMALL($G988:$T988,COUNTIF($G988:$T988,"&lt;="&amp;P988)+1)-P988)))</f>
        <v/>
      </c>
      <c r="AN988" t="str">
        <f>IF(OR($B988="",NOT(ISNUMBER(Q988))),"",IF(COUNTIF(R988:$T988,Q988)&gt;0,0,IF(COUNTIF($G988:$T988,"&gt;"&amp;Q988)=0,"",SMALL($G988:$T988,COUNTIF($G988:$T988,"&lt;="&amp;Q988)+1)-Q988)))</f>
        <v/>
      </c>
      <c r="AO988" t="str">
        <f>IF(OR($B988="",NOT(ISNUMBER(R988))),"",IF(COUNTIF(S988:$T988,R988)&gt;0,0,IF(COUNTIF($G988:$T988,"&gt;"&amp;R988)=0,"",SMALL($G988:$T988,COUNTIF($G988:$T988,"&lt;="&amp;R988)+1)-R988)))</f>
        <v/>
      </c>
      <c r="AP988">
        <f t="shared" ca="1" si="258"/>
        <v>0</v>
      </c>
      <c r="AQ988" s="25" t="str">
        <f t="shared" si="259"/>
        <v/>
      </c>
      <c r="AR988" s="25" t="str">
        <f t="shared" si="260"/>
        <v/>
      </c>
      <c r="AS988" s="25" t="str">
        <f t="shared" si="261"/>
        <v/>
      </c>
      <c r="AT988" s="25" t="str">
        <f t="shared" si="262"/>
        <v/>
      </c>
      <c r="AU988" s="25" t="str">
        <f t="shared" si="263"/>
        <v/>
      </c>
      <c r="AV988" s="25" t="str">
        <f t="shared" si="264"/>
        <v/>
      </c>
      <c r="AW988" s="25" t="str">
        <f t="shared" si="265"/>
        <v/>
      </c>
      <c r="AX988" s="25" t="str">
        <f t="shared" si="266"/>
        <v/>
      </c>
      <c r="AY988" s="25" t="str">
        <f t="shared" si="267"/>
        <v/>
      </c>
      <c r="AZ988" s="25" t="str">
        <f t="shared" si="268"/>
        <v/>
      </c>
      <c r="BA988" s="25" t="str">
        <f t="shared" si="269"/>
        <v/>
      </c>
      <c r="BB988" s="25" t="str">
        <f t="shared" si="270"/>
        <v/>
      </c>
      <c r="BC988" s="25" t="str">
        <f t="shared" si="271"/>
        <v/>
      </c>
    </row>
    <row r="989" spans="1:55" x14ac:dyDescent="0.25">
      <c r="A989" s="19" t="str">
        <f t="shared" si="256"/>
        <v/>
      </c>
      <c r="B989" s="19"/>
      <c r="C989" s="20"/>
      <c r="D989" s="19" t="str">
        <f t="shared" si="255"/>
        <v/>
      </c>
      <c r="E989" s="19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19"/>
      <c r="U989" s="19"/>
      <c r="V989" s="20"/>
      <c r="W989" s="22"/>
      <c r="X989" s="21"/>
      <c r="Y989" s="21"/>
      <c r="Z989" s="23" t="str">
        <f>IF(B989="","",IF(S989&lt;&gt;"","Sevk Edildi",IF(AND(X989&lt;&gt;"",Y989=""),"Reworkte",IF(T989&lt;&gt;"","Kapandı"&amp;IF(COUNT(G989:R989)=0,""," – "&amp;LOOKUP(2,1/(G989:R989=MAX(G989:R989)),{"Tasarım","Ply Cutter","Üretim","Kalite (Üretim sonrası)","Talaşlı","Kalite (Talaşlı sonrası)","Montaj","Kalite (Montaj sonrası)","Boya","Kalite (Boya sonrası)","Yarı Mamül","KM"})),IF(COUNT(G989:R989)=0,"Başlamadı",LOOKUP(2,1/(G989:R989=MAX(G989:R989)),{"Tasarımda","Ply Cutter'da","Üretimde","Kalitede (Üretim sonrası)","Talaşlıda","Kalitede (Talaşlı sonrası)","Montajda","Kalitede (Montaj sonrası)","Boyada","Kalitede (Boya sonrası)","Yarı Mamülde","KM'de"}))))))</f>
        <v/>
      </c>
      <c r="AA989" s="24" t="str">
        <f t="shared" ca="1" si="257"/>
        <v/>
      </c>
      <c r="AB989" s="22"/>
      <c r="AD989" t="str">
        <f>IF(OR($B989="",NOT(ISNUMBER(G989))),"",IF(COUNTIF(H989:$T989,G989)&gt;0,0,IF(COUNTIF($G989:$T989,"&gt;"&amp;G989)=0,"",SMALL($G989:$T989,COUNTIF($G989:$T989,"&lt;="&amp;G989)+1)-G989)))</f>
        <v/>
      </c>
      <c r="AE989" t="str">
        <f>IF(OR($B989="",NOT(ISNUMBER(H989))),"",IF(COUNTIF(I989:$T989,H989)&gt;0,0,IF(COUNTIF($G989:$T989,"&gt;"&amp;H989)=0,"",SMALL($G989:$T989,COUNTIF($G989:$T989,"&lt;="&amp;H989)+1)-H989)))</f>
        <v/>
      </c>
      <c r="AF989" t="str">
        <f>IF(OR($B989="",NOT(ISNUMBER(I989))),"",IF(COUNTIF(J989:$T989,I989)&gt;0,0,IF(COUNTIF($G989:$T989,"&gt;"&amp;I989)=0,"",SMALL($G989:$T989,COUNTIF($G989:$T989,"&lt;="&amp;I989)+1)-I989)))</f>
        <v/>
      </c>
      <c r="AG989" t="str">
        <f>IF(OR($B989="",NOT(ISNUMBER(J989))),"",IF(COUNTIF(K989:$T989,J989)&gt;0,0,IF(COUNTIF($G989:$T989,"&gt;"&amp;J989)=0,"",SMALL($G989:$T989,COUNTIF($G989:$T989,"&lt;="&amp;J989)+1)-J989)))</f>
        <v/>
      </c>
      <c r="AH989" t="str">
        <f>IF(OR($B989="",NOT(ISNUMBER(K989))),"",IF(COUNTIF(L989:$T989,K989)&gt;0,0,IF(COUNTIF($G989:$T989,"&gt;"&amp;K989)=0,"",SMALL($G989:$T989,COUNTIF($G989:$T989,"&lt;="&amp;K989)+1)-K989)))</f>
        <v/>
      </c>
      <c r="AI989" t="str">
        <f>IF(OR($B989="",NOT(ISNUMBER(L989))),"",IF(COUNTIF(M989:$T989,L989)&gt;0,0,IF(COUNTIF($G989:$T989,"&gt;"&amp;L989)=0,"",SMALL($G989:$T989,COUNTIF($G989:$T989,"&lt;="&amp;L989)+1)-L989)))</f>
        <v/>
      </c>
      <c r="AJ989" t="str">
        <f>IF(OR($B989="",NOT(ISNUMBER(M989))),"",IF(COUNTIF(N989:$T989,M989)&gt;0,0,IF(COUNTIF($G989:$T989,"&gt;"&amp;M989)=0,"",SMALL($G989:$T989,COUNTIF($G989:$T989,"&lt;="&amp;M989)+1)-M989)))</f>
        <v/>
      </c>
      <c r="AK989" t="str">
        <f>IF(OR($B989="",NOT(ISNUMBER(N989))),"",IF(COUNTIF(O989:$T989,N989)&gt;0,0,IF(COUNTIF($G989:$T989,"&gt;"&amp;N989)=0,"",SMALL($G989:$T989,COUNTIF($G989:$T989,"&lt;="&amp;N989)+1)-N989)))</f>
        <v/>
      </c>
      <c r="AL989" t="str">
        <f>IF(OR($B989="",NOT(ISNUMBER(O989))),"",IF(COUNTIF(P989:$T989,O989)&gt;0,0,IF(COUNTIF($G989:$T989,"&gt;"&amp;O989)=0,"",SMALL($G989:$T989,COUNTIF($G989:$T989,"&lt;="&amp;O989)+1)-O989)))</f>
        <v/>
      </c>
      <c r="AM989" t="str">
        <f>IF(OR($B989="",NOT(ISNUMBER(P989))),"",IF(COUNTIF(Q989:$T989,P989)&gt;0,0,IF(COUNTIF($G989:$T989,"&gt;"&amp;P989)=0,"",SMALL($G989:$T989,COUNTIF($G989:$T989,"&lt;="&amp;P989)+1)-P989)))</f>
        <v/>
      </c>
      <c r="AN989" t="str">
        <f>IF(OR($B989="",NOT(ISNUMBER(Q989))),"",IF(COUNTIF(R989:$T989,Q989)&gt;0,0,IF(COUNTIF($G989:$T989,"&gt;"&amp;Q989)=0,"",SMALL($G989:$T989,COUNTIF($G989:$T989,"&lt;="&amp;Q989)+1)-Q989)))</f>
        <v/>
      </c>
      <c r="AO989" t="str">
        <f>IF(OR($B989="",NOT(ISNUMBER(R989))),"",IF(COUNTIF(S989:$T989,R989)&gt;0,0,IF(COUNTIF($G989:$T989,"&gt;"&amp;R989)=0,"",SMALL($G989:$T989,COUNTIF($G989:$T989,"&lt;="&amp;R989)+1)-R989)))</f>
        <v/>
      </c>
      <c r="AP989">
        <f t="shared" ca="1" si="258"/>
        <v>0</v>
      </c>
      <c r="AQ989" s="25" t="str">
        <f t="shared" si="259"/>
        <v/>
      </c>
      <c r="AR989" s="25" t="str">
        <f t="shared" si="260"/>
        <v/>
      </c>
      <c r="AS989" s="25" t="str">
        <f t="shared" si="261"/>
        <v/>
      </c>
      <c r="AT989" s="25" t="str">
        <f t="shared" si="262"/>
        <v/>
      </c>
      <c r="AU989" s="25" t="str">
        <f t="shared" si="263"/>
        <v/>
      </c>
      <c r="AV989" s="25" t="str">
        <f t="shared" si="264"/>
        <v/>
      </c>
      <c r="AW989" s="25" t="str">
        <f t="shared" si="265"/>
        <v/>
      </c>
      <c r="AX989" s="25" t="str">
        <f t="shared" si="266"/>
        <v/>
      </c>
      <c r="AY989" s="25" t="str">
        <f t="shared" si="267"/>
        <v/>
      </c>
      <c r="AZ989" s="25" t="str">
        <f t="shared" si="268"/>
        <v/>
      </c>
      <c r="BA989" s="25" t="str">
        <f t="shared" si="269"/>
        <v/>
      </c>
      <c r="BB989" s="25" t="str">
        <f t="shared" si="270"/>
        <v/>
      </c>
      <c r="BC989" s="25" t="str">
        <f t="shared" si="271"/>
        <v/>
      </c>
    </row>
    <row r="990" spans="1:55" x14ac:dyDescent="0.25">
      <c r="A990" s="19" t="str">
        <f t="shared" si="256"/>
        <v/>
      </c>
      <c r="B990" s="19"/>
      <c r="C990" s="20"/>
      <c r="D990" s="19" t="str">
        <f t="shared" si="255"/>
        <v/>
      </c>
      <c r="E990" s="19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19"/>
      <c r="U990" s="19"/>
      <c r="V990" s="20"/>
      <c r="W990" s="22"/>
      <c r="X990" s="21"/>
      <c r="Y990" s="21"/>
      <c r="Z990" s="23" t="str">
        <f>IF(B990="","",IF(S990&lt;&gt;"","Sevk Edildi",IF(AND(X990&lt;&gt;"",Y990=""),"Reworkte",IF(T990&lt;&gt;"","Kapandı"&amp;IF(COUNT(G990:R990)=0,""," – "&amp;LOOKUP(2,1/(G990:R990=MAX(G990:R990)),{"Tasarım","Ply Cutter","Üretim","Kalite (Üretim sonrası)","Talaşlı","Kalite (Talaşlı sonrası)","Montaj","Kalite (Montaj sonrası)","Boya","Kalite (Boya sonrası)","Yarı Mamül","KM"})),IF(COUNT(G990:R990)=0,"Başlamadı",LOOKUP(2,1/(G990:R990=MAX(G990:R990)),{"Tasarımda","Ply Cutter'da","Üretimde","Kalitede (Üretim sonrası)","Talaşlıda","Kalitede (Talaşlı sonrası)","Montajda","Kalitede (Montaj sonrası)","Boyada","Kalitede (Boya sonrası)","Yarı Mamülde","KM'de"}))))))</f>
        <v/>
      </c>
      <c r="AA990" s="24" t="str">
        <f t="shared" ca="1" si="257"/>
        <v/>
      </c>
      <c r="AB990" s="22"/>
      <c r="AD990" t="str">
        <f>IF(OR($B990="",NOT(ISNUMBER(G990))),"",IF(COUNTIF(H990:$T990,G990)&gt;0,0,IF(COUNTIF($G990:$T990,"&gt;"&amp;G990)=0,"",SMALL($G990:$T990,COUNTIF($G990:$T990,"&lt;="&amp;G990)+1)-G990)))</f>
        <v/>
      </c>
      <c r="AE990" t="str">
        <f>IF(OR($B990="",NOT(ISNUMBER(H990))),"",IF(COUNTIF(I990:$T990,H990)&gt;0,0,IF(COUNTIF($G990:$T990,"&gt;"&amp;H990)=0,"",SMALL($G990:$T990,COUNTIF($G990:$T990,"&lt;="&amp;H990)+1)-H990)))</f>
        <v/>
      </c>
      <c r="AF990" t="str">
        <f>IF(OR($B990="",NOT(ISNUMBER(I990))),"",IF(COUNTIF(J990:$T990,I990)&gt;0,0,IF(COUNTIF($G990:$T990,"&gt;"&amp;I990)=0,"",SMALL($G990:$T990,COUNTIF($G990:$T990,"&lt;="&amp;I990)+1)-I990)))</f>
        <v/>
      </c>
      <c r="AG990" t="str">
        <f>IF(OR($B990="",NOT(ISNUMBER(J990))),"",IF(COUNTIF(K990:$T990,J990)&gt;0,0,IF(COUNTIF($G990:$T990,"&gt;"&amp;J990)=0,"",SMALL($G990:$T990,COUNTIF($G990:$T990,"&lt;="&amp;J990)+1)-J990)))</f>
        <v/>
      </c>
      <c r="AH990" t="str">
        <f>IF(OR($B990="",NOT(ISNUMBER(K990))),"",IF(COUNTIF(L990:$T990,K990)&gt;0,0,IF(COUNTIF($G990:$T990,"&gt;"&amp;K990)=0,"",SMALL($G990:$T990,COUNTIF($G990:$T990,"&lt;="&amp;K990)+1)-K990)))</f>
        <v/>
      </c>
      <c r="AI990" t="str">
        <f>IF(OR($B990="",NOT(ISNUMBER(L990))),"",IF(COUNTIF(M990:$T990,L990)&gt;0,0,IF(COUNTIF($G990:$T990,"&gt;"&amp;L990)=0,"",SMALL($G990:$T990,COUNTIF($G990:$T990,"&lt;="&amp;L990)+1)-L990)))</f>
        <v/>
      </c>
      <c r="AJ990" t="str">
        <f>IF(OR($B990="",NOT(ISNUMBER(M990))),"",IF(COUNTIF(N990:$T990,M990)&gt;0,0,IF(COUNTIF($G990:$T990,"&gt;"&amp;M990)=0,"",SMALL($G990:$T990,COUNTIF($G990:$T990,"&lt;="&amp;M990)+1)-M990)))</f>
        <v/>
      </c>
      <c r="AK990" t="str">
        <f>IF(OR($B990="",NOT(ISNUMBER(N990))),"",IF(COUNTIF(O990:$T990,N990)&gt;0,0,IF(COUNTIF($G990:$T990,"&gt;"&amp;N990)=0,"",SMALL($G990:$T990,COUNTIF($G990:$T990,"&lt;="&amp;N990)+1)-N990)))</f>
        <v/>
      </c>
      <c r="AL990" t="str">
        <f>IF(OR($B990="",NOT(ISNUMBER(O990))),"",IF(COUNTIF(P990:$T990,O990)&gt;0,0,IF(COUNTIF($G990:$T990,"&gt;"&amp;O990)=0,"",SMALL($G990:$T990,COUNTIF($G990:$T990,"&lt;="&amp;O990)+1)-O990)))</f>
        <v/>
      </c>
      <c r="AM990" t="str">
        <f>IF(OR($B990="",NOT(ISNUMBER(P990))),"",IF(COUNTIF(Q990:$T990,P990)&gt;0,0,IF(COUNTIF($G990:$T990,"&gt;"&amp;P990)=0,"",SMALL($G990:$T990,COUNTIF($G990:$T990,"&lt;="&amp;P990)+1)-P990)))</f>
        <v/>
      </c>
      <c r="AN990" t="str">
        <f>IF(OR($B990="",NOT(ISNUMBER(Q990))),"",IF(COUNTIF(R990:$T990,Q990)&gt;0,0,IF(COUNTIF($G990:$T990,"&gt;"&amp;Q990)=0,"",SMALL($G990:$T990,COUNTIF($G990:$T990,"&lt;="&amp;Q990)+1)-Q990)))</f>
        <v/>
      </c>
      <c r="AO990" t="str">
        <f>IF(OR($B990="",NOT(ISNUMBER(R990))),"",IF(COUNTIF(S990:$T990,R990)&gt;0,0,IF(COUNTIF($G990:$T990,"&gt;"&amp;R990)=0,"",SMALL($G990:$T990,COUNTIF($G990:$T990,"&lt;="&amp;R990)+1)-R990)))</f>
        <v/>
      </c>
      <c r="AP990">
        <f t="shared" ca="1" si="258"/>
        <v>0</v>
      </c>
      <c r="AQ990" s="25" t="str">
        <f t="shared" si="259"/>
        <v/>
      </c>
      <c r="AR990" s="25" t="str">
        <f t="shared" si="260"/>
        <v/>
      </c>
      <c r="AS990" s="25" t="str">
        <f t="shared" si="261"/>
        <v/>
      </c>
      <c r="AT990" s="25" t="str">
        <f t="shared" si="262"/>
        <v/>
      </c>
      <c r="AU990" s="25" t="str">
        <f t="shared" si="263"/>
        <v/>
      </c>
      <c r="AV990" s="25" t="str">
        <f t="shared" si="264"/>
        <v/>
      </c>
      <c r="AW990" s="25" t="str">
        <f t="shared" si="265"/>
        <v/>
      </c>
      <c r="AX990" s="25" t="str">
        <f t="shared" si="266"/>
        <v/>
      </c>
      <c r="AY990" s="25" t="str">
        <f t="shared" si="267"/>
        <v/>
      </c>
      <c r="AZ990" s="25" t="str">
        <f t="shared" si="268"/>
        <v/>
      </c>
      <c r="BA990" s="25" t="str">
        <f t="shared" si="269"/>
        <v/>
      </c>
      <c r="BB990" s="25" t="str">
        <f t="shared" si="270"/>
        <v/>
      </c>
      <c r="BC990" s="25" t="str">
        <f t="shared" si="271"/>
        <v/>
      </c>
    </row>
    <row r="991" spans="1:55" x14ac:dyDescent="0.25">
      <c r="A991" s="19" t="str">
        <f t="shared" si="256"/>
        <v/>
      </c>
      <c r="B991" s="19"/>
      <c r="C991" s="20"/>
      <c r="D991" s="19" t="str">
        <f t="shared" si="255"/>
        <v/>
      </c>
      <c r="E991" s="19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19"/>
      <c r="U991" s="19"/>
      <c r="V991" s="20"/>
      <c r="W991" s="22"/>
      <c r="X991" s="21"/>
      <c r="Y991" s="21"/>
      <c r="Z991" s="23" t="str">
        <f>IF(B991="","",IF(S991&lt;&gt;"","Sevk Edildi",IF(AND(X991&lt;&gt;"",Y991=""),"Reworkte",IF(T991&lt;&gt;"","Kapandı"&amp;IF(COUNT(G991:R991)=0,""," – "&amp;LOOKUP(2,1/(G991:R991=MAX(G991:R991)),{"Tasarım","Ply Cutter","Üretim","Kalite (Üretim sonrası)","Talaşlı","Kalite (Talaşlı sonrası)","Montaj","Kalite (Montaj sonrası)","Boya","Kalite (Boya sonrası)","Yarı Mamül","KM"})),IF(COUNT(G991:R991)=0,"Başlamadı",LOOKUP(2,1/(G991:R991=MAX(G991:R991)),{"Tasarımda","Ply Cutter'da","Üretimde","Kalitede (Üretim sonrası)","Talaşlıda","Kalitede (Talaşlı sonrası)","Montajda","Kalitede (Montaj sonrası)","Boyada","Kalitede (Boya sonrası)","Yarı Mamülde","KM'de"}))))))</f>
        <v/>
      </c>
      <c r="AA991" s="24" t="str">
        <f t="shared" ca="1" si="257"/>
        <v/>
      </c>
      <c r="AB991" s="22"/>
      <c r="AD991" t="str">
        <f>IF(OR($B991="",NOT(ISNUMBER(G991))),"",IF(COUNTIF(H991:$T991,G991)&gt;0,0,IF(COUNTIF($G991:$T991,"&gt;"&amp;G991)=0,"",SMALL($G991:$T991,COUNTIF($G991:$T991,"&lt;="&amp;G991)+1)-G991)))</f>
        <v/>
      </c>
      <c r="AE991" t="str">
        <f>IF(OR($B991="",NOT(ISNUMBER(H991))),"",IF(COUNTIF(I991:$T991,H991)&gt;0,0,IF(COUNTIF($G991:$T991,"&gt;"&amp;H991)=0,"",SMALL($G991:$T991,COUNTIF($G991:$T991,"&lt;="&amp;H991)+1)-H991)))</f>
        <v/>
      </c>
      <c r="AF991" t="str">
        <f>IF(OR($B991="",NOT(ISNUMBER(I991))),"",IF(COUNTIF(J991:$T991,I991)&gt;0,0,IF(COUNTIF($G991:$T991,"&gt;"&amp;I991)=0,"",SMALL($G991:$T991,COUNTIF($G991:$T991,"&lt;="&amp;I991)+1)-I991)))</f>
        <v/>
      </c>
      <c r="AG991" t="str">
        <f>IF(OR($B991="",NOT(ISNUMBER(J991))),"",IF(COUNTIF(K991:$T991,J991)&gt;0,0,IF(COUNTIF($G991:$T991,"&gt;"&amp;J991)=0,"",SMALL($G991:$T991,COUNTIF($G991:$T991,"&lt;="&amp;J991)+1)-J991)))</f>
        <v/>
      </c>
      <c r="AH991" t="str">
        <f>IF(OR($B991="",NOT(ISNUMBER(K991))),"",IF(COUNTIF(L991:$T991,K991)&gt;0,0,IF(COUNTIF($G991:$T991,"&gt;"&amp;K991)=0,"",SMALL($G991:$T991,COUNTIF($G991:$T991,"&lt;="&amp;K991)+1)-K991)))</f>
        <v/>
      </c>
      <c r="AI991" t="str">
        <f>IF(OR($B991="",NOT(ISNUMBER(L991))),"",IF(COUNTIF(M991:$T991,L991)&gt;0,0,IF(COUNTIF($G991:$T991,"&gt;"&amp;L991)=0,"",SMALL($G991:$T991,COUNTIF($G991:$T991,"&lt;="&amp;L991)+1)-L991)))</f>
        <v/>
      </c>
      <c r="AJ991" t="str">
        <f>IF(OR($B991="",NOT(ISNUMBER(M991))),"",IF(COUNTIF(N991:$T991,M991)&gt;0,0,IF(COUNTIF($G991:$T991,"&gt;"&amp;M991)=0,"",SMALL($G991:$T991,COUNTIF($G991:$T991,"&lt;="&amp;M991)+1)-M991)))</f>
        <v/>
      </c>
      <c r="AK991" t="str">
        <f>IF(OR($B991="",NOT(ISNUMBER(N991))),"",IF(COUNTIF(O991:$T991,N991)&gt;0,0,IF(COUNTIF($G991:$T991,"&gt;"&amp;N991)=0,"",SMALL($G991:$T991,COUNTIF($G991:$T991,"&lt;="&amp;N991)+1)-N991)))</f>
        <v/>
      </c>
      <c r="AL991" t="str">
        <f>IF(OR($B991="",NOT(ISNUMBER(O991))),"",IF(COUNTIF(P991:$T991,O991)&gt;0,0,IF(COUNTIF($G991:$T991,"&gt;"&amp;O991)=0,"",SMALL($G991:$T991,COUNTIF($G991:$T991,"&lt;="&amp;O991)+1)-O991)))</f>
        <v/>
      </c>
      <c r="AM991" t="str">
        <f>IF(OR($B991="",NOT(ISNUMBER(P991))),"",IF(COUNTIF(Q991:$T991,P991)&gt;0,0,IF(COUNTIF($G991:$T991,"&gt;"&amp;P991)=0,"",SMALL($G991:$T991,COUNTIF($G991:$T991,"&lt;="&amp;P991)+1)-P991)))</f>
        <v/>
      </c>
      <c r="AN991" t="str">
        <f>IF(OR($B991="",NOT(ISNUMBER(Q991))),"",IF(COUNTIF(R991:$T991,Q991)&gt;0,0,IF(COUNTIF($G991:$T991,"&gt;"&amp;Q991)=0,"",SMALL($G991:$T991,COUNTIF($G991:$T991,"&lt;="&amp;Q991)+1)-Q991)))</f>
        <v/>
      </c>
      <c r="AO991" t="str">
        <f>IF(OR($B991="",NOT(ISNUMBER(R991))),"",IF(COUNTIF(S991:$T991,R991)&gt;0,0,IF(COUNTIF($G991:$T991,"&gt;"&amp;R991)=0,"",SMALL($G991:$T991,COUNTIF($G991:$T991,"&lt;="&amp;R991)+1)-R991)))</f>
        <v/>
      </c>
      <c r="AP991">
        <f t="shared" ca="1" si="258"/>
        <v>0</v>
      </c>
      <c r="AQ991" s="25" t="str">
        <f t="shared" si="259"/>
        <v/>
      </c>
      <c r="AR991" s="25" t="str">
        <f t="shared" si="260"/>
        <v/>
      </c>
      <c r="AS991" s="25" t="str">
        <f t="shared" si="261"/>
        <v/>
      </c>
      <c r="AT991" s="25" t="str">
        <f t="shared" si="262"/>
        <v/>
      </c>
      <c r="AU991" s="25" t="str">
        <f t="shared" si="263"/>
        <v/>
      </c>
      <c r="AV991" s="25" t="str">
        <f t="shared" si="264"/>
        <v/>
      </c>
      <c r="AW991" s="25" t="str">
        <f t="shared" si="265"/>
        <v/>
      </c>
      <c r="AX991" s="25" t="str">
        <f t="shared" si="266"/>
        <v/>
      </c>
      <c r="AY991" s="25" t="str">
        <f t="shared" si="267"/>
        <v/>
      </c>
      <c r="AZ991" s="25" t="str">
        <f t="shared" si="268"/>
        <v/>
      </c>
      <c r="BA991" s="25" t="str">
        <f t="shared" si="269"/>
        <v/>
      </c>
      <c r="BB991" s="25" t="str">
        <f t="shared" si="270"/>
        <v/>
      </c>
      <c r="BC991" s="25" t="str">
        <f t="shared" si="271"/>
        <v/>
      </c>
    </row>
    <row r="992" spans="1:55" x14ac:dyDescent="0.25">
      <c r="A992" s="19" t="str">
        <f t="shared" si="256"/>
        <v/>
      </c>
      <c r="B992" s="19"/>
      <c r="C992" s="20"/>
      <c r="D992" s="19" t="str">
        <f t="shared" si="255"/>
        <v/>
      </c>
      <c r="E992" s="19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19"/>
      <c r="U992" s="19"/>
      <c r="V992" s="20"/>
      <c r="W992" s="22"/>
      <c r="X992" s="21"/>
      <c r="Y992" s="21"/>
      <c r="Z992" s="23" t="str">
        <f>IF(B992="","",IF(S992&lt;&gt;"","Sevk Edildi",IF(AND(X992&lt;&gt;"",Y992=""),"Reworkte",IF(T992&lt;&gt;"","Kapandı"&amp;IF(COUNT(G992:R992)=0,""," – "&amp;LOOKUP(2,1/(G992:R992=MAX(G992:R992)),{"Tasarım","Ply Cutter","Üretim","Kalite (Üretim sonrası)","Talaşlı","Kalite (Talaşlı sonrası)","Montaj","Kalite (Montaj sonrası)","Boya","Kalite (Boya sonrası)","Yarı Mamül","KM"})),IF(COUNT(G992:R992)=0,"Başlamadı",LOOKUP(2,1/(G992:R992=MAX(G992:R992)),{"Tasarımda","Ply Cutter'da","Üretimde","Kalitede (Üretim sonrası)","Talaşlıda","Kalitede (Talaşlı sonrası)","Montajda","Kalitede (Montaj sonrası)","Boyada","Kalitede (Boya sonrası)","Yarı Mamülde","KM'de"}))))))</f>
        <v/>
      </c>
      <c r="AA992" s="24" t="str">
        <f t="shared" ca="1" si="257"/>
        <v/>
      </c>
      <c r="AB992" s="22"/>
      <c r="AD992" t="str">
        <f>IF(OR($B992="",NOT(ISNUMBER(G992))),"",IF(COUNTIF(H992:$T992,G992)&gt;0,0,IF(COUNTIF($G992:$T992,"&gt;"&amp;G992)=0,"",SMALL($G992:$T992,COUNTIF($G992:$T992,"&lt;="&amp;G992)+1)-G992)))</f>
        <v/>
      </c>
      <c r="AE992" t="str">
        <f>IF(OR($B992="",NOT(ISNUMBER(H992))),"",IF(COUNTIF(I992:$T992,H992)&gt;0,0,IF(COUNTIF($G992:$T992,"&gt;"&amp;H992)=0,"",SMALL($G992:$T992,COUNTIF($G992:$T992,"&lt;="&amp;H992)+1)-H992)))</f>
        <v/>
      </c>
      <c r="AF992" t="str">
        <f>IF(OR($B992="",NOT(ISNUMBER(I992))),"",IF(COUNTIF(J992:$T992,I992)&gt;0,0,IF(COUNTIF($G992:$T992,"&gt;"&amp;I992)=0,"",SMALL($G992:$T992,COUNTIF($G992:$T992,"&lt;="&amp;I992)+1)-I992)))</f>
        <v/>
      </c>
      <c r="AG992" t="str">
        <f>IF(OR($B992="",NOT(ISNUMBER(J992))),"",IF(COUNTIF(K992:$T992,J992)&gt;0,0,IF(COUNTIF($G992:$T992,"&gt;"&amp;J992)=0,"",SMALL($G992:$T992,COUNTIF($G992:$T992,"&lt;="&amp;J992)+1)-J992)))</f>
        <v/>
      </c>
      <c r="AH992" t="str">
        <f>IF(OR($B992="",NOT(ISNUMBER(K992))),"",IF(COUNTIF(L992:$T992,K992)&gt;0,0,IF(COUNTIF($G992:$T992,"&gt;"&amp;K992)=0,"",SMALL($G992:$T992,COUNTIF($G992:$T992,"&lt;="&amp;K992)+1)-K992)))</f>
        <v/>
      </c>
      <c r="AI992" t="str">
        <f>IF(OR($B992="",NOT(ISNUMBER(L992))),"",IF(COUNTIF(M992:$T992,L992)&gt;0,0,IF(COUNTIF($G992:$T992,"&gt;"&amp;L992)=0,"",SMALL($G992:$T992,COUNTIF($G992:$T992,"&lt;="&amp;L992)+1)-L992)))</f>
        <v/>
      </c>
      <c r="AJ992" t="str">
        <f>IF(OR($B992="",NOT(ISNUMBER(M992))),"",IF(COUNTIF(N992:$T992,M992)&gt;0,0,IF(COUNTIF($G992:$T992,"&gt;"&amp;M992)=0,"",SMALL($G992:$T992,COUNTIF($G992:$T992,"&lt;="&amp;M992)+1)-M992)))</f>
        <v/>
      </c>
      <c r="AK992" t="str">
        <f>IF(OR($B992="",NOT(ISNUMBER(N992))),"",IF(COUNTIF(O992:$T992,N992)&gt;0,0,IF(COUNTIF($G992:$T992,"&gt;"&amp;N992)=0,"",SMALL($G992:$T992,COUNTIF($G992:$T992,"&lt;="&amp;N992)+1)-N992)))</f>
        <v/>
      </c>
      <c r="AL992" t="str">
        <f>IF(OR($B992="",NOT(ISNUMBER(O992))),"",IF(COUNTIF(P992:$T992,O992)&gt;0,0,IF(COUNTIF($G992:$T992,"&gt;"&amp;O992)=0,"",SMALL($G992:$T992,COUNTIF($G992:$T992,"&lt;="&amp;O992)+1)-O992)))</f>
        <v/>
      </c>
      <c r="AM992" t="str">
        <f>IF(OR($B992="",NOT(ISNUMBER(P992))),"",IF(COUNTIF(Q992:$T992,P992)&gt;0,0,IF(COUNTIF($G992:$T992,"&gt;"&amp;P992)=0,"",SMALL($G992:$T992,COUNTIF($G992:$T992,"&lt;="&amp;P992)+1)-P992)))</f>
        <v/>
      </c>
      <c r="AN992" t="str">
        <f>IF(OR($B992="",NOT(ISNUMBER(Q992))),"",IF(COUNTIF(R992:$T992,Q992)&gt;0,0,IF(COUNTIF($G992:$T992,"&gt;"&amp;Q992)=0,"",SMALL($G992:$T992,COUNTIF($G992:$T992,"&lt;="&amp;Q992)+1)-Q992)))</f>
        <v/>
      </c>
      <c r="AO992" t="str">
        <f>IF(OR($B992="",NOT(ISNUMBER(R992))),"",IF(COUNTIF(S992:$T992,R992)&gt;0,0,IF(COUNTIF($G992:$T992,"&gt;"&amp;R992)=0,"",SMALL($G992:$T992,COUNTIF($G992:$T992,"&lt;="&amp;R992)+1)-R992)))</f>
        <v/>
      </c>
      <c r="AP992">
        <f t="shared" ca="1" si="258"/>
        <v>0</v>
      </c>
      <c r="AQ992" s="25" t="str">
        <f t="shared" si="259"/>
        <v/>
      </c>
      <c r="AR992" s="25" t="str">
        <f t="shared" si="260"/>
        <v/>
      </c>
      <c r="AS992" s="25" t="str">
        <f t="shared" si="261"/>
        <v/>
      </c>
      <c r="AT992" s="25" t="str">
        <f t="shared" si="262"/>
        <v/>
      </c>
      <c r="AU992" s="25" t="str">
        <f t="shared" si="263"/>
        <v/>
      </c>
      <c r="AV992" s="25" t="str">
        <f t="shared" si="264"/>
        <v/>
      </c>
      <c r="AW992" s="25" t="str">
        <f t="shared" si="265"/>
        <v/>
      </c>
      <c r="AX992" s="25" t="str">
        <f t="shared" si="266"/>
        <v/>
      </c>
      <c r="AY992" s="25" t="str">
        <f t="shared" si="267"/>
        <v/>
      </c>
      <c r="AZ992" s="25" t="str">
        <f t="shared" si="268"/>
        <v/>
      </c>
      <c r="BA992" s="25" t="str">
        <f t="shared" si="269"/>
        <v/>
      </c>
      <c r="BB992" s="25" t="str">
        <f t="shared" si="270"/>
        <v/>
      </c>
      <c r="BC992" s="25" t="str">
        <f t="shared" si="271"/>
        <v/>
      </c>
    </row>
    <row r="993" spans="1:55" x14ac:dyDescent="0.25">
      <c r="A993" s="19" t="str">
        <f t="shared" si="256"/>
        <v/>
      </c>
      <c r="B993" s="19"/>
      <c r="C993" s="20"/>
      <c r="D993" s="19" t="str">
        <f t="shared" si="255"/>
        <v/>
      </c>
      <c r="E993" s="19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19"/>
      <c r="U993" s="19"/>
      <c r="V993" s="20"/>
      <c r="W993" s="22"/>
      <c r="X993" s="21"/>
      <c r="Y993" s="21"/>
      <c r="Z993" s="23" t="str">
        <f>IF(B993="","",IF(S993&lt;&gt;"","Sevk Edildi",IF(AND(X993&lt;&gt;"",Y993=""),"Reworkte",IF(T993&lt;&gt;"","Kapandı"&amp;IF(COUNT(G993:R993)=0,""," – "&amp;LOOKUP(2,1/(G993:R993=MAX(G993:R993)),{"Tasarım","Ply Cutter","Üretim","Kalite (Üretim sonrası)","Talaşlı","Kalite (Talaşlı sonrası)","Montaj","Kalite (Montaj sonrası)","Boya","Kalite (Boya sonrası)","Yarı Mamül","KM"})),IF(COUNT(G993:R993)=0,"Başlamadı",LOOKUP(2,1/(G993:R993=MAX(G993:R993)),{"Tasarımda","Ply Cutter'da","Üretimde","Kalitede (Üretim sonrası)","Talaşlıda","Kalitede (Talaşlı sonrası)","Montajda","Kalitede (Montaj sonrası)","Boyada","Kalitede (Boya sonrası)","Yarı Mamülde","KM'de"}))))))</f>
        <v/>
      </c>
      <c r="AA993" s="24" t="str">
        <f t="shared" ca="1" si="257"/>
        <v/>
      </c>
      <c r="AB993" s="22"/>
      <c r="AD993" t="str">
        <f>IF(OR($B993="",NOT(ISNUMBER(G993))),"",IF(COUNTIF(H993:$T993,G993)&gt;0,0,IF(COUNTIF($G993:$T993,"&gt;"&amp;G993)=0,"",SMALL($G993:$T993,COUNTIF($G993:$T993,"&lt;="&amp;G993)+1)-G993)))</f>
        <v/>
      </c>
      <c r="AE993" t="str">
        <f>IF(OR($B993="",NOT(ISNUMBER(H993))),"",IF(COUNTIF(I993:$T993,H993)&gt;0,0,IF(COUNTIF($G993:$T993,"&gt;"&amp;H993)=0,"",SMALL($G993:$T993,COUNTIF($G993:$T993,"&lt;="&amp;H993)+1)-H993)))</f>
        <v/>
      </c>
      <c r="AF993" t="str">
        <f>IF(OR($B993="",NOT(ISNUMBER(I993))),"",IF(COUNTIF(J993:$T993,I993)&gt;0,0,IF(COUNTIF($G993:$T993,"&gt;"&amp;I993)=0,"",SMALL($G993:$T993,COUNTIF($G993:$T993,"&lt;="&amp;I993)+1)-I993)))</f>
        <v/>
      </c>
      <c r="AG993" t="str">
        <f>IF(OR($B993="",NOT(ISNUMBER(J993))),"",IF(COUNTIF(K993:$T993,J993)&gt;0,0,IF(COUNTIF($G993:$T993,"&gt;"&amp;J993)=0,"",SMALL($G993:$T993,COUNTIF($G993:$T993,"&lt;="&amp;J993)+1)-J993)))</f>
        <v/>
      </c>
      <c r="AH993" t="str">
        <f>IF(OR($B993="",NOT(ISNUMBER(K993))),"",IF(COUNTIF(L993:$T993,K993)&gt;0,0,IF(COUNTIF($G993:$T993,"&gt;"&amp;K993)=0,"",SMALL($G993:$T993,COUNTIF($G993:$T993,"&lt;="&amp;K993)+1)-K993)))</f>
        <v/>
      </c>
      <c r="AI993" t="str">
        <f>IF(OR($B993="",NOT(ISNUMBER(L993))),"",IF(COUNTIF(M993:$T993,L993)&gt;0,0,IF(COUNTIF($G993:$T993,"&gt;"&amp;L993)=0,"",SMALL($G993:$T993,COUNTIF($G993:$T993,"&lt;="&amp;L993)+1)-L993)))</f>
        <v/>
      </c>
      <c r="AJ993" t="str">
        <f>IF(OR($B993="",NOT(ISNUMBER(M993))),"",IF(COUNTIF(N993:$T993,M993)&gt;0,0,IF(COUNTIF($G993:$T993,"&gt;"&amp;M993)=0,"",SMALL($G993:$T993,COUNTIF($G993:$T993,"&lt;="&amp;M993)+1)-M993)))</f>
        <v/>
      </c>
      <c r="AK993" t="str">
        <f>IF(OR($B993="",NOT(ISNUMBER(N993))),"",IF(COUNTIF(O993:$T993,N993)&gt;0,0,IF(COUNTIF($G993:$T993,"&gt;"&amp;N993)=0,"",SMALL($G993:$T993,COUNTIF($G993:$T993,"&lt;="&amp;N993)+1)-N993)))</f>
        <v/>
      </c>
      <c r="AL993" t="str">
        <f>IF(OR($B993="",NOT(ISNUMBER(O993))),"",IF(COUNTIF(P993:$T993,O993)&gt;0,0,IF(COUNTIF($G993:$T993,"&gt;"&amp;O993)=0,"",SMALL($G993:$T993,COUNTIF($G993:$T993,"&lt;="&amp;O993)+1)-O993)))</f>
        <v/>
      </c>
      <c r="AM993" t="str">
        <f>IF(OR($B993="",NOT(ISNUMBER(P993))),"",IF(COUNTIF(Q993:$T993,P993)&gt;0,0,IF(COUNTIF($G993:$T993,"&gt;"&amp;P993)=0,"",SMALL($G993:$T993,COUNTIF($G993:$T993,"&lt;="&amp;P993)+1)-P993)))</f>
        <v/>
      </c>
      <c r="AN993" t="str">
        <f>IF(OR($B993="",NOT(ISNUMBER(Q993))),"",IF(COUNTIF(R993:$T993,Q993)&gt;0,0,IF(COUNTIF($G993:$T993,"&gt;"&amp;Q993)=0,"",SMALL($G993:$T993,COUNTIF($G993:$T993,"&lt;="&amp;Q993)+1)-Q993)))</f>
        <v/>
      </c>
      <c r="AO993" t="str">
        <f>IF(OR($B993="",NOT(ISNUMBER(R993))),"",IF(COUNTIF(S993:$T993,R993)&gt;0,0,IF(COUNTIF($G993:$T993,"&gt;"&amp;R993)=0,"",SMALL($G993:$T993,COUNTIF($G993:$T993,"&lt;="&amp;R993)+1)-R993)))</f>
        <v/>
      </c>
      <c r="AP993">
        <f t="shared" ca="1" si="258"/>
        <v>0</v>
      </c>
      <c r="AQ993" s="25" t="str">
        <f t="shared" si="259"/>
        <v/>
      </c>
      <c r="AR993" s="25" t="str">
        <f t="shared" si="260"/>
        <v/>
      </c>
      <c r="AS993" s="25" t="str">
        <f t="shared" si="261"/>
        <v/>
      </c>
      <c r="AT993" s="25" t="str">
        <f t="shared" si="262"/>
        <v/>
      </c>
      <c r="AU993" s="25" t="str">
        <f t="shared" si="263"/>
        <v/>
      </c>
      <c r="AV993" s="25" t="str">
        <f t="shared" si="264"/>
        <v/>
      </c>
      <c r="AW993" s="25" t="str">
        <f t="shared" si="265"/>
        <v/>
      </c>
      <c r="AX993" s="25" t="str">
        <f t="shared" si="266"/>
        <v/>
      </c>
      <c r="AY993" s="25" t="str">
        <f t="shared" si="267"/>
        <v/>
      </c>
      <c r="AZ993" s="25" t="str">
        <f t="shared" si="268"/>
        <v/>
      </c>
      <c r="BA993" s="25" t="str">
        <f t="shared" si="269"/>
        <v/>
      </c>
      <c r="BB993" s="25" t="str">
        <f t="shared" si="270"/>
        <v/>
      </c>
      <c r="BC993" s="25" t="str">
        <f t="shared" si="271"/>
        <v/>
      </c>
    </row>
    <row r="994" spans="1:55" x14ac:dyDescent="0.25">
      <c r="A994" s="19" t="str">
        <f t="shared" si="256"/>
        <v/>
      </c>
      <c r="B994" s="19"/>
      <c r="C994" s="20"/>
      <c r="D994" s="19" t="str">
        <f t="shared" si="255"/>
        <v/>
      </c>
      <c r="E994" s="19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19"/>
      <c r="U994" s="19"/>
      <c r="V994" s="20"/>
      <c r="W994" s="22"/>
      <c r="X994" s="21"/>
      <c r="Y994" s="21"/>
      <c r="Z994" s="23" t="str">
        <f>IF(B994="","",IF(S994&lt;&gt;"","Sevk Edildi",IF(AND(X994&lt;&gt;"",Y994=""),"Reworkte",IF(T994&lt;&gt;"","Kapandı"&amp;IF(COUNT(G994:R994)=0,""," – "&amp;LOOKUP(2,1/(G994:R994=MAX(G994:R994)),{"Tasarım","Ply Cutter","Üretim","Kalite (Üretim sonrası)","Talaşlı","Kalite (Talaşlı sonrası)","Montaj","Kalite (Montaj sonrası)","Boya","Kalite (Boya sonrası)","Yarı Mamül","KM"})),IF(COUNT(G994:R994)=0,"Başlamadı",LOOKUP(2,1/(G994:R994=MAX(G994:R994)),{"Tasarımda","Ply Cutter'da","Üretimde","Kalitede (Üretim sonrası)","Talaşlıda","Kalitede (Talaşlı sonrası)","Montajda","Kalitede (Montaj sonrası)","Boyada","Kalitede (Boya sonrası)","Yarı Mamülde","KM'de"}))))))</f>
        <v/>
      </c>
      <c r="AA994" s="24" t="str">
        <f t="shared" ca="1" si="257"/>
        <v/>
      </c>
      <c r="AB994" s="22"/>
      <c r="AD994" t="str">
        <f>IF(OR($B994="",NOT(ISNUMBER(G994))),"",IF(COUNTIF(H994:$T994,G994)&gt;0,0,IF(COUNTIF($G994:$T994,"&gt;"&amp;G994)=0,"",SMALL($G994:$T994,COUNTIF($G994:$T994,"&lt;="&amp;G994)+1)-G994)))</f>
        <v/>
      </c>
      <c r="AE994" t="str">
        <f>IF(OR($B994="",NOT(ISNUMBER(H994))),"",IF(COUNTIF(I994:$T994,H994)&gt;0,0,IF(COUNTIF($G994:$T994,"&gt;"&amp;H994)=0,"",SMALL($G994:$T994,COUNTIF($G994:$T994,"&lt;="&amp;H994)+1)-H994)))</f>
        <v/>
      </c>
      <c r="AF994" t="str">
        <f>IF(OR($B994="",NOT(ISNUMBER(I994))),"",IF(COUNTIF(J994:$T994,I994)&gt;0,0,IF(COUNTIF($G994:$T994,"&gt;"&amp;I994)=0,"",SMALL($G994:$T994,COUNTIF($G994:$T994,"&lt;="&amp;I994)+1)-I994)))</f>
        <v/>
      </c>
      <c r="AG994" t="str">
        <f>IF(OR($B994="",NOT(ISNUMBER(J994))),"",IF(COUNTIF(K994:$T994,J994)&gt;0,0,IF(COUNTIF($G994:$T994,"&gt;"&amp;J994)=0,"",SMALL($G994:$T994,COUNTIF($G994:$T994,"&lt;="&amp;J994)+1)-J994)))</f>
        <v/>
      </c>
      <c r="AH994" t="str">
        <f>IF(OR($B994="",NOT(ISNUMBER(K994))),"",IF(COUNTIF(L994:$T994,K994)&gt;0,0,IF(COUNTIF($G994:$T994,"&gt;"&amp;K994)=0,"",SMALL($G994:$T994,COUNTIF($G994:$T994,"&lt;="&amp;K994)+1)-K994)))</f>
        <v/>
      </c>
      <c r="AI994" t="str">
        <f>IF(OR($B994="",NOT(ISNUMBER(L994))),"",IF(COUNTIF(M994:$T994,L994)&gt;0,0,IF(COUNTIF($G994:$T994,"&gt;"&amp;L994)=0,"",SMALL($G994:$T994,COUNTIF($G994:$T994,"&lt;="&amp;L994)+1)-L994)))</f>
        <v/>
      </c>
      <c r="AJ994" t="str">
        <f>IF(OR($B994="",NOT(ISNUMBER(M994))),"",IF(COUNTIF(N994:$T994,M994)&gt;0,0,IF(COUNTIF($G994:$T994,"&gt;"&amp;M994)=0,"",SMALL($G994:$T994,COUNTIF($G994:$T994,"&lt;="&amp;M994)+1)-M994)))</f>
        <v/>
      </c>
      <c r="AK994" t="str">
        <f>IF(OR($B994="",NOT(ISNUMBER(N994))),"",IF(COUNTIF(O994:$T994,N994)&gt;0,0,IF(COUNTIF($G994:$T994,"&gt;"&amp;N994)=0,"",SMALL($G994:$T994,COUNTIF($G994:$T994,"&lt;="&amp;N994)+1)-N994)))</f>
        <v/>
      </c>
      <c r="AL994" t="str">
        <f>IF(OR($B994="",NOT(ISNUMBER(O994))),"",IF(COUNTIF(P994:$T994,O994)&gt;0,0,IF(COUNTIF($G994:$T994,"&gt;"&amp;O994)=0,"",SMALL($G994:$T994,COUNTIF($G994:$T994,"&lt;="&amp;O994)+1)-O994)))</f>
        <v/>
      </c>
      <c r="AM994" t="str">
        <f>IF(OR($B994="",NOT(ISNUMBER(P994))),"",IF(COUNTIF(Q994:$T994,P994)&gt;0,0,IF(COUNTIF($G994:$T994,"&gt;"&amp;P994)=0,"",SMALL($G994:$T994,COUNTIF($G994:$T994,"&lt;="&amp;P994)+1)-P994)))</f>
        <v/>
      </c>
      <c r="AN994" t="str">
        <f>IF(OR($B994="",NOT(ISNUMBER(Q994))),"",IF(COUNTIF(R994:$T994,Q994)&gt;0,0,IF(COUNTIF($G994:$T994,"&gt;"&amp;Q994)=0,"",SMALL($G994:$T994,COUNTIF($G994:$T994,"&lt;="&amp;Q994)+1)-Q994)))</f>
        <v/>
      </c>
      <c r="AO994" t="str">
        <f>IF(OR($B994="",NOT(ISNUMBER(R994))),"",IF(COUNTIF(S994:$T994,R994)&gt;0,0,IF(COUNTIF($G994:$T994,"&gt;"&amp;R994)=0,"",SMALL($G994:$T994,COUNTIF($G994:$T994,"&lt;="&amp;R994)+1)-R994)))</f>
        <v/>
      </c>
      <c r="AP994">
        <f t="shared" ca="1" si="258"/>
        <v>0</v>
      </c>
      <c r="AQ994" s="25" t="str">
        <f t="shared" si="259"/>
        <v/>
      </c>
      <c r="AR994" s="25" t="str">
        <f t="shared" si="260"/>
        <v/>
      </c>
      <c r="AS994" s="25" t="str">
        <f t="shared" si="261"/>
        <v/>
      </c>
      <c r="AT994" s="25" t="str">
        <f t="shared" si="262"/>
        <v/>
      </c>
      <c r="AU994" s="25" t="str">
        <f t="shared" si="263"/>
        <v/>
      </c>
      <c r="AV994" s="25" t="str">
        <f t="shared" si="264"/>
        <v/>
      </c>
      <c r="AW994" s="25" t="str">
        <f t="shared" si="265"/>
        <v/>
      </c>
      <c r="AX994" s="25" t="str">
        <f t="shared" si="266"/>
        <v/>
      </c>
      <c r="AY994" s="25" t="str">
        <f t="shared" si="267"/>
        <v/>
      </c>
      <c r="AZ994" s="25" t="str">
        <f t="shared" si="268"/>
        <v/>
      </c>
      <c r="BA994" s="25" t="str">
        <f t="shared" si="269"/>
        <v/>
      </c>
      <c r="BB994" s="25" t="str">
        <f t="shared" si="270"/>
        <v/>
      </c>
      <c r="BC994" s="25" t="str">
        <f t="shared" si="271"/>
        <v/>
      </c>
    </row>
    <row r="995" spans="1:55" x14ac:dyDescent="0.25">
      <c r="A995" s="19" t="str">
        <f t="shared" si="256"/>
        <v/>
      </c>
      <c r="B995" s="19"/>
      <c r="C995" s="20"/>
      <c r="D995" s="19" t="str">
        <f t="shared" si="255"/>
        <v/>
      </c>
      <c r="E995" s="19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19"/>
      <c r="U995" s="19"/>
      <c r="V995" s="20"/>
      <c r="W995" s="22"/>
      <c r="X995" s="21"/>
      <c r="Y995" s="21"/>
      <c r="Z995" s="23" t="str">
        <f>IF(B995="","",IF(S995&lt;&gt;"","Sevk Edildi",IF(AND(X995&lt;&gt;"",Y995=""),"Reworkte",IF(T995&lt;&gt;"","Kapandı"&amp;IF(COUNT(G995:R995)=0,""," – "&amp;LOOKUP(2,1/(G995:R995=MAX(G995:R995)),{"Tasarım","Ply Cutter","Üretim","Kalite (Üretim sonrası)","Talaşlı","Kalite (Talaşlı sonrası)","Montaj","Kalite (Montaj sonrası)","Boya","Kalite (Boya sonrası)","Yarı Mamül","KM"})),IF(COUNT(G995:R995)=0,"Başlamadı",LOOKUP(2,1/(G995:R995=MAX(G995:R995)),{"Tasarımda","Ply Cutter'da","Üretimde","Kalitede (Üretim sonrası)","Talaşlıda","Kalitede (Talaşlı sonrası)","Montajda","Kalitede (Montaj sonrası)","Boyada","Kalitede (Boya sonrası)","Yarı Mamülde","KM'de"}))))))</f>
        <v/>
      </c>
      <c r="AA995" s="24" t="str">
        <f t="shared" ca="1" si="257"/>
        <v/>
      </c>
      <c r="AB995" s="22"/>
      <c r="AD995" t="str">
        <f>IF(OR($B995="",NOT(ISNUMBER(G995))),"",IF(COUNTIF(H995:$T995,G995)&gt;0,0,IF(COUNTIF($G995:$T995,"&gt;"&amp;G995)=0,"",SMALL($G995:$T995,COUNTIF($G995:$T995,"&lt;="&amp;G995)+1)-G995)))</f>
        <v/>
      </c>
      <c r="AE995" t="str">
        <f>IF(OR($B995="",NOT(ISNUMBER(H995))),"",IF(COUNTIF(I995:$T995,H995)&gt;0,0,IF(COUNTIF($G995:$T995,"&gt;"&amp;H995)=0,"",SMALL($G995:$T995,COUNTIF($G995:$T995,"&lt;="&amp;H995)+1)-H995)))</f>
        <v/>
      </c>
      <c r="AF995" t="str">
        <f>IF(OR($B995="",NOT(ISNUMBER(I995))),"",IF(COUNTIF(J995:$T995,I995)&gt;0,0,IF(COUNTIF($G995:$T995,"&gt;"&amp;I995)=0,"",SMALL($G995:$T995,COUNTIF($G995:$T995,"&lt;="&amp;I995)+1)-I995)))</f>
        <v/>
      </c>
      <c r="AG995" t="str">
        <f>IF(OR($B995="",NOT(ISNUMBER(J995))),"",IF(COUNTIF(K995:$T995,J995)&gt;0,0,IF(COUNTIF($G995:$T995,"&gt;"&amp;J995)=0,"",SMALL($G995:$T995,COUNTIF($G995:$T995,"&lt;="&amp;J995)+1)-J995)))</f>
        <v/>
      </c>
      <c r="AH995" t="str">
        <f>IF(OR($B995="",NOT(ISNUMBER(K995))),"",IF(COUNTIF(L995:$T995,K995)&gt;0,0,IF(COUNTIF($G995:$T995,"&gt;"&amp;K995)=0,"",SMALL($G995:$T995,COUNTIF($G995:$T995,"&lt;="&amp;K995)+1)-K995)))</f>
        <v/>
      </c>
      <c r="AI995" t="str">
        <f>IF(OR($B995="",NOT(ISNUMBER(L995))),"",IF(COUNTIF(M995:$T995,L995)&gt;0,0,IF(COUNTIF($G995:$T995,"&gt;"&amp;L995)=0,"",SMALL($G995:$T995,COUNTIF($G995:$T995,"&lt;="&amp;L995)+1)-L995)))</f>
        <v/>
      </c>
      <c r="AJ995" t="str">
        <f>IF(OR($B995="",NOT(ISNUMBER(M995))),"",IF(COUNTIF(N995:$T995,M995)&gt;0,0,IF(COUNTIF($G995:$T995,"&gt;"&amp;M995)=0,"",SMALL($G995:$T995,COUNTIF($G995:$T995,"&lt;="&amp;M995)+1)-M995)))</f>
        <v/>
      </c>
      <c r="AK995" t="str">
        <f>IF(OR($B995="",NOT(ISNUMBER(N995))),"",IF(COUNTIF(O995:$T995,N995)&gt;0,0,IF(COUNTIF($G995:$T995,"&gt;"&amp;N995)=0,"",SMALL($G995:$T995,COUNTIF($G995:$T995,"&lt;="&amp;N995)+1)-N995)))</f>
        <v/>
      </c>
      <c r="AL995" t="str">
        <f>IF(OR($B995="",NOT(ISNUMBER(O995))),"",IF(COUNTIF(P995:$T995,O995)&gt;0,0,IF(COUNTIF($G995:$T995,"&gt;"&amp;O995)=0,"",SMALL($G995:$T995,COUNTIF($G995:$T995,"&lt;="&amp;O995)+1)-O995)))</f>
        <v/>
      </c>
      <c r="AM995" t="str">
        <f>IF(OR($B995="",NOT(ISNUMBER(P995))),"",IF(COUNTIF(Q995:$T995,P995)&gt;0,0,IF(COUNTIF($G995:$T995,"&gt;"&amp;P995)=0,"",SMALL($G995:$T995,COUNTIF($G995:$T995,"&lt;="&amp;P995)+1)-P995)))</f>
        <v/>
      </c>
      <c r="AN995" t="str">
        <f>IF(OR($B995="",NOT(ISNUMBER(Q995))),"",IF(COUNTIF(R995:$T995,Q995)&gt;0,0,IF(COUNTIF($G995:$T995,"&gt;"&amp;Q995)=0,"",SMALL($G995:$T995,COUNTIF($G995:$T995,"&lt;="&amp;Q995)+1)-Q995)))</f>
        <v/>
      </c>
      <c r="AO995" t="str">
        <f>IF(OR($B995="",NOT(ISNUMBER(R995))),"",IF(COUNTIF(S995:$T995,R995)&gt;0,0,IF(COUNTIF($G995:$T995,"&gt;"&amp;R995)=0,"",SMALL($G995:$T995,COUNTIF($G995:$T995,"&lt;="&amp;R995)+1)-R995)))</f>
        <v/>
      </c>
      <c r="AP995">
        <f t="shared" ca="1" si="258"/>
        <v>0</v>
      </c>
      <c r="AQ995" s="25" t="str">
        <f t="shared" si="259"/>
        <v/>
      </c>
      <c r="AR995" s="25" t="str">
        <f t="shared" si="260"/>
        <v/>
      </c>
      <c r="AS995" s="25" t="str">
        <f t="shared" si="261"/>
        <v/>
      </c>
      <c r="AT995" s="25" t="str">
        <f t="shared" si="262"/>
        <v/>
      </c>
      <c r="AU995" s="25" t="str">
        <f t="shared" si="263"/>
        <v/>
      </c>
      <c r="AV995" s="25" t="str">
        <f t="shared" si="264"/>
        <v/>
      </c>
      <c r="AW995" s="25" t="str">
        <f t="shared" si="265"/>
        <v/>
      </c>
      <c r="AX995" s="25" t="str">
        <f t="shared" si="266"/>
        <v/>
      </c>
      <c r="AY995" s="25" t="str">
        <f t="shared" si="267"/>
        <v/>
      </c>
      <c r="AZ995" s="25" t="str">
        <f t="shared" si="268"/>
        <v/>
      </c>
      <c r="BA995" s="25" t="str">
        <f t="shared" si="269"/>
        <v/>
      </c>
      <c r="BB995" s="25" t="str">
        <f t="shared" si="270"/>
        <v/>
      </c>
      <c r="BC995" s="25" t="str">
        <f t="shared" si="271"/>
        <v/>
      </c>
    </row>
    <row r="996" spans="1:55" x14ac:dyDescent="0.25">
      <c r="A996" s="19" t="str">
        <f t="shared" si="256"/>
        <v/>
      </c>
      <c r="B996" s="19"/>
      <c r="C996" s="20"/>
      <c r="D996" s="19" t="str">
        <f t="shared" si="255"/>
        <v/>
      </c>
      <c r="E996" s="19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19"/>
      <c r="U996" s="19"/>
      <c r="V996" s="20"/>
      <c r="W996" s="22"/>
      <c r="X996" s="21"/>
      <c r="Y996" s="21"/>
      <c r="Z996" s="23" t="str">
        <f>IF(B996="","",IF(S996&lt;&gt;"","Sevk Edildi",IF(AND(X996&lt;&gt;"",Y996=""),"Reworkte",IF(T996&lt;&gt;"","Kapandı"&amp;IF(COUNT(G996:R996)=0,""," – "&amp;LOOKUP(2,1/(G996:R996=MAX(G996:R996)),{"Tasarım","Ply Cutter","Üretim","Kalite (Üretim sonrası)","Talaşlı","Kalite (Talaşlı sonrası)","Montaj","Kalite (Montaj sonrası)","Boya","Kalite (Boya sonrası)","Yarı Mamül","KM"})),IF(COUNT(G996:R996)=0,"Başlamadı",LOOKUP(2,1/(G996:R996=MAX(G996:R996)),{"Tasarımda","Ply Cutter'da","Üretimde","Kalitede (Üretim sonrası)","Talaşlıda","Kalitede (Talaşlı sonrası)","Montajda","Kalitede (Montaj sonrası)","Boyada","Kalitede (Boya sonrası)","Yarı Mamülde","KM'de"}))))))</f>
        <v/>
      </c>
      <c r="AA996" s="24" t="str">
        <f t="shared" ca="1" si="257"/>
        <v/>
      </c>
      <c r="AB996" s="22"/>
      <c r="AD996" t="str">
        <f>IF(OR($B996="",NOT(ISNUMBER(G996))),"",IF(COUNTIF(H996:$T996,G996)&gt;0,0,IF(COUNTIF($G996:$T996,"&gt;"&amp;G996)=0,"",SMALL($G996:$T996,COUNTIF($G996:$T996,"&lt;="&amp;G996)+1)-G996)))</f>
        <v/>
      </c>
      <c r="AE996" t="str">
        <f>IF(OR($B996="",NOT(ISNUMBER(H996))),"",IF(COUNTIF(I996:$T996,H996)&gt;0,0,IF(COUNTIF($G996:$T996,"&gt;"&amp;H996)=0,"",SMALL($G996:$T996,COUNTIF($G996:$T996,"&lt;="&amp;H996)+1)-H996)))</f>
        <v/>
      </c>
      <c r="AF996" t="str">
        <f>IF(OR($B996="",NOT(ISNUMBER(I996))),"",IF(COUNTIF(J996:$T996,I996)&gt;0,0,IF(COUNTIF($G996:$T996,"&gt;"&amp;I996)=0,"",SMALL($G996:$T996,COUNTIF($G996:$T996,"&lt;="&amp;I996)+1)-I996)))</f>
        <v/>
      </c>
      <c r="AG996" t="str">
        <f>IF(OR($B996="",NOT(ISNUMBER(J996))),"",IF(COUNTIF(K996:$T996,J996)&gt;0,0,IF(COUNTIF($G996:$T996,"&gt;"&amp;J996)=0,"",SMALL($G996:$T996,COUNTIF($G996:$T996,"&lt;="&amp;J996)+1)-J996)))</f>
        <v/>
      </c>
      <c r="AH996" t="str">
        <f>IF(OR($B996="",NOT(ISNUMBER(K996))),"",IF(COUNTIF(L996:$T996,K996)&gt;0,0,IF(COUNTIF($G996:$T996,"&gt;"&amp;K996)=0,"",SMALL($G996:$T996,COUNTIF($G996:$T996,"&lt;="&amp;K996)+1)-K996)))</f>
        <v/>
      </c>
      <c r="AI996" t="str">
        <f>IF(OR($B996="",NOT(ISNUMBER(L996))),"",IF(COUNTIF(M996:$T996,L996)&gt;0,0,IF(COUNTIF($G996:$T996,"&gt;"&amp;L996)=0,"",SMALL($G996:$T996,COUNTIF($G996:$T996,"&lt;="&amp;L996)+1)-L996)))</f>
        <v/>
      </c>
      <c r="AJ996" t="str">
        <f>IF(OR($B996="",NOT(ISNUMBER(M996))),"",IF(COUNTIF(N996:$T996,M996)&gt;0,0,IF(COUNTIF($G996:$T996,"&gt;"&amp;M996)=0,"",SMALL($G996:$T996,COUNTIF($G996:$T996,"&lt;="&amp;M996)+1)-M996)))</f>
        <v/>
      </c>
      <c r="AK996" t="str">
        <f>IF(OR($B996="",NOT(ISNUMBER(N996))),"",IF(COUNTIF(O996:$T996,N996)&gt;0,0,IF(COUNTIF($G996:$T996,"&gt;"&amp;N996)=0,"",SMALL($G996:$T996,COUNTIF($G996:$T996,"&lt;="&amp;N996)+1)-N996)))</f>
        <v/>
      </c>
      <c r="AL996" t="str">
        <f>IF(OR($B996="",NOT(ISNUMBER(O996))),"",IF(COUNTIF(P996:$T996,O996)&gt;0,0,IF(COUNTIF($G996:$T996,"&gt;"&amp;O996)=0,"",SMALL($G996:$T996,COUNTIF($G996:$T996,"&lt;="&amp;O996)+1)-O996)))</f>
        <v/>
      </c>
      <c r="AM996" t="str">
        <f>IF(OR($B996="",NOT(ISNUMBER(P996))),"",IF(COUNTIF(Q996:$T996,P996)&gt;0,0,IF(COUNTIF($G996:$T996,"&gt;"&amp;P996)=0,"",SMALL($G996:$T996,COUNTIF($G996:$T996,"&lt;="&amp;P996)+1)-P996)))</f>
        <v/>
      </c>
      <c r="AN996" t="str">
        <f>IF(OR($B996="",NOT(ISNUMBER(Q996))),"",IF(COUNTIF(R996:$T996,Q996)&gt;0,0,IF(COUNTIF($G996:$T996,"&gt;"&amp;Q996)=0,"",SMALL($G996:$T996,COUNTIF($G996:$T996,"&lt;="&amp;Q996)+1)-Q996)))</f>
        <v/>
      </c>
      <c r="AO996" t="str">
        <f>IF(OR($B996="",NOT(ISNUMBER(R996))),"",IF(COUNTIF(S996:$T996,R996)&gt;0,0,IF(COUNTIF($G996:$T996,"&gt;"&amp;R996)=0,"",SMALL($G996:$T996,COUNTIF($G996:$T996,"&lt;="&amp;R996)+1)-R996)))</f>
        <v/>
      </c>
      <c r="AP996">
        <f t="shared" ca="1" si="258"/>
        <v>0</v>
      </c>
      <c r="AQ996" s="25" t="str">
        <f t="shared" si="259"/>
        <v/>
      </c>
      <c r="AR996" s="25" t="str">
        <f t="shared" si="260"/>
        <v/>
      </c>
      <c r="AS996" s="25" t="str">
        <f t="shared" si="261"/>
        <v/>
      </c>
      <c r="AT996" s="25" t="str">
        <f t="shared" si="262"/>
        <v/>
      </c>
      <c r="AU996" s="25" t="str">
        <f t="shared" si="263"/>
        <v/>
      </c>
      <c r="AV996" s="25" t="str">
        <f t="shared" si="264"/>
        <v/>
      </c>
      <c r="AW996" s="25" t="str">
        <f t="shared" si="265"/>
        <v/>
      </c>
      <c r="AX996" s="25" t="str">
        <f t="shared" si="266"/>
        <v/>
      </c>
      <c r="AY996" s="25" t="str">
        <f t="shared" si="267"/>
        <v/>
      </c>
      <c r="AZ996" s="25" t="str">
        <f t="shared" si="268"/>
        <v/>
      </c>
      <c r="BA996" s="25" t="str">
        <f t="shared" si="269"/>
        <v/>
      </c>
      <c r="BB996" s="25" t="str">
        <f t="shared" si="270"/>
        <v/>
      </c>
      <c r="BC996" s="25" t="str">
        <f t="shared" si="271"/>
        <v/>
      </c>
    </row>
    <row r="997" spans="1:55" x14ac:dyDescent="0.25">
      <c r="A997" s="19" t="str">
        <f t="shared" si="256"/>
        <v/>
      </c>
      <c r="B997" s="19"/>
      <c r="C997" s="20"/>
      <c r="D997" s="19" t="str">
        <f t="shared" si="255"/>
        <v/>
      </c>
      <c r="E997" s="19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19"/>
      <c r="U997" s="19"/>
      <c r="V997" s="20"/>
      <c r="W997" s="22"/>
      <c r="X997" s="21"/>
      <c r="Y997" s="21"/>
      <c r="Z997" s="23" t="str">
        <f>IF(B997="","",IF(S997&lt;&gt;"","Sevk Edildi",IF(AND(X997&lt;&gt;"",Y997=""),"Reworkte",IF(T997&lt;&gt;"","Kapandı"&amp;IF(COUNT(G997:R997)=0,""," – "&amp;LOOKUP(2,1/(G997:R997=MAX(G997:R997)),{"Tasarım","Ply Cutter","Üretim","Kalite (Üretim sonrası)","Talaşlı","Kalite (Talaşlı sonrası)","Montaj","Kalite (Montaj sonrası)","Boya","Kalite (Boya sonrası)","Yarı Mamül","KM"})),IF(COUNT(G997:R997)=0,"Başlamadı",LOOKUP(2,1/(G997:R997=MAX(G997:R997)),{"Tasarımda","Ply Cutter'da","Üretimde","Kalitede (Üretim sonrası)","Talaşlıda","Kalitede (Talaşlı sonrası)","Montajda","Kalitede (Montaj sonrası)","Boyada","Kalitede (Boya sonrası)","Yarı Mamülde","KM'de"}))))))</f>
        <v/>
      </c>
      <c r="AA997" s="24" t="str">
        <f t="shared" ca="1" si="257"/>
        <v/>
      </c>
      <c r="AB997" s="22"/>
      <c r="AD997" t="str">
        <f>IF(OR($B997="",NOT(ISNUMBER(G997))),"",IF(COUNTIF(H997:$T997,G997)&gt;0,0,IF(COUNTIF($G997:$T997,"&gt;"&amp;G997)=0,"",SMALL($G997:$T997,COUNTIF($G997:$T997,"&lt;="&amp;G997)+1)-G997)))</f>
        <v/>
      </c>
      <c r="AE997" t="str">
        <f>IF(OR($B997="",NOT(ISNUMBER(H997))),"",IF(COUNTIF(I997:$T997,H997)&gt;0,0,IF(COUNTIF($G997:$T997,"&gt;"&amp;H997)=0,"",SMALL($G997:$T997,COUNTIF($G997:$T997,"&lt;="&amp;H997)+1)-H997)))</f>
        <v/>
      </c>
      <c r="AF997" t="str">
        <f>IF(OR($B997="",NOT(ISNUMBER(I997))),"",IF(COUNTIF(J997:$T997,I997)&gt;0,0,IF(COUNTIF($G997:$T997,"&gt;"&amp;I997)=0,"",SMALL($G997:$T997,COUNTIF($G997:$T997,"&lt;="&amp;I997)+1)-I997)))</f>
        <v/>
      </c>
      <c r="AG997" t="str">
        <f>IF(OR($B997="",NOT(ISNUMBER(J997))),"",IF(COUNTIF(K997:$T997,J997)&gt;0,0,IF(COUNTIF($G997:$T997,"&gt;"&amp;J997)=0,"",SMALL($G997:$T997,COUNTIF($G997:$T997,"&lt;="&amp;J997)+1)-J997)))</f>
        <v/>
      </c>
      <c r="AH997" t="str">
        <f>IF(OR($B997="",NOT(ISNUMBER(K997))),"",IF(COUNTIF(L997:$T997,K997)&gt;0,0,IF(COUNTIF($G997:$T997,"&gt;"&amp;K997)=0,"",SMALL($G997:$T997,COUNTIF($G997:$T997,"&lt;="&amp;K997)+1)-K997)))</f>
        <v/>
      </c>
      <c r="AI997" t="str">
        <f>IF(OR($B997="",NOT(ISNUMBER(L997))),"",IF(COUNTIF(M997:$T997,L997)&gt;0,0,IF(COUNTIF($G997:$T997,"&gt;"&amp;L997)=0,"",SMALL($G997:$T997,COUNTIF($G997:$T997,"&lt;="&amp;L997)+1)-L997)))</f>
        <v/>
      </c>
      <c r="AJ997" t="str">
        <f>IF(OR($B997="",NOT(ISNUMBER(M997))),"",IF(COUNTIF(N997:$T997,M997)&gt;0,0,IF(COUNTIF($G997:$T997,"&gt;"&amp;M997)=0,"",SMALL($G997:$T997,COUNTIF($G997:$T997,"&lt;="&amp;M997)+1)-M997)))</f>
        <v/>
      </c>
      <c r="AK997" t="str">
        <f>IF(OR($B997="",NOT(ISNUMBER(N997))),"",IF(COUNTIF(O997:$T997,N997)&gt;0,0,IF(COUNTIF($G997:$T997,"&gt;"&amp;N997)=0,"",SMALL($G997:$T997,COUNTIF($G997:$T997,"&lt;="&amp;N997)+1)-N997)))</f>
        <v/>
      </c>
      <c r="AL997" t="str">
        <f>IF(OR($B997="",NOT(ISNUMBER(O997))),"",IF(COUNTIF(P997:$T997,O997)&gt;0,0,IF(COUNTIF($G997:$T997,"&gt;"&amp;O997)=0,"",SMALL($G997:$T997,COUNTIF($G997:$T997,"&lt;="&amp;O997)+1)-O997)))</f>
        <v/>
      </c>
      <c r="AM997" t="str">
        <f>IF(OR($B997="",NOT(ISNUMBER(P997))),"",IF(COUNTIF(Q997:$T997,P997)&gt;0,0,IF(COUNTIF($G997:$T997,"&gt;"&amp;P997)=0,"",SMALL($G997:$T997,COUNTIF($G997:$T997,"&lt;="&amp;P997)+1)-P997)))</f>
        <v/>
      </c>
      <c r="AN997" t="str">
        <f>IF(OR($B997="",NOT(ISNUMBER(Q997))),"",IF(COUNTIF(R997:$T997,Q997)&gt;0,0,IF(COUNTIF($G997:$T997,"&gt;"&amp;Q997)=0,"",SMALL($G997:$T997,COUNTIF($G997:$T997,"&lt;="&amp;Q997)+1)-Q997)))</f>
        <v/>
      </c>
      <c r="AO997" t="str">
        <f>IF(OR($B997="",NOT(ISNUMBER(R997))),"",IF(COUNTIF(S997:$T997,R997)&gt;0,0,IF(COUNTIF($G997:$T997,"&gt;"&amp;R997)=0,"",SMALL($G997:$T997,COUNTIF($G997:$T997,"&lt;="&amp;R997)+1)-R997)))</f>
        <v/>
      </c>
      <c r="AP997">
        <f t="shared" ca="1" si="258"/>
        <v>0</v>
      </c>
      <c r="AQ997" s="25" t="str">
        <f t="shared" si="259"/>
        <v/>
      </c>
      <c r="AR997" s="25" t="str">
        <f t="shared" si="260"/>
        <v/>
      </c>
      <c r="AS997" s="25" t="str">
        <f t="shared" si="261"/>
        <v/>
      </c>
      <c r="AT997" s="25" t="str">
        <f t="shared" si="262"/>
        <v/>
      </c>
      <c r="AU997" s="25" t="str">
        <f t="shared" si="263"/>
        <v/>
      </c>
      <c r="AV997" s="25" t="str">
        <f t="shared" si="264"/>
        <v/>
      </c>
      <c r="AW997" s="25" t="str">
        <f t="shared" si="265"/>
        <v/>
      </c>
      <c r="AX997" s="25" t="str">
        <f t="shared" si="266"/>
        <v/>
      </c>
      <c r="AY997" s="25" t="str">
        <f t="shared" si="267"/>
        <v/>
      </c>
      <c r="AZ997" s="25" t="str">
        <f t="shared" si="268"/>
        <v/>
      </c>
      <c r="BA997" s="25" t="str">
        <f t="shared" si="269"/>
        <v/>
      </c>
      <c r="BB997" s="25" t="str">
        <f t="shared" si="270"/>
        <v/>
      </c>
      <c r="BC997" s="25" t="str">
        <f t="shared" si="271"/>
        <v/>
      </c>
    </row>
    <row r="998" spans="1:55" x14ac:dyDescent="0.25">
      <c r="A998" s="19" t="str">
        <f t="shared" si="256"/>
        <v/>
      </c>
      <c r="B998" s="19"/>
      <c r="C998" s="20"/>
      <c r="D998" s="19" t="str">
        <f t="shared" si="255"/>
        <v/>
      </c>
      <c r="E998" s="19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19"/>
      <c r="U998" s="19"/>
      <c r="V998" s="20"/>
      <c r="W998" s="22"/>
      <c r="X998" s="21"/>
      <c r="Y998" s="21"/>
      <c r="Z998" s="23" t="str">
        <f>IF(B998="","",IF(S998&lt;&gt;"","Sevk Edildi",IF(AND(X998&lt;&gt;"",Y998=""),"Reworkte",IF(T998&lt;&gt;"","Kapandı"&amp;IF(COUNT(G998:R998)=0,""," – "&amp;LOOKUP(2,1/(G998:R998=MAX(G998:R998)),{"Tasarım","Ply Cutter","Üretim","Kalite (Üretim sonrası)","Talaşlı","Kalite (Talaşlı sonrası)","Montaj","Kalite (Montaj sonrası)","Boya","Kalite (Boya sonrası)","Yarı Mamül","KM"})),IF(COUNT(G998:R998)=0,"Başlamadı",LOOKUP(2,1/(G998:R998=MAX(G998:R998)),{"Tasarımda","Ply Cutter'da","Üretimde","Kalitede (Üretim sonrası)","Talaşlıda","Kalitede (Talaşlı sonrası)","Montajda","Kalitede (Montaj sonrası)","Boyada","Kalitede (Boya sonrası)","Yarı Mamülde","KM'de"}))))))</f>
        <v/>
      </c>
      <c r="AA998" s="24" t="str">
        <f t="shared" ca="1" si="257"/>
        <v/>
      </c>
      <c r="AB998" s="22"/>
      <c r="AD998" t="str">
        <f>IF(OR($B998="",NOT(ISNUMBER(G998))),"",IF(COUNTIF(H998:$T998,G998)&gt;0,0,IF(COUNTIF($G998:$T998,"&gt;"&amp;G998)=0,"",SMALL($G998:$T998,COUNTIF($G998:$T998,"&lt;="&amp;G998)+1)-G998)))</f>
        <v/>
      </c>
      <c r="AE998" t="str">
        <f>IF(OR($B998="",NOT(ISNUMBER(H998))),"",IF(COUNTIF(I998:$T998,H998)&gt;0,0,IF(COUNTIF($G998:$T998,"&gt;"&amp;H998)=0,"",SMALL($G998:$T998,COUNTIF($G998:$T998,"&lt;="&amp;H998)+1)-H998)))</f>
        <v/>
      </c>
      <c r="AF998" t="str">
        <f>IF(OR($B998="",NOT(ISNUMBER(I998))),"",IF(COUNTIF(J998:$T998,I998)&gt;0,0,IF(COUNTIF($G998:$T998,"&gt;"&amp;I998)=0,"",SMALL($G998:$T998,COUNTIF($G998:$T998,"&lt;="&amp;I998)+1)-I998)))</f>
        <v/>
      </c>
      <c r="AG998" t="str">
        <f>IF(OR($B998="",NOT(ISNUMBER(J998))),"",IF(COUNTIF(K998:$T998,J998)&gt;0,0,IF(COUNTIF($G998:$T998,"&gt;"&amp;J998)=0,"",SMALL($G998:$T998,COUNTIF($G998:$T998,"&lt;="&amp;J998)+1)-J998)))</f>
        <v/>
      </c>
      <c r="AH998" t="str">
        <f>IF(OR($B998="",NOT(ISNUMBER(K998))),"",IF(COUNTIF(L998:$T998,K998)&gt;0,0,IF(COUNTIF($G998:$T998,"&gt;"&amp;K998)=0,"",SMALL($G998:$T998,COUNTIF($G998:$T998,"&lt;="&amp;K998)+1)-K998)))</f>
        <v/>
      </c>
      <c r="AI998" t="str">
        <f>IF(OR($B998="",NOT(ISNUMBER(L998))),"",IF(COUNTIF(M998:$T998,L998)&gt;0,0,IF(COUNTIF($G998:$T998,"&gt;"&amp;L998)=0,"",SMALL($G998:$T998,COUNTIF($G998:$T998,"&lt;="&amp;L998)+1)-L998)))</f>
        <v/>
      </c>
      <c r="AJ998" t="str">
        <f>IF(OR($B998="",NOT(ISNUMBER(M998))),"",IF(COUNTIF(N998:$T998,M998)&gt;0,0,IF(COUNTIF($G998:$T998,"&gt;"&amp;M998)=0,"",SMALL($G998:$T998,COUNTIF($G998:$T998,"&lt;="&amp;M998)+1)-M998)))</f>
        <v/>
      </c>
      <c r="AK998" t="str">
        <f>IF(OR($B998="",NOT(ISNUMBER(N998))),"",IF(COUNTIF(O998:$T998,N998)&gt;0,0,IF(COUNTIF($G998:$T998,"&gt;"&amp;N998)=0,"",SMALL($G998:$T998,COUNTIF($G998:$T998,"&lt;="&amp;N998)+1)-N998)))</f>
        <v/>
      </c>
      <c r="AL998" t="str">
        <f>IF(OR($B998="",NOT(ISNUMBER(O998))),"",IF(COUNTIF(P998:$T998,O998)&gt;0,0,IF(COUNTIF($G998:$T998,"&gt;"&amp;O998)=0,"",SMALL($G998:$T998,COUNTIF($G998:$T998,"&lt;="&amp;O998)+1)-O998)))</f>
        <v/>
      </c>
      <c r="AM998" t="str">
        <f>IF(OR($B998="",NOT(ISNUMBER(P998))),"",IF(COUNTIF(Q998:$T998,P998)&gt;0,0,IF(COUNTIF($G998:$T998,"&gt;"&amp;P998)=0,"",SMALL($G998:$T998,COUNTIF($G998:$T998,"&lt;="&amp;P998)+1)-P998)))</f>
        <v/>
      </c>
      <c r="AN998" t="str">
        <f>IF(OR($B998="",NOT(ISNUMBER(Q998))),"",IF(COUNTIF(R998:$T998,Q998)&gt;0,0,IF(COUNTIF($G998:$T998,"&gt;"&amp;Q998)=0,"",SMALL($G998:$T998,COUNTIF($G998:$T998,"&lt;="&amp;Q998)+1)-Q998)))</f>
        <v/>
      </c>
      <c r="AO998" t="str">
        <f>IF(OR($B998="",NOT(ISNUMBER(R998))),"",IF(COUNTIF(S998:$T998,R998)&gt;0,0,IF(COUNTIF($G998:$T998,"&gt;"&amp;R998)=0,"",SMALL($G998:$T998,COUNTIF($G998:$T998,"&lt;="&amp;R998)+1)-R998)))</f>
        <v/>
      </c>
      <c r="AP998">
        <f t="shared" ca="1" si="258"/>
        <v>0</v>
      </c>
      <c r="AQ998" s="25" t="str">
        <f t="shared" si="259"/>
        <v/>
      </c>
      <c r="AR998" s="25" t="str">
        <f t="shared" si="260"/>
        <v/>
      </c>
      <c r="AS998" s="25" t="str">
        <f t="shared" si="261"/>
        <v/>
      </c>
      <c r="AT998" s="25" t="str">
        <f t="shared" si="262"/>
        <v/>
      </c>
      <c r="AU998" s="25" t="str">
        <f t="shared" si="263"/>
        <v/>
      </c>
      <c r="AV998" s="25" t="str">
        <f t="shared" si="264"/>
        <v/>
      </c>
      <c r="AW998" s="25" t="str">
        <f t="shared" si="265"/>
        <v/>
      </c>
      <c r="AX998" s="25" t="str">
        <f t="shared" si="266"/>
        <v/>
      </c>
      <c r="AY998" s="25" t="str">
        <f t="shared" si="267"/>
        <v/>
      </c>
      <c r="AZ998" s="25" t="str">
        <f t="shared" si="268"/>
        <v/>
      </c>
      <c r="BA998" s="25" t="str">
        <f t="shared" si="269"/>
        <v/>
      </c>
      <c r="BB998" s="25" t="str">
        <f t="shared" si="270"/>
        <v/>
      </c>
      <c r="BC998" s="25" t="str">
        <f t="shared" si="271"/>
        <v/>
      </c>
    </row>
    <row r="999" spans="1:55" x14ac:dyDescent="0.25">
      <c r="A999" s="19" t="str">
        <f t="shared" si="256"/>
        <v/>
      </c>
      <c r="B999" s="19"/>
      <c r="C999" s="20"/>
      <c r="D999" s="19" t="str">
        <f t="shared" si="255"/>
        <v/>
      </c>
      <c r="E999" s="19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19"/>
      <c r="U999" s="19"/>
      <c r="V999" s="20"/>
      <c r="W999" s="22"/>
      <c r="X999" s="21"/>
      <c r="Y999" s="21"/>
      <c r="Z999" s="23" t="str">
        <f>IF(B999="","",IF(S999&lt;&gt;"","Sevk Edildi",IF(AND(X999&lt;&gt;"",Y999=""),"Reworkte",IF(T999&lt;&gt;"","Kapandı"&amp;IF(COUNT(G999:R999)=0,""," – "&amp;LOOKUP(2,1/(G999:R999=MAX(G999:R999)),{"Tasarım","Ply Cutter","Üretim","Kalite (Üretim sonrası)","Talaşlı","Kalite (Talaşlı sonrası)","Montaj","Kalite (Montaj sonrası)","Boya","Kalite (Boya sonrası)","Yarı Mamül","KM"})),IF(COUNT(G999:R999)=0,"Başlamadı",LOOKUP(2,1/(G999:R999=MAX(G999:R999)),{"Tasarımda","Ply Cutter'da","Üretimde","Kalitede (Üretim sonrası)","Talaşlıda","Kalitede (Talaşlı sonrası)","Montajda","Kalitede (Montaj sonrası)","Boyada","Kalitede (Boya sonrası)","Yarı Mamülde","KM'de"}))))))</f>
        <v/>
      </c>
      <c r="AA999" s="24" t="str">
        <f t="shared" ca="1" si="257"/>
        <v/>
      </c>
      <c r="AB999" s="22"/>
      <c r="AD999" t="str">
        <f>IF(OR($B999="",NOT(ISNUMBER(G999))),"",IF(COUNTIF(H999:$T999,G999)&gt;0,0,IF(COUNTIF($G999:$T999,"&gt;"&amp;G999)=0,"",SMALL($G999:$T999,COUNTIF($G999:$T999,"&lt;="&amp;G999)+1)-G999)))</f>
        <v/>
      </c>
      <c r="AE999" t="str">
        <f>IF(OR($B999="",NOT(ISNUMBER(H999))),"",IF(COUNTIF(I999:$T999,H999)&gt;0,0,IF(COUNTIF($G999:$T999,"&gt;"&amp;H999)=0,"",SMALL($G999:$T999,COUNTIF($G999:$T999,"&lt;="&amp;H999)+1)-H999)))</f>
        <v/>
      </c>
      <c r="AF999" t="str">
        <f>IF(OR($B999="",NOT(ISNUMBER(I999))),"",IF(COUNTIF(J999:$T999,I999)&gt;0,0,IF(COUNTIF($G999:$T999,"&gt;"&amp;I999)=0,"",SMALL($G999:$T999,COUNTIF($G999:$T999,"&lt;="&amp;I999)+1)-I999)))</f>
        <v/>
      </c>
      <c r="AG999" t="str">
        <f>IF(OR($B999="",NOT(ISNUMBER(J999))),"",IF(COUNTIF(K999:$T999,J999)&gt;0,0,IF(COUNTIF($G999:$T999,"&gt;"&amp;J999)=0,"",SMALL($G999:$T999,COUNTIF($G999:$T999,"&lt;="&amp;J999)+1)-J999)))</f>
        <v/>
      </c>
      <c r="AH999" t="str">
        <f>IF(OR($B999="",NOT(ISNUMBER(K999))),"",IF(COUNTIF(L999:$T999,K999)&gt;0,0,IF(COUNTIF($G999:$T999,"&gt;"&amp;K999)=0,"",SMALL($G999:$T999,COUNTIF($G999:$T999,"&lt;="&amp;K999)+1)-K999)))</f>
        <v/>
      </c>
      <c r="AI999" t="str">
        <f>IF(OR($B999="",NOT(ISNUMBER(L999))),"",IF(COUNTIF(M999:$T999,L999)&gt;0,0,IF(COUNTIF($G999:$T999,"&gt;"&amp;L999)=0,"",SMALL($G999:$T999,COUNTIF($G999:$T999,"&lt;="&amp;L999)+1)-L999)))</f>
        <v/>
      </c>
      <c r="AJ999" t="str">
        <f>IF(OR($B999="",NOT(ISNUMBER(M999))),"",IF(COUNTIF(N999:$T999,M999)&gt;0,0,IF(COUNTIF($G999:$T999,"&gt;"&amp;M999)=0,"",SMALL($G999:$T999,COUNTIF($G999:$T999,"&lt;="&amp;M999)+1)-M999)))</f>
        <v/>
      </c>
      <c r="AK999" t="str">
        <f>IF(OR($B999="",NOT(ISNUMBER(N999))),"",IF(COUNTIF(O999:$T999,N999)&gt;0,0,IF(COUNTIF($G999:$T999,"&gt;"&amp;N999)=0,"",SMALL($G999:$T999,COUNTIF($G999:$T999,"&lt;="&amp;N999)+1)-N999)))</f>
        <v/>
      </c>
      <c r="AL999" t="str">
        <f>IF(OR($B999="",NOT(ISNUMBER(O999))),"",IF(COUNTIF(P999:$T999,O999)&gt;0,0,IF(COUNTIF($G999:$T999,"&gt;"&amp;O999)=0,"",SMALL($G999:$T999,COUNTIF($G999:$T999,"&lt;="&amp;O999)+1)-O999)))</f>
        <v/>
      </c>
      <c r="AM999" t="str">
        <f>IF(OR($B999="",NOT(ISNUMBER(P999))),"",IF(COUNTIF(Q999:$T999,P999)&gt;0,0,IF(COUNTIF($G999:$T999,"&gt;"&amp;P999)=0,"",SMALL($G999:$T999,COUNTIF($G999:$T999,"&lt;="&amp;P999)+1)-P999)))</f>
        <v/>
      </c>
      <c r="AN999" t="str">
        <f>IF(OR($B999="",NOT(ISNUMBER(Q999))),"",IF(COUNTIF(R999:$T999,Q999)&gt;0,0,IF(COUNTIF($G999:$T999,"&gt;"&amp;Q999)=0,"",SMALL($G999:$T999,COUNTIF($G999:$T999,"&lt;="&amp;Q999)+1)-Q999)))</f>
        <v/>
      </c>
      <c r="AO999" t="str">
        <f>IF(OR($B999="",NOT(ISNUMBER(R999))),"",IF(COUNTIF(S999:$T999,R999)&gt;0,0,IF(COUNTIF($G999:$T999,"&gt;"&amp;R999)=0,"",SMALL($G999:$T999,COUNTIF($G999:$T999,"&lt;="&amp;R999)+1)-R999)))</f>
        <v/>
      </c>
      <c r="AP999">
        <f t="shared" ca="1" si="258"/>
        <v>0</v>
      </c>
      <c r="AQ999" s="25" t="str">
        <f t="shared" si="259"/>
        <v/>
      </c>
      <c r="AR999" s="25" t="str">
        <f t="shared" si="260"/>
        <v/>
      </c>
      <c r="AS999" s="25" t="str">
        <f t="shared" si="261"/>
        <v/>
      </c>
      <c r="AT999" s="25" t="str">
        <f t="shared" si="262"/>
        <v/>
      </c>
      <c r="AU999" s="25" t="str">
        <f t="shared" si="263"/>
        <v/>
      </c>
      <c r="AV999" s="25" t="str">
        <f t="shared" si="264"/>
        <v/>
      </c>
      <c r="AW999" s="25" t="str">
        <f t="shared" si="265"/>
        <v/>
      </c>
      <c r="AX999" s="25" t="str">
        <f t="shared" si="266"/>
        <v/>
      </c>
      <c r="AY999" s="25" t="str">
        <f t="shared" si="267"/>
        <v/>
      </c>
      <c r="AZ999" s="25" t="str">
        <f t="shared" si="268"/>
        <v/>
      </c>
      <c r="BA999" s="25" t="str">
        <f t="shared" si="269"/>
        <v/>
      </c>
      <c r="BB999" s="25" t="str">
        <f t="shared" si="270"/>
        <v/>
      </c>
      <c r="BC999" s="25" t="str">
        <f t="shared" si="271"/>
        <v/>
      </c>
    </row>
    <row r="1000" spans="1:55" x14ac:dyDescent="0.25">
      <c r="A1000" s="19" t="str">
        <f t="shared" si="256"/>
        <v/>
      </c>
      <c r="B1000" s="19"/>
      <c r="C1000" s="20"/>
      <c r="D1000" s="19" t="str">
        <f t="shared" si="255"/>
        <v/>
      </c>
      <c r="E1000" s="19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19"/>
      <c r="U1000" s="19"/>
      <c r="V1000" s="20"/>
      <c r="W1000" s="22"/>
      <c r="X1000" s="21"/>
      <c r="Y1000" s="21"/>
      <c r="Z1000" s="23" t="str">
        <f>IF(B1000="","",IF(S1000&lt;&gt;"","Sevk Edildi",IF(AND(X1000&lt;&gt;"",Y1000=""),"Reworkte",IF(T1000&lt;&gt;"","Kapandı"&amp;IF(COUNT(G1000:R1000)=0,""," – "&amp;LOOKUP(2,1/(G1000:R1000=MAX(G1000:R1000)),{"Tasarım","Ply Cutter","Üretim","Kalite (Üretim sonrası)","Talaşlı","Kalite (Talaşlı sonrası)","Montaj","Kalite (Montaj sonrası)","Boya","Kalite (Boya sonrası)","Yarı Mamül","KM"})),IF(COUNT(G1000:R1000)=0,"Başlamadı",LOOKUP(2,1/(G1000:R1000=MAX(G1000:R1000)),{"Tasarımda","Ply Cutter'da","Üretimde","Kalitede (Üretim sonrası)","Talaşlıda","Kalitede (Talaşlı sonrası)","Montajda","Kalitede (Montaj sonrası)","Boyada","Kalitede (Boya sonrası)","Yarı Mamülde","KM'de"}))))))</f>
        <v/>
      </c>
      <c r="AA1000" s="24" t="str">
        <f t="shared" ca="1" si="257"/>
        <v/>
      </c>
      <c r="AB1000" s="22"/>
      <c r="AD1000" t="str">
        <f>IF(OR($B1000="",NOT(ISNUMBER(G1000))),"",IF(COUNTIF(H1000:$T1000,G1000)&gt;0,0,IF(COUNTIF($G1000:$T1000,"&gt;"&amp;G1000)=0,"",SMALL($G1000:$T1000,COUNTIF($G1000:$T1000,"&lt;="&amp;G1000)+1)-G1000)))</f>
        <v/>
      </c>
      <c r="AE1000" t="str">
        <f>IF(OR($B1000="",NOT(ISNUMBER(H1000))),"",IF(COUNTIF(I1000:$T1000,H1000)&gt;0,0,IF(COUNTIF($G1000:$T1000,"&gt;"&amp;H1000)=0,"",SMALL($G1000:$T1000,COUNTIF($G1000:$T1000,"&lt;="&amp;H1000)+1)-H1000)))</f>
        <v/>
      </c>
      <c r="AF1000" t="str">
        <f>IF(OR($B1000="",NOT(ISNUMBER(I1000))),"",IF(COUNTIF(J1000:$T1000,I1000)&gt;0,0,IF(COUNTIF($G1000:$T1000,"&gt;"&amp;I1000)=0,"",SMALL($G1000:$T1000,COUNTIF($G1000:$T1000,"&lt;="&amp;I1000)+1)-I1000)))</f>
        <v/>
      </c>
      <c r="AG1000" t="str">
        <f>IF(OR($B1000="",NOT(ISNUMBER(J1000))),"",IF(COUNTIF(K1000:$T1000,J1000)&gt;0,0,IF(COUNTIF($G1000:$T1000,"&gt;"&amp;J1000)=0,"",SMALL($G1000:$T1000,COUNTIF($G1000:$T1000,"&lt;="&amp;J1000)+1)-J1000)))</f>
        <v/>
      </c>
      <c r="AH1000" t="str">
        <f>IF(OR($B1000="",NOT(ISNUMBER(K1000))),"",IF(COUNTIF(L1000:$T1000,K1000)&gt;0,0,IF(COUNTIF($G1000:$T1000,"&gt;"&amp;K1000)=0,"",SMALL($G1000:$T1000,COUNTIF($G1000:$T1000,"&lt;="&amp;K1000)+1)-K1000)))</f>
        <v/>
      </c>
      <c r="AI1000" t="str">
        <f>IF(OR($B1000="",NOT(ISNUMBER(L1000))),"",IF(COUNTIF(M1000:$T1000,L1000)&gt;0,0,IF(COUNTIF($G1000:$T1000,"&gt;"&amp;L1000)=0,"",SMALL($G1000:$T1000,COUNTIF($G1000:$T1000,"&lt;="&amp;L1000)+1)-L1000)))</f>
        <v/>
      </c>
      <c r="AJ1000" t="str">
        <f>IF(OR($B1000="",NOT(ISNUMBER(M1000))),"",IF(COUNTIF(N1000:$T1000,M1000)&gt;0,0,IF(COUNTIF($G1000:$T1000,"&gt;"&amp;M1000)=0,"",SMALL($G1000:$T1000,COUNTIF($G1000:$T1000,"&lt;="&amp;M1000)+1)-M1000)))</f>
        <v/>
      </c>
      <c r="AK1000" t="str">
        <f>IF(OR($B1000="",NOT(ISNUMBER(N1000))),"",IF(COUNTIF(O1000:$T1000,N1000)&gt;0,0,IF(COUNTIF($G1000:$T1000,"&gt;"&amp;N1000)=0,"",SMALL($G1000:$T1000,COUNTIF($G1000:$T1000,"&lt;="&amp;N1000)+1)-N1000)))</f>
        <v/>
      </c>
      <c r="AL1000" t="str">
        <f>IF(OR($B1000="",NOT(ISNUMBER(O1000))),"",IF(COUNTIF(P1000:$T1000,O1000)&gt;0,0,IF(COUNTIF($G1000:$T1000,"&gt;"&amp;O1000)=0,"",SMALL($G1000:$T1000,COUNTIF($G1000:$T1000,"&lt;="&amp;O1000)+1)-O1000)))</f>
        <v/>
      </c>
      <c r="AM1000" t="str">
        <f>IF(OR($B1000="",NOT(ISNUMBER(P1000))),"",IF(COUNTIF(Q1000:$T1000,P1000)&gt;0,0,IF(COUNTIF($G1000:$T1000,"&gt;"&amp;P1000)=0,"",SMALL($G1000:$T1000,COUNTIF($G1000:$T1000,"&lt;="&amp;P1000)+1)-P1000)))</f>
        <v/>
      </c>
      <c r="AN1000" t="str">
        <f>IF(OR($B1000="",NOT(ISNUMBER(Q1000))),"",IF(COUNTIF(R1000:$T1000,Q1000)&gt;0,0,IF(COUNTIF($G1000:$T1000,"&gt;"&amp;Q1000)=0,"",SMALL($G1000:$T1000,COUNTIF($G1000:$T1000,"&lt;="&amp;Q1000)+1)-Q1000)))</f>
        <v/>
      </c>
      <c r="AO1000" t="str">
        <f>IF(OR($B1000="",NOT(ISNUMBER(R1000))),"",IF(COUNTIF(S1000:$T1000,R1000)&gt;0,0,IF(COUNTIF($G1000:$T1000,"&gt;"&amp;R1000)=0,"",SMALL($G1000:$T1000,COUNTIF($G1000:$T1000,"&lt;="&amp;R1000)+1)-R1000)))</f>
        <v/>
      </c>
      <c r="AP1000">
        <f t="shared" ca="1" si="258"/>
        <v>0</v>
      </c>
      <c r="AQ1000" s="25" t="str">
        <f t="shared" si="259"/>
        <v/>
      </c>
      <c r="AR1000" s="25" t="str">
        <f t="shared" si="260"/>
        <v/>
      </c>
      <c r="AS1000" s="25" t="str">
        <f t="shared" si="261"/>
        <v/>
      </c>
      <c r="AT1000" s="25" t="str">
        <f t="shared" si="262"/>
        <v/>
      </c>
      <c r="AU1000" s="25" t="str">
        <f t="shared" si="263"/>
        <v/>
      </c>
      <c r="AV1000" s="25" t="str">
        <f t="shared" si="264"/>
        <v/>
      </c>
      <c r="AW1000" s="25" t="str">
        <f t="shared" si="265"/>
        <v/>
      </c>
      <c r="AX1000" s="25" t="str">
        <f t="shared" si="266"/>
        <v/>
      </c>
      <c r="AY1000" s="25" t="str">
        <f t="shared" si="267"/>
        <v/>
      </c>
      <c r="AZ1000" s="25" t="str">
        <f t="shared" si="268"/>
        <v/>
      </c>
      <c r="BA1000" s="25" t="str">
        <f t="shared" si="269"/>
        <v/>
      </c>
      <c r="BB1000" s="25" t="str">
        <f t="shared" si="270"/>
        <v/>
      </c>
      <c r="BC1000" s="25" t="str">
        <f t="shared" si="271"/>
        <v/>
      </c>
    </row>
  </sheetData>
  <autoFilter ref="A2:AB1000" xr:uid="{00000000-0009-0000-0000-000001000000}"/>
  <mergeCells count="5">
    <mergeCell ref="AB1:AB2"/>
    <mergeCell ref="A1:F1"/>
    <mergeCell ref="Z1:AA1"/>
    <mergeCell ref="U1:Y1"/>
    <mergeCell ref="G1:T1"/>
  </mergeCells>
  <conditionalFormatting sqref="A423:I424 A460:M461 A509:H510 K423:AB424 O460:AB461 L509:AB510 J509:J510 A3:AB422 A425:AB459 A462:AB508 A511:AB1000">
    <cfRule type="expression" dxfId="183" priority="97">
      <formula>$Z3="Sevk Edildi"</formula>
    </cfRule>
  </conditionalFormatting>
  <conditionalFormatting sqref="A423:I424 K423:AB424 A460:M461 O460:AB461 A509:H510 J509:J510 L509:AB510 A3:AB422 A425:AB459 A462:AB508 A511:AB1000">
    <cfRule type="expression" dxfId="182" priority="98">
      <formula>LEFT($Z3,7)="Kapandı"</formula>
    </cfRule>
    <cfRule type="expression" dxfId="181" priority="99">
      <formula>$Z3="Reworkte"</formula>
    </cfRule>
    <cfRule type="expression" dxfId="180" priority="100">
      <formula>LEFT($Z3,8)="Kalitede"</formula>
    </cfRule>
    <cfRule type="expression" dxfId="179" priority="101">
      <formula>$Z3="Tasarımda"</formula>
    </cfRule>
    <cfRule type="expression" dxfId="178" priority="102">
      <formula>$Z3="Talaşlıda"</formula>
    </cfRule>
    <cfRule type="expression" dxfId="177" priority="103">
      <formula>$Z3="Montajda"</formula>
    </cfRule>
    <cfRule type="expression" dxfId="176" priority="104">
      <formula>$Z3="Boyada"</formula>
    </cfRule>
    <cfRule type="expression" dxfId="175" priority="105">
      <formula>$Z3="Ply Cutter'da"</formula>
    </cfRule>
    <cfRule type="expression" dxfId="174" priority="106">
      <formula>$Z3="Üretimde"</formula>
    </cfRule>
    <cfRule type="expression" dxfId="173" priority="107">
      <formula>$Z3="Yarı Mamülde"</formula>
    </cfRule>
    <cfRule type="expression" dxfId="172" priority="108">
      <formula>$Z3="KM'de"</formula>
    </cfRule>
  </conditionalFormatting>
  <conditionalFormatting sqref="B3:B1000">
    <cfRule type="expression" dxfId="171" priority="38">
      <formula>AND(B3&lt;&gt;"",COUNTIF($B$3:$B$1000,B3)&gt;1)</formula>
    </cfRule>
  </conditionalFormatting>
  <conditionalFormatting sqref="F3:F1000">
    <cfRule type="expression" dxfId="170" priority="96">
      <formula>AND($B3&lt;&gt;"",F3="")</formula>
    </cfRule>
  </conditionalFormatting>
  <conditionalFormatting sqref="F423:I423 K423:T423 F460:M460 O460:T460 F510:H510 J510:T510 F3:T422 F424:T459 F461:T509 F511:T1000">
    <cfRule type="expression" dxfId="169" priority="36" stopIfTrue="1">
      <formula>AND(F3&lt;&gt;"",NOT(ISNUMBER(F3)))</formula>
    </cfRule>
  </conditionalFormatting>
  <conditionalFormatting sqref="G3:G1000">
    <cfRule type="expression" dxfId="168" priority="39" stopIfTrue="1">
      <formula>AND(ISNUMBER(G3),OR(ISNUMBER($AD3),ISNUMBER($S3)))</formula>
    </cfRule>
    <cfRule type="expression" dxfId="167" priority="40" stopIfTrue="1">
      <formula>ISNUMBER(G3)</formula>
    </cfRule>
    <cfRule type="expression" dxfId="166" priority="41">
      <formula>G3&lt;&gt;""</formula>
    </cfRule>
  </conditionalFormatting>
  <conditionalFormatting sqref="H3:H1000">
    <cfRule type="expression" dxfId="165" priority="42" stopIfTrue="1">
      <formula>AND(ISNUMBER(H3),OR(ISNUMBER($AE3),ISNUMBER($S3)))</formula>
    </cfRule>
    <cfRule type="expression" dxfId="164" priority="43" stopIfTrue="1">
      <formula>ISNUMBER(H3)</formula>
    </cfRule>
    <cfRule type="expression" dxfId="163" priority="44">
      <formula>H3&lt;&gt;""</formula>
    </cfRule>
  </conditionalFormatting>
  <conditionalFormatting sqref="H490:H493">
    <cfRule type="expression" dxfId="162" priority="26">
      <formula>AND($B490&lt;&gt;"",H490="")</formula>
    </cfRule>
  </conditionalFormatting>
  <conditionalFormatting sqref="I3:I508 I511:I1000">
    <cfRule type="expression" dxfId="161" priority="45" stopIfTrue="1">
      <formula>AND(ISNUMBER(I3),OR(ISNUMBER($AF3),ISNUMBER($S3)))</formula>
    </cfRule>
    <cfRule type="expression" dxfId="160" priority="46" stopIfTrue="1">
      <formula>ISNUMBER(I3)</formula>
    </cfRule>
    <cfRule type="expression" dxfId="159" priority="47">
      <formula>I3&lt;&gt;""</formula>
    </cfRule>
  </conditionalFormatting>
  <conditionalFormatting sqref="I465">
    <cfRule type="expression" dxfId="158" priority="33">
      <formula>AND($B465&lt;&gt;"",I465="")</formula>
    </cfRule>
  </conditionalFormatting>
  <conditionalFormatting sqref="I480:I488">
    <cfRule type="expression" dxfId="157" priority="3">
      <formula>AND($B480&lt;&gt;"",I480="")</formula>
    </cfRule>
  </conditionalFormatting>
  <conditionalFormatting sqref="I494:I495">
    <cfRule type="expression" dxfId="156" priority="22">
      <formula>AND($B494&lt;&gt;"",I494="")</formula>
    </cfRule>
  </conditionalFormatting>
  <conditionalFormatting sqref="I498:I508">
    <cfRule type="expression" dxfId="155" priority="16">
      <formula>AND($B498&lt;&gt;"",I498="")</formula>
    </cfRule>
  </conditionalFormatting>
  <conditionalFormatting sqref="I509">
    <cfRule type="expression" dxfId="154" priority="121">
      <formula>$Z510="Sevk Edildi"</formula>
    </cfRule>
    <cfRule type="expression" dxfId="153" priority="122">
      <formula>LEFT($Z510,7)="Kapandı"</formula>
    </cfRule>
    <cfRule type="expression" dxfId="152" priority="123">
      <formula>$Z510="Reworkte"</formula>
    </cfRule>
    <cfRule type="expression" dxfId="151" priority="124">
      <formula>LEFT($Z510,8)="Kalitede"</formula>
    </cfRule>
    <cfRule type="expression" dxfId="150" priority="125">
      <formula>$Z510="Tasarımda"</formula>
    </cfRule>
    <cfRule type="expression" dxfId="149" priority="126">
      <formula>$Z510="Talaşlıda"</formula>
    </cfRule>
    <cfRule type="expression" dxfId="148" priority="127">
      <formula>$Z510="Montajda"</formula>
    </cfRule>
    <cfRule type="expression" dxfId="147" priority="128">
      <formula>$Z510="Boyada"</formula>
    </cfRule>
    <cfRule type="expression" dxfId="146" priority="129">
      <formula>$Z510="Ply Cutter'da"</formula>
    </cfRule>
    <cfRule type="expression" dxfId="145" priority="130">
      <formula>$Z510="Üretimde"</formula>
    </cfRule>
    <cfRule type="expression" dxfId="144" priority="131">
      <formula>$Z510="Yarı Mamülde"</formula>
    </cfRule>
    <cfRule type="expression" dxfId="143" priority="132">
      <formula>$Z510="KM'de"</formula>
    </cfRule>
    <cfRule type="expression" dxfId="142" priority="138" stopIfTrue="1">
      <formula>AND(ISNUMBER(I509),OR(ISNUMBER($AF510),ISNUMBER($S510)))</formula>
    </cfRule>
    <cfRule type="expression" dxfId="141" priority="139" stopIfTrue="1">
      <formula>ISNUMBER(I509)</formula>
    </cfRule>
    <cfRule type="expression" dxfId="140" priority="140">
      <formula>I509&lt;&gt;""</formula>
    </cfRule>
  </conditionalFormatting>
  <conditionalFormatting sqref="J3:J422 J425:J1000">
    <cfRule type="expression" dxfId="139" priority="48" stopIfTrue="1">
      <formula>AND(ISNUMBER(J3),OR(ISNUMBER($AG3),ISNUMBER($S3)))</formula>
    </cfRule>
    <cfRule type="expression" dxfId="138" priority="49" stopIfTrue="1">
      <formula>ISNUMBER(J3)</formula>
    </cfRule>
    <cfRule type="expression" dxfId="137" priority="50">
      <formula>J3&lt;&gt;""</formula>
    </cfRule>
  </conditionalFormatting>
  <conditionalFormatting sqref="J424 N461 K510">
    <cfRule type="expression" dxfId="136" priority="153">
      <formula>$Z423="Sevk Edildi"</formula>
    </cfRule>
    <cfRule type="expression" dxfId="135" priority="154">
      <formula>LEFT($Z423,7)="Kapandı"</formula>
    </cfRule>
    <cfRule type="expression" dxfId="134" priority="155">
      <formula>$Z423="Reworkte"</formula>
    </cfRule>
    <cfRule type="expression" dxfId="133" priority="156">
      <formula>LEFT($Z423,8)="Kalitede"</formula>
    </cfRule>
    <cfRule type="expression" dxfId="132" priority="157">
      <formula>$Z423="Tasarımda"</formula>
    </cfRule>
    <cfRule type="expression" dxfId="131" priority="158">
      <formula>$Z423="Talaşlıda"</formula>
    </cfRule>
    <cfRule type="expression" dxfId="130" priority="159">
      <formula>$Z423="Montajda"</formula>
    </cfRule>
    <cfRule type="expression" dxfId="129" priority="160">
      <formula>$Z423="Boyada"</formula>
    </cfRule>
    <cfRule type="expression" dxfId="128" priority="161">
      <formula>$Z423="Ply Cutter'da"</formula>
    </cfRule>
    <cfRule type="expression" dxfId="127" priority="162">
      <formula>$Z423="Üretimde"</formula>
    </cfRule>
    <cfRule type="expression" dxfId="126" priority="163">
      <formula>$Z423="Yarı Mamülde"</formula>
    </cfRule>
    <cfRule type="expression" dxfId="125" priority="164">
      <formula>$Z423="KM'de"</formula>
    </cfRule>
  </conditionalFormatting>
  <conditionalFormatting sqref="J424">
    <cfRule type="expression" dxfId="124" priority="246" stopIfTrue="1">
      <formula>AND(ISNUMBER(J424),OR(ISNUMBER($AG423),ISNUMBER($S423)))</formula>
    </cfRule>
    <cfRule type="expression" dxfId="123" priority="247" stopIfTrue="1">
      <formula>ISNUMBER(J424)</formula>
    </cfRule>
    <cfRule type="expression" dxfId="122" priority="248">
      <formula>J424&lt;&gt;""</formula>
    </cfRule>
  </conditionalFormatting>
  <conditionalFormatting sqref="K3:K509 K511:K1000">
    <cfRule type="expression" dxfId="121" priority="51" stopIfTrue="1">
      <formula>AND(ISNUMBER(K3),OR(ISNUMBER($AH3),ISNUMBER($S3)))</formula>
    </cfRule>
    <cfRule type="expression" dxfId="120" priority="52" stopIfTrue="1">
      <formula>ISNUMBER(K3)</formula>
    </cfRule>
    <cfRule type="expression" dxfId="119" priority="53">
      <formula>K3&lt;&gt;""</formula>
    </cfRule>
  </conditionalFormatting>
  <conditionalFormatting sqref="K509">
    <cfRule type="expression" dxfId="118" priority="4">
      <formula>$Z509="Sevk Edildi"</formula>
    </cfRule>
    <cfRule type="expression" dxfId="117" priority="5">
      <formula>LEFT($Z509,7)="Kapandı"</formula>
    </cfRule>
    <cfRule type="expression" dxfId="116" priority="6">
      <formula>$Z509="Reworkte"</formula>
    </cfRule>
    <cfRule type="expression" dxfId="115" priority="7">
      <formula>LEFT($Z509,8)="Kalitede"</formula>
    </cfRule>
    <cfRule type="expression" dxfId="114" priority="8">
      <formula>$Z509="Tasarımda"</formula>
    </cfRule>
    <cfRule type="expression" dxfId="113" priority="9">
      <formula>$Z509="Talaşlıda"</formula>
    </cfRule>
    <cfRule type="expression" dxfId="112" priority="10">
      <formula>$Z509="Montajda"</formula>
    </cfRule>
    <cfRule type="expression" dxfId="111" priority="11">
      <formula>$Z509="Boyada"</formula>
    </cfRule>
    <cfRule type="expression" dxfId="110" priority="12">
      <formula>$Z509="Ply Cutter'da"</formula>
    </cfRule>
    <cfRule type="expression" dxfId="109" priority="13">
      <formula>$Z509="Üretimde"</formula>
    </cfRule>
    <cfRule type="expression" dxfId="108" priority="14">
      <formula>$Z509="Yarı Mamülde"</formula>
    </cfRule>
    <cfRule type="expression" dxfId="107" priority="15">
      <formula>$Z509="KM'de"</formula>
    </cfRule>
  </conditionalFormatting>
  <conditionalFormatting sqref="K510">
    <cfRule type="expression" dxfId="106" priority="182" stopIfTrue="1">
      <formula>AND(ISNUMBER(K510),OR(ISNUMBER($AH509),ISNUMBER($S509)))</formula>
    </cfRule>
    <cfRule type="expression" dxfId="105" priority="183" stopIfTrue="1">
      <formula>ISNUMBER(K510)</formula>
    </cfRule>
    <cfRule type="expression" dxfId="104" priority="184">
      <formula>K510&lt;&gt;""</formula>
    </cfRule>
  </conditionalFormatting>
  <conditionalFormatting sqref="L3:L1000">
    <cfRule type="expression" dxfId="103" priority="54" stopIfTrue="1">
      <formula>AND(ISNUMBER(L3),OR(ISNUMBER($AI3),ISNUMBER($S3)))</formula>
    </cfRule>
    <cfRule type="expression" dxfId="102" priority="55" stopIfTrue="1">
      <formula>ISNUMBER(L3)</formula>
    </cfRule>
    <cfRule type="expression" dxfId="101" priority="56">
      <formula>L3&lt;&gt;""</formula>
    </cfRule>
  </conditionalFormatting>
  <conditionalFormatting sqref="M3:M1000">
    <cfRule type="expression" dxfId="100" priority="57" stopIfTrue="1">
      <formula>AND(ISNUMBER(M3),OR(ISNUMBER($AJ3),ISNUMBER($S3)))</formula>
    </cfRule>
    <cfRule type="expression" dxfId="99" priority="58" stopIfTrue="1">
      <formula>ISNUMBER(M3)</formula>
    </cfRule>
    <cfRule type="expression" dxfId="98" priority="59">
      <formula>M3&lt;&gt;""</formula>
    </cfRule>
  </conditionalFormatting>
  <conditionalFormatting sqref="M514">
    <cfRule type="expression" dxfId="97" priority="2">
      <formula>AND($B514&lt;&gt;"",M514="")</formula>
    </cfRule>
  </conditionalFormatting>
  <conditionalFormatting sqref="N3:N459 N462:N1000">
    <cfRule type="expression" dxfId="96" priority="60" stopIfTrue="1">
      <formula>AND(ISNUMBER(N3),OR(ISNUMBER($AK3),ISNUMBER($S3)))</formula>
    </cfRule>
    <cfRule type="expression" dxfId="95" priority="61" stopIfTrue="1">
      <formula>ISNUMBER(N3)</formula>
    </cfRule>
    <cfRule type="expression" dxfId="94" priority="62">
      <formula>N3&lt;&gt;""</formula>
    </cfRule>
  </conditionalFormatting>
  <conditionalFormatting sqref="N461">
    <cfRule type="expression" dxfId="93" priority="214" stopIfTrue="1">
      <formula>AND(ISNUMBER(N461),OR(ISNUMBER($AK460),ISNUMBER($S460)))</formula>
    </cfRule>
    <cfRule type="expression" dxfId="92" priority="215" stopIfTrue="1">
      <formula>ISNUMBER(N461)</formula>
    </cfRule>
    <cfRule type="expression" dxfId="91" priority="216">
      <formula>N461&lt;&gt;""</formula>
    </cfRule>
  </conditionalFormatting>
  <conditionalFormatting sqref="O3:O1000">
    <cfRule type="expression" dxfId="90" priority="63" stopIfTrue="1">
      <formula>AND(ISNUMBER(O3),OR(ISNUMBER($AL3),ISNUMBER($S3)))</formula>
    </cfRule>
    <cfRule type="expression" dxfId="89" priority="64" stopIfTrue="1">
      <formula>ISNUMBER(O3)</formula>
    </cfRule>
    <cfRule type="expression" dxfId="88" priority="65">
      <formula>O3&lt;&gt;""</formula>
    </cfRule>
  </conditionalFormatting>
  <conditionalFormatting sqref="P3:P1000">
    <cfRule type="expression" dxfId="87" priority="66" stopIfTrue="1">
      <formula>AND(ISNUMBER(P3),OR(ISNUMBER($AM3),ISNUMBER($S3)))</formula>
    </cfRule>
    <cfRule type="expression" dxfId="86" priority="67" stopIfTrue="1">
      <formula>ISNUMBER(P3)</formula>
    </cfRule>
    <cfRule type="expression" dxfId="85" priority="68">
      <formula>P3&lt;&gt;""</formula>
    </cfRule>
  </conditionalFormatting>
  <conditionalFormatting sqref="Q3:Q1000">
    <cfRule type="expression" dxfId="84" priority="69" stopIfTrue="1">
      <formula>AND(ISNUMBER(Q3),OR(ISNUMBER($AN3),ISNUMBER($S3)))</formula>
    </cfRule>
    <cfRule type="expression" dxfId="83" priority="70" stopIfTrue="1">
      <formula>ISNUMBER(Q3)</formula>
    </cfRule>
    <cfRule type="expression" dxfId="82" priority="71">
      <formula>Q3&lt;&gt;""</formula>
    </cfRule>
  </conditionalFormatting>
  <conditionalFormatting sqref="R3:R1000">
    <cfRule type="expression" dxfId="81" priority="72" stopIfTrue="1">
      <formula>AND(ISNUMBER(R3),OR(ISNUMBER($AO3),ISNUMBER($S3)))</formula>
    </cfRule>
    <cfRule type="expression" dxfId="80" priority="73" stopIfTrue="1">
      <formula>ISNUMBER(R3)</formula>
    </cfRule>
    <cfRule type="expression" dxfId="79" priority="74">
      <formula>R3&lt;&gt;""</formula>
    </cfRule>
  </conditionalFormatting>
  <conditionalFormatting sqref="S3:S1000">
    <cfRule type="expression" dxfId="78" priority="75">
      <formula>S3&lt;&gt;""</formula>
    </cfRule>
  </conditionalFormatting>
  <conditionalFormatting sqref="T3:T1000">
    <cfRule type="expression" dxfId="77" priority="76" stopIfTrue="1">
      <formula>ISNUMBER(T3)</formula>
    </cfRule>
  </conditionalFormatting>
  <conditionalFormatting sqref="T490:T493">
    <cfRule type="expression" dxfId="76" priority="25">
      <formula>AND($B490&lt;&gt;"",T490="")</formula>
    </cfRule>
  </conditionalFormatting>
  <conditionalFormatting sqref="U3:Y1000">
    <cfRule type="expression" dxfId="75" priority="77">
      <formula>U3&lt;&gt;""</formula>
    </cfRule>
  </conditionalFormatting>
  <conditionalFormatting sqref="V3:V1000">
    <cfRule type="expression" dxfId="74" priority="35" stopIfTrue="1">
      <formula>AND(V3="",OR(U3&lt;&gt;"",X3&lt;&gt;""))</formula>
    </cfRule>
  </conditionalFormatting>
  <conditionalFormatting sqref="X3:Y1000">
    <cfRule type="expression" dxfId="73" priority="37" stopIfTrue="1">
      <formula>AND(X3&lt;&gt;"",NOT(ISNUMBER(X3)))</formula>
    </cfRule>
  </conditionalFormatting>
  <conditionalFormatting sqref="Z3:Z1000">
    <cfRule type="expression" dxfId="72" priority="82" stopIfTrue="1">
      <formula>Z3="Sevk Edildi"</formula>
    </cfRule>
    <cfRule type="expression" dxfId="71" priority="83" stopIfTrue="1">
      <formula>LEFT(Z3,7)="Kapandı"</formula>
    </cfRule>
    <cfRule type="expression" dxfId="70" priority="84" stopIfTrue="1">
      <formula>Z3="Reworkte"</formula>
    </cfRule>
    <cfRule type="expression" dxfId="69" priority="85" stopIfTrue="1">
      <formula>Z3="Başlamadı"</formula>
    </cfRule>
    <cfRule type="expression" dxfId="68" priority="86" stopIfTrue="1">
      <formula>LEFT(Z3,8)="Kalitede"</formula>
    </cfRule>
    <cfRule type="expression" dxfId="67" priority="87" stopIfTrue="1">
      <formula>Z3="Tasarımda"</formula>
    </cfRule>
    <cfRule type="expression" dxfId="66" priority="88" stopIfTrue="1">
      <formula>Z3="Talaşlıda"</formula>
    </cfRule>
    <cfRule type="expression" dxfId="65" priority="89" stopIfTrue="1">
      <formula>Z3="Montajda"</formula>
    </cfRule>
    <cfRule type="expression" dxfId="64" priority="90" stopIfTrue="1">
      <formula>Z3="Boyada"</formula>
    </cfRule>
    <cfRule type="expression" dxfId="63" priority="91" stopIfTrue="1">
      <formula>Z3="Ply Cutter'da"</formula>
    </cfRule>
    <cfRule type="expression" dxfId="62" priority="92" stopIfTrue="1">
      <formula>Z3="Üretimde"</formula>
    </cfRule>
    <cfRule type="expression" dxfId="61" priority="93" stopIfTrue="1">
      <formula>Z3="Yarı Mamülde"</formula>
    </cfRule>
    <cfRule type="expression" dxfId="60" priority="94" stopIfTrue="1">
      <formula>Z3="KM'de"</formula>
    </cfRule>
  </conditionalFormatting>
  <conditionalFormatting sqref="AA3:AA1000">
    <cfRule type="expression" dxfId="59" priority="95">
      <formula>AND(ISNUMBER(AA3),AA3&gt;15,Z3&lt;&gt;"Sevk Edildi")</formula>
    </cfRule>
  </conditionalFormatting>
  <conditionalFormatting sqref="T485:T486">
    <cfRule type="expression" dxfId="0" priority="1">
      <formula>AND($B485&lt;&gt;"",T485="")</formula>
    </cfRule>
  </conditionalFormatting>
  <dataValidations count="2">
    <dataValidation type="date" operator="greaterThan" allowBlank="1" showErrorMessage="1" errorTitle="Geçersiz tarih" error="Lütfen tarih girin (ör. 26.09.2026)." sqref="X3:Y1000 F462:T508 F509:H510 L509:T510 I509:K509 J510:K510 N461 O460:T461 F425:T459 F460:M461 J424 K423:T424 F3:T422 F423:I424 F511:T1000" xr:uid="{00000000-0002-0000-0100-000000000000}">
      <formula1>43831</formula1>
    </dataValidation>
    <dataValidation type="whole" operator="greaterThanOrEqual" allowBlank="1" showErrorMessage="1" error="Lütfen sayı girin." sqref="D3:D1000 U3:U1000" xr:uid="{00000000-0002-0000-0100-000001000000}">
      <formula1>0</formula1>
    </dataValidation>
  </dataValidation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ede yok" error="Bu neden listede yok. Yeni bir neden eklemek için Listeler sayfasına yazın." promptTitle="Rework Nedeni" prompt="Listeden seçin. Ayrıntıyı yan sütuna yazın." xr:uid="{00000000-0002-0000-0100-000002000000}">
          <x14:formula1>
            <xm:f>Listeler!$B$4:$B$40</xm:f>
          </x14:formula1>
          <xm:sqref>V3:V1000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S137"/>
  <sheetViews>
    <sheetView showGridLines="0" workbookViewId="0">
      <pane ySplit="2" topLeftCell="A6" activePane="bottomLeft" state="frozen"/>
      <selection pane="bottomLeft" activeCell="K5" sqref="K5"/>
    </sheetView>
  </sheetViews>
  <sheetFormatPr defaultRowHeight="15" x14ac:dyDescent="0.25"/>
  <cols>
    <col min="1" max="1" width="3" customWidth="1"/>
    <col min="2" max="2" width="28" customWidth="1"/>
    <col min="3" max="3" width="13" customWidth="1"/>
    <col min="4" max="11" width="12" customWidth="1"/>
    <col min="12" max="12" width="11" customWidth="1"/>
    <col min="13" max="19" width="13" hidden="1" customWidth="1"/>
  </cols>
  <sheetData>
    <row r="1" spans="1:15" ht="38.1" customHeight="1" x14ac:dyDescent="0.25">
      <c r="A1" s="26"/>
      <c r="B1" s="27" t="s">
        <v>748</v>
      </c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5" ht="21.95" customHeight="1" x14ac:dyDescent="0.25">
      <c r="A2" s="26"/>
      <c r="B2" s="200" t="s">
        <v>749</v>
      </c>
      <c r="C2" s="199"/>
      <c r="D2" s="199"/>
      <c r="E2" s="199"/>
      <c r="F2" s="199"/>
      <c r="G2" s="199"/>
      <c r="H2" s="198" t="str">
        <f ca="1">"Güncelleme: "&amp;RIGHT("0"&amp;DAY(TODAY()),2)&amp;"."&amp;RIGHT("0"&amp;MONTH(TODAY()),2)&amp;"."&amp;YEAR(TODAY())</f>
        <v>Güncelleme: 12.10.2026</v>
      </c>
      <c r="I2" s="199"/>
      <c r="J2" s="199"/>
      <c r="K2" s="199"/>
      <c r="L2" s="26"/>
    </row>
    <row r="3" spans="1:15" ht="9.9499999999999993" customHeight="1" x14ac:dyDescent="0.25"/>
    <row r="4" spans="1:15" ht="26.1" customHeight="1" x14ac:dyDescent="0.25">
      <c r="B4" s="28" t="s">
        <v>750</v>
      </c>
      <c r="C4" s="29"/>
      <c r="D4" s="29"/>
      <c r="E4" s="217" t="s">
        <v>751</v>
      </c>
      <c r="F4" s="218"/>
      <c r="G4" s="218"/>
      <c r="H4" s="218"/>
      <c r="I4" s="218"/>
      <c r="J4" s="218"/>
      <c r="K4" s="218"/>
    </row>
    <row r="5" spans="1:15" ht="8.1" customHeight="1" x14ac:dyDescent="0.25"/>
    <row r="6" spans="1:15" ht="5.0999999999999996" customHeight="1" x14ac:dyDescent="0.25">
      <c r="B6" s="30"/>
      <c r="C6" s="239"/>
      <c r="D6" s="207"/>
      <c r="E6" s="226"/>
      <c r="F6" s="207"/>
      <c r="G6" s="211"/>
      <c r="H6" s="207"/>
      <c r="I6" s="236"/>
      <c r="J6" s="207"/>
      <c r="K6" s="225"/>
      <c r="L6" s="207"/>
    </row>
    <row r="7" spans="1:15" ht="20.100000000000001" customHeight="1" x14ac:dyDescent="0.25">
      <c r="B7" s="31" t="s">
        <v>752</v>
      </c>
      <c r="C7" s="228" t="s">
        <v>753</v>
      </c>
      <c r="D7" s="207"/>
      <c r="E7" s="228" t="s">
        <v>754</v>
      </c>
      <c r="F7" s="207"/>
      <c r="G7" s="228" t="s">
        <v>755</v>
      </c>
      <c r="H7" s="207"/>
      <c r="I7" s="228" t="s">
        <v>756</v>
      </c>
      <c r="J7" s="207"/>
      <c r="K7" s="228" t="s">
        <v>757</v>
      </c>
      <c r="L7" s="207"/>
    </row>
    <row r="8" spans="1:15" ht="39.950000000000003" customHeight="1" x14ac:dyDescent="0.25">
      <c r="B8" s="32">
        <f>COUNTA('İş Emri Takip'!$B$3:$B$1000)</f>
        <v>531</v>
      </c>
      <c r="C8" s="245">
        <f>COUNTIF('İş Emri Takip'!$Z$3:$Z$1000,"Sevk Edildi")+COUNTIF('İş Emri Takip'!$Z$3:$Z$1000,"Kapandı*")</f>
        <v>442</v>
      </c>
      <c r="D8" s="207"/>
      <c r="E8" s="243">
        <f>COUNT('İş Emri Takip'!$AQ$3:$BB$1000)</f>
        <v>1036</v>
      </c>
      <c r="F8" s="207"/>
      <c r="G8" s="206">
        <f>B8-C8-I8</f>
        <v>73</v>
      </c>
      <c r="H8" s="207"/>
      <c r="I8" s="244">
        <f>COUNTIFS('İş Emri Takip'!$Z$3:$Z$1000,"Başlamadı",'İş Emri Takip'!$B$3:$B$1000,"&lt;&gt;")</f>
        <v>16</v>
      </c>
      <c r="J8" s="207"/>
      <c r="K8" s="227">
        <f ca="1">COUNTIFS('İş Emri Takip'!$AA$3:$AA$1000,"&gt;15",'İş Emri Takip'!$Z$3:$Z$1000,"&lt;&gt;Sevk Edildi",'İş Emri Takip'!$Z$3:$Z$1000,"&lt;&gt;Kapandı*")</f>
        <v>8</v>
      </c>
      <c r="L8" s="207"/>
    </row>
    <row r="9" spans="1:15" ht="20.100000000000001" customHeight="1" x14ac:dyDescent="0.25">
      <c r="B9" s="33" t="str">
        <f>SUM('İş Emri Takip'!$D$3:$D$1000)&amp;" adet"</f>
        <v>3049 adet</v>
      </c>
      <c r="C9" s="212" t="str">
        <f>COUNTIF('İş Emri Takip'!$Z$3:$Z$1000,"Sevk Edildi")&amp;" sevk · "&amp;COUNTIF('İş Emri Takip'!$Z$3:$Z$1000,"Kapandı*")&amp;" kapanış"</f>
        <v>3 sevk · 439 kapanış</v>
      </c>
      <c r="D9" s="207"/>
      <c r="E9" s="212" t="str">
        <f ca="1">"bu hafta: "&amp;(COUNTIFS('İş Emri Takip'!$AQ$3:$AQ$1000,"&gt;="&amp;(TODAY()-WEEKDAY(TODAY(),2)+1),'İş Emri Takip'!$AQ$3:$AQ$1000,"&lt;="&amp;(TODAY()-WEEKDAY(TODAY(),2)+7))+COUNTIFS('İş Emri Takip'!$AR$3:$AR$1000,"&gt;="&amp;(TODAY()-WEEKDAY(TODAY(),2)+1),'İş Emri Takip'!$AR$3:$AR$1000,"&lt;="&amp;(TODAY()-WEEKDAY(TODAY(),2)+7))+COUNTIFS('İş Emri Takip'!$AS$3:$AS$1000,"&gt;="&amp;(TODAY()-WEEKDAY(TODAY(),2)+1),'İş Emri Takip'!$AS$3:$AS$1000,"&lt;="&amp;(TODAY()-WEEKDAY(TODAY(),2)+7))+COUNTIFS('İş Emri Takip'!$AT$3:$AT$1000,"&gt;="&amp;(TODAY()-WEEKDAY(TODAY(),2)+1),'İş Emri Takip'!$AT$3:$AT$1000,"&lt;="&amp;(TODAY()-WEEKDAY(TODAY(),2)+7))+COUNTIFS('İş Emri Takip'!$AU$3:$AU$1000,"&gt;="&amp;(TODAY()-WEEKDAY(TODAY(),2)+1),'İş Emri Takip'!$AU$3:$AU$1000,"&lt;="&amp;(TODAY()-WEEKDAY(TODAY(),2)+7))+COUNTIFS('İş Emri Takip'!$AV$3:$AV$1000,"&gt;="&amp;(TODAY()-WEEKDAY(TODAY(),2)+1),'İş Emri Takip'!$AV$3:$AV$1000,"&lt;="&amp;(TODAY()-WEEKDAY(TODAY(),2)+7))+COUNTIFS('İş Emri Takip'!$AW$3:$AW$1000,"&gt;="&amp;(TODAY()-WEEKDAY(TODAY(),2)+1),'İş Emri Takip'!$AW$3:$AW$1000,"&lt;="&amp;(TODAY()-WEEKDAY(TODAY(),2)+7))+COUNTIFS('İş Emri Takip'!$AX$3:$AX$1000,"&gt;="&amp;(TODAY()-WEEKDAY(TODAY(),2)+1),'İş Emri Takip'!$AX$3:$AX$1000,"&lt;="&amp;(TODAY()-WEEKDAY(TODAY(),2)+7))+COUNTIFS('İş Emri Takip'!$AY$3:$AY$1000,"&gt;="&amp;(TODAY()-WEEKDAY(TODAY(),2)+1),'İş Emri Takip'!$AY$3:$AY$1000,"&lt;="&amp;(TODAY()-WEEKDAY(TODAY(),2)+7))+COUNTIFS('İş Emri Takip'!$AZ$3:$AZ$1000,"&gt;="&amp;(TODAY()-WEEKDAY(TODAY(),2)+1),'İş Emri Takip'!$AZ$3:$AZ$1000,"&lt;="&amp;(TODAY()-WEEKDAY(TODAY(),2)+7))+COUNTIFS('İş Emri Takip'!$BA$3:$BA$1000,"&gt;="&amp;(TODAY()-WEEKDAY(TODAY(),2)+1),'İş Emri Takip'!$BA$3:$BA$1000,"&lt;="&amp;(TODAY()-WEEKDAY(TODAY(),2)+7))+COUNTIFS('İş Emri Takip'!$BB$3:$BB$1000,"&gt;="&amp;(TODAY()-WEEKDAY(TODAY(),2)+1),'İş Emri Takip'!$BB$3:$BB$1000,"&lt;="&amp;(TODAY()-WEEKDAY(TODAY(),2)+7)))</f>
        <v>bu hafta: 16</v>
      </c>
      <c r="F9" s="207"/>
      <c r="G9" s="212" t="str">
        <f>IF(COUNTIF('İş Emri Takip'!$Z$3:$Z$1000,"Reworkte")&gt;0,COUNTIF('İş Emri Takip'!$Z$3:$Z$1000,"Reworkte")&amp;" tanesi reworkte","üretim içinde")</f>
        <v>üretim içinde</v>
      </c>
      <c r="H9" s="207"/>
      <c r="I9" s="212" t="str">
        <f>"henüz aşama girilmedi"</f>
        <v>henüz aşama girilmedi</v>
      </c>
      <c r="J9" s="207"/>
      <c r="K9" s="212" t="str">
        <f>"açık iş emri"</f>
        <v>açık iş emri</v>
      </c>
      <c r="L9" s="207"/>
    </row>
    <row r="10" spans="1:15" ht="8.1" customHeight="1" x14ac:dyDescent="0.25"/>
    <row r="11" spans="1:15" ht="21.95" customHeight="1" x14ac:dyDescent="0.25">
      <c r="B11" s="213" t="str">
        <f>IF((SUMPRODUCT(('İş Emri Takip'!$G$3:$T$1000&lt;&gt;"")*NOT(ISNUMBER('İş Emri Takip'!$G$3:$T$1000)))+SUMPRODUCT(('İş Emri Takip'!$X$3:$Y$1000&lt;&gt;"")*NOT(ISNUMBER('İş Emri Takip'!$X$3:$Y$1000))))+COUNTIFS('İş Emri Takip'!$B$3:$B$1000,"&lt;&gt;",'İş Emri Takip'!$F$3:$F$1000,"")+SUMPRODUCT(('İş Emri Takip'!$B$3:$B$1000&lt;&gt;"")*(COUNTIF('İş Emri Takip'!$B$3:$B$1000,'İş Emri Takip'!$B$3:$B$1000)&gt;1))+SUMPRODUCT(('İş Emri Takip'!$V$3:$V$1000="")*((('İş Emri Takip'!$U$3:$U$1000)&lt;&gt;"")+(('İş Emri Takip'!$X$3:$X$1000)&lt;&gt;"")&gt;0))=0,"✔  Veri kontrolü: Tüm kayıtlar doğru okunuyor.","⚠  Veri kontrolü:  Hatalı tarih: "&amp;(SUMPRODUCT(('İş Emri Takip'!$G$3:$T$1000&lt;&gt;"")*NOT(ISNUMBER('İş Emri Takip'!$G$3:$T$1000)))+SUMPRODUCT(('İş Emri Takip'!$X$3:$Y$1000&lt;&gt;"")*NOT(ISNUMBER('İş Emri Takip'!$X$3:$Y$1000))))&amp;"   •   Tarihsiz iş emri: "&amp;COUNTIFS('İş Emri Takip'!$B$3:$B$1000,"&lt;&gt;",'İş Emri Takip'!$F$3:$F$1000,"")&amp;"   •   Tekrar eden No: "&amp;SUMPRODUCT(('İş Emri Takip'!$B$3:$B$1000&lt;&gt;"")*(COUNTIF('İş Emri Takip'!$B$3:$B$1000,'İş Emri Takip'!$B$3:$B$1000)&gt;1))&amp;"   •   Nedeni boş rework: "&amp;SUMPRODUCT(('İş Emri Takip'!$V$3:$V$1000="")*((('İş Emri Takip'!$U$3:$U$1000)&lt;&gt;"")+(('İş Emri Takip'!$X$3:$X$1000)&lt;&gt;"")&gt;0))&amp;"   →  İş Emri Takip sayfasındaki kırmızı hücreleri düzeltin.")</f>
        <v>✔  Veri kontrolü: Tüm kayıtlar doğru okunuyor.</v>
      </c>
      <c r="C11" s="199"/>
      <c r="D11" s="199"/>
      <c r="E11" s="199"/>
      <c r="F11" s="199"/>
      <c r="G11" s="199"/>
      <c r="H11" s="199"/>
      <c r="I11" s="199"/>
      <c r="J11" s="199"/>
      <c r="K11" s="199"/>
    </row>
    <row r="12" spans="1:15" ht="14.1" customHeight="1" x14ac:dyDescent="0.25"/>
    <row r="13" spans="1:15" ht="26.1" customHeight="1" x14ac:dyDescent="0.25">
      <c r="B13" s="28" t="s">
        <v>758</v>
      </c>
      <c r="C13" s="29"/>
      <c r="D13" s="29"/>
      <c r="E13" s="217" t="s">
        <v>759</v>
      </c>
      <c r="F13" s="218"/>
      <c r="G13" s="218"/>
      <c r="H13" s="218"/>
      <c r="I13" s="218"/>
      <c r="J13" s="218"/>
      <c r="K13" s="218"/>
    </row>
    <row r="14" spans="1:15" x14ac:dyDescent="0.25">
      <c r="B14" s="215" t="s">
        <v>760</v>
      </c>
      <c r="C14" s="216"/>
      <c r="D14" s="34" t="s">
        <v>761</v>
      </c>
      <c r="E14" s="34" t="s">
        <v>9</v>
      </c>
    </row>
    <row r="15" spans="1:15" ht="18.95" customHeight="1" x14ac:dyDescent="0.25">
      <c r="B15" s="224" t="s">
        <v>762</v>
      </c>
      <c r="C15" s="202"/>
      <c r="D15" s="35">
        <f>COUNTIFS('İş Emri Takip'!$Z$3:$Z$1000,"Başlamadı",'İş Emri Takip'!$B$3:$B$1000,"&lt;&gt;")</f>
        <v>16</v>
      </c>
      <c r="E15" s="36">
        <f>SUMIFS('İş Emri Takip'!$D$3:$D$1000,'İş Emri Takip'!$Z$3:$Z$1000,"Başlamadı",'İş Emri Takip'!$B$3:$B$1000,"&lt;&gt;")</f>
        <v>63</v>
      </c>
      <c r="N15" t="s">
        <v>763</v>
      </c>
      <c r="O15" s="37">
        <f t="shared" ref="O15:O27" si="0">D15</f>
        <v>16</v>
      </c>
    </row>
    <row r="16" spans="1:15" ht="18.95" customHeight="1" x14ac:dyDescent="0.25">
      <c r="B16" s="230" t="s">
        <v>764</v>
      </c>
      <c r="C16" s="202"/>
      <c r="D16" s="35">
        <f>COUNTIFS('İş Emri Takip'!$Z$3:$Z$1000,"Tasarımda",'İş Emri Takip'!$B$3:$B$1000,"&lt;&gt;")</f>
        <v>0</v>
      </c>
      <c r="E16" s="36">
        <f>SUMIFS('İş Emri Takip'!$D$3:$D$1000,'İş Emri Takip'!$Z$3:$Z$1000,"Tasarımda",'İş Emri Takip'!$B$3:$B$1000,"&lt;&gt;")</f>
        <v>0</v>
      </c>
      <c r="N16" t="s">
        <v>12</v>
      </c>
      <c r="O16" s="37">
        <f t="shared" si="0"/>
        <v>0</v>
      </c>
    </row>
    <row r="17" spans="2:15" ht="18.95" customHeight="1" x14ac:dyDescent="0.25">
      <c r="B17" s="205" t="s">
        <v>765</v>
      </c>
      <c r="C17" s="202"/>
      <c r="D17" s="35">
        <f>COUNTIFS('İş Emri Takip'!$Z$3:$Z$1000,"Ply Cutter'da",'İş Emri Takip'!$B$3:$B$1000,"&lt;&gt;")</f>
        <v>0</v>
      </c>
      <c r="E17" s="36">
        <f>SUMIFS('İş Emri Takip'!$D$3:$D$1000,'İş Emri Takip'!$Z$3:$Z$1000,"Ply Cutter'da",'İş Emri Takip'!$B$3:$B$1000,"&lt;&gt;")</f>
        <v>0</v>
      </c>
      <c r="N17" t="s">
        <v>13</v>
      </c>
      <c r="O17" s="37">
        <f t="shared" si="0"/>
        <v>0</v>
      </c>
    </row>
    <row r="18" spans="2:15" ht="18.95" customHeight="1" x14ac:dyDescent="0.25">
      <c r="B18" s="201" t="s">
        <v>766</v>
      </c>
      <c r="C18" s="202"/>
      <c r="D18" s="35">
        <f>COUNTIFS('İş Emri Takip'!$Z$3:$Z$1000,"Üretimde",'İş Emri Takip'!$B$3:$B$1000,"&lt;&gt;")</f>
        <v>22</v>
      </c>
      <c r="E18" s="36">
        <f>SUMIFS('İş Emri Takip'!$D$3:$D$1000,'İş Emri Takip'!$Z$3:$Z$1000,"Üretimde",'İş Emri Takip'!$B$3:$B$1000,"&lt;&gt;")</f>
        <v>29</v>
      </c>
      <c r="N18" t="s">
        <v>14</v>
      </c>
      <c r="O18" s="37">
        <f t="shared" si="0"/>
        <v>22</v>
      </c>
    </row>
    <row r="19" spans="2:15" ht="18.95" customHeight="1" x14ac:dyDescent="0.25">
      <c r="B19" s="209" t="s">
        <v>767</v>
      </c>
      <c r="C19" s="202"/>
      <c r="D19" s="35">
        <f>COUNTIFS('İş Emri Takip'!$Z$3:$Z$1000,"Talaşlıda",'İş Emri Takip'!$B$3:$B$1000,"&lt;&gt;")</f>
        <v>3</v>
      </c>
      <c r="E19" s="36">
        <f>SUMIFS('İş Emri Takip'!$D$3:$D$1000,'İş Emri Takip'!$Z$3:$Z$1000,"Talaşlıda",'İş Emri Takip'!$B$3:$B$1000,"&lt;&gt;")</f>
        <v>79</v>
      </c>
      <c r="N19" t="s">
        <v>16</v>
      </c>
      <c r="O19" s="37">
        <f t="shared" si="0"/>
        <v>3</v>
      </c>
    </row>
    <row r="20" spans="2:15" ht="18.95" customHeight="1" x14ac:dyDescent="0.25">
      <c r="B20" s="229" t="s">
        <v>768</v>
      </c>
      <c r="C20" s="202"/>
      <c r="D20" s="35">
        <f>COUNTIFS('İş Emri Takip'!$Z$3:$Z$1000,"Montajda",'İş Emri Takip'!$B$3:$B$1000,"&lt;&gt;")</f>
        <v>16</v>
      </c>
      <c r="E20" s="36">
        <f>SUMIFS('İş Emri Takip'!$D$3:$D$1000,'İş Emri Takip'!$Z$3:$Z$1000,"Montajda",'İş Emri Takip'!$B$3:$B$1000,"&lt;&gt;")</f>
        <v>88</v>
      </c>
      <c r="N20" t="s">
        <v>18</v>
      </c>
      <c r="O20" s="37">
        <f t="shared" si="0"/>
        <v>16</v>
      </c>
    </row>
    <row r="21" spans="2:15" ht="18.95" customHeight="1" x14ac:dyDescent="0.25">
      <c r="B21" s="238" t="s">
        <v>769</v>
      </c>
      <c r="C21" s="202"/>
      <c r="D21" s="35">
        <f>COUNTIFS('İş Emri Takip'!$Z$3:$Z$1000,"Boyada",'İş Emri Takip'!$B$3:$B$1000,"&lt;&gt;")</f>
        <v>7</v>
      </c>
      <c r="E21" s="36">
        <f>SUMIFS('İş Emri Takip'!$D$3:$D$1000,'İş Emri Takip'!$Z$3:$Z$1000,"Boyada",'İş Emri Takip'!$B$3:$B$1000,"&lt;&gt;")</f>
        <v>15</v>
      </c>
      <c r="N21" t="s">
        <v>20</v>
      </c>
      <c r="O21" s="37">
        <f t="shared" si="0"/>
        <v>7</v>
      </c>
    </row>
    <row r="22" spans="2:15" ht="18.95" customHeight="1" x14ac:dyDescent="0.25">
      <c r="B22" s="208" t="s">
        <v>770</v>
      </c>
      <c r="C22" s="202"/>
      <c r="D22" s="35">
        <f>COUNTIFS('İş Emri Takip'!$Z$3:$Z$1000,"Kalitede*",'İş Emri Takip'!$B$3:$B$1000,"&lt;&gt;")</f>
        <v>25</v>
      </c>
      <c r="E22" s="36">
        <f>SUMIFS('İş Emri Takip'!$D$3:$D$1000,'İş Emri Takip'!$Z$3:$Z$1000,"Kalitede*",'İş Emri Takip'!$B$3:$B$1000,"&lt;&gt;")</f>
        <v>132</v>
      </c>
      <c r="N22" t="s">
        <v>771</v>
      </c>
      <c r="O22" s="37">
        <f t="shared" si="0"/>
        <v>25</v>
      </c>
    </row>
    <row r="23" spans="2:15" ht="18.95" customHeight="1" x14ac:dyDescent="0.25">
      <c r="B23" s="210" t="s">
        <v>772</v>
      </c>
      <c r="C23" s="202"/>
      <c r="D23" s="35">
        <f>COUNTIFS('İş Emri Takip'!$Z$3:$Z$1000,"Yarı Mamülde",'İş Emri Takip'!$B$3:$B$1000,"&lt;&gt;")</f>
        <v>0</v>
      </c>
      <c r="E23" s="36">
        <f>SUMIFS('İş Emri Takip'!$D$3:$D$1000,'İş Emri Takip'!$Z$3:$Z$1000,"Yarı Mamülde",'İş Emri Takip'!$B$3:$B$1000,"&lt;&gt;")</f>
        <v>0</v>
      </c>
      <c r="N23" t="s">
        <v>22</v>
      </c>
      <c r="O23" s="37">
        <f t="shared" si="0"/>
        <v>0</v>
      </c>
    </row>
    <row r="24" spans="2:15" ht="18.95" customHeight="1" x14ac:dyDescent="0.25">
      <c r="B24" s="233" t="s">
        <v>773</v>
      </c>
      <c r="C24" s="202"/>
      <c r="D24" s="35">
        <f>COUNTIFS('İş Emri Takip'!$Z$3:$Z$1000,"KM'de",'İş Emri Takip'!$B$3:$B$1000,"&lt;&gt;")</f>
        <v>0</v>
      </c>
      <c r="E24" s="36">
        <f>SUMIFS('İş Emri Takip'!$D$3:$D$1000,'İş Emri Takip'!$Z$3:$Z$1000,"KM'de",'İş Emri Takip'!$B$3:$B$1000,"&lt;&gt;")</f>
        <v>0</v>
      </c>
      <c r="N24" t="s">
        <v>23</v>
      </c>
      <c r="O24" s="37">
        <f t="shared" si="0"/>
        <v>0</v>
      </c>
    </row>
    <row r="25" spans="2:15" ht="18.95" customHeight="1" x14ac:dyDescent="0.25">
      <c r="B25" s="237" t="s">
        <v>774</v>
      </c>
      <c r="C25" s="202"/>
      <c r="D25" s="35">
        <f>COUNTIFS('İş Emri Takip'!$Z$3:$Z$1000,"Reworkte",'İş Emri Takip'!$B$3:$B$1000,"&lt;&gt;")</f>
        <v>0</v>
      </c>
      <c r="E25" s="36">
        <f>SUMIFS('İş Emri Takip'!$D$3:$D$1000,'İş Emri Takip'!$Z$3:$Z$1000,"Reworkte",'İş Emri Takip'!$B$3:$B$1000,"&lt;&gt;")</f>
        <v>0</v>
      </c>
      <c r="N25" t="s">
        <v>775</v>
      </c>
      <c r="O25" s="37">
        <f t="shared" si="0"/>
        <v>0</v>
      </c>
    </row>
    <row r="26" spans="2:15" ht="18.95" customHeight="1" x14ac:dyDescent="0.25">
      <c r="B26" s="235" t="s">
        <v>776</v>
      </c>
      <c r="C26" s="202"/>
      <c r="D26" s="35">
        <f>COUNTIFS('İş Emri Takip'!$Z$3:$Z$1000,"Kapandı*",'İş Emri Takip'!$B$3:$B$1000,"&lt;&gt;")</f>
        <v>439</v>
      </c>
      <c r="E26" s="36">
        <f>SUMIFS('İş Emri Takip'!$D$3:$D$1000,'İş Emri Takip'!$Z$3:$Z$1000,"Kapandı*",'İş Emri Takip'!$B$3:$B$1000,"&lt;&gt;")</f>
        <v>2619</v>
      </c>
      <c r="N26" t="s">
        <v>777</v>
      </c>
      <c r="O26" s="37">
        <f t="shared" si="0"/>
        <v>439</v>
      </c>
    </row>
    <row r="27" spans="2:15" ht="18.95" customHeight="1" x14ac:dyDescent="0.25">
      <c r="B27" s="234" t="s">
        <v>778</v>
      </c>
      <c r="C27" s="202"/>
      <c r="D27" s="35">
        <f>COUNTIFS('İş Emri Takip'!$Z$3:$Z$1000,"Sevk Edildi",'İş Emri Takip'!$B$3:$B$1000,"&lt;&gt;")</f>
        <v>3</v>
      </c>
      <c r="E27" s="36">
        <f>SUMIFS('İş Emri Takip'!$D$3:$D$1000,'İş Emri Takip'!$Z$3:$Z$1000,"Sevk Edildi",'İş Emri Takip'!$B$3:$B$1000,"&lt;&gt;")</f>
        <v>24</v>
      </c>
      <c r="N27" t="s">
        <v>779</v>
      </c>
      <c r="O27" s="37">
        <f t="shared" si="0"/>
        <v>3</v>
      </c>
    </row>
    <row r="28" spans="2:15" ht="20.100000000000001" customHeight="1" x14ac:dyDescent="0.25">
      <c r="B28" s="220" t="s">
        <v>780</v>
      </c>
      <c r="C28" s="221"/>
      <c r="D28" s="38">
        <f>SUM(D15:D27)</f>
        <v>531</v>
      </c>
      <c r="E28" s="39">
        <f>SUM(E15:E27)</f>
        <v>3049</v>
      </c>
    </row>
    <row r="29" spans="2:15" ht="14.1" customHeight="1" x14ac:dyDescent="0.25"/>
    <row r="30" spans="2:15" ht="26.1" customHeight="1" x14ac:dyDescent="0.25">
      <c r="B30" s="28" t="s">
        <v>781</v>
      </c>
      <c r="C30" s="29"/>
      <c r="D30" s="29"/>
      <c r="E30" s="217" t="s">
        <v>782</v>
      </c>
      <c r="F30" s="218"/>
      <c r="G30" s="218"/>
      <c r="H30" s="218"/>
      <c r="I30" s="218"/>
      <c r="J30" s="218"/>
      <c r="K30" s="218"/>
    </row>
    <row r="31" spans="2:15" ht="30" customHeight="1" x14ac:dyDescent="0.25">
      <c r="B31" s="215" t="s">
        <v>783</v>
      </c>
      <c r="C31" s="216"/>
      <c r="D31" s="34" t="s">
        <v>784</v>
      </c>
      <c r="E31" s="34" t="s">
        <v>785</v>
      </c>
      <c r="F31" s="34" t="s">
        <v>780</v>
      </c>
      <c r="H31" s="204" t="s">
        <v>786</v>
      </c>
      <c r="I31" s="199"/>
      <c r="J31" s="199"/>
      <c r="K31" s="199"/>
    </row>
    <row r="32" spans="2:15" ht="18.95" customHeight="1" x14ac:dyDescent="0.25">
      <c r="B32" s="234" t="s">
        <v>787</v>
      </c>
      <c r="C32" s="202"/>
      <c r="D32" s="40">
        <f>COUNTIFS('İş Emri Takip'!$B$3:$B$1000,"&lt;&gt;",'İş Emri Takip'!$S$3:$S$1000,"",'İş Emri Takip'!$T$3:$T$1000,"")</f>
        <v>89</v>
      </c>
      <c r="E32" s="36">
        <f>COUNTIFS('İş Emri Takip'!$B$3:$B$1000,"&lt;&gt;")-COUNTIFS('İş Emri Takip'!$B$3:$B$1000,"&lt;&gt;",'İş Emri Takip'!$S$3:$S$1000,"",'İş Emri Takip'!$T$3:$T$1000,"")</f>
        <v>442</v>
      </c>
      <c r="F32" s="36">
        <f t="shared" ref="F32:F41" si="1">D32+E32</f>
        <v>531</v>
      </c>
      <c r="H32" s="199"/>
      <c r="I32" s="199"/>
      <c r="J32" s="199"/>
      <c r="K32" s="199"/>
    </row>
    <row r="33" spans="2:11" ht="18.95" customHeight="1" x14ac:dyDescent="0.25">
      <c r="B33" s="230" t="s">
        <v>12</v>
      </c>
      <c r="C33" s="202"/>
      <c r="D33" s="41">
        <f>COUNTIFS('İş Emri Takip'!$G$3:$G$1000,"&gt;0",'İş Emri Takip'!$AD$3:$AD$1000,"",'İş Emri Takip'!$S$3:$S$1000,"")</f>
        <v>0</v>
      </c>
      <c r="E33" s="36">
        <f>(COUNT('İş Emri Takip'!$AD$3:$AD$1000)+COUNTIFS('İş Emri Takip'!$G$3:$G$1000,"&gt;0",'İş Emri Takip'!$AD$3:$AD$1000,"",'İş Emri Takip'!$S$3:$S$1000,"&gt;0"))</f>
        <v>0</v>
      </c>
      <c r="F33" s="36">
        <f t="shared" si="1"/>
        <v>0</v>
      </c>
      <c r="H33" s="199"/>
      <c r="I33" s="199"/>
      <c r="J33" s="199"/>
      <c r="K33" s="199"/>
    </row>
    <row r="34" spans="2:11" ht="18.95" customHeight="1" x14ac:dyDescent="0.25">
      <c r="B34" s="205" t="s">
        <v>13</v>
      </c>
      <c r="C34" s="202"/>
      <c r="D34" s="42">
        <f>COUNTIFS('İş Emri Takip'!$H$3:$H$1000,"&gt;0",'İş Emri Takip'!$AE$3:$AE$1000,"",'İş Emri Takip'!$S$3:$S$1000,"")</f>
        <v>0</v>
      </c>
      <c r="E34" s="36">
        <f>(COUNT('İş Emri Takip'!$AE$3:$AE$1000)+COUNTIFS('İş Emri Takip'!$H$3:$H$1000,"&gt;0",'İş Emri Takip'!$AE$3:$AE$1000,"",'İş Emri Takip'!$S$3:$S$1000,"&gt;0"))</f>
        <v>37</v>
      </c>
      <c r="F34" s="36">
        <f t="shared" si="1"/>
        <v>37</v>
      </c>
      <c r="H34" s="199"/>
      <c r="I34" s="199"/>
      <c r="J34" s="199"/>
      <c r="K34" s="199"/>
    </row>
    <row r="35" spans="2:11" ht="18.95" customHeight="1" x14ac:dyDescent="0.25">
      <c r="B35" s="201" t="s">
        <v>14</v>
      </c>
      <c r="C35" s="202"/>
      <c r="D35" s="43">
        <f>COUNTIFS('İş Emri Takip'!$I$3:$I$1000,"&gt;0",'İş Emri Takip'!$AF$3:$AF$1000,"",'İş Emri Takip'!$S$3:$S$1000,"")</f>
        <v>22</v>
      </c>
      <c r="E35" s="36">
        <f>(COUNT('İş Emri Takip'!$AF$3:$AF$1000)+COUNTIFS('İş Emri Takip'!$I$3:$I$1000,"&gt;0",'İş Emri Takip'!$AF$3:$AF$1000,"",'İş Emri Takip'!$S$3:$S$1000,"&gt;0"))</f>
        <v>308</v>
      </c>
      <c r="F35" s="36">
        <f t="shared" si="1"/>
        <v>330</v>
      </c>
      <c r="H35" s="199"/>
      <c r="I35" s="199"/>
      <c r="J35" s="199"/>
      <c r="K35" s="199"/>
    </row>
    <row r="36" spans="2:11" ht="18.95" customHeight="1" x14ac:dyDescent="0.25">
      <c r="B36" s="209" t="s">
        <v>16</v>
      </c>
      <c r="C36" s="202"/>
      <c r="D36" s="44">
        <f>COUNTIFS('İş Emri Takip'!$K$3:$K$1000,"&gt;0",'İş Emri Takip'!$AH$3:$AH$1000,"",'İş Emri Takip'!$S$3:$S$1000,"")</f>
        <v>4</v>
      </c>
      <c r="E36" s="36">
        <f>(COUNT('İş Emri Takip'!$AH$3:$AH$1000)+COUNTIFS('İş Emri Takip'!$K$3:$K$1000,"&gt;0",'İş Emri Takip'!$AH$3:$AH$1000,"",'İş Emri Takip'!$S$3:$S$1000,"&gt;0"))</f>
        <v>60</v>
      </c>
      <c r="F36" s="36">
        <f t="shared" si="1"/>
        <v>64</v>
      </c>
      <c r="H36" s="199"/>
      <c r="I36" s="199"/>
      <c r="J36" s="199"/>
      <c r="K36" s="199"/>
    </row>
    <row r="37" spans="2:11" ht="18.95" customHeight="1" x14ac:dyDescent="0.25">
      <c r="B37" s="229" t="s">
        <v>18</v>
      </c>
      <c r="C37" s="202"/>
      <c r="D37" s="45">
        <f>COUNTIFS('İş Emri Takip'!$M$3:$M$1000,"&gt;0",'İş Emri Takip'!$AJ$3:$AJ$1000,"",'İş Emri Takip'!$S$3:$S$1000,"")</f>
        <v>16</v>
      </c>
      <c r="E37" s="36">
        <f>(COUNT('İş Emri Takip'!$AJ$3:$AJ$1000)+COUNTIFS('İş Emri Takip'!$M$3:$M$1000,"&gt;0",'İş Emri Takip'!$AJ$3:$AJ$1000,"",'İş Emri Takip'!$S$3:$S$1000,"&gt;0"))</f>
        <v>49</v>
      </c>
      <c r="F37" s="36">
        <f t="shared" si="1"/>
        <v>65</v>
      </c>
      <c r="H37" s="199"/>
      <c r="I37" s="199"/>
      <c r="J37" s="199"/>
      <c r="K37" s="199"/>
    </row>
    <row r="38" spans="2:11" ht="18.95" customHeight="1" x14ac:dyDescent="0.25">
      <c r="B38" s="238" t="s">
        <v>20</v>
      </c>
      <c r="C38" s="202"/>
      <c r="D38" s="46">
        <f>COUNTIFS('İş Emri Takip'!$O$3:$O$1000,"&gt;0",'İş Emri Takip'!$AL$3:$AL$1000,"",'İş Emri Takip'!$S$3:$S$1000,"")</f>
        <v>7</v>
      </c>
      <c r="E38" s="36">
        <f>(COUNT('İş Emri Takip'!$AL$3:$AL$1000)+COUNTIFS('İş Emri Takip'!$O$3:$O$1000,"&gt;0",'İş Emri Takip'!$AL$3:$AL$1000,"",'İş Emri Takip'!$S$3:$S$1000,"&gt;0"))</f>
        <v>20</v>
      </c>
      <c r="F38" s="36">
        <f t="shared" si="1"/>
        <v>27</v>
      </c>
      <c r="H38" s="199"/>
      <c r="I38" s="199"/>
      <c r="J38" s="199"/>
      <c r="K38" s="199"/>
    </row>
    <row r="39" spans="2:11" ht="18.95" customHeight="1" x14ac:dyDescent="0.25">
      <c r="B39" s="208" t="s">
        <v>771</v>
      </c>
      <c r="C39" s="202"/>
      <c r="D39" s="47">
        <f>COUNTIFS('İş Emri Takip'!$J$3:$J$1000,"&gt;0",'İş Emri Takip'!$AG$3:$AG$1000,"",'İş Emri Takip'!$S$3:$S$1000,"")+COUNTIFS('İş Emri Takip'!$L$3:$L$1000,"&gt;0",'İş Emri Takip'!$AI$3:$AI$1000,"",'İş Emri Takip'!$S$3:$S$1000,"")+COUNTIFS('İş Emri Takip'!$N$3:$N$1000,"&gt;0",'İş Emri Takip'!$AK$3:$AK$1000,"",'İş Emri Takip'!$S$3:$S$1000,"")+COUNTIFS('İş Emri Takip'!$P$3:$P$1000,"&gt;0",'İş Emri Takip'!$AM$3:$AM$1000,"",'İş Emri Takip'!$S$3:$S$1000,"")</f>
        <v>25</v>
      </c>
      <c r="E39" s="36">
        <f>(COUNT('İş Emri Takip'!$AG$3:$AG$1000)+COUNTIFS('İş Emri Takip'!$J$3:$J$1000,"&gt;0",'İş Emri Takip'!$AG$3:$AG$1000,"",'İş Emri Takip'!$S$3:$S$1000,"&gt;0"))+(COUNT('İş Emri Takip'!$AI$3:$AI$1000)+COUNTIFS('İş Emri Takip'!$L$3:$L$1000,"&gt;0",'İş Emri Takip'!$AI$3:$AI$1000,"",'İş Emri Takip'!$S$3:$S$1000,"&gt;0"))+(COUNT('İş Emri Takip'!$AK$3:$AK$1000)+COUNTIFS('İş Emri Takip'!$N$3:$N$1000,"&gt;0",'İş Emri Takip'!$AK$3:$AK$1000,"",'İş Emri Takip'!$S$3:$S$1000,"&gt;0"))+(COUNT('İş Emri Takip'!$AM$3:$AM$1000)+COUNTIFS('İş Emri Takip'!$P$3:$P$1000,"&gt;0",'İş Emri Takip'!$AM$3:$AM$1000,"",'İş Emri Takip'!$S$3:$S$1000,"&gt;0"))</f>
        <v>404</v>
      </c>
      <c r="F39" s="36">
        <f t="shared" si="1"/>
        <v>429</v>
      </c>
      <c r="H39" s="199"/>
      <c r="I39" s="199"/>
      <c r="J39" s="199"/>
      <c r="K39" s="199"/>
    </row>
    <row r="40" spans="2:11" ht="18.95" customHeight="1" x14ac:dyDescent="0.25">
      <c r="B40" s="210" t="s">
        <v>22</v>
      </c>
      <c r="C40" s="202"/>
      <c r="D40" s="48">
        <f>COUNTIFS('İş Emri Takip'!$Q$3:$Q$1000,"&gt;0",'İş Emri Takip'!$AN$3:$AN$1000,"",'İş Emri Takip'!$S$3:$S$1000,"")</f>
        <v>0</v>
      </c>
      <c r="E40" s="36">
        <f>(COUNT('İş Emri Takip'!$AN$3:$AN$1000)+COUNTIFS('İş Emri Takip'!$Q$3:$Q$1000,"&gt;0",'İş Emri Takip'!$AN$3:$AN$1000,"",'İş Emri Takip'!$S$3:$S$1000,"&gt;0"))</f>
        <v>158</v>
      </c>
      <c r="F40" s="36">
        <f t="shared" si="1"/>
        <v>158</v>
      </c>
      <c r="H40" s="199"/>
      <c r="I40" s="199"/>
      <c r="J40" s="199"/>
      <c r="K40" s="199"/>
    </row>
    <row r="41" spans="2:11" ht="18.95" customHeight="1" x14ac:dyDescent="0.25">
      <c r="B41" s="233" t="s">
        <v>23</v>
      </c>
      <c r="C41" s="202"/>
      <c r="D41" s="49">
        <f>COUNTIFS('İş Emri Takip'!$R$3:$R$1000,"&gt;0",'İş Emri Takip'!$AO$3:$AO$1000,"",'İş Emri Takip'!$S$3:$S$1000,"")</f>
        <v>0</v>
      </c>
      <c r="E41" s="36">
        <f>(COUNT('İş Emri Takip'!$AO$3:$AO$1000)+COUNTIFS('İş Emri Takip'!$R$3:$R$1000,"&gt;0",'İş Emri Takip'!$AO$3:$AO$1000,"",'İş Emri Takip'!$S$3:$S$1000,"&gt;0"))</f>
        <v>0</v>
      </c>
      <c r="F41" s="36">
        <f t="shared" si="1"/>
        <v>0</v>
      </c>
      <c r="H41" s="199"/>
      <c r="I41" s="199"/>
      <c r="J41" s="199"/>
      <c r="K41" s="199"/>
    </row>
    <row r="42" spans="2:11" ht="14.1" customHeight="1" x14ac:dyDescent="0.25"/>
    <row r="43" spans="2:11" ht="26.1" customHeight="1" x14ac:dyDescent="0.25">
      <c r="B43" s="28" t="s">
        <v>788</v>
      </c>
      <c r="C43" s="29"/>
      <c r="D43" s="29"/>
      <c r="E43" s="217" t="s">
        <v>789</v>
      </c>
      <c r="F43" s="218"/>
      <c r="G43" s="218"/>
      <c r="H43" s="218"/>
      <c r="I43" s="218"/>
      <c r="J43" s="218"/>
      <c r="K43" s="218"/>
    </row>
    <row r="44" spans="2:11" ht="30" customHeight="1" x14ac:dyDescent="0.25">
      <c r="B44" s="219" t="s">
        <v>760</v>
      </c>
      <c r="C44" s="216"/>
      <c r="D44" s="50" t="s">
        <v>790</v>
      </c>
      <c r="E44" s="50" t="s">
        <v>791</v>
      </c>
      <c r="F44" s="50" t="s">
        <v>792</v>
      </c>
      <c r="G44" s="50" t="s">
        <v>793</v>
      </c>
      <c r="H44" s="50" t="s">
        <v>794</v>
      </c>
      <c r="I44" s="204" t="s">
        <v>795</v>
      </c>
      <c r="J44" s="199"/>
      <c r="K44" s="199"/>
    </row>
    <row r="45" spans="2:11" ht="18.95" customHeight="1" x14ac:dyDescent="0.25">
      <c r="B45" s="230" t="s">
        <v>12</v>
      </c>
      <c r="C45" s="202"/>
      <c r="D45" s="36">
        <f>COUNT('İş Emri Takip'!$AD$3:$AD$1000)</f>
        <v>0</v>
      </c>
      <c r="E45" s="51" t="str">
        <f>IF(D45=0,"–",ROUND((SUM('İş Emri Takip'!$AD$3:$AD$1000))/D45,1))</f>
        <v>–</v>
      </c>
      <c r="F45" s="36">
        <f>COUNTIFS('İş Emri Takip'!$Z$3:$Z$1000,"Tasarımda",'İş Emri Takip'!$B$3:$B$1000,"&lt;&gt;")</f>
        <v>0</v>
      </c>
      <c r="G45" s="51" t="str">
        <f>IF(F45=0,"–",ROUND(AVERAGEIFS('İş Emri Takip'!$AP$3:$AP$1000,'İş Emri Takip'!$Z$3:$Z$1000,"Tasarımda"),1))</f>
        <v>–</v>
      </c>
      <c r="H45" s="52" t="str">
        <f>IF(F45=0,"–",SUMPRODUCT(MAX(('İş Emri Takip'!$Z$3:$Z$1000="Tasarımda")*'İş Emri Takip'!$AP$3:$AP$1000))&amp;" gün")</f>
        <v>–</v>
      </c>
      <c r="I45" s="199"/>
      <c r="J45" s="199"/>
      <c r="K45" s="199"/>
    </row>
    <row r="46" spans="2:11" ht="18.95" customHeight="1" x14ac:dyDescent="0.25">
      <c r="B46" s="205" t="s">
        <v>13</v>
      </c>
      <c r="C46" s="202"/>
      <c r="D46" s="36">
        <f>COUNT('İş Emri Takip'!$AE$3:$AE$1000)</f>
        <v>37</v>
      </c>
      <c r="E46" s="51">
        <f>IF(D46=0,"–",ROUND((SUM('İş Emri Takip'!$AE$3:$AE$1000))/D46,1))</f>
        <v>0</v>
      </c>
      <c r="F46" s="36">
        <f>COUNTIFS('İş Emri Takip'!$Z$3:$Z$1000,"Ply Cutter'da",'İş Emri Takip'!$B$3:$B$1000,"&lt;&gt;")</f>
        <v>0</v>
      </c>
      <c r="G46" s="51" t="str">
        <f>IF(F46=0,"–",ROUND(AVERAGEIFS('İş Emri Takip'!$AP$3:$AP$1000,'İş Emri Takip'!$Z$3:$Z$1000,"Ply Cutter'da"),1))</f>
        <v>–</v>
      </c>
      <c r="H46" s="52" t="str">
        <f>IF(F46=0,"–",SUMPRODUCT(MAX(('İş Emri Takip'!$Z$3:$Z$1000="Ply Cutter'da")*'İş Emri Takip'!$AP$3:$AP$1000))&amp;" gün")</f>
        <v>–</v>
      </c>
      <c r="I46" s="199"/>
      <c r="J46" s="199"/>
      <c r="K46" s="199"/>
    </row>
    <row r="47" spans="2:11" ht="18.95" customHeight="1" x14ac:dyDescent="0.25">
      <c r="B47" s="201" t="s">
        <v>14</v>
      </c>
      <c r="C47" s="202"/>
      <c r="D47" s="36">
        <f>COUNT('İş Emri Takip'!$AF$3:$AF$1000)</f>
        <v>308</v>
      </c>
      <c r="E47" s="51">
        <f>IF(D47=0,"–",ROUND((SUM('İş Emri Takip'!$AF$3:$AF$1000))/D47,1))</f>
        <v>1.4</v>
      </c>
      <c r="F47" s="36">
        <f>COUNTIFS('İş Emri Takip'!$Z$3:$Z$1000,"Üretimde",'İş Emri Takip'!$B$3:$B$1000,"&lt;&gt;")</f>
        <v>22</v>
      </c>
      <c r="G47" s="51">
        <f ca="1">IF(F47=0,"–",ROUND(AVERAGEIFS('İş Emri Takip'!$AP$3:$AP$1000,'İş Emri Takip'!$Z$3:$Z$1000,"Üretimde"),1))</f>
        <v>2.6</v>
      </c>
      <c r="H47" s="52" t="str">
        <f ca="1">IF(F47=0,"–",SUMPRODUCT(MAX(('İş Emri Takip'!$Z$3:$Z$1000="Üretimde")*'İş Emri Takip'!$AP$3:$AP$1000))&amp;" gün")</f>
        <v>4 gün</v>
      </c>
      <c r="I47" s="199"/>
      <c r="J47" s="199"/>
      <c r="K47" s="199"/>
    </row>
    <row r="48" spans="2:11" ht="18.95" customHeight="1" x14ac:dyDescent="0.25">
      <c r="B48" s="209" t="s">
        <v>16</v>
      </c>
      <c r="C48" s="202"/>
      <c r="D48" s="36">
        <f>COUNT('İş Emri Takip'!$AH$3:$AH$1000)</f>
        <v>60</v>
      </c>
      <c r="E48" s="51">
        <f>IF(D48=0,"–",ROUND((SUM('İş Emri Takip'!$AH$3:$AH$1000))/D48,1))</f>
        <v>3.5</v>
      </c>
      <c r="F48" s="36">
        <f>COUNTIFS('İş Emri Takip'!$Z$3:$Z$1000,"Talaşlıda",'İş Emri Takip'!$B$3:$B$1000,"&lt;&gt;")</f>
        <v>3</v>
      </c>
      <c r="G48" s="51">
        <f ca="1">IF(F48=0,"–",ROUND(AVERAGEIFS('İş Emri Takip'!$AP$3:$AP$1000,'İş Emri Takip'!$Z$3:$Z$1000,"Talaşlıda"),1))</f>
        <v>7.3</v>
      </c>
      <c r="H48" s="52" t="str">
        <f ca="1">IF(F48=0,"–",SUMPRODUCT(MAX(('İş Emri Takip'!$Z$3:$Z$1000="Talaşlıda")*'İş Emri Takip'!$AP$3:$AP$1000))&amp;" gün")</f>
        <v>10 gün</v>
      </c>
      <c r="I48" s="199"/>
      <c r="J48" s="199"/>
      <c r="K48" s="199"/>
    </row>
    <row r="49" spans="2:17" ht="18.95" customHeight="1" x14ac:dyDescent="0.25">
      <c r="B49" s="229" t="s">
        <v>18</v>
      </c>
      <c r="C49" s="202"/>
      <c r="D49" s="36">
        <f>COUNT('İş Emri Takip'!$AJ$3:$AJ$1000)</f>
        <v>49</v>
      </c>
      <c r="E49" s="51">
        <f>IF(D49=0,"–",ROUND((SUM('İş Emri Takip'!$AJ$3:$AJ$1000))/D49,1))</f>
        <v>3.3</v>
      </c>
      <c r="F49" s="36">
        <f>COUNTIFS('İş Emri Takip'!$Z$3:$Z$1000,"Montajda",'İş Emri Takip'!$B$3:$B$1000,"&lt;&gt;")</f>
        <v>16</v>
      </c>
      <c r="G49" s="51">
        <f ca="1">IF(F49=0,"–",ROUND(AVERAGEIFS('İş Emri Takip'!$AP$3:$AP$1000,'İş Emri Takip'!$Z$3:$Z$1000,"Montajda"),1))</f>
        <v>4.0999999999999996</v>
      </c>
      <c r="H49" s="52" t="str">
        <f ca="1">IF(F49=0,"–",SUMPRODUCT(MAX(('İş Emri Takip'!$Z$3:$Z$1000="Montajda")*'İş Emri Takip'!$AP$3:$AP$1000))&amp;" gün")</f>
        <v>12 gün</v>
      </c>
      <c r="I49" s="199"/>
      <c r="J49" s="199"/>
      <c r="K49" s="199"/>
    </row>
    <row r="50" spans="2:17" ht="18.95" customHeight="1" x14ac:dyDescent="0.25">
      <c r="B50" s="238" t="s">
        <v>20</v>
      </c>
      <c r="C50" s="202"/>
      <c r="D50" s="36">
        <f>COUNT('İş Emri Takip'!$AL$3:$AL$1000)</f>
        <v>20</v>
      </c>
      <c r="E50" s="51">
        <f>IF(D50=0,"–",ROUND((SUM('İş Emri Takip'!$AL$3:$AL$1000))/D50,1))</f>
        <v>2.2000000000000002</v>
      </c>
      <c r="F50" s="36">
        <f>COUNTIFS('İş Emri Takip'!$Z$3:$Z$1000,"Boyada",'İş Emri Takip'!$B$3:$B$1000,"&lt;&gt;")</f>
        <v>7</v>
      </c>
      <c r="G50" s="51">
        <f ca="1">IF(F50=0,"–",ROUND(AVERAGEIFS('İş Emri Takip'!$AP$3:$AP$1000,'İş Emri Takip'!$Z$3:$Z$1000,"Boyada"),1))</f>
        <v>6</v>
      </c>
      <c r="H50" s="52" t="str">
        <f ca="1">IF(F50=0,"–",SUMPRODUCT(MAX(('İş Emri Takip'!$Z$3:$Z$1000="Boyada")*'İş Emri Takip'!$AP$3:$AP$1000))&amp;" gün")</f>
        <v>14 gün</v>
      </c>
      <c r="I50" s="199"/>
      <c r="J50" s="199"/>
      <c r="K50" s="199"/>
    </row>
    <row r="51" spans="2:17" ht="18.95" customHeight="1" x14ac:dyDescent="0.25">
      <c r="B51" s="208" t="s">
        <v>771</v>
      </c>
      <c r="C51" s="202"/>
      <c r="D51" s="36">
        <f>COUNT('İş Emri Takip'!$AG$3:$AG$1000)+COUNT('İş Emri Takip'!$AI$3:$AI$1000)+COUNT('İş Emri Takip'!$AK$3:$AK$1000)+COUNT('İş Emri Takip'!$AM$3:$AM$1000)</f>
        <v>404</v>
      </c>
      <c r="E51" s="51">
        <f>IF(D51=0,"–",ROUND((SUM('İş Emri Takip'!$AG$3:$AG$1000)+SUM('İş Emri Takip'!$AI$3:$AI$1000)+SUM('İş Emri Takip'!$AK$3:$AK$1000)+SUM('İş Emri Takip'!$AM$3:$AM$1000))/D51,1))</f>
        <v>0.5</v>
      </c>
      <c r="F51" s="36">
        <f>COUNTIFS('İş Emri Takip'!$Z$3:$Z$1000,"Kalitede*",'İş Emri Takip'!$B$3:$B$1000,"&lt;&gt;")</f>
        <v>25</v>
      </c>
      <c r="G51" s="51">
        <f ca="1">IF(F51=0,"–",ROUND(AVERAGEIFS('İş Emri Takip'!$AP$3:$AP$1000,'İş Emri Takip'!$Z$3:$Z$1000,"Kalitede*"),1))</f>
        <v>3.8</v>
      </c>
      <c r="H51" s="52" t="str">
        <f ca="1">IF(F51=0,"–",SUMPRODUCT(MAX((LEFT('İş Emri Takip'!$Z$3:$Z$1000,8)="Kalitede")*'İş Emri Takip'!$AP$3:$AP$1000))&amp;" gün")</f>
        <v>0 gün</v>
      </c>
      <c r="I51" s="199"/>
      <c r="J51" s="199"/>
      <c r="K51" s="199"/>
    </row>
    <row r="52" spans="2:17" ht="18.95" customHeight="1" x14ac:dyDescent="0.25">
      <c r="B52" s="210" t="s">
        <v>22</v>
      </c>
      <c r="C52" s="202"/>
      <c r="D52" s="36">
        <f>COUNT('İş Emri Takip'!$AN$3:$AN$1000)</f>
        <v>158</v>
      </c>
      <c r="E52" s="51">
        <f>IF(D52=0,"–",ROUND((SUM('İş Emri Takip'!$AN$3:$AN$1000))/D52,1))</f>
        <v>0</v>
      </c>
      <c r="F52" s="36">
        <f>COUNTIFS('İş Emri Takip'!$Z$3:$Z$1000,"Yarı Mamülde",'İş Emri Takip'!$B$3:$B$1000,"&lt;&gt;")</f>
        <v>0</v>
      </c>
      <c r="G52" s="51" t="str">
        <f>IF(F52=0,"–",ROUND(AVERAGEIFS('İş Emri Takip'!$AP$3:$AP$1000,'İş Emri Takip'!$Z$3:$Z$1000,"Yarı Mamülde"),1))</f>
        <v>–</v>
      </c>
      <c r="H52" s="52" t="str">
        <f>IF(F52=0,"–",SUMPRODUCT(MAX(('İş Emri Takip'!$Z$3:$Z$1000="Yarı Mamülde")*'İş Emri Takip'!$AP$3:$AP$1000))&amp;" gün")</f>
        <v>–</v>
      </c>
      <c r="I52" s="199"/>
      <c r="J52" s="199"/>
      <c r="K52" s="199"/>
    </row>
    <row r="53" spans="2:17" ht="18.95" customHeight="1" x14ac:dyDescent="0.25">
      <c r="B53" s="233" t="s">
        <v>23</v>
      </c>
      <c r="C53" s="202"/>
      <c r="D53" s="36">
        <f>COUNT('İş Emri Takip'!$AO$3:$AO$1000)</f>
        <v>0</v>
      </c>
      <c r="E53" s="51" t="str">
        <f>IF(D53=0,"–",ROUND((SUM('İş Emri Takip'!$AO$3:$AO$1000))/D53,1))</f>
        <v>–</v>
      </c>
      <c r="F53" s="36">
        <f>COUNTIFS('İş Emri Takip'!$Z$3:$Z$1000,"KM'de",'İş Emri Takip'!$B$3:$B$1000,"&lt;&gt;")</f>
        <v>0</v>
      </c>
      <c r="G53" s="51" t="str">
        <f>IF(F53=0,"–",ROUND(AVERAGEIFS('İş Emri Takip'!$AP$3:$AP$1000,'İş Emri Takip'!$Z$3:$Z$1000,"KM'de"),1))</f>
        <v>–</v>
      </c>
      <c r="H53" s="52" t="str">
        <f>IF(F53=0,"–",SUMPRODUCT(MAX(('İş Emri Takip'!$Z$3:$Z$1000="KM'de")*'İş Emri Takip'!$AP$3:$AP$1000))&amp;" gün")</f>
        <v>–</v>
      </c>
      <c r="I53" s="199"/>
      <c r="J53" s="199"/>
      <c r="K53" s="199"/>
    </row>
    <row r="54" spans="2:17" ht="14.1" customHeight="1" x14ac:dyDescent="0.25"/>
    <row r="55" spans="2:17" ht="26.1" customHeight="1" x14ac:dyDescent="0.25">
      <c r="B55" s="28" t="s">
        <v>796</v>
      </c>
      <c r="C55" s="29"/>
      <c r="D55" s="29"/>
      <c r="E55" s="217" t="s">
        <v>797</v>
      </c>
      <c r="F55" s="218"/>
      <c r="G55" s="218"/>
      <c r="H55" s="218"/>
      <c r="I55" s="218"/>
      <c r="J55" s="218"/>
      <c r="K55" s="218"/>
    </row>
    <row r="56" spans="2:17" x14ac:dyDescent="0.25">
      <c r="B56" s="215" t="s">
        <v>798</v>
      </c>
      <c r="C56" s="216"/>
      <c r="D56" s="34" t="s">
        <v>761</v>
      </c>
      <c r="E56" s="34" t="s">
        <v>9</v>
      </c>
    </row>
    <row r="57" spans="2:17" ht="18.95" customHeight="1" x14ac:dyDescent="0.25">
      <c r="B57" s="203" t="str">
        <f>IF(Listeler!$B$4="","",Listeler!$B$4)</f>
        <v>Ölçü hatası</v>
      </c>
      <c r="C57" s="202"/>
      <c r="D57" s="35">
        <f>IF(B57="","",COUNTIFS('İş Emri Takip'!$V$3:$V$1000,B57,'İş Emri Takip'!$B$3:$B$1000,"&lt;&gt;"))</f>
        <v>0</v>
      </c>
      <c r="E57" s="53">
        <f>IF(B57="","",SUMIFS('İş Emri Takip'!$U$3:$U$1000,'İş Emri Takip'!$V$3:$V$1000,B57,'İş Emri Takip'!$B$3:$B$1000,"&lt;&gt;"))</f>
        <v>0</v>
      </c>
      <c r="P57" t="str">
        <f t="shared" ref="P57:P68" si="2">IF(B57="","",B57)</f>
        <v>Ölçü hatası</v>
      </c>
      <c r="Q57" s="37">
        <f t="shared" ref="Q57:Q68" si="3">IF(B57="",0,N(E57))</f>
        <v>0</v>
      </c>
    </row>
    <row r="58" spans="2:17" ht="18.95" customHeight="1" x14ac:dyDescent="0.25">
      <c r="B58" s="203" t="str">
        <f>IF(Listeler!$B$5="","",Listeler!$B$5)</f>
        <v>Yüzey hatası (çizik, ezik, pürüz)</v>
      </c>
      <c r="C58" s="202"/>
      <c r="D58" s="35">
        <f>IF(B58="","",COUNTIFS('İş Emri Takip'!$V$3:$V$1000,B58,'İş Emri Takip'!$B$3:$B$1000,"&lt;&gt;"))</f>
        <v>0</v>
      </c>
      <c r="E58" s="53">
        <f>IF(B58="","",SUMIFS('İş Emri Takip'!$U$3:$U$1000,'İş Emri Takip'!$V$3:$V$1000,B58,'İş Emri Takip'!$B$3:$B$1000,"&lt;&gt;"))</f>
        <v>0</v>
      </c>
      <c r="P58" t="str">
        <f t="shared" si="2"/>
        <v>Yüzey hatası (çizik, ezik, pürüz)</v>
      </c>
      <c r="Q58" s="37">
        <f t="shared" si="3"/>
        <v>0</v>
      </c>
    </row>
    <row r="59" spans="2:17" ht="18.95" customHeight="1" x14ac:dyDescent="0.25">
      <c r="B59" s="203" t="str">
        <f>IF(Listeler!$B$6="","",Listeler!$B$6)</f>
        <v>Boya hatası</v>
      </c>
      <c r="C59" s="202"/>
      <c r="D59" s="35">
        <f>IF(B59="","",COUNTIFS('İş Emri Takip'!$V$3:$V$1000,B59,'İş Emri Takip'!$B$3:$B$1000,"&lt;&gt;"))</f>
        <v>0</v>
      </c>
      <c r="E59" s="53">
        <f>IF(B59="","",SUMIFS('İş Emri Takip'!$U$3:$U$1000,'İş Emri Takip'!$V$3:$V$1000,B59,'İş Emri Takip'!$B$3:$B$1000,"&lt;&gt;"))</f>
        <v>0</v>
      </c>
      <c r="P59" t="str">
        <f t="shared" si="2"/>
        <v>Boya hatası</v>
      </c>
      <c r="Q59" s="37">
        <f t="shared" si="3"/>
        <v>0</v>
      </c>
    </row>
    <row r="60" spans="2:17" ht="18.95" customHeight="1" x14ac:dyDescent="0.25">
      <c r="B60" s="203" t="str">
        <f>IF(Listeler!$B$7="","",Listeler!$B$7)</f>
        <v>Delaminasyon / hava boşluğu</v>
      </c>
      <c r="C60" s="202"/>
      <c r="D60" s="35">
        <f>IF(B60="","",COUNTIFS('İş Emri Takip'!$V$3:$V$1000,B60,'İş Emri Takip'!$B$3:$B$1000,"&lt;&gt;"))</f>
        <v>0</v>
      </c>
      <c r="E60" s="53">
        <f>IF(B60="","",SUMIFS('İş Emri Takip'!$U$3:$U$1000,'İş Emri Takip'!$V$3:$V$1000,B60,'İş Emri Takip'!$B$3:$B$1000,"&lt;&gt;"))</f>
        <v>0</v>
      </c>
      <c r="P60" t="str">
        <f t="shared" si="2"/>
        <v>Delaminasyon / hava boşluğu</v>
      </c>
      <c r="Q60" s="37">
        <f t="shared" si="3"/>
        <v>0</v>
      </c>
    </row>
    <row r="61" spans="2:17" ht="18.95" customHeight="1" x14ac:dyDescent="0.25">
      <c r="B61" s="203" t="str">
        <f>IF(Listeler!$B$8="","",Listeler!$B$8)</f>
        <v>Talaşlı işleme hatası</v>
      </c>
      <c r="C61" s="202"/>
      <c r="D61" s="35">
        <f>IF(B61="","",COUNTIFS('İş Emri Takip'!$V$3:$V$1000,B61,'İş Emri Takip'!$B$3:$B$1000,"&lt;&gt;"))</f>
        <v>0</v>
      </c>
      <c r="E61" s="53">
        <f>IF(B61="","",SUMIFS('İş Emri Takip'!$U$3:$U$1000,'İş Emri Takip'!$V$3:$V$1000,B61,'İş Emri Takip'!$B$3:$B$1000,"&lt;&gt;"))</f>
        <v>0</v>
      </c>
      <c r="P61" t="str">
        <f t="shared" si="2"/>
        <v>Talaşlı işleme hatası</v>
      </c>
      <c r="Q61" s="37">
        <f t="shared" si="3"/>
        <v>0</v>
      </c>
    </row>
    <row r="62" spans="2:17" ht="18.95" customHeight="1" x14ac:dyDescent="0.25">
      <c r="B62" s="203" t="str">
        <f>IF(Listeler!$B$9="","",Listeler!$B$9)</f>
        <v>Montaj hatası</v>
      </c>
      <c r="C62" s="202"/>
      <c r="D62" s="35">
        <f>IF(B62="","",COUNTIFS('İş Emri Takip'!$V$3:$V$1000,B62,'İş Emri Takip'!$B$3:$B$1000,"&lt;&gt;"))</f>
        <v>0</v>
      </c>
      <c r="E62" s="53">
        <f>IF(B62="","",SUMIFS('İş Emri Takip'!$U$3:$U$1000,'İş Emri Takip'!$V$3:$V$1000,B62,'İş Emri Takip'!$B$3:$B$1000,"&lt;&gt;"))</f>
        <v>0</v>
      </c>
      <c r="P62" t="str">
        <f t="shared" si="2"/>
        <v>Montaj hatası</v>
      </c>
      <c r="Q62" s="37">
        <f t="shared" si="3"/>
        <v>0</v>
      </c>
    </row>
    <row r="63" spans="2:17" ht="18.95" customHeight="1" x14ac:dyDescent="0.25">
      <c r="B63" s="203" t="str">
        <f>IF(Listeler!$B$10="","",Listeler!$B$10)</f>
        <v>Malzeme hatası</v>
      </c>
      <c r="C63" s="202"/>
      <c r="D63" s="35">
        <f>IF(B63="","",COUNTIFS('İş Emri Takip'!$V$3:$V$1000,B63,'İş Emri Takip'!$B$3:$B$1000,"&lt;&gt;"))</f>
        <v>0</v>
      </c>
      <c r="E63" s="53">
        <f>IF(B63="","",SUMIFS('İş Emri Takip'!$U$3:$U$1000,'İş Emri Takip'!$V$3:$V$1000,B63,'İş Emri Takip'!$B$3:$B$1000,"&lt;&gt;"))</f>
        <v>0</v>
      </c>
      <c r="P63" t="str">
        <f t="shared" si="2"/>
        <v>Malzeme hatası</v>
      </c>
      <c r="Q63" s="37">
        <f t="shared" si="3"/>
        <v>0</v>
      </c>
    </row>
    <row r="64" spans="2:17" ht="18.95" customHeight="1" x14ac:dyDescent="0.25">
      <c r="B64" s="203" t="str">
        <f>IF(Listeler!$B$11="","",Listeler!$B$11)</f>
        <v>Müşteri iadesi</v>
      </c>
      <c r="C64" s="202"/>
      <c r="D64" s="35">
        <f>IF(B64="","",COUNTIFS('İş Emri Takip'!$V$3:$V$1000,B64,'İş Emri Takip'!$B$3:$B$1000,"&lt;&gt;"))</f>
        <v>0</v>
      </c>
      <c r="E64" s="53">
        <f>IF(B64="","",SUMIFS('İş Emri Takip'!$U$3:$U$1000,'İş Emri Takip'!$V$3:$V$1000,B64,'İş Emri Takip'!$B$3:$B$1000,"&lt;&gt;"))</f>
        <v>0</v>
      </c>
      <c r="P64" t="str">
        <f t="shared" si="2"/>
        <v>Müşteri iadesi</v>
      </c>
      <c r="Q64" s="37">
        <f t="shared" si="3"/>
        <v>0</v>
      </c>
    </row>
    <row r="65" spans="2:17" ht="18.95" customHeight="1" x14ac:dyDescent="0.25">
      <c r="B65" s="203" t="str">
        <f>IF(Listeler!$B$12="","",Listeler!$B$12)</f>
        <v>Diğer</v>
      </c>
      <c r="C65" s="202"/>
      <c r="D65" s="35">
        <f>IF(B65="","",COUNTIFS('İş Emri Takip'!$V$3:$V$1000,B65,'İş Emri Takip'!$B$3:$B$1000,"&lt;&gt;"))</f>
        <v>0</v>
      </c>
      <c r="E65" s="53">
        <f>IF(B65="","",SUMIFS('İş Emri Takip'!$U$3:$U$1000,'İş Emri Takip'!$V$3:$V$1000,B65,'İş Emri Takip'!$B$3:$B$1000,"&lt;&gt;"))</f>
        <v>0</v>
      </c>
      <c r="P65" t="str">
        <f t="shared" si="2"/>
        <v>Diğer</v>
      </c>
      <c r="Q65" s="37">
        <f t="shared" si="3"/>
        <v>0</v>
      </c>
    </row>
    <row r="66" spans="2:17" ht="18.95" customHeight="1" x14ac:dyDescent="0.25">
      <c r="B66" s="203" t="str">
        <f>IF(Listeler!$B$13="","",Listeler!$B$13)</f>
        <v/>
      </c>
      <c r="C66" s="202"/>
      <c r="D66" s="35" t="str">
        <f>IF(B66="","",COUNTIFS('İş Emri Takip'!$V$3:$V$1000,B66,'İş Emri Takip'!$B$3:$B$1000,"&lt;&gt;"))</f>
        <v/>
      </c>
      <c r="E66" s="53" t="str">
        <f>IF(B66="","",SUMIFS('İş Emri Takip'!$U$3:$U$1000,'İş Emri Takip'!$V$3:$V$1000,B66,'İş Emri Takip'!$B$3:$B$1000,"&lt;&gt;"))</f>
        <v/>
      </c>
      <c r="P66" t="str">
        <f t="shared" si="2"/>
        <v/>
      </c>
      <c r="Q66" s="37">
        <f t="shared" si="3"/>
        <v>0</v>
      </c>
    </row>
    <row r="67" spans="2:17" ht="18.95" customHeight="1" x14ac:dyDescent="0.25">
      <c r="B67" s="203" t="str">
        <f>IF(Listeler!$B$14="","",Listeler!$B$14)</f>
        <v/>
      </c>
      <c r="C67" s="202"/>
      <c r="D67" s="35" t="str">
        <f>IF(B67="","",COUNTIFS('İş Emri Takip'!$V$3:$V$1000,B67,'İş Emri Takip'!$B$3:$B$1000,"&lt;&gt;"))</f>
        <v/>
      </c>
      <c r="E67" s="53" t="str">
        <f>IF(B67="","",SUMIFS('İş Emri Takip'!$U$3:$U$1000,'İş Emri Takip'!$V$3:$V$1000,B67,'İş Emri Takip'!$B$3:$B$1000,"&lt;&gt;"))</f>
        <v/>
      </c>
      <c r="P67" t="str">
        <f t="shared" si="2"/>
        <v/>
      </c>
      <c r="Q67" s="37">
        <f t="shared" si="3"/>
        <v>0</v>
      </c>
    </row>
    <row r="68" spans="2:17" ht="18.95" customHeight="1" x14ac:dyDescent="0.25">
      <c r="B68" s="203" t="str">
        <f>IF(Listeler!$B$15="","",Listeler!$B$15)</f>
        <v/>
      </c>
      <c r="C68" s="202"/>
      <c r="D68" s="35" t="str">
        <f>IF(B68="","",COUNTIFS('İş Emri Takip'!$V$3:$V$1000,B68,'İş Emri Takip'!$B$3:$B$1000,"&lt;&gt;"))</f>
        <v/>
      </c>
      <c r="E68" s="53" t="str">
        <f>IF(B68="","",SUMIFS('İş Emri Takip'!$U$3:$U$1000,'İş Emri Takip'!$V$3:$V$1000,B68,'İş Emri Takip'!$B$3:$B$1000,"&lt;&gt;"))</f>
        <v/>
      </c>
      <c r="P68" t="str">
        <f t="shared" si="2"/>
        <v/>
      </c>
      <c r="Q68" s="37">
        <f t="shared" si="3"/>
        <v>0</v>
      </c>
    </row>
    <row r="69" spans="2:17" ht="20.100000000000001" customHeight="1" x14ac:dyDescent="0.25">
      <c r="B69" s="220" t="s">
        <v>780</v>
      </c>
      <c r="C69" s="221"/>
      <c r="D69" s="38">
        <f>SUM(D57:D68)</f>
        <v>0</v>
      </c>
      <c r="E69" s="54">
        <f>SUM(E57:E68)</f>
        <v>0</v>
      </c>
    </row>
    <row r="70" spans="2:17" ht="14.1" customHeight="1" x14ac:dyDescent="0.25"/>
    <row r="71" spans="2:17" ht="26.1" customHeight="1" x14ac:dyDescent="0.25">
      <c r="B71" s="28" t="s">
        <v>799</v>
      </c>
      <c r="C71" s="29"/>
      <c r="D71" s="29"/>
      <c r="E71" s="217" t="s">
        <v>800</v>
      </c>
      <c r="F71" s="218"/>
      <c r="G71" s="218"/>
      <c r="H71" s="218"/>
      <c r="I71" s="218"/>
      <c r="J71" s="218"/>
      <c r="K71" s="218"/>
    </row>
    <row r="72" spans="2:17" ht="15" customHeight="1" x14ac:dyDescent="0.25"/>
    <row r="73" spans="2:17" ht="15" customHeight="1" x14ac:dyDescent="0.25"/>
    <row r="74" spans="2:17" ht="15" customHeight="1" x14ac:dyDescent="0.25"/>
    <row r="75" spans="2:17" ht="15" customHeight="1" x14ac:dyDescent="0.25"/>
    <row r="76" spans="2:17" ht="15" customHeight="1" x14ac:dyDescent="0.25"/>
    <row r="77" spans="2:17" ht="15" customHeight="1" x14ac:dyDescent="0.25"/>
    <row r="78" spans="2:17" ht="15" customHeight="1" x14ac:dyDescent="0.25"/>
    <row r="79" spans="2:17" ht="15" customHeight="1" x14ac:dyDescent="0.25"/>
    <row r="80" spans="2:17" ht="15" customHeight="1" x14ac:dyDescent="0.25"/>
    <row r="81" spans="2:19" ht="15" customHeight="1" x14ac:dyDescent="0.25"/>
    <row r="82" spans="2:19" ht="15" customHeight="1" x14ac:dyDescent="0.25"/>
    <row r="83" spans="2:19" ht="15" customHeight="1" x14ac:dyDescent="0.25"/>
    <row r="84" spans="2:19" ht="15" customHeight="1" x14ac:dyDescent="0.25"/>
    <row r="85" spans="2:19" ht="15" customHeight="1" x14ac:dyDescent="0.25"/>
    <row r="86" spans="2:19" ht="15" customHeight="1" x14ac:dyDescent="0.25"/>
    <row r="88" spans="2:19" ht="26.1" customHeight="1" x14ac:dyDescent="0.25">
      <c r="B88" s="28" t="s">
        <v>801</v>
      </c>
      <c r="C88" s="29"/>
      <c r="D88" s="29"/>
      <c r="E88" s="217" t="s">
        <v>802</v>
      </c>
      <c r="F88" s="218"/>
      <c r="G88" s="218"/>
      <c r="H88" s="218"/>
      <c r="I88" s="218"/>
      <c r="J88" s="218"/>
      <c r="K88" s="218"/>
      <c r="L88" s="29"/>
    </row>
    <row r="89" spans="2:19" ht="30" customHeight="1" x14ac:dyDescent="0.25">
      <c r="B89" s="231" t="s">
        <v>803</v>
      </c>
      <c r="C89" s="242" t="s">
        <v>804</v>
      </c>
      <c r="D89" s="223"/>
      <c r="E89" s="222" t="s">
        <v>805</v>
      </c>
      <c r="F89" s="223"/>
      <c r="G89" s="55" t="s">
        <v>753</v>
      </c>
      <c r="H89" s="56" t="s">
        <v>754</v>
      </c>
      <c r="I89" s="240" t="s">
        <v>806</v>
      </c>
      <c r="J89" s="223"/>
      <c r="K89" s="241" t="s">
        <v>807</v>
      </c>
      <c r="L89" s="223"/>
    </row>
    <row r="90" spans="2:19" ht="18" customHeight="1" x14ac:dyDescent="0.25">
      <c r="B90" s="232"/>
      <c r="C90" s="58" t="s">
        <v>761</v>
      </c>
      <c r="D90" s="58" t="s">
        <v>9</v>
      </c>
      <c r="E90" s="59" t="s">
        <v>761</v>
      </c>
      <c r="F90" s="59" t="s">
        <v>9</v>
      </c>
      <c r="G90" s="60" t="s">
        <v>761</v>
      </c>
      <c r="H90" s="61" t="s">
        <v>808</v>
      </c>
      <c r="I90" s="62" t="s">
        <v>809</v>
      </c>
      <c r="J90" s="62" t="s">
        <v>810</v>
      </c>
      <c r="K90" s="63" t="s">
        <v>761</v>
      </c>
      <c r="L90" s="63" t="s">
        <v>775</v>
      </c>
      <c r="Q90" t="s">
        <v>811</v>
      </c>
      <c r="R90" t="s">
        <v>812</v>
      </c>
      <c r="S90" t="s">
        <v>813</v>
      </c>
    </row>
    <row r="91" spans="2:19" ht="20.100000000000001" customHeight="1" x14ac:dyDescent="0.25">
      <c r="B91" s="64" t="s">
        <v>814</v>
      </c>
      <c r="C91" s="65">
        <f ca="1">IF($M91&gt;TODAY(),"",COUNTIFS('İş Emri Takip'!$F$3:$F$1000,"&gt;="&amp;$M91,'İş Emri Takip'!$F$3:$F$1000,"&lt;="&amp;$N91))</f>
        <v>103</v>
      </c>
      <c r="D91" s="66">
        <f ca="1">IF($M91&gt;TODAY(),"",SUMIFS('İş Emri Takip'!$D$3:$D$1000,'İş Emri Takip'!$F$3:$F$1000,"&gt;="&amp;$M91,'İş Emri Takip'!$F$3:$F$1000,"&lt;="&amp;$N91))</f>
        <v>404</v>
      </c>
      <c r="E91" s="65">
        <f ca="1">IF($M91&gt;TODAY(),"",COUNTIFS('İş Emri Takip'!$S$3:$S$1000,"&gt;="&amp;$M91,'İş Emri Takip'!$S$3:$S$1000,"&lt;="&amp;$N91))</f>
        <v>0</v>
      </c>
      <c r="F91" s="66">
        <f ca="1">IF($M91&gt;TODAY(),"",SUMIFS('İş Emri Takip'!$D$3:$D$1000,'İş Emri Takip'!$S$3:$S$1000,"&gt;="&amp;$M91,'İş Emri Takip'!$S$3:$S$1000,"&lt;="&amp;$N91))</f>
        <v>0</v>
      </c>
      <c r="G91" s="67">
        <f ca="1">IF($M91&gt;TODAY(),"",COUNTIFS('İş Emri Takip'!$T$3:$T$1000,"&gt;="&amp;$M91,'İş Emri Takip'!$T$3:$T$1000,"&lt;="&amp;$N91))</f>
        <v>47</v>
      </c>
      <c r="H91" s="67">
        <f ca="1">IF($M91&gt;TODAY(),"",COUNTIFS('İş Emri Takip'!$AQ$3:$AQ$1000,"&gt;="&amp;$M91,'İş Emri Takip'!$AQ$3:$AQ$1000,"&lt;="&amp;$N91)+COUNTIFS('İş Emri Takip'!$AR$3:$AR$1000,"&gt;="&amp;$M91,'İş Emri Takip'!$AR$3:$AR$1000,"&lt;="&amp;$N91)+COUNTIFS('İş Emri Takip'!$AS$3:$AS$1000,"&gt;="&amp;$M91,'İş Emri Takip'!$AS$3:$AS$1000,"&lt;="&amp;$N91)+COUNTIFS('İş Emri Takip'!$AT$3:$AT$1000,"&gt;="&amp;$M91,'İş Emri Takip'!$AT$3:$AT$1000,"&lt;="&amp;$N91)+COUNTIFS('İş Emri Takip'!$AU$3:$AU$1000,"&gt;="&amp;$M91,'İş Emri Takip'!$AU$3:$AU$1000,"&lt;="&amp;$N91)+COUNTIFS('İş Emri Takip'!$AV$3:$AV$1000,"&gt;="&amp;$M91,'İş Emri Takip'!$AV$3:$AV$1000,"&lt;="&amp;$N91)+COUNTIFS('İş Emri Takip'!$AW$3:$AW$1000,"&gt;="&amp;$M91,'İş Emri Takip'!$AW$3:$AW$1000,"&lt;="&amp;$N91)+COUNTIFS('İş Emri Takip'!$AX$3:$AX$1000,"&gt;="&amp;$M91,'İş Emri Takip'!$AX$3:$AX$1000,"&lt;="&amp;$N91)+COUNTIFS('İş Emri Takip'!$AY$3:$AY$1000,"&gt;="&amp;$M91,'İş Emri Takip'!$AY$3:$AY$1000,"&lt;="&amp;$N91)+COUNTIFS('İş Emri Takip'!$AZ$3:$AZ$1000,"&gt;="&amp;$M91,'İş Emri Takip'!$AZ$3:$AZ$1000,"&lt;="&amp;$N91)+COUNTIFS('İş Emri Takip'!$BA$3:$BA$1000,"&gt;="&amp;$M91,'İş Emri Takip'!$BA$3:$BA$1000,"&lt;="&amp;$N91)+COUNTIFS('İş Emri Takip'!$BB$3:$BB$1000,"&gt;="&amp;$M91,'İş Emri Takip'!$BB$3:$BB$1000,"&lt;="&amp;$N91))</f>
        <v>122</v>
      </c>
      <c r="I91" s="65">
        <f ca="1">IF($M91&gt;TODAY(),"",SUMIFS('İş Emri Takip'!$U$3:$U$1000,'İş Emri Takip'!$X$3:$X$1000,"&gt;="&amp;$M91,'İş Emri Takip'!$X$3:$X$1000,"&lt;="&amp;$N91))</f>
        <v>0</v>
      </c>
      <c r="J91" s="66">
        <f ca="1">IF($M91&gt;TODAY(),"",SUMIFS('İş Emri Takip'!$U$3:$U$1000,'İş Emri Takip'!$Y$3:$Y$1000,"&gt;="&amp;$M91,'İş Emri Takip'!$Y$3:$Y$1000,"&lt;="&amp;$N91))</f>
        <v>0</v>
      </c>
      <c r="K91" s="65">
        <f ca="1">IF($M91&gt;TODAY(),"",COUNTIFS('İş Emri Takip'!$F$3:$F$1000,"&lt;="&amp;MIN($N91,TODAY()))-COUNTIFS('İş Emri Takip'!$BC$3:$BC$1000,"&lt;="&amp;MIN($N91,TODAY())))</f>
        <v>59</v>
      </c>
      <c r="L91" s="66">
        <f ca="1">IF($M91&gt;TODAY(),"",SUMIFS('İş Emri Takip'!$U$3:$U$1000,'İş Emri Takip'!$X$3:$X$1000,"&lt;="&amp;MIN($N91,TODAY()))-SUMIFS('İş Emri Takip'!$U$3:$U$1000,'İş Emri Takip'!$Y$3:$Y$1000,"&lt;="&amp;MIN($N91,TODAY())))</f>
        <v>0</v>
      </c>
      <c r="M91" s="68">
        <v>46286</v>
      </c>
      <c r="N91" s="68">
        <v>46292</v>
      </c>
      <c r="P91" t="s">
        <v>815</v>
      </c>
      <c r="Q91">
        <f ca="1">IF(C91="",0,C91)</f>
        <v>103</v>
      </c>
      <c r="R91">
        <f ca="1">IF(E91="",0,E91)</f>
        <v>0</v>
      </c>
      <c r="S91">
        <f ca="1">IF(H91="",0,H91)</f>
        <v>122</v>
      </c>
    </row>
    <row r="92" spans="2:19" ht="20.100000000000001" customHeight="1" x14ac:dyDescent="0.25">
      <c r="B92" s="69" t="s">
        <v>816</v>
      </c>
      <c r="C92" s="70">
        <f ca="1">IF($M92&gt;TODAY(),"",COUNTIFS('İş Emri Takip'!$F$3:$F$1000,"&gt;="&amp;$M92,'İş Emri Takip'!$F$3:$F$1000,"&lt;="&amp;$N92))</f>
        <v>217</v>
      </c>
      <c r="D92" s="71">
        <f ca="1">IF($M92&gt;TODAY(),"",SUMIFS('İş Emri Takip'!$D$3:$D$1000,'İş Emri Takip'!$F$3:$F$1000,"&gt;="&amp;$M92,'İş Emri Takip'!$F$3:$F$1000,"&lt;="&amp;$N92))</f>
        <v>824</v>
      </c>
      <c r="E92" s="70">
        <f ca="1">IF($M92&gt;TODAY(),"",COUNTIFS('İş Emri Takip'!$S$3:$S$1000,"&gt;="&amp;$M92,'İş Emri Takip'!$S$3:$S$1000,"&lt;="&amp;$N92))</f>
        <v>3</v>
      </c>
      <c r="F92" s="71">
        <f ca="1">IF($M92&gt;TODAY(),"",SUMIFS('İş Emri Takip'!$D$3:$D$1000,'İş Emri Takip'!$S$3:$S$1000,"&gt;="&amp;$M92,'İş Emri Takip'!$S$3:$S$1000,"&lt;="&amp;$N92))</f>
        <v>24</v>
      </c>
      <c r="G92" s="72">
        <f ca="1">IF($M92&gt;TODAY(),"",COUNTIFS('İş Emri Takip'!$T$3:$T$1000,"&gt;="&amp;$M92,'İş Emri Takip'!$T$3:$T$1000,"&lt;="&amp;$N92))</f>
        <v>189</v>
      </c>
      <c r="H92" s="72">
        <f ca="1">IF($M92&gt;TODAY(),"",COUNTIFS('İş Emri Takip'!$AQ$3:$AQ$1000,"&gt;="&amp;$M92,'İş Emri Takip'!$AQ$3:$AQ$1000,"&lt;="&amp;$N92)+COUNTIFS('İş Emri Takip'!$AR$3:$AR$1000,"&gt;="&amp;$M92,'İş Emri Takip'!$AR$3:$AR$1000,"&lt;="&amp;$N92)+COUNTIFS('İş Emri Takip'!$AS$3:$AS$1000,"&gt;="&amp;$M92,'İş Emri Takip'!$AS$3:$AS$1000,"&lt;="&amp;$N92)+COUNTIFS('İş Emri Takip'!$AT$3:$AT$1000,"&gt;="&amp;$M92,'İş Emri Takip'!$AT$3:$AT$1000,"&lt;="&amp;$N92)+COUNTIFS('İş Emri Takip'!$AU$3:$AU$1000,"&gt;="&amp;$M92,'İş Emri Takip'!$AU$3:$AU$1000,"&lt;="&amp;$N92)+COUNTIFS('İş Emri Takip'!$AV$3:$AV$1000,"&gt;="&amp;$M92,'İş Emri Takip'!$AV$3:$AV$1000,"&lt;="&amp;$N92)+COUNTIFS('İş Emri Takip'!$AW$3:$AW$1000,"&gt;="&amp;$M92,'İş Emri Takip'!$AW$3:$AW$1000,"&lt;="&amp;$N92)+COUNTIFS('İş Emri Takip'!$AX$3:$AX$1000,"&gt;="&amp;$M92,'İş Emri Takip'!$AX$3:$AX$1000,"&lt;="&amp;$N92)+COUNTIFS('İş Emri Takip'!$AY$3:$AY$1000,"&gt;="&amp;$M92,'İş Emri Takip'!$AY$3:$AY$1000,"&lt;="&amp;$N92)+COUNTIFS('İş Emri Takip'!$AZ$3:$AZ$1000,"&gt;="&amp;$M92,'İş Emri Takip'!$AZ$3:$AZ$1000,"&lt;="&amp;$N92)+COUNTIFS('İş Emri Takip'!$BA$3:$BA$1000,"&gt;="&amp;$M92,'İş Emri Takip'!$BA$3:$BA$1000,"&lt;="&amp;$N92)+COUNTIFS('İş Emri Takip'!$BB$3:$BB$1000,"&gt;="&amp;$M92,'İş Emri Takip'!$BB$3:$BB$1000,"&lt;="&amp;$N92))</f>
        <v>435</v>
      </c>
      <c r="I92" s="70">
        <f ca="1">IF($M92&gt;TODAY(),"",SUMIFS('İş Emri Takip'!$U$3:$U$1000,'İş Emri Takip'!$X$3:$X$1000,"&gt;="&amp;$M92,'İş Emri Takip'!$X$3:$X$1000,"&lt;="&amp;$N92))</f>
        <v>0</v>
      </c>
      <c r="J92" s="71">
        <f ca="1">IF($M92&gt;TODAY(),"",SUMIFS('İş Emri Takip'!$U$3:$U$1000,'İş Emri Takip'!$Y$3:$Y$1000,"&gt;="&amp;$M92,'İş Emri Takip'!$Y$3:$Y$1000,"&lt;="&amp;$N92))</f>
        <v>0</v>
      </c>
      <c r="K92" s="70">
        <f ca="1">IF($M92&gt;TODAY(),"",COUNTIFS('İş Emri Takip'!$F$3:$F$1000,"&lt;="&amp;MIN($N92,TODAY()))-COUNTIFS('İş Emri Takip'!$BC$3:$BC$1000,"&lt;="&amp;MIN($N92,TODAY())))</f>
        <v>87</v>
      </c>
      <c r="L92" s="71">
        <f ca="1">IF($M92&gt;TODAY(),"",SUMIFS('İş Emri Takip'!$U$3:$U$1000,'İş Emri Takip'!$X$3:$X$1000,"&lt;="&amp;MIN($N92,TODAY()))-SUMIFS('İş Emri Takip'!$U$3:$U$1000,'İş Emri Takip'!$Y$3:$Y$1000,"&lt;="&amp;MIN($N92,TODAY())))</f>
        <v>0</v>
      </c>
      <c r="M92" s="68">
        <v>46293</v>
      </c>
      <c r="N92" s="68">
        <v>46299</v>
      </c>
      <c r="P92" t="s">
        <v>817</v>
      </c>
      <c r="Q92">
        <f ca="1">IF(C92="",0,C92)</f>
        <v>217</v>
      </c>
      <c r="R92">
        <f ca="1">IF(E92="",0,E92)</f>
        <v>3</v>
      </c>
      <c r="S92">
        <f ca="1">IF(H92="",0,H92)</f>
        <v>435</v>
      </c>
    </row>
    <row r="93" spans="2:19" ht="24" customHeight="1" x14ac:dyDescent="0.25">
      <c r="B93" s="73" t="s">
        <v>818</v>
      </c>
      <c r="C93" s="74">
        <f ca="1">IF($M93&gt;TODAY(),"",COUNTIFS('İş Emri Takip'!$F$3:$F$1000,"&gt;="&amp;$M93,'İş Emri Takip'!$F$3:$F$1000,"&lt;="&amp;$N93))</f>
        <v>233</v>
      </c>
      <c r="D93" s="75">
        <f ca="1">IF($M93&gt;TODAY(),"",SUMIFS('İş Emri Takip'!$D$3:$D$1000,'İş Emri Takip'!$F$3:$F$1000,"&gt;="&amp;$M93,'İş Emri Takip'!$F$3:$F$1000,"&lt;="&amp;$N93))</f>
        <v>1007</v>
      </c>
      <c r="E93" s="74">
        <f ca="1">IF($M93&gt;TODAY(),"",COUNTIFS('İş Emri Takip'!$S$3:$S$1000,"&gt;="&amp;$M93,'İş Emri Takip'!$S$3:$S$1000,"&lt;="&amp;$N93))</f>
        <v>3</v>
      </c>
      <c r="F93" s="75">
        <f ca="1">IF($M93&gt;TODAY(),"",SUMIFS('İş Emri Takip'!$D$3:$D$1000,'İş Emri Takip'!$S$3:$S$1000,"&gt;="&amp;$M93,'İş Emri Takip'!$S$3:$S$1000,"&lt;="&amp;$N93))</f>
        <v>24</v>
      </c>
      <c r="G93" s="76">
        <f ca="1">IF($M93&gt;TODAY(),"",COUNTIFS('İş Emri Takip'!$T$3:$T$1000,"&gt;="&amp;$M93,'İş Emri Takip'!$T$3:$T$1000,"&lt;="&amp;$N93))</f>
        <v>141</v>
      </c>
      <c r="H93" s="76">
        <f ca="1">IF($M93&gt;TODAY(),"",COUNTIFS('İş Emri Takip'!$AQ$3:$AQ$1000,"&gt;="&amp;$M93,'İş Emri Takip'!$AQ$3:$AQ$1000,"&lt;="&amp;$N93)+COUNTIFS('İş Emri Takip'!$AR$3:$AR$1000,"&gt;="&amp;$M93,'İş Emri Takip'!$AR$3:$AR$1000,"&lt;="&amp;$N93)+COUNTIFS('İş Emri Takip'!$AS$3:$AS$1000,"&gt;="&amp;$M93,'İş Emri Takip'!$AS$3:$AS$1000,"&lt;="&amp;$N93)+COUNTIFS('İş Emri Takip'!$AT$3:$AT$1000,"&gt;="&amp;$M93,'İş Emri Takip'!$AT$3:$AT$1000,"&lt;="&amp;$N93)+COUNTIFS('İş Emri Takip'!$AU$3:$AU$1000,"&gt;="&amp;$M93,'İş Emri Takip'!$AU$3:$AU$1000,"&lt;="&amp;$N93)+COUNTIFS('İş Emri Takip'!$AV$3:$AV$1000,"&gt;="&amp;$M93,'İş Emri Takip'!$AV$3:$AV$1000,"&lt;="&amp;$N93)+COUNTIFS('İş Emri Takip'!$AW$3:$AW$1000,"&gt;="&amp;$M93,'İş Emri Takip'!$AW$3:$AW$1000,"&lt;="&amp;$N93)+COUNTIFS('İş Emri Takip'!$AX$3:$AX$1000,"&gt;="&amp;$M93,'İş Emri Takip'!$AX$3:$AX$1000,"&lt;="&amp;$N93)+COUNTIFS('İş Emri Takip'!$AY$3:$AY$1000,"&gt;="&amp;$M93,'İş Emri Takip'!$AY$3:$AY$1000,"&lt;="&amp;$N93)+COUNTIFS('İş Emri Takip'!$AZ$3:$AZ$1000,"&gt;="&amp;$M93,'İş Emri Takip'!$AZ$3:$AZ$1000,"&lt;="&amp;$N93)+COUNTIFS('İş Emri Takip'!$BA$3:$BA$1000,"&gt;="&amp;$M93,'İş Emri Takip'!$BA$3:$BA$1000,"&lt;="&amp;$N93)+COUNTIFS('İş Emri Takip'!$BB$3:$BB$1000,"&gt;="&amp;$M93,'İş Emri Takip'!$BB$3:$BB$1000,"&lt;="&amp;$N93))</f>
        <v>325</v>
      </c>
      <c r="I93" s="74">
        <f ca="1">IF($M93&gt;TODAY(),"",SUMIFS('İş Emri Takip'!$U$3:$U$1000,'İş Emri Takip'!$X$3:$X$1000,"&gt;="&amp;$M93,'İş Emri Takip'!$X$3:$X$1000,"&lt;="&amp;$N93))</f>
        <v>0</v>
      </c>
      <c r="J93" s="75">
        <f ca="1">IF($M93&gt;TODAY(),"",SUMIFS('İş Emri Takip'!$U$3:$U$1000,'İş Emri Takip'!$Y$3:$Y$1000,"&gt;="&amp;$M93,'İş Emri Takip'!$Y$3:$Y$1000,"&lt;="&amp;$N93))</f>
        <v>0</v>
      </c>
      <c r="K93" s="74">
        <f ca="1">IF($M93&gt;TODAY(),"",COUNTIFS('İş Emri Takip'!$F$3:$F$1000,"&lt;="&amp;MIN($N93,TODAY()))-COUNTIFS('İş Emri Takip'!$BC$3:$BC$1000,"&lt;="&amp;MIN($N93,TODAY())))</f>
        <v>95</v>
      </c>
      <c r="L93" s="75">
        <f ca="1">IF($M93&gt;TODAY(),"",SUMIFS('İş Emri Takip'!$U$3:$U$1000,'İş Emri Takip'!$X$3:$X$1000,"&lt;="&amp;MIN($N93,TODAY()))-SUMIFS('İş Emri Takip'!$U$3:$U$1000,'İş Emri Takip'!$Y$3:$Y$1000,"&lt;="&amp;MIN($N93,TODAY())))</f>
        <v>0</v>
      </c>
      <c r="M93" s="68">
        <v>46286</v>
      </c>
      <c r="N93" s="68">
        <v>46295</v>
      </c>
      <c r="P93" t="s">
        <v>819</v>
      </c>
      <c r="Q93">
        <f ca="1">IF(C94="",0,C94)</f>
        <v>208</v>
      </c>
      <c r="R93">
        <f ca="1">IF(E94="",0,E94)</f>
        <v>0</v>
      </c>
      <c r="S93">
        <f ca="1">IF(H94="",0,H94)</f>
        <v>463</v>
      </c>
    </row>
    <row r="94" spans="2:19" ht="20.100000000000001" customHeight="1" x14ac:dyDescent="0.25">
      <c r="B94" s="64" t="s">
        <v>820</v>
      </c>
      <c r="C94" s="65">
        <f ca="1">IF($M94&gt;TODAY(),"",COUNTIFS('İş Emri Takip'!$F$3:$F$1000,"&gt;="&amp;$M94,'İş Emri Takip'!$F$3:$F$1000,"&lt;="&amp;$N94))</f>
        <v>208</v>
      </c>
      <c r="D94" s="66">
        <f ca="1">IF($M94&gt;TODAY(),"",SUMIFS('İş Emri Takip'!$D$3:$D$1000,'İş Emri Takip'!$F$3:$F$1000,"&gt;="&amp;$M94,'İş Emri Takip'!$F$3:$F$1000,"&lt;="&amp;$N94))</f>
        <v>1818</v>
      </c>
      <c r="E94" s="65">
        <f ca="1">IF($M94&gt;TODAY(),"",COUNTIFS('İş Emri Takip'!$S$3:$S$1000,"&gt;="&amp;$M94,'İş Emri Takip'!$S$3:$S$1000,"&lt;="&amp;$N94))</f>
        <v>0</v>
      </c>
      <c r="F94" s="66">
        <f ca="1">IF($M94&gt;TODAY(),"",SUMIFS('İş Emri Takip'!$D$3:$D$1000,'İş Emri Takip'!$S$3:$S$1000,"&gt;="&amp;$M94,'İş Emri Takip'!$S$3:$S$1000,"&lt;="&amp;$N94))</f>
        <v>0</v>
      </c>
      <c r="G94" s="67">
        <f ca="1">IF($M94&gt;TODAY(),"",COUNTIFS('İş Emri Takip'!$T$3:$T$1000,"&gt;="&amp;$M94,'İş Emri Takip'!$T$3:$T$1000,"&lt;="&amp;$N94))</f>
        <v>198</v>
      </c>
      <c r="H94" s="67">
        <f ca="1">IF($M94&gt;TODAY(),"",COUNTIFS('İş Emri Takip'!$AQ$3:$AQ$1000,"&gt;="&amp;$M94,'İş Emri Takip'!$AQ$3:$AQ$1000,"&lt;="&amp;$N94)+COUNTIFS('İş Emri Takip'!$AR$3:$AR$1000,"&gt;="&amp;$M94,'İş Emri Takip'!$AR$3:$AR$1000,"&lt;="&amp;$N94)+COUNTIFS('İş Emri Takip'!$AS$3:$AS$1000,"&gt;="&amp;$M94,'İş Emri Takip'!$AS$3:$AS$1000,"&lt;="&amp;$N94)+COUNTIFS('İş Emri Takip'!$AT$3:$AT$1000,"&gt;="&amp;$M94,'İş Emri Takip'!$AT$3:$AT$1000,"&lt;="&amp;$N94)+COUNTIFS('İş Emri Takip'!$AU$3:$AU$1000,"&gt;="&amp;$M94,'İş Emri Takip'!$AU$3:$AU$1000,"&lt;="&amp;$N94)+COUNTIFS('İş Emri Takip'!$AV$3:$AV$1000,"&gt;="&amp;$M94,'İş Emri Takip'!$AV$3:$AV$1000,"&lt;="&amp;$N94)+COUNTIFS('İş Emri Takip'!$AW$3:$AW$1000,"&gt;="&amp;$M94,'İş Emri Takip'!$AW$3:$AW$1000,"&lt;="&amp;$N94)+COUNTIFS('İş Emri Takip'!$AX$3:$AX$1000,"&gt;="&amp;$M94,'İş Emri Takip'!$AX$3:$AX$1000,"&lt;="&amp;$N94)+COUNTIFS('İş Emri Takip'!$AY$3:$AY$1000,"&gt;="&amp;$M94,'İş Emri Takip'!$AY$3:$AY$1000,"&lt;="&amp;$N94)+COUNTIFS('İş Emri Takip'!$AZ$3:$AZ$1000,"&gt;="&amp;$M94,'İş Emri Takip'!$AZ$3:$AZ$1000,"&lt;="&amp;$N94)+COUNTIFS('İş Emri Takip'!$BA$3:$BA$1000,"&gt;="&amp;$M94,'İş Emri Takip'!$BA$3:$BA$1000,"&lt;="&amp;$N94)+COUNTIFS('İş Emri Takip'!$BB$3:$BB$1000,"&gt;="&amp;$M94,'İş Emri Takip'!$BB$3:$BB$1000,"&lt;="&amp;$N94))</f>
        <v>463</v>
      </c>
      <c r="I94" s="65">
        <f ca="1">IF($M94&gt;TODAY(),"",SUMIFS('İş Emri Takip'!$U$3:$U$1000,'İş Emri Takip'!$X$3:$X$1000,"&gt;="&amp;$M94,'İş Emri Takip'!$X$3:$X$1000,"&lt;="&amp;$N94))</f>
        <v>0</v>
      </c>
      <c r="J94" s="66">
        <f ca="1">IF($M94&gt;TODAY(),"",SUMIFS('İş Emri Takip'!$U$3:$U$1000,'İş Emri Takip'!$Y$3:$Y$1000,"&gt;="&amp;$M94,'İş Emri Takip'!$Y$3:$Y$1000,"&lt;="&amp;$N94))</f>
        <v>0</v>
      </c>
      <c r="K94" s="65">
        <f ca="1">IF($M94&gt;TODAY(),"",COUNTIFS('İş Emri Takip'!$F$3:$F$1000,"&lt;="&amp;MIN($N94,TODAY()))-COUNTIFS('İş Emri Takip'!$BC$3:$BC$1000,"&lt;="&amp;MIN($N94,TODAY())))</f>
        <v>97</v>
      </c>
      <c r="L94" s="66">
        <f ca="1">IF($M94&gt;TODAY(),"",SUMIFS('İş Emri Takip'!$U$3:$U$1000,'İş Emri Takip'!$X$3:$X$1000,"&lt;="&amp;MIN($N94,TODAY()))-SUMIFS('İş Emri Takip'!$U$3:$U$1000,'İş Emri Takip'!$Y$3:$Y$1000,"&lt;="&amp;MIN($N94,TODAY())))</f>
        <v>0</v>
      </c>
      <c r="M94" s="68">
        <v>46300</v>
      </c>
      <c r="N94" s="68">
        <v>46306</v>
      </c>
      <c r="P94" t="s">
        <v>821</v>
      </c>
      <c r="Q94">
        <f ca="1">IF(C95="",0,C95)</f>
        <v>0</v>
      </c>
      <c r="R94">
        <f ca="1">IF(E95="",0,E95)</f>
        <v>0</v>
      </c>
      <c r="S94">
        <f ca="1">IF(H95="",0,H95)</f>
        <v>16</v>
      </c>
    </row>
    <row r="95" spans="2:19" ht="20.100000000000001" customHeight="1" x14ac:dyDescent="0.25">
      <c r="B95" s="69" t="s">
        <v>822</v>
      </c>
      <c r="C95" s="70">
        <f ca="1">IF($M95&gt;TODAY(),"",COUNTIFS('İş Emri Takip'!$F$3:$F$1000,"&gt;="&amp;$M95,'İş Emri Takip'!$F$3:$F$1000,"&lt;="&amp;$N95))</f>
        <v>0</v>
      </c>
      <c r="D95" s="71">
        <f ca="1">IF($M95&gt;TODAY(),"",SUMIFS('İş Emri Takip'!$D$3:$D$1000,'İş Emri Takip'!$F$3:$F$1000,"&gt;="&amp;$M95,'İş Emri Takip'!$F$3:$F$1000,"&lt;="&amp;$N95))</f>
        <v>0</v>
      </c>
      <c r="E95" s="70">
        <f ca="1">IF($M95&gt;TODAY(),"",COUNTIFS('İş Emri Takip'!$S$3:$S$1000,"&gt;="&amp;$M95,'İş Emri Takip'!$S$3:$S$1000,"&lt;="&amp;$N95))</f>
        <v>0</v>
      </c>
      <c r="F95" s="71">
        <f ca="1">IF($M95&gt;TODAY(),"",SUMIFS('İş Emri Takip'!$D$3:$D$1000,'İş Emri Takip'!$S$3:$S$1000,"&gt;="&amp;$M95,'İş Emri Takip'!$S$3:$S$1000,"&lt;="&amp;$N95))</f>
        <v>0</v>
      </c>
      <c r="G95" s="72">
        <f ca="1">IF($M95&gt;TODAY(),"",COUNTIFS('İş Emri Takip'!$T$3:$T$1000,"&gt;="&amp;$M95,'İş Emri Takip'!$T$3:$T$1000,"&lt;="&amp;$N95))</f>
        <v>8</v>
      </c>
      <c r="H95" s="72">
        <f ca="1">IF($M95&gt;TODAY(),"",COUNTIFS('İş Emri Takip'!$AQ$3:$AQ$1000,"&gt;="&amp;$M95,'İş Emri Takip'!$AQ$3:$AQ$1000,"&lt;="&amp;$N95)+COUNTIFS('İş Emri Takip'!$AR$3:$AR$1000,"&gt;="&amp;$M95,'İş Emri Takip'!$AR$3:$AR$1000,"&lt;="&amp;$N95)+COUNTIFS('İş Emri Takip'!$AS$3:$AS$1000,"&gt;="&amp;$M95,'İş Emri Takip'!$AS$3:$AS$1000,"&lt;="&amp;$N95)+COUNTIFS('İş Emri Takip'!$AT$3:$AT$1000,"&gt;="&amp;$M95,'İş Emri Takip'!$AT$3:$AT$1000,"&lt;="&amp;$N95)+COUNTIFS('İş Emri Takip'!$AU$3:$AU$1000,"&gt;="&amp;$M95,'İş Emri Takip'!$AU$3:$AU$1000,"&lt;="&amp;$N95)+COUNTIFS('İş Emri Takip'!$AV$3:$AV$1000,"&gt;="&amp;$M95,'İş Emri Takip'!$AV$3:$AV$1000,"&lt;="&amp;$N95)+COUNTIFS('İş Emri Takip'!$AW$3:$AW$1000,"&gt;="&amp;$M95,'İş Emri Takip'!$AW$3:$AW$1000,"&lt;="&amp;$N95)+COUNTIFS('İş Emri Takip'!$AX$3:$AX$1000,"&gt;="&amp;$M95,'İş Emri Takip'!$AX$3:$AX$1000,"&lt;="&amp;$N95)+COUNTIFS('İş Emri Takip'!$AY$3:$AY$1000,"&gt;="&amp;$M95,'İş Emri Takip'!$AY$3:$AY$1000,"&lt;="&amp;$N95)+COUNTIFS('İş Emri Takip'!$AZ$3:$AZ$1000,"&gt;="&amp;$M95,'İş Emri Takip'!$AZ$3:$AZ$1000,"&lt;="&amp;$N95)+COUNTIFS('İş Emri Takip'!$BA$3:$BA$1000,"&gt;="&amp;$M95,'İş Emri Takip'!$BA$3:$BA$1000,"&lt;="&amp;$N95)+COUNTIFS('İş Emri Takip'!$BB$3:$BB$1000,"&gt;="&amp;$M95,'İş Emri Takip'!$BB$3:$BB$1000,"&lt;="&amp;$N95))</f>
        <v>16</v>
      </c>
      <c r="I95" s="70">
        <f ca="1">IF($M95&gt;TODAY(),"",SUMIFS('İş Emri Takip'!$U$3:$U$1000,'İş Emri Takip'!$X$3:$X$1000,"&gt;="&amp;$M95,'İş Emri Takip'!$X$3:$X$1000,"&lt;="&amp;$N95))</f>
        <v>0</v>
      </c>
      <c r="J95" s="71">
        <f ca="1">IF($M95&gt;TODAY(),"",SUMIFS('İş Emri Takip'!$U$3:$U$1000,'İş Emri Takip'!$Y$3:$Y$1000,"&gt;="&amp;$M95,'İş Emri Takip'!$Y$3:$Y$1000,"&lt;="&amp;$N95))</f>
        <v>0</v>
      </c>
      <c r="K95" s="70">
        <f ca="1">IF($M95&gt;TODAY(),"",COUNTIFS('İş Emri Takip'!$F$3:$F$1000,"&lt;="&amp;MIN($N95,TODAY()))-COUNTIFS('İş Emri Takip'!$BC$3:$BC$1000,"&lt;="&amp;MIN($N95,TODAY())))</f>
        <v>89</v>
      </c>
      <c r="L95" s="71">
        <f ca="1">IF($M95&gt;TODAY(),"",SUMIFS('İş Emri Takip'!$U$3:$U$1000,'İş Emri Takip'!$X$3:$X$1000,"&lt;="&amp;MIN($N95,TODAY()))-SUMIFS('İş Emri Takip'!$U$3:$U$1000,'İş Emri Takip'!$Y$3:$Y$1000,"&lt;="&amp;MIN($N95,TODAY())))</f>
        <v>0</v>
      </c>
      <c r="M95" s="68">
        <v>46307</v>
      </c>
      <c r="N95" s="68">
        <v>46313</v>
      </c>
      <c r="P95" t="s">
        <v>823</v>
      </c>
      <c r="Q95">
        <f ca="1">IF(C96="",0,C96)</f>
        <v>0</v>
      </c>
      <c r="R95">
        <f ca="1">IF(E96="",0,E96)</f>
        <v>0</v>
      </c>
      <c r="S95">
        <f ca="1">IF(H96="",0,H96)</f>
        <v>0</v>
      </c>
    </row>
    <row r="96" spans="2:19" ht="20.100000000000001" customHeight="1" x14ac:dyDescent="0.25">
      <c r="B96" s="64" t="s">
        <v>824</v>
      </c>
      <c r="C96" s="65" t="str">
        <f ca="1">IF($M96&gt;TODAY(),"",COUNTIFS('İş Emri Takip'!$F$3:$F$1000,"&gt;="&amp;$M96,'İş Emri Takip'!$F$3:$F$1000,"&lt;="&amp;$N96))</f>
        <v/>
      </c>
      <c r="D96" s="66" t="str">
        <f ca="1">IF($M96&gt;TODAY(),"",SUMIFS('İş Emri Takip'!$D$3:$D$1000,'İş Emri Takip'!$F$3:$F$1000,"&gt;="&amp;$M96,'İş Emri Takip'!$F$3:$F$1000,"&lt;="&amp;$N96))</f>
        <v/>
      </c>
      <c r="E96" s="65" t="str">
        <f ca="1">IF($M96&gt;TODAY(),"",COUNTIFS('İş Emri Takip'!$S$3:$S$1000,"&gt;="&amp;$M96,'İş Emri Takip'!$S$3:$S$1000,"&lt;="&amp;$N96))</f>
        <v/>
      </c>
      <c r="F96" s="66" t="str">
        <f ca="1">IF($M96&gt;TODAY(),"",SUMIFS('İş Emri Takip'!$D$3:$D$1000,'İş Emri Takip'!$S$3:$S$1000,"&gt;="&amp;$M96,'İş Emri Takip'!$S$3:$S$1000,"&lt;="&amp;$N96))</f>
        <v/>
      </c>
      <c r="G96" s="67" t="str">
        <f ca="1">IF($M96&gt;TODAY(),"",COUNTIFS('İş Emri Takip'!$T$3:$T$1000,"&gt;="&amp;$M96,'İş Emri Takip'!$T$3:$T$1000,"&lt;="&amp;$N96))</f>
        <v/>
      </c>
      <c r="H96" s="67" t="str">
        <f ca="1">IF($M96&gt;TODAY(),"",COUNTIFS('İş Emri Takip'!$AQ$3:$AQ$1000,"&gt;="&amp;$M96,'İş Emri Takip'!$AQ$3:$AQ$1000,"&lt;="&amp;$N96)+COUNTIFS('İş Emri Takip'!$AR$3:$AR$1000,"&gt;="&amp;$M96,'İş Emri Takip'!$AR$3:$AR$1000,"&lt;="&amp;$N96)+COUNTIFS('İş Emri Takip'!$AS$3:$AS$1000,"&gt;="&amp;$M96,'İş Emri Takip'!$AS$3:$AS$1000,"&lt;="&amp;$N96)+COUNTIFS('İş Emri Takip'!$AT$3:$AT$1000,"&gt;="&amp;$M96,'İş Emri Takip'!$AT$3:$AT$1000,"&lt;="&amp;$N96)+COUNTIFS('İş Emri Takip'!$AU$3:$AU$1000,"&gt;="&amp;$M96,'İş Emri Takip'!$AU$3:$AU$1000,"&lt;="&amp;$N96)+COUNTIFS('İş Emri Takip'!$AV$3:$AV$1000,"&gt;="&amp;$M96,'İş Emri Takip'!$AV$3:$AV$1000,"&lt;="&amp;$N96)+COUNTIFS('İş Emri Takip'!$AW$3:$AW$1000,"&gt;="&amp;$M96,'İş Emri Takip'!$AW$3:$AW$1000,"&lt;="&amp;$N96)+COUNTIFS('İş Emri Takip'!$AX$3:$AX$1000,"&gt;="&amp;$M96,'İş Emri Takip'!$AX$3:$AX$1000,"&lt;="&amp;$N96)+COUNTIFS('İş Emri Takip'!$AY$3:$AY$1000,"&gt;="&amp;$M96,'İş Emri Takip'!$AY$3:$AY$1000,"&lt;="&amp;$N96)+COUNTIFS('İş Emri Takip'!$AZ$3:$AZ$1000,"&gt;="&amp;$M96,'İş Emri Takip'!$AZ$3:$AZ$1000,"&lt;="&amp;$N96)+COUNTIFS('İş Emri Takip'!$BA$3:$BA$1000,"&gt;="&amp;$M96,'İş Emri Takip'!$BA$3:$BA$1000,"&lt;="&amp;$N96)+COUNTIFS('İş Emri Takip'!$BB$3:$BB$1000,"&gt;="&amp;$M96,'İş Emri Takip'!$BB$3:$BB$1000,"&lt;="&amp;$N96))</f>
        <v/>
      </c>
      <c r="I96" s="65" t="str">
        <f ca="1">IF($M96&gt;TODAY(),"",SUMIFS('İş Emri Takip'!$U$3:$U$1000,'İş Emri Takip'!$X$3:$X$1000,"&gt;="&amp;$M96,'İş Emri Takip'!$X$3:$X$1000,"&lt;="&amp;$N96))</f>
        <v/>
      </c>
      <c r="J96" s="66" t="str">
        <f ca="1">IF($M96&gt;TODAY(),"",SUMIFS('İş Emri Takip'!$U$3:$U$1000,'İş Emri Takip'!$Y$3:$Y$1000,"&gt;="&amp;$M96,'İş Emri Takip'!$Y$3:$Y$1000,"&lt;="&amp;$N96))</f>
        <v/>
      </c>
      <c r="K96" s="65" t="str">
        <f ca="1">IF($M96&gt;TODAY(),"",COUNTIFS('İş Emri Takip'!$F$3:$F$1000,"&lt;="&amp;MIN($N96,TODAY()))-COUNTIFS('İş Emri Takip'!$BC$3:$BC$1000,"&lt;="&amp;MIN($N96,TODAY())))</f>
        <v/>
      </c>
      <c r="L96" s="66" t="str">
        <f ca="1">IF($M96&gt;TODAY(),"",SUMIFS('İş Emri Takip'!$U$3:$U$1000,'İş Emri Takip'!$X$3:$X$1000,"&lt;="&amp;MIN($N96,TODAY()))-SUMIFS('İş Emri Takip'!$U$3:$U$1000,'İş Emri Takip'!$Y$3:$Y$1000,"&lt;="&amp;MIN($N96,TODAY())))</f>
        <v/>
      </c>
      <c r="M96" s="68">
        <v>46314</v>
      </c>
      <c r="N96" s="68">
        <v>46320</v>
      </c>
      <c r="P96" t="s">
        <v>825</v>
      </c>
      <c r="Q96">
        <f ca="1">IF(C97="",0,C97)</f>
        <v>0</v>
      </c>
      <c r="R96">
        <f ca="1">IF(E97="",0,E97)</f>
        <v>0</v>
      </c>
      <c r="S96">
        <f ca="1">IF(H97="",0,H97)</f>
        <v>0</v>
      </c>
    </row>
    <row r="97" spans="2:19" ht="20.100000000000001" customHeight="1" x14ac:dyDescent="0.25">
      <c r="B97" s="69" t="s">
        <v>826</v>
      </c>
      <c r="C97" s="70" t="str">
        <f ca="1">IF($M97&gt;TODAY(),"",COUNTIFS('İş Emri Takip'!$F$3:$F$1000,"&gt;="&amp;$M97,'İş Emri Takip'!$F$3:$F$1000,"&lt;="&amp;$N97))</f>
        <v/>
      </c>
      <c r="D97" s="71" t="str">
        <f ca="1">IF($M97&gt;TODAY(),"",SUMIFS('İş Emri Takip'!$D$3:$D$1000,'İş Emri Takip'!$F$3:$F$1000,"&gt;="&amp;$M97,'İş Emri Takip'!$F$3:$F$1000,"&lt;="&amp;$N97))</f>
        <v/>
      </c>
      <c r="E97" s="70" t="str">
        <f ca="1">IF($M97&gt;TODAY(),"",COUNTIFS('İş Emri Takip'!$S$3:$S$1000,"&gt;="&amp;$M97,'İş Emri Takip'!$S$3:$S$1000,"&lt;="&amp;$N97))</f>
        <v/>
      </c>
      <c r="F97" s="71" t="str">
        <f ca="1">IF($M97&gt;TODAY(),"",SUMIFS('İş Emri Takip'!$D$3:$D$1000,'İş Emri Takip'!$S$3:$S$1000,"&gt;="&amp;$M97,'İş Emri Takip'!$S$3:$S$1000,"&lt;="&amp;$N97))</f>
        <v/>
      </c>
      <c r="G97" s="72" t="str">
        <f ca="1">IF($M97&gt;TODAY(),"",COUNTIFS('İş Emri Takip'!$T$3:$T$1000,"&gt;="&amp;$M97,'İş Emri Takip'!$T$3:$T$1000,"&lt;="&amp;$N97))</f>
        <v/>
      </c>
      <c r="H97" s="72" t="str">
        <f ca="1">IF($M97&gt;TODAY(),"",COUNTIFS('İş Emri Takip'!$AQ$3:$AQ$1000,"&gt;="&amp;$M97,'İş Emri Takip'!$AQ$3:$AQ$1000,"&lt;="&amp;$N97)+COUNTIFS('İş Emri Takip'!$AR$3:$AR$1000,"&gt;="&amp;$M97,'İş Emri Takip'!$AR$3:$AR$1000,"&lt;="&amp;$N97)+COUNTIFS('İş Emri Takip'!$AS$3:$AS$1000,"&gt;="&amp;$M97,'İş Emri Takip'!$AS$3:$AS$1000,"&lt;="&amp;$N97)+COUNTIFS('İş Emri Takip'!$AT$3:$AT$1000,"&gt;="&amp;$M97,'İş Emri Takip'!$AT$3:$AT$1000,"&lt;="&amp;$N97)+COUNTIFS('İş Emri Takip'!$AU$3:$AU$1000,"&gt;="&amp;$M97,'İş Emri Takip'!$AU$3:$AU$1000,"&lt;="&amp;$N97)+COUNTIFS('İş Emri Takip'!$AV$3:$AV$1000,"&gt;="&amp;$M97,'İş Emri Takip'!$AV$3:$AV$1000,"&lt;="&amp;$N97)+COUNTIFS('İş Emri Takip'!$AW$3:$AW$1000,"&gt;="&amp;$M97,'İş Emri Takip'!$AW$3:$AW$1000,"&lt;="&amp;$N97)+COUNTIFS('İş Emri Takip'!$AX$3:$AX$1000,"&gt;="&amp;$M97,'İş Emri Takip'!$AX$3:$AX$1000,"&lt;="&amp;$N97)+COUNTIFS('İş Emri Takip'!$AY$3:$AY$1000,"&gt;="&amp;$M97,'İş Emri Takip'!$AY$3:$AY$1000,"&lt;="&amp;$N97)+COUNTIFS('İş Emri Takip'!$AZ$3:$AZ$1000,"&gt;="&amp;$M97,'İş Emri Takip'!$AZ$3:$AZ$1000,"&lt;="&amp;$N97)+COUNTIFS('İş Emri Takip'!$BA$3:$BA$1000,"&gt;="&amp;$M97,'İş Emri Takip'!$BA$3:$BA$1000,"&lt;="&amp;$N97)+COUNTIFS('İş Emri Takip'!$BB$3:$BB$1000,"&gt;="&amp;$M97,'İş Emri Takip'!$BB$3:$BB$1000,"&lt;="&amp;$N97))</f>
        <v/>
      </c>
      <c r="I97" s="70" t="str">
        <f ca="1">IF($M97&gt;TODAY(),"",SUMIFS('İş Emri Takip'!$U$3:$U$1000,'İş Emri Takip'!$X$3:$X$1000,"&gt;="&amp;$M97,'İş Emri Takip'!$X$3:$X$1000,"&lt;="&amp;$N97))</f>
        <v/>
      </c>
      <c r="J97" s="71" t="str">
        <f ca="1">IF($M97&gt;TODAY(),"",SUMIFS('İş Emri Takip'!$U$3:$U$1000,'İş Emri Takip'!$Y$3:$Y$1000,"&gt;="&amp;$M97,'İş Emri Takip'!$Y$3:$Y$1000,"&lt;="&amp;$N97))</f>
        <v/>
      </c>
      <c r="K97" s="70" t="str">
        <f ca="1">IF($M97&gt;TODAY(),"",COUNTIFS('İş Emri Takip'!$F$3:$F$1000,"&lt;="&amp;MIN($N97,TODAY()))-COUNTIFS('İş Emri Takip'!$BC$3:$BC$1000,"&lt;="&amp;MIN($N97,TODAY())))</f>
        <v/>
      </c>
      <c r="L97" s="71" t="str">
        <f ca="1">IF($M97&gt;TODAY(),"",SUMIFS('İş Emri Takip'!$U$3:$U$1000,'İş Emri Takip'!$X$3:$X$1000,"&lt;="&amp;MIN($N97,TODAY()))-SUMIFS('İş Emri Takip'!$U$3:$U$1000,'İş Emri Takip'!$Y$3:$Y$1000,"&lt;="&amp;MIN($N97,TODAY())))</f>
        <v/>
      </c>
      <c r="M97" s="68">
        <v>46321</v>
      </c>
      <c r="N97" s="68">
        <v>46327</v>
      </c>
      <c r="P97" t="s">
        <v>827</v>
      </c>
      <c r="Q97">
        <f ca="1">IF(C99="",0,C99)</f>
        <v>0</v>
      </c>
      <c r="R97">
        <f ca="1">IF(E99="",0,E99)</f>
        <v>0</v>
      </c>
      <c r="S97">
        <f ca="1">IF(H99="",0,H99)</f>
        <v>0</v>
      </c>
    </row>
    <row r="98" spans="2:19" ht="24" customHeight="1" x14ac:dyDescent="0.25">
      <c r="B98" s="73" t="s">
        <v>828</v>
      </c>
      <c r="C98" s="74">
        <f ca="1">IF($M98&gt;TODAY(),"",COUNTIFS('İş Emri Takip'!$F$3:$F$1000,"&gt;="&amp;$M98,'İş Emri Takip'!$F$3:$F$1000,"&lt;="&amp;$N98))</f>
        <v>295</v>
      </c>
      <c r="D98" s="75">
        <f ca="1">IF($M98&gt;TODAY(),"",SUMIFS('İş Emri Takip'!$D$3:$D$1000,'İş Emri Takip'!$F$3:$F$1000,"&gt;="&amp;$M98,'İş Emri Takip'!$F$3:$F$1000,"&lt;="&amp;$N98))</f>
        <v>2039</v>
      </c>
      <c r="E98" s="74">
        <f ca="1">IF($M98&gt;TODAY(),"",COUNTIFS('İş Emri Takip'!$S$3:$S$1000,"&gt;="&amp;$M98,'İş Emri Takip'!$S$3:$S$1000,"&lt;="&amp;$N98))</f>
        <v>0</v>
      </c>
      <c r="F98" s="75">
        <f ca="1">IF($M98&gt;TODAY(),"",SUMIFS('İş Emri Takip'!$D$3:$D$1000,'İş Emri Takip'!$S$3:$S$1000,"&gt;="&amp;$M98,'İş Emri Takip'!$S$3:$S$1000,"&lt;="&amp;$N98))</f>
        <v>0</v>
      </c>
      <c r="G98" s="76">
        <f ca="1">IF($M98&gt;TODAY(),"",COUNTIFS('İş Emri Takip'!$T$3:$T$1000,"&gt;="&amp;$M98,'İş Emri Takip'!$T$3:$T$1000,"&lt;="&amp;$N98))</f>
        <v>301</v>
      </c>
      <c r="H98" s="76">
        <f ca="1">IF($M98&gt;TODAY(),"",COUNTIFS('İş Emri Takip'!$AQ$3:$AQ$1000,"&gt;="&amp;$M98,'İş Emri Takip'!$AQ$3:$AQ$1000,"&lt;="&amp;$N98)+COUNTIFS('İş Emri Takip'!$AR$3:$AR$1000,"&gt;="&amp;$M98,'İş Emri Takip'!$AR$3:$AR$1000,"&lt;="&amp;$N98)+COUNTIFS('İş Emri Takip'!$AS$3:$AS$1000,"&gt;="&amp;$M98,'İş Emri Takip'!$AS$3:$AS$1000,"&lt;="&amp;$N98)+COUNTIFS('İş Emri Takip'!$AT$3:$AT$1000,"&gt;="&amp;$M98,'İş Emri Takip'!$AT$3:$AT$1000,"&lt;="&amp;$N98)+COUNTIFS('İş Emri Takip'!$AU$3:$AU$1000,"&gt;="&amp;$M98,'İş Emri Takip'!$AU$3:$AU$1000,"&lt;="&amp;$N98)+COUNTIFS('İş Emri Takip'!$AV$3:$AV$1000,"&gt;="&amp;$M98,'İş Emri Takip'!$AV$3:$AV$1000,"&lt;="&amp;$N98)+COUNTIFS('İş Emri Takip'!$AW$3:$AW$1000,"&gt;="&amp;$M98,'İş Emri Takip'!$AW$3:$AW$1000,"&lt;="&amp;$N98)+COUNTIFS('İş Emri Takip'!$AX$3:$AX$1000,"&gt;="&amp;$M98,'İş Emri Takip'!$AX$3:$AX$1000,"&lt;="&amp;$N98)+COUNTIFS('İş Emri Takip'!$AY$3:$AY$1000,"&gt;="&amp;$M98,'İş Emri Takip'!$AY$3:$AY$1000,"&lt;="&amp;$N98)+COUNTIFS('İş Emri Takip'!$AZ$3:$AZ$1000,"&gt;="&amp;$M98,'İş Emri Takip'!$AZ$3:$AZ$1000,"&lt;="&amp;$N98)+COUNTIFS('İş Emri Takip'!$BA$3:$BA$1000,"&gt;="&amp;$M98,'İş Emri Takip'!$BA$3:$BA$1000,"&lt;="&amp;$N98)+COUNTIFS('İş Emri Takip'!$BB$3:$BB$1000,"&gt;="&amp;$M98,'İş Emri Takip'!$BB$3:$BB$1000,"&lt;="&amp;$N98))</f>
        <v>711</v>
      </c>
      <c r="I98" s="74">
        <f ca="1">IF($M98&gt;TODAY(),"",SUMIFS('İş Emri Takip'!$U$3:$U$1000,'İş Emri Takip'!$X$3:$X$1000,"&gt;="&amp;$M98,'İş Emri Takip'!$X$3:$X$1000,"&lt;="&amp;$N98))</f>
        <v>0</v>
      </c>
      <c r="J98" s="75">
        <f ca="1">IF($M98&gt;TODAY(),"",SUMIFS('İş Emri Takip'!$U$3:$U$1000,'İş Emri Takip'!$Y$3:$Y$1000,"&gt;="&amp;$M98,'İş Emri Takip'!$Y$3:$Y$1000,"&lt;="&amp;$N98))</f>
        <v>0</v>
      </c>
      <c r="K98" s="74">
        <f ca="1">IF($M98&gt;TODAY(),"",COUNTIFS('İş Emri Takip'!$F$3:$F$1000,"&lt;="&amp;MIN($N98,TODAY()))-COUNTIFS('İş Emri Takip'!$BC$3:$BC$1000,"&lt;="&amp;MIN($N98,TODAY())))</f>
        <v>89</v>
      </c>
      <c r="L98" s="75">
        <f ca="1">IF($M98&gt;TODAY(),"",SUMIFS('İş Emri Takip'!$U$3:$U$1000,'İş Emri Takip'!$X$3:$X$1000,"&lt;="&amp;MIN($N98,TODAY()))-SUMIFS('İş Emri Takip'!$U$3:$U$1000,'İş Emri Takip'!$Y$3:$Y$1000,"&lt;="&amp;MIN($N98,TODAY())))</f>
        <v>0</v>
      </c>
      <c r="M98" s="68">
        <v>46296</v>
      </c>
      <c r="N98" s="68">
        <v>46326</v>
      </c>
      <c r="P98" t="s">
        <v>829</v>
      </c>
      <c r="Q98">
        <f ca="1">IF(C100="",0,C100)</f>
        <v>0</v>
      </c>
      <c r="R98">
        <f ca="1">IF(E100="",0,E100)</f>
        <v>0</v>
      </c>
      <c r="S98">
        <f ca="1">IF(H100="",0,H100)</f>
        <v>0</v>
      </c>
    </row>
    <row r="99" spans="2:19" ht="20.100000000000001" customHeight="1" x14ac:dyDescent="0.25">
      <c r="B99" s="64" t="s">
        <v>830</v>
      </c>
      <c r="C99" s="65" t="str">
        <f ca="1">IF($M99&gt;TODAY(),"",COUNTIFS('İş Emri Takip'!$F$3:$F$1000,"&gt;="&amp;$M99,'İş Emri Takip'!$F$3:$F$1000,"&lt;="&amp;$N99))</f>
        <v/>
      </c>
      <c r="D99" s="66" t="str">
        <f ca="1">IF($M99&gt;TODAY(),"",SUMIFS('İş Emri Takip'!$D$3:$D$1000,'İş Emri Takip'!$F$3:$F$1000,"&gt;="&amp;$M99,'İş Emri Takip'!$F$3:$F$1000,"&lt;="&amp;$N99))</f>
        <v/>
      </c>
      <c r="E99" s="65" t="str">
        <f ca="1">IF($M99&gt;TODAY(),"",COUNTIFS('İş Emri Takip'!$S$3:$S$1000,"&gt;="&amp;$M99,'İş Emri Takip'!$S$3:$S$1000,"&lt;="&amp;$N99))</f>
        <v/>
      </c>
      <c r="F99" s="66" t="str">
        <f ca="1">IF($M99&gt;TODAY(),"",SUMIFS('İş Emri Takip'!$D$3:$D$1000,'İş Emri Takip'!$S$3:$S$1000,"&gt;="&amp;$M99,'İş Emri Takip'!$S$3:$S$1000,"&lt;="&amp;$N99))</f>
        <v/>
      </c>
      <c r="G99" s="67" t="str">
        <f ca="1">IF($M99&gt;TODAY(),"",COUNTIFS('İş Emri Takip'!$T$3:$T$1000,"&gt;="&amp;$M99,'İş Emri Takip'!$T$3:$T$1000,"&lt;="&amp;$N99))</f>
        <v/>
      </c>
      <c r="H99" s="67" t="str">
        <f ca="1">IF($M99&gt;TODAY(),"",COUNTIFS('İş Emri Takip'!$AQ$3:$AQ$1000,"&gt;="&amp;$M99,'İş Emri Takip'!$AQ$3:$AQ$1000,"&lt;="&amp;$N99)+COUNTIFS('İş Emri Takip'!$AR$3:$AR$1000,"&gt;="&amp;$M99,'İş Emri Takip'!$AR$3:$AR$1000,"&lt;="&amp;$N99)+COUNTIFS('İş Emri Takip'!$AS$3:$AS$1000,"&gt;="&amp;$M99,'İş Emri Takip'!$AS$3:$AS$1000,"&lt;="&amp;$N99)+COUNTIFS('İş Emri Takip'!$AT$3:$AT$1000,"&gt;="&amp;$M99,'İş Emri Takip'!$AT$3:$AT$1000,"&lt;="&amp;$N99)+COUNTIFS('İş Emri Takip'!$AU$3:$AU$1000,"&gt;="&amp;$M99,'İş Emri Takip'!$AU$3:$AU$1000,"&lt;="&amp;$N99)+COUNTIFS('İş Emri Takip'!$AV$3:$AV$1000,"&gt;="&amp;$M99,'İş Emri Takip'!$AV$3:$AV$1000,"&lt;="&amp;$N99)+COUNTIFS('İş Emri Takip'!$AW$3:$AW$1000,"&gt;="&amp;$M99,'İş Emri Takip'!$AW$3:$AW$1000,"&lt;="&amp;$N99)+COUNTIFS('İş Emri Takip'!$AX$3:$AX$1000,"&gt;="&amp;$M99,'İş Emri Takip'!$AX$3:$AX$1000,"&lt;="&amp;$N99)+COUNTIFS('İş Emri Takip'!$AY$3:$AY$1000,"&gt;="&amp;$M99,'İş Emri Takip'!$AY$3:$AY$1000,"&lt;="&amp;$N99)+COUNTIFS('İş Emri Takip'!$AZ$3:$AZ$1000,"&gt;="&amp;$M99,'İş Emri Takip'!$AZ$3:$AZ$1000,"&lt;="&amp;$N99)+COUNTIFS('İş Emri Takip'!$BA$3:$BA$1000,"&gt;="&amp;$M99,'İş Emri Takip'!$BA$3:$BA$1000,"&lt;="&amp;$N99)+COUNTIFS('İş Emri Takip'!$BB$3:$BB$1000,"&gt;="&amp;$M99,'İş Emri Takip'!$BB$3:$BB$1000,"&lt;="&amp;$N99))</f>
        <v/>
      </c>
      <c r="I99" s="65" t="str">
        <f ca="1">IF($M99&gt;TODAY(),"",SUMIFS('İş Emri Takip'!$U$3:$U$1000,'İş Emri Takip'!$X$3:$X$1000,"&gt;="&amp;$M99,'İş Emri Takip'!$X$3:$X$1000,"&lt;="&amp;$N99))</f>
        <v/>
      </c>
      <c r="J99" s="66" t="str">
        <f ca="1">IF($M99&gt;TODAY(),"",SUMIFS('İş Emri Takip'!$U$3:$U$1000,'İş Emri Takip'!$Y$3:$Y$1000,"&gt;="&amp;$M99,'İş Emri Takip'!$Y$3:$Y$1000,"&lt;="&amp;$N99))</f>
        <v/>
      </c>
      <c r="K99" s="65" t="str">
        <f ca="1">IF($M99&gt;TODAY(),"",COUNTIFS('İş Emri Takip'!$F$3:$F$1000,"&lt;="&amp;MIN($N99,TODAY()))-COUNTIFS('İş Emri Takip'!$BC$3:$BC$1000,"&lt;="&amp;MIN($N99,TODAY())))</f>
        <v/>
      </c>
      <c r="L99" s="66" t="str">
        <f ca="1">IF($M99&gt;TODAY(),"",SUMIFS('İş Emri Takip'!$U$3:$U$1000,'İş Emri Takip'!$X$3:$X$1000,"&lt;="&amp;MIN($N99,TODAY()))-SUMIFS('İş Emri Takip'!$U$3:$U$1000,'İş Emri Takip'!$Y$3:$Y$1000,"&lt;="&amp;MIN($N99,TODAY())))</f>
        <v/>
      </c>
      <c r="M99" s="68">
        <v>46328</v>
      </c>
      <c r="N99" s="68">
        <v>46334</v>
      </c>
      <c r="P99" t="s">
        <v>831</v>
      </c>
      <c r="Q99">
        <f ca="1">IF(C101="",0,C101)</f>
        <v>0</v>
      </c>
      <c r="R99">
        <f ca="1">IF(E101="",0,E101)</f>
        <v>0</v>
      </c>
      <c r="S99">
        <f ca="1">IF(H101="",0,H101)</f>
        <v>0</v>
      </c>
    </row>
    <row r="100" spans="2:19" ht="20.100000000000001" customHeight="1" x14ac:dyDescent="0.25">
      <c r="B100" s="69" t="s">
        <v>832</v>
      </c>
      <c r="C100" s="70" t="str">
        <f ca="1">IF($M100&gt;TODAY(),"",COUNTIFS('İş Emri Takip'!$F$3:$F$1000,"&gt;="&amp;$M100,'İş Emri Takip'!$F$3:$F$1000,"&lt;="&amp;$N100))</f>
        <v/>
      </c>
      <c r="D100" s="71" t="str">
        <f ca="1">IF($M100&gt;TODAY(),"",SUMIFS('İş Emri Takip'!$D$3:$D$1000,'İş Emri Takip'!$F$3:$F$1000,"&gt;="&amp;$M100,'İş Emri Takip'!$F$3:$F$1000,"&lt;="&amp;$N100))</f>
        <v/>
      </c>
      <c r="E100" s="70" t="str">
        <f ca="1">IF($M100&gt;TODAY(),"",COUNTIFS('İş Emri Takip'!$S$3:$S$1000,"&gt;="&amp;$M100,'İş Emri Takip'!$S$3:$S$1000,"&lt;="&amp;$N100))</f>
        <v/>
      </c>
      <c r="F100" s="71" t="str">
        <f ca="1">IF($M100&gt;TODAY(),"",SUMIFS('İş Emri Takip'!$D$3:$D$1000,'İş Emri Takip'!$S$3:$S$1000,"&gt;="&amp;$M100,'İş Emri Takip'!$S$3:$S$1000,"&lt;="&amp;$N100))</f>
        <v/>
      </c>
      <c r="G100" s="72" t="str">
        <f ca="1">IF($M100&gt;TODAY(),"",COUNTIFS('İş Emri Takip'!$T$3:$T$1000,"&gt;="&amp;$M100,'İş Emri Takip'!$T$3:$T$1000,"&lt;="&amp;$N100))</f>
        <v/>
      </c>
      <c r="H100" s="72" t="str">
        <f ca="1">IF($M100&gt;TODAY(),"",COUNTIFS('İş Emri Takip'!$AQ$3:$AQ$1000,"&gt;="&amp;$M100,'İş Emri Takip'!$AQ$3:$AQ$1000,"&lt;="&amp;$N100)+COUNTIFS('İş Emri Takip'!$AR$3:$AR$1000,"&gt;="&amp;$M100,'İş Emri Takip'!$AR$3:$AR$1000,"&lt;="&amp;$N100)+COUNTIFS('İş Emri Takip'!$AS$3:$AS$1000,"&gt;="&amp;$M100,'İş Emri Takip'!$AS$3:$AS$1000,"&lt;="&amp;$N100)+COUNTIFS('İş Emri Takip'!$AT$3:$AT$1000,"&gt;="&amp;$M100,'İş Emri Takip'!$AT$3:$AT$1000,"&lt;="&amp;$N100)+COUNTIFS('İş Emri Takip'!$AU$3:$AU$1000,"&gt;="&amp;$M100,'İş Emri Takip'!$AU$3:$AU$1000,"&lt;="&amp;$N100)+COUNTIFS('İş Emri Takip'!$AV$3:$AV$1000,"&gt;="&amp;$M100,'İş Emri Takip'!$AV$3:$AV$1000,"&lt;="&amp;$N100)+COUNTIFS('İş Emri Takip'!$AW$3:$AW$1000,"&gt;="&amp;$M100,'İş Emri Takip'!$AW$3:$AW$1000,"&lt;="&amp;$N100)+COUNTIFS('İş Emri Takip'!$AX$3:$AX$1000,"&gt;="&amp;$M100,'İş Emri Takip'!$AX$3:$AX$1000,"&lt;="&amp;$N100)+COUNTIFS('İş Emri Takip'!$AY$3:$AY$1000,"&gt;="&amp;$M100,'İş Emri Takip'!$AY$3:$AY$1000,"&lt;="&amp;$N100)+COUNTIFS('İş Emri Takip'!$AZ$3:$AZ$1000,"&gt;="&amp;$M100,'İş Emri Takip'!$AZ$3:$AZ$1000,"&lt;="&amp;$N100)+COUNTIFS('İş Emri Takip'!$BA$3:$BA$1000,"&gt;="&amp;$M100,'İş Emri Takip'!$BA$3:$BA$1000,"&lt;="&amp;$N100)+COUNTIFS('İş Emri Takip'!$BB$3:$BB$1000,"&gt;="&amp;$M100,'İş Emri Takip'!$BB$3:$BB$1000,"&lt;="&amp;$N100))</f>
        <v/>
      </c>
      <c r="I100" s="70" t="str">
        <f ca="1">IF($M100&gt;TODAY(),"",SUMIFS('İş Emri Takip'!$U$3:$U$1000,'İş Emri Takip'!$X$3:$X$1000,"&gt;="&amp;$M100,'İş Emri Takip'!$X$3:$X$1000,"&lt;="&amp;$N100))</f>
        <v/>
      </c>
      <c r="J100" s="71" t="str">
        <f ca="1">IF($M100&gt;TODAY(),"",SUMIFS('İş Emri Takip'!$U$3:$U$1000,'İş Emri Takip'!$Y$3:$Y$1000,"&gt;="&amp;$M100,'İş Emri Takip'!$Y$3:$Y$1000,"&lt;="&amp;$N100))</f>
        <v/>
      </c>
      <c r="K100" s="70" t="str">
        <f ca="1">IF($M100&gt;TODAY(),"",COUNTIFS('İş Emri Takip'!$F$3:$F$1000,"&lt;="&amp;MIN($N100,TODAY()))-COUNTIFS('İş Emri Takip'!$BC$3:$BC$1000,"&lt;="&amp;MIN($N100,TODAY())))</f>
        <v/>
      </c>
      <c r="L100" s="71" t="str">
        <f ca="1">IF($M100&gt;TODAY(),"",SUMIFS('İş Emri Takip'!$U$3:$U$1000,'İş Emri Takip'!$X$3:$X$1000,"&lt;="&amp;MIN($N100,TODAY()))-SUMIFS('İş Emri Takip'!$U$3:$U$1000,'İş Emri Takip'!$Y$3:$Y$1000,"&lt;="&amp;MIN($N100,TODAY())))</f>
        <v/>
      </c>
      <c r="M100" s="68">
        <v>46335</v>
      </c>
      <c r="N100" s="68">
        <v>46341</v>
      </c>
      <c r="P100" t="s">
        <v>833</v>
      </c>
      <c r="Q100">
        <f ca="1">IF(C102="",0,C102)</f>
        <v>0</v>
      </c>
      <c r="R100">
        <f ca="1">IF(E102="",0,E102)</f>
        <v>0</v>
      </c>
      <c r="S100">
        <f ca="1">IF(H102="",0,H102)</f>
        <v>0</v>
      </c>
    </row>
    <row r="101" spans="2:19" ht="20.100000000000001" customHeight="1" x14ac:dyDescent="0.25">
      <c r="B101" s="64" t="s">
        <v>834</v>
      </c>
      <c r="C101" s="65" t="str">
        <f ca="1">IF($M101&gt;TODAY(),"",COUNTIFS('İş Emri Takip'!$F$3:$F$1000,"&gt;="&amp;$M101,'İş Emri Takip'!$F$3:$F$1000,"&lt;="&amp;$N101))</f>
        <v/>
      </c>
      <c r="D101" s="66" t="str">
        <f ca="1">IF($M101&gt;TODAY(),"",SUMIFS('İş Emri Takip'!$D$3:$D$1000,'İş Emri Takip'!$F$3:$F$1000,"&gt;="&amp;$M101,'İş Emri Takip'!$F$3:$F$1000,"&lt;="&amp;$N101))</f>
        <v/>
      </c>
      <c r="E101" s="65" t="str">
        <f ca="1">IF($M101&gt;TODAY(),"",COUNTIFS('İş Emri Takip'!$S$3:$S$1000,"&gt;="&amp;$M101,'İş Emri Takip'!$S$3:$S$1000,"&lt;="&amp;$N101))</f>
        <v/>
      </c>
      <c r="F101" s="66" t="str">
        <f ca="1">IF($M101&gt;TODAY(),"",SUMIFS('İş Emri Takip'!$D$3:$D$1000,'İş Emri Takip'!$S$3:$S$1000,"&gt;="&amp;$M101,'İş Emri Takip'!$S$3:$S$1000,"&lt;="&amp;$N101))</f>
        <v/>
      </c>
      <c r="G101" s="67" t="str">
        <f ca="1">IF($M101&gt;TODAY(),"",COUNTIFS('İş Emri Takip'!$T$3:$T$1000,"&gt;="&amp;$M101,'İş Emri Takip'!$T$3:$T$1000,"&lt;="&amp;$N101))</f>
        <v/>
      </c>
      <c r="H101" s="67" t="str">
        <f ca="1">IF($M101&gt;TODAY(),"",COUNTIFS('İş Emri Takip'!$AQ$3:$AQ$1000,"&gt;="&amp;$M101,'İş Emri Takip'!$AQ$3:$AQ$1000,"&lt;="&amp;$N101)+COUNTIFS('İş Emri Takip'!$AR$3:$AR$1000,"&gt;="&amp;$M101,'İş Emri Takip'!$AR$3:$AR$1000,"&lt;="&amp;$N101)+COUNTIFS('İş Emri Takip'!$AS$3:$AS$1000,"&gt;="&amp;$M101,'İş Emri Takip'!$AS$3:$AS$1000,"&lt;="&amp;$N101)+COUNTIFS('İş Emri Takip'!$AT$3:$AT$1000,"&gt;="&amp;$M101,'İş Emri Takip'!$AT$3:$AT$1000,"&lt;="&amp;$N101)+COUNTIFS('İş Emri Takip'!$AU$3:$AU$1000,"&gt;="&amp;$M101,'İş Emri Takip'!$AU$3:$AU$1000,"&lt;="&amp;$N101)+COUNTIFS('İş Emri Takip'!$AV$3:$AV$1000,"&gt;="&amp;$M101,'İş Emri Takip'!$AV$3:$AV$1000,"&lt;="&amp;$N101)+COUNTIFS('İş Emri Takip'!$AW$3:$AW$1000,"&gt;="&amp;$M101,'İş Emri Takip'!$AW$3:$AW$1000,"&lt;="&amp;$N101)+COUNTIFS('İş Emri Takip'!$AX$3:$AX$1000,"&gt;="&amp;$M101,'İş Emri Takip'!$AX$3:$AX$1000,"&lt;="&amp;$N101)+COUNTIFS('İş Emri Takip'!$AY$3:$AY$1000,"&gt;="&amp;$M101,'İş Emri Takip'!$AY$3:$AY$1000,"&lt;="&amp;$N101)+COUNTIFS('İş Emri Takip'!$AZ$3:$AZ$1000,"&gt;="&amp;$M101,'İş Emri Takip'!$AZ$3:$AZ$1000,"&lt;="&amp;$N101)+COUNTIFS('İş Emri Takip'!$BA$3:$BA$1000,"&gt;="&amp;$M101,'İş Emri Takip'!$BA$3:$BA$1000,"&lt;="&amp;$N101)+COUNTIFS('İş Emri Takip'!$BB$3:$BB$1000,"&gt;="&amp;$M101,'İş Emri Takip'!$BB$3:$BB$1000,"&lt;="&amp;$N101))</f>
        <v/>
      </c>
      <c r="I101" s="65" t="str">
        <f ca="1">IF($M101&gt;TODAY(),"",SUMIFS('İş Emri Takip'!$U$3:$U$1000,'İş Emri Takip'!$X$3:$X$1000,"&gt;="&amp;$M101,'İş Emri Takip'!$X$3:$X$1000,"&lt;="&amp;$N101))</f>
        <v/>
      </c>
      <c r="J101" s="66" t="str">
        <f ca="1">IF($M101&gt;TODAY(),"",SUMIFS('İş Emri Takip'!$U$3:$U$1000,'İş Emri Takip'!$Y$3:$Y$1000,"&gt;="&amp;$M101,'İş Emri Takip'!$Y$3:$Y$1000,"&lt;="&amp;$N101))</f>
        <v/>
      </c>
      <c r="K101" s="65" t="str">
        <f ca="1">IF($M101&gt;TODAY(),"",COUNTIFS('İş Emri Takip'!$F$3:$F$1000,"&lt;="&amp;MIN($N101,TODAY()))-COUNTIFS('İş Emri Takip'!$BC$3:$BC$1000,"&lt;="&amp;MIN($N101,TODAY())))</f>
        <v/>
      </c>
      <c r="L101" s="66" t="str">
        <f ca="1">IF($M101&gt;TODAY(),"",SUMIFS('İş Emri Takip'!$U$3:$U$1000,'İş Emri Takip'!$X$3:$X$1000,"&lt;="&amp;MIN($N101,TODAY()))-SUMIFS('İş Emri Takip'!$U$3:$U$1000,'İş Emri Takip'!$Y$3:$Y$1000,"&lt;="&amp;MIN($N101,TODAY())))</f>
        <v/>
      </c>
      <c r="M101" s="68">
        <v>46342</v>
      </c>
      <c r="N101" s="68">
        <v>46348</v>
      </c>
      <c r="P101" t="s">
        <v>835</v>
      </c>
      <c r="Q101">
        <f ca="1">IF(C103="",0,C103)</f>
        <v>0</v>
      </c>
      <c r="R101">
        <f ca="1">IF(E103="",0,E103)</f>
        <v>0</v>
      </c>
      <c r="S101">
        <f ca="1">IF(H103="",0,H103)</f>
        <v>0</v>
      </c>
    </row>
    <row r="102" spans="2:19" ht="20.100000000000001" customHeight="1" x14ac:dyDescent="0.25">
      <c r="B102" s="69" t="s">
        <v>836</v>
      </c>
      <c r="C102" s="70" t="str">
        <f ca="1">IF($M102&gt;TODAY(),"",COUNTIFS('İş Emri Takip'!$F$3:$F$1000,"&gt;="&amp;$M102,'İş Emri Takip'!$F$3:$F$1000,"&lt;="&amp;$N102))</f>
        <v/>
      </c>
      <c r="D102" s="71" t="str">
        <f ca="1">IF($M102&gt;TODAY(),"",SUMIFS('İş Emri Takip'!$D$3:$D$1000,'İş Emri Takip'!$F$3:$F$1000,"&gt;="&amp;$M102,'İş Emri Takip'!$F$3:$F$1000,"&lt;="&amp;$N102))</f>
        <v/>
      </c>
      <c r="E102" s="70" t="str">
        <f ca="1">IF($M102&gt;TODAY(),"",COUNTIFS('İş Emri Takip'!$S$3:$S$1000,"&gt;="&amp;$M102,'İş Emri Takip'!$S$3:$S$1000,"&lt;="&amp;$N102))</f>
        <v/>
      </c>
      <c r="F102" s="71" t="str">
        <f ca="1">IF($M102&gt;TODAY(),"",SUMIFS('İş Emri Takip'!$D$3:$D$1000,'İş Emri Takip'!$S$3:$S$1000,"&gt;="&amp;$M102,'İş Emri Takip'!$S$3:$S$1000,"&lt;="&amp;$N102))</f>
        <v/>
      </c>
      <c r="G102" s="72" t="str">
        <f ca="1">IF($M102&gt;TODAY(),"",COUNTIFS('İş Emri Takip'!$T$3:$T$1000,"&gt;="&amp;$M102,'İş Emri Takip'!$T$3:$T$1000,"&lt;="&amp;$N102))</f>
        <v/>
      </c>
      <c r="H102" s="72" t="str">
        <f ca="1">IF($M102&gt;TODAY(),"",COUNTIFS('İş Emri Takip'!$AQ$3:$AQ$1000,"&gt;="&amp;$M102,'İş Emri Takip'!$AQ$3:$AQ$1000,"&lt;="&amp;$N102)+COUNTIFS('İş Emri Takip'!$AR$3:$AR$1000,"&gt;="&amp;$M102,'İş Emri Takip'!$AR$3:$AR$1000,"&lt;="&amp;$N102)+COUNTIFS('İş Emri Takip'!$AS$3:$AS$1000,"&gt;="&amp;$M102,'İş Emri Takip'!$AS$3:$AS$1000,"&lt;="&amp;$N102)+COUNTIFS('İş Emri Takip'!$AT$3:$AT$1000,"&gt;="&amp;$M102,'İş Emri Takip'!$AT$3:$AT$1000,"&lt;="&amp;$N102)+COUNTIFS('İş Emri Takip'!$AU$3:$AU$1000,"&gt;="&amp;$M102,'İş Emri Takip'!$AU$3:$AU$1000,"&lt;="&amp;$N102)+COUNTIFS('İş Emri Takip'!$AV$3:$AV$1000,"&gt;="&amp;$M102,'İş Emri Takip'!$AV$3:$AV$1000,"&lt;="&amp;$N102)+COUNTIFS('İş Emri Takip'!$AW$3:$AW$1000,"&gt;="&amp;$M102,'İş Emri Takip'!$AW$3:$AW$1000,"&lt;="&amp;$N102)+COUNTIFS('İş Emri Takip'!$AX$3:$AX$1000,"&gt;="&amp;$M102,'İş Emri Takip'!$AX$3:$AX$1000,"&lt;="&amp;$N102)+COUNTIFS('İş Emri Takip'!$AY$3:$AY$1000,"&gt;="&amp;$M102,'İş Emri Takip'!$AY$3:$AY$1000,"&lt;="&amp;$N102)+COUNTIFS('İş Emri Takip'!$AZ$3:$AZ$1000,"&gt;="&amp;$M102,'İş Emri Takip'!$AZ$3:$AZ$1000,"&lt;="&amp;$N102)+COUNTIFS('İş Emri Takip'!$BA$3:$BA$1000,"&gt;="&amp;$M102,'İş Emri Takip'!$BA$3:$BA$1000,"&lt;="&amp;$N102)+COUNTIFS('İş Emri Takip'!$BB$3:$BB$1000,"&gt;="&amp;$M102,'İş Emri Takip'!$BB$3:$BB$1000,"&lt;="&amp;$N102))</f>
        <v/>
      </c>
      <c r="I102" s="70" t="str">
        <f ca="1">IF($M102&gt;TODAY(),"",SUMIFS('İş Emri Takip'!$U$3:$U$1000,'İş Emri Takip'!$X$3:$X$1000,"&gt;="&amp;$M102,'İş Emri Takip'!$X$3:$X$1000,"&lt;="&amp;$N102))</f>
        <v/>
      </c>
      <c r="J102" s="71" t="str">
        <f ca="1">IF($M102&gt;TODAY(),"",SUMIFS('İş Emri Takip'!$U$3:$U$1000,'İş Emri Takip'!$Y$3:$Y$1000,"&gt;="&amp;$M102,'İş Emri Takip'!$Y$3:$Y$1000,"&lt;="&amp;$N102))</f>
        <v/>
      </c>
      <c r="K102" s="70" t="str">
        <f ca="1">IF($M102&gt;TODAY(),"",COUNTIFS('İş Emri Takip'!$F$3:$F$1000,"&lt;="&amp;MIN($N102,TODAY()))-COUNTIFS('İş Emri Takip'!$BC$3:$BC$1000,"&lt;="&amp;MIN($N102,TODAY())))</f>
        <v/>
      </c>
      <c r="L102" s="71" t="str">
        <f ca="1">IF($M102&gt;TODAY(),"",SUMIFS('İş Emri Takip'!$U$3:$U$1000,'İş Emri Takip'!$X$3:$X$1000,"&lt;="&amp;MIN($N102,TODAY()))-SUMIFS('İş Emri Takip'!$U$3:$U$1000,'İş Emri Takip'!$Y$3:$Y$1000,"&lt;="&amp;MIN($N102,TODAY())))</f>
        <v/>
      </c>
      <c r="M102" s="68">
        <v>46349</v>
      </c>
      <c r="N102" s="68">
        <v>46355</v>
      </c>
      <c r="P102" t="s">
        <v>837</v>
      </c>
      <c r="Q102">
        <f ca="1">IF(C105="",0,C105)</f>
        <v>0</v>
      </c>
      <c r="R102">
        <f ca="1">IF(E105="",0,E105)</f>
        <v>0</v>
      </c>
      <c r="S102">
        <f ca="1">IF(H105="",0,H105)</f>
        <v>0</v>
      </c>
    </row>
    <row r="103" spans="2:19" ht="20.100000000000001" customHeight="1" x14ac:dyDescent="0.25">
      <c r="B103" s="64" t="s">
        <v>838</v>
      </c>
      <c r="C103" s="65" t="str">
        <f ca="1">IF($M103&gt;TODAY(),"",COUNTIFS('İş Emri Takip'!$F$3:$F$1000,"&gt;="&amp;$M103,'İş Emri Takip'!$F$3:$F$1000,"&lt;="&amp;$N103))</f>
        <v/>
      </c>
      <c r="D103" s="66" t="str">
        <f ca="1">IF($M103&gt;TODAY(),"",SUMIFS('İş Emri Takip'!$D$3:$D$1000,'İş Emri Takip'!$F$3:$F$1000,"&gt;="&amp;$M103,'İş Emri Takip'!$F$3:$F$1000,"&lt;="&amp;$N103))</f>
        <v/>
      </c>
      <c r="E103" s="65" t="str">
        <f ca="1">IF($M103&gt;TODAY(),"",COUNTIFS('İş Emri Takip'!$S$3:$S$1000,"&gt;="&amp;$M103,'İş Emri Takip'!$S$3:$S$1000,"&lt;="&amp;$N103))</f>
        <v/>
      </c>
      <c r="F103" s="66" t="str">
        <f ca="1">IF($M103&gt;TODAY(),"",SUMIFS('İş Emri Takip'!$D$3:$D$1000,'İş Emri Takip'!$S$3:$S$1000,"&gt;="&amp;$M103,'İş Emri Takip'!$S$3:$S$1000,"&lt;="&amp;$N103))</f>
        <v/>
      </c>
      <c r="G103" s="67" t="str">
        <f ca="1">IF($M103&gt;TODAY(),"",COUNTIFS('İş Emri Takip'!$T$3:$T$1000,"&gt;="&amp;$M103,'İş Emri Takip'!$T$3:$T$1000,"&lt;="&amp;$N103))</f>
        <v/>
      </c>
      <c r="H103" s="67" t="str">
        <f ca="1">IF($M103&gt;TODAY(),"",COUNTIFS('İş Emri Takip'!$AQ$3:$AQ$1000,"&gt;="&amp;$M103,'İş Emri Takip'!$AQ$3:$AQ$1000,"&lt;="&amp;$N103)+COUNTIFS('İş Emri Takip'!$AR$3:$AR$1000,"&gt;="&amp;$M103,'İş Emri Takip'!$AR$3:$AR$1000,"&lt;="&amp;$N103)+COUNTIFS('İş Emri Takip'!$AS$3:$AS$1000,"&gt;="&amp;$M103,'İş Emri Takip'!$AS$3:$AS$1000,"&lt;="&amp;$N103)+COUNTIFS('İş Emri Takip'!$AT$3:$AT$1000,"&gt;="&amp;$M103,'İş Emri Takip'!$AT$3:$AT$1000,"&lt;="&amp;$N103)+COUNTIFS('İş Emri Takip'!$AU$3:$AU$1000,"&gt;="&amp;$M103,'İş Emri Takip'!$AU$3:$AU$1000,"&lt;="&amp;$N103)+COUNTIFS('İş Emri Takip'!$AV$3:$AV$1000,"&gt;="&amp;$M103,'İş Emri Takip'!$AV$3:$AV$1000,"&lt;="&amp;$N103)+COUNTIFS('İş Emri Takip'!$AW$3:$AW$1000,"&gt;="&amp;$M103,'İş Emri Takip'!$AW$3:$AW$1000,"&lt;="&amp;$N103)+COUNTIFS('İş Emri Takip'!$AX$3:$AX$1000,"&gt;="&amp;$M103,'İş Emri Takip'!$AX$3:$AX$1000,"&lt;="&amp;$N103)+COUNTIFS('İş Emri Takip'!$AY$3:$AY$1000,"&gt;="&amp;$M103,'İş Emri Takip'!$AY$3:$AY$1000,"&lt;="&amp;$N103)+COUNTIFS('İş Emri Takip'!$AZ$3:$AZ$1000,"&gt;="&amp;$M103,'İş Emri Takip'!$AZ$3:$AZ$1000,"&lt;="&amp;$N103)+COUNTIFS('İş Emri Takip'!$BA$3:$BA$1000,"&gt;="&amp;$M103,'İş Emri Takip'!$BA$3:$BA$1000,"&lt;="&amp;$N103)+COUNTIFS('İş Emri Takip'!$BB$3:$BB$1000,"&gt;="&amp;$M103,'İş Emri Takip'!$BB$3:$BB$1000,"&lt;="&amp;$N103))</f>
        <v/>
      </c>
      <c r="I103" s="65" t="str">
        <f ca="1">IF($M103&gt;TODAY(),"",SUMIFS('İş Emri Takip'!$U$3:$U$1000,'İş Emri Takip'!$X$3:$X$1000,"&gt;="&amp;$M103,'İş Emri Takip'!$X$3:$X$1000,"&lt;="&amp;$N103))</f>
        <v/>
      </c>
      <c r="J103" s="66" t="str">
        <f ca="1">IF($M103&gt;TODAY(),"",SUMIFS('İş Emri Takip'!$U$3:$U$1000,'İş Emri Takip'!$Y$3:$Y$1000,"&gt;="&amp;$M103,'İş Emri Takip'!$Y$3:$Y$1000,"&lt;="&amp;$N103))</f>
        <v/>
      </c>
      <c r="K103" s="65" t="str">
        <f ca="1">IF($M103&gt;TODAY(),"",COUNTIFS('İş Emri Takip'!$F$3:$F$1000,"&lt;="&amp;MIN($N103,TODAY()))-COUNTIFS('İş Emri Takip'!$BC$3:$BC$1000,"&lt;="&amp;MIN($N103,TODAY())))</f>
        <v/>
      </c>
      <c r="L103" s="66" t="str">
        <f ca="1">IF($M103&gt;TODAY(),"",SUMIFS('İş Emri Takip'!$U$3:$U$1000,'İş Emri Takip'!$X$3:$X$1000,"&lt;="&amp;MIN($N103,TODAY()))-SUMIFS('İş Emri Takip'!$U$3:$U$1000,'İş Emri Takip'!$Y$3:$Y$1000,"&lt;="&amp;MIN($N103,TODAY())))</f>
        <v/>
      </c>
      <c r="M103" s="68">
        <v>46356</v>
      </c>
      <c r="N103" s="68">
        <v>46362</v>
      </c>
      <c r="P103" t="s">
        <v>839</v>
      </c>
      <c r="Q103">
        <f ca="1">IF(C106="",0,C106)</f>
        <v>0</v>
      </c>
      <c r="R103">
        <f ca="1">IF(E106="",0,E106)</f>
        <v>0</v>
      </c>
      <c r="S103">
        <f ca="1">IF(H106="",0,H106)</f>
        <v>0</v>
      </c>
    </row>
    <row r="104" spans="2:19" ht="24" customHeight="1" x14ac:dyDescent="0.25">
      <c r="B104" s="73" t="s">
        <v>840</v>
      </c>
      <c r="C104" s="74" t="str">
        <f ca="1">IF($M104&gt;TODAY(),"",COUNTIFS('İş Emri Takip'!$F$3:$F$1000,"&gt;="&amp;$M104,'İş Emri Takip'!$F$3:$F$1000,"&lt;="&amp;$N104))</f>
        <v/>
      </c>
      <c r="D104" s="75" t="str">
        <f ca="1">IF($M104&gt;TODAY(),"",SUMIFS('İş Emri Takip'!$D$3:$D$1000,'İş Emri Takip'!$F$3:$F$1000,"&gt;="&amp;$M104,'İş Emri Takip'!$F$3:$F$1000,"&lt;="&amp;$N104))</f>
        <v/>
      </c>
      <c r="E104" s="74" t="str">
        <f ca="1">IF($M104&gt;TODAY(),"",COUNTIFS('İş Emri Takip'!$S$3:$S$1000,"&gt;="&amp;$M104,'İş Emri Takip'!$S$3:$S$1000,"&lt;="&amp;$N104))</f>
        <v/>
      </c>
      <c r="F104" s="75" t="str">
        <f ca="1">IF($M104&gt;TODAY(),"",SUMIFS('İş Emri Takip'!$D$3:$D$1000,'İş Emri Takip'!$S$3:$S$1000,"&gt;="&amp;$M104,'İş Emri Takip'!$S$3:$S$1000,"&lt;="&amp;$N104))</f>
        <v/>
      </c>
      <c r="G104" s="76" t="str">
        <f ca="1">IF($M104&gt;TODAY(),"",COUNTIFS('İş Emri Takip'!$T$3:$T$1000,"&gt;="&amp;$M104,'İş Emri Takip'!$T$3:$T$1000,"&lt;="&amp;$N104))</f>
        <v/>
      </c>
      <c r="H104" s="76" t="str">
        <f ca="1">IF($M104&gt;TODAY(),"",COUNTIFS('İş Emri Takip'!$AQ$3:$AQ$1000,"&gt;="&amp;$M104,'İş Emri Takip'!$AQ$3:$AQ$1000,"&lt;="&amp;$N104)+COUNTIFS('İş Emri Takip'!$AR$3:$AR$1000,"&gt;="&amp;$M104,'İş Emri Takip'!$AR$3:$AR$1000,"&lt;="&amp;$N104)+COUNTIFS('İş Emri Takip'!$AS$3:$AS$1000,"&gt;="&amp;$M104,'İş Emri Takip'!$AS$3:$AS$1000,"&lt;="&amp;$N104)+COUNTIFS('İş Emri Takip'!$AT$3:$AT$1000,"&gt;="&amp;$M104,'İş Emri Takip'!$AT$3:$AT$1000,"&lt;="&amp;$N104)+COUNTIFS('İş Emri Takip'!$AU$3:$AU$1000,"&gt;="&amp;$M104,'İş Emri Takip'!$AU$3:$AU$1000,"&lt;="&amp;$N104)+COUNTIFS('İş Emri Takip'!$AV$3:$AV$1000,"&gt;="&amp;$M104,'İş Emri Takip'!$AV$3:$AV$1000,"&lt;="&amp;$N104)+COUNTIFS('İş Emri Takip'!$AW$3:$AW$1000,"&gt;="&amp;$M104,'İş Emri Takip'!$AW$3:$AW$1000,"&lt;="&amp;$N104)+COUNTIFS('İş Emri Takip'!$AX$3:$AX$1000,"&gt;="&amp;$M104,'İş Emri Takip'!$AX$3:$AX$1000,"&lt;="&amp;$N104)+COUNTIFS('İş Emri Takip'!$AY$3:$AY$1000,"&gt;="&amp;$M104,'İş Emri Takip'!$AY$3:$AY$1000,"&lt;="&amp;$N104)+COUNTIFS('İş Emri Takip'!$AZ$3:$AZ$1000,"&gt;="&amp;$M104,'İş Emri Takip'!$AZ$3:$AZ$1000,"&lt;="&amp;$N104)+COUNTIFS('İş Emri Takip'!$BA$3:$BA$1000,"&gt;="&amp;$M104,'İş Emri Takip'!$BA$3:$BA$1000,"&lt;="&amp;$N104)+COUNTIFS('İş Emri Takip'!$BB$3:$BB$1000,"&gt;="&amp;$M104,'İş Emri Takip'!$BB$3:$BB$1000,"&lt;="&amp;$N104))</f>
        <v/>
      </c>
      <c r="I104" s="74" t="str">
        <f ca="1">IF($M104&gt;TODAY(),"",SUMIFS('İş Emri Takip'!$U$3:$U$1000,'İş Emri Takip'!$X$3:$X$1000,"&gt;="&amp;$M104,'İş Emri Takip'!$X$3:$X$1000,"&lt;="&amp;$N104))</f>
        <v/>
      </c>
      <c r="J104" s="75" t="str">
        <f ca="1">IF($M104&gt;TODAY(),"",SUMIFS('İş Emri Takip'!$U$3:$U$1000,'İş Emri Takip'!$Y$3:$Y$1000,"&gt;="&amp;$M104,'İş Emri Takip'!$Y$3:$Y$1000,"&lt;="&amp;$N104))</f>
        <v/>
      </c>
      <c r="K104" s="74" t="str">
        <f ca="1">IF($M104&gt;TODAY(),"",COUNTIFS('İş Emri Takip'!$F$3:$F$1000,"&lt;="&amp;MIN($N104,TODAY()))-COUNTIFS('İş Emri Takip'!$BC$3:$BC$1000,"&lt;="&amp;MIN($N104,TODAY())))</f>
        <v/>
      </c>
      <c r="L104" s="75" t="str">
        <f ca="1">IF($M104&gt;TODAY(),"",SUMIFS('İş Emri Takip'!$U$3:$U$1000,'İş Emri Takip'!$X$3:$X$1000,"&lt;="&amp;MIN($N104,TODAY()))-SUMIFS('İş Emri Takip'!$U$3:$U$1000,'İş Emri Takip'!$Y$3:$Y$1000,"&lt;="&amp;MIN($N104,TODAY())))</f>
        <v/>
      </c>
      <c r="M104" s="68">
        <v>46327</v>
      </c>
      <c r="N104" s="68">
        <v>46356</v>
      </c>
      <c r="P104" t="s">
        <v>841</v>
      </c>
      <c r="Q104">
        <f ca="1">IF(C107="",0,C107)</f>
        <v>0</v>
      </c>
      <c r="R104">
        <f ca="1">IF(E107="",0,E107)</f>
        <v>0</v>
      </c>
      <c r="S104">
        <f ca="1">IF(H107="",0,H107)</f>
        <v>0</v>
      </c>
    </row>
    <row r="105" spans="2:19" ht="20.100000000000001" customHeight="1" x14ac:dyDescent="0.25">
      <c r="B105" s="64" t="s">
        <v>842</v>
      </c>
      <c r="C105" s="65" t="str">
        <f ca="1">IF($M105&gt;TODAY(),"",COUNTIFS('İş Emri Takip'!$F$3:$F$1000,"&gt;="&amp;$M105,'İş Emri Takip'!$F$3:$F$1000,"&lt;="&amp;$N105))</f>
        <v/>
      </c>
      <c r="D105" s="66" t="str">
        <f ca="1">IF($M105&gt;TODAY(),"",SUMIFS('İş Emri Takip'!$D$3:$D$1000,'İş Emri Takip'!$F$3:$F$1000,"&gt;="&amp;$M105,'İş Emri Takip'!$F$3:$F$1000,"&lt;="&amp;$N105))</f>
        <v/>
      </c>
      <c r="E105" s="65" t="str">
        <f ca="1">IF($M105&gt;TODAY(),"",COUNTIFS('İş Emri Takip'!$S$3:$S$1000,"&gt;="&amp;$M105,'İş Emri Takip'!$S$3:$S$1000,"&lt;="&amp;$N105))</f>
        <v/>
      </c>
      <c r="F105" s="66" t="str">
        <f ca="1">IF($M105&gt;TODAY(),"",SUMIFS('İş Emri Takip'!$D$3:$D$1000,'İş Emri Takip'!$S$3:$S$1000,"&gt;="&amp;$M105,'İş Emri Takip'!$S$3:$S$1000,"&lt;="&amp;$N105))</f>
        <v/>
      </c>
      <c r="G105" s="67" t="str">
        <f ca="1">IF($M105&gt;TODAY(),"",COUNTIFS('İş Emri Takip'!$T$3:$T$1000,"&gt;="&amp;$M105,'İş Emri Takip'!$T$3:$T$1000,"&lt;="&amp;$N105))</f>
        <v/>
      </c>
      <c r="H105" s="67" t="str">
        <f ca="1">IF($M105&gt;TODAY(),"",COUNTIFS('İş Emri Takip'!$AQ$3:$AQ$1000,"&gt;="&amp;$M105,'İş Emri Takip'!$AQ$3:$AQ$1000,"&lt;="&amp;$N105)+COUNTIFS('İş Emri Takip'!$AR$3:$AR$1000,"&gt;="&amp;$M105,'İş Emri Takip'!$AR$3:$AR$1000,"&lt;="&amp;$N105)+COUNTIFS('İş Emri Takip'!$AS$3:$AS$1000,"&gt;="&amp;$M105,'İş Emri Takip'!$AS$3:$AS$1000,"&lt;="&amp;$N105)+COUNTIFS('İş Emri Takip'!$AT$3:$AT$1000,"&gt;="&amp;$M105,'İş Emri Takip'!$AT$3:$AT$1000,"&lt;="&amp;$N105)+COUNTIFS('İş Emri Takip'!$AU$3:$AU$1000,"&gt;="&amp;$M105,'İş Emri Takip'!$AU$3:$AU$1000,"&lt;="&amp;$N105)+COUNTIFS('İş Emri Takip'!$AV$3:$AV$1000,"&gt;="&amp;$M105,'İş Emri Takip'!$AV$3:$AV$1000,"&lt;="&amp;$N105)+COUNTIFS('İş Emri Takip'!$AW$3:$AW$1000,"&gt;="&amp;$M105,'İş Emri Takip'!$AW$3:$AW$1000,"&lt;="&amp;$N105)+COUNTIFS('İş Emri Takip'!$AX$3:$AX$1000,"&gt;="&amp;$M105,'İş Emri Takip'!$AX$3:$AX$1000,"&lt;="&amp;$N105)+COUNTIFS('İş Emri Takip'!$AY$3:$AY$1000,"&gt;="&amp;$M105,'İş Emri Takip'!$AY$3:$AY$1000,"&lt;="&amp;$N105)+COUNTIFS('İş Emri Takip'!$AZ$3:$AZ$1000,"&gt;="&amp;$M105,'İş Emri Takip'!$AZ$3:$AZ$1000,"&lt;="&amp;$N105)+COUNTIFS('İş Emri Takip'!$BA$3:$BA$1000,"&gt;="&amp;$M105,'İş Emri Takip'!$BA$3:$BA$1000,"&lt;="&amp;$N105)+COUNTIFS('İş Emri Takip'!$BB$3:$BB$1000,"&gt;="&amp;$M105,'İş Emri Takip'!$BB$3:$BB$1000,"&lt;="&amp;$N105))</f>
        <v/>
      </c>
      <c r="I105" s="65" t="str">
        <f ca="1">IF($M105&gt;TODAY(),"",SUMIFS('İş Emri Takip'!$U$3:$U$1000,'İş Emri Takip'!$X$3:$X$1000,"&gt;="&amp;$M105,'İş Emri Takip'!$X$3:$X$1000,"&lt;="&amp;$N105))</f>
        <v/>
      </c>
      <c r="J105" s="66" t="str">
        <f ca="1">IF($M105&gt;TODAY(),"",SUMIFS('İş Emri Takip'!$U$3:$U$1000,'İş Emri Takip'!$Y$3:$Y$1000,"&gt;="&amp;$M105,'İş Emri Takip'!$Y$3:$Y$1000,"&lt;="&amp;$N105))</f>
        <v/>
      </c>
      <c r="K105" s="65" t="str">
        <f ca="1">IF($M105&gt;TODAY(),"",COUNTIFS('İş Emri Takip'!$F$3:$F$1000,"&lt;="&amp;MIN($N105,TODAY()))-COUNTIFS('İş Emri Takip'!$BC$3:$BC$1000,"&lt;="&amp;MIN($N105,TODAY())))</f>
        <v/>
      </c>
      <c r="L105" s="66" t="str">
        <f ca="1">IF($M105&gt;TODAY(),"",SUMIFS('İş Emri Takip'!$U$3:$U$1000,'İş Emri Takip'!$X$3:$X$1000,"&lt;="&amp;MIN($N105,TODAY()))-SUMIFS('İş Emri Takip'!$U$3:$U$1000,'İş Emri Takip'!$Y$3:$Y$1000,"&lt;="&amp;MIN($N105,TODAY())))</f>
        <v/>
      </c>
      <c r="M105" s="68">
        <v>46363</v>
      </c>
      <c r="N105" s="68">
        <v>46369</v>
      </c>
      <c r="P105" t="s">
        <v>843</v>
      </c>
      <c r="Q105">
        <f ca="1">IF(C108="",0,C108)</f>
        <v>0</v>
      </c>
      <c r="R105">
        <f ca="1">IF(E108="",0,E108)</f>
        <v>0</v>
      </c>
      <c r="S105">
        <f ca="1">IF(H108="",0,H108)</f>
        <v>0</v>
      </c>
    </row>
    <row r="106" spans="2:19" ht="20.100000000000001" customHeight="1" x14ac:dyDescent="0.25">
      <c r="B106" s="69" t="s">
        <v>844</v>
      </c>
      <c r="C106" s="70" t="str">
        <f ca="1">IF($M106&gt;TODAY(),"",COUNTIFS('İş Emri Takip'!$F$3:$F$1000,"&gt;="&amp;$M106,'İş Emri Takip'!$F$3:$F$1000,"&lt;="&amp;$N106))</f>
        <v/>
      </c>
      <c r="D106" s="71" t="str">
        <f ca="1">IF($M106&gt;TODAY(),"",SUMIFS('İş Emri Takip'!$D$3:$D$1000,'İş Emri Takip'!$F$3:$F$1000,"&gt;="&amp;$M106,'İş Emri Takip'!$F$3:$F$1000,"&lt;="&amp;$N106))</f>
        <v/>
      </c>
      <c r="E106" s="70" t="str">
        <f ca="1">IF($M106&gt;TODAY(),"",COUNTIFS('İş Emri Takip'!$S$3:$S$1000,"&gt;="&amp;$M106,'İş Emri Takip'!$S$3:$S$1000,"&lt;="&amp;$N106))</f>
        <v/>
      </c>
      <c r="F106" s="71" t="str">
        <f ca="1">IF($M106&gt;TODAY(),"",SUMIFS('İş Emri Takip'!$D$3:$D$1000,'İş Emri Takip'!$S$3:$S$1000,"&gt;="&amp;$M106,'İş Emri Takip'!$S$3:$S$1000,"&lt;="&amp;$N106))</f>
        <v/>
      </c>
      <c r="G106" s="72" t="str">
        <f ca="1">IF($M106&gt;TODAY(),"",COUNTIFS('İş Emri Takip'!$T$3:$T$1000,"&gt;="&amp;$M106,'İş Emri Takip'!$T$3:$T$1000,"&lt;="&amp;$N106))</f>
        <v/>
      </c>
      <c r="H106" s="72" t="str">
        <f ca="1">IF($M106&gt;TODAY(),"",COUNTIFS('İş Emri Takip'!$AQ$3:$AQ$1000,"&gt;="&amp;$M106,'İş Emri Takip'!$AQ$3:$AQ$1000,"&lt;="&amp;$N106)+COUNTIFS('İş Emri Takip'!$AR$3:$AR$1000,"&gt;="&amp;$M106,'İş Emri Takip'!$AR$3:$AR$1000,"&lt;="&amp;$N106)+COUNTIFS('İş Emri Takip'!$AS$3:$AS$1000,"&gt;="&amp;$M106,'İş Emri Takip'!$AS$3:$AS$1000,"&lt;="&amp;$N106)+COUNTIFS('İş Emri Takip'!$AT$3:$AT$1000,"&gt;="&amp;$M106,'İş Emri Takip'!$AT$3:$AT$1000,"&lt;="&amp;$N106)+COUNTIFS('İş Emri Takip'!$AU$3:$AU$1000,"&gt;="&amp;$M106,'İş Emri Takip'!$AU$3:$AU$1000,"&lt;="&amp;$N106)+COUNTIFS('İş Emri Takip'!$AV$3:$AV$1000,"&gt;="&amp;$M106,'İş Emri Takip'!$AV$3:$AV$1000,"&lt;="&amp;$N106)+COUNTIFS('İş Emri Takip'!$AW$3:$AW$1000,"&gt;="&amp;$M106,'İş Emri Takip'!$AW$3:$AW$1000,"&lt;="&amp;$N106)+COUNTIFS('İş Emri Takip'!$AX$3:$AX$1000,"&gt;="&amp;$M106,'İş Emri Takip'!$AX$3:$AX$1000,"&lt;="&amp;$N106)+COUNTIFS('İş Emri Takip'!$AY$3:$AY$1000,"&gt;="&amp;$M106,'İş Emri Takip'!$AY$3:$AY$1000,"&lt;="&amp;$N106)+COUNTIFS('İş Emri Takip'!$AZ$3:$AZ$1000,"&gt;="&amp;$M106,'İş Emri Takip'!$AZ$3:$AZ$1000,"&lt;="&amp;$N106)+COUNTIFS('İş Emri Takip'!$BA$3:$BA$1000,"&gt;="&amp;$M106,'İş Emri Takip'!$BA$3:$BA$1000,"&lt;="&amp;$N106)+COUNTIFS('İş Emri Takip'!$BB$3:$BB$1000,"&gt;="&amp;$M106,'İş Emri Takip'!$BB$3:$BB$1000,"&lt;="&amp;$N106))</f>
        <v/>
      </c>
      <c r="I106" s="70" t="str">
        <f ca="1">IF($M106&gt;TODAY(),"",SUMIFS('İş Emri Takip'!$U$3:$U$1000,'İş Emri Takip'!$X$3:$X$1000,"&gt;="&amp;$M106,'İş Emri Takip'!$X$3:$X$1000,"&lt;="&amp;$N106))</f>
        <v/>
      </c>
      <c r="J106" s="71" t="str">
        <f ca="1">IF($M106&gt;TODAY(),"",SUMIFS('İş Emri Takip'!$U$3:$U$1000,'İş Emri Takip'!$Y$3:$Y$1000,"&gt;="&amp;$M106,'İş Emri Takip'!$Y$3:$Y$1000,"&lt;="&amp;$N106))</f>
        <v/>
      </c>
      <c r="K106" s="70" t="str">
        <f ca="1">IF($M106&gt;TODAY(),"",COUNTIFS('İş Emri Takip'!$F$3:$F$1000,"&lt;="&amp;MIN($N106,TODAY()))-COUNTIFS('İş Emri Takip'!$BC$3:$BC$1000,"&lt;="&amp;MIN($N106,TODAY())))</f>
        <v/>
      </c>
      <c r="L106" s="71" t="str">
        <f ca="1">IF($M106&gt;TODAY(),"",SUMIFS('İş Emri Takip'!$U$3:$U$1000,'İş Emri Takip'!$X$3:$X$1000,"&lt;="&amp;MIN($N106,TODAY()))-SUMIFS('İş Emri Takip'!$U$3:$U$1000,'İş Emri Takip'!$Y$3:$Y$1000,"&lt;="&amp;MIN($N106,TODAY())))</f>
        <v/>
      </c>
      <c r="M106" s="68">
        <v>46370</v>
      </c>
      <c r="N106" s="68">
        <v>46376</v>
      </c>
    </row>
    <row r="107" spans="2:19" ht="20.100000000000001" customHeight="1" x14ac:dyDescent="0.25">
      <c r="B107" s="64" t="s">
        <v>845</v>
      </c>
      <c r="C107" s="65" t="str">
        <f ca="1">IF($M107&gt;TODAY(),"",COUNTIFS('İş Emri Takip'!$F$3:$F$1000,"&gt;="&amp;$M107,'İş Emri Takip'!$F$3:$F$1000,"&lt;="&amp;$N107))</f>
        <v/>
      </c>
      <c r="D107" s="66" t="str">
        <f ca="1">IF($M107&gt;TODAY(),"",SUMIFS('İş Emri Takip'!$D$3:$D$1000,'İş Emri Takip'!$F$3:$F$1000,"&gt;="&amp;$M107,'İş Emri Takip'!$F$3:$F$1000,"&lt;="&amp;$N107))</f>
        <v/>
      </c>
      <c r="E107" s="65" t="str">
        <f ca="1">IF($M107&gt;TODAY(),"",COUNTIFS('İş Emri Takip'!$S$3:$S$1000,"&gt;="&amp;$M107,'İş Emri Takip'!$S$3:$S$1000,"&lt;="&amp;$N107))</f>
        <v/>
      </c>
      <c r="F107" s="66" t="str">
        <f ca="1">IF($M107&gt;TODAY(),"",SUMIFS('İş Emri Takip'!$D$3:$D$1000,'İş Emri Takip'!$S$3:$S$1000,"&gt;="&amp;$M107,'İş Emri Takip'!$S$3:$S$1000,"&lt;="&amp;$N107))</f>
        <v/>
      </c>
      <c r="G107" s="67" t="str">
        <f ca="1">IF($M107&gt;TODAY(),"",COUNTIFS('İş Emri Takip'!$T$3:$T$1000,"&gt;="&amp;$M107,'İş Emri Takip'!$T$3:$T$1000,"&lt;="&amp;$N107))</f>
        <v/>
      </c>
      <c r="H107" s="67" t="str">
        <f ca="1">IF($M107&gt;TODAY(),"",COUNTIFS('İş Emri Takip'!$AQ$3:$AQ$1000,"&gt;="&amp;$M107,'İş Emri Takip'!$AQ$3:$AQ$1000,"&lt;="&amp;$N107)+COUNTIFS('İş Emri Takip'!$AR$3:$AR$1000,"&gt;="&amp;$M107,'İş Emri Takip'!$AR$3:$AR$1000,"&lt;="&amp;$N107)+COUNTIFS('İş Emri Takip'!$AS$3:$AS$1000,"&gt;="&amp;$M107,'İş Emri Takip'!$AS$3:$AS$1000,"&lt;="&amp;$N107)+COUNTIFS('İş Emri Takip'!$AT$3:$AT$1000,"&gt;="&amp;$M107,'İş Emri Takip'!$AT$3:$AT$1000,"&lt;="&amp;$N107)+COUNTIFS('İş Emri Takip'!$AU$3:$AU$1000,"&gt;="&amp;$M107,'İş Emri Takip'!$AU$3:$AU$1000,"&lt;="&amp;$N107)+COUNTIFS('İş Emri Takip'!$AV$3:$AV$1000,"&gt;="&amp;$M107,'İş Emri Takip'!$AV$3:$AV$1000,"&lt;="&amp;$N107)+COUNTIFS('İş Emri Takip'!$AW$3:$AW$1000,"&gt;="&amp;$M107,'İş Emri Takip'!$AW$3:$AW$1000,"&lt;="&amp;$N107)+COUNTIFS('İş Emri Takip'!$AX$3:$AX$1000,"&gt;="&amp;$M107,'İş Emri Takip'!$AX$3:$AX$1000,"&lt;="&amp;$N107)+COUNTIFS('İş Emri Takip'!$AY$3:$AY$1000,"&gt;="&amp;$M107,'İş Emri Takip'!$AY$3:$AY$1000,"&lt;="&amp;$N107)+COUNTIFS('İş Emri Takip'!$AZ$3:$AZ$1000,"&gt;="&amp;$M107,'İş Emri Takip'!$AZ$3:$AZ$1000,"&lt;="&amp;$N107)+COUNTIFS('İş Emri Takip'!$BA$3:$BA$1000,"&gt;="&amp;$M107,'İş Emri Takip'!$BA$3:$BA$1000,"&lt;="&amp;$N107)+COUNTIFS('İş Emri Takip'!$BB$3:$BB$1000,"&gt;="&amp;$M107,'İş Emri Takip'!$BB$3:$BB$1000,"&lt;="&amp;$N107))</f>
        <v/>
      </c>
      <c r="I107" s="65" t="str">
        <f ca="1">IF($M107&gt;TODAY(),"",SUMIFS('İş Emri Takip'!$U$3:$U$1000,'İş Emri Takip'!$X$3:$X$1000,"&gt;="&amp;$M107,'İş Emri Takip'!$X$3:$X$1000,"&lt;="&amp;$N107))</f>
        <v/>
      </c>
      <c r="J107" s="66" t="str">
        <f ca="1">IF($M107&gt;TODAY(),"",SUMIFS('İş Emri Takip'!$U$3:$U$1000,'İş Emri Takip'!$Y$3:$Y$1000,"&gt;="&amp;$M107,'İş Emri Takip'!$Y$3:$Y$1000,"&lt;="&amp;$N107))</f>
        <v/>
      </c>
      <c r="K107" s="65" t="str">
        <f ca="1">IF($M107&gt;TODAY(),"",COUNTIFS('İş Emri Takip'!$F$3:$F$1000,"&lt;="&amp;MIN($N107,TODAY()))-COUNTIFS('İş Emri Takip'!$BC$3:$BC$1000,"&lt;="&amp;MIN($N107,TODAY())))</f>
        <v/>
      </c>
      <c r="L107" s="66" t="str">
        <f ca="1">IF($M107&gt;TODAY(),"",SUMIFS('İş Emri Takip'!$U$3:$U$1000,'İş Emri Takip'!$X$3:$X$1000,"&lt;="&amp;MIN($N107,TODAY()))-SUMIFS('İş Emri Takip'!$U$3:$U$1000,'İş Emri Takip'!$Y$3:$Y$1000,"&lt;="&amp;MIN($N107,TODAY())))</f>
        <v/>
      </c>
      <c r="M107" s="68">
        <v>46377</v>
      </c>
      <c r="N107" s="68">
        <v>46383</v>
      </c>
    </row>
    <row r="108" spans="2:19" ht="20.100000000000001" customHeight="1" x14ac:dyDescent="0.25">
      <c r="B108" s="69" t="s">
        <v>846</v>
      </c>
      <c r="C108" s="70" t="str">
        <f ca="1">IF($M108&gt;TODAY(),"",COUNTIFS('İş Emri Takip'!$F$3:$F$1000,"&gt;="&amp;$M108,'İş Emri Takip'!$F$3:$F$1000,"&lt;="&amp;$N108))</f>
        <v/>
      </c>
      <c r="D108" s="71" t="str">
        <f ca="1">IF($M108&gt;TODAY(),"",SUMIFS('İş Emri Takip'!$D$3:$D$1000,'İş Emri Takip'!$F$3:$F$1000,"&gt;="&amp;$M108,'İş Emri Takip'!$F$3:$F$1000,"&lt;="&amp;$N108))</f>
        <v/>
      </c>
      <c r="E108" s="70" t="str">
        <f ca="1">IF($M108&gt;TODAY(),"",COUNTIFS('İş Emri Takip'!$S$3:$S$1000,"&gt;="&amp;$M108,'İş Emri Takip'!$S$3:$S$1000,"&lt;="&amp;$N108))</f>
        <v/>
      </c>
      <c r="F108" s="71" t="str">
        <f ca="1">IF($M108&gt;TODAY(),"",SUMIFS('İş Emri Takip'!$D$3:$D$1000,'İş Emri Takip'!$S$3:$S$1000,"&gt;="&amp;$M108,'İş Emri Takip'!$S$3:$S$1000,"&lt;="&amp;$N108))</f>
        <v/>
      </c>
      <c r="G108" s="72" t="str">
        <f ca="1">IF($M108&gt;TODAY(),"",COUNTIFS('İş Emri Takip'!$T$3:$T$1000,"&gt;="&amp;$M108,'İş Emri Takip'!$T$3:$T$1000,"&lt;="&amp;$N108))</f>
        <v/>
      </c>
      <c r="H108" s="72" t="str">
        <f ca="1">IF($M108&gt;TODAY(),"",COUNTIFS('İş Emri Takip'!$AQ$3:$AQ$1000,"&gt;="&amp;$M108,'İş Emri Takip'!$AQ$3:$AQ$1000,"&lt;="&amp;$N108)+COUNTIFS('İş Emri Takip'!$AR$3:$AR$1000,"&gt;="&amp;$M108,'İş Emri Takip'!$AR$3:$AR$1000,"&lt;="&amp;$N108)+COUNTIFS('İş Emri Takip'!$AS$3:$AS$1000,"&gt;="&amp;$M108,'İş Emri Takip'!$AS$3:$AS$1000,"&lt;="&amp;$N108)+COUNTIFS('İş Emri Takip'!$AT$3:$AT$1000,"&gt;="&amp;$M108,'İş Emri Takip'!$AT$3:$AT$1000,"&lt;="&amp;$N108)+COUNTIFS('İş Emri Takip'!$AU$3:$AU$1000,"&gt;="&amp;$M108,'İş Emri Takip'!$AU$3:$AU$1000,"&lt;="&amp;$N108)+COUNTIFS('İş Emri Takip'!$AV$3:$AV$1000,"&gt;="&amp;$M108,'İş Emri Takip'!$AV$3:$AV$1000,"&lt;="&amp;$N108)+COUNTIFS('İş Emri Takip'!$AW$3:$AW$1000,"&gt;="&amp;$M108,'İş Emri Takip'!$AW$3:$AW$1000,"&lt;="&amp;$N108)+COUNTIFS('İş Emri Takip'!$AX$3:$AX$1000,"&gt;="&amp;$M108,'İş Emri Takip'!$AX$3:$AX$1000,"&lt;="&amp;$N108)+COUNTIFS('İş Emri Takip'!$AY$3:$AY$1000,"&gt;="&amp;$M108,'İş Emri Takip'!$AY$3:$AY$1000,"&lt;="&amp;$N108)+COUNTIFS('İş Emri Takip'!$AZ$3:$AZ$1000,"&gt;="&amp;$M108,'İş Emri Takip'!$AZ$3:$AZ$1000,"&lt;="&amp;$N108)+COUNTIFS('İş Emri Takip'!$BA$3:$BA$1000,"&gt;="&amp;$M108,'İş Emri Takip'!$BA$3:$BA$1000,"&lt;="&amp;$N108)+COUNTIFS('İş Emri Takip'!$BB$3:$BB$1000,"&gt;="&amp;$M108,'İş Emri Takip'!$BB$3:$BB$1000,"&lt;="&amp;$N108))</f>
        <v/>
      </c>
      <c r="I108" s="70" t="str">
        <f ca="1">IF($M108&gt;TODAY(),"",SUMIFS('İş Emri Takip'!$U$3:$U$1000,'İş Emri Takip'!$X$3:$X$1000,"&gt;="&amp;$M108,'İş Emri Takip'!$X$3:$X$1000,"&lt;="&amp;$N108))</f>
        <v/>
      </c>
      <c r="J108" s="71" t="str">
        <f ca="1">IF($M108&gt;TODAY(),"",SUMIFS('İş Emri Takip'!$U$3:$U$1000,'İş Emri Takip'!$Y$3:$Y$1000,"&gt;="&amp;$M108,'İş Emri Takip'!$Y$3:$Y$1000,"&lt;="&amp;$N108))</f>
        <v/>
      </c>
      <c r="K108" s="70" t="str">
        <f ca="1">IF($M108&gt;TODAY(),"",COUNTIFS('İş Emri Takip'!$F$3:$F$1000,"&lt;="&amp;MIN($N108,TODAY()))-COUNTIFS('İş Emri Takip'!$BC$3:$BC$1000,"&lt;="&amp;MIN($N108,TODAY())))</f>
        <v/>
      </c>
      <c r="L108" s="71" t="str">
        <f ca="1">IF($M108&gt;TODAY(),"",SUMIFS('İş Emri Takip'!$U$3:$U$1000,'İş Emri Takip'!$X$3:$X$1000,"&lt;="&amp;MIN($N108,TODAY()))-SUMIFS('İş Emri Takip'!$U$3:$U$1000,'İş Emri Takip'!$Y$3:$Y$1000,"&lt;="&amp;MIN($N108,TODAY())))</f>
        <v/>
      </c>
      <c r="M108" s="68">
        <v>46384</v>
      </c>
      <c r="N108" s="68">
        <v>46387</v>
      </c>
    </row>
    <row r="109" spans="2:19" ht="24" customHeight="1" x14ac:dyDescent="0.25">
      <c r="B109" s="73" t="s">
        <v>847</v>
      </c>
      <c r="C109" s="74" t="str">
        <f ca="1">IF($M109&gt;TODAY(),"",COUNTIFS('İş Emri Takip'!$F$3:$F$1000,"&gt;="&amp;$M109,'İş Emri Takip'!$F$3:$F$1000,"&lt;="&amp;$N109))</f>
        <v/>
      </c>
      <c r="D109" s="75" t="str">
        <f ca="1">IF($M109&gt;TODAY(),"",SUMIFS('İş Emri Takip'!$D$3:$D$1000,'İş Emri Takip'!$F$3:$F$1000,"&gt;="&amp;$M109,'İş Emri Takip'!$F$3:$F$1000,"&lt;="&amp;$N109))</f>
        <v/>
      </c>
      <c r="E109" s="74" t="str">
        <f ca="1">IF($M109&gt;TODAY(),"",COUNTIFS('İş Emri Takip'!$S$3:$S$1000,"&gt;="&amp;$M109,'İş Emri Takip'!$S$3:$S$1000,"&lt;="&amp;$N109))</f>
        <v/>
      </c>
      <c r="F109" s="75" t="str">
        <f ca="1">IF($M109&gt;TODAY(),"",SUMIFS('İş Emri Takip'!$D$3:$D$1000,'İş Emri Takip'!$S$3:$S$1000,"&gt;="&amp;$M109,'İş Emri Takip'!$S$3:$S$1000,"&lt;="&amp;$N109))</f>
        <v/>
      </c>
      <c r="G109" s="76" t="str">
        <f ca="1">IF($M109&gt;TODAY(),"",COUNTIFS('İş Emri Takip'!$T$3:$T$1000,"&gt;="&amp;$M109,'İş Emri Takip'!$T$3:$T$1000,"&lt;="&amp;$N109))</f>
        <v/>
      </c>
      <c r="H109" s="76" t="str">
        <f ca="1">IF($M109&gt;TODAY(),"",COUNTIFS('İş Emri Takip'!$AQ$3:$AQ$1000,"&gt;="&amp;$M109,'İş Emri Takip'!$AQ$3:$AQ$1000,"&lt;="&amp;$N109)+COUNTIFS('İş Emri Takip'!$AR$3:$AR$1000,"&gt;="&amp;$M109,'İş Emri Takip'!$AR$3:$AR$1000,"&lt;="&amp;$N109)+COUNTIFS('İş Emri Takip'!$AS$3:$AS$1000,"&gt;="&amp;$M109,'İş Emri Takip'!$AS$3:$AS$1000,"&lt;="&amp;$N109)+COUNTIFS('İş Emri Takip'!$AT$3:$AT$1000,"&gt;="&amp;$M109,'İş Emri Takip'!$AT$3:$AT$1000,"&lt;="&amp;$N109)+COUNTIFS('İş Emri Takip'!$AU$3:$AU$1000,"&gt;="&amp;$M109,'İş Emri Takip'!$AU$3:$AU$1000,"&lt;="&amp;$N109)+COUNTIFS('İş Emri Takip'!$AV$3:$AV$1000,"&gt;="&amp;$M109,'İş Emri Takip'!$AV$3:$AV$1000,"&lt;="&amp;$N109)+COUNTIFS('İş Emri Takip'!$AW$3:$AW$1000,"&gt;="&amp;$M109,'İş Emri Takip'!$AW$3:$AW$1000,"&lt;="&amp;$N109)+COUNTIFS('İş Emri Takip'!$AX$3:$AX$1000,"&gt;="&amp;$M109,'İş Emri Takip'!$AX$3:$AX$1000,"&lt;="&amp;$N109)+COUNTIFS('İş Emri Takip'!$AY$3:$AY$1000,"&gt;="&amp;$M109,'İş Emri Takip'!$AY$3:$AY$1000,"&lt;="&amp;$N109)+COUNTIFS('İş Emri Takip'!$AZ$3:$AZ$1000,"&gt;="&amp;$M109,'İş Emri Takip'!$AZ$3:$AZ$1000,"&lt;="&amp;$N109)+COUNTIFS('İş Emri Takip'!$BA$3:$BA$1000,"&gt;="&amp;$M109,'İş Emri Takip'!$BA$3:$BA$1000,"&lt;="&amp;$N109)+COUNTIFS('İş Emri Takip'!$BB$3:$BB$1000,"&gt;="&amp;$M109,'İş Emri Takip'!$BB$3:$BB$1000,"&lt;="&amp;$N109))</f>
        <v/>
      </c>
      <c r="I109" s="74" t="str">
        <f ca="1">IF($M109&gt;TODAY(),"",SUMIFS('İş Emri Takip'!$U$3:$U$1000,'İş Emri Takip'!$X$3:$X$1000,"&gt;="&amp;$M109,'İş Emri Takip'!$X$3:$X$1000,"&lt;="&amp;$N109))</f>
        <v/>
      </c>
      <c r="J109" s="75" t="str">
        <f ca="1">IF($M109&gt;TODAY(),"",SUMIFS('İş Emri Takip'!$U$3:$U$1000,'İş Emri Takip'!$Y$3:$Y$1000,"&gt;="&amp;$M109,'İş Emri Takip'!$Y$3:$Y$1000,"&lt;="&amp;$N109))</f>
        <v/>
      </c>
      <c r="K109" s="74" t="str">
        <f ca="1">IF($M109&gt;TODAY(),"",COUNTIFS('İş Emri Takip'!$F$3:$F$1000,"&lt;="&amp;MIN($N109,TODAY()))-COUNTIFS('İş Emri Takip'!$BC$3:$BC$1000,"&lt;="&amp;MIN($N109,TODAY())))</f>
        <v/>
      </c>
      <c r="L109" s="75" t="str">
        <f ca="1">IF($M109&gt;TODAY(),"",SUMIFS('İş Emri Takip'!$U$3:$U$1000,'İş Emri Takip'!$X$3:$X$1000,"&lt;="&amp;MIN($N109,TODAY()))-SUMIFS('İş Emri Takip'!$U$3:$U$1000,'İş Emri Takip'!$Y$3:$Y$1000,"&lt;="&amp;MIN($N109,TODAY())))</f>
        <v/>
      </c>
      <c r="M109" s="68">
        <v>46357</v>
      </c>
      <c r="N109" s="68">
        <v>46387</v>
      </c>
    </row>
    <row r="110" spans="2:19" ht="27.95" customHeight="1" x14ac:dyDescent="0.25">
      <c r="B110" s="77" t="s">
        <v>848</v>
      </c>
      <c r="C110" s="78">
        <f ca="1">IF($M110&gt;TODAY(),"",COUNTIFS('İş Emri Takip'!$F$3:$F$1000,"&gt;="&amp;$M110,'İş Emri Takip'!$F$3:$F$1000,"&lt;="&amp;$N110))</f>
        <v>528</v>
      </c>
      <c r="D110" s="78">
        <f ca="1">IF($M110&gt;TODAY(),"",SUMIFS('İş Emri Takip'!$D$3:$D$1000,'İş Emri Takip'!$F$3:$F$1000,"&gt;="&amp;$M110,'İş Emri Takip'!$F$3:$F$1000,"&lt;="&amp;$N110))</f>
        <v>3046</v>
      </c>
      <c r="E110" s="78">
        <f ca="1">IF($M110&gt;TODAY(),"",COUNTIFS('İş Emri Takip'!$S$3:$S$1000,"&gt;="&amp;$M110,'İş Emri Takip'!$S$3:$S$1000,"&lt;="&amp;$N110))</f>
        <v>3</v>
      </c>
      <c r="F110" s="78">
        <f ca="1">IF($M110&gt;TODAY(),"",SUMIFS('İş Emri Takip'!$D$3:$D$1000,'İş Emri Takip'!$S$3:$S$1000,"&gt;="&amp;$M110,'İş Emri Takip'!$S$3:$S$1000,"&lt;="&amp;$N110))</f>
        <v>24</v>
      </c>
      <c r="G110" s="78">
        <f ca="1">IF($M110&gt;TODAY(),"",COUNTIFS('İş Emri Takip'!$T$3:$T$1000,"&gt;="&amp;$M110,'İş Emri Takip'!$T$3:$T$1000,"&lt;="&amp;$N110))</f>
        <v>442</v>
      </c>
      <c r="H110" s="78">
        <f ca="1">IF($M110&gt;TODAY(),"",COUNTIFS('İş Emri Takip'!$AQ$3:$AQ$1000,"&gt;="&amp;$M110,'İş Emri Takip'!$AQ$3:$AQ$1000,"&lt;="&amp;$N110)+COUNTIFS('İş Emri Takip'!$AR$3:$AR$1000,"&gt;="&amp;$M110,'İş Emri Takip'!$AR$3:$AR$1000,"&lt;="&amp;$N110)+COUNTIFS('İş Emri Takip'!$AS$3:$AS$1000,"&gt;="&amp;$M110,'İş Emri Takip'!$AS$3:$AS$1000,"&lt;="&amp;$N110)+COUNTIFS('İş Emri Takip'!$AT$3:$AT$1000,"&gt;="&amp;$M110,'İş Emri Takip'!$AT$3:$AT$1000,"&lt;="&amp;$N110)+COUNTIFS('İş Emri Takip'!$AU$3:$AU$1000,"&gt;="&amp;$M110,'İş Emri Takip'!$AU$3:$AU$1000,"&lt;="&amp;$N110)+COUNTIFS('İş Emri Takip'!$AV$3:$AV$1000,"&gt;="&amp;$M110,'İş Emri Takip'!$AV$3:$AV$1000,"&lt;="&amp;$N110)+COUNTIFS('İş Emri Takip'!$AW$3:$AW$1000,"&gt;="&amp;$M110,'İş Emri Takip'!$AW$3:$AW$1000,"&lt;="&amp;$N110)+COUNTIFS('İş Emri Takip'!$AX$3:$AX$1000,"&gt;="&amp;$M110,'İş Emri Takip'!$AX$3:$AX$1000,"&lt;="&amp;$N110)+COUNTIFS('İş Emri Takip'!$AY$3:$AY$1000,"&gt;="&amp;$M110,'İş Emri Takip'!$AY$3:$AY$1000,"&lt;="&amp;$N110)+COUNTIFS('İş Emri Takip'!$AZ$3:$AZ$1000,"&gt;="&amp;$M110,'İş Emri Takip'!$AZ$3:$AZ$1000,"&lt;="&amp;$N110)+COUNTIFS('İş Emri Takip'!$BA$3:$BA$1000,"&gt;="&amp;$M110,'İş Emri Takip'!$BA$3:$BA$1000,"&lt;="&amp;$N110)+COUNTIFS('İş Emri Takip'!$BB$3:$BB$1000,"&gt;="&amp;$M110,'İş Emri Takip'!$BB$3:$BB$1000,"&lt;="&amp;$N110))</f>
        <v>1036</v>
      </c>
      <c r="I110" s="78">
        <f ca="1">IF($M110&gt;TODAY(),"",SUMIFS('İş Emri Takip'!$U$3:$U$1000,'İş Emri Takip'!$X$3:$X$1000,"&gt;="&amp;$M110,'İş Emri Takip'!$X$3:$X$1000,"&lt;="&amp;$N110))</f>
        <v>0</v>
      </c>
      <c r="J110" s="78">
        <f ca="1">IF($M110&gt;TODAY(),"",SUMIFS('İş Emri Takip'!$U$3:$U$1000,'İş Emri Takip'!$Y$3:$Y$1000,"&gt;="&amp;$M110,'İş Emri Takip'!$Y$3:$Y$1000,"&lt;="&amp;$N110))</f>
        <v>0</v>
      </c>
      <c r="K110" s="78">
        <f ca="1">IF($M110&gt;TODAY(),"",COUNTIFS('İş Emri Takip'!$F$3:$F$1000,"&lt;="&amp;MIN($N110,TODAY()))-COUNTIFS('İş Emri Takip'!$BC$3:$BC$1000,"&lt;="&amp;MIN($N110,TODAY())))</f>
        <v>89</v>
      </c>
      <c r="L110" s="78">
        <f ca="1">IF($M110&gt;TODAY(),"",SUMIFS('İş Emri Takip'!$U$3:$U$1000,'İş Emri Takip'!$X$3:$X$1000,"&lt;="&amp;MIN($N110,TODAY()))-SUMIFS('İş Emri Takip'!$U$3:$U$1000,'İş Emri Takip'!$Y$3:$Y$1000,"&lt;="&amp;MIN($N110,TODAY())))</f>
        <v>0</v>
      </c>
      <c r="M110" s="68">
        <v>46286</v>
      </c>
      <c r="N110" s="68">
        <v>46387</v>
      </c>
    </row>
    <row r="112" spans="2:19" ht="26.1" customHeight="1" x14ac:dyDescent="0.25">
      <c r="B112" s="28" t="s">
        <v>849</v>
      </c>
      <c r="C112" s="29"/>
      <c r="D112" s="29"/>
      <c r="E112" s="217" t="s">
        <v>850</v>
      </c>
      <c r="F112" s="218"/>
      <c r="G112" s="218"/>
      <c r="H112" s="218"/>
      <c r="I112" s="218"/>
      <c r="J112" s="218"/>
      <c r="K112" s="218"/>
      <c r="L112" s="29"/>
    </row>
    <row r="113" spans="2:14" ht="30" customHeight="1" x14ac:dyDescent="0.25">
      <c r="B113" s="79" t="s">
        <v>851</v>
      </c>
      <c r="C113" s="80" t="s">
        <v>12</v>
      </c>
      <c r="D113" s="81" t="s">
        <v>13</v>
      </c>
      <c r="E113" s="57" t="s">
        <v>14</v>
      </c>
      <c r="F113" s="82" t="s">
        <v>16</v>
      </c>
      <c r="G113" s="83" t="s">
        <v>18</v>
      </c>
      <c r="H113" s="84" t="s">
        <v>20</v>
      </c>
      <c r="I113" s="85" t="s">
        <v>771</v>
      </c>
      <c r="J113" s="86" t="s">
        <v>22</v>
      </c>
      <c r="K113" s="87" t="s">
        <v>23</v>
      </c>
      <c r="L113" s="79" t="s">
        <v>852</v>
      </c>
    </row>
    <row r="114" spans="2:14" ht="20.100000000000001" customHeight="1" x14ac:dyDescent="0.25">
      <c r="B114" s="88" t="s">
        <v>853</v>
      </c>
      <c r="C114" s="89">
        <f ca="1">IF($M114&gt;TODAY(),"",COUNTIFS('İş Emri Takip'!$AQ$3:$AQ$1000,"&gt;="&amp;$M114,'İş Emri Takip'!$AQ$3:$AQ$1000,"&lt;="&amp;$N114))</f>
        <v>0</v>
      </c>
      <c r="D114" s="89">
        <f ca="1">IF($M114&gt;TODAY(),"",COUNTIFS('İş Emri Takip'!$AR$3:$AR$1000,"&gt;="&amp;$M114,'İş Emri Takip'!$AR$3:$AR$1000,"&lt;="&amp;$N114))</f>
        <v>3</v>
      </c>
      <c r="E114" s="89">
        <f ca="1">IF($M114&gt;TODAY(),"",COUNTIFS('İş Emri Takip'!$AS$3:$AS$1000,"&gt;="&amp;$M114,'İş Emri Takip'!$AS$3:$AS$1000,"&lt;="&amp;$N114))</f>
        <v>46</v>
      </c>
      <c r="F114" s="89">
        <f ca="1">IF($M114&gt;TODAY(),"",COUNTIFS('İş Emri Takip'!$AU$3:$AU$1000,"&gt;="&amp;$M114,'İş Emri Takip'!$AU$3:$AU$1000,"&lt;="&amp;$N114))</f>
        <v>6</v>
      </c>
      <c r="G114" s="89">
        <f ca="1">IF($M114&gt;TODAY(),"",COUNTIFS('İş Emri Takip'!$AW$3:$AW$1000,"&gt;="&amp;$M114,'İş Emri Takip'!$AW$3:$AW$1000,"&lt;="&amp;$N114))</f>
        <v>4</v>
      </c>
      <c r="H114" s="89">
        <f ca="1">IF($M114&gt;TODAY(),"",COUNTIFS('İş Emri Takip'!$AY$3:$AY$1000,"&gt;="&amp;$M114,'İş Emri Takip'!$AY$3:$AY$1000,"&lt;="&amp;$N114))</f>
        <v>1</v>
      </c>
      <c r="I114" s="89">
        <f ca="1">IF($M114&gt;TODAY(),"",COUNTIFS('İş Emri Takip'!$AT$3:$AT$1000,"&gt;="&amp;$M114,'İş Emri Takip'!$AT$3:$AT$1000,"&lt;="&amp;$N114)+COUNTIFS('İş Emri Takip'!$AV$3:$AV$1000,"&gt;="&amp;$M114,'İş Emri Takip'!$AV$3:$AV$1000,"&lt;="&amp;$N114)+COUNTIFS('İş Emri Takip'!$AX$3:$AX$1000,"&gt;="&amp;$M114,'İş Emri Takip'!$AX$3:$AX$1000,"&lt;="&amp;$N114)+COUNTIFS('İş Emri Takip'!$AZ$3:$AZ$1000,"&gt;="&amp;$M114,'İş Emri Takip'!$AZ$3:$AZ$1000,"&lt;="&amp;$N114))</f>
        <v>43</v>
      </c>
      <c r="J114" s="89">
        <f ca="1">IF($M114&gt;TODAY(),"",COUNTIFS('İş Emri Takip'!$BA$3:$BA$1000,"&gt;="&amp;$M114,'İş Emri Takip'!$BA$3:$BA$1000,"&lt;="&amp;$N114))</f>
        <v>19</v>
      </c>
      <c r="K114" s="89">
        <f ca="1">IF($M114&gt;TODAY(),"",COUNTIFS('İş Emri Takip'!$BB$3:$BB$1000,"&gt;="&amp;$M114,'İş Emri Takip'!$BB$3:$BB$1000,"&lt;="&amp;$N114))</f>
        <v>0</v>
      </c>
      <c r="L114" s="90">
        <f t="shared" ref="L114:L133" ca="1" si="4">IF($M114&gt;TODAY(),"",SUM(C114:K114))</f>
        <v>122</v>
      </c>
      <c r="M114" s="68">
        <v>46286</v>
      </c>
      <c r="N114" s="68">
        <v>46292</v>
      </c>
    </row>
    <row r="115" spans="2:14" ht="20.100000000000001" customHeight="1" x14ac:dyDescent="0.25">
      <c r="B115" s="91" t="s">
        <v>854</v>
      </c>
      <c r="C115" s="92">
        <f ca="1">IF($M115&gt;TODAY(),"",COUNTIFS('İş Emri Takip'!$AQ$3:$AQ$1000,"&gt;="&amp;$M115,'İş Emri Takip'!$AQ$3:$AQ$1000,"&lt;="&amp;$N115))</f>
        <v>0</v>
      </c>
      <c r="D115" s="92">
        <f ca="1">IF($M115&gt;TODAY(),"",COUNTIFS('İş Emri Takip'!$AR$3:$AR$1000,"&gt;="&amp;$M115,'İş Emri Takip'!$AR$3:$AR$1000,"&lt;="&amp;$N115))</f>
        <v>18</v>
      </c>
      <c r="E115" s="92">
        <f ca="1">IF($M115&gt;TODAY(),"",COUNTIFS('İş Emri Takip'!$AS$3:$AS$1000,"&gt;="&amp;$M115,'İş Emri Takip'!$AS$3:$AS$1000,"&lt;="&amp;$N115))</f>
        <v>137</v>
      </c>
      <c r="F115" s="92">
        <f ca="1">IF($M115&gt;TODAY(),"",COUNTIFS('İş Emri Takip'!$AU$3:$AU$1000,"&gt;="&amp;$M115,'İş Emri Takip'!$AU$3:$AU$1000,"&lt;="&amp;$N115))</f>
        <v>21</v>
      </c>
      <c r="G115" s="92">
        <f ca="1">IF($M115&gt;TODAY(),"",COUNTIFS('İş Emri Takip'!$AW$3:$AW$1000,"&gt;="&amp;$M115,'İş Emri Takip'!$AW$3:$AW$1000,"&lt;="&amp;$N115))</f>
        <v>5</v>
      </c>
      <c r="H115" s="92">
        <f ca="1">IF($M115&gt;TODAY(),"",COUNTIFS('İş Emri Takip'!$AY$3:$AY$1000,"&gt;="&amp;$M115,'İş Emri Takip'!$AY$3:$AY$1000,"&lt;="&amp;$N115))</f>
        <v>8</v>
      </c>
      <c r="I115" s="92">
        <f ca="1">IF($M115&gt;TODAY(),"",COUNTIFS('İş Emri Takip'!$AT$3:$AT$1000,"&gt;="&amp;$M115,'İş Emri Takip'!$AT$3:$AT$1000,"&lt;="&amp;$N115)+COUNTIFS('İş Emri Takip'!$AV$3:$AV$1000,"&gt;="&amp;$M115,'İş Emri Takip'!$AV$3:$AV$1000,"&lt;="&amp;$N115)+COUNTIFS('İş Emri Takip'!$AX$3:$AX$1000,"&gt;="&amp;$M115,'İş Emri Takip'!$AX$3:$AX$1000,"&lt;="&amp;$N115)+COUNTIFS('İş Emri Takip'!$AZ$3:$AZ$1000,"&gt;="&amp;$M115,'İş Emri Takip'!$AZ$3:$AZ$1000,"&lt;="&amp;$N115))</f>
        <v>169</v>
      </c>
      <c r="J115" s="92">
        <f ca="1">IF($M115&gt;TODAY(),"",COUNTIFS('İş Emri Takip'!$BA$3:$BA$1000,"&gt;="&amp;$M115,'İş Emri Takip'!$BA$3:$BA$1000,"&lt;="&amp;$N115))</f>
        <v>77</v>
      </c>
      <c r="K115" s="92">
        <f ca="1">IF($M115&gt;TODAY(),"",COUNTIFS('İş Emri Takip'!$BB$3:$BB$1000,"&gt;="&amp;$M115,'İş Emri Takip'!$BB$3:$BB$1000,"&lt;="&amp;$N115))</f>
        <v>0</v>
      </c>
      <c r="L115" s="93">
        <f t="shared" ca="1" si="4"/>
        <v>435</v>
      </c>
      <c r="M115" s="68">
        <v>46293</v>
      </c>
      <c r="N115" s="68">
        <v>46299</v>
      </c>
    </row>
    <row r="116" spans="2:14" ht="21.95" customHeight="1" x14ac:dyDescent="0.25">
      <c r="B116" s="94" t="s">
        <v>818</v>
      </c>
      <c r="C116" s="75">
        <f ca="1">IF($M116&gt;TODAY(),"",COUNTIFS('İş Emri Takip'!$AQ$3:$AQ$1000,"&gt;="&amp;$M116,'İş Emri Takip'!$AQ$3:$AQ$1000,"&lt;="&amp;$N116))</f>
        <v>0</v>
      </c>
      <c r="D116" s="75">
        <f ca="1">IF($M116&gt;TODAY(),"",COUNTIFS('İş Emri Takip'!$AR$3:$AR$1000,"&gt;="&amp;$M116,'İş Emri Takip'!$AR$3:$AR$1000,"&lt;="&amp;$N116))</f>
        <v>11</v>
      </c>
      <c r="E116" s="75">
        <f ca="1">IF($M116&gt;TODAY(),"",COUNTIFS('İş Emri Takip'!$AS$3:$AS$1000,"&gt;="&amp;$M116,'İş Emri Takip'!$AS$3:$AS$1000,"&lt;="&amp;$N116))</f>
        <v>107</v>
      </c>
      <c r="F116" s="75">
        <f ca="1">IF($M116&gt;TODAY(),"",COUNTIFS('İş Emri Takip'!$AU$3:$AU$1000,"&gt;="&amp;$M116,'İş Emri Takip'!$AU$3:$AU$1000,"&lt;="&amp;$N116))</f>
        <v>21</v>
      </c>
      <c r="G116" s="75">
        <f ca="1">IF($M116&gt;TODAY(),"",COUNTIFS('İş Emri Takip'!$AW$3:$AW$1000,"&gt;="&amp;$M116,'İş Emri Takip'!$AW$3:$AW$1000,"&lt;="&amp;$N116))</f>
        <v>7</v>
      </c>
      <c r="H116" s="75">
        <f ca="1">IF($M116&gt;TODAY(),"",COUNTIFS('İş Emri Takip'!$AY$3:$AY$1000,"&gt;="&amp;$M116,'İş Emri Takip'!$AY$3:$AY$1000,"&lt;="&amp;$N116))</f>
        <v>5</v>
      </c>
      <c r="I116" s="75">
        <f ca="1">IF($M116&gt;TODAY(),"",COUNTIFS('İş Emri Takip'!$AT$3:$AT$1000,"&gt;="&amp;$M116,'İş Emri Takip'!$AT$3:$AT$1000,"&lt;="&amp;$N116)+COUNTIFS('İş Emri Takip'!$AV$3:$AV$1000,"&gt;="&amp;$M116,'İş Emri Takip'!$AV$3:$AV$1000,"&lt;="&amp;$N116)+COUNTIFS('İş Emri Takip'!$AX$3:$AX$1000,"&gt;="&amp;$M116,'İş Emri Takip'!$AX$3:$AX$1000,"&lt;="&amp;$N116)+COUNTIFS('İş Emri Takip'!$AZ$3:$AZ$1000,"&gt;="&amp;$M116,'İş Emri Takip'!$AZ$3:$AZ$1000,"&lt;="&amp;$N116))</f>
        <v>126</v>
      </c>
      <c r="J116" s="75">
        <f ca="1">IF($M116&gt;TODAY(),"",COUNTIFS('İş Emri Takip'!$BA$3:$BA$1000,"&gt;="&amp;$M116,'İş Emri Takip'!$BA$3:$BA$1000,"&lt;="&amp;$N116))</f>
        <v>48</v>
      </c>
      <c r="K116" s="75">
        <f ca="1">IF($M116&gt;TODAY(),"",COUNTIFS('İş Emri Takip'!$BB$3:$BB$1000,"&gt;="&amp;$M116,'İş Emri Takip'!$BB$3:$BB$1000,"&lt;="&amp;$N116))</f>
        <v>0</v>
      </c>
      <c r="L116" s="75">
        <f t="shared" ca="1" si="4"/>
        <v>325</v>
      </c>
      <c r="M116" s="68">
        <v>46286</v>
      </c>
      <c r="N116" s="68">
        <v>46295</v>
      </c>
    </row>
    <row r="117" spans="2:14" ht="20.100000000000001" customHeight="1" x14ac:dyDescent="0.25">
      <c r="B117" s="88" t="s">
        <v>855</v>
      </c>
      <c r="C117" s="89">
        <f ca="1">IF($M117&gt;TODAY(),"",COUNTIFS('İş Emri Takip'!$AQ$3:$AQ$1000,"&gt;="&amp;$M117,'İş Emri Takip'!$AQ$3:$AQ$1000,"&lt;="&amp;$N117))</f>
        <v>0</v>
      </c>
      <c r="D117" s="89">
        <f ca="1">IF($M117&gt;TODAY(),"",COUNTIFS('İş Emri Takip'!$AR$3:$AR$1000,"&gt;="&amp;$M117,'İş Emri Takip'!$AR$3:$AR$1000,"&lt;="&amp;$N117))</f>
        <v>16</v>
      </c>
      <c r="E117" s="89">
        <f ca="1">IF($M117&gt;TODAY(),"",COUNTIFS('İş Emri Takip'!$AS$3:$AS$1000,"&gt;="&amp;$M117,'İş Emri Takip'!$AS$3:$AS$1000,"&lt;="&amp;$N117))</f>
        <v>117</v>
      </c>
      <c r="F117" s="89">
        <f ca="1">IF($M117&gt;TODAY(),"",COUNTIFS('İş Emri Takip'!$AU$3:$AU$1000,"&gt;="&amp;$M117,'İş Emri Takip'!$AU$3:$AU$1000,"&lt;="&amp;$N117))</f>
        <v>33</v>
      </c>
      <c r="G117" s="89">
        <f ca="1">IF($M117&gt;TODAY(),"",COUNTIFS('İş Emri Takip'!$AW$3:$AW$1000,"&gt;="&amp;$M117,'İş Emri Takip'!$AW$3:$AW$1000,"&lt;="&amp;$N117))</f>
        <v>40</v>
      </c>
      <c r="H117" s="89">
        <f ca="1">IF($M117&gt;TODAY(),"",COUNTIFS('İş Emri Takip'!$AY$3:$AY$1000,"&gt;="&amp;$M117,'İş Emri Takip'!$AY$3:$AY$1000,"&lt;="&amp;$N117))</f>
        <v>11</v>
      </c>
      <c r="I117" s="89">
        <f ca="1">IF($M117&gt;TODAY(),"",COUNTIFS('İş Emri Takip'!$AT$3:$AT$1000,"&gt;="&amp;$M117,'İş Emri Takip'!$AT$3:$AT$1000,"&lt;="&amp;$N117)+COUNTIFS('İş Emri Takip'!$AV$3:$AV$1000,"&gt;="&amp;$M117,'İş Emri Takip'!$AV$3:$AV$1000,"&lt;="&amp;$N117)+COUNTIFS('İş Emri Takip'!$AX$3:$AX$1000,"&gt;="&amp;$M117,'İş Emri Takip'!$AX$3:$AX$1000,"&lt;="&amp;$N117)+COUNTIFS('İş Emri Takip'!$AZ$3:$AZ$1000,"&gt;="&amp;$M117,'İş Emri Takip'!$AZ$3:$AZ$1000,"&lt;="&amp;$N117))</f>
        <v>184</v>
      </c>
      <c r="J117" s="89">
        <f ca="1">IF($M117&gt;TODAY(),"",COUNTIFS('İş Emri Takip'!$BA$3:$BA$1000,"&gt;="&amp;$M117,'İş Emri Takip'!$BA$3:$BA$1000,"&lt;="&amp;$N117))</f>
        <v>62</v>
      </c>
      <c r="K117" s="89">
        <f ca="1">IF($M117&gt;TODAY(),"",COUNTIFS('İş Emri Takip'!$BB$3:$BB$1000,"&gt;="&amp;$M117,'İş Emri Takip'!$BB$3:$BB$1000,"&lt;="&amp;$N117))</f>
        <v>0</v>
      </c>
      <c r="L117" s="90">
        <f t="shared" ca="1" si="4"/>
        <v>463</v>
      </c>
      <c r="M117" s="68">
        <v>46300</v>
      </c>
      <c r="N117" s="68">
        <v>46306</v>
      </c>
    </row>
    <row r="118" spans="2:14" ht="20.100000000000001" customHeight="1" x14ac:dyDescent="0.25">
      <c r="B118" s="91" t="s">
        <v>856</v>
      </c>
      <c r="C118" s="92">
        <f ca="1">IF($M118&gt;TODAY(),"",COUNTIFS('İş Emri Takip'!$AQ$3:$AQ$1000,"&gt;="&amp;$M118,'İş Emri Takip'!$AQ$3:$AQ$1000,"&lt;="&amp;$N118))</f>
        <v>0</v>
      </c>
      <c r="D118" s="92">
        <f ca="1">IF($M118&gt;TODAY(),"",COUNTIFS('İş Emri Takip'!$AR$3:$AR$1000,"&gt;="&amp;$M118,'İş Emri Takip'!$AR$3:$AR$1000,"&lt;="&amp;$N118))</f>
        <v>0</v>
      </c>
      <c r="E118" s="92">
        <f ca="1">IF($M118&gt;TODAY(),"",COUNTIFS('İş Emri Takip'!$AS$3:$AS$1000,"&gt;="&amp;$M118,'İş Emri Takip'!$AS$3:$AS$1000,"&lt;="&amp;$N118))</f>
        <v>8</v>
      </c>
      <c r="F118" s="92">
        <f ca="1">IF($M118&gt;TODAY(),"",COUNTIFS('İş Emri Takip'!$AU$3:$AU$1000,"&gt;="&amp;$M118,'İş Emri Takip'!$AU$3:$AU$1000,"&lt;="&amp;$N118))</f>
        <v>0</v>
      </c>
      <c r="G118" s="92">
        <f ca="1">IF($M118&gt;TODAY(),"",COUNTIFS('İş Emri Takip'!$AW$3:$AW$1000,"&gt;="&amp;$M118,'İş Emri Takip'!$AW$3:$AW$1000,"&lt;="&amp;$N118))</f>
        <v>0</v>
      </c>
      <c r="H118" s="92">
        <f ca="1">IF($M118&gt;TODAY(),"",COUNTIFS('İş Emri Takip'!$AY$3:$AY$1000,"&gt;="&amp;$M118,'İş Emri Takip'!$AY$3:$AY$1000,"&lt;="&amp;$N118))</f>
        <v>0</v>
      </c>
      <c r="I118" s="92">
        <f ca="1">IF($M118&gt;TODAY(),"",COUNTIFS('İş Emri Takip'!$AT$3:$AT$1000,"&gt;="&amp;$M118,'İş Emri Takip'!$AT$3:$AT$1000,"&lt;="&amp;$N118)+COUNTIFS('İş Emri Takip'!$AV$3:$AV$1000,"&gt;="&amp;$M118,'İş Emri Takip'!$AV$3:$AV$1000,"&lt;="&amp;$N118)+COUNTIFS('İş Emri Takip'!$AX$3:$AX$1000,"&gt;="&amp;$M118,'İş Emri Takip'!$AX$3:$AX$1000,"&lt;="&amp;$N118)+COUNTIFS('İş Emri Takip'!$AZ$3:$AZ$1000,"&gt;="&amp;$M118,'İş Emri Takip'!$AZ$3:$AZ$1000,"&lt;="&amp;$N118))</f>
        <v>8</v>
      </c>
      <c r="J118" s="92">
        <f ca="1">IF($M118&gt;TODAY(),"",COUNTIFS('İş Emri Takip'!$BA$3:$BA$1000,"&gt;="&amp;$M118,'İş Emri Takip'!$BA$3:$BA$1000,"&lt;="&amp;$N118))</f>
        <v>0</v>
      </c>
      <c r="K118" s="92">
        <f ca="1">IF($M118&gt;TODAY(),"",COUNTIFS('İş Emri Takip'!$BB$3:$BB$1000,"&gt;="&amp;$M118,'İş Emri Takip'!$BB$3:$BB$1000,"&lt;="&amp;$N118))</f>
        <v>0</v>
      </c>
      <c r="L118" s="93">
        <f t="shared" ca="1" si="4"/>
        <v>16</v>
      </c>
      <c r="M118" s="68">
        <v>46307</v>
      </c>
      <c r="N118" s="68">
        <v>46313</v>
      </c>
    </row>
    <row r="119" spans="2:14" ht="20.100000000000001" customHeight="1" x14ac:dyDescent="0.25">
      <c r="B119" s="88" t="s">
        <v>857</v>
      </c>
      <c r="C119" s="89" t="str">
        <f ca="1">IF($M119&gt;TODAY(),"",COUNTIFS('İş Emri Takip'!$AQ$3:$AQ$1000,"&gt;="&amp;$M119,'İş Emri Takip'!$AQ$3:$AQ$1000,"&lt;="&amp;$N119))</f>
        <v/>
      </c>
      <c r="D119" s="89" t="str">
        <f ca="1">IF($M119&gt;TODAY(),"",COUNTIFS('İş Emri Takip'!$AR$3:$AR$1000,"&gt;="&amp;$M119,'İş Emri Takip'!$AR$3:$AR$1000,"&lt;="&amp;$N119))</f>
        <v/>
      </c>
      <c r="E119" s="89" t="str">
        <f ca="1">IF($M119&gt;TODAY(),"",COUNTIFS('İş Emri Takip'!$AS$3:$AS$1000,"&gt;="&amp;$M119,'İş Emri Takip'!$AS$3:$AS$1000,"&lt;="&amp;$N119))</f>
        <v/>
      </c>
      <c r="F119" s="89" t="str">
        <f ca="1">IF($M119&gt;TODAY(),"",COUNTIFS('İş Emri Takip'!$AU$3:$AU$1000,"&gt;="&amp;$M119,'İş Emri Takip'!$AU$3:$AU$1000,"&lt;="&amp;$N119))</f>
        <v/>
      </c>
      <c r="G119" s="89" t="str">
        <f ca="1">IF($M119&gt;TODAY(),"",COUNTIFS('İş Emri Takip'!$AW$3:$AW$1000,"&gt;="&amp;$M119,'İş Emri Takip'!$AW$3:$AW$1000,"&lt;="&amp;$N119))</f>
        <v/>
      </c>
      <c r="H119" s="89" t="str">
        <f ca="1">IF($M119&gt;TODAY(),"",COUNTIFS('İş Emri Takip'!$AY$3:$AY$1000,"&gt;="&amp;$M119,'İş Emri Takip'!$AY$3:$AY$1000,"&lt;="&amp;$N119))</f>
        <v/>
      </c>
      <c r="I119" s="89" t="str">
        <f ca="1">IF($M119&gt;TODAY(),"",COUNTIFS('İş Emri Takip'!$AT$3:$AT$1000,"&gt;="&amp;$M119,'İş Emri Takip'!$AT$3:$AT$1000,"&lt;="&amp;$N119)+COUNTIFS('İş Emri Takip'!$AV$3:$AV$1000,"&gt;="&amp;$M119,'İş Emri Takip'!$AV$3:$AV$1000,"&lt;="&amp;$N119)+COUNTIFS('İş Emri Takip'!$AX$3:$AX$1000,"&gt;="&amp;$M119,'İş Emri Takip'!$AX$3:$AX$1000,"&lt;="&amp;$N119)+COUNTIFS('İş Emri Takip'!$AZ$3:$AZ$1000,"&gt;="&amp;$M119,'İş Emri Takip'!$AZ$3:$AZ$1000,"&lt;="&amp;$N119))</f>
        <v/>
      </c>
      <c r="J119" s="89" t="str">
        <f ca="1">IF($M119&gt;TODAY(),"",COUNTIFS('İş Emri Takip'!$BA$3:$BA$1000,"&gt;="&amp;$M119,'İş Emri Takip'!$BA$3:$BA$1000,"&lt;="&amp;$N119))</f>
        <v/>
      </c>
      <c r="K119" s="89" t="str">
        <f ca="1">IF($M119&gt;TODAY(),"",COUNTIFS('İş Emri Takip'!$BB$3:$BB$1000,"&gt;="&amp;$M119,'İş Emri Takip'!$BB$3:$BB$1000,"&lt;="&amp;$N119))</f>
        <v/>
      </c>
      <c r="L119" s="90" t="str">
        <f t="shared" ca="1" si="4"/>
        <v/>
      </c>
      <c r="M119" s="68">
        <v>46314</v>
      </c>
      <c r="N119" s="68">
        <v>46320</v>
      </c>
    </row>
    <row r="120" spans="2:14" ht="20.100000000000001" customHeight="1" x14ac:dyDescent="0.25">
      <c r="B120" s="91" t="s">
        <v>858</v>
      </c>
      <c r="C120" s="92" t="str">
        <f ca="1">IF($M120&gt;TODAY(),"",COUNTIFS('İş Emri Takip'!$AQ$3:$AQ$1000,"&gt;="&amp;$M120,'İş Emri Takip'!$AQ$3:$AQ$1000,"&lt;="&amp;$N120))</f>
        <v/>
      </c>
      <c r="D120" s="92" t="str">
        <f ca="1">IF($M120&gt;TODAY(),"",COUNTIFS('İş Emri Takip'!$AR$3:$AR$1000,"&gt;="&amp;$M120,'İş Emri Takip'!$AR$3:$AR$1000,"&lt;="&amp;$N120))</f>
        <v/>
      </c>
      <c r="E120" s="92" t="str">
        <f ca="1">IF($M120&gt;TODAY(),"",COUNTIFS('İş Emri Takip'!$AS$3:$AS$1000,"&gt;="&amp;$M120,'İş Emri Takip'!$AS$3:$AS$1000,"&lt;="&amp;$N120))</f>
        <v/>
      </c>
      <c r="F120" s="92" t="str">
        <f ca="1">IF($M120&gt;TODAY(),"",COUNTIFS('İş Emri Takip'!$AU$3:$AU$1000,"&gt;="&amp;$M120,'İş Emri Takip'!$AU$3:$AU$1000,"&lt;="&amp;$N120))</f>
        <v/>
      </c>
      <c r="G120" s="92" t="str">
        <f ca="1">IF($M120&gt;TODAY(),"",COUNTIFS('İş Emri Takip'!$AW$3:$AW$1000,"&gt;="&amp;$M120,'İş Emri Takip'!$AW$3:$AW$1000,"&lt;="&amp;$N120))</f>
        <v/>
      </c>
      <c r="H120" s="92" t="str">
        <f ca="1">IF($M120&gt;TODAY(),"",COUNTIFS('İş Emri Takip'!$AY$3:$AY$1000,"&gt;="&amp;$M120,'İş Emri Takip'!$AY$3:$AY$1000,"&lt;="&amp;$N120))</f>
        <v/>
      </c>
      <c r="I120" s="92" t="str">
        <f ca="1">IF($M120&gt;TODAY(),"",COUNTIFS('İş Emri Takip'!$AT$3:$AT$1000,"&gt;="&amp;$M120,'İş Emri Takip'!$AT$3:$AT$1000,"&lt;="&amp;$N120)+COUNTIFS('İş Emri Takip'!$AV$3:$AV$1000,"&gt;="&amp;$M120,'İş Emri Takip'!$AV$3:$AV$1000,"&lt;="&amp;$N120)+COUNTIFS('İş Emri Takip'!$AX$3:$AX$1000,"&gt;="&amp;$M120,'İş Emri Takip'!$AX$3:$AX$1000,"&lt;="&amp;$N120)+COUNTIFS('İş Emri Takip'!$AZ$3:$AZ$1000,"&gt;="&amp;$M120,'İş Emri Takip'!$AZ$3:$AZ$1000,"&lt;="&amp;$N120))</f>
        <v/>
      </c>
      <c r="J120" s="92" t="str">
        <f ca="1">IF($M120&gt;TODAY(),"",COUNTIFS('İş Emri Takip'!$BA$3:$BA$1000,"&gt;="&amp;$M120,'İş Emri Takip'!$BA$3:$BA$1000,"&lt;="&amp;$N120))</f>
        <v/>
      </c>
      <c r="K120" s="92" t="str">
        <f ca="1">IF($M120&gt;TODAY(),"",COUNTIFS('İş Emri Takip'!$BB$3:$BB$1000,"&gt;="&amp;$M120,'İş Emri Takip'!$BB$3:$BB$1000,"&lt;="&amp;$N120))</f>
        <v/>
      </c>
      <c r="L120" s="93" t="str">
        <f t="shared" ca="1" si="4"/>
        <v/>
      </c>
      <c r="M120" s="68">
        <v>46321</v>
      </c>
      <c r="N120" s="68">
        <v>46327</v>
      </c>
    </row>
    <row r="121" spans="2:14" ht="21.95" customHeight="1" x14ac:dyDescent="0.25">
      <c r="B121" s="94" t="s">
        <v>828</v>
      </c>
      <c r="C121" s="75">
        <f ca="1">IF($M121&gt;TODAY(),"",COUNTIFS('İş Emri Takip'!$AQ$3:$AQ$1000,"&gt;="&amp;$M121,'İş Emri Takip'!$AQ$3:$AQ$1000,"&lt;="&amp;$N121))</f>
        <v>0</v>
      </c>
      <c r="D121" s="75">
        <f ca="1">IF($M121&gt;TODAY(),"",COUNTIFS('İş Emri Takip'!$AR$3:$AR$1000,"&gt;="&amp;$M121,'İş Emri Takip'!$AR$3:$AR$1000,"&lt;="&amp;$N121))</f>
        <v>26</v>
      </c>
      <c r="E121" s="75">
        <f ca="1">IF($M121&gt;TODAY(),"",COUNTIFS('İş Emri Takip'!$AS$3:$AS$1000,"&gt;="&amp;$M121,'İş Emri Takip'!$AS$3:$AS$1000,"&lt;="&amp;$N121))</f>
        <v>201</v>
      </c>
      <c r="F121" s="75">
        <f ca="1">IF($M121&gt;TODAY(),"",COUNTIFS('İş Emri Takip'!$AU$3:$AU$1000,"&gt;="&amp;$M121,'İş Emri Takip'!$AU$3:$AU$1000,"&lt;="&amp;$N121))</f>
        <v>39</v>
      </c>
      <c r="G121" s="75">
        <f ca="1">IF($M121&gt;TODAY(),"",COUNTIFS('İş Emri Takip'!$AW$3:$AW$1000,"&gt;="&amp;$M121,'İş Emri Takip'!$AW$3:$AW$1000,"&lt;="&amp;$N121))</f>
        <v>42</v>
      </c>
      <c r="H121" s="75">
        <f ca="1">IF($M121&gt;TODAY(),"",COUNTIFS('İş Emri Takip'!$AY$3:$AY$1000,"&gt;="&amp;$M121,'İş Emri Takip'!$AY$3:$AY$1000,"&lt;="&amp;$N121))</f>
        <v>15</v>
      </c>
      <c r="I121" s="75">
        <f ca="1">IF($M121&gt;TODAY(),"",COUNTIFS('İş Emri Takip'!$AT$3:$AT$1000,"&gt;="&amp;$M121,'İş Emri Takip'!$AT$3:$AT$1000,"&lt;="&amp;$N121)+COUNTIFS('İş Emri Takip'!$AV$3:$AV$1000,"&gt;="&amp;$M121,'İş Emri Takip'!$AV$3:$AV$1000,"&lt;="&amp;$N121)+COUNTIFS('İş Emri Takip'!$AX$3:$AX$1000,"&gt;="&amp;$M121,'İş Emri Takip'!$AX$3:$AX$1000,"&lt;="&amp;$N121)+COUNTIFS('İş Emri Takip'!$AZ$3:$AZ$1000,"&gt;="&amp;$M121,'İş Emri Takip'!$AZ$3:$AZ$1000,"&lt;="&amp;$N121))</f>
        <v>278</v>
      </c>
      <c r="J121" s="75">
        <f ca="1">IF($M121&gt;TODAY(),"",COUNTIFS('İş Emri Takip'!$BA$3:$BA$1000,"&gt;="&amp;$M121,'İş Emri Takip'!$BA$3:$BA$1000,"&lt;="&amp;$N121))</f>
        <v>110</v>
      </c>
      <c r="K121" s="75">
        <f ca="1">IF($M121&gt;TODAY(),"",COUNTIFS('İş Emri Takip'!$BB$3:$BB$1000,"&gt;="&amp;$M121,'İş Emri Takip'!$BB$3:$BB$1000,"&lt;="&amp;$N121))</f>
        <v>0</v>
      </c>
      <c r="L121" s="75">
        <f t="shared" ca="1" si="4"/>
        <v>711</v>
      </c>
      <c r="M121" s="68">
        <v>46296</v>
      </c>
      <c r="N121" s="68">
        <v>46326</v>
      </c>
    </row>
    <row r="122" spans="2:14" ht="20.100000000000001" customHeight="1" x14ac:dyDescent="0.25">
      <c r="B122" s="88" t="s">
        <v>859</v>
      </c>
      <c r="C122" s="89" t="str">
        <f ca="1">IF($M122&gt;TODAY(),"",COUNTIFS('İş Emri Takip'!$AQ$3:$AQ$1000,"&gt;="&amp;$M122,'İş Emri Takip'!$AQ$3:$AQ$1000,"&lt;="&amp;$N122))</f>
        <v/>
      </c>
      <c r="D122" s="89" t="str">
        <f ca="1">IF($M122&gt;TODAY(),"",COUNTIFS('İş Emri Takip'!$AR$3:$AR$1000,"&gt;="&amp;$M122,'İş Emri Takip'!$AR$3:$AR$1000,"&lt;="&amp;$N122))</f>
        <v/>
      </c>
      <c r="E122" s="89" t="str">
        <f ca="1">IF($M122&gt;TODAY(),"",COUNTIFS('İş Emri Takip'!$AS$3:$AS$1000,"&gt;="&amp;$M122,'İş Emri Takip'!$AS$3:$AS$1000,"&lt;="&amp;$N122))</f>
        <v/>
      </c>
      <c r="F122" s="89" t="str">
        <f ca="1">IF($M122&gt;TODAY(),"",COUNTIFS('İş Emri Takip'!$AU$3:$AU$1000,"&gt;="&amp;$M122,'İş Emri Takip'!$AU$3:$AU$1000,"&lt;="&amp;$N122))</f>
        <v/>
      </c>
      <c r="G122" s="89" t="str">
        <f ca="1">IF($M122&gt;TODAY(),"",COUNTIFS('İş Emri Takip'!$AW$3:$AW$1000,"&gt;="&amp;$M122,'İş Emri Takip'!$AW$3:$AW$1000,"&lt;="&amp;$N122))</f>
        <v/>
      </c>
      <c r="H122" s="89" t="str">
        <f ca="1">IF($M122&gt;TODAY(),"",COUNTIFS('İş Emri Takip'!$AY$3:$AY$1000,"&gt;="&amp;$M122,'İş Emri Takip'!$AY$3:$AY$1000,"&lt;="&amp;$N122))</f>
        <v/>
      </c>
      <c r="I122" s="89" t="str">
        <f ca="1">IF($M122&gt;TODAY(),"",COUNTIFS('İş Emri Takip'!$AT$3:$AT$1000,"&gt;="&amp;$M122,'İş Emri Takip'!$AT$3:$AT$1000,"&lt;="&amp;$N122)+COUNTIFS('İş Emri Takip'!$AV$3:$AV$1000,"&gt;="&amp;$M122,'İş Emri Takip'!$AV$3:$AV$1000,"&lt;="&amp;$N122)+COUNTIFS('İş Emri Takip'!$AX$3:$AX$1000,"&gt;="&amp;$M122,'İş Emri Takip'!$AX$3:$AX$1000,"&lt;="&amp;$N122)+COUNTIFS('İş Emri Takip'!$AZ$3:$AZ$1000,"&gt;="&amp;$M122,'İş Emri Takip'!$AZ$3:$AZ$1000,"&lt;="&amp;$N122))</f>
        <v/>
      </c>
      <c r="J122" s="89" t="str">
        <f ca="1">IF($M122&gt;TODAY(),"",COUNTIFS('İş Emri Takip'!$BA$3:$BA$1000,"&gt;="&amp;$M122,'İş Emri Takip'!$BA$3:$BA$1000,"&lt;="&amp;$N122))</f>
        <v/>
      </c>
      <c r="K122" s="89" t="str">
        <f ca="1">IF($M122&gt;TODAY(),"",COUNTIFS('İş Emri Takip'!$BB$3:$BB$1000,"&gt;="&amp;$M122,'İş Emri Takip'!$BB$3:$BB$1000,"&lt;="&amp;$N122))</f>
        <v/>
      </c>
      <c r="L122" s="90" t="str">
        <f t="shared" ca="1" si="4"/>
        <v/>
      </c>
      <c r="M122" s="68">
        <v>46328</v>
      </c>
      <c r="N122" s="68">
        <v>46334</v>
      </c>
    </row>
    <row r="123" spans="2:14" ht="20.100000000000001" customHeight="1" x14ac:dyDescent="0.25">
      <c r="B123" s="91" t="s">
        <v>860</v>
      </c>
      <c r="C123" s="92" t="str">
        <f ca="1">IF($M123&gt;TODAY(),"",COUNTIFS('İş Emri Takip'!$AQ$3:$AQ$1000,"&gt;="&amp;$M123,'İş Emri Takip'!$AQ$3:$AQ$1000,"&lt;="&amp;$N123))</f>
        <v/>
      </c>
      <c r="D123" s="92" t="str">
        <f ca="1">IF($M123&gt;TODAY(),"",COUNTIFS('İş Emri Takip'!$AR$3:$AR$1000,"&gt;="&amp;$M123,'İş Emri Takip'!$AR$3:$AR$1000,"&lt;="&amp;$N123))</f>
        <v/>
      </c>
      <c r="E123" s="92" t="str">
        <f ca="1">IF($M123&gt;TODAY(),"",COUNTIFS('İş Emri Takip'!$AS$3:$AS$1000,"&gt;="&amp;$M123,'İş Emri Takip'!$AS$3:$AS$1000,"&lt;="&amp;$N123))</f>
        <v/>
      </c>
      <c r="F123" s="92" t="str">
        <f ca="1">IF($M123&gt;TODAY(),"",COUNTIFS('İş Emri Takip'!$AU$3:$AU$1000,"&gt;="&amp;$M123,'İş Emri Takip'!$AU$3:$AU$1000,"&lt;="&amp;$N123))</f>
        <v/>
      </c>
      <c r="G123" s="92" t="str">
        <f ca="1">IF($M123&gt;TODAY(),"",COUNTIFS('İş Emri Takip'!$AW$3:$AW$1000,"&gt;="&amp;$M123,'İş Emri Takip'!$AW$3:$AW$1000,"&lt;="&amp;$N123))</f>
        <v/>
      </c>
      <c r="H123" s="92" t="str">
        <f ca="1">IF($M123&gt;TODAY(),"",COUNTIFS('İş Emri Takip'!$AY$3:$AY$1000,"&gt;="&amp;$M123,'İş Emri Takip'!$AY$3:$AY$1000,"&lt;="&amp;$N123))</f>
        <v/>
      </c>
      <c r="I123" s="92" t="str">
        <f ca="1">IF($M123&gt;TODAY(),"",COUNTIFS('İş Emri Takip'!$AT$3:$AT$1000,"&gt;="&amp;$M123,'İş Emri Takip'!$AT$3:$AT$1000,"&lt;="&amp;$N123)+COUNTIFS('İş Emri Takip'!$AV$3:$AV$1000,"&gt;="&amp;$M123,'İş Emri Takip'!$AV$3:$AV$1000,"&lt;="&amp;$N123)+COUNTIFS('İş Emri Takip'!$AX$3:$AX$1000,"&gt;="&amp;$M123,'İş Emri Takip'!$AX$3:$AX$1000,"&lt;="&amp;$N123)+COUNTIFS('İş Emri Takip'!$AZ$3:$AZ$1000,"&gt;="&amp;$M123,'İş Emri Takip'!$AZ$3:$AZ$1000,"&lt;="&amp;$N123))</f>
        <v/>
      </c>
      <c r="J123" s="92" t="str">
        <f ca="1">IF($M123&gt;TODAY(),"",COUNTIFS('İş Emri Takip'!$BA$3:$BA$1000,"&gt;="&amp;$M123,'İş Emri Takip'!$BA$3:$BA$1000,"&lt;="&amp;$N123))</f>
        <v/>
      </c>
      <c r="K123" s="92" t="str">
        <f ca="1">IF($M123&gt;TODAY(),"",COUNTIFS('İş Emri Takip'!$BB$3:$BB$1000,"&gt;="&amp;$M123,'İş Emri Takip'!$BB$3:$BB$1000,"&lt;="&amp;$N123))</f>
        <v/>
      </c>
      <c r="L123" s="93" t="str">
        <f t="shared" ca="1" si="4"/>
        <v/>
      </c>
      <c r="M123" s="68">
        <v>46335</v>
      </c>
      <c r="N123" s="68">
        <v>46341</v>
      </c>
    </row>
    <row r="124" spans="2:14" ht="20.100000000000001" customHeight="1" x14ac:dyDescent="0.25">
      <c r="B124" s="88" t="s">
        <v>861</v>
      </c>
      <c r="C124" s="89" t="str">
        <f ca="1">IF($M124&gt;TODAY(),"",COUNTIFS('İş Emri Takip'!$AQ$3:$AQ$1000,"&gt;="&amp;$M124,'İş Emri Takip'!$AQ$3:$AQ$1000,"&lt;="&amp;$N124))</f>
        <v/>
      </c>
      <c r="D124" s="89" t="str">
        <f ca="1">IF($M124&gt;TODAY(),"",COUNTIFS('İş Emri Takip'!$AR$3:$AR$1000,"&gt;="&amp;$M124,'İş Emri Takip'!$AR$3:$AR$1000,"&lt;="&amp;$N124))</f>
        <v/>
      </c>
      <c r="E124" s="89" t="str">
        <f ca="1">IF($M124&gt;TODAY(),"",COUNTIFS('İş Emri Takip'!$AS$3:$AS$1000,"&gt;="&amp;$M124,'İş Emri Takip'!$AS$3:$AS$1000,"&lt;="&amp;$N124))</f>
        <v/>
      </c>
      <c r="F124" s="89" t="str">
        <f ca="1">IF($M124&gt;TODAY(),"",COUNTIFS('İş Emri Takip'!$AU$3:$AU$1000,"&gt;="&amp;$M124,'İş Emri Takip'!$AU$3:$AU$1000,"&lt;="&amp;$N124))</f>
        <v/>
      </c>
      <c r="G124" s="89" t="str">
        <f ca="1">IF($M124&gt;TODAY(),"",COUNTIFS('İş Emri Takip'!$AW$3:$AW$1000,"&gt;="&amp;$M124,'İş Emri Takip'!$AW$3:$AW$1000,"&lt;="&amp;$N124))</f>
        <v/>
      </c>
      <c r="H124" s="89" t="str">
        <f ca="1">IF($M124&gt;TODAY(),"",COUNTIFS('İş Emri Takip'!$AY$3:$AY$1000,"&gt;="&amp;$M124,'İş Emri Takip'!$AY$3:$AY$1000,"&lt;="&amp;$N124))</f>
        <v/>
      </c>
      <c r="I124" s="89" t="str">
        <f ca="1">IF($M124&gt;TODAY(),"",COUNTIFS('İş Emri Takip'!$AT$3:$AT$1000,"&gt;="&amp;$M124,'İş Emri Takip'!$AT$3:$AT$1000,"&lt;="&amp;$N124)+COUNTIFS('İş Emri Takip'!$AV$3:$AV$1000,"&gt;="&amp;$M124,'İş Emri Takip'!$AV$3:$AV$1000,"&lt;="&amp;$N124)+COUNTIFS('İş Emri Takip'!$AX$3:$AX$1000,"&gt;="&amp;$M124,'İş Emri Takip'!$AX$3:$AX$1000,"&lt;="&amp;$N124)+COUNTIFS('İş Emri Takip'!$AZ$3:$AZ$1000,"&gt;="&amp;$M124,'İş Emri Takip'!$AZ$3:$AZ$1000,"&lt;="&amp;$N124))</f>
        <v/>
      </c>
      <c r="J124" s="89" t="str">
        <f ca="1">IF($M124&gt;TODAY(),"",COUNTIFS('İş Emri Takip'!$BA$3:$BA$1000,"&gt;="&amp;$M124,'İş Emri Takip'!$BA$3:$BA$1000,"&lt;="&amp;$N124))</f>
        <v/>
      </c>
      <c r="K124" s="89" t="str">
        <f ca="1">IF($M124&gt;TODAY(),"",COUNTIFS('İş Emri Takip'!$BB$3:$BB$1000,"&gt;="&amp;$M124,'İş Emri Takip'!$BB$3:$BB$1000,"&lt;="&amp;$N124))</f>
        <v/>
      </c>
      <c r="L124" s="90" t="str">
        <f t="shared" ca="1" si="4"/>
        <v/>
      </c>
      <c r="M124" s="68">
        <v>46342</v>
      </c>
      <c r="N124" s="68">
        <v>46348</v>
      </c>
    </row>
    <row r="125" spans="2:14" ht="20.100000000000001" customHeight="1" x14ac:dyDescent="0.25">
      <c r="B125" s="91" t="s">
        <v>862</v>
      </c>
      <c r="C125" s="92" t="str">
        <f ca="1">IF($M125&gt;TODAY(),"",COUNTIFS('İş Emri Takip'!$AQ$3:$AQ$1000,"&gt;="&amp;$M125,'İş Emri Takip'!$AQ$3:$AQ$1000,"&lt;="&amp;$N125))</f>
        <v/>
      </c>
      <c r="D125" s="92" t="str">
        <f ca="1">IF($M125&gt;TODAY(),"",COUNTIFS('İş Emri Takip'!$AR$3:$AR$1000,"&gt;="&amp;$M125,'İş Emri Takip'!$AR$3:$AR$1000,"&lt;="&amp;$N125))</f>
        <v/>
      </c>
      <c r="E125" s="92" t="str">
        <f ca="1">IF($M125&gt;TODAY(),"",COUNTIFS('İş Emri Takip'!$AS$3:$AS$1000,"&gt;="&amp;$M125,'İş Emri Takip'!$AS$3:$AS$1000,"&lt;="&amp;$N125))</f>
        <v/>
      </c>
      <c r="F125" s="92" t="str">
        <f ca="1">IF($M125&gt;TODAY(),"",COUNTIFS('İş Emri Takip'!$AU$3:$AU$1000,"&gt;="&amp;$M125,'İş Emri Takip'!$AU$3:$AU$1000,"&lt;="&amp;$N125))</f>
        <v/>
      </c>
      <c r="G125" s="92" t="str">
        <f ca="1">IF($M125&gt;TODAY(),"",COUNTIFS('İş Emri Takip'!$AW$3:$AW$1000,"&gt;="&amp;$M125,'İş Emri Takip'!$AW$3:$AW$1000,"&lt;="&amp;$N125))</f>
        <v/>
      </c>
      <c r="H125" s="92" t="str">
        <f ca="1">IF($M125&gt;TODAY(),"",COUNTIFS('İş Emri Takip'!$AY$3:$AY$1000,"&gt;="&amp;$M125,'İş Emri Takip'!$AY$3:$AY$1000,"&lt;="&amp;$N125))</f>
        <v/>
      </c>
      <c r="I125" s="92" t="str">
        <f ca="1">IF($M125&gt;TODAY(),"",COUNTIFS('İş Emri Takip'!$AT$3:$AT$1000,"&gt;="&amp;$M125,'İş Emri Takip'!$AT$3:$AT$1000,"&lt;="&amp;$N125)+COUNTIFS('İş Emri Takip'!$AV$3:$AV$1000,"&gt;="&amp;$M125,'İş Emri Takip'!$AV$3:$AV$1000,"&lt;="&amp;$N125)+COUNTIFS('İş Emri Takip'!$AX$3:$AX$1000,"&gt;="&amp;$M125,'İş Emri Takip'!$AX$3:$AX$1000,"&lt;="&amp;$N125)+COUNTIFS('İş Emri Takip'!$AZ$3:$AZ$1000,"&gt;="&amp;$M125,'İş Emri Takip'!$AZ$3:$AZ$1000,"&lt;="&amp;$N125))</f>
        <v/>
      </c>
      <c r="J125" s="92" t="str">
        <f ca="1">IF($M125&gt;TODAY(),"",COUNTIFS('İş Emri Takip'!$BA$3:$BA$1000,"&gt;="&amp;$M125,'İş Emri Takip'!$BA$3:$BA$1000,"&lt;="&amp;$N125))</f>
        <v/>
      </c>
      <c r="K125" s="92" t="str">
        <f ca="1">IF($M125&gt;TODAY(),"",COUNTIFS('İş Emri Takip'!$BB$3:$BB$1000,"&gt;="&amp;$M125,'İş Emri Takip'!$BB$3:$BB$1000,"&lt;="&amp;$N125))</f>
        <v/>
      </c>
      <c r="L125" s="93" t="str">
        <f t="shared" ca="1" si="4"/>
        <v/>
      </c>
      <c r="M125" s="68">
        <v>46349</v>
      </c>
      <c r="N125" s="68">
        <v>46355</v>
      </c>
    </row>
    <row r="126" spans="2:14" ht="20.100000000000001" customHeight="1" x14ac:dyDescent="0.25">
      <c r="B126" s="88" t="s">
        <v>863</v>
      </c>
      <c r="C126" s="89" t="str">
        <f ca="1">IF($M126&gt;TODAY(),"",COUNTIFS('İş Emri Takip'!$AQ$3:$AQ$1000,"&gt;="&amp;$M126,'İş Emri Takip'!$AQ$3:$AQ$1000,"&lt;="&amp;$N126))</f>
        <v/>
      </c>
      <c r="D126" s="89" t="str">
        <f ca="1">IF($M126&gt;TODAY(),"",COUNTIFS('İş Emri Takip'!$AR$3:$AR$1000,"&gt;="&amp;$M126,'İş Emri Takip'!$AR$3:$AR$1000,"&lt;="&amp;$N126))</f>
        <v/>
      </c>
      <c r="E126" s="89" t="str">
        <f ca="1">IF($M126&gt;TODAY(),"",COUNTIFS('İş Emri Takip'!$AS$3:$AS$1000,"&gt;="&amp;$M126,'İş Emri Takip'!$AS$3:$AS$1000,"&lt;="&amp;$N126))</f>
        <v/>
      </c>
      <c r="F126" s="89" t="str">
        <f ca="1">IF($M126&gt;TODAY(),"",COUNTIFS('İş Emri Takip'!$AU$3:$AU$1000,"&gt;="&amp;$M126,'İş Emri Takip'!$AU$3:$AU$1000,"&lt;="&amp;$N126))</f>
        <v/>
      </c>
      <c r="G126" s="89" t="str">
        <f ca="1">IF($M126&gt;TODAY(),"",COUNTIFS('İş Emri Takip'!$AW$3:$AW$1000,"&gt;="&amp;$M126,'İş Emri Takip'!$AW$3:$AW$1000,"&lt;="&amp;$N126))</f>
        <v/>
      </c>
      <c r="H126" s="89" t="str">
        <f ca="1">IF($M126&gt;TODAY(),"",COUNTIFS('İş Emri Takip'!$AY$3:$AY$1000,"&gt;="&amp;$M126,'İş Emri Takip'!$AY$3:$AY$1000,"&lt;="&amp;$N126))</f>
        <v/>
      </c>
      <c r="I126" s="89" t="str">
        <f ca="1">IF($M126&gt;TODAY(),"",COUNTIFS('İş Emri Takip'!$AT$3:$AT$1000,"&gt;="&amp;$M126,'İş Emri Takip'!$AT$3:$AT$1000,"&lt;="&amp;$N126)+COUNTIFS('İş Emri Takip'!$AV$3:$AV$1000,"&gt;="&amp;$M126,'İş Emri Takip'!$AV$3:$AV$1000,"&lt;="&amp;$N126)+COUNTIFS('İş Emri Takip'!$AX$3:$AX$1000,"&gt;="&amp;$M126,'İş Emri Takip'!$AX$3:$AX$1000,"&lt;="&amp;$N126)+COUNTIFS('İş Emri Takip'!$AZ$3:$AZ$1000,"&gt;="&amp;$M126,'İş Emri Takip'!$AZ$3:$AZ$1000,"&lt;="&amp;$N126))</f>
        <v/>
      </c>
      <c r="J126" s="89" t="str">
        <f ca="1">IF($M126&gt;TODAY(),"",COUNTIFS('İş Emri Takip'!$BA$3:$BA$1000,"&gt;="&amp;$M126,'İş Emri Takip'!$BA$3:$BA$1000,"&lt;="&amp;$N126))</f>
        <v/>
      </c>
      <c r="K126" s="89" t="str">
        <f ca="1">IF($M126&gt;TODAY(),"",COUNTIFS('İş Emri Takip'!$BB$3:$BB$1000,"&gt;="&amp;$M126,'İş Emri Takip'!$BB$3:$BB$1000,"&lt;="&amp;$N126))</f>
        <v/>
      </c>
      <c r="L126" s="90" t="str">
        <f t="shared" ca="1" si="4"/>
        <v/>
      </c>
      <c r="M126" s="68">
        <v>46356</v>
      </c>
      <c r="N126" s="68">
        <v>46362</v>
      </c>
    </row>
    <row r="127" spans="2:14" ht="21.95" customHeight="1" x14ac:dyDescent="0.25">
      <c r="B127" s="94" t="s">
        <v>840</v>
      </c>
      <c r="C127" s="75" t="str">
        <f ca="1">IF($M127&gt;TODAY(),"",COUNTIFS('İş Emri Takip'!$AQ$3:$AQ$1000,"&gt;="&amp;$M127,'İş Emri Takip'!$AQ$3:$AQ$1000,"&lt;="&amp;$N127))</f>
        <v/>
      </c>
      <c r="D127" s="75" t="str">
        <f ca="1">IF($M127&gt;TODAY(),"",COUNTIFS('İş Emri Takip'!$AR$3:$AR$1000,"&gt;="&amp;$M127,'İş Emri Takip'!$AR$3:$AR$1000,"&lt;="&amp;$N127))</f>
        <v/>
      </c>
      <c r="E127" s="75" t="str">
        <f ca="1">IF($M127&gt;TODAY(),"",COUNTIFS('İş Emri Takip'!$AS$3:$AS$1000,"&gt;="&amp;$M127,'İş Emri Takip'!$AS$3:$AS$1000,"&lt;="&amp;$N127))</f>
        <v/>
      </c>
      <c r="F127" s="75" t="str">
        <f ca="1">IF($M127&gt;TODAY(),"",COUNTIFS('İş Emri Takip'!$AU$3:$AU$1000,"&gt;="&amp;$M127,'İş Emri Takip'!$AU$3:$AU$1000,"&lt;="&amp;$N127))</f>
        <v/>
      </c>
      <c r="G127" s="75" t="str">
        <f ca="1">IF($M127&gt;TODAY(),"",COUNTIFS('İş Emri Takip'!$AW$3:$AW$1000,"&gt;="&amp;$M127,'İş Emri Takip'!$AW$3:$AW$1000,"&lt;="&amp;$N127))</f>
        <v/>
      </c>
      <c r="H127" s="75" t="str">
        <f ca="1">IF($M127&gt;TODAY(),"",COUNTIFS('İş Emri Takip'!$AY$3:$AY$1000,"&gt;="&amp;$M127,'İş Emri Takip'!$AY$3:$AY$1000,"&lt;="&amp;$N127))</f>
        <v/>
      </c>
      <c r="I127" s="75" t="str">
        <f ca="1">IF($M127&gt;TODAY(),"",COUNTIFS('İş Emri Takip'!$AT$3:$AT$1000,"&gt;="&amp;$M127,'İş Emri Takip'!$AT$3:$AT$1000,"&lt;="&amp;$N127)+COUNTIFS('İş Emri Takip'!$AV$3:$AV$1000,"&gt;="&amp;$M127,'İş Emri Takip'!$AV$3:$AV$1000,"&lt;="&amp;$N127)+COUNTIFS('İş Emri Takip'!$AX$3:$AX$1000,"&gt;="&amp;$M127,'İş Emri Takip'!$AX$3:$AX$1000,"&lt;="&amp;$N127)+COUNTIFS('İş Emri Takip'!$AZ$3:$AZ$1000,"&gt;="&amp;$M127,'İş Emri Takip'!$AZ$3:$AZ$1000,"&lt;="&amp;$N127))</f>
        <v/>
      </c>
      <c r="J127" s="75" t="str">
        <f ca="1">IF($M127&gt;TODAY(),"",COUNTIFS('İş Emri Takip'!$BA$3:$BA$1000,"&gt;="&amp;$M127,'İş Emri Takip'!$BA$3:$BA$1000,"&lt;="&amp;$N127))</f>
        <v/>
      </c>
      <c r="K127" s="75" t="str">
        <f ca="1">IF($M127&gt;TODAY(),"",COUNTIFS('İş Emri Takip'!$BB$3:$BB$1000,"&gt;="&amp;$M127,'İş Emri Takip'!$BB$3:$BB$1000,"&lt;="&amp;$N127))</f>
        <v/>
      </c>
      <c r="L127" s="75" t="str">
        <f t="shared" ca="1" si="4"/>
        <v/>
      </c>
      <c r="M127" s="68">
        <v>46327</v>
      </c>
      <c r="N127" s="68">
        <v>46356</v>
      </c>
    </row>
    <row r="128" spans="2:14" ht="20.100000000000001" customHeight="1" x14ac:dyDescent="0.25">
      <c r="B128" s="88" t="s">
        <v>864</v>
      </c>
      <c r="C128" s="89" t="str">
        <f ca="1">IF($M128&gt;TODAY(),"",COUNTIFS('İş Emri Takip'!$AQ$3:$AQ$1000,"&gt;="&amp;$M128,'İş Emri Takip'!$AQ$3:$AQ$1000,"&lt;="&amp;$N128))</f>
        <v/>
      </c>
      <c r="D128" s="89" t="str">
        <f ca="1">IF($M128&gt;TODAY(),"",COUNTIFS('İş Emri Takip'!$AR$3:$AR$1000,"&gt;="&amp;$M128,'İş Emri Takip'!$AR$3:$AR$1000,"&lt;="&amp;$N128))</f>
        <v/>
      </c>
      <c r="E128" s="89" t="str">
        <f ca="1">IF($M128&gt;TODAY(),"",COUNTIFS('İş Emri Takip'!$AS$3:$AS$1000,"&gt;="&amp;$M128,'İş Emri Takip'!$AS$3:$AS$1000,"&lt;="&amp;$N128))</f>
        <v/>
      </c>
      <c r="F128" s="89" t="str">
        <f ca="1">IF($M128&gt;TODAY(),"",COUNTIFS('İş Emri Takip'!$AU$3:$AU$1000,"&gt;="&amp;$M128,'İş Emri Takip'!$AU$3:$AU$1000,"&lt;="&amp;$N128))</f>
        <v/>
      </c>
      <c r="G128" s="89" t="str">
        <f ca="1">IF($M128&gt;TODAY(),"",COUNTIFS('İş Emri Takip'!$AW$3:$AW$1000,"&gt;="&amp;$M128,'İş Emri Takip'!$AW$3:$AW$1000,"&lt;="&amp;$N128))</f>
        <v/>
      </c>
      <c r="H128" s="89" t="str">
        <f ca="1">IF($M128&gt;TODAY(),"",COUNTIFS('İş Emri Takip'!$AY$3:$AY$1000,"&gt;="&amp;$M128,'İş Emri Takip'!$AY$3:$AY$1000,"&lt;="&amp;$N128))</f>
        <v/>
      </c>
      <c r="I128" s="89" t="str">
        <f ca="1">IF($M128&gt;TODAY(),"",COUNTIFS('İş Emri Takip'!$AT$3:$AT$1000,"&gt;="&amp;$M128,'İş Emri Takip'!$AT$3:$AT$1000,"&lt;="&amp;$N128)+COUNTIFS('İş Emri Takip'!$AV$3:$AV$1000,"&gt;="&amp;$M128,'İş Emri Takip'!$AV$3:$AV$1000,"&lt;="&amp;$N128)+COUNTIFS('İş Emri Takip'!$AX$3:$AX$1000,"&gt;="&amp;$M128,'İş Emri Takip'!$AX$3:$AX$1000,"&lt;="&amp;$N128)+COUNTIFS('İş Emri Takip'!$AZ$3:$AZ$1000,"&gt;="&amp;$M128,'İş Emri Takip'!$AZ$3:$AZ$1000,"&lt;="&amp;$N128))</f>
        <v/>
      </c>
      <c r="J128" s="89" t="str">
        <f ca="1">IF($M128&gt;TODAY(),"",COUNTIFS('İş Emri Takip'!$BA$3:$BA$1000,"&gt;="&amp;$M128,'İş Emri Takip'!$BA$3:$BA$1000,"&lt;="&amp;$N128))</f>
        <v/>
      </c>
      <c r="K128" s="89" t="str">
        <f ca="1">IF($M128&gt;TODAY(),"",COUNTIFS('İş Emri Takip'!$BB$3:$BB$1000,"&gt;="&amp;$M128,'İş Emri Takip'!$BB$3:$BB$1000,"&lt;="&amp;$N128))</f>
        <v/>
      </c>
      <c r="L128" s="90" t="str">
        <f t="shared" ca="1" si="4"/>
        <v/>
      </c>
      <c r="M128" s="68">
        <v>46363</v>
      </c>
      <c r="N128" s="68">
        <v>46369</v>
      </c>
    </row>
    <row r="129" spans="2:14" ht="20.100000000000001" customHeight="1" x14ac:dyDescent="0.25">
      <c r="B129" s="91" t="s">
        <v>865</v>
      </c>
      <c r="C129" s="92" t="str">
        <f ca="1">IF($M129&gt;TODAY(),"",COUNTIFS('İş Emri Takip'!$AQ$3:$AQ$1000,"&gt;="&amp;$M129,'İş Emri Takip'!$AQ$3:$AQ$1000,"&lt;="&amp;$N129))</f>
        <v/>
      </c>
      <c r="D129" s="92" t="str">
        <f ca="1">IF($M129&gt;TODAY(),"",COUNTIFS('İş Emri Takip'!$AR$3:$AR$1000,"&gt;="&amp;$M129,'İş Emri Takip'!$AR$3:$AR$1000,"&lt;="&amp;$N129))</f>
        <v/>
      </c>
      <c r="E129" s="92" t="str">
        <f ca="1">IF($M129&gt;TODAY(),"",COUNTIFS('İş Emri Takip'!$AS$3:$AS$1000,"&gt;="&amp;$M129,'İş Emri Takip'!$AS$3:$AS$1000,"&lt;="&amp;$N129))</f>
        <v/>
      </c>
      <c r="F129" s="92" t="str">
        <f ca="1">IF($M129&gt;TODAY(),"",COUNTIFS('İş Emri Takip'!$AU$3:$AU$1000,"&gt;="&amp;$M129,'İş Emri Takip'!$AU$3:$AU$1000,"&lt;="&amp;$N129))</f>
        <v/>
      </c>
      <c r="G129" s="92" t="str">
        <f ca="1">IF($M129&gt;TODAY(),"",COUNTIFS('İş Emri Takip'!$AW$3:$AW$1000,"&gt;="&amp;$M129,'İş Emri Takip'!$AW$3:$AW$1000,"&lt;="&amp;$N129))</f>
        <v/>
      </c>
      <c r="H129" s="92" t="str">
        <f ca="1">IF($M129&gt;TODAY(),"",COUNTIFS('İş Emri Takip'!$AY$3:$AY$1000,"&gt;="&amp;$M129,'İş Emri Takip'!$AY$3:$AY$1000,"&lt;="&amp;$N129))</f>
        <v/>
      </c>
      <c r="I129" s="92" t="str">
        <f ca="1">IF($M129&gt;TODAY(),"",COUNTIFS('İş Emri Takip'!$AT$3:$AT$1000,"&gt;="&amp;$M129,'İş Emri Takip'!$AT$3:$AT$1000,"&lt;="&amp;$N129)+COUNTIFS('İş Emri Takip'!$AV$3:$AV$1000,"&gt;="&amp;$M129,'İş Emri Takip'!$AV$3:$AV$1000,"&lt;="&amp;$N129)+COUNTIFS('İş Emri Takip'!$AX$3:$AX$1000,"&gt;="&amp;$M129,'İş Emri Takip'!$AX$3:$AX$1000,"&lt;="&amp;$N129)+COUNTIFS('İş Emri Takip'!$AZ$3:$AZ$1000,"&gt;="&amp;$M129,'İş Emri Takip'!$AZ$3:$AZ$1000,"&lt;="&amp;$N129))</f>
        <v/>
      </c>
      <c r="J129" s="92" t="str">
        <f ca="1">IF($M129&gt;TODAY(),"",COUNTIFS('İş Emri Takip'!$BA$3:$BA$1000,"&gt;="&amp;$M129,'İş Emri Takip'!$BA$3:$BA$1000,"&lt;="&amp;$N129))</f>
        <v/>
      </c>
      <c r="K129" s="92" t="str">
        <f ca="1">IF($M129&gt;TODAY(),"",COUNTIFS('İş Emri Takip'!$BB$3:$BB$1000,"&gt;="&amp;$M129,'İş Emri Takip'!$BB$3:$BB$1000,"&lt;="&amp;$N129))</f>
        <v/>
      </c>
      <c r="L129" s="93" t="str">
        <f t="shared" ca="1" si="4"/>
        <v/>
      </c>
      <c r="M129" s="68">
        <v>46370</v>
      </c>
      <c r="N129" s="68">
        <v>46376</v>
      </c>
    </row>
    <row r="130" spans="2:14" ht="20.100000000000001" customHeight="1" x14ac:dyDescent="0.25">
      <c r="B130" s="88" t="s">
        <v>866</v>
      </c>
      <c r="C130" s="89" t="str">
        <f ca="1">IF($M130&gt;TODAY(),"",COUNTIFS('İş Emri Takip'!$AQ$3:$AQ$1000,"&gt;="&amp;$M130,'İş Emri Takip'!$AQ$3:$AQ$1000,"&lt;="&amp;$N130))</f>
        <v/>
      </c>
      <c r="D130" s="89" t="str">
        <f ca="1">IF($M130&gt;TODAY(),"",COUNTIFS('İş Emri Takip'!$AR$3:$AR$1000,"&gt;="&amp;$M130,'İş Emri Takip'!$AR$3:$AR$1000,"&lt;="&amp;$N130))</f>
        <v/>
      </c>
      <c r="E130" s="89" t="str">
        <f ca="1">IF($M130&gt;TODAY(),"",COUNTIFS('İş Emri Takip'!$AS$3:$AS$1000,"&gt;="&amp;$M130,'İş Emri Takip'!$AS$3:$AS$1000,"&lt;="&amp;$N130))</f>
        <v/>
      </c>
      <c r="F130" s="89" t="str">
        <f ca="1">IF($M130&gt;TODAY(),"",COUNTIFS('İş Emri Takip'!$AU$3:$AU$1000,"&gt;="&amp;$M130,'İş Emri Takip'!$AU$3:$AU$1000,"&lt;="&amp;$N130))</f>
        <v/>
      </c>
      <c r="G130" s="89" t="str">
        <f ca="1">IF($M130&gt;TODAY(),"",COUNTIFS('İş Emri Takip'!$AW$3:$AW$1000,"&gt;="&amp;$M130,'İş Emri Takip'!$AW$3:$AW$1000,"&lt;="&amp;$N130))</f>
        <v/>
      </c>
      <c r="H130" s="89" t="str">
        <f ca="1">IF($M130&gt;TODAY(),"",COUNTIFS('İş Emri Takip'!$AY$3:$AY$1000,"&gt;="&amp;$M130,'İş Emri Takip'!$AY$3:$AY$1000,"&lt;="&amp;$N130))</f>
        <v/>
      </c>
      <c r="I130" s="89" t="str">
        <f ca="1">IF($M130&gt;TODAY(),"",COUNTIFS('İş Emri Takip'!$AT$3:$AT$1000,"&gt;="&amp;$M130,'İş Emri Takip'!$AT$3:$AT$1000,"&lt;="&amp;$N130)+COUNTIFS('İş Emri Takip'!$AV$3:$AV$1000,"&gt;="&amp;$M130,'İş Emri Takip'!$AV$3:$AV$1000,"&lt;="&amp;$N130)+COUNTIFS('İş Emri Takip'!$AX$3:$AX$1000,"&gt;="&amp;$M130,'İş Emri Takip'!$AX$3:$AX$1000,"&lt;="&amp;$N130)+COUNTIFS('İş Emri Takip'!$AZ$3:$AZ$1000,"&gt;="&amp;$M130,'İş Emri Takip'!$AZ$3:$AZ$1000,"&lt;="&amp;$N130))</f>
        <v/>
      </c>
      <c r="J130" s="89" t="str">
        <f ca="1">IF($M130&gt;TODAY(),"",COUNTIFS('İş Emri Takip'!$BA$3:$BA$1000,"&gt;="&amp;$M130,'İş Emri Takip'!$BA$3:$BA$1000,"&lt;="&amp;$N130))</f>
        <v/>
      </c>
      <c r="K130" s="89" t="str">
        <f ca="1">IF($M130&gt;TODAY(),"",COUNTIFS('İş Emri Takip'!$BB$3:$BB$1000,"&gt;="&amp;$M130,'İş Emri Takip'!$BB$3:$BB$1000,"&lt;="&amp;$N130))</f>
        <v/>
      </c>
      <c r="L130" s="90" t="str">
        <f t="shared" ca="1" si="4"/>
        <v/>
      </c>
      <c r="M130" s="68">
        <v>46377</v>
      </c>
      <c r="N130" s="68">
        <v>46383</v>
      </c>
    </row>
    <row r="131" spans="2:14" ht="20.100000000000001" customHeight="1" x14ac:dyDescent="0.25">
      <c r="B131" s="91" t="s">
        <v>867</v>
      </c>
      <c r="C131" s="92" t="str">
        <f ca="1">IF($M131&gt;TODAY(),"",COUNTIFS('İş Emri Takip'!$AQ$3:$AQ$1000,"&gt;="&amp;$M131,'İş Emri Takip'!$AQ$3:$AQ$1000,"&lt;="&amp;$N131))</f>
        <v/>
      </c>
      <c r="D131" s="92" t="str">
        <f ca="1">IF($M131&gt;TODAY(),"",COUNTIFS('İş Emri Takip'!$AR$3:$AR$1000,"&gt;="&amp;$M131,'İş Emri Takip'!$AR$3:$AR$1000,"&lt;="&amp;$N131))</f>
        <v/>
      </c>
      <c r="E131" s="92" t="str">
        <f ca="1">IF($M131&gt;TODAY(),"",COUNTIFS('İş Emri Takip'!$AS$3:$AS$1000,"&gt;="&amp;$M131,'İş Emri Takip'!$AS$3:$AS$1000,"&lt;="&amp;$N131))</f>
        <v/>
      </c>
      <c r="F131" s="92" t="str">
        <f ca="1">IF($M131&gt;TODAY(),"",COUNTIFS('İş Emri Takip'!$AU$3:$AU$1000,"&gt;="&amp;$M131,'İş Emri Takip'!$AU$3:$AU$1000,"&lt;="&amp;$N131))</f>
        <v/>
      </c>
      <c r="G131" s="92" t="str">
        <f ca="1">IF($M131&gt;TODAY(),"",COUNTIFS('İş Emri Takip'!$AW$3:$AW$1000,"&gt;="&amp;$M131,'İş Emri Takip'!$AW$3:$AW$1000,"&lt;="&amp;$N131))</f>
        <v/>
      </c>
      <c r="H131" s="92" t="str">
        <f ca="1">IF($M131&gt;TODAY(),"",COUNTIFS('İş Emri Takip'!$AY$3:$AY$1000,"&gt;="&amp;$M131,'İş Emri Takip'!$AY$3:$AY$1000,"&lt;="&amp;$N131))</f>
        <v/>
      </c>
      <c r="I131" s="92" t="str">
        <f ca="1">IF($M131&gt;TODAY(),"",COUNTIFS('İş Emri Takip'!$AT$3:$AT$1000,"&gt;="&amp;$M131,'İş Emri Takip'!$AT$3:$AT$1000,"&lt;="&amp;$N131)+COUNTIFS('İş Emri Takip'!$AV$3:$AV$1000,"&gt;="&amp;$M131,'İş Emri Takip'!$AV$3:$AV$1000,"&lt;="&amp;$N131)+COUNTIFS('İş Emri Takip'!$AX$3:$AX$1000,"&gt;="&amp;$M131,'İş Emri Takip'!$AX$3:$AX$1000,"&lt;="&amp;$N131)+COUNTIFS('İş Emri Takip'!$AZ$3:$AZ$1000,"&gt;="&amp;$M131,'İş Emri Takip'!$AZ$3:$AZ$1000,"&lt;="&amp;$N131))</f>
        <v/>
      </c>
      <c r="J131" s="92" t="str">
        <f ca="1">IF($M131&gt;TODAY(),"",COUNTIFS('İş Emri Takip'!$BA$3:$BA$1000,"&gt;="&amp;$M131,'İş Emri Takip'!$BA$3:$BA$1000,"&lt;="&amp;$N131))</f>
        <v/>
      </c>
      <c r="K131" s="92" t="str">
        <f ca="1">IF($M131&gt;TODAY(),"",COUNTIFS('İş Emri Takip'!$BB$3:$BB$1000,"&gt;="&amp;$M131,'İş Emri Takip'!$BB$3:$BB$1000,"&lt;="&amp;$N131))</f>
        <v/>
      </c>
      <c r="L131" s="93" t="str">
        <f t="shared" ca="1" si="4"/>
        <v/>
      </c>
      <c r="M131" s="68">
        <v>46384</v>
      </c>
      <c r="N131" s="68">
        <v>46387</v>
      </c>
    </row>
    <row r="132" spans="2:14" ht="21.95" customHeight="1" x14ac:dyDescent="0.25">
      <c r="B132" s="94" t="s">
        <v>847</v>
      </c>
      <c r="C132" s="75" t="str">
        <f ca="1">IF($M132&gt;TODAY(),"",COUNTIFS('İş Emri Takip'!$AQ$3:$AQ$1000,"&gt;="&amp;$M132,'İş Emri Takip'!$AQ$3:$AQ$1000,"&lt;="&amp;$N132))</f>
        <v/>
      </c>
      <c r="D132" s="75" t="str">
        <f ca="1">IF($M132&gt;TODAY(),"",COUNTIFS('İş Emri Takip'!$AR$3:$AR$1000,"&gt;="&amp;$M132,'İş Emri Takip'!$AR$3:$AR$1000,"&lt;="&amp;$N132))</f>
        <v/>
      </c>
      <c r="E132" s="75" t="str">
        <f ca="1">IF($M132&gt;TODAY(),"",COUNTIFS('İş Emri Takip'!$AS$3:$AS$1000,"&gt;="&amp;$M132,'İş Emri Takip'!$AS$3:$AS$1000,"&lt;="&amp;$N132))</f>
        <v/>
      </c>
      <c r="F132" s="75" t="str">
        <f ca="1">IF($M132&gt;TODAY(),"",COUNTIFS('İş Emri Takip'!$AU$3:$AU$1000,"&gt;="&amp;$M132,'İş Emri Takip'!$AU$3:$AU$1000,"&lt;="&amp;$N132))</f>
        <v/>
      </c>
      <c r="G132" s="75" t="str">
        <f ca="1">IF($M132&gt;TODAY(),"",COUNTIFS('İş Emri Takip'!$AW$3:$AW$1000,"&gt;="&amp;$M132,'İş Emri Takip'!$AW$3:$AW$1000,"&lt;="&amp;$N132))</f>
        <v/>
      </c>
      <c r="H132" s="75" t="str">
        <f ca="1">IF($M132&gt;TODAY(),"",COUNTIFS('İş Emri Takip'!$AY$3:$AY$1000,"&gt;="&amp;$M132,'İş Emri Takip'!$AY$3:$AY$1000,"&lt;="&amp;$N132))</f>
        <v/>
      </c>
      <c r="I132" s="75" t="str">
        <f ca="1">IF($M132&gt;TODAY(),"",COUNTIFS('İş Emri Takip'!$AT$3:$AT$1000,"&gt;="&amp;$M132,'İş Emri Takip'!$AT$3:$AT$1000,"&lt;="&amp;$N132)+COUNTIFS('İş Emri Takip'!$AV$3:$AV$1000,"&gt;="&amp;$M132,'İş Emri Takip'!$AV$3:$AV$1000,"&lt;="&amp;$N132)+COUNTIFS('İş Emri Takip'!$AX$3:$AX$1000,"&gt;="&amp;$M132,'İş Emri Takip'!$AX$3:$AX$1000,"&lt;="&amp;$N132)+COUNTIFS('İş Emri Takip'!$AZ$3:$AZ$1000,"&gt;="&amp;$M132,'İş Emri Takip'!$AZ$3:$AZ$1000,"&lt;="&amp;$N132))</f>
        <v/>
      </c>
      <c r="J132" s="75" t="str">
        <f ca="1">IF($M132&gt;TODAY(),"",COUNTIFS('İş Emri Takip'!$BA$3:$BA$1000,"&gt;="&amp;$M132,'İş Emri Takip'!$BA$3:$BA$1000,"&lt;="&amp;$N132))</f>
        <v/>
      </c>
      <c r="K132" s="75" t="str">
        <f ca="1">IF($M132&gt;TODAY(),"",COUNTIFS('İş Emri Takip'!$BB$3:$BB$1000,"&gt;="&amp;$M132,'İş Emri Takip'!$BB$3:$BB$1000,"&lt;="&amp;$N132))</f>
        <v/>
      </c>
      <c r="L132" s="75" t="str">
        <f t="shared" ca="1" si="4"/>
        <v/>
      </c>
      <c r="M132" s="68">
        <v>46357</v>
      </c>
      <c r="N132" s="68">
        <v>46387</v>
      </c>
    </row>
    <row r="133" spans="2:14" ht="24" customHeight="1" x14ac:dyDescent="0.25">
      <c r="B133" s="95" t="s">
        <v>868</v>
      </c>
      <c r="C133" s="78">
        <f ca="1">IF($M133&gt;TODAY(),"",COUNTIFS('İş Emri Takip'!$AQ$3:$AQ$1000,"&gt;="&amp;$M133,'İş Emri Takip'!$AQ$3:$AQ$1000,"&lt;="&amp;$N133))</f>
        <v>0</v>
      </c>
      <c r="D133" s="78">
        <f ca="1">IF($M133&gt;TODAY(),"",COUNTIFS('İş Emri Takip'!$AR$3:$AR$1000,"&gt;="&amp;$M133,'İş Emri Takip'!$AR$3:$AR$1000,"&lt;="&amp;$N133))</f>
        <v>37</v>
      </c>
      <c r="E133" s="78">
        <f ca="1">IF($M133&gt;TODAY(),"",COUNTIFS('İş Emri Takip'!$AS$3:$AS$1000,"&gt;="&amp;$M133,'İş Emri Takip'!$AS$3:$AS$1000,"&lt;="&amp;$N133))</f>
        <v>308</v>
      </c>
      <c r="F133" s="78">
        <f ca="1">IF($M133&gt;TODAY(),"",COUNTIFS('İş Emri Takip'!$AU$3:$AU$1000,"&gt;="&amp;$M133,'İş Emri Takip'!$AU$3:$AU$1000,"&lt;="&amp;$N133))</f>
        <v>60</v>
      </c>
      <c r="G133" s="78">
        <f ca="1">IF($M133&gt;TODAY(),"",COUNTIFS('İş Emri Takip'!$AW$3:$AW$1000,"&gt;="&amp;$M133,'İş Emri Takip'!$AW$3:$AW$1000,"&lt;="&amp;$N133))</f>
        <v>49</v>
      </c>
      <c r="H133" s="78">
        <f ca="1">IF($M133&gt;TODAY(),"",COUNTIFS('İş Emri Takip'!$AY$3:$AY$1000,"&gt;="&amp;$M133,'İş Emri Takip'!$AY$3:$AY$1000,"&lt;="&amp;$N133))</f>
        <v>20</v>
      </c>
      <c r="I133" s="78">
        <f ca="1">IF($M133&gt;TODAY(),"",COUNTIFS('İş Emri Takip'!$AT$3:$AT$1000,"&gt;="&amp;$M133,'İş Emri Takip'!$AT$3:$AT$1000,"&lt;="&amp;$N133)+COUNTIFS('İş Emri Takip'!$AV$3:$AV$1000,"&gt;="&amp;$M133,'İş Emri Takip'!$AV$3:$AV$1000,"&lt;="&amp;$N133)+COUNTIFS('İş Emri Takip'!$AX$3:$AX$1000,"&gt;="&amp;$M133,'İş Emri Takip'!$AX$3:$AX$1000,"&lt;="&amp;$N133)+COUNTIFS('İş Emri Takip'!$AZ$3:$AZ$1000,"&gt;="&amp;$M133,'İş Emri Takip'!$AZ$3:$AZ$1000,"&lt;="&amp;$N133))</f>
        <v>404</v>
      </c>
      <c r="J133" s="78">
        <f ca="1">IF($M133&gt;TODAY(),"",COUNTIFS('İş Emri Takip'!$BA$3:$BA$1000,"&gt;="&amp;$M133,'İş Emri Takip'!$BA$3:$BA$1000,"&lt;="&amp;$N133))</f>
        <v>158</v>
      </c>
      <c r="K133" s="78">
        <f ca="1">IF($M133&gt;TODAY(),"",COUNTIFS('İş Emri Takip'!$BB$3:$BB$1000,"&gt;="&amp;$M133,'İş Emri Takip'!$BB$3:$BB$1000,"&lt;="&amp;$N133))</f>
        <v>0</v>
      </c>
      <c r="L133" s="78">
        <f t="shared" ca="1" si="4"/>
        <v>1036</v>
      </c>
      <c r="M133" s="68">
        <v>46286</v>
      </c>
      <c r="N133" s="68">
        <v>46387</v>
      </c>
    </row>
    <row r="135" spans="2:14" x14ac:dyDescent="0.25">
      <c r="B135" s="214" t="s">
        <v>869</v>
      </c>
      <c r="C135" s="199"/>
      <c r="D135" s="199"/>
      <c r="E135" s="199"/>
      <c r="F135" s="199"/>
      <c r="G135" s="199"/>
      <c r="H135" s="199"/>
      <c r="I135" s="199"/>
      <c r="J135" s="199"/>
      <c r="K135" s="199"/>
    </row>
    <row r="136" spans="2:14" x14ac:dyDescent="0.25">
      <c r="B136" s="214" t="s">
        <v>870</v>
      </c>
      <c r="C136" s="199"/>
      <c r="D136" s="199"/>
      <c r="E136" s="199"/>
      <c r="F136" s="199"/>
      <c r="G136" s="199"/>
      <c r="H136" s="199"/>
      <c r="I136" s="199"/>
      <c r="J136" s="199"/>
      <c r="K136" s="199"/>
    </row>
    <row r="137" spans="2:14" x14ac:dyDescent="0.25">
      <c r="B137" s="214" t="s">
        <v>871</v>
      </c>
      <c r="C137" s="199"/>
      <c r="D137" s="199"/>
      <c r="E137" s="199"/>
      <c r="F137" s="199"/>
      <c r="G137" s="199"/>
      <c r="H137" s="199"/>
      <c r="I137" s="199"/>
      <c r="J137" s="199"/>
      <c r="K137" s="199"/>
    </row>
  </sheetData>
  <mergeCells count="91">
    <mergeCell ref="C6:D6"/>
    <mergeCell ref="I89:J89"/>
    <mergeCell ref="K89:L89"/>
    <mergeCell ref="B22:C22"/>
    <mergeCell ref="C89:D89"/>
    <mergeCell ref="B31:C31"/>
    <mergeCell ref="E8:F8"/>
    <mergeCell ref="B21:C21"/>
    <mergeCell ref="G7:H7"/>
    <mergeCell ref="I7:J7"/>
    <mergeCell ref="I8:J8"/>
    <mergeCell ref="C8:D8"/>
    <mergeCell ref="B135:K135"/>
    <mergeCell ref="B67:C67"/>
    <mergeCell ref="B61:C61"/>
    <mergeCell ref="B14:C14"/>
    <mergeCell ref="I44:K53"/>
    <mergeCell ref="E55:K55"/>
    <mergeCell ref="B69:C69"/>
    <mergeCell ref="B38:C38"/>
    <mergeCell ref="B66:C66"/>
    <mergeCell ref="B27:C27"/>
    <mergeCell ref="B53:C53"/>
    <mergeCell ref="B37:C37"/>
    <mergeCell ref="B65:C65"/>
    <mergeCell ref="B68:C68"/>
    <mergeCell ref="B50:C50"/>
    <mergeCell ref="E4:K4"/>
    <mergeCell ref="B40:C40"/>
    <mergeCell ref="B49:C49"/>
    <mergeCell ref="B24:C24"/>
    <mergeCell ref="B64:C64"/>
    <mergeCell ref="B33:C33"/>
    <mergeCell ref="B51:C51"/>
    <mergeCell ref="B32:C32"/>
    <mergeCell ref="B63:C63"/>
    <mergeCell ref="B26:C26"/>
    <mergeCell ref="B41:C41"/>
    <mergeCell ref="B35:C35"/>
    <mergeCell ref="B16:C16"/>
    <mergeCell ref="I6:J6"/>
    <mergeCell ref="B25:C25"/>
    <mergeCell ref="B18:C18"/>
    <mergeCell ref="B136:K136"/>
    <mergeCell ref="E13:K13"/>
    <mergeCell ref="B15:C15"/>
    <mergeCell ref="E30:K30"/>
    <mergeCell ref="K6:L6"/>
    <mergeCell ref="G9:H9"/>
    <mergeCell ref="I9:J9"/>
    <mergeCell ref="E6:F6"/>
    <mergeCell ref="K8:L8"/>
    <mergeCell ref="K7:L7"/>
    <mergeCell ref="C7:D7"/>
    <mergeCell ref="E7:F7"/>
    <mergeCell ref="B20:C20"/>
    <mergeCell ref="B45:C45"/>
    <mergeCell ref="E71:K71"/>
    <mergeCell ref="B89:B90"/>
    <mergeCell ref="B137:K137"/>
    <mergeCell ref="K9:L9"/>
    <mergeCell ref="B56:C56"/>
    <mergeCell ref="E112:K112"/>
    <mergeCell ref="B58:C58"/>
    <mergeCell ref="B52:C52"/>
    <mergeCell ref="E43:K43"/>
    <mergeCell ref="B60:C60"/>
    <mergeCell ref="B17:C17"/>
    <mergeCell ref="B57:C57"/>
    <mergeCell ref="B44:C44"/>
    <mergeCell ref="E88:K88"/>
    <mergeCell ref="B19:C19"/>
    <mergeCell ref="B34:C34"/>
    <mergeCell ref="B28:C28"/>
    <mergeCell ref="E89:F89"/>
    <mergeCell ref="H2:K2"/>
    <mergeCell ref="B2:G2"/>
    <mergeCell ref="B47:C47"/>
    <mergeCell ref="B62:C62"/>
    <mergeCell ref="H31:K41"/>
    <mergeCell ref="B59:C59"/>
    <mergeCell ref="B46:C46"/>
    <mergeCell ref="G8:H8"/>
    <mergeCell ref="B39:C39"/>
    <mergeCell ref="B48:C48"/>
    <mergeCell ref="B23:C23"/>
    <mergeCell ref="G6:H6"/>
    <mergeCell ref="C9:D9"/>
    <mergeCell ref="E9:F9"/>
    <mergeCell ref="B11:K11"/>
    <mergeCell ref="B36:C36"/>
  </mergeCells>
  <conditionalFormatting sqref="B11:K11">
    <cfRule type="expression" dxfId="58" priority="1">
      <formula>LEFT($B$11,1)="✔"</formula>
    </cfRule>
    <cfRule type="expression" dxfId="57" priority="2">
      <formula>LEFT($B$11,1)="⚠"</formula>
    </cfRule>
  </conditionalFormatting>
  <conditionalFormatting sqref="B91:L109">
    <cfRule type="expression" dxfId="56" priority="5" stopIfTrue="1">
      <formula>AND(ISNUMBER(SEARCH("Hafta",$B91)),TODAY()&gt;=$M91,TODAY()&lt;=$N91)</formula>
    </cfRule>
  </conditionalFormatting>
  <conditionalFormatting sqref="B114:L132">
    <cfRule type="expression" dxfId="55" priority="9">
      <formula>AND(ISNUMBER(SEARCH("Hafta",$B114)),TODAY()&gt;=$M114,TODAY()&lt;=$N114)</formula>
    </cfRule>
  </conditionalFormatting>
  <conditionalFormatting sqref="C91 C92 C94 C95 C96 C97 C99 C100 C101 C102 C103 C105 C106 C107 C108">
    <cfRule type="dataBar" priority="7">
      <dataBar>
        <cfvo type="num" val="0"/>
        <cfvo type="max"/>
        <color rgb="FFBDD7EE"/>
      </dataBar>
    </cfRule>
  </conditionalFormatting>
  <conditionalFormatting sqref="E45:E53">
    <cfRule type="expression" dxfId="54" priority="3">
      <formula>AND(ISNUMBER(E45),E45=MAX($E$45:$E$53),E45&gt;0)</formula>
    </cfRule>
  </conditionalFormatting>
  <conditionalFormatting sqref="G45:G53">
    <cfRule type="expression" dxfId="53" priority="4">
      <formula>AND(ISNUMBER(G45),G45=MAX($G$45:$G$53),G45&gt;0)</formula>
    </cfRule>
  </conditionalFormatting>
  <conditionalFormatting sqref="H91 H92 H94 H95 H96 H97 H99 H100 H101 H102 H103 H105 H106 H107 H108">
    <cfRule type="dataBar" priority="6">
      <dataBar>
        <cfvo type="num" val="0"/>
        <cfvo type="max"/>
        <color rgb="FFA9D5A0"/>
      </dataBar>
    </cfRule>
  </conditionalFormatting>
  <conditionalFormatting sqref="L114 L115 L117 L118 L119 L120 L122 L123 L124 L125 L126 L128 L129 L130 L131">
    <cfRule type="dataBar" priority="8">
      <dataBar>
        <cfvo type="num" val="0"/>
        <cfvo type="max"/>
        <color rgb="FFA9D5A0"/>
      </dataBar>
    </cfRule>
  </conditionalFormatting>
  <pageMargins left="0.4" right="0.4" top="1" bottom="1" header="0.5" footer="0.5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71585"/>
    <pageSetUpPr fitToPage="1"/>
  </sheetPr>
  <dimension ref="A1:K27"/>
  <sheetViews>
    <sheetView showGridLines="0" workbookViewId="0"/>
  </sheetViews>
  <sheetFormatPr defaultRowHeight="15" x14ac:dyDescent="0.25"/>
  <cols>
    <col min="1" max="1" width="3" customWidth="1"/>
    <col min="2" max="2" width="17" customWidth="1"/>
    <col min="3" max="4" width="16" customWidth="1"/>
    <col min="5" max="5" width="17" customWidth="1"/>
    <col min="6" max="8" width="16" customWidth="1"/>
    <col min="9" max="9" width="3" customWidth="1"/>
    <col min="11" max="11" width="13" hidden="1" customWidth="1"/>
  </cols>
  <sheetData>
    <row r="1" spans="1:11" ht="38.1" customHeight="1" x14ac:dyDescent="0.25">
      <c r="A1" s="26"/>
      <c r="B1" s="27" t="s">
        <v>872</v>
      </c>
      <c r="C1" s="26"/>
      <c r="D1" s="26"/>
      <c r="E1" s="26"/>
      <c r="F1" s="26"/>
      <c r="G1" s="26"/>
      <c r="H1" s="26"/>
      <c r="I1" s="26"/>
    </row>
    <row r="2" spans="1:11" ht="21.95" customHeight="1" x14ac:dyDescent="0.25">
      <c r="A2" s="26"/>
      <c r="B2" s="200" t="s">
        <v>873</v>
      </c>
      <c r="C2" s="199"/>
      <c r="D2" s="199"/>
      <c r="E2" s="199"/>
      <c r="F2" s="199"/>
      <c r="G2" s="199"/>
      <c r="H2" s="199"/>
      <c r="I2" s="26"/>
    </row>
    <row r="3" spans="1:11" ht="14.1" customHeight="1" x14ac:dyDescent="0.25"/>
    <row r="4" spans="1:11" ht="33.950000000000003" customHeight="1" x14ac:dyDescent="0.25">
      <c r="B4" s="96" t="s">
        <v>874</v>
      </c>
      <c r="C4" s="252" t="s">
        <v>142</v>
      </c>
      <c r="D4" s="253"/>
      <c r="E4" s="247" t="str">
        <f>IF($C$4="","",IF($K$4="YOK","⚠  Bu numarada iş emri bulunamadı.",""))</f>
        <v/>
      </c>
      <c r="F4" s="199"/>
      <c r="G4" s="199"/>
      <c r="H4" s="199"/>
      <c r="K4">
        <f>IF($C$4="","",IFERROR(MATCH($C$4,'İş Emri Takip'!$B$3:$B$1000,0),"YOK"))</f>
        <v>48</v>
      </c>
    </row>
    <row r="5" spans="1:11" ht="14.1" customHeight="1" x14ac:dyDescent="0.25"/>
    <row r="6" spans="1:11" ht="21.95" customHeight="1" x14ac:dyDescent="0.25">
      <c r="B6" s="97" t="s">
        <v>8</v>
      </c>
      <c r="C6" s="248" t="str">
        <f>IF(OR($K$4="",$K$4="YOK"),"",IF(INDEX('İş Emri Takip'!$C$3:$C$1000,$K$4)="","–",INDEX('İş Emri Takip'!$C$3:$C$1000,$K$4)))</f>
        <v>MN-0000-3297-B - 1 - RADOM KOMPOZIT ANT. YASSI ALT</v>
      </c>
      <c r="D6" s="202"/>
      <c r="E6" s="202"/>
      <c r="F6" s="202"/>
      <c r="G6" s="202"/>
      <c r="H6" s="202"/>
    </row>
    <row r="7" spans="1:11" ht="21.95" customHeight="1" x14ac:dyDescent="0.25">
      <c r="B7" s="97" t="s">
        <v>9</v>
      </c>
      <c r="C7" s="248">
        <f>IF(OR($K$4="",$K$4="YOK"),"",IF(INDEX('İş Emri Takip'!$D$3:$D$1000,$K$4)="","–",INDEX('İş Emri Takip'!$D$3:$D$1000,$K$4)))</f>
        <v>1</v>
      </c>
      <c r="D7" s="202"/>
      <c r="E7" s="97" t="s">
        <v>10</v>
      </c>
      <c r="F7" s="248" t="str">
        <f>IF(OR($K$4="",$K$4="YOK"),"",IF(INDEX('İş Emri Takip'!$E$3:$E$1000,$K$4)="","–",INDEX('İş Emri Takip'!$E$3:$E$1000,$K$4)))</f>
        <v>AYÇA GÖK</v>
      </c>
      <c r="G7" s="202"/>
      <c r="H7" s="202"/>
    </row>
    <row r="8" spans="1:11" ht="21.95" customHeight="1" x14ac:dyDescent="0.25">
      <c r="B8" s="97" t="s">
        <v>11</v>
      </c>
      <c r="C8" s="250">
        <f>IF(OR($K$4="",$K$4="YOK"),"",IF(INDEX('İş Emri Takip'!$F$3:$F$1000,$K$4)="","–",INDEX('İş Emri Takip'!$F$3:$F$1000,$K$4)))</f>
        <v>46290</v>
      </c>
      <c r="D8" s="202"/>
      <c r="E8" s="97" t="s">
        <v>875</v>
      </c>
      <c r="F8" s="249">
        <f ca="1">IF(OR($K$4="",$K$4="YOK"),"",IF(INDEX('İş Emri Takip'!$AA$3:$AA$1000,$K$4)="","–",INDEX('İş Emri Takip'!$AA$3:$AA$1000,$K$4)))</f>
        <v>3</v>
      </c>
      <c r="G8" s="202"/>
      <c r="H8" s="202"/>
    </row>
    <row r="9" spans="1:11" ht="9.9499999999999993" customHeight="1" x14ac:dyDescent="0.25"/>
    <row r="10" spans="1:11" ht="36" customHeight="1" x14ac:dyDescent="0.25">
      <c r="B10" s="251" t="str">
        <f>IF(OR($K$4="",$K$4="YOK"),"","GÜNCEL DURUM:   "&amp;INDEX('İş Emri Takip'!$Z$3:$Z$1000,$K$4))</f>
        <v>GÜNCEL DURUM:   Kapandı – Kalite (Üretim sonrası)</v>
      </c>
      <c r="C10" s="199"/>
      <c r="D10" s="199"/>
      <c r="E10" s="199"/>
      <c r="F10" s="199"/>
      <c r="G10" s="199"/>
      <c r="H10" s="199"/>
    </row>
    <row r="11" spans="1:11" ht="14.1" customHeight="1" x14ac:dyDescent="0.25"/>
    <row r="12" spans="1:11" x14ac:dyDescent="0.25">
      <c r="B12" s="98" t="s">
        <v>876</v>
      </c>
      <c r="C12" s="29"/>
      <c r="D12" s="29"/>
      <c r="E12" s="29"/>
      <c r="F12" s="29"/>
      <c r="G12" s="29"/>
      <c r="H12" s="29"/>
    </row>
    <row r="13" spans="1:11" ht="30" customHeight="1" x14ac:dyDescent="0.25">
      <c r="B13" s="99" t="s">
        <v>12</v>
      </c>
      <c r="C13" s="100" t="s">
        <v>13</v>
      </c>
      <c r="D13" s="101" t="s">
        <v>14</v>
      </c>
      <c r="E13" s="102" t="s">
        <v>877</v>
      </c>
      <c r="F13" s="103" t="s">
        <v>16</v>
      </c>
      <c r="G13" s="102" t="s">
        <v>878</v>
      </c>
      <c r="H13" s="104" t="s">
        <v>18</v>
      </c>
    </row>
    <row r="14" spans="1:11" ht="24" customHeight="1" x14ac:dyDescent="0.25">
      <c r="B14" s="105" t="str">
        <f>IF(OR($K$4="",$K$4="YOK"),"",IF(INDEX('İş Emri Takip'!$G$3:$G$1000,$K$4)="","",INDEX('İş Emri Takip'!$G$3:$G$1000,$K$4)))</f>
        <v/>
      </c>
      <c r="C14" s="106" t="str">
        <f>IF(OR($K$4="",$K$4="YOK"),"",IF(INDEX('İş Emri Takip'!$H$3:$H$1000,$K$4)="","",INDEX('İş Emri Takip'!$H$3:$H$1000,$K$4)))</f>
        <v/>
      </c>
      <c r="D14" s="107">
        <f>IF(OR($K$4="",$K$4="YOK"),"",IF(INDEX('İş Emri Takip'!$I$3:$I$1000,$K$4)="","",INDEX('İş Emri Takip'!$I$3:$I$1000,$K$4)))</f>
        <v>46290</v>
      </c>
      <c r="E14" s="108">
        <f>IF(OR($K$4="",$K$4="YOK"),"",IF(INDEX('İş Emri Takip'!$J$3:$J$1000,$K$4)="","",INDEX('İş Emri Takip'!$J$3:$J$1000,$K$4)))</f>
        <v>46293</v>
      </c>
      <c r="F14" s="109" t="str">
        <f>IF(OR($K$4="",$K$4="YOK"),"",IF(INDEX('İş Emri Takip'!$K$3:$K$1000,$K$4)="","",INDEX('İş Emri Takip'!$K$3:$K$1000,$K$4)))</f>
        <v/>
      </c>
      <c r="G14" s="108" t="str">
        <f>IF(OR($K$4="",$K$4="YOK"),"",IF(INDEX('İş Emri Takip'!$L$3:$L$1000,$K$4)="","",INDEX('İş Emri Takip'!$L$3:$L$1000,$K$4)))</f>
        <v/>
      </c>
      <c r="H14" s="110" t="str">
        <f>IF(OR($K$4="",$K$4="YOK"),"",IF(INDEX('İş Emri Takip'!$M$3:$M$1000,$K$4)="","",INDEX('İş Emri Takip'!$M$3:$M$1000,$K$4)))</f>
        <v/>
      </c>
    </row>
    <row r="15" spans="1:11" ht="8.1" customHeight="1" x14ac:dyDescent="0.25"/>
    <row r="16" spans="1:11" ht="30" customHeight="1" x14ac:dyDescent="0.25">
      <c r="B16" s="102" t="s">
        <v>879</v>
      </c>
      <c r="C16" s="111" t="s">
        <v>20</v>
      </c>
      <c r="D16" s="102" t="s">
        <v>880</v>
      </c>
      <c r="E16" s="112" t="s">
        <v>22</v>
      </c>
      <c r="F16" s="113" t="s">
        <v>23</v>
      </c>
      <c r="G16" s="114" t="s">
        <v>24</v>
      </c>
      <c r="H16" s="115" t="s">
        <v>881</v>
      </c>
    </row>
    <row r="17" spans="2:8" ht="24" customHeight="1" x14ac:dyDescent="0.25">
      <c r="B17" s="108" t="str">
        <f>IF(OR($K$4="",$K$4="YOK"),"",IF(INDEX('İş Emri Takip'!$N$3:$N$1000,$K$4)="","",INDEX('İş Emri Takip'!$N$3:$N$1000,$K$4)))</f>
        <v/>
      </c>
      <c r="C17" s="116" t="str">
        <f>IF(OR($K$4="",$K$4="YOK"),"",IF(INDEX('İş Emri Takip'!$O$3:$O$1000,$K$4)="","",INDEX('İş Emri Takip'!$O$3:$O$1000,$K$4)))</f>
        <v/>
      </c>
      <c r="D17" s="108" t="str">
        <f>IF(OR($K$4="",$K$4="YOK"),"",IF(INDEX('İş Emri Takip'!$P$3:$P$1000,$K$4)="","",INDEX('İş Emri Takip'!$P$3:$P$1000,$K$4)))</f>
        <v/>
      </c>
      <c r="E17" s="117" t="str">
        <f>IF(OR($K$4="",$K$4="YOK"),"",IF(INDEX('İş Emri Takip'!$Q$3:$Q$1000,$K$4)="","",INDEX('İş Emri Takip'!$Q$3:$Q$1000,$K$4)))</f>
        <v/>
      </c>
      <c r="F17" s="118" t="str">
        <f>IF(OR($K$4="",$K$4="YOK"),"",IF(INDEX('İş Emri Takip'!$R$3:$R$1000,$K$4)="","",INDEX('İş Emri Takip'!$R$3:$R$1000,$K$4)))</f>
        <v/>
      </c>
      <c r="G17" s="119" t="str">
        <f>IF(OR($K$4="",$K$4="YOK"),"",IF(INDEX('İş Emri Takip'!$S$3:$S$1000,$K$4)="","",INDEX('İş Emri Takip'!$S$3:$S$1000,$K$4)))</f>
        <v/>
      </c>
      <c r="H17" s="120">
        <f>IF(OR($K$4="",$K$4="YOK"),"",IF(INDEX('İş Emri Takip'!$T$3:$T$1000,$K$4)="","",INDEX('İş Emri Takip'!$T$3:$T$1000,$K$4)))</f>
        <v>46293</v>
      </c>
    </row>
    <row r="18" spans="2:8" ht="8.1" customHeight="1" x14ac:dyDescent="0.25"/>
    <row r="19" spans="2:8" ht="9.9499999999999993" customHeight="1" x14ac:dyDescent="0.25"/>
    <row r="20" spans="2:8" x14ac:dyDescent="0.25">
      <c r="B20" s="121" t="s">
        <v>2</v>
      </c>
      <c r="C20" s="122"/>
      <c r="D20" s="122"/>
      <c r="E20" s="122"/>
      <c r="F20" s="122"/>
      <c r="G20" s="122"/>
      <c r="H20" s="122"/>
    </row>
    <row r="21" spans="2:8" ht="21.95" customHeight="1" x14ac:dyDescent="0.25">
      <c r="B21" s="97" t="s">
        <v>882</v>
      </c>
      <c r="C21" s="248" t="str">
        <f>IF(OR($K$4="",$K$4="YOK"),"",IF(INDEX('İş Emri Takip'!$U$3:$U$1000,$K$4)="","–",INDEX('İş Emri Takip'!$U$3:$U$1000,$K$4)))</f>
        <v>–</v>
      </c>
      <c r="D21" s="202"/>
      <c r="E21" s="97" t="s">
        <v>883</v>
      </c>
      <c r="F21" s="248" t="str">
        <f>IF(OR($K$4="",$K$4="YOK"),"",IF(INDEX('İş Emri Takip'!$V$3:$V$1000,$K$4)="","–",INDEX('İş Emri Takip'!$V$3:$V$1000,$K$4)))</f>
        <v>–</v>
      </c>
      <c r="G21" s="202"/>
      <c r="H21" s="202"/>
    </row>
    <row r="22" spans="2:8" ht="21.95" customHeight="1" x14ac:dyDescent="0.25">
      <c r="B22" s="97" t="s">
        <v>884</v>
      </c>
      <c r="C22" s="250" t="str">
        <f>IF(OR($K$4="",$K$4="YOK"),"",IF(INDEX('İş Emri Takip'!$X$3:$X$1000,$K$4)="","–",INDEX('İş Emri Takip'!$X$3:$X$1000,$K$4)))</f>
        <v>–</v>
      </c>
      <c r="D22" s="202"/>
      <c r="E22" s="97" t="s">
        <v>885</v>
      </c>
      <c r="F22" s="250" t="str">
        <f>IF(OR($K$4="",$K$4="YOK"),"",IF(INDEX('İş Emri Takip'!$Y$3:$Y$1000,$K$4)="","–",INDEX('İş Emri Takip'!$Y$3:$Y$1000,$K$4)))</f>
        <v>–</v>
      </c>
      <c r="G22" s="202"/>
      <c r="H22" s="202"/>
    </row>
    <row r="23" spans="2:8" ht="21.95" customHeight="1" x14ac:dyDescent="0.25">
      <c r="B23" s="97" t="s">
        <v>886</v>
      </c>
      <c r="C23" s="248" t="str">
        <f>IF(OR($K$4="",$K$4="YOK"),"",IF(INDEX('İş Emri Takip'!$W$3:$W$1000,$K$4)="","–",INDEX('İş Emri Takip'!$W$3:$W$1000,$K$4)))</f>
        <v>–</v>
      </c>
      <c r="D23" s="202"/>
      <c r="E23" s="202"/>
      <c r="F23" s="202"/>
      <c r="G23" s="202"/>
      <c r="H23" s="202"/>
    </row>
    <row r="24" spans="2:8" ht="9.9499999999999993" customHeight="1" x14ac:dyDescent="0.25"/>
    <row r="25" spans="2:8" x14ac:dyDescent="0.25">
      <c r="B25" s="123" t="s">
        <v>887</v>
      </c>
      <c r="C25" s="124"/>
      <c r="D25" s="124"/>
      <c r="E25" s="124"/>
      <c r="F25" s="124"/>
      <c r="G25" s="124"/>
      <c r="H25" s="124"/>
    </row>
    <row r="26" spans="2:8" ht="21.95" customHeight="1" x14ac:dyDescent="0.25">
      <c r="B26" s="246" t="str">
        <f>IF(OR($K$4="",$K$4="YOK"),"",IF(INDEX('İş Emri Takip'!$AB$3:$AB$1000,$K$4)="","",INDEX('İş Emri Takip'!$AB$3:$AB$1000,$K$4)))</f>
        <v/>
      </c>
      <c r="C26" s="199"/>
      <c r="D26" s="199"/>
      <c r="E26" s="199"/>
      <c r="F26" s="199"/>
      <c r="G26" s="199"/>
      <c r="H26" s="199"/>
    </row>
    <row r="27" spans="2:8" ht="21.95" customHeight="1" x14ac:dyDescent="0.25">
      <c r="B27" s="199"/>
      <c r="C27" s="199"/>
      <c r="D27" s="199"/>
      <c r="E27" s="199"/>
      <c r="F27" s="199"/>
      <c r="G27" s="199"/>
      <c r="H27" s="199"/>
    </row>
  </sheetData>
  <mergeCells count="15">
    <mergeCell ref="B26:H27"/>
    <mergeCell ref="E4:H4"/>
    <mergeCell ref="C23:H23"/>
    <mergeCell ref="F8:H8"/>
    <mergeCell ref="B2:H2"/>
    <mergeCell ref="C22:D22"/>
    <mergeCell ref="B10:H10"/>
    <mergeCell ref="F7:H7"/>
    <mergeCell ref="F21:H21"/>
    <mergeCell ref="C8:D8"/>
    <mergeCell ref="C4:D4"/>
    <mergeCell ref="C6:H6"/>
    <mergeCell ref="C21:D21"/>
    <mergeCell ref="C7:D7"/>
    <mergeCell ref="F22:H22"/>
  </mergeCells>
  <conditionalFormatting sqref="B14">
    <cfRule type="expression" dxfId="51" priority="16" stopIfTrue="1">
      <formula>ISNUMBER(B14)</formula>
    </cfRule>
    <cfRule type="expression" dxfId="50" priority="17">
      <formula>ISNUMBER(B14)</formula>
    </cfRule>
  </conditionalFormatting>
  <conditionalFormatting sqref="B17">
    <cfRule type="expression" dxfId="48" priority="37" stopIfTrue="1">
      <formula>ISNUMBER(B17)</formula>
    </cfRule>
    <cfRule type="expression" dxfId="47" priority="38">
      <formula>ISNUMBER(B17)</formula>
    </cfRule>
  </conditionalFormatting>
  <conditionalFormatting sqref="B10:H10">
    <cfRule type="expression" dxfId="46" priority="1" stopIfTrue="1">
      <formula>$B$10=""</formula>
    </cfRule>
    <cfRule type="expression" dxfId="45" priority="2" stopIfTrue="1">
      <formula>ISNUMBER(SEARCH("Sevk Edildi",$B$10))</formula>
    </cfRule>
    <cfRule type="expression" dxfId="44" priority="3" stopIfTrue="1">
      <formula>ISNUMBER(SEARCH("Kapandı",$B$10))</formula>
    </cfRule>
    <cfRule type="expression" dxfId="43" priority="4" stopIfTrue="1">
      <formula>ISNUMBER(SEARCH("Reworkte",$B$10))</formula>
    </cfRule>
    <cfRule type="expression" dxfId="42" priority="5" stopIfTrue="1">
      <formula>ISNUMBER(SEARCH("Kalitede",$B$10))</formula>
    </cfRule>
    <cfRule type="expression" dxfId="41" priority="6" stopIfTrue="1">
      <formula>ISNUMBER(SEARCH("Başlamadı",$B$10))</formula>
    </cfRule>
    <cfRule type="expression" dxfId="40" priority="7" stopIfTrue="1">
      <formula>ISNUMBER(SEARCH("Tasarımda",$B$10))</formula>
    </cfRule>
    <cfRule type="expression" dxfId="39" priority="8" stopIfTrue="1">
      <formula>ISNUMBER(SEARCH("Talaşlıda",$B$10))</formula>
    </cfRule>
    <cfRule type="expression" dxfId="38" priority="9" stopIfTrue="1">
      <formula>ISNUMBER(SEARCH("Montajda",$B$10))</formula>
    </cfRule>
    <cfRule type="expression" dxfId="37" priority="10" stopIfTrue="1">
      <formula>ISNUMBER(SEARCH("Boyada",$B$10))</formula>
    </cfRule>
    <cfRule type="expression" dxfId="36" priority="11" stopIfTrue="1">
      <formula>ISNUMBER(SEARCH("Ply Cutter'da",$B$10))</formula>
    </cfRule>
    <cfRule type="expression" dxfId="35" priority="12" stopIfTrue="1">
      <formula>ISNUMBER(SEARCH("Üretimde",$B$10))</formula>
    </cfRule>
    <cfRule type="expression" dxfId="34" priority="13" stopIfTrue="1">
      <formula>ISNUMBER(SEARCH("Yarı Mamülde",$B$10))</formula>
    </cfRule>
    <cfRule type="expression" dxfId="33" priority="14" stopIfTrue="1">
      <formula>ISNUMBER(SEARCH("KM'de",$B$10))</formula>
    </cfRule>
  </conditionalFormatting>
  <conditionalFormatting sqref="C14">
    <cfRule type="expression" dxfId="31" priority="19" stopIfTrue="1">
      <formula>ISNUMBER(C14)</formula>
    </cfRule>
    <cfRule type="expression" dxfId="30" priority="20">
      <formula>ISNUMBER(C14)</formula>
    </cfRule>
  </conditionalFormatting>
  <conditionalFormatting sqref="C17">
    <cfRule type="expression" dxfId="28" priority="40" stopIfTrue="1">
      <formula>ISNUMBER(C17)</formula>
    </cfRule>
    <cfRule type="expression" dxfId="27" priority="41">
      <formula>ISNUMBER(C17)</formula>
    </cfRule>
  </conditionalFormatting>
  <conditionalFormatting sqref="D14">
    <cfRule type="expression" dxfId="25" priority="22" stopIfTrue="1">
      <formula>ISNUMBER(D14)</formula>
    </cfRule>
    <cfRule type="expression" dxfId="24" priority="23">
      <formula>ISNUMBER(D14)</formula>
    </cfRule>
  </conditionalFormatting>
  <conditionalFormatting sqref="D17">
    <cfRule type="expression" dxfId="22" priority="43" stopIfTrue="1">
      <formula>ISNUMBER(D17)</formula>
    </cfRule>
    <cfRule type="expression" dxfId="21" priority="44">
      <formula>ISNUMBER(D17)</formula>
    </cfRule>
  </conditionalFormatting>
  <conditionalFormatting sqref="E14">
    <cfRule type="expression" dxfId="19" priority="25" stopIfTrue="1">
      <formula>ISNUMBER(E14)</formula>
    </cfRule>
    <cfRule type="expression" dxfId="18" priority="26">
      <formula>ISNUMBER(E14)</formula>
    </cfRule>
  </conditionalFormatting>
  <conditionalFormatting sqref="E17">
    <cfRule type="expression" dxfId="16" priority="46" stopIfTrue="1">
      <formula>ISNUMBER(E17)</formula>
    </cfRule>
    <cfRule type="expression" dxfId="15" priority="47">
      <formula>ISNUMBER(E17)</formula>
    </cfRule>
  </conditionalFormatting>
  <conditionalFormatting sqref="F14">
    <cfRule type="expression" dxfId="13" priority="28" stopIfTrue="1">
      <formula>ISNUMBER(F14)</formula>
    </cfRule>
    <cfRule type="expression" dxfId="12" priority="29">
      <formula>ISNUMBER(F14)</formula>
    </cfRule>
  </conditionalFormatting>
  <conditionalFormatting sqref="F17">
    <cfRule type="expression" dxfId="10" priority="49" stopIfTrue="1">
      <formula>ISNUMBER(F17)</formula>
    </cfRule>
    <cfRule type="expression" dxfId="9" priority="50">
      <formula>ISNUMBER(F17)</formula>
    </cfRule>
  </conditionalFormatting>
  <conditionalFormatting sqref="G14">
    <cfRule type="expression" dxfId="7" priority="31" stopIfTrue="1">
      <formula>ISNUMBER(G14)</formula>
    </cfRule>
    <cfRule type="expression" dxfId="6" priority="32">
      <formula>ISNUMBER(G14)</formula>
    </cfRule>
  </conditionalFormatting>
  <conditionalFormatting sqref="G17">
    <cfRule type="expression" dxfId="5" priority="51">
      <formula>ISNUMBER(G17)</formula>
    </cfRule>
  </conditionalFormatting>
  <conditionalFormatting sqref="H14">
    <cfRule type="expression" dxfId="3" priority="34" stopIfTrue="1">
      <formula>ISNUMBER(H14)</formula>
    </cfRule>
    <cfRule type="expression" dxfId="2" priority="35">
      <formula>ISNUMBER(H14)</formula>
    </cfRule>
  </conditionalFormatting>
  <conditionalFormatting sqref="H17">
    <cfRule type="expression" dxfId="1" priority="52">
      <formula>ISNUMBER(H17)</formula>
    </cfRule>
  </conditionalFormatting>
  <pageMargins left="0.75" right="0.75" top="1" bottom="1" header="0.5" footer="0.5"/>
  <pageSetup fitToHeight="0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stopIfTrue="1" id="{00000000-000E-0000-0300-00000F000000}">
            <xm:f>AND(ISNUMBER(B14),OR(ISNUMBER(INDEX('İş Emri Takip'!$AD$3:$AD$1000,$K$4)),ISNUMBER(INDEX('İş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DCE6F1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36" stopIfTrue="1" id="{00000000-000E-0000-0300-000024000000}">
            <xm:f>AND(ISNUMBER(B17),OR(ISNUMBER(INDEX('İş Emri Takip'!$AK$3:$AK$1000,$K$4)),ISNUMBER(INDEX('İş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E4DFEC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expression" priority="18" stopIfTrue="1" id="{00000000-000E-0000-0300-000012000000}">
            <xm:f>AND(ISNUMBER(C14),OR(ISNUMBER(INDEX('İş Emri Takip'!$AE$3:$AE$1000,$K$4)),ISNUMBER(INDEX('İş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D6DCE4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expression" priority="39" stopIfTrue="1" id="{00000000-000E-0000-0300-000027000000}">
            <xm:f>AND(ISNUMBER(C17),OR(ISNUMBER(INDEX('İş Emri Takip'!$AL$3:$AL$1000,$K$4)),ISNUMBER(INDEX('İş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F8D7DA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expression" priority="21" stopIfTrue="1" id="{00000000-000E-0000-0300-000015000000}">
            <xm:f>AND(ISNUMBER(D14),OR(ISNUMBER(INDEX('İş Emri Takip'!$AF$3:$AF$1000,$K$4)),ISNUMBER(INDEX('İş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FFF2CC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expression" priority="42" stopIfTrue="1" id="{00000000-000E-0000-0300-00002A000000}">
            <xm:f>AND(ISNUMBER(D17),OR(ISNUMBER(INDEX('İş Emri Takip'!$AM$3:$AM$1000,$K$4)),ISNUMBER(INDEX('İş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E4DFEC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expression" priority="24" stopIfTrue="1" id="{00000000-000E-0000-0300-000018000000}">
            <xm:f>AND(ISNUMBER(E14),OR(ISNUMBER(INDEX('İş Emri Takip'!$AG$3:$AG$1000,$K$4)),ISNUMBER(INDEX('İş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E4DFEC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expression" priority="45" stopIfTrue="1" id="{00000000-000E-0000-0300-00002D000000}">
            <xm:f>AND(ISNUMBER(E17),OR(ISNUMBER(INDEX('İş Emri Takip'!$AN$3:$AN$1000,$K$4)),ISNUMBER(INDEX('İş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D5EEF0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expression" priority="27" stopIfTrue="1" id="{00000000-000E-0000-0300-00001B000000}">
            <xm:f>AND(ISNUMBER(F14),OR(ISNUMBER(INDEX('İş Emri Takip'!$AH$3:$AH$1000,$K$4)),ISNUMBER(INDEX('İş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FCE4D6"/>
                </patternFill>
              </fill>
            </x14:dxf>
          </x14:cfRule>
          <xm:sqref>F14</xm:sqref>
        </x14:conditionalFormatting>
        <x14:conditionalFormatting xmlns:xm="http://schemas.microsoft.com/office/excel/2006/main">
          <x14:cfRule type="expression" priority="48" stopIfTrue="1" id="{00000000-000E-0000-0300-000030000000}">
            <xm:f>AND(ISNUMBER(F17),OR(ISNUMBER(INDEX('İş Emri Takip'!$AO$3:$AO$1000,$K$4)),ISNUMBER(INDEX('İş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F4E1D2"/>
                </patternFill>
              </fill>
            </x14:dxf>
          </x14:cfRule>
          <xm:sqref>F17</xm:sqref>
        </x14:conditionalFormatting>
        <x14:conditionalFormatting xmlns:xm="http://schemas.microsoft.com/office/excel/2006/main">
          <x14:cfRule type="expression" priority="30" stopIfTrue="1" id="{00000000-000E-0000-0300-00001E000000}">
            <xm:f>AND(ISNUMBER(G14),OR(ISNUMBER(INDEX('İş Emri Takip'!$AI$3:$AI$1000,$K$4)),ISNUMBER(INDEX('İş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E4DFEC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expression" priority="33" stopIfTrue="1" id="{00000000-000E-0000-0300-000021000000}">
            <xm:f>AND(ISNUMBER(H14),OR(ISNUMBER(INDEX('İş Emri Takip'!$AJ$3:$AJ$1000,$K$4)),ISNUMBER(INDEX('İş Emri Takip'!$S$3:$S$1000,$K$4))))</xm:f>
            <x14:dxf>
              <font>
                <color rgb="FF595959"/>
              </font>
              <numFmt numFmtId="172" formatCode="&quot;Kapandı &quot;dd\.mm"/>
              <fill>
                <patternFill>
                  <bgColor rgb="FFE2EFDA"/>
                </patternFill>
              </fill>
            </x14:dxf>
          </x14:cfRule>
          <xm:sqref>H14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'İş Emri Takip'!$B$3:$B$1000</xm:f>
          </x14:formula1>
          <xm:sqref>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40"/>
  <sheetViews>
    <sheetView showGridLines="0" workbookViewId="0"/>
  </sheetViews>
  <sheetFormatPr defaultRowHeight="15" x14ac:dyDescent="0.25"/>
  <cols>
    <col min="1" max="1" width="2" customWidth="1"/>
    <col min="2" max="2" width="34" customWidth="1"/>
    <col min="3" max="3" width="4" customWidth="1"/>
    <col min="4" max="4" width="80" customWidth="1"/>
  </cols>
  <sheetData>
    <row r="1" spans="2:4" ht="18.75" x14ac:dyDescent="0.3">
      <c r="B1" s="125" t="s">
        <v>888</v>
      </c>
    </row>
    <row r="3" spans="2:4" x14ac:dyDescent="0.25">
      <c r="B3" s="126" t="s">
        <v>889</v>
      </c>
      <c r="D3" s="127" t="s">
        <v>890</v>
      </c>
    </row>
    <row r="4" spans="2:4" x14ac:dyDescent="0.25">
      <c r="B4" s="128" t="s">
        <v>891</v>
      </c>
      <c r="D4" s="129" t="s">
        <v>892</v>
      </c>
    </row>
    <row r="5" spans="2:4" x14ac:dyDescent="0.25">
      <c r="B5" s="128" t="s">
        <v>893</v>
      </c>
      <c r="D5" s="129" t="s">
        <v>894</v>
      </c>
    </row>
    <row r="6" spans="2:4" x14ac:dyDescent="0.25">
      <c r="B6" s="128" t="s">
        <v>895</v>
      </c>
      <c r="D6" s="129" t="s">
        <v>896</v>
      </c>
    </row>
    <row r="7" spans="2:4" x14ac:dyDescent="0.25">
      <c r="B7" s="128" t="s">
        <v>897</v>
      </c>
      <c r="D7" s="129" t="s">
        <v>898</v>
      </c>
    </row>
    <row r="8" spans="2:4" x14ac:dyDescent="0.25">
      <c r="B8" s="128" t="s">
        <v>899</v>
      </c>
    </row>
    <row r="9" spans="2:4" x14ac:dyDescent="0.25">
      <c r="B9" s="128" t="s">
        <v>900</v>
      </c>
    </row>
    <row r="10" spans="2:4" x14ac:dyDescent="0.25">
      <c r="B10" s="128" t="s">
        <v>901</v>
      </c>
    </row>
    <row r="11" spans="2:4" x14ac:dyDescent="0.25">
      <c r="B11" s="128" t="s">
        <v>902</v>
      </c>
    </row>
    <row r="12" spans="2:4" x14ac:dyDescent="0.25">
      <c r="B12" s="128" t="s">
        <v>903</v>
      </c>
    </row>
    <row r="13" spans="2:4" x14ac:dyDescent="0.25">
      <c r="B13" s="128"/>
    </row>
    <row r="14" spans="2:4" x14ac:dyDescent="0.25">
      <c r="B14" s="128"/>
    </row>
    <row r="15" spans="2:4" x14ac:dyDescent="0.25">
      <c r="B15" s="128"/>
    </row>
    <row r="16" spans="2:4" x14ac:dyDescent="0.25">
      <c r="B16" s="128"/>
    </row>
    <row r="17" spans="2:2" x14ac:dyDescent="0.25">
      <c r="B17" s="128"/>
    </row>
    <row r="18" spans="2:2" x14ac:dyDescent="0.25">
      <c r="B18" s="128"/>
    </row>
    <row r="19" spans="2:2" x14ac:dyDescent="0.25">
      <c r="B19" s="128"/>
    </row>
    <row r="20" spans="2:2" x14ac:dyDescent="0.25">
      <c r="B20" s="128"/>
    </row>
    <row r="21" spans="2:2" x14ac:dyDescent="0.25">
      <c r="B21" s="128"/>
    </row>
    <row r="22" spans="2:2" x14ac:dyDescent="0.25">
      <c r="B22" s="128"/>
    </row>
    <row r="23" spans="2:2" x14ac:dyDescent="0.25">
      <c r="B23" s="128"/>
    </row>
    <row r="24" spans="2:2" x14ac:dyDescent="0.25">
      <c r="B24" s="128"/>
    </row>
    <row r="25" spans="2:2" x14ac:dyDescent="0.25">
      <c r="B25" s="128"/>
    </row>
    <row r="26" spans="2:2" x14ac:dyDescent="0.25">
      <c r="B26" s="128"/>
    </row>
    <row r="27" spans="2:2" x14ac:dyDescent="0.25">
      <c r="B27" s="128"/>
    </row>
    <row r="28" spans="2:2" x14ac:dyDescent="0.25">
      <c r="B28" s="128"/>
    </row>
    <row r="29" spans="2:2" x14ac:dyDescent="0.25">
      <c r="B29" s="128"/>
    </row>
    <row r="30" spans="2:2" x14ac:dyDescent="0.25">
      <c r="B30" s="128"/>
    </row>
    <row r="31" spans="2:2" x14ac:dyDescent="0.25">
      <c r="B31" s="128"/>
    </row>
    <row r="32" spans="2:2" x14ac:dyDescent="0.25">
      <c r="B32" s="128"/>
    </row>
    <row r="33" spans="2:2" x14ac:dyDescent="0.25">
      <c r="B33" s="128"/>
    </row>
    <row r="34" spans="2:2" x14ac:dyDescent="0.25">
      <c r="B34" s="128"/>
    </row>
    <row r="35" spans="2:2" x14ac:dyDescent="0.25">
      <c r="B35" s="128"/>
    </row>
    <row r="36" spans="2:2" x14ac:dyDescent="0.25">
      <c r="B36" s="128"/>
    </row>
    <row r="37" spans="2:2" x14ac:dyDescent="0.25">
      <c r="B37" s="128"/>
    </row>
    <row r="38" spans="2:2" x14ac:dyDescent="0.25">
      <c r="B38" s="128"/>
    </row>
    <row r="39" spans="2:2" x14ac:dyDescent="0.25">
      <c r="B39" s="128"/>
    </row>
    <row r="40" spans="2:2" x14ac:dyDescent="0.25">
      <c r="B40" s="12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25"/>
  <sheetViews>
    <sheetView showGridLines="0" workbookViewId="0"/>
  </sheetViews>
  <sheetFormatPr defaultRowHeight="15" x14ac:dyDescent="0.25"/>
  <cols>
    <col min="1" max="1" width="2" customWidth="1"/>
    <col min="2" max="2" width="120" customWidth="1"/>
  </cols>
  <sheetData>
    <row r="1" spans="2:2" ht="21.95" customHeight="1" x14ac:dyDescent="0.25">
      <c r="B1" s="130" t="s">
        <v>904</v>
      </c>
    </row>
    <row r="2" spans="2:2" ht="30" customHeight="1" x14ac:dyDescent="0.25">
      <c r="B2" s="131"/>
    </row>
    <row r="3" spans="2:2" ht="21.95" customHeight="1" x14ac:dyDescent="0.25">
      <c r="B3" s="130" t="s">
        <v>905</v>
      </c>
    </row>
    <row r="4" spans="2:2" ht="30" customHeight="1" x14ac:dyDescent="0.25">
      <c r="B4" s="131" t="s">
        <v>906</v>
      </c>
    </row>
    <row r="5" spans="2:2" ht="30" customHeight="1" x14ac:dyDescent="0.25">
      <c r="B5" s="131" t="s">
        <v>907</v>
      </c>
    </row>
    <row r="6" spans="2:2" ht="30" customHeight="1" x14ac:dyDescent="0.25">
      <c r="B6" s="131" t="s">
        <v>908</v>
      </c>
    </row>
    <row r="7" spans="2:2" ht="30" customHeight="1" x14ac:dyDescent="0.25">
      <c r="B7" s="131" t="s">
        <v>909</v>
      </c>
    </row>
    <row r="8" spans="2:2" ht="30" customHeight="1" x14ac:dyDescent="0.25">
      <c r="B8" s="131" t="s">
        <v>910</v>
      </c>
    </row>
    <row r="9" spans="2:2" ht="30" customHeight="1" x14ac:dyDescent="0.25">
      <c r="B9" s="131" t="s">
        <v>911</v>
      </c>
    </row>
    <row r="10" spans="2:2" ht="30" customHeight="1" x14ac:dyDescent="0.25">
      <c r="B10" s="131" t="s">
        <v>912</v>
      </c>
    </row>
    <row r="11" spans="2:2" ht="30" customHeight="1" x14ac:dyDescent="0.25">
      <c r="B11" s="131" t="s">
        <v>913</v>
      </c>
    </row>
    <row r="12" spans="2:2" ht="30" customHeight="1" x14ac:dyDescent="0.25">
      <c r="B12" s="131"/>
    </row>
    <row r="13" spans="2:2" ht="21.95" customHeight="1" x14ac:dyDescent="0.25">
      <c r="B13" s="130" t="s">
        <v>914</v>
      </c>
    </row>
    <row r="14" spans="2:2" ht="30" customHeight="1" x14ac:dyDescent="0.25">
      <c r="B14" s="131" t="s">
        <v>915</v>
      </c>
    </row>
    <row r="15" spans="2:2" ht="30" customHeight="1" x14ac:dyDescent="0.25">
      <c r="B15" s="131" t="s">
        <v>916</v>
      </c>
    </row>
    <row r="16" spans="2:2" ht="30" customHeight="1" x14ac:dyDescent="0.25">
      <c r="B16" s="131" t="s">
        <v>917</v>
      </c>
    </row>
    <row r="17" spans="2:2" ht="30" customHeight="1" x14ac:dyDescent="0.25">
      <c r="B17" s="131" t="s">
        <v>918</v>
      </c>
    </row>
    <row r="18" spans="2:2" ht="30" customHeight="1" x14ac:dyDescent="0.25">
      <c r="B18" s="131"/>
    </row>
    <row r="19" spans="2:2" ht="21.95" customHeight="1" x14ac:dyDescent="0.25">
      <c r="B19" s="130" t="s">
        <v>919</v>
      </c>
    </row>
    <row r="20" spans="2:2" ht="30" customHeight="1" x14ac:dyDescent="0.25">
      <c r="B20" s="131" t="s">
        <v>920</v>
      </c>
    </row>
    <row r="21" spans="2:2" ht="30" customHeight="1" x14ac:dyDescent="0.25">
      <c r="B21" s="131" t="s">
        <v>921</v>
      </c>
    </row>
    <row r="22" spans="2:2" ht="30" customHeight="1" x14ac:dyDescent="0.25">
      <c r="B22" s="131"/>
    </row>
    <row r="23" spans="2:2" ht="21.95" customHeight="1" x14ac:dyDescent="0.25">
      <c r="B23" s="130" t="s">
        <v>922</v>
      </c>
    </row>
    <row r="24" spans="2:2" ht="30" customHeight="1" x14ac:dyDescent="0.25">
      <c r="B24" s="131" t="s">
        <v>923</v>
      </c>
    </row>
    <row r="25" spans="2:2" ht="30" customHeight="1" x14ac:dyDescent="0.25">
      <c r="B25" s="131" t="s">
        <v>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PROJELER</vt:lpstr>
      <vt:lpstr>İş Emri Takip</vt:lpstr>
      <vt:lpstr>Haftalık Rapor</vt:lpstr>
      <vt:lpstr>İş Emri Sorgula</vt:lpstr>
      <vt:lpstr>Listeler</vt:lpstr>
      <vt:lpstr>Nasıl Kullanılır</vt:lpstr>
      <vt:lpstr>'Haftalık Rapor'!Print_Area</vt:lpstr>
      <vt:lpstr>'İş Emri Sorgula'!Print_Area</vt:lpstr>
      <vt:lpstr>'İş Emri Takip'!Print_Titles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kalite</cp:lastModifiedBy>
  <cp:revision>0</cp:revision>
  <cp:lastPrinted>2026-09-22T08:00:09Z</cp:lastPrinted>
  <dcterms:created xsi:type="dcterms:W3CDTF">2026-09-22T07:18:47Z</dcterms:created>
  <dcterms:modified xsi:type="dcterms:W3CDTF">2026-10-12T06:02:28Z</dcterms:modified>
  <dc:language>en-US</dc:language>
</cp:coreProperties>
</file>