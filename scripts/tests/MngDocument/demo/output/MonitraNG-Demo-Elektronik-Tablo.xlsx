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Veriler" sheetId="2" r:id="rId2"/>
    <sheet name="Ozet" sheetId="3" r:id="rId3"/>
    <sheet name="Grafikler" sheetId="4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"/>
  </numFmts>
  <fonts count="3">
    <font>
      <sz val="11"/>
      <name val="Calibri"/>
    </font>
    <font>
      <b/>
      <sz val="11"/>
      <color rgb="FFFFFFFF"/>
      <name val="Calibri"/>
    </font>
    <font>
      <b/>
      <sz val="16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/>
  </cellStyleXfs>
  <cellXfs count="6">
    <xf numFmtId="0" fontId="0" fillId="0" borderId="0"/>
    <xf numFmtId="0" fontId="1" fillId="2" borderId="1" applyFont="1" applyFill="1" applyBorder="1"/>
    <xf numFmtId="0" fontId="2" fillId="0" borderId="0" applyFont="1"/>
    <xf numFmtId="164" fontId="0" fillId="0" borderId="1" applyNumberFormat="1" applyBorder="1"/>
    <xf numFmtId="165" fontId="0" fillId="0" borderId="1" applyNumberFormat="1" applyBorder="1"/>
    <xf numFmtId="166" fontId="0" fillId="0" borderId="1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tr-TR" sz="1400" b="1"/>
              <a:t>Aylik Alarmlar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Veriler!$B$1</c:f>
              <c:strCache>
                <c:ptCount val="1"/>
                <c:pt idx="0">
                  <c:v>Seri</c:v>
                </c:pt>
              </c:strCache>
            </c:strRef>
          </c:tx>
          <c:spPr>
            <a:solidFill>
              <a:srgbClr val="FF4472C4"/>
            </a:solidFill>
          </c:spPr>
          <c:cat>
            <c:strRef>
              <c:f>Veriler!$A$2:$A$13</c:f>
              <c:strCache>
                <c:ptCount val="12"/>
              </c:strCache>
            </c:strRef>
          </c:cat>
          <c:val>
            <c:numRef>
              <c:f>Veriler!$B$2:$B$13</c:f>
              <c:numCache>
                <c:formatCode>General</c:formatCode>
                <c:ptCount val="12"/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axPos val="b"/>
        <c:crossAx val="222222222"/>
      </c:catAx>
      <c:valAx>
        <c:axId val="222222222"/>
        <c:scaling>
          <c:orientation val="minMax"/>
        </c:scaling>
        <c:axPos val="l"/>
        <c:crossAx val="111111111"/>
      </c:valAx>
    </c:plotArea>
    <c:legend>
      <c:legendPos val="r"/>
      <c:overlay val="0"/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tr-TR" sz="1400" b="1"/>
              <a:t>Enerji Tuketimi (MWh)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Veriler!$D$1</c:f>
              <c:strCache>
                <c:ptCount val="1"/>
                <c:pt idx="0">
                  <c:v>Seri</c:v>
                </c:pt>
              </c:strCache>
            </c:strRef>
          </c:tx>
          <c:spPr>
            <a:solidFill>
              <a:srgbClr val="FF70AD47"/>
            </a:solidFill>
          </c:spPr>
          <c:cat>
            <c:strRef>
              <c:f>Veriler!$A$2:$A$13</c:f>
              <c:strCache>
                <c:ptCount val="12"/>
              </c:strCache>
            </c:strRef>
          </c:cat>
          <c:val>
            <c:numRef>
              <c:f>Veriler!$D$2:$D$13</c:f>
              <c:numCache>
                <c:formatCode>General</c:formatCode>
                <c:ptCount val="12"/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axPos val="b"/>
        <c:crossAx val="222222222"/>
      </c:catAx>
      <c:valAx>
        <c:axId val="222222222"/>
        <c:scaling>
          <c:orientation val="minMax"/>
        </c:scaling>
        <c:axPos val="l"/>
        <c:crossAx val="111111111"/>
      </c:valAx>
    </c:plotArea>
    <c:legend>
      <c:legendPos val="r"/>
      <c:overlay val="0"/>
    </c:legend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Alarm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Energy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ySplit="3" topLeftCell="A4" activePane="bottomLeft" state="frozen"/>
      <selection pane="bottomLeft" activeCell="A1" sqref="A1"/>
    </sheetView>
  </sheetViews>
  <cols>
    <col min="1" max="1" width="22" customWidth="1"/>
    <col min="2" max="2" width="14" customWidth="1"/>
    <col min="3" max="3" width="12" customWidth="1"/>
    <col min="4" max="4" width="12" customWidth="1"/>
  </cols>
  <sheetData>
    <row r="1">
      <c r="A1" s="1" t="inlineStr">
        <is>
          <t>MonitraNG — Tesis KPI Panosu</t>
        </is>
      </c>
      <c r="E1" s="0" t="inlineStr">
        <is>
          <t>Guncelleme: 07.07.2026 22:16</t>
        </is>
      </c>
    </row>
    <row r="2"/>
    <row r="3">
      <c r="A3" s="1" t="inlineStr">
        <is>
          <t>Gosterge</t>
        </is>
      </c>
      <c r="B3" s="1" t="inlineStr">
        <is>
          <t>Deger</t>
        </is>
      </c>
      <c r="C3" s="1" t="inlineStr">
        <is>
          <t>Hedef</t>
        </is>
      </c>
      <c r="D3" s="1" t="inlineStr">
        <is>
          <t>Durum</t>
        </is>
      </c>
    </row>
    <row r="4">
      <c r="A4" s="0" t="inlineStr">
        <is>
          <t>Toplam alarm (yil)</t>
        </is>
      </c>
      <c r="B4" s="3">
        <f>SUM(Veriler!B2:B13)</f>
        <v>0</v>
      </c>
      <c r="C4" s="3">
        <v>120</v>
      </c>
      <c r="D4" s="0">
        <f>IF(B4&lt;=C4,"OK","Incele")</f>
        <v>0</v>
      </c>
    </row>
    <row r="5">
      <c r="A5" s="0" t="inlineStr">
        <is>
          <t>Ortalama uptime %</t>
        </is>
      </c>
      <c r="B5" s="5">
        <f>AVERAGE(Veriler!C2:C13)</f>
        <v>0</v>
      </c>
      <c r="C5" s="5">
        <v>99.0</v>
      </c>
      <c r="D5" s="0">
        <f>IF(B5&gt;=C5,"OK","Incele")</f>
        <v>0</v>
      </c>
    </row>
    <row r="6">
      <c r="A6" s="0" t="inlineStr">
        <is>
          <t>Enerji tuketimi (MWh)</t>
        </is>
      </c>
      <c r="B6" s="3">
        <f>SUM(Veriler!D2:D13)</f>
        <v>0</v>
      </c>
      <c r="C6" s="3">
        <v>15000</v>
      </c>
      <c r="D6" s="0">
        <f>IF(B6&lt;=C6,"OK","Incele")</f>
        <v>0</v>
      </c>
    </row>
    <row r="7">
      <c r="A7" s="0" t="inlineStr">
        <is>
          <t>En yuksek alarm</t>
        </is>
      </c>
      <c r="B7" s="3">
        <f>MAX(Veriler!B2:B13)</f>
        <v>0</v>
      </c>
      <c r="C7" s="3">
        <v>20</v>
      </c>
      <c r="D7" s="0">
        <f>IF(B7&lt;=C7,"OK","Incele")</f>
        <v>0</v>
      </c>
    </row>
    <row r="8"/>
    <row r="9">
      <c r="A9" s="0" t="inlineStr">
        <is>
          <t>Grafikler sayfasinda gomulu sutun grafikleri bulunur.</t>
        </is>
      </c>
    </row>
    <row r="10">
      <c r="A10" s="0" t="inlineStr">
        <is>
          <t>Veriler sayfasinda alarm ve enerji icin veri cubuklari uygulanir.</t>
        </is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activePane="bottomLeft" state="frozen"/>
      <selection pane="bottomLeft" activeCell="A1" sqref="A1"/>
    </sheetView>
  </sheetViews>
  <cols>
    <col min="1" max="1" width="10" customWidth="1"/>
    <col min="2" max="2" width="12" customWidth="1"/>
    <col min="3" max="3" width="12" customWidth="1"/>
    <col min="4" max="4" width="14" customWidth="1"/>
    <col min="5" max="5" width="10" customWidth="1"/>
  </cols>
  <sheetData>
    <row r="1">
      <c r="A1" s="1" t="inlineStr">
        <is>
          <t>Ay</t>
        </is>
      </c>
      <c r="B1" s="1" t="inlineStr">
        <is>
          <t>Alarm</t>
        </is>
      </c>
      <c r="C1" s="1" t="inlineStr">
        <is>
          <t>Uptime %</t>
        </is>
      </c>
      <c r="D1" s="1" t="inlineStr">
        <is>
          <t>Enerji MWh</t>
        </is>
      </c>
      <c r="E1" s="1" t="inlineStr">
        <is>
          <t>Trend</t>
        </is>
      </c>
    </row>
    <row r="2">
      <c r="A2" s="0" t="inlineStr">
        <is>
          <t>Oca</t>
        </is>
      </c>
      <c r="B2" s="3">
        <v>12</v>
      </c>
      <c r="C2" s="5">
        <v>99.1</v>
      </c>
      <c r="D2" s="3">
        <v>1240</v>
      </c>
      <c r="E2" s="0">
        <f>IF(D2&gt;1240,"Yukselis","Dusus")</f>
        <v>0</v>
      </c>
    </row>
    <row r="3">
      <c r="A3" s="0" t="inlineStr">
        <is>
          <t>Sub</t>
        </is>
      </c>
      <c r="B3" s="3">
        <v>9</v>
      </c>
      <c r="C3" s="5">
        <v>99.4</v>
      </c>
      <c r="D3" s="3">
        <v>1180</v>
      </c>
      <c r="E3" s="0">
        <f>IF(D3&gt;1240,"Yukselis","Dusus")</f>
        <v>0</v>
      </c>
    </row>
    <row r="4">
      <c r="A4" s="0" t="inlineStr">
        <is>
          <t>Mar</t>
        </is>
      </c>
      <c r="B4" s="3">
        <v>15</v>
      </c>
      <c r="C4" s="5">
        <v>98.8</v>
      </c>
      <c r="D4" s="3">
        <v>1310</v>
      </c>
      <c r="E4" s="0">
        <f>IF(D4&gt;1180,"Yukselis","Dusus")</f>
        <v>0</v>
      </c>
    </row>
    <row r="5">
      <c r="A5" s="0" t="inlineStr">
        <is>
          <t>Nis</t>
        </is>
      </c>
      <c r="B5" s="3">
        <v>8</v>
      </c>
      <c r="C5" s="5">
        <v>99.6</v>
      </c>
      <c r="D5" s="3">
        <v>1275</v>
      </c>
      <c r="E5" s="0">
        <f>IF(D5&gt;1310,"Yukselis","Dusus")</f>
        <v>0</v>
      </c>
    </row>
    <row r="6">
      <c r="A6" s="0" t="inlineStr">
        <is>
          <t>May</t>
        </is>
      </c>
      <c r="B6" s="3">
        <v>11</v>
      </c>
      <c r="C6" s="5">
        <v>99.2</v>
      </c>
      <c r="D6" s="3">
        <v>1190</v>
      </c>
      <c r="E6" s="0">
        <f>IF(D6&gt;1275,"Yukselis","Dusus")</f>
        <v>0</v>
      </c>
    </row>
    <row r="7">
      <c r="A7" s="0" t="inlineStr">
        <is>
          <t>Haz</t>
        </is>
      </c>
      <c r="B7" s="3">
        <v>6</v>
      </c>
      <c r="C7" s="5">
        <v>99.7</v>
      </c>
      <c r="D7" s="3">
        <v>1220</v>
      </c>
      <c r="E7" s="0">
        <f>IF(D7&gt;1190,"Yukselis","Dusus")</f>
        <v>0</v>
      </c>
    </row>
    <row r="8">
      <c r="A8" s="0" t="inlineStr">
        <is>
          <t>Tem</t>
        </is>
      </c>
      <c r="B8" s="3">
        <v>14</v>
      </c>
      <c r="C8" s="5">
        <v>99.0</v>
      </c>
      <c r="D8" s="3">
        <v>1350</v>
      </c>
      <c r="E8" s="0">
        <f>IF(D8&gt;1220,"Yukselis","Dusus")</f>
        <v>0</v>
      </c>
    </row>
    <row r="9">
      <c r="A9" s="0" t="inlineStr">
        <is>
          <t>Agu</t>
        </is>
      </c>
      <c r="B9" s="3">
        <v>10</v>
      </c>
      <c r="C9" s="5">
        <v>99.5</v>
      </c>
      <c r="D9" s="3">
        <v>1288</v>
      </c>
      <c r="E9" s="0">
        <f>IF(D9&gt;1350,"Yukselis","Dusus")</f>
        <v>0</v>
      </c>
    </row>
    <row r="10">
      <c r="A10" s="0" t="inlineStr">
        <is>
          <t>Eyl</t>
        </is>
      </c>
      <c r="B10" s="3">
        <v>7</v>
      </c>
      <c r="C10" s="5">
        <v>99.8</v>
      </c>
      <c r="D10" s="3">
        <v>1210</v>
      </c>
      <c r="E10" s="0">
        <f>IF(D10&gt;1288,"Yukselis","Dusus")</f>
        <v>0</v>
      </c>
    </row>
    <row r="11">
      <c r="A11" s="0" t="inlineStr">
        <is>
          <t>Eki</t>
        </is>
      </c>
      <c r="B11" s="3">
        <v>13</v>
      </c>
      <c r="C11" s="5">
        <v>99.3</v>
      </c>
      <c r="D11" s="3">
        <v>1295</v>
      </c>
      <c r="E11" s="0">
        <f>IF(D11&gt;1210,"Yukselis","Dusus")</f>
        <v>0</v>
      </c>
    </row>
    <row r="12">
      <c r="A12" s="0" t="inlineStr">
        <is>
          <t>Kas</t>
        </is>
      </c>
      <c r="B12" s="3">
        <v>9</v>
      </c>
      <c r="C12" s="5">
        <v>99.1</v>
      </c>
      <c r="D12" s="3">
        <v>1175</v>
      </c>
      <c r="E12" s="0">
        <f>IF(D12&gt;1295,"Yukselis","Dusus")</f>
        <v>0</v>
      </c>
    </row>
    <row r="13">
      <c r="A13" s="0" t="inlineStr">
        <is>
          <t>Ara</t>
        </is>
      </c>
      <c r="B13" s="3">
        <v>5</v>
      </c>
      <c r="C13" s="5">
        <v>99.9</v>
      </c>
      <c r="D13" s="3">
        <v>1130</v>
      </c>
      <c r="E13" s="0">
        <f>IF(D13&gt;1175,"Yukselis","Dusus")</f>
        <v>0</v>
      </c>
    </row>
    <row r="14"/>
    <row r="15">
      <c r="A15" s="1" t="inlineStr">
        <is>
          <t>Yillik toplam / ortalama</t>
        </is>
      </c>
    </row>
    <row r="16">
      <c r="A16" s="0" t="inlineStr">
        <is>
          <t>Toplam</t>
        </is>
      </c>
      <c r="B16" s="3">
        <f>SUM(B2:B13)</f>
        <v>0</v>
      </c>
      <c r="C16" s="5">
        <f>AVERAGE(C2:C13)</f>
        <v>0</v>
      </c>
      <c r="D16" s="3">
        <f>SUM(D2:D13)</f>
        <v>0</v>
      </c>
    </row>
  </sheetData>
  <conditionalFormatting sqref="B2:B13">
    <cfRule type="dataBar" priority="1">
      <dataBar>
        <cfvo type="min"/>
        <cfvo type="max"/>
        <color rgb="FF4472C4"/>
      </dataBar>
    </cfRule>
  </conditionalFormatting>
  <conditionalFormatting sqref="D2:D13">
    <cfRule type="dataBar" priority="2">
      <dataBar>
        <cfvo type="min"/>
        <cfvo type="max"/>
        <color rgb="FF70AD47"/>
      </dataBar>
    </cfRule>
  </conditionalFormatting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1" width="18" customWidth="1"/>
    <col min="2" max="2" width="12" customWidth="1"/>
  </cols>
  <sheetData>
    <row r="1">
      <c r="A1" s="1" t="inlineStr">
        <is>
          <t>Alarm esik analizi (COUNTIF)</t>
        </is>
      </c>
    </row>
    <row r="2">
      <c r="A2" s="1" t="inlineStr">
        <is>
          <t>Esik</t>
        </is>
      </c>
      <c r="B2" s="1" t="inlineStr">
        <is>
          <t>Adet</t>
        </is>
      </c>
    </row>
    <row r="3">
      <c r="A3" s="0" t="inlineStr">
        <is>
          <t>&gt;= 12</t>
        </is>
      </c>
      <c r="B3" s="3">
        <f>COUNTIF(Veriler!B2:B13,"&gt;=12")</f>
        <v>0</v>
      </c>
    </row>
    <row r="4">
      <c r="A4" s="0" t="inlineStr">
        <is>
          <t>&lt; 10</t>
        </is>
      </c>
      <c r="B4" s="3">
        <f>COUNTIF(Veriler!B2:B13,"&lt;10")</f>
        <v>0</v>
      </c>
    </row>
    <row r="5"/>
    <row r="6">
      <c r="A6" s="1" t="inlineStr">
        <is>
          <t>Uptime bandi</t>
        </is>
      </c>
    </row>
    <row r="7">
      <c r="A7" s="0" t="inlineStr">
        <is>
          <t>&gt;= 99.5%</t>
        </is>
      </c>
      <c r="B7" s="3">
        <f>COUNTIF(Veriler!C2:C13,"&gt;=99.5")</f>
        <v>0</v>
      </c>
    </row>
    <row r="8">
      <c r="A8" s="0" t="inlineStr">
        <is>
          <t>&lt; 99.0%</t>
        </is>
      </c>
      <c r="B8" s="3">
        <f>COUNTIF(Veriler!C2:C13,"&lt;99")</f>
        <v>0</v>
      </c>
    </row>
    <row r="9"/>
    <row r="10">
      <c r="A10" s="0" t="inlineStr">
        <is>
          <t>Grafikler sayfasindaki grafikler bu verilerden beslenir.</t>
        </is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" width="48" customWidth="1"/>
  </cols>
  <sheetData>
    <row r="1">
      <c r="A1" s="2" t="inlineStr">
        <is>
          <t>Gomulu grafikler (Veriler sayfasina bagli)</t>
        </is>
      </c>
    </row>
    <row r="2">
      <c r="A2" s="0" t="inlineStr">
        <is>
          <t>Alarm sutun grafigi (sol) — Enerji sutun grafigi (sag)</t>
        </is>
      </c>
    </row>
  </sheetData>
  <drawing r:id="rId1"/>
</worksheet>
</file>